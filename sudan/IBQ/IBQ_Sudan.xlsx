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lad\Downloads\"/>
    </mc:Choice>
  </mc:AlternateContent>
  <xr:revisionPtr revIDLastSave="0" documentId="13_ncr:1_{517B1EA2-9087-4C5A-A00C-64DB2A2C728A}" xr6:coauthVersionLast="47" xr6:coauthVersionMax="47" xr10:uidLastSave="{00000000-0000-0000-0000-000000000000}"/>
  <bookViews>
    <workbookView xWindow="-108" yWindow="-108" windowWidth="23256" windowHeight="13176" activeTab="1" xr2:uid="{00000000-000D-0000-FFFF-FFFF00000000}"/>
  </bookViews>
  <sheets>
    <sheet name="Horse_Racing" sheetId="1" r:id="rId1"/>
    <sheet name="Camel_Racing" sheetId="2" r:id="rId2"/>
    <sheet name="Nuba_Wrestling" sheetId="3" r:id="rId3"/>
    <sheet name="Nubian_Stick_Fighting" sheetId="4" r:id="rId4"/>
    <sheet name="Cow_fight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01" i="5" l="1"/>
  <c r="K301" i="5"/>
  <c r="J301" i="5"/>
  <c r="I301" i="5"/>
  <c r="L300" i="5"/>
  <c r="K300" i="5"/>
  <c r="J300" i="5"/>
  <c r="I300" i="5"/>
  <c r="L299" i="5"/>
  <c r="K299" i="5"/>
  <c r="J299" i="5"/>
  <c r="I299" i="5"/>
  <c r="L298" i="5"/>
  <c r="K298" i="5"/>
  <c r="J298" i="5"/>
  <c r="I298" i="5"/>
  <c r="L297" i="5"/>
  <c r="K297" i="5"/>
  <c r="J297" i="5"/>
  <c r="I297" i="5"/>
  <c r="L296" i="5"/>
  <c r="K296" i="5"/>
  <c r="J296" i="5"/>
  <c r="I296" i="5"/>
  <c r="L295" i="5"/>
  <c r="K295" i="5"/>
  <c r="J295" i="5"/>
  <c r="I295" i="5"/>
  <c r="L294" i="5"/>
  <c r="K294" i="5"/>
  <c r="J294" i="5"/>
  <c r="I294" i="5"/>
  <c r="L293" i="5"/>
  <c r="K293" i="5"/>
  <c r="J293" i="5"/>
  <c r="I293" i="5"/>
  <c r="L292" i="5"/>
  <c r="K292" i="5"/>
  <c r="J292" i="5"/>
  <c r="I292" i="5"/>
  <c r="L291" i="5"/>
  <c r="K291" i="5"/>
  <c r="J291" i="5"/>
  <c r="I291" i="5"/>
  <c r="L290" i="5"/>
  <c r="K290" i="5"/>
  <c r="J290" i="5"/>
  <c r="I290" i="5"/>
  <c r="L289" i="5"/>
  <c r="K289" i="5"/>
  <c r="J289" i="5"/>
  <c r="I289" i="5"/>
  <c r="L288" i="5"/>
  <c r="K288" i="5"/>
  <c r="J288" i="5"/>
  <c r="I288" i="5"/>
  <c r="L287" i="5"/>
  <c r="K287" i="5"/>
  <c r="J287" i="5"/>
  <c r="I287" i="5"/>
  <c r="L286" i="5"/>
  <c r="K286" i="5"/>
  <c r="J286" i="5"/>
  <c r="I286" i="5"/>
  <c r="L285" i="5"/>
  <c r="K285" i="5"/>
  <c r="J285" i="5"/>
  <c r="I285" i="5"/>
  <c r="L284" i="5"/>
  <c r="K284" i="5"/>
  <c r="J284" i="5"/>
  <c r="I284" i="5"/>
  <c r="L283" i="5"/>
  <c r="K283" i="5"/>
  <c r="J283" i="5"/>
  <c r="I283" i="5"/>
  <c r="L282" i="5"/>
  <c r="K282" i="5"/>
  <c r="J282" i="5"/>
  <c r="I282" i="5"/>
  <c r="L281" i="5"/>
  <c r="K281" i="5"/>
  <c r="J281" i="5"/>
  <c r="I281" i="5"/>
  <c r="L280" i="5"/>
  <c r="K280" i="5"/>
  <c r="J280" i="5"/>
  <c r="I280" i="5"/>
  <c r="L279" i="5"/>
  <c r="K279" i="5"/>
  <c r="J279" i="5"/>
  <c r="I279" i="5"/>
  <c r="L278" i="5"/>
  <c r="K278" i="5"/>
  <c r="J278" i="5"/>
  <c r="I278" i="5"/>
  <c r="L277" i="5"/>
  <c r="K277" i="5"/>
  <c r="J277" i="5"/>
  <c r="I277" i="5"/>
  <c r="L276" i="5"/>
  <c r="K276" i="5"/>
  <c r="J276" i="5"/>
  <c r="I276" i="5"/>
  <c r="L275" i="5"/>
  <c r="K275" i="5"/>
  <c r="J275" i="5"/>
  <c r="I275" i="5"/>
  <c r="L274" i="5"/>
  <c r="K274" i="5"/>
  <c r="J274" i="5"/>
  <c r="I274" i="5"/>
  <c r="L273" i="5"/>
  <c r="K273" i="5"/>
  <c r="J273" i="5"/>
  <c r="I273" i="5"/>
  <c r="L272" i="5"/>
  <c r="K272" i="5"/>
  <c r="J272" i="5"/>
  <c r="I272" i="5"/>
  <c r="L271" i="5"/>
  <c r="K271" i="5"/>
  <c r="J271" i="5"/>
  <c r="I271" i="5"/>
  <c r="L270" i="5"/>
  <c r="K270" i="5"/>
  <c r="J270" i="5"/>
  <c r="I270" i="5"/>
  <c r="L269" i="5"/>
  <c r="K269" i="5"/>
  <c r="J269" i="5"/>
  <c r="I269" i="5"/>
  <c r="L268" i="5"/>
  <c r="K268" i="5"/>
  <c r="J268" i="5"/>
  <c r="I268" i="5"/>
  <c r="L267" i="5"/>
  <c r="K267" i="5"/>
  <c r="J267" i="5"/>
  <c r="I267" i="5"/>
  <c r="L266" i="5"/>
  <c r="K266" i="5"/>
  <c r="J266" i="5"/>
  <c r="I266" i="5"/>
  <c r="L265" i="5"/>
  <c r="K265" i="5"/>
  <c r="J265" i="5"/>
  <c r="I265" i="5"/>
  <c r="L264" i="5"/>
  <c r="K264" i="5"/>
  <c r="J264" i="5"/>
  <c r="I264" i="5"/>
  <c r="L263" i="5"/>
  <c r="K263" i="5"/>
  <c r="J263" i="5"/>
  <c r="I263" i="5"/>
  <c r="L262" i="5"/>
  <c r="K262" i="5"/>
  <c r="J262" i="5"/>
  <c r="I262" i="5"/>
  <c r="L261" i="5"/>
  <c r="K261" i="5"/>
  <c r="J261" i="5"/>
  <c r="I261" i="5"/>
  <c r="L260" i="5"/>
  <c r="K260" i="5"/>
  <c r="J260" i="5"/>
  <c r="I260" i="5"/>
  <c r="L259" i="5"/>
  <c r="K259" i="5"/>
  <c r="J259" i="5"/>
  <c r="I259" i="5"/>
  <c r="L258" i="5"/>
  <c r="K258" i="5"/>
  <c r="J258" i="5"/>
  <c r="I258" i="5"/>
  <c r="L257" i="5"/>
  <c r="K257" i="5"/>
  <c r="J257" i="5"/>
  <c r="I257" i="5"/>
  <c r="L256" i="5"/>
  <c r="K256" i="5"/>
  <c r="J256" i="5"/>
  <c r="I256" i="5"/>
  <c r="L255" i="5"/>
  <c r="K255" i="5"/>
  <c r="J255" i="5"/>
  <c r="I255" i="5"/>
  <c r="L254" i="5"/>
  <c r="K254" i="5"/>
  <c r="J254" i="5"/>
  <c r="I254" i="5"/>
  <c r="L253" i="5"/>
  <c r="K253" i="5"/>
  <c r="J253" i="5"/>
  <c r="I253" i="5"/>
  <c r="L252" i="5"/>
  <c r="K252" i="5"/>
  <c r="J252" i="5"/>
  <c r="I252" i="5"/>
  <c r="L251" i="5"/>
  <c r="K251" i="5"/>
  <c r="J251" i="5"/>
  <c r="I251" i="5"/>
  <c r="L250" i="5"/>
  <c r="K250" i="5"/>
  <c r="J250" i="5"/>
  <c r="I250" i="5"/>
  <c r="L249" i="5"/>
  <c r="K249" i="5"/>
  <c r="J249" i="5"/>
  <c r="I249" i="5"/>
  <c r="L248" i="5"/>
  <c r="K248" i="5"/>
  <c r="J248" i="5"/>
  <c r="I248" i="5"/>
  <c r="L247" i="5"/>
  <c r="K247" i="5"/>
  <c r="J247" i="5"/>
  <c r="I247" i="5"/>
  <c r="L246" i="5"/>
  <c r="K246" i="5"/>
  <c r="J246" i="5"/>
  <c r="I246" i="5"/>
  <c r="L245" i="5"/>
  <c r="K245" i="5"/>
  <c r="J245" i="5"/>
  <c r="I245" i="5"/>
  <c r="L244" i="5"/>
  <c r="K244" i="5"/>
  <c r="J244" i="5"/>
  <c r="I244" i="5"/>
  <c r="L243" i="5"/>
  <c r="K243" i="5"/>
  <c r="J243" i="5"/>
  <c r="I243" i="5"/>
  <c r="L242" i="5"/>
  <c r="K242" i="5"/>
  <c r="J242" i="5"/>
  <c r="I242" i="5"/>
  <c r="L241" i="5"/>
  <c r="K241" i="5"/>
  <c r="J241" i="5"/>
  <c r="I241" i="5"/>
  <c r="L240" i="5"/>
  <c r="K240" i="5"/>
  <c r="J240" i="5"/>
  <c r="I240" i="5"/>
  <c r="L239" i="5"/>
  <c r="K239" i="5"/>
  <c r="J239" i="5"/>
  <c r="I239" i="5"/>
  <c r="L238" i="5"/>
  <c r="K238" i="5"/>
  <c r="J238" i="5"/>
  <c r="I238" i="5"/>
  <c r="L237" i="5"/>
  <c r="K237" i="5"/>
  <c r="J237" i="5"/>
  <c r="I237" i="5"/>
  <c r="L236" i="5"/>
  <c r="K236" i="5"/>
  <c r="J236" i="5"/>
  <c r="I236" i="5"/>
  <c r="L235" i="5"/>
  <c r="K235" i="5"/>
  <c r="J235" i="5"/>
  <c r="I235" i="5"/>
  <c r="L234" i="5"/>
  <c r="K234" i="5"/>
  <c r="J234" i="5"/>
  <c r="I234" i="5"/>
  <c r="L233" i="5"/>
  <c r="K233" i="5"/>
  <c r="J233" i="5"/>
  <c r="I233" i="5"/>
  <c r="L232" i="5"/>
  <c r="K232" i="5"/>
  <c r="J232" i="5"/>
  <c r="I232" i="5"/>
  <c r="L231" i="5"/>
  <c r="K231" i="5"/>
  <c r="J231" i="5"/>
  <c r="I231" i="5"/>
  <c r="L230" i="5"/>
  <c r="K230" i="5"/>
  <c r="J230" i="5"/>
  <c r="I230" i="5"/>
  <c r="L229" i="5"/>
  <c r="K229" i="5"/>
  <c r="J229" i="5"/>
  <c r="I229" i="5"/>
  <c r="L228" i="5"/>
  <c r="K228" i="5"/>
  <c r="J228" i="5"/>
  <c r="I228" i="5"/>
  <c r="L227" i="5"/>
  <c r="K227" i="5"/>
  <c r="J227" i="5"/>
  <c r="I227" i="5"/>
  <c r="L226" i="5"/>
  <c r="K226" i="5"/>
  <c r="J226" i="5"/>
  <c r="I226" i="5"/>
  <c r="L225" i="5"/>
  <c r="K225" i="5"/>
  <c r="J225" i="5"/>
  <c r="I225" i="5"/>
  <c r="L224" i="5"/>
  <c r="K224" i="5"/>
  <c r="J224" i="5"/>
  <c r="I224" i="5"/>
  <c r="L223" i="5"/>
  <c r="K223" i="5"/>
  <c r="J223" i="5"/>
  <c r="I223" i="5"/>
  <c r="L222" i="5"/>
  <c r="K222" i="5"/>
  <c r="J222" i="5"/>
  <c r="I222" i="5"/>
  <c r="L221" i="5"/>
  <c r="K221" i="5"/>
  <c r="J221" i="5"/>
  <c r="I221" i="5"/>
  <c r="L220" i="5"/>
  <c r="K220" i="5"/>
  <c r="J220" i="5"/>
  <c r="I220" i="5"/>
  <c r="L219" i="5"/>
  <c r="K219" i="5"/>
  <c r="J219" i="5"/>
  <c r="I219" i="5"/>
  <c r="L218" i="5"/>
  <c r="K218" i="5"/>
  <c r="J218" i="5"/>
  <c r="I218" i="5"/>
  <c r="L217" i="5"/>
  <c r="K217" i="5"/>
  <c r="J217" i="5"/>
  <c r="I217" i="5"/>
  <c r="L216" i="5"/>
  <c r="K216" i="5"/>
  <c r="J216" i="5"/>
  <c r="I216" i="5"/>
  <c r="L215" i="5"/>
  <c r="K215" i="5"/>
  <c r="J215" i="5"/>
  <c r="I215" i="5"/>
  <c r="L214" i="5"/>
  <c r="K214" i="5"/>
  <c r="J214" i="5"/>
  <c r="I214" i="5"/>
  <c r="L213" i="5"/>
  <c r="K213" i="5"/>
  <c r="J213" i="5"/>
  <c r="I213" i="5"/>
  <c r="L212" i="5"/>
  <c r="K212" i="5"/>
  <c r="J212" i="5"/>
  <c r="I212" i="5"/>
  <c r="L211" i="5"/>
  <c r="K211" i="5"/>
  <c r="J211" i="5"/>
  <c r="I211" i="5"/>
  <c r="L210" i="5"/>
  <c r="K210" i="5"/>
  <c r="J210" i="5"/>
  <c r="I210" i="5"/>
  <c r="L209" i="5"/>
  <c r="K209" i="5"/>
  <c r="J209" i="5"/>
  <c r="I209" i="5"/>
  <c r="L208" i="5"/>
  <c r="K208" i="5"/>
  <c r="J208" i="5"/>
  <c r="I208" i="5"/>
  <c r="L207" i="5"/>
  <c r="K207" i="5"/>
  <c r="J207" i="5"/>
  <c r="I207" i="5"/>
  <c r="L206" i="5"/>
  <c r="K206" i="5"/>
  <c r="J206" i="5"/>
  <c r="I206" i="5"/>
  <c r="L205" i="5"/>
  <c r="K205" i="5"/>
  <c r="J205" i="5"/>
  <c r="I205" i="5"/>
  <c r="L204" i="5"/>
  <c r="K204" i="5"/>
  <c r="J204" i="5"/>
  <c r="I204" i="5"/>
  <c r="L203" i="5"/>
  <c r="K203" i="5"/>
  <c r="J203" i="5"/>
  <c r="I203" i="5"/>
  <c r="L202" i="5"/>
  <c r="K202" i="5"/>
  <c r="J202" i="5"/>
  <c r="I202" i="5"/>
  <c r="L201" i="5"/>
  <c r="K201" i="5"/>
  <c r="J201" i="5"/>
  <c r="I201" i="5"/>
  <c r="L200" i="5"/>
  <c r="K200" i="5"/>
  <c r="J200" i="5"/>
  <c r="I200" i="5"/>
  <c r="L199" i="5"/>
  <c r="K199" i="5"/>
  <c r="J199" i="5"/>
  <c r="I199" i="5"/>
  <c r="L198" i="5"/>
  <c r="K198" i="5"/>
  <c r="J198" i="5"/>
  <c r="I198" i="5"/>
  <c r="L197" i="5"/>
  <c r="K197" i="5"/>
  <c r="J197" i="5"/>
  <c r="I197" i="5"/>
  <c r="L196" i="5"/>
  <c r="K196" i="5"/>
  <c r="J196" i="5"/>
  <c r="I196" i="5"/>
  <c r="L195" i="5"/>
  <c r="K195" i="5"/>
  <c r="J195" i="5"/>
  <c r="I195" i="5"/>
  <c r="L194" i="5"/>
  <c r="K194" i="5"/>
  <c r="J194" i="5"/>
  <c r="I194" i="5"/>
  <c r="L193" i="5"/>
  <c r="K193" i="5"/>
  <c r="J193" i="5"/>
  <c r="I193" i="5"/>
  <c r="L192" i="5"/>
  <c r="K192" i="5"/>
  <c r="J192" i="5"/>
  <c r="I192" i="5"/>
  <c r="L191" i="5"/>
  <c r="K191" i="5"/>
  <c r="J191" i="5"/>
  <c r="I191" i="5"/>
  <c r="L190" i="5"/>
  <c r="K190" i="5"/>
  <c r="J190" i="5"/>
  <c r="I190" i="5"/>
  <c r="L189" i="5"/>
  <c r="K189" i="5"/>
  <c r="J189" i="5"/>
  <c r="I189" i="5"/>
  <c r="L188" i="5"/>
  <c r="K188" i="5"/>
  <c r="J188" i="5"/>
  <c r="I188" i="5"/>
  <c r="L187" i="5"/>
  <c r="K187" i="5"/>
  <c r="J187" i="5"/>
  <c r="I187" i="5"/>
  <c r="L186" i="5"/>
  <c r="K186" i="5"/>
  <c r="J186" i="5"/>
  <c r="I186" i="5"/>
  <c r="L185" i="5"/>
  <c r="K185" i="5"/>
  <c r="J185" i="5"/>
  <c r="I185" i="5"/>
  <c r="L184" i="5"/>
  <c r="K184" i="5"/>
  <c r="J184" i="5"/>
  <c r="I184" i="5"/>
  <c r="L183" i="5"/>
  <c r="K183" i="5"/>
  <c r="J183" i="5"/>
  <c r="I183" i="5"/>
  <c r="L182" i="5"/>
  <c r="K182" i="5"/>
  <c r="J182" i="5"/>
  <c r="I182" i="5"/>
  <c r="L181" i="5"/>
  <c r="K181" i="5"/>
  <c r="J181" i="5"/>
  <c r="I181" i="5"/>
  <c r="L180" i="5"/>
  <c r="K180" i="5"/>
  <c r="J180" i="5"/>
  <c r="I180" i="5"/>
  <c r="L179" i="5"/>
  <c r="K179" i="5"/>
  <c r="J179" i="5"/>
  <c r="I179" i="5"/>
  <c r="L178" i="5"/>
  <c r="K178" i="5"/>
  <c r="J178" i="5"/>
  <c r="I178" i="5"/>
  <c r="L177" i="5"/>
  <c r="K177" i="5"/>
  <c r="J177" i="5"/>
  <c r="I177" i="5"/>
  <c r="L176" i="5"/>
  <c r="K176" i="5"/>
  <c r="J176" i="5"/>
  <c r="I176" i="5"/>
  <c r="L175" i="5"/>
  <c r="K175" i="5"/>
  <c r="J175" i="5"/>
  <c r="I175" i="5"/>
  <c r="L174" i="5"/>
  <c r="K174" i="5"/>
  <c r="J174" i="5"/>
  <c r="I174" i="5"/>
  <c r="L173" i="5"/>
  <c r="K173" i="5"/>
  <c r="J173" i="5"/>
  <c r="I173" i="5"/>
  <c r="L172" i="5"/>
  <c r="K172" i="5"/>
  <c r="J172" i="5"/>
  <c r="I172" i="5"/>
  <c r="L171" i="5"/>
  <c r="K171" i="5"/>
  <c r="J171" i="5"/>
  <c r="I171" i="5"/>
  <c r="L170" i="5"/>
  <c r="K170" i="5"/>
  <c r="J170" i="5"/>
  <c r="I170" i="5"/>
  <c r="L169" i="5"/>
  <c r="K169" i="5"/>
  <c r="J169" i="5"/>
  <c r="I169" i="5"/>
  <c r="L168" i="5"/>
  <c r="K168" i="5"/>
  <c r="J168" i="5"/>
  <c r="I168" i="5"/>
  <c r="L167" i="5"/>
  <c r="K167" i="5"/>
  <c r="J167" i="5"/>
  <c r="I167" i="5"/>
  <c r="L166" i="5"/>
  <c r="K166" i="5"/>
  <c r="J166" i="5"/>
  <c r="I166" i="5"/>
  <c r="L165" i="5"/>
  <c r="K165" i="5"/>
  <c r="J165" i="5"/>
  <c r="I165" i="5"/>
  <c r="L164" i="5"/>
  <c r="K164" i="5"/>
  <c r="J164" i="5"/>
  <c r="I164" i="5"/>
  <c r="L163" i="5"/>
  <c r="K163" i="5"/>
  <c r="J163" i="5"/>
  <c r="I163" i="5"/>
  <c r="L162" i="5"/>
  <c r="K162" i="5"/>
  <c r="J162" i="5"/>
  <c r="I162" i="5"/>
  <c r="L161" i="5"/>
  <c r="K161" i="5"/>
  <c r="J161" i="5"/>
  <c r="I161" i="5"/>
  <c r="L160" i="5"/>
  <c r="K160" i="5"/>
  <c r="J160" i="5"/>
  <c r="I160" i="5"/>
  <c r="L159" i="5"/>
  <c r="K159" i="5"/>
  <c r="J159" i="5"/>
  <c r="I159" i="5"/>
  <c r="L158" i="5"/>
  <c r="K158" i="5"/>
  <c r="J158" i="5"/>
  <c r="I158" i="5"/>
  <c r="L157" i="5"/>
  <c r="K157" i="5"/>
  <c r="J157" i="5"/>
  <c r="I157" i="5"/>
  <c r="L156" i="5"/>
  <c r="K156" i="5"/>
  <c r="J156" i="5"/>
  <c r="I156" i="5"/>
  <c r="L155" i="5"/>
  <c r="K155" i="5"/>
  <c r="J155" i="5"/>
  <c r="I155" i="5"/>
  <c r="L154" i="5"/>
  <c r="K154" i="5"/>
  <c r="J154" i="5"/>
  <c r="I154" i="5"/>
  <c r="L153" i="5"/>
  <c r="K153" i="5"/>
  <c r="J153" i="5"/>
  <c r="I153" i="5"/>
  <c r="L152" i="5"/>
  <c r="K152" i="5"/>
  <c r="J152" i="5"/>
  <c r="I152" i="5"/>
  <c r="L151" i="5"/>
  <c r="K151" i="5"/>
  <c r="J151" i="5"/>
  <c r="I151" i="5"/>
  <c r="L150" i="5"/>
  <c r="K150" i="5"/>
  <c r="J150" i="5"/>
  <c r="I150" i="5"/>
  <c r="L149" i="5"/>
  <c r="K149" i="5"/>
  <c r="J149" i="5"/>
  <c r="I149" i="5"/>
  <c r="L148" i="5"/>
  <c r="K148" i="5"/>
  <c r="J148" i="5"/>
  <c r="I148" i="5"/>
  <c r="L147" i="5"/>
  <c r="K147" i="5"/>
  <c r="J147" i="5"/>
  <c r="I147" i="5"/>
  <c r="L146" i="5"/>
  <c r="K146" i="5"/>
  <c r="J146" i="5"/>
  <c r="I146" i="5"/>
  <c r="L145" i="5"/>
  <c r="K145" i="5"/>
  <c r="J145" i="5"/>
  <c r="I145" i="5"/>
  <c r="L144" i="5"/>
  <c r="K144" i="5"/>
  <c r="J144" i="5"/>
  <c r="I144" i="5"/>
  <c r="L143" i="5"/>
  <c r="K143" i="5"/>
  <c r="J143" i="5"/>
  <c r="I143" i="5"/>
  <c r="L142" i="5"/>
  <c r="K142" i="5"/>
  <c r="J142" i="5"/>
  <c r="I142" i="5"/>
  <c r="L141" i="5"/>
  <c r="K141" i="5"/>
  <c r="J141" i="5"/>
  <c r="I141" i="5"/>
  <c r="L140" i="5"/>
  <c r="K140" i="5"/>
  <c r="J140" i="5"/>
  <c r="I140" i="5"/>
  <c r="L139" i="5"/>
  <c r="K139" i="5"/>
  <c r="J139" i="5"/>
  <c r="I139" i="5"/>
  <c r="L138" i="5"/>
  <c r="K138" i="5"/>
  <c r="J138" i="5"/>
  <c r="I138" i="5"/>
  <c r="L137" i="5"/>
  <c r="K137" i="5"/>
  <c r="J137" i="5"/>
  <c r="I137" i="5"/>
  <c r="L136" i="5"/>
  <c r="K136" i="5"/>
  <c r="J136" i="5"/>
  <c r="I136" i="5"/>
  <c r="L135" i="5"/>
  <c r="K135" i="5"/>
  <c r="J135" i="5"/>
  <c r="I135" i="5"/>
  <c r="L134" i="5"/>
  <c r="K134" i="5"/>
  <c r="J134" i="5"/>
  <c r="I134" i="5"/>
  <c r="L133" i="5"/>
  <c r="K133" i="5"/>
  <c r="J133" i="5"/>
  <c r="I133" i="5"/>
  <c r="L132" i="5"/>
  <c r="K132" i="5"/>
  <c r="J132" i="5"/>
  <c r="I132" i="5"/>
  <c r="L131" i="5"/>
  <c r="K131" i="5"/>
  <c r="J131" i="5"/>
  <c r="I131" i="5"/>
  <c r="L130" i="5"/>
  <c r="K130" i="5"/>
  <c r="J130" i="5"/>
  <c r="I130" i="5"/>
  <c r="L129" i="5"/>
  <c r="K129" i="5"/>
  <c r="J129" i="5"/>
  <c r="I129" i="5"/>
  <c r="L128" i="5"/>
  <c r="K128" i="5"/>
  <c r="J128" i="5"/>
  <c r="I128" i="5"/>
  <c r="L127" i="5"/>
  <c r="K127" i="5"/>
  <c r="J127" i="5"/>
  <c r="I127" i="5"/>
  <c r="L126" i="5"/>
  <c r="K126" i="5"/>
  <c r="J126" i="5"/>
  <c r="I126" i="5"/>
  <c r="L125" i="5"/>
  <c r="K125" i="5"/>
  <c r="J125" i="5"/>
  <c r="I125" i="5"/>
  <c r="L124" i="5"/>
  <c r="K124" i="5"/>
  <c r="J124" i="5"/>
  <c r="I124" i="5"/>
  <c r="L123" i="5"/>
  <c r="K123" i="5"/>
  <c r="J123" i="5"/>
  <c r="I123" i="5"/>
  <c r="L122" i="5"/>
  <c r="K122" i="5"/>
  <c r="J122" i="5"/>
  <c r="I122" i="5"/>
  <c r="L121" i="5"/>
  <c r="K121" i="5"/>
  <c r="J121" i="5"/>
  <c r="I121" i="5"/>
  <c r="L120" i="5"/>
  <c r="K120" i="5"/>
  <c r="J120" i="5"/>
  <c r="I120" i="5"/>
  <c r="L119" i="5"/>
  <c r="K119" i="5"/>
  <c r="J119" i="5"/>
  <c r="I119" i="5"/>
  <c r="L118" i="5"/>
  <c r="K118" i="5"/>
  <c r="J118" i="5"/>
  <c r="I118" i="5"/>
  <c r="L117" i="5"/>
  <c r="K117" i="5"/>
  <c r="J117" i="5"/>
  <c r="I117" i="5"/>
  <c r="L116" i="5"/>
  <c r="K116" i="5"/>
  <c r="J116" i="5"/>
  <c r="I116" i="5"/>
  <c r="L115" i="5"/>
  <c r="K115" i="5"/>
  <c r="J115" i="5"/>
  <c r="I115" i="5"/>
  <c r="L114" i="5"/>
  <c r="K114" i="5"/>
  <c r="J114" i="5"/>
  <c r="I114" i="5"/>
  <c r="L113" i="5"/>
  <c r="K113" i="5"/>
  <c r="J113" i="5"/>
  <c r="I113" i="5"/>
  <c r="L112" i="5"/>
  <c r="K112" i="5"/>
  <c r="J112" i="5"/>
  <c r="I112" i="5"/>
  <c r="L111" i="5"/>
  <c r="K111" i="5"/>
  <c r="J111" i="5"/>
  <c r="I111" i="5"/>
  <c r="L110" i="5"/>
  <c r="K110" i="5"/>
  <c r="J110" i="5"/>
  <c r="I110" i="5"/>
  <c r="L109" i="5"/>
  <c r="K109" i="5"/>
  <c r="J109" i="5"/>
  <c r="I109" i="5"/>
  <c r="L108" i="5"/>
  <c r="K108" i="5"/>
  <c r="J108" i="5"/>
  <c r="I108" i="5"/>
  <c r="L107" i="5"/>
  <c r="K107" i="5"/>
  <c r="J107" i="5"/>
  <c r="I107" i="5"/>
  <c r="L106" i="5"/>
  <c r="K106" i="5"/>
  <c r="J106" i="5"/>
  <c r="I106" i="5"/>
  <c r="L105" i="5"/>
  <c r="K105" i="5"/>
  <c r="J105" i="5"/>
  <c r="I105" i="5"/>
  <c r="L104" i="5"/>
  <c r="K104" i="5"/>
  <c r="J104" i="5"/>
  <c r="I104" i="5"/>
  <c r="L103" i="5"/>
  <c r="K103" i="5"/>
  <c r="J103" i="5"/>
  <c r="I103" i="5"/>
  <c r="L102" i="5"/>
  <c r="K102" i="5"/>
  <c r="J102" i="5"/>
  <c r="I102" i="5"/>
  <c r="L101" i="5"/>
  <c r="K101" i="5"/>
  <c r="J101" i="5"/>
  <c r="I101" i="5"/>
  <c r="L100" i="5"/>
  <c r="K100" i="5"/>
  <c r="J100" i="5"/>
  <c r="I100" i="5"/>
  <c r="L99" i="5"/>
  <c r="K99" i="5"/>
  <c r="J99" i="5"/>
  <c r="I99" i="5"/>
  <c r="L98" i="5"/>
  <c r="K98" i="5"/>
  <c r="J98" i="5"/>
  <c r="I98" i="5"/>
  <c r="L97" i="5"/>
  <c r="K97" i="5"/>
  <c r="J97" i="5"/>
  <c r="I97" i="5"/>
  <c r="L96" i="5"/>
  <c r="K96" i="5"/>
  <c r="J96" i="5"/>
  <c r="I96" i="5"/>
  <c r="L95" i="5"/>
  <c r="K95" i="5"/>
  <c r="J95" i="5"/>
  <c r="I95" i="5"/>
  <c r="L94" i="5"/>
  <c r="K94" i="5"/>
  <c r="J94" i="5"/>
  <c r="I94" i="5"/>
  <c r="L93" i="5"/>
  <c r="K93" i="5"/>
  <c r="J93" i="5"/>
  <c r="I93" i="5"/>
  <c r="L92" i="5"/>
  <c r="K92" i="5"/>
  <c r="J92" i="5"/>
  <c r="I92" i="5"/>
  <c r="L91" i="5"/>
  <c r="K91" i="5"/>
  <c r="J91" i="5"/>
  <c r="I91" i="5"/>
  <c r="L90" i="5"/>
  <c r="K90" i="5"/>
  <c r="J90" i="5"/>
  <c r="I90" i="5"/>
  <c r="L89" i="5"/>
  <c r="K89" i="5"/>
  <c r="J89" i="5"/>
  <c r="I89" i="5"/>
  <c r="L88" i="5"/>
  <c r="K88" i="5"/>
  <c r="J88" i="5"/>
  <c r="I88" i="5"/>
  <c r="L87" i="5"/>
  <c r="K87" i="5"/>
  <c r="J87" i="5"/>
  <c r="I87" i="5"/>
  <c r="L86" i="5"/>
  <c r="K86" i="5"/>
  <c r="J86" i="5"/>
  <c r="I86" i="5"/>
  <c r="L85" i="5"/>
  <c r="K85" i="5"/>
  <c r="J85" i="5"/>
  <c r="I85" i="5"/>
  <c r="L84" i="5"/>
  <c r="K84" i="5"/>
  <c r="J84" i="5"/>
  <c r="I84" i="5"/>
  <c r="L83" i="5"/>
  <c r="K83" i="5"/>
  <c r="J83" i="5"/>
  <c r="I83" i="5"/>
  <c r="L82" i="5"/>
  <c r="K82" i="5"/>
  <c r="J82" i="5"/>
  <c r="I82" i="5"/>
  <c r="L81" i="5"/>
  <c r="K81" i="5"/>
  <c r="J81" i="5"/>
  <c r="I81" i="5"/>
  <c r="L80" i="5"/>
  <c r="K80" i="5"/>
  <c r="J80" i="5"/>
  <c r="I80" i="5"/>
  <c r="L79" i="5"/>
  <c r="K79" i="5"/>
  <c r="J79" i="5"/>
  <c r="I79" i="5"/>
  <c r="L78" i="5"/>
  <c r="K78" i="5"/>
  <c r="J78" i="5"/>
  <c r="I78" i="5"/>
  <c r="L77" i="5"/>
  <c r="K77" i="5"/>
  <c r="J77" i="5"/>
  <c r="I77" i="5"/>
  <c r="L76" i="5"/>
  <c r="K76" i="5"/>
  <c r="J76" i="5"/>
  <c r="I76" i="5"/>
  <c r="L75" i="5"/>
  <c r="K75" i="5"/>
  <c r="J75" i="5"/>
  <c r="I75" i="5"/>
  <c r="L74" i="5"/>
  <c r="K74" i="5"/>
  <c r="J74" i="5"/>
  <c r="I74" i="5"/>
  <c r="L73" i="5"/>
  <c r="K73" i="5"/>
  <c r="J73" i="5"/>
  <c r="I73" i="5"/>
  <c r="L72" i="5"/>
  <c r="K72" i="5"/>
  <c r="J72" i="5"/>
  <c r="I72" i="5"/>
  <c r="L71" i="5"/>
  <c r="K71" i="5"/>
  <c r="J71" i="5"/>
  <c r="I71" i="5"/>
  <c r="L70" i="5"/>
  <c r="K70" i="5"/>
  <c r="J70" i="5"/>
  <c r="I70" i="5"/>
  <c r="L69" i="5"/>
  <c r="K69" i="5"/>
  <c r="J69" i="5"/>
  <c r="I69" i="5"/>
  <c r="L68" i="5"/>
  <c r="K68" i="5"/>
  <c r="J68" i="5"/>
  <c r="I68" i="5"/>
  <c r="L67" i="5"/>
  <c r="K67" i="5"/>
  <c r="J67" i="5"/>
  <c r="I67" i="5"/>
  <c r="L66" i="5"/>
  <c r="K66" i="5"/>
  <c r="J66" i="5"/>
  <c r="I66" i="5"/>
  <c r="L65" i="5"/>
  <c r="K65" i="5"/>
  <c r="J65" i="5"/>
  <c r="I65" i="5"/>
  <c r="L64" i="5"/>
  <c r="K64" i="5"/>
  <c r="J64" i="5"/>
  <c r="I64" i="5"/>
  <c r="L63" i="5"/>
  <c r="K63" i="5"/>
  <c r="J63" i="5"/>
  <c r="I63" i="5"/>
  <c r="L62" i="5"/>
  <c r="K62" i="5"/>
  <c r="J62" i="5"/>
  <c r="I62" i="5"/>
  <c r="L61" i="5"/>
  <c r="K61" i="5"/>
  <c r="J61" i="5"/>
  <c r="I61" i="5"/>
  <c r="L60" i="5"/>
  <c r="K60" i="5"/>
  <c r="J60" i="5"/>
  <c r="I60" i="5"/>
  <c r="L59" i="5"/>
  <c r="K59" i="5"/>
  <c r="J59" i="5"/>
  <c r="I59" i="5"/>
  <c r="L58" i="5"/>
  <c r="K58" i="5"/>
  <c r="J58" i="5"/>
  <c r="I58" i="5"/>
  <c r="L57" i="5"/>
  <c r="K57" i="5"/>
  <c r="J57" i="5"/>
  <c r="I57" i="5"/>
  <c r="L56" i="5"/>
  <c r="K56" i="5"/>
  <c r="J56" i="5"/>
  <c r="I56" i="5"/>
  <c r="L55" i="5"/>
  <c r="K55" i="5"/>
  <c r="J55" i="5"/>
  <c r="I55" i="5"/>
  <c r="L54" i="5"/>
  <c r="K54" i="5"/>
  <c r="J54" i="5"/>
  <c r="I54" i="5"/>
  <c r="L53" i="5"/>
  <c r="K53" i="5"/>
  <c r="J53" i="5"/>
  <c r="I53" i="5"/>
  <c r="L52" i="5"/>
  <c r="K52" i="5"/>
  <c r="J52" i="5"/>
  <c r="I52" i="5"/>
  <c r="L51" i="5"/>
  <c r="K51" i="5"/>
  <c r="J51" i="5"/>
  <c r="I51" i="5"/>
  <c r="L50" i="5"/>
  <c r="K50" i="5"/>
  <c r="J50" i="5"/>
  <c r="I50" i="5"/>
  <c r="L49" i="5"/>
  <c r="K49" i="5"/>
  <c r="J49" i="5"/>
  <c r="I49" i="5"/>
  <c r="L48" i="5"/>
  <c r="K48" i="5"/>
  <c r="J48" i="5"/>
  <c r="I48" i="5"/>
  <c r="L47" i="5"/>
  <c r="K47" i="5"/>
  <c r="J47" i="5"/>
  <c r="I47" i="5"/>
  <c r="L46" i="5"/>
  <c r="K46" i="5"/>
  <c r="J46" i="5"/>
  <c r="I46" i="5"/>
  <c r="L45" i="5"/>
  <c r="K45" i="5"/>
  <c r="J45" i="5"/>
  <c r="I45" i="5"/>
  <c r="L44" i="5"/>
  <c r="K44" i="5"/>
  <c r="J44" i="5"/>
  <c r="I44" i="5"/>
  <c r="L43" i="5"/>
  <c r="K43" i="5"/>
  <c r="J43" i="5"/>
  <c r="I43" i="5"/>
  <c r="L42" i="5"/>
  <c r="K42" i="5"/>
  <c r="J42" i="5"/>
  <c r="I42" i="5"/>
  <c r="L41" i="5"/>
  <c r="K41" i="5"/>
  <c r="J41" i="5"/>
  <c r="I41" i="5"/>
  <c r="L40" i="5"/>
  <c r="K40" i="5"/>
  <c r="J40" i="5"/>
  <c r="I40" i="5"/>
  <c r="L39" i="5"/>
  <c r="K39" i="5"/>
  <c r="J39" i="5"/>
  <c r="I39" i="5"/>
  <c r="L38" i="5"/>
  <c r="K38" i="5"/>
  <c r="J38" i="5"/>
  <c r="I38" i="5"/>
  <c r="L37" i="5"/>
  <c r="K37" i="5"/>
  <c r="J37" i="5"/>
  <c r="I37" i="5"/>
  <c r="L36" i="5"/>
  <c r="K36" i="5"/>
  <c r="J36" i="5"/>
  <c r="I36" i="5"/>
  <c r="L35" i="5"/>
  <c r="K35" i="5"/>
  <c r="J35" i="5"/>
  <c r="I35" i="5"/>
  <c r="L34" i="5"/>
  <c r="K34" i="5"/>
  <c r="J34" i="5"/>
  <c r="I34" i="5"/>
  <c r="L33" i="5"/>
  <c r="K33" i="5"/>
  <c r="J33" i="5"/>
  <c r="I33" i="5"/>
  <c r="L32" i="5"/>
  <c r="K32" i="5"/>
  <c r="J32" i="5"/>
  <c r="I32" i="5"/>
  <c r="L31" i="5"/>
  <c r="K31" i="5"/>
  <c r="J31" i="5"/>
  <c r="I31" i="5"/>
  <c r="L30" i="5"/>
  <c r="K30" i="5"/>
  <c r="J30" i="5"/>
  <c r="I30" i="5"/>
  <c r="L29" i="5"/>
  <c r="K29" i="5"/>
  <c r="J29" i="5"/>
  <c r="I29" i="5"/>
  <c r="L28" i="5"/>
  <c r="K28" i="5"/>
  <c r="J28" i="5"/>
  <c r="I28" i="5"/>
  <c r="L27" i="5"/>
  <c r="K27" i="5"/>
  <c r="J27" i="5"/>
  <c r="I27" i="5"/>
  <c r="L26" i="5"/>
  <c r="K26" i="5"/>
  <c r="J26" i="5"/>
  <c r="I26" i="5"/>
  <c r="L25" i="5"/>
  <c r="K25" i="5"/>
  <c r="J25" i="5"/>
  <c r="I25" i="5"/>
  <c r="L24" i="5"/>
  <c r="K24" i="5"/>
  <c r="J24" i="5"/>
  <c r="I24" i="5"/>
  <c r="L23" i="5"/>
  <c r="K23" i="5"/>
  <c r="J23" i="5"/>
  <c r="I23" i="5"/>
  <c r="L22" i="5"/>
  <c r="K22" i="5"/>
  <c r="J22" i="5"/>
  <c r="I22" i="5"/>
  <c r="L21" i="5"/>
  <c r="K21" i="5"/>
  <c r="J21" i="5"/>
  <c r="I21" i="5"/>
  <c r="L20" i="5"/>
  <c r="K20" i="5"/>
  <c r="J20" i="5"/>
  <c r="I20" i="5"/>
  <c r="L19" i="5"/>
  <c r="K19" i="5"/>
  <c r="J19" i="5"/>
  <c r="I19" i="5"/>
  <c r="L18" i="5"/>
  <c r="K18" i="5"/>
  <c r="J18" i="5"/>
  <c r="I18" i="5"/>
  <c r="L17" i="5"/>
  <c r="K17" i="5"/>
  <c r="J17" i="5"/>
  <c r="I17" i="5"/>
  <c r="L16" i="5"/>
  <c r="K16" i="5"/>
  <c r="J16" i="5"/>
  <c r="I16" i="5"/>
  <c r="L15" i="5"/>
  <c r="K15" i="5"/>
  <c r="J15" i="5"/>
  <c r="I15" i="5"/>
  <c r="L14" i="5"/>
  <c r="K14" i="5"/>
  <c r="J14" i="5"/>
  <c r="I14" i="5"/>
  <c r="L13" i="5"/>
  <c r="K13" i="5"/>
  <c r="J13" i="5"/>
  <c r="I13" i="5"/>
  <c r="L12" i="5"/>
  <c r="K12" i="5"/>
  <c r="J12" i="5"/>
  <c r="I12" i="5"/>
  <c r="L11" i="5"/>
  <c r="K11" i="5"/>
  <c r="J11" i="5"/>
  <c r="I11" i="5"/>
  <c r="L10" i="5"/>
  <c r="K10" i="5"/>
  <c r="J10" i="5"/>
  <c r="I10" i="5"/>
  <c r="L9" i="5"/>
  <c r="K9" i="5"/>
  <c r="J9" i="5"/>
  <c r="I9" i="5"/>
  <c r="L8" i="5"/>
  <c r="K8" i="5"/>
  <c r="J8" i="5"/>
  <c r="I8" i="5"/>
  <c r="L7" i="5"/>
  <c r="K7" i="5"/>
  <c r="J7" i="5"/>
  <c r="I7" i="5"/>
  <c r="L6" i="5"/>
  <c r="K6" i="5"/>
  <c r="J6" i="5"/>
  <c r="I6" i="5"/>
  <c r="L5" i="5"/>
  <c r="K5" i="5"/>
  <c r="J5" i="5"/>
  <c r="I5" i="5"/>
  <c r="L4" i="5"/>
  <c r="K4" i="5"/>
  <c r="J4" i="5"/>
  <c r="I4" i="5"/>
  <c r="L3" i="5"/>
  <c r="K3" i="5"/>
  <c r="J3" i="5"/>
  <c r="I3" i="5"/>
  <c r="L2" i="5"/>
  <c r="K2" i="5"/>
  <c r="J2" i="5"/>
  <c r="I2" i="5"/>
  <c r="L261" i="4"/>
  <c r="K261" i="4"/>
  <c r="J261" i="4"/>
  <c r="I261" i="4"/>
  <c r="L260" i="4"/>
  <c r="K260" i="4"/>
  <c r="J260" i="4"/>
  <c r="I260" i="4"/>
  <c r="L259" i="4"/>
  <c r="K259" i="4"/>
  <c r="J259" i="4"/>
  <c r="I259" i="4"/>
  <c r="L258" i="4"/>
  <c r="K258" i="4"/>
  <c r="J258" i="4"/>
  <c r="I258" i="4"/>
  <c r="L257" i="4"/>
  <c r="K257" i="4"/>
  <c r="J257" i="4"/>
  <c r="I257" i="4"/>
  <c r="L256" i="4"/>
  <c r="K256" i="4"/>
  <c r="J256" i="4"/>
  <c r="I256" i="4"/>
  <c r="L255" i="4"/>
  <c r="K255" i="4"/>
  <c r="J255" i="4"/>
  <c r="I255" i="4"/>
  <c r="L254" i="4"/>
  <c r="K254" i="4"/>
  <c r="J254" i="4"/>
  <c r="I254" i="4"/>
  <c r="L253" i="4"/>
  <c r="K253" i="4"/>
  <c r="J253" i="4"/>
  <c r="I253" i="4"/>
  <c r="L252" i="4"/>
  <c r="K252" i="4"/>
  <c r="J252" i="4"/>
  <c r="I252" i="4"/>
  <c r="L251" i="4"/>
  <c r="K251" i="4"/>
  <c r="J251" i="4"/>
  <c r="I251" i="4"/>
  <c r="L250" i="4"/>
  <c r="K250" i="4"/>
  <c r="J250" i="4"/>
  <c r="I250" i="4"/>
  <c r="L249" i="4"/>
  <c r="K249" i="4"/>
  <c r="J249" i="4"/>
  <c r="I249" i="4"/>
  <c r="L248" i="4"/>
  <c r="K248" i="4"/>
  <c r="J248" i="4"/>
  <c r="I248" i="4"/>
  <c r="L247" i="4"/>
  <c r="K247" i="4"/>
  <c r="J247" i="4"/>
  <c r="I247" i="4"/>
  <c r="L246" i="4"/>
  <c r="K246" i="4"/>
  <c r="J246" i="4"/>
  <c r="I246" i="4"/>
  <c r="L245" i="4"/>
  <c r="K245" i="4"/>
  <c r="J245" i="4"/>
  <c r="I245" i="4"/>
  <c r="L244" i="4"/>
  <c r="K244" i="4"/>
  <c r="J244" i="4"/>
  <c r="I244" i="4"/>
  <c r="L243" i="4"/>
  <c r="K243" i="4"/>
  <c r="J243" i="4"/>
  <c r="I243" i="4"/>
  <c r="L242" i="4"/>
  <c r="K242" i="4"/>
  <c r="J242" i="4"/>
  <c r="I242" i="4"/>
  <c r="L241" i="4"/>
  <c r="K241" i="4"/>
  <c r="J241" i="4"/>
  <c r="I241" i="4"/>
  <c r="L240" i="4"/>
  <c r="K240" i="4"/>
  <c r="J240" i="4"/>
  <c r="I240" i="4"/>
  <c r="L239" i="4"/>
  <c r="K239" i="4"/>
  <c r="J239" i="4"/>
  <c r="I239" i="4"/>
  <c r="L238" i="4"/>
  <c r="K238" i="4"/>
  <c r="J238" i="4"/>
  <c r="I238" i="4"/>
  <c r="L237" i="4"/>
  <c r="K237" i="4"/>
  <c r="J237" i="4"/>
  <c r="I237" i="4"/>
  <c r="L236" i="4"/>
  <c r="K236" i="4"/>
  <c r="J236" i="4"/>
  <c r="I236" i="4"/>
  <c r="L235" i="4"/>
  <c r="K235" i="4"/>
  <c r="J235" i="4"/>
  <c r="I235" i="4"/>
  <c r="L234" i="4"/>
  <c r="K234" i="4"/>
  <c r="J234" i="4"/>
  <c r="I234" i="4"/>
  <c r="L233" i="4"/>
  <c r="K233" i="4"/>
  <c r="J233" i="4"/>
  <c r="I233" i="4"/>
  <c r="L232" i="4"/>
  <c r="K232" i="4"/>
  <c r="J232" i="4"/>
  <c r="I232" i="4"/>
  <c r="L231" i="4"/>
  <c r="K231" i="4"/>
  <c r="J231" i="4"/>
  <c r="I231" i="4"/>
  <c r="L230" i="4"/>
  <c r="K230" i="4"/>
  <c r="J230" i="4"/>
  <c r="I230" i="4"/>
  <c r="L229" i="4"/>
  <c r="K229" i="4"/>
  <c r="J229" i="4"/>
  <c r="I229" i="4"/>
  <c r="L228" i="4"/>
  <c r="K228" i="4"/>
  <c r="J228" i="4"/>
  <c r="I228" i="4"/>
  <c r="L227" i="4"/>
  <c r="K227" i="4"/>
  <c r="J227" i="4"/>
  <c r="I227" i="4"/>
  <c r="L226" i="4"/>
  <c r="K226" i="4"/>
  <c r="J226" i="4"/>
  <c r="I226" i="4"/>
  <c r="L225" i="4"/>
  <c r="K225" i="4"/>
  <c r="J225" i="4"/>
  <c r="I225" i="4"/>
  <c r="L224" i="4"/>
  <c r="K224" i="4"/>
  <c r="J224" i="4"/>
  <c r="I224" i="4"/>
  <c r="L223" i="4"/>
  <c r="K223" i="4"/>
  <c r="J223" i="4"/>
  <c r="I223" i="4"/>
  <c r="L222" i="4"/>
  <c r="K222" i="4"/>
  <c r="J222" i="4"/>
  <c r="I222" i="4"/>
  <c r="L221" i="4"/>
  <c r="K221" i="4"/>
  <c r="J221" i="4"/>
  <c r="I221" i="4"/>
  <c r="L220" i="4"/>
  <c r="K220" i="4"/>
  <c r="J220" i="4"/>
  <c r="I220" i="4"/>
  <c r="L219" i="4"/>
  <c r="K219" i="4"/>
  <c r="J219" i="4"/>
  <c r="I219" i="4"/>
  <c r="L218" i="4"/>
  <c r="K218" i="4"/>
  <c r="J218" i="4"/>
  <c r="I218" i="4"/>
  <c r="L217" i="4"/>
  <c r="K217" i="4"/>
  <c r="J217" i="4"/>
  <c r="I217" i="4"/>
  <c r="L216" i="4"/>
  <c r="K216" i="4"/>
  <c r="J216" i="4"/>
  <c r="I216" i="4"/>
  <c r="L215" i="4"/>
  <c r="K215" i="4"/>
  <c r="J215" i="4"/>
  <c r="I215" i="4"/>
  <c r="L214" i="4"/>
  <c r="K214" i="4"/>
  <c r="J214" i="4"/>
  <c r="I214" i="4"/>
  <c r="L213" i="4"/>
  <c r="K213" i="4"/>
  <c r="J213" i="4"/>
  <c r="I213" i="4"/>
  <c r="L212" i="4"/>
  <c r="K212" i="4"/>
  <c r="J212" i="4"/>
  <c r="I212" i="4"/>
  <c r="L211" i="4"/>
  <c r="K211" i="4"/>
  <c r="J211" i="4"/>
  <c r="I211" i="4"/>
  <c r="L210" i="4"/>
  <c r="K210" i="4"/>
  <c r="J210" i="4"/>
  <c r="I210" i="4"/>
  <c r="L209" i="4"/>
  <c r="K209" i="4"/>
  <c r="J209" i="4"/>
  <c r="I209" i="4"/>
  <c r="L208" i="4"/>
  <c r="K208" i="4"/>
  <c r="J208" i="4"/>
  <c r="I208" i="4"/>
  <c r="L207" i="4"/>
  <c r="K207" i="4"/>
  <c r="J207" i="4"/>
  <c r="I207" i="4"/>
  <c r="L206" i="4"/>
  <c r="K206" i="4"/>
  <c r="J206" i="4"/>
  <c r="I206" i="4"/>
  <c r="L205" i="4"/>
  <c r="K205" i="4"/>
  <c r="J205" i="4"/>
  <c r="I205" i="4"/>
  <c r="L204" i="4"/>
  <c r="K204" i="4"/>
  <c r="J204" i="4"/>
  <c r="I204" i="4"/>
  <c r="L203" i="4"/>
  <c r="K203" i="4"/>
  <c r="J203" i="4"/>
  <c r="I203" i="4"/>
  <c r="L202" i="4"/>
  <c r="K202" i="4"/>
  <c r="J202" i="4"/>
  <c r="I202" i="4"/>
  <c r="L201" i="4"/>
  <c r="K201" i="4"/>
  <c r="J201" i="4"/>
  <c r="I201" i="4"/>
  <c r="L200" i="4"/>
  <c r="K200" i="4"/>
  <c r="J200" i="4"/>
  <c r="I200" i="4"/>
  <c r="L199" i="4"/>
  <c r="K199" i="4"/>
  <c r="J199" i="4"/>
  <c r="I199" i="4"/>
  <c r="L198" i="4"/>
  <c r="K198" i="4"/>
  <c r="J198" i="4"/>
  <c r="I198" i="4"/>
  <c r="L197" i="4"/>
  <c r="K197" i="4"/>
  <c r="J197" i="4"/>
  <c r="I197" i="4"/>
  <c r="L196" i="4"/>
  <c r="K196" i="4"/>
  <c r="J196" i="4"/>
  <c r="I196" i="4"/>
  <c r="L195" i="4"/>
  <c r="K195" i="4"/>
  <c r="J195" i="4"/>
  <c r="I195" i="4"/>
  <c r="L194" i="4"/>
  <c r="K194" i="4"/>
  <c r="J194" i="4"/>
  <c r="I194" i="4"/>
  <c r="L193" i="4"/>
  <c r="K193" i="4"/>
  <c r="J193" i="4"/>
  <c r="I193" i="4"/>
  <c r="L192" i="4"/>
  <c r="K192" i="4"/>
  <c r="J192" i="4"/>
  <c r="I192" i="4"/>
  <c r="L191" i="4"/>
  <c r="K191" i="4"/>
  <c r="J191" i="4"/>
  <c r="I191" i="4"/>
  <c r="L190" i="4"/>
  <c r="K190" i="4"/>
  <c r="J190" i="4"/>
  <c r="I190" i="4"/>
  <c r="L189" i="4"/>
  <c r="K189" i="4"/>
  <c r="J189" i="4"/>
  <c r="I189" i="4"/>
  <c r="L188" i="4"/>
  <c r="K188" i="4"/>
  <c r="J188" i="4"/>
  <c r="I188" i="4"/>
  <c r="L187" i="4"/>
  <c r="K187" i="4"/>
  <c r="J187" i="4"/>
  <c r="I187" i="4"/>
  <c r="L186" i="4"/>
  <c r="K186" i="4"/>
  <c r="J186" i="4"/>
  <c r="I186" i="4"/>
  <c r="L185" i="4"/>
  <c r="K185" i="4"/>
  <c r="J185" i="4"/>
  <c r="I185" i="4"/>
  <c r="L184" i="4"/>
  <c r="K184" i="4"/>
  <c r="J184" i="4"/>
  <c r="I184" i="4"/>
  <c r="L183" i="4"/>
  <c r="K183" i="4"/>
  <c r="J183" i="4"/>
  <c r="I183" i="4"/>
  <c r="L182" i="4"/>
  <c r="K182" i="4"/>
  <c r="J182" i="4"/>
  <c r="I182" i="4"/>
  <c r="L181" i="4"/>
  <c r="K181" i="4"/>
  <c r="J181" i="4"/>
  <c r="I181" i="4"/>
  <c r="L180" i="4"/>
  <c r="K180" i="4"/>
  <c r="J180" i="4"/>
  <c r="I180" i="4"/>
  <c r="L179" i="4"/>
  <c r="K179" i="4"/>
  <c r="J179" i="4"/>
  <c r="I179" i="4"/>
  <c r="L178" i="4"/>
  <c r="K178" i="4"/>
  <c r="J178" i="4"/>
  <c r="I178" i="4"/>
  <c r="L177" i="4"/>
  <c r="K177" i="4"/>
  <c r="J177" i="4"/>
  <c r="I177" i="4"/>
  <c r="L176" i="4"/>
  <c r="K176" i="4"/>
  <c r="J176" i="4"/>
  <c r="I176" i="4"/>
  <c r="L175" i="4"/>
  <c r="K175" i="4"/>
  <c r="J175" i="4"/>
  <c r="I175" i="4"/>
  <c r="L174" i="4"/>
  <c r="K174" i="4"/>
  <c r="J174" i="4"/>
  <c r="I174" i="4"/>
  <c r="L173" i="4"/>
  <c r="K173" i="4"/>
  <c r="J173" i="4"/>
  <c r="I173" i="4"/>
  <c r="L172" i="4"/>
  <c r="K172" i="4"/>
  <c r="J172" i="4"/>
  <c r="I172" i="4"/>
  <c r="L171" i="4"/>
  <c r="K171" i="4"/>
  <c r="J171" i="4"/>
  <c r="I171" i="4"/>
  <c r="L170" i="4"/>
  <c r="K170" i="4"/>
  <c r="J170" i="4"/>
  <c r="I170" i="4"/>
  <c r="L169" i="4"/>
  <c r="K169" i="4"/>
  <c r="J169" i="4"/>
  <c r="I169" i="4"/>
  <c r="L168" i="4"/>
  <c r="K168" i="4"/>
  <c r="J168" i="4"/>
  <c r="I168" i="4"/>
  <c r="L167" i="4"/>
  <c r="K167" i="4"/>
  <c r="J167" i="4"/>
  <c r="I167" i="4"/>
  <c r="L166" i="4"/>
  <c r="K166" i="4"/>
  <c r="J166" i="4"/>
  <c r="I166" i="4"/>
  <c r="L165" i="4"/>
  <c r="K165" i="4"/>
  <c r="J165" i="4"/>
  <c r="I165" i="4"/>
  <c r="L164" i="4"/>
  <c r="K164" i="4"/>
  <c r="J164" i="4"/>
  <c r="I164" i="4"/>
  <c r="L163" i="4"/>
  <c r="K163" i="4"/>
  <c r="J163" i="4"/>
  <c r="I163" i="4"/>
  <c r="L162" i="4"/>
  <c r="K162" i="4"/>
  <c r="J162" i="4"/>
  <c r="I162" i="4"/>
  <c r="L161" i="4"/>
  <c r="K161" i="4"/>
  <c r="J161" i="4"/>
  <c r="I161" i="4"/>
  <c r="L160" i="4"/>
  <c r="K160" i="4"/>
  <c r="J160" i="4"/>
  <c r="I160" i="4"/>
  <c r="L159" i="4"/>
  <c r="K159" i="4"/>
  <c r="J159" i="4"/>
  <c r="I159" i="4"/>
  <c r="L158" i="4"/>
  <c r="K158" i="4"/>
  <c r="J158" i="4"/>
  <c r="I158" i="4"/>
  <c r="L157" i="4"/>
  <c r="K157" i="4"/>
  <c r="J157" i="4"/>
  <c r="I157" i="4"/>
  <c r="L156" i="4"/>
  <c r="K156" i="4"/>
  <c r="J156" i="4"/>
  <c r="I156" i="4"/>
  <c r="L155" i="4"/>
  <c r="K155" i="4"/>
  <c r="J155" i="4"/>
  <c r="I155" i="4"/>
  <c r="L154" i="4"/>
  <c r="K154" i="4"/>
  <c r="J154" i="4"/>
  <c r="I154" i="4"/>
  <c r="L153" i="4"/>
  <c r="K153" i="4"/>
  <c r="J153" i="4"/>
  <c r="I153" i="4"/>
  <c r="L152" i="4"/>
  <c r="K152" i="4"/>
  <c r="J152" i="4"/>
  <c r="I152" i="4"/>
  <c r="L151" i="4"/>
  <c r="K151" i="4"/>
  <c r="J151" i="4"/>
  <c r="I151" i="4"/>
  <c r="L150" i="4"/>
  <c r="K150" i="4"/>
  <c r="J150" i="4"/>
  <c r="I150" i="4"/>
  <c r="L149" i="4"/>
  <c r="K149" i="4"/>
  <c r="J149" i="4"/>
  <c r="I149" i="4"/>
  <c r="L148" i="4"/>
  <c r="K148" i="4"/>
  <c r="J148" i="4"/>
  <c r="I148" i="4"/>
  <c r="L147" i="4"/>
  <c r="K147" i="4"/>
  <c r="J147" i="4"/>
  <c r="I147" i="4"/>
  <c r="L146" i="4"/>
  <c r="K146" i="4"/>
  <c r="J146" i="4"/>
  <c r="I146" i="4"/>
  <c r="L145" i="4"/>
  <c r="K145" i="4"/>
  <c r="J145" i="4"/>
  <c r="I145" i="4"/>
  <c r="L144" i="4"/>
  <c r="K144" i="4"/>
  <c r="J144" i="4"/>
  <c r="I144" i="4"/>
  <c r="L143" i="4"/>
  <c r="K143" i="4"/>
  <c r="J143" i="4"/>
  <c r="I143" i="4"/>
  <c r="L142" i="4"/>
  <c r="K142" i="4"/>
  <c r="J142" i="4"/>
  <c r="I142" i="4"/>
  <c r="L141" i="4"/>
  <c r="K141" i="4"/>
  <c r="J141" i="4"/>
  <c r="I141" i="4"/>
  <c r="L140" i="4"/>
  <c r="K140" i="4"/>
  <c r="J140" i="4"/>
  <c r="I140" i="4"/>
  <c r="L139" i="4"/>
  <c r="K139" i="4"/>
  <c r="J139" i="4"/>
  <c r="I139" i="4"/>
  <c r="L138" i="4"/>
  <c r="K138" i="4"/>
  <c r="J138" i="4"/>
  <c r="I138" i="4"/>
  <c r="L137" i="4"/>
  <c r="K137" i="4"/>
  <c r="J137" i="4"/>
  <c r="I137" i="4"/>
  <c r="L136" i="4"/>
  <c r="K136" i="4"/>
  <c r="J136" i="4"/>
  <c r="I136" i="4"/>
  <c r="L135" i="4"/>
  <c r="K135" i="4"/>
  <c r="J135" i="4"/>
  <c r="I135" i="4"/>
  <c r="L134" i="4"/>
  <c r="K134" i="4"/>
  <c r="J134" i="4"/>
  <c r="I134" i="4"/>
  <c r="L133" i="4"/>
  <c r="K133" i="4"/>
  <c r="J133" i="4"/>
  <c r="I133" i="4"/>
  <c r="L132" i="4"/>
  <c r="K132" i="4"/>
  <c r="J132" i="4"/>
  <c r="I132" i="4"/>
  <c r="L131" i="4"/>
  <c r="K131" i="4"/>
  <c r="J131" i="4"/>
  <c r="I131" i="4"/>
  <c r="L130" i="4"/>
  <c r="K130" i="4"/>
  <c r="J130" i="4"/>
  <c r="I130" i="4"/>
  <c r="L129" i="4"/>
  <c r="K129" i="4"/>
  <c r="J129" i="4"/>
  <c r="I129" i="4"/>
  <c r="L128" i="4"/>
  <c r="K128" i="4"/>
  <c r="J128" i="4"/>
  <c r="I128" i="4"/>
  <c r="L127" i="4"/>
  <c r="K127" i="4"/>
  <c r="J127" i="4"/>
  <c r="I127" i="4"/>
  <c r="L126" i="4"/>
  <c r="K126" i="4"/>
  <c r="J126" i="4"/>
  <c r="I126" i="4"/>
  <c r="L125" i="4"/>
  <c r="K125" i="4"/>
  <c r="J125" i="4"/>
  <c r="I125" i="4"/>
  <c r="L124" i="4"/>
  <c r="K124" i="4"/>
  <c r="J124" i="4"/>
  <c r="I124" i="4"/>
  <c r="L123" i="4"/>
  <c r="K123" i="4"/>
  <c r="J123" i="4"/>
  <c r="I123" i="4"/>
  <c r="L122" i="4"/>
  <c r="K122" i="4"/>
  <c r="J122" i="4"/>
  <c r="I122" i="4"/>
  <c r="L121" i="4"/>
  <c r="K121" i="4"/>
  <c r="J121" i="4"/>
  <c r="I121" i="4"/>
  <c r="L120" i="4"/>
  <c r="K120" i="4"/>
  <c r="J120" i="4"/>
  <c r="I120" i="4"/>
  <c r="L119" i="4"/>
  <c r="K119" i="4"/>
  <c r="J119" i="4"/>
  <c r="I119" i="4"/>
  <c r="L118" i="4"/>
  <c r="K118" i="4"/>
  <c r="J118" i="4"/>
  <c r="I118" i="4"/>
  <c r="L117" i="4"/>
  <c r="K117" i="4"/>
  <c r="J117" i="4"/>
  <c r="I117" i="4"/>
  <c r="L116" i="4"/>
  <c r="K116" i="4"/>
  <c r="J116" i="4"/>
  <c r="I116" i="4"/>
  <c r="L115" i="4"/>
  <c r="K115" i="4"/>
  <c r="J115" i="4"/>
  <c r="I115" i="4"/>
  <c r="L114" i="4"/>
  <c r="K114" i="4"/>
  <c r="J114" i="4"/>
  <c r="I114" i="4"/>
  <c r="L113" i="4"/>
  <c r="K113" i="4"/>
  <c r="J113" i="4"/>
  <c r="I113" i="4"/>
  <c r="L112" i="4"/>
  <c r="K112" i="4"/>
  <c r="J112" i="4"/>
  <c r="I112" i="4"/>
  <c r="L111" i="4"/>
  <c r="K111" i="4"/>
  <c r="J111" i="4"/>
  <c r="I111" i="4"/>
  <c r="L110" i="4"/>
  <c r="K110" i="4"/>
  <c r="J110" i="4"/>
  <c r="I110" i="4"/>
  <c r="L109" i="4"/>
  <c r="K109" i="4"/>
  <c r="J109" i="4"/>
  <c r="I109" i="4"/>
  <c r="L108" i="4"/>
  <c r="K108" i="4"/>
  <c r="J108" i="4"/>
  <c r="I108" i="4"/>
  <c r="L107" i="4"/>
  <c r="K107" i="4"/>
  <c r="J107" i="4"/>
  <c r="I107" i="4"/>
  <c r="L106" i="4"/>
  <c r="K106" i="4"/>
  <c r="J106" i="4"/>
  <c r="I106" i="4"/>
  <c r="L105" i="4"/>
  <c r="K105" i="4"/>
  <c r="J105" i="4"/>
  <c r="I105" i="4"/>
  <c r="L104" i="4"/>
  <c r="K104" i="4"/>
  <c r="J104" i="4"/>
  <c r="I104" i="4"/>
  <c r="L103" i="4"/>
  <c r="K103" i="4"/>
  <c r="J103" i="4"/>
  <c r="I103" i="4"/>
  <c r="L102" i="4"/>
  <c r="K102" i="4"/>
  <c r="J102" i="4"/>
  <c r="I102" i="4"/>
  <c r="L101" i="4"/>
  <c r="K101" i="4"/>
  <c r="J101" i="4"/>
  <c r="I101" i="4"/>
  <c r="L100" i="4"/>
  <c r="K100" i="4"/>
  <c r="J100" i="4"/>
  <c r="I100" i="4"/>
  <c r="L99" i="4"/>
  <c r="K99" i="4"/>
  <c r="J99" i="4"/>
  <c r="I99" i="4"/>
  <c r="L98" i="4"/>
  <c r="K98" i="4"/>
  <c r="J98" i="4"/>
  <c r="I98" i="4"/>
  <c r="L97" i="4"/>
  <c r="K97" i="4"/>
  <c r="J97" i="4"/>
  <c r="I97" i="4"/>
  <c r="L96" i="4"/>
  <c r="K96" i="4"/>
  <c r="J96" i="4"/>
  <c r="I96" i="4"/>
  <c r="L95" i="4"/>
  <c r="K95" i="4"/>
  <c r="J95" i="4"/>
  <c r="I95" i="4"/>
  <c r="L94" i="4"/>
  <c r="K94" i="4"/>
  <c r="J94" i="4"/>
  <c r="I94" i="4"/>
  <c r="L93" i="4"/>
  <c r="K93" i="4"/>
  <c r="J93" i="4"/>
  <c r="I93" i="4"/>
  <c r="L92" i="4"/>
  <c r="K92" i="4"/>
  <c r="J92" i="4"/>
  <c r="I92" i="4"/>
  <c r="L91" i="4"/>
  <c r="K91" i="4"/>
  <c r="J91" i="4"/>
  <c r="I91" i="4"/>
  <c r="L90" i="4"/>
  <c r="K90" i="4"/>
  <c r="J90" i="4"/>
  <c r="I90" i="4"/>
  <c r="L89" i="4"/>
  <c r="K89" i="4"/>
  <c r="J89" i="4"/>
  <c r="I89" i="4"/>
  <c r="L88" i="4"/>
  <c r="K88" i="4"/>
  <c r="J88" i="4"/>
  <c r="I88" i="4"/>
  <c r="L87" i="4"/>
  <c r="K87" i="4"/>
  <c r="J87" i="4"/>
  <c r="I87" i="4"/>
  <c r="L86" i="4"/>
  <c r="K86" i="4"/>
  <c r="J86" i="4"/>
  <c r="I86" i="4"/>
  <c r="L85" i="4"/>
  <c r="K85" i="4"/>
  <c r="J85" i="4"/>
  <c r="I85" i="4"/>
  <c r="L84" i="4"/>
  <c r="K84" i="4"/>
  <c r="J84" i="4"/>
  <c r="I84" i="4"/>
  <c r="L83" i="4"/>
  <c r="K83" i="4"/>
  <c r="J83" i="4"/>
  <c r="I83" i="4"/>
  <c r="L82" i="4"/>
  <c r="K82" i="4"/>
  <c r="J82" i="4"/>
  <c r="I82" i="4"/>
  <c r="L81" i="4"/>
  <c r="K81" i="4"/>
  <c r="J81" i="4"/>
  <c r="I81" i="4"/>
  <c r="L80" i="4"/>
  <c r="K80" i="4"/>
  <c r="J80" i="4"/>
  <c r="I80" i="4"/>
  <c r="L79" i="4"/>
  <c r="K79" i="4"/>
  <c r="J79" i="4"/>
  <c r="I79" i="4"/>
  <c r="L78" i="4"/>
  <c r="K78" i="4"/>
  <c r="J78" i="4"/>
  <c r="I78" i="4"/>
  <c r="L77" i="4"/>
  <c r="K77" i="4"/>
  <c r="J77" i="4"/>
  <c r="I77" i="4"/>
  <c r="L76" i="4"/>
  <c r="K76" i="4"/>
  <c r="J76" i="4"/>
  <c r="I76" i="4"/>
  <c r="L75" i="4"/>
  <c r="K75" i="4"/>
  <c r="J75" i="4"/>
  <c r="I75" i="4"/>
  <c r="L74" i="4"/>
  <c r="K74" i="4"/>
  <c r="J74" i="4"/>
  <c r="I74" i="4"/>
  <c r="L73" i="4"/>
  <c r="K73" i="4"/>
  <c r="J73" i="4"/>
  <c r="I73" i="4"/>
  <c r="L72" i="4"/>
  <c r="K72" i="4"/>
  <c r="J72" i="4"/>
  <c r="I72" i="4"/>
  <c r="L71" i="4"/>
  <c r="K71" i="4"/>
  <c r="J71" i="4"/>
  <c r="I71" i="4"/>
  <c r="L70" i="4"/>
  <c r="K70" i="4"/>
  <c r="J70" i="4"/>
  <c r="I70" i="4"/>
  <c r="L69" i="4"/>
  <c r="K69" i="4"/>
  <c r="J69" i="4"/>
  <c r="I69" i="4"/>
  <c r="L68" i="4"/>
  <c r="K68" i="4"/>
  <c r="J68" i="4"/>
  <c r="I68" i="4"/>
  <c r="L67" i="4"/>
  <c r="K67" i="4"/>
  <c r="J67" i="4"/>
  <c r="I67" i="4"/>
  <c r="L66" i="4"/>
  <c r="K66" i="4"/>
  <c r="J66" i="4"/>
  <c r="I66" i="4"/>
  <c r="L65" i="4"/>
  <c r="K65" i="4"/>
  <c r="J65" i="4"/>
  <c r="I65" i="4"/>
  <c r="L64" i="4"/>
  <c r="K64" i="4"/>
  <c r="J64" i="4"/>
  <c r="I64" i="4"/>
  <c r="L63" i="4"/>
  <c r="K63" i="4"/>
  <c r="J63" i="4"/>
  <c r="I63" i="4"/>
  <c r="L62" i="4"/>
  <c r="K62" i="4"/>
  <c r="J62" i="4"/>
  <c r="I62" i="4"/>
  <c r="L61" i="4"/>
  <c r="K61" i="4"/>
  <c r="J61" i="4"/>
  <c r="I61" i="4"/>
  <c r="L60" i="4"/>
  <c r="K60" i="4"/>
  <c r="J60" i="4"/>
  <c r="I60" i="4"/>
  <c r="L59" i="4"/>
  <c r="K59" i="4"/>
  <c r="J59" i="4"/>
  <c r="I59" i="4"/>
  <c r="L58" i="4"/>
  <c r="K58" i="4"/>
  <c r="J58" i="4"/>
  <c r="I58" i="4"/>
  <c r="L57" i="4"/>
  <c r="K57" i="4"/>
  <c r="J57" i="4"/>
  <c r="I57" i="4"/>
  <c r="L56" i="4"/>
  <c r="K56" i="4"/>
  <c r="J56" i="4"/>
  <c r="I56" i="4"/>
  <c r="L55" i="4"/>
  <c r="K55" i="4"/>
  <c r="J55" i="4"/>
  <c r="I55" i="4"/>
  <c r="L54" i="4"/>
  <c r="K54" i="4"/>
  <c r="J54" i="4"/>
  <c r="I54" i="4"/>
  <c r="L53" i="4"/>
  <c r="K53" i="4"/>
  <c r="J53" i="4"/>
  <c r="I53" i="4"/>
  <c r="L52" i="4"/>
  <c r="K52" i="4"/>
  <c r="J52" i="4"/>
  <c r="I52" i="4"/>
  <c r="L51" i="4"/>
  <c r="K51" i="4"/>
  <c r="J51" i="4"/>
  <c r="I51" i="4"/>
  <c r="L50" i="4"/>
  <c r="K50" i="4"/>
  <c r="J50" i="4"/>
  <c r="I50" i="4"/>
  <c r="L49" i="4"/>
  <c r="K49" i="4"/>
  <c r="J49" i="4"/>
  <c r="I49" i="4"/>
  <c r="L48" i="4"/>
  <c r="K48" i="4"/>
  <c r="J48" i="4"/>
  <c r="I48" i="4"/>
  <c r="L47" i="4"/>
  <c r="K47" i="4"/>
  <c r="J47" i="4"/>
  <c r="I47" i="4"/>
  <c r="L46" i="4"/>
  <c r="K46" i="4"/>
  <c r="J46" i="4"/>
  <c r="I46" i="4"/>
  <c r="L45" i="4"/>
  <c r="K45" i="4"/>
  <c r="J45" i="4"/>
  <c r="I45" i="4"/>
  <c r="L44" i="4"/>
  <c r="K44" i="4"/>
  <c r="J44" i="4"/>
  <c r="I44" i="4"/>
  <c r="L43" i="4"/>
  <c r="K43" i="4"/>
  <c r="J43" i="4"/>
  <c r="I43" i="4"/>
  <c r="L42" i="4"/>
  <c r="K42" i="4"/>
  <c r="J42" i="4"/>
  <c r="I42" i="4"/>
  <c r="L41" i="4"/>
  <c r="K41" i="4"/>
  <c r="J41" i="4"/>
  <c r="I41" i="4"/>
  <c r="L40" i="4"/>
  <c r="K40" i="4"/>
  <c r="J40" i="4"/>
  <c r="I40" i="4"/>
  <c r="L39" i="4"/>
  <c r="K39" i="4"/>
  <c r="J39" i="4"/>
  <c r="I39" i="4"/>
  <c r="L38" i="4"/>
  <c r="K38" i="4"/>
  <c r="J38" i="4"/>
  <c r="I38" i="4"/>
  <c r="L37" i="4"/>
  <c r="K37" i="4"/>
  <c r="J37" i="4"/>
  <c r="I37" i="4"/>
  <c r="L36" i="4"/>
  <c r="K36" i="4"/>
  <c r="J36" i="4"/>
  <c r="I36" i="4"/>
  <c r="L35" i="4"/>
  <c r="K35" i="4"/>
  <c r="J35" i="4"/>
  <c r="I35" i="4"/>
  <c r="L34" i="4"/>
  <c r="K34" i="4"/>
  <c r="J34" i="4"/>
  <c r="I34" i="4"/>
  <c r="L33" i="4"/>
  <c r="K33" i="4"/>
  <c r="J33" i="4"/>
  <c r="I33" i="4"/>
  <c r="L32" i="4"/>
  <c r="K32" i="4"/>
  <c r="J32" i="4"/>
  <c r="I32" i="4"/>
  <c r="L31" i="4"/>
  <c r="K31" i="4"/>
  <c r="J31" i="4"/>
  <c r="I31" i="4"/>
  <c r="L30" i="4"/>
  <c r="K30" i="4"/>
  <c r="J30" i="4"/>
  <c r="I30" i="4"/>
  <c r="L29" i="4"/>
  <c r="K29" i="4"/>
  <c r="J29" i="4"/>
  <c r="I29" i="4"/>
  <c r="L28" i="4"/>
  <c r="K28" i="4"/>
  <c r="J28" i="4"/>
  <c r="I28" i="4"/>
  <c r="L27" i="4"/>
  <c r="K27" i="4"/>
  <c r="J27" i="4"/>
  <c r="I27" i="4"/>
  <c r="L26" i="4"/>
  <c r="K26" i="4"/>
  <c r="J26" i="4"/>
  <c r="I26" i="4"/>
  <c r="L25" i="4"/>
  <c r="K25" i="4"/>
  <c r="J25" i="4"/>
  <c r="I25" i="4"/>
  <c r="L24" i="4"/>
  <c r="K24" i="4"/>
  <c r="J24" i="4"/>
  <c r="I24" i="4"/>
  <c r="L23" i="4"/>
  <c r="K23" i="4"/>
  <c r="J23" i="4"/>
  <c r="I23" i="4"/>
  <c r="L22" i="4"/>
  <c r="K22" i="4"/>
  <c r="J22" i="4"/>
  <c r="I22" i="4"/>
  <c r="L21" i="4"/>
  <c r="K21" i="4"/>
  <c r="J21" i="4"/>
  <c r="I21" i="4"/>
  <c r="L20" i="4"/>
  <c r="K20" i="4"/>
  <c r="J20" i="4"/>
  <c r="I20" i="4"/>
  <c r="L19" i="4"/>
  <c r="K19" i="4"/>
  <c r="J19" i="4"/>
  <c r="I19" i="4"/>
  <c r="L18" i="4"/>
  <c r="K18" i="4"/>
  <c r="J18" i="4"/>
  <c r="I18" i="4"/>
  <c r="L17" i="4"/>
  <c r="K17" i="4"/>
  <c r="J17" i="4"/>
  <c r="I17" i="4"/>
  <c r="L16" i="4"/>
  <c r="K16" i="4"/>
  <c r="J16" i="4"/>
  <c r="I16" i="4"/>
  <c r="L15" i="4"/>
  <c r="K15" i="4"/>
  <c r="J15" i="4"/>
  <c r="I15" i="4"/>
  <c r="L14" i="4"/>
  <c r="K14" i="4"/>
  <c r="J14" i="4"/>
  <c r="I14" i="4"/>
  <c r="L13" i="4"/>
  <c r="K13" i="4"/>
  <c r="J13" i="4"/>
  <c r="I13" i="4"/>
  <c r="L12" i="4"/>
  <c r="K12" i="4"/>
  <c r="J12" i="4"/>
  <c r="I12" i="4"/>
  <c r="L11" i="4"/>
  <c r="K11" i="4"/>
  <c r="J11" i="4"/>
  <c r="I11" i="4"/>
  <c r="L10" i="4"/>
  <c r="K10" i="4"/>
  <c r="J10" i="4"/>
  <c r="I10" i="4"/>
  <c r="L9" i="4"/>
  <c r="K9" i="4"/>
  <c r="J9" i="4"/>
  <c r="I9" i="4"/>
  <c r="L8" i="4"/>
  <c r="K8" i="4"/>
  <c r="J8" i="4"/>
  <c r="I8" i="4"/>
  <c r="L7" i="4"/>
  <c r="K7" i="4"/>
  <c r="J7" i="4"/>
  <c r="I7" i="4"/>
  <c r="L6" i="4"/>
  <c r="K6" i="4"/>
  <c r="J6" i="4"/>
  <c r="I6" i="4"/>
  <c r="L5" i="4"/>
  <c r="K5" i="4"/>
  <c r="J5" i="4"/>
  <c r="I5" i="4"/>
  <c r="L4" i="4"/>
  <c r="K4" i="4"/>
  <c r="J4" i="4"/>
  <c r="I4" i="4"/>
  <c r="L3" i="4"/>
  <c r="K3" i="4"/>
  <c r="J3" i="4"/>
  <c r="I3" i="4"/>
  <c r="L2" i="4"/>
  <c r="K2" i="4"/>
  <c r="J2" i="4"/>
  <c r="I2" i="4"/>
  <c r="L301" i="3"/>
  <c r="K301" i="3"/>
  <c r="J301" i="3"/>
  <c r="I301" i="3"/>
  <c r="L300" i="3"/>
  <c r="K300" i="3"/>
  <c r="J300" i="3"/>
  <c r="I300" i="3"/>
  <c r="L299" i="3"/>
  <c r="K299" i="3"/>
  <c r="J299" i="3"/>
  <c r="I299" i="3"/>
  <c r="L298" i="3"/>
  <c r="K298" i="3"/>
  <c r="J298" i="3"/>
  <c r="I298" i="3"/>
  <c r="L297" i="3"/>
  <c r="K297" i="3"/>
  <c r="J297" i="3"/>
  <c r="I297" i="3"/>
  <c r="L296" i="3"/>
  <c r="K296" i="3"/>
  <c r="J296" i="3"/>
  <c r="I296" i="3"/>
  <c r="L295" i="3"/>
  <c r="K295" i="3"/>
  <c r="J295" i="3"/>
  <c r="I295" i="3"/>
  <c r="L294" i="3"/>
  <c r="K294" i="3"/>
  <c r="J294" i="3"/>
  <c r="I294" i="3"/>
  <c r="L293" i="3"/>
  <c r="K293" i="3"/>
  <c r="J293" i="3"/>
  <c r="I293" i="3"/>
  <c r="L292" i="3"/>
  <c r="K292" i="3"/>
  <c r="J292" i="3"/>
  <c r="I292" i="3"/>
  <c r="L291" i="3"/>
  <c r="K291" i="3"/>
  <c r="J291" i="3"/>
  <c r="I291" i="3"/>
  <c r="L290" i="3"/>
  <c r="K290" i="3"/>
  <c r="J290" i="3"/>
  <c r="I290" i="3"/>
  <c r="L289" i="3"/>
  <c r="K289" i="3"/>
  <c r="J289" i="3"/>
  <c r="I289" i="3"/>
  <c r="L288" i="3"/>
  <c r="K288" i="3"/>
  <c r="J288" i="3"/>
  <c r="I288" i="3"/>
  <c r="L287" i="3"/>
  <c r="K287" i="3"/>
  <c r="J287" i="3"/>
  <c r="I287" i="3"/>
  <c r="L286" i="3"/>
  <c r="K286" i="3"/>
  <c r="J286" i="3"/>
  <c r="I286" i="3"/>
  <c r="L285" i="3"/>
  <c r="K285" i="3"/>
  <c r="J285" i="3"/>
  <c r="I285" i="3"/>
  <c r="L284" i="3"/>
  <c r="K284" i="3"/>
  <c r="J284" i="3"/>
  <c r="I284" i="3"/>
  <c r="L283" i="3"/>
  <c r="K283" i="3"/>
  <c r="J283" i="3"/>
  <c r="I283" i="3"/>
  <c r="L282" i="3"/>
  <c r="K282" i="3"/>
  <c r="J282" i="3"/>
  <c r="I282" i="3"/>
  <c r="L281" i="3"/>
  <c r="K281" i="3"/>
  <c r="J281" i="3"/>
  <c r="I281" i="3"/>
  <c r="L280" i="3"/>
  <c r="K280" i="3"/>
  <c r="J280" i="3"/>
  <c r="I280" i="3"/>
  <c r="L279" i="3"/>
  <c r="K279" i="3"/>
  <c r="J279" i="3"/>
  <c r="I279" i="3"/>
  <c r="L278" i="3"/>
  <c r="K278" i="3"/>
  <c r="J278" i="3"/>
  <c r="I278" i="3"/>
  <c r="L277" i="3"/>
  <c r="K277" i="3"/>
  <c r="J277" i="3"/>
  <c r="I277" i="3"/>
  <c r="L276" i="3"/>
  <c r="K276" i="3"/>
  <c r="J276" i="3"/>
  <c r="I276" i="3"/>
  <c r="L275" i="3"/>
  <c r="K275" i="3"/>
  <c r="J275" i="3"/>
  <c r="I275" i="3"/>
  <c r="L274" i="3"/>
  <c r="K274" i="3"/>
  <c r="J274" i="3"/>
  <c r="I274" i="3"/>
  <c r="L273" i="3"/>
  <c r="K273" i="3"/>
  <c r="J273" i="3"/>
  <c r="I273" i="3"/>
  <c r="L272" i="3"/>
  <c r="K272" i="3"/>
  <c r="J272" i="3"/>
  <c r="I272" i="3"/>
  <c r="L271" i="3"/>
  <c r="K271" i="3"/>
  <c r="J271" i="3"/>
  <c r="I271" i="3"/>
  <c r="L270" i="3"/>
  <c r="K270" i="3"/>
  <c r="J270" i="3"/>
  <c r="I270" i="3"/>
  <c r="L269" i="3"/>
  <c r="K269" i="3"/>
  <c r="J269" i="3"/>
  <c r="I269" i="3"/>
  <c r="L268" i="3"/>
  <c r="K268" i="3"/>
  <c r="J268" i="3"/>
  <c r="I268" i="3"/>
  <c r="L267" i="3"/>
  <c r="K267" i="3"/>
  <c r="J267" i="3"/>
  <c r="I267" i="3"/>
  <c r="L266" i="3"/>
  <c r="K266" i="3"/>
  <c r="J266" i="3"/>
  <c r="I266" i="3"/>
  <c r="L265" i="3"/>
  <c r="K265" i="3"/>
  <c r="J265" i="3"/>
  <c r="I265" i="3"/>
  <c r="L264" i="3"/>
  <c r="K264" i="3"/>
  <c r="J264" i="3"/>
  <c r="I264" i="3"/>
  <c r="L263" i="3"/>
  <c r="K263" i="3"/>
  <c r="J263" i="3"/>
  <c r="I263" i="3"/>
  <c r="L262" i="3"/>
  <c r="K262" i="3"/>
  <c r="J262" i="3"/>
  <c r="I262" i="3"/>
  <c r="L261" i="3"/>
  <c r="K261" i="3"/>
  <c r="J261" i="3"/>
  <c r="I261" i="3"/>
  <c r="L260" i="3"/>
  <c r="K260" i="3"/>
  <c r="J260" i="3"/>
  <c r="I260" i="3"/>
  <c r="L259" i="3"/>
  <c r="K259" i="3"/>
  <c r="J259" i="3"/>
  <c r="I259" i="3"/>
  <c r="L258" i="3"/>
  <c r="K258" i="3"/>
  <c r="J258" i="3"/>
  <c r="I258" i="3"/>
  <c r="L257" i="3"/>
  <c r="K257" i="3"/>
  <c r="J257" i="3"/>
  <c r="I257" i="3"/>
  <c r="L256" i="3"/>
  <c r="K256" i="3"/>
  <c r="J256" i="3"/>
  <c r="I256" i="3"/>
  <c r="L255" i="3"/>
  <c r="K255" i="3"/>
  <c r="J255" i="3"/>
  <c r="I255" i="3"/>
  <c r="L254" i="3"/>
  <c r="K254" i="3"/>
  <c r="J254" i="3"/>
  <c r="I254" i="3"/>
  <c r="L253" i="3"/>
  <c r="K253" i="3"/>
  <c r="J253" i="3"/>
  <c r="I253" i="3"/>
  <c r="L252" i="3"/>
  <c r="K252" i="3"/>
  <c r="J252" i="3"/>
  <c r="I252" i="3"/>
  <c r="L251" i="3"/>
  <c r="K251" i="3"/>
  <c r="J251" i="3"/>
  <c r="I251" i="3"/>
  <c r="L250" i="3"/>
  <c r="K250" i="3"/>
  <c r="J250" i="3"/>
  <c r="I250" i="3"/>
  <c r="L249" i="3"/>
  <c r="K249" i="3"/>
  <c r="J249" i="3"/>
  <c r="I249" i="3"/>
  <c r="L248" i="3"/>
  <c r="K248" i="3"/>
  <c r="J248" i="3"/>
  <c r="I248" i="3"/>
  <c r="L247" i="3"/>
  <c r="K247" i="3"/>
  <c r="J247" i="3"/>
  <c r="I247" i="3"/>
  <c r="L246" i="3"/>
  <c r="K246" i="3"/>
  <c r="J246" i="3"/>
  <c r="I246" i="3"/>
  <c r="L245" i="3"/>
  <c r="K245" i="3"/>
  <c r="J245" i="3"/>
  <c r="I245" i="3"/>
  <c r="L244" i="3"/>
  <c r="K244" i="3"/>
  <c r="J244" i="3"/>
  <c r="I244" i="3"/>
  <c r="L243" i="3"/>
  <c r="K243" i="3"/>
  <c r="J243" i="3"/>
  <c r="I243" i="3"/>
  <c r="L242" i="3"/>
  <c r="K242" i="3"/>
  <c r="J242" i="3"/>
  <c r="I242" i="3"/>
  <c r="L241" i="3"/>
  <c r="K241" i="3"/>
  <c r="J241" i="3"/>
  <c r="I241" i="3"/>
  <c r="L240" i="3"/>
  <c r="K240" i="3"/>
  <c r="J240" i="3"/>
  <c r="I240" i="3"/>
  <c r="L239" i="3"/>
  <c r="K239" i="3"/>
  <c r="J239" i="3"/>
  <c r="I239" i="3"/>
  <c r="L238" i="3"/>
  <c r="K238" i="3"/>
  <c r="J238" i="3"/>
  <c r="I238" i="3"/>
  <c r="L237" i="3"/>
  <c r="K237" i="3"/>
  <c r="J237" i="3"/>
  <c r="I237" i="3"/>
  <c r="L236" i="3"/>
  <c r="K236" i="3"/>
  <c r="J236" i="3"/>
  <c r="I236" i="3"/>
  <c r="L235" i="3"/>
  <c r="K235" i="3"/>
  <c r="J235" i="3"/>
  <c r="I235" i="3"/>
  <c r="L234" i="3"/>
  <c r="K234" i="3"/>
  <c r="J234" i="3"/>
  <c r="I234" i="3"/>
  <c r="L233" i="3"/>
  <c r="K233" i="3"/>
  <c r="J233" i="3"/>
  <c r="I233" i="3"/>
  <c r="L232" i="3"/>
  <c r="K232" i="3"/>
  <c r="J232" i="3"/>
  <c r="I232" i="3"/>
  <c r="L231" i="3"/>
  <c r="K231" i="3"/>
  <c r="J231" i="3"/>
  <c r="I231" i="3"/>
  <c r="L230" i="3"/>
  <c r="K230" i="3"/>
  <c r="J230" i="3"/>
  <c r="I230" i="3"/>
  <c r="L229" i="3"/>
  <c r="K229" i="3"/>
  <c r="J229" i="3"/>
  <c r="I229" i="3"/>
  <c r="L228" i="3"/>
  <c r="K228" i="3"/>
  <c r="J228" i="3"/>
  <c r="I228" i="3"/>
  <c r="L227" i="3"/>
  <c r="K227" i="3"/>
  <c r="J227" i="3"/>
  <c r="I227" i="3"/>
  <c r="L226" i="3"/>
  <c r="K226" i="3"/>
  <c r="J226" i="3"/>
  <c r="I226" i="3"/>
  <c r="L225" i="3"/>
  <c r="K225" i="3"/>
  <c r="J225" i="3"/>
  <c r="I225" i="3"/>
  <c r="L224" i="3"/>
  <c r="K224" i="3"/>
  <c r="J224" i="3"/>
  <c r="I224" i="3"/>
  <c r="L223" i="3"/>
  <c r="K223" i="3"/>
  <c r="J223" i="3"/>
  <c r="I223" i="3"/>
  <c r="L222" i="3"/>
  <c r="K222" i="3"/>
  <c r="J222" i="3"/>
  <c r="I222" i="3"/>
  <c r="L221" i="3"/>
  <c r="K221" i="3"/>
  <c r="J221" i="3"/>
  <c r="I221" i="3"/>
  <c r="L220" i="3"/>
  <c r="K220" i="3"/>
  <c r="J220" i="3"/>
  <c r="I220" i="3"/>
  <c r="L219" i="3"/>
  <c r="K219" i="3"/>
  <c r="J219" i="3"/>
  <c r="I219" i="3"/>
  <c r="L218" i="3"/>
  <c r="K218" i="3"/>
  <c r="J218" i="3"/>
  <c r="I218" i="3"/>
  <c r="L217" i="3"/>
  <c r="K217" i="3"/>
  <c r="J217" i="3"/>
  <c r="I217" i="3"/>
  <c r="L216" i="3"/>
  <c r="K216" i="3"/>
  <c r="J216" i="3"/>
  <c r="I216" i="3"/>
  <c r="L215" i="3"/>
  <c r="K215" i="3"/>
  <c r="J215" i="3"/>
  <c r="I215" i="3"/>
  <c r="L214" i="3"/>
  <c r="K214" i="3"/>
  <c r="J214" i="3"/>
  <c r="I214" i="3"/>
  <c r="L213" i="3"/>
  <c r="K213" i="3"/>
  <c r="J213" i="3"/>
  <c r="I213" i="3"/>
  <c r="L212" i="3"/>
  <c r="K212" i="3"/>
  <c r="J212" i="3"/>
  <c r="I212" i="3"/>
  <c r="L211" i="3"/>
  <c r="K211" i="3"/>
  <c r="J211" i="3"/>
  <c r="I211" i="3"/>
  <c r="L210" i="3"/>
  <c r="K210" i="3"/>
  <c r="J210" i="3"/>
  <c r="I210" i="3"/>
  <c r="L209" i="3"/>
  <c r="K209" i="3"/>
  <c r="J209" i="3"/>
  <c r="I209" i="3"/>
  <c r="L208" i="3"/>
  <c r="K208" i="3"/>
  <c r="J208" i="3"/>
  <c r="I208" i="3"/>
  <c r="L207" i="3"/>
  <c r="K207" i="3"/>
  <c r="J207" i="3"/>
  <c r="I207" i="3"/>
  <c r="L206" i="3"/>
  <c r="K206" i="3"/>
  <c r="J206" i="3"/>
  <c r="I206" i="3"/>
  <c r="L205" i="3"/>
  <c r="K205" i="3"/>
  <c r="J205" i="3"/>
  <c r="I205" i="3"/>
  <c r="L204" i="3"/>
  <c r="K204" i="3"/>
  <c r="J204" i="3"/>
  <c r="I204" i="3"/>
  <c r="L203" i="3"/>
  <c r="K203" i="3"/>
  <c r="J203" i="3"/>
  <c r="I203" i="3"/>
  <c r="L202" i="3"/>
  <c r="K202" i="3"/>
  <c r="J202" i="3"/>
  <c r="I202" i="3"/>
  <c r="L201" i="3"/>
  <c r="K201" i="3"/>
  <c r="J201" i="3"/>
  <c r="I201" i="3"/>
  <c r="L200" i="3"/>
  <c r="K200" i="3"/>
  <c r="J200" i="3"/>
  <c r="I200" i="3"/>
  <c r="L199" i="3"/>
  <c r="K199" i="3"/>
  <c r="J199" i="3"/>
  <c r="I199" i="3"/>
  <c r="L198" i="3"/>
  <c r="K198" i="3"/>
  <c r="J198" i="3"/>
  <c r="I198" i="3"/>
  <c r="L197" i="3"/>
  <c r="K197" i="3"/>
  <c r="J197" i="3"/>
  <c r="I197" i="3"/>
  <c r="L196" i="3"/>
  <c r="K196" i="3"/>
  <c r="J196" i="3"/>
  <c r="I196" i="3"/>
  <c r="L195" i="3"/>
  <c r="K195" i="3"/>
  <c r="J195" i="3"/>
  <c r="I195" i="3"/>
  <c r="L194" i="3"/>
  <c r="K194" i="3"/>
  <c r="J194" i="3"/>
  <c r="I194" i="3"/>
  <c r="L193" i="3"/>
  <c r="K193" i="3"/>
  <c r="J193" i="3"/>
  <c r="I193" i="3"/>
  <c r="L192" i="3"/>
  <c r="K192" i="3"/>
  <c r="J192" i="3"/>
  <c r="I192" i="3"/>
  <c r="L191" i="3"/>
  <c r="K191" i="3"/>
  <c r="J191" i="3"/>
  <c r="I191" i="3"/>
  <c r="L190" i="3"/>
  <c r="K190" i="3"/>
  <c r="J190" i="3"/>
  <c r="I190" i="3"/>
  <c r="L189" i="3"/>
  <c r="K189" i="3"/>
  <c r="J189" i="3"/>
  <c r="I189" i="3"/>
  <c r="L188" i="3"/>
  <c r="K188" i="3"/>
  <c r="J188" i="3"/>
  <c r="I188" i="3"/>
  <c r="L187" i="3"/>
  <c r="K187" i="3"/>
  <c r="J187" i="3"/>
  <c r="I187" i="3"/>
  <c r="L186" i="3"/>
  <c r="K186" i="3"/>
  <c r="J186" i="3"/>
  <c r="I186" i="3"/>
  <c r="L185" i="3"/>
  <c r="K185" i="3"/>
  <c r="J185" i="3"/>
  <c r="I185" i="3"/>
  <c r="L184" i="3"/>
  <c r="K184" i="3"/>
  <c r="J184" i="3"/>
  <c r="I184" i="3"/>
  <c r="L183" i="3"/>
  <c r="K183" i="3"/>
  <c r="J183" i="3"/>
  <c r="I183" i="3"/>
  <c r="L182" i="3"/>
  <c r="K182" i="3"/>
  <c r="J182" i="3"/>
  <c r="I182" i="3"/>
  <c r="L181" i="3"/>
  <c r="K181" i="3"/>
  <c r="J181" i="3"/>
  <c r="I181" i="3"/>
  <c r="L180" i="3"/>
  <c r="K180" i="3"/>
  <c r="J180" i="3"/>
  <c r="I180" i="3"/>
  <c r="L179" i="3"/>
  <c r="K179" i="3"/>
  <c r="J179" i="3"/>
  <c r="I179" i="3"/>
  <c r="L178" i="3"/>
  <c r="K178" i="3"/>
  <c r="J178" i="3"/>
  <c r="I178" i="3"/>
  <c r="L177" i="3"/>
  <c r="K177" i="3"/>
  <c r="J177" i="3"/>
  <c r="I177" i="3"/>
  <c r="L176" i="3"/>
  <c r="K176" i="3"/>
  <c r="J176" i="3"/>
  <c r="I176" i="3"/>
  <c r="L175" i="3"/>
  <c r="K175" i="3"/>
  <c r="J175" i="3"/>
  <c r="I175" i="3"/>
  <c r="L174" i="3"/>
  <c r="K174" i="3"/>
  <c r="J174" i="3"/>
  <c r="I174" i="3"/>
  <c r="L173" i="3"/>
  <c r="K173" i="3"/>
  <c r="J173" i="3"/>
  <c r="I173" i="3"/>
  <c r="L172" i="3"/>
  <c r="K172" i="3"/>
  <c r="J172" i="3"/>
  <c r="I172" i="3"/>
  <c r="L171" i="3"/>
  <c r="K171" i="3"/>
  <c r="J171" i="3"/>
  <c r="I171" i="3"/>
  <c r="L170" i="3"/>
  <c r="K170" i="3"/>
  <c r="J170" i="3"/>
  <c r="I170" i="3"/>
  <c r="L169" i="3"/>
  <c r="K169" i="3"/>
  <c r="J169" i="3"/>
  <c r="I169" i="3"/>
  <c r="L168" i="3"/>
  <c r="K168" i="3"/>
  <c r="J168" i="3"/>
  <c r="I168" i="3"/>
  <c r="L167" i="3"/>
  <c r="K167" i="3"/>
  <c r="J167" i="3"/>
  <c r="I167" i="3"/>
  <c r="L166" i="3"/>
  <c r="K166" i="3"/>
  <c r="J166" i="3"/>
  <c r="I166" i="3"/>
  <c r="L165" i="3"/>
  <c r="K165" i="3"/>
  <c r="J165" i="3"/>
  <c r="I165" i="3"/>
  <c r="L164" i="3"/>
  <c r="K164" i="3"/>
  <c r="J164" i="3"/>
  <c r="I164" i="3"/>
  <c r="L163" i="3"/>
  <c r="K163" i="3"/>
  <c r="J163" i="3"/>
  <c r="I163" i="3"/>
  <c r="L162" i="3"/>
  <c r="K162" i="3"/>
  <c r="J162" i="3"/>
  <c r="I162" i="3"/>
  <c r="L161" i="3"/>
  <c r="K161" i="3"/>
  <c r="J161" i="3"/>
  <c r="I161" i="3"/>
  <c r="L160" i="3"/>
  <c r="K160" i="3"/>
  <c r="J160" i="3"/>
  <c r="I160" i="3"/>
  <c r="L159" i="3"/>
  <c r="K159" i="3"/>
  <c r="J159" i="3"/>
  <c r="I159" i="3"/>
  <c r="L158" i="3"/>
  <c r="K158" i="3"/>
  <c r="J158" i="3"/>
  <c r="I158" i="3"/>
  <c r="L157" i="3"/>
  <c r="K157" i="3"/>
  <c r="J157" i="3"/>
  <c r="I157" i="3"/>
  <c r="L156" i="3"/>
  <c r="K156" i="3"/>
  <c r="J156" i="3"/>
  <c r="I156" i="3"/>
  <c r="L155" i="3"/>
  <c r="K155" i="3"/>
  <c r="J155" i="3"/>
  <c r="I155" i="3"/>
  <c r="L154" i="3"/>
  <c r="K154" i="3"/>
  <c r="J154" i="3"/>
  <c r="I154" i="3"/>
  <c r="L153" i="3"/>
  <c r="K153" i="3"/>
  <c r="J153" i="3"/>
  <c r="I153" i="3"/>
  <c r="L152" i="3"/>
  <c r="K152" i="3"/>
  <c r="J152" i="3"/>
  <c r="I152" i="3"/>
  <c r="L151" i="3"/>
  <c r="K151" i="3"/>
  <c r="J151" i="3"/>
  <c r="I151" i="3"/>
  <c r="L150" i="3"/>
  <c r="K150" i="3"/>
  <c r="J150" i="3"/>
  <c r="I150" i="3"/>
  <c r="L149" i="3"/>
  <c r="K149" i="3"/>
  <c r="J149" i="3"/>
  <c r="I149" i="3"/>
  <c r="L148" i="3"/>
  <c r="K148" i="3"/>
  <c r="J148" i="3"/>
  <c r="I148" i="3"/>
  <c r="L147" i="3"/>
  <c r="K147" i="3"/>
  <c r="J147" i="3"/>
  <c r="I147" i="3"/>
  <c r="L146" i="3"/>
  <c r="K146" i="3"/>
  <c r="J146" i="3"/>
  <c r="I146" i="3"/>
  <c r="L145" i="3"/>
  <c r="K145" i="3"/>
  <c r="J145" i="3"/>
  <c r="I145" i="3"/>
  <c r="L144" i="3"/>
  <c r="K144" i="3"/>
  <c r="J144" i="3"/>
  <c r="I144" i="3"/>
  <c r="L143" i="3"/>
  <c r="K143" i="3"/>
  <c r="J143" i="3"/>
  <c r="I143" i="3"/>
  <c r="L142" i="3"/>
  <c r="K142" i="3"/>
  <c r="J142" i="3"/>
  <c r="I142" i="3"/>
  <c r="L141" i="3"/>
  <c r="K141" i="3"/>
  <c r="J141" i="3"/>
  <c r="I141" i="3"/>
  <c r="L140" i="3"/>
  <c r="K140" i="3"/>
  <c r="J140" i="3"/>
  <c r="I140" i="3"/>
  <c r="L139" i="3"/>
  <c r="K139" i="3"/>
  <c r="J139" i="3"/>
  <c r="I139" i="3"/>
  <c r="L138" i="3"/>
  <c r="K138" i="3"/>
  <c r="J138" i="3"/>
  <c r="I138" i="3"/>
  <c r="L137" i="3"/>
  <c r="K137" i="3"/>
  <c r="J137" i="3"/>
  <c r="I137" i="3"/>
  <c r="L136" i="3"/>
  <c r="K136" i="3"/>
  <c r="J136" i="3"/>
  <c r="I136" i="3"/>
  <c r="L135" i="3"/>
  <c r="K135" i="3"/>
  <c r="J135" i="3"/>
  <c r="I135" i="3"/>
  <c r="L134" i="3"/>
  <c r="K134" i="3"/>
  <c r="J134" i="3"/>
  <c r="I134" i="3"/>
  <c r="L133" i="3"/>
  <c r="K133" i="3"/>
  <c r="J133" i="3"/>
  <c r="I133" i="3"/>
  <c r="L132" i="3"/>
  <c r="K132" i="3"/>
  <c r="J132" i="3"/>
  <c r="I132" i="3"/>
  <c r="L131" i="3"/>
  <c r="K131" i="3"/>
  <c r="J131" i="3"/>
  <c r="I131" i="3"/>
  <c r="L130" i="3"/>
  <c r="K130" i="3"/>
  <c r="J130" i="3"/>
  <c r="I130" i="3"/>
  <c r="L129" i="3"/>
  <c r="K129" i="3"/>
  <c r="J129" i="3"/>
  <c r="I129" i="3"/>
  <c r="L128" i="3"/>
  <c r="K128" i="3"/>
  <c r="J128" i="3"/>
  <c r="I128" i="3"/>
  <c r="L127" i="3"/>
  <c r="K127" i="3"/>
  <c r="J127" i="3"/>
  <c r="I127" i="3"/>
  <c r="L126" i="3"/>
  <c r="K126" i="3"/>
  <c r="J126" i="3"/>
  <c r="I126" i="3"/>
  <c r="L125" i="3"/>
  <c r="K125" i="3"/>
  <c r="J125" i="3"/>
  <c r="I125" i="3"/>
  <c r="L124" i="3"/>
  <c r="K124" i="3"/>
  <c r="J124" i="3"/>
  <c r="I124" i="3"/>
  <c r="L123" i="3"/>
  <c r="K123" i="3"/>
  <c r="J123" i="3"/>
  <c r="I123" i="3"/>
  <c r="L122" i="3"/>
  <c r="K122" i="3"/>
  <c r="J122" i="3"/>
  <c r="I122" i="3"/>
  <c r="L121" i="3"/>
  <c r="K121" i="3"/>
  <c r="J121" i="3"/>
  <c r="I121" i="3"/>
  <c r="L120" i="3"/>
  <c r="K120" i="3"/>
  <c r="J120" i="3"/>
  <c r="I120" i="3"/>
  <c r="L119" i="3"/>
  <c r="K119" i="3"/>
  <c r="J119" i="3"/>
  <c r="I119" i="3"/>
  <c r="L118" i="3"/>
  <c r="K118" i="3"/>
  <c r="J118" i="3"/>
  <c r="I118" i="3"/>
  <c r="L117" i="3"/>
  <c r="K117" i="3"/>
  <c r="J117" i="3"/>
  <c r="I117" i="3"/>
  <c r="L116" i="3"/>
  <c r="K116" i="3"/>
  <c r="J116" i="3"/>
  <c r="I116" i="3"/>
  <c r="L115" i="3"/>
  <c r="K115" i="3"/>
  <c r="J115" i="3"/>
  <c r="I115" i="3"/>
  <c r="L114" i="3"/>
  <c r="K114" i="3"/>
  <c r="J114" i="3"/>
  <c r="I114" i="3"/>
  <c r="L113" i="3"/>
  <c r="K113" i="3"/>
  <c r="J113" i="3"/>
  <c r="I113" i="3"/>
  <c r="L112" i="3"/>
  <c r="K112" i="3"/>
  <c r="J112" i="3"/>
  <c r="I112" i="3"/>
  <c r="L111" i="3"/>
  <c r="K111" i="3"/>
  <c r="J111" i="3"/>
  <c r="I111" i="3"/>
  <c r="L110" i="3"/>
  <c r="K110" i="3"/>
  <c r="J110" i="3"/>
  <c r="I110" i="3"/>
  <c r="L109" i="3"/>
  <c r="K109" i="3"/>
  <c r="J109" i="3"/>
  <c r="I109" i="3"/>
  <c r="L108" i="3"/>
  <c r="K108" i="3"/>
  <c r="J108" i="3"/>
  <c r="I108" i="3"/>
  <c r="L107" i="3"/>
  <c r="K107" i="3"/>
  <c r="J107" i="3"/>
  <c r="I107" i="3"/>
  <c r="L106" i="3"/>
  <c r="K106" i="3"/>
  <c r="J106" i="3"/>
  <c r="I106" i="3"/>
  <c r="L105" i="3"/>
  <c r="K105" i="3"/>
  <c r="J105" i="3"/>
  <c r="I105" i="3"/>
  <c r="L104" i="3"/>
  <c r="K104" i="3"/>
  <c r="J104" i="3"/>
  <c r="I104" i="3"/>
  <c r="L103" i="3"/>
  <c r="K103" i="3"/>
  <c r="J103" i="3"/>
  <c r="I103" i="3"/>
  <c r="L102" i="3"/>
  <c r="K102" i="3"/>
  <c r="J102" i="3"/>
  <c r="I102" i="3"/>
  <c r="L101" i="3"/>
  <c r="K101" i="3"/>
  <c r="J101" i="3"/>
  <c r="I101" i="3"/>
  <c r="L100" i="3"/>
  <c r="K100" i="3"/>
  <c r="J100" i="3"/>
  <c r="I100" i="3"/>
  <c r="L99" i="3"/>
  <c r="K99" i="3"/>
  <c r="J99" i="3"/>
  <c r="I99" i="3"/>
  <c r="L98" i="3"/>
  <c r="K98" i="3"/>
  <c r="J98" i="3"/>
  <c r="I98" i="3"/>
  <c r="L97" i="3"/>
  <c r="K97" i="3"/>
  <c r="J97" i="3"/>
  <c r="I97" i="3"/>
  <c r="L96" i="3"/>
  <c r="K96" i="3"/>
  <c r="J96" i="3"/>
  <c r="I96" i="3"/>
  <c r="L95" i="3"/>
  <c r="K95" i="3"/>
  <c r="J95" i="3"/>
  <c r="I95" i="3"/>
  <c r="L94" i="3"/>
  <c r="K94" i="3"/>
  <c r="J94" i="3"/>
  <c r="I94" i="3"/>
  <c r="L93" i="3"/>
  <c r="K93" i="3"/>
  <c r="J93" i="3"/>
  <c r="I93" i="3"/>
  <c r="L92" i="3"/>
  <c r="K92" i="3"/>
  <c r="J92" i="3"/>
  <c r="I92" i="3"/>
  <c r="L91" i="3"/>
  <c r="K91" i="3"/>
  <c r="J91" i="3"/>
  <c r="I91" i="3"/>
  <c r="L90" i="3"/>
  <c r="K90" i="3"/>
  <c r="J90" i="3"/>
  <c r="I90" i="3"/>
  <c r="L89" i="3"/>
  <c r="K89" i="3"/>
  <c r="J89" i="3"/>
  <c r="I89" i="3"/>
  <c r="L88" i="3"/>
  <c r="K88" i="3"/>
  <c r="J88" i="3"/>
  <c r="I88" i="3"/>
  <c r="L87" i="3"/>
  <c r="K87" i="3"/>
  <c r="J87" i="3"/>
  <c r="I87" i="3"/>
  <c r="L86" i="3"/>
  <c r="K86" i="3"/>
  <c r="J86" i="3"/>
  <c r="I86" i="3"/>
  <c r="L85" i="3"/>
  <c r="K85" i="3"/>
  <c r="J85" i="3"/>
  <c r="I85" i="3"/>
  <c r="L84" i="3"/>
  <c r="K84" i="3"/>
  <c r="J84" i="3"/>
  <c r="I84" i="3"/>
  <c r="L83" i="3"/>
  <c r="K83" i="3"/>
  <c r="J83" i="3"/>
  <c r="I83" i="3"/>
  <c r="L82" i="3"/>
  <c r="K82" i="3"/>
  <c r="J82" i="3"/>
  <c r="I82" i="3"/>
  <c r="L81" i="3"/>
  <c r="K81" i="3"/>
  <c r="J81" i="3"/>
  <c r="I81" i="3"/>
  <c r="L80" i="3"/>
  <c r="K80" i="3"/>
  <c r="J80" i="3"/>
  <c r="I80" i="3"/>
  <c r="L79" i="3"/>
  <c r="K79" i="3"/>
  <c r="J79" i="3"/>
  <c r="I79" i="3"/>
  <c r="L78" i="3"/>
  <c r="K78" i="3"/>
  <c r="J78" i="3"/>
  <c r="I78" i="3"/>
  <c r="L77" i="3"/>
  <c r="K77" i="3"/>
  <c r="J77" i="3"/>
  <c r="I77" i="3"/>
  <c r="L76" i="3"/>
  <c r="K76" i="3"/>
  <c r="J76" i="3"/>
  <c r="I76" i="3"/>
  <c r="L75" i="3"/>
  <c r="K75" i="3"/>
  <c r="J75" i="3"/>
  <c r="I75" i="3"/>
  <c r="L74" i="3"/>
  <c r="K74" i="3"/>
  <c r="J74" i="3"/>
  <c r="I74" i="3"/>
  <c r="L73" i="3"/>
  <c r="K73" i="3"/>
  <c r="J73" i="3"/>
  <c r="I73" i="3"/>
  <c r="L72" i="3"/>
  <c r="K72" i="3"/>
  <c r="J72" i="3"/>
  <c r="I72" i="3"/>
  <c r="L71" i="3"/>
  <c r="K71" i="3"/>
  <c r="J71" i="3"/>
  <c r="I71" i="3"/>
  <c r="L70" i="3"/>
  <c r="K70" i="3"/>
  <c r="J70" i="3"/>
  <c r="I70" i="3"/>
  <c r="L69" i="3"/>
  <c r="K69" i="3"/>
  <c r="J69" i="3"/>
  <c r="I69" i="3"/>
  <c r="L68" i="3"/>
  <c r="K68" i="3"/>
  <c r="J68" i="3"/>
  <c r="I68" i="3"/>
  <c r="L67" i="3"/>
  <c r="K67" i="3"/>
  <c r="J67" i="3"/>
  <c r="I67" i="3"/>
  <c r="L66" i="3"/>
  <c r="K66" i="3"/>
  <c r="J66" i="3"/>
  <c r="I66" i="3"/>
  <c r="L65" i="3"/>
  <c r="K65" i="3"/>
  <c r="J65" i="3"/>
  <c r="I65" i="3"/>
  <c r="L64" i="3"/>
  <c r="K64" i="3"/>
  <c r="J64" i="3"/>
  <c r="I64" i="3"/>
  <c r="L63" i="3"/>
  <c r="K63" i="3"/>
  <c r="J63" i="3"/>
  <c r="I63" i="3"/>
  <c r="L62" i="3"/>
  <c r="K62" i="3"/>
  <c r="J62" i="3"/>
  <c r="I62" i="3"/>
  <c r="L61" i="3"/>
  <c r="K61" i="3"/>
  <c r="J61" i="3"/>
  <c r="I61" i="3"/>
  <c r="L60" i="3"/>
  <c r="K60" i="3"/>
  <c r="J60" i="3"/>
  <c r="I60" i="3"/>
  <c r="L59" i="3"/>
  <c r="K59" i="3"/>
  <c r="J59" i="3"/>
  <c r="I59" i="3"/>
  <c r="L58" i="3"/>
  <c r="K58" i="3"/>
  <c r="J58" i="3"/>
  <c r="I58" i="3"/>
  <c r="L57" i="3"/>
  <c r="K57" i="3"/>
  <c r="J57" i="3"/>
  <c r="I57" i="3"/>
  <c r="L56" i="3"/>
  <c r="K56" i="3"/>
  <c r="J56" i="3"/>
  <c r="I56" i="3"/>
  <c r="L55" i="3"/>
  <c r="K55" i="3"/>
  <c r="J55" i="3"/>
  <c r="I55" i="3"/>
  <c r="L54" i="3"/>
  <c r="K54" i="3"/>
  <c r="J54" i="3"/>
  <c r="I54" i="3"/>
  <c r="L53" i="3"/>
  <c r="K53" i="3"/>
  <c r="J53" i="3"/>
  <c r="I53" i="3"/>
  <c r="L52" i="3"/>
  <c r="K52" i="3"/>
  <c r="J52" i="3"/>
  <c r="I52" i="3"/>
  <c r="L51" i="3"/>
  <c r="K51" i="3"/>
  <c r="J51" i="3"/>
  <c r="I51" i="3"/>
  <c r="L50" i="3"/>
  <c r="K50" i="3"/>
  <c r="J50" i="3"/>
  <c r="I50" i="3"/>
  <c r="L49" i="3"/>
  <c r="K49" i="3"/>
  <c r="J49" i="3"/>
  <c r="I49" i="3"/>
  <c r="L48" i="3"/>
  <c r="K48" i="3"/>
  <c r="J48" i="3"/>
  <c r="I48" i="3"/>
  <c r="L47" i="3"/>
  <c r="K47" i="3"/>
  <c r="J47" i="3"/>
  <c r="I47" i="3"/>
  <c r="L46" i="3"/>
  <c r="K46" i="3"/>
  <c r="J46" i="3"/>
  <c r="I46" i="3"/>
  <c r="L45" i="3"/>
  <c r="K45" i="3"/>
  <c r="J45" i="3"/>
  <c r="I45" i="3"/>
  <c r="L44" i="3"/>
  <c r="K44" i="3"/>
  <c r="J44" i="3"/>
  <c r="I44" i="3"/>
  <c r="L43" i="3"/>
  <c r="K43" i="3"/>
  <c r="J43" i="3"/>
  <c r="I43" i="3"/>
  <c r="L42" i="3"/>
  <c r="K42" i="3"/>
  <c r="J42" i="3"/>
  <c r="I42" i="3"/>
  <c r="L41" i="3"/>
  <c r="K41" i="3"/>
  <c r="J41" i="3"/>
  <c r="I41" i="3"/>
  <c r="L40" i="3"/>
  <c r="K40" i="3"/>
  <c r="J40" i="3"/>
  <c r="I40" i="3"/>
  <c r="L39" i="3"/>
  <c r="K39" i="3"/>
  <c r="J39" i="3"/>
  <c r="I39" i="3"/>
  <c r="L38" i="3"/>
  <c r="K38" i="3"/>
  <c r="J38" i="3"/>
  <c r="I38" i="3"/>
  <c r="L37" i="3"/>
  <c r="K37" i="3"/>
  <c r="J37" i="3"/>
  <c r="I37" i="3"/>
  <c r="L36" i="3"/>
  <c r="K36" i="3"/>
  <c r="J36" i="3"/>
  <c r="I36" i="3"/>
  <c r="L35" i="3"/>
  <c r="K35" i="3"/>
  <c r="J35" i="3"/>
  <c r="I35" i="3"/>
  <c r="L34" i="3"/>
  <c r="K34" i="3"/>
  <c r="J34" i="3"/>
  <c r="I34" i="3"/>
  <c r="L33" i="3"/>
  <c r="K33" i="3"/>
  <c r="J33" i="3"/>
  <c r="I33" i="3"/>
  <c r="L32" i="3"/>
  <c r="K32" i="3"/>
  <c r="J32" i="3"/>
  <c r="I32" i="3"/>
  <c r="L31" i="3"/>
  <c r="K31" i="3"/>
  <c r="J31" i="3"/>
  <c r="I31" i="3"/>
  <c r="L30" i="3"/>
  <c r="K30" i="3"/>
  <c r="J30" i="3"/>
  <c r="I30" i="3"/>
  <c r="L29" i="3"/>
  <c r="K29" i="3"/>
  <c r="J29" i="3"/>
  <c r="I29" i="3"/>
  <c r="L28" i="3"/>
  <c r="K28" i="3"/>
  <c r="J28" i="3"/>
  <c r="I28" i="3"/>
  <c r="L27" i="3"/>
  <c r="K27" i="3"/>
  <c r="J27" i="3"/>
  <c r="I27" i="3"/>
  <c r="L26" i="3"/>
  <c r="K26" i="3"/>
  <c r="J26" i="3"/>
  <c r="I26" i="3"/>
  <c r="L25" i="3"/>
  <c r="K25" i="3"/>
  <c r="J25" i="3"/>
  <c r="I25" i="3"/>
  <c r="L24" i="3"/>
  <c r="K24" i="3"/>
  <c r="J24" i="3"/>
  <c r="I24" i="3"/>
  <c r="L23" i="3"/>
  <c r="K23" i="3"/>
  <c r="J23" i="3"/>
  <c r="I23" i="3"/>
  <c r="L22" i="3"/>
  <c r="K22" i="3"/>
  <c r="J22" i="3"/>
  <c r="I22" i="3"/>
  <c r="L21" i="3"/>
  <c r="K21" i="3"/>
  <c r="J21" i="3"/>
  <c r="I21" i="3"/>
  <c r="L20" i="3"/>
  <c r="K20" i="3"/>
  <c r="J20" i="3"/>
  <c r="I20" i="3"/>
  <c r="L19" i="3"/>
  <c r="K19" i="3"/>
  <c r="J19" i="3"/>
  <c r="I19" i="3"/>
  <c r="L18" i="3"/>
  <c r="K18" i="3"/>
  <c r="J18" i="3"/>
  <c r="I18" i="3"/>
  <c r="L17" i="3"/>
  <c r="K17" i="3"/>
  <c r="J17" i="3"/>
  <c r="I17" i="3"/>
  <c r="L16" i="3"/>
  <c r="K16" i="3"/>
  <c r="J16" i="3"/>
  <c r="I16" i="3"/>
  <c r="L15" i="3"/>
  <c r="K15" i="3"/>
  <c r="J15" i="3"/>
  <c r="I15" i="3"/>
  <c r="L14" i="3"/>
  <c r="K14" i="3"/>
  <c r="J14" i="3"/>
  <c r="I14" i="3"/>
  <c r="L13" i="3"/>
  <c r="K13" i="3"/>
  <c r="J13" i="3"/>
  <c r="I13" i="3"/>
  <c r="L12" i="3"/>
  <c r="K12" i="3"/>
  <c r="J12" i="3"/>
  <c r="I12" i="3"/>
  <c r="L11" i="3"/>
  <c r="K11" i="3"/>
  <c r="J11" i="3"/>
  <c r="I11" i="3"/>
  <c r="L10" i="3"/>
  <c r="K10" i="3"/>
  <c r="J10" i="3"/>
  <c r="I10" i="3"/>
  <c r="L9" i="3"/>
  <c r="K9" i="3"/>
  <c r="J9" i="3"/>
  <c r="I9" i="3"/>
  <c r="L8" i="3"/>
  <c r="K8" i="3"/>
  <c r="J8" i="3"/>
  <c r="I8" i="3"/>
  <c r="L7" i="3"/>
  <c r="K7" i="3"/>
  <c r="J7" i="3"/>
  <c r="I7" i="3"/>
  <c r="L6" i="3"/>
  <c r="K6" i="3"/>
  <c r="J6" i="3"/>
  <c r="I6" i="3"/>
  <c r="L5" i="3"/>
  <c r="K5" i="3"/>
  <c r="J5" i="3"/>
  <c r="I5" i="3"/>
  <c r="L4" i="3"/>
  <c r="K4" i="3"/>
  <c r="J4" i="3"/>
  <c r="I4" i="3"/>
  <c r="L3" i="3"/>
  <c r="K3" i="3"/>
  <c r="J3" i="3"/>
  <c r="I3" i="3"/>
  <c r="L2" i="3"/>
  <c r="K2" i="3"/>
  <c r="J2" i="3"/>
  <c r="I2" i="3"/>
  <c r="L301" i="2"/>
  <c r="K301" i="2"/>
  <c r="J301" i="2"/>
  <c r="I301" i="2"/>
  <c r="L300" i="2"/>
  <c r="K300" i="2"/>
  <c r="J300" i="2"/>
  <c r="I300" i="2"/>
  <c r="L299" i="2"/>
  <c r="K299" i="2"/>
  <c r="J299" i="2"/>
  <c r="I299" i="2"/>
  <c r="L298" i="2"/>
  <c r="K298" i="2"/>
  <c r="J298" i="2"/>
  <c r="I298" i="2"/>
  <c r="L297" i="2"/>
  <c r="K297" i="2"/>
  <c r="J297" i="2"/>
  <c r="I297" i="2"/>
  <c r="L296" i="2"/>
  <c r="K296" i="2"/>
  <c r="J296" i="2"/>
  <c r="I296" i="2"/>
  <c r="L295" i="2"/>
  <c r="K295" i="2"/>
  <c r="J295" i="2"/>
  <c r="I295" i="2"/>
  <c r="L294" i="2"/>
  <c r="K294" i="2"/>
  <c r="J294" i="2"/>
  <c r="I294" i="2"/>
  <c r="L293" i="2"/>
  <c r="K293" i="2"/>
  <c r="J293" i="2"/>
  <c r="I293" i="2"/>
  <c r="L292" i="2"/>
  <c r="K292" i="2"/>
  <c r="J292" i="2"/>
  <c r="I292" i="2"/>
  <c r="L291" i="2"/>
  <c r="K291" i="2"/>
  <c r="J291" i="2"/>
  <c r="I291" i="2"/>
  <c r="L290" i="2"/>
  <c r="K290" i="2"/>
  <c r="J290" i="2"/>
  <c r="I290" i="2"/>
  <c r="L289" i="2"/>
  <c r="K289" i="2"/>
  <c r="J289" i="2"/>
  <c r="I289" i="2"/>
  <c r="L288" i="2"/>
  <c r="K288" i="2"/>
  <c r="J288" i="2"/>
  <c r="I288" i="2"/>
  <c r="L287" i="2"/>
  <c r="K287" i="2"/>
  <c r="J287" i="2"/>
  <c r="I287" i="2"/>
  <c r="L286" i="2"/>
  <c r="K286" i="2"/>
  <c r="J286" i="2"/>
  <c r="I286" i="2"/>
  <c r="L285" i="2"/>
  <c r="K285" i="2"/>
  <c r="J285" i="2"/>
  <c r="I285" i="2"/>
  <c r="L284" i="2"/>
  <c r="K284" i="2"/>
  <c r="J284" i="2"/>
  <c r="I284" i="2"/>
  <c r="L283" i="2"/>
  <c r="K283" i="2"/>
  <c r="J283" i="2"/>
  <c r="I283" i="2"/>
  <c r="L282" i="2"/>
  <c r="K282" i="2"/>
  <c r="J282" i="2"/>
  <c r="I282" i="2"/>
  <c r="L281" i="2"/>
  <c r="K281" i="2"/>
  <c r="J281" i="2"/>
  <c r="I281" i="2"/>
  <c r="L280" i="2"/>
  <c r="K280" i="2"/>
  <c r="J280" i="2"/>
  <c r="I280" i="2"/>
  <c r="L279" i="2"/>
  <c r="K279" i="2"/>
  <c r="J279" i="2"/>
  <c r="I279" i="2"/>
  <c r="L278" i="2"/>
  <c r="K278" i="2"/>
  <c r="J278" i="2"/>
  <c r="I278" i="2"/>
  <c r="L277" i="2"/>
  <c r="K277" i="2"/>
  <c r="J277" i="2"/>
  <c r="I277" i="2"/>
  <c r="L276" i="2"/>
  <c r="K276" i="2"/>
  <c r="J276" i="2"/>
  <c r="I276" i="2"/>
  <c r="L275" i="2"/>
  <c r="K275" i="2"/>
  <c r="J275" i="2"/>
  <c r="I275" i="2"/>
  <c r="L274" i="2"/>
  <c r="K274" i="2"/>
  <c r="J274" i="2"/>
  <c r="I274" i="2"/>
  <c r="L273" i="2"/>
  <c r="K273" i="2"/>
  <c r="J273" i="2"/>
  <c r="I273" i="2"/>
  <c r="L272" i="2"/>
  <c r="K272" i="2"/>
  <c r="J272" i="2"/>
  <c r="I272" i="2"/>
  <c r="L271" i="2"/>
  <c r="K271" i="2"/>
  <c r="J271" i="2"/>
  <c r="I271" i="2"/>
  <c r="L270" i="2"/>
  <c r="K270" i="2"/>
  <c r="J270" i="2"/>
  <c r="I270" i="2"/>
  <c r="L269" i="2"/>
  <c r="K269" i="2"/>
  <c r="J269" i="2"/>
  <c r="I269" i="2"/>
  <c r="L268" i="2"/>
  <c r="K268" i="2"/>
  <c r="J268" i="2"/>
  <c r="I268" i="2"/>
  <c r="L267" i="2"/>
  <c r="K267" i="2"/>
  <c r="J267" i="2"/>
  <c r="I267" i="2"/>
  <c r="L266" i="2"/>
  <c r="K266" i="2"/>
  <c r="J266" i="2"/>
  <c r="I266" i="2"/>
  <c r="L265" i="2"/>
  <c r="K265" i="2"/>
  <c r="J265" i="2"/>
  <c r="I265" i="2"/>
  <c r="L264" i="2"/>
  <c r="K264" i="2"/>
  <c r="J264" i="2"/>
  <c r="I264" i="2"/>
  <c r="L263" i="2"/>
  <c r="K263" i="2"/>
  <c r="J263" i="2"/>
  <c r="I263" i="2"/>
  <c r="L262" i="2"/>
  <c r="K262" i="2"/>
  <c r="J262" i="2"/>
  <c r="I262" i="2"/>
  <c r="L261" i="2"/>
  <c r="K261" i="2"/>
  <c r="J261" i="2"/>
  <c r="I261" i="2"/>
  <c r="L260" i="2"/>
  <c r="K260" i="2"/>
  <c r="J260" i="2"/>
  <c r="I260" i="2"/>
  <c r="L259" i="2"/>
  <c r="K259" i="2"/>
  <c r="J259" i="2"/>
  <c r="I259" i="2"/>
  <c r="L258" i="2"/>
  <c r="K258" i="2"/>
  <c r="J258" i="2"/>
  <c r="I258" i="2"/>
  <c r="L257" i="2"/>
  <c r="K257" i="2"/>
  <c r="J257" i="2"/>
  <c r="I257" i="2"/>
  <c r="L256" i="2"/>
  <c r="K256" i="2"/>
  <c r="J256" i="2"/>
  <c r="I256" i="2"/>
  <c r="L255" i="2"/>
  <c r="K255" i="2"/>
  <c r="J255" i="2"/>
  <c r="I255" i="2"/>
  <c r="L254" i="2"/>
  <c r="K254" i="2"/>
  <c r="J254" i="2"/>
  <c r="I254" i="2"/>
  <c r="L253" i="2"/>
  <c r="K253" i="2"/>
  <c r="J253" i="2"/>
  <c r="I253" i="2"/>
  <c r="L252" i="2"/>
  <c r="K252" i="2"/>
  <c r="J252" i="2"/>
  <c r="I252" i="2"/>
  <c r="L251" i="2"/>
  <c r="K251" i="2"/>
  <c r="J251" i="2"/>
  <c r="I251" i="2"/>
  <c r="L250" i="2"/>
  <c r="K250" i="2"/>
  <c r="J250" i="2"/>
  <c r="I250" i="2"/>
  <c r="L249" i="2"/>
  <c r="K249" i="2"/>
  <c r="J249" i="2"/>
  <c r="I249" i="2"/>
  <c r="L248" i="2"/>
  <c r="K248" i="2"/>
  <c r="J248" i="2"/>
  <c r="I248" i="2"/>
  <c r="L247" i="2"/>
  <c r="K247" i="2"/>
  <c r="J247" i="2"/>
  <c r="I247" i="2"/>
  <c r="L246" i="2"/>
  <c r="K246" i="2"/>
  <c r="J246" i="2"/>
  <c r="I246" i="2"/>
  <c r="L245" i="2"/>
  <c r="K245" i="2"/>
  <c r="J245" i="2"/>
  <c r="I245" i="2"/>
  <c r="L244" i="2"/>
  <c r="K244" i="2"/>
  <c r="J244" i="2"/>
  <c r="I244" i="2"/>
  <c r="L243" i="2"/>
  <c r="K243" i="2"/>
  <c r="J243" i="2"/>
  <c r="I243" i="2"/>
  <c r="L242" i="2"/>
  <c r="K242" i="2"/>
  <c r="J242" i="2"/>
  <c r="I242" i="2"/>
  <c r="L241" i="2"/>
  <c r="K241" i="2"/>
  <c r="J241" i="2"/>
  <c r="I241" i="2"/>
  <c r="L240" i="2"/>
  <c r="K240" i="2"/>
  <c r="J240" i="2"/>
  <c r="I240" i="2"/>
  <c r="L239" i="2"/>
  <c r="K239" i="2"/>
  <c r="J239" i="2"/>
  <c r="I239" i="2"/>
  <c r="L238" i="2"/>
  <c r="K238" i="2"/>
  <c r="J238" i="2"/>
  <c r="I238" i="2"/>
  <c r="L237" i="2"/>
  <c r="K237" i="2"/>
  <c r="J237" i="2"/>
  <c r="I237" i="2"/>
  <c r="L236" i="2"/>
  <c r="K236" i="2"/>
  <c r="J236" i="2"/>
  <c r="I236" i="2"/>
  <c r="L235" i="2"/>
  <c r="K235" i="2"/>
  <c r="J235" i="2"/>
  <c r="I235" i="2"/>
  <c r="L234" i="2"/>
  <c r="K234" i="2"/>
  <c r="J234" i="2"/>
  <c r="I234" i="2"/>
  <c r="L233" i="2"/>
  <c r="K233" i="2"/>
  <c r="J233" i="2"/>
  <c r="I233" i="2"/>
  <c r="L232" i="2"/>
  <c r="K232" i="2"/>
  <c r="J232" i="2"/>
  <c r="I232" i="2"/>
  <c r="L231" i="2"/>
  <c r="K231" i="2"/>
  <c r="J231" i="2"/>
  <c r="I231" i="2"/>
  <c r="L230" i="2"/>
  <c r="K230" i="2"/>
  <c r="J230" i="2"/>
  <c r="I230" i="2"/>
  <c r="L229" i="2"/>
  <c r="K229" i="2"/>
  <c r="J229" i="2"/>
  <c r="I229" i="2"/>
  <c r="L228" i="2"/>
  <c r="K228" i="2"/>
  <c r="J228" i="2"/>
  <c r="I228" i="2"/>
  <c r="L227" i="2"/>
  <c r="K227" i="2"/>
  <c r="J227" i="2"/>
  <c r="I227" i="2"/>
  <c r="L226" i="2"/>
  <c r="K226" i="2"/>
  <c r="J226" i="2"/>
  <c r="I226" i="2"/>
  <c r="L225" i="2"/>
  <c r="K225" i="2"/>
  <c r="J225" i="2"/>
  <c r="I225" i="2"/>
  <c r="L224" i="2"/>
  <c r="K224" i="2"/>
  <c r="J224" i="2"/>
  <c r="I224" i="2"/>
  <c r="L223" i="2"/>
  <c r="K223" i="2"/>
  <c r="J223" i="2"/>
  <c r="I223" i="2"/>
  <c r="L222" i="2"/>
  <c r="K222" i="2"/>
  <c r="J222" i="2"/>
  <c r="I222" i="2"/>
  <c r="L221" i="2"/>
  <c r="K221" i="2"/>
  <c r="J221" i="2"/>
  <c r="I221" i="2"/>
  <c r="L220" i="2"/>
  <c r="K220" i="2"/>
  <c r="J220" i="2"/>
  <c r="I220" i="2"/>
  <c r="L219" i="2"/>
  <c r="K219" i="2"/>
  <c r="J219" i="2"/>
  <c r="I219" i="2"/>
  <c r="L218" i="2"/>
  <c r="K218" i="2"/>
  <c r="J218" i="2"/>
  <c r="I218" i="2"/>
  <c r="L217" i="2"/>
  <c r="K217" i="2"/>
  <c r="J217" i="2"/>
  <c r="I217" i="2"/>
  <c r="L216" i="2"/>
  <c r="K216" i="2"/>
  <c r="J216" i="2"/>
  <c r="I216" i="2"/>
  <c r="L215" i="2"/>
  <c r="K215" i="2"/>
  <c r="J215" i="2"/>
  <c r="I215" i="2"/>
  <c r="L214" i="2"/>
  <c r="K214" i="2"/>
  <c r="J214" i="2"/>
  <c r="I214" i="2"/>
  <c r="L213" i="2"/>
  <c r="K213" i="2"/>
  <c r="J213" i="2"/>
  <c r="I213" i="2"/>
  <c r="L212" i="2"/>
  <c r="K212" i="2"/>
  <c r="J212" i="2"/>
  <c r="I212" i="2"/>
  <c r="L211" i="2"/>
  <c r="K211" i="2"/>
  <c r="J211" i="2"/>
  <c r="I211" i="2"/>
  <c r="L210" i="2"/>
  <c r="K210" i="2"/>
  <c r="J210" i="2"/>
  <c r="I210" i="2"/>
  <c r="L209" i="2"/>
  <c r="K209" i="2"/>
  <c r="J209" i="2"/>
  <c r="I209" i="2"/>
  <c r="L208" i="2"/>
  <c r="K208" i="2"/>
  <c r="J208" i="2"/>
  <c r="I208" i="2"/>
  <c r="L207" i="2"/>
  <c r="K207" i="2"/>
  <c r="J207" i="2"/>
  <c r="I207" i="2"/>
  <c r="L206" i="2"/>
  <c r="K206" i="2"/>
  <c r="J206" i="2"/>
  <c r="I206" i="2"/>
  <c r="L205" i="2"/>
  <c r="K205" i="2"/>
  <c r="J205" i="2"/>
  <c r="I205" i="2"/>
  <c r="L204" i="2"/>
  <c r="K204" i="2"/>
  <c r="J204" i="2"/>
  <c r="I204" i="2"/>
  <c r="L203" i="2"/>
  <c r="K203" i="2"/>
  <c r="J203" i="2"/>
  <c r="I203" i="2"/>
  <c r="L202" i="2"/>
  <c r="K202" i="2"/>
  <c r="J202" i="2"/>
  <c r="I202" i="2"/>
  <c r="L201" i="2"/>
  <c r="K201" i="2"/>
  <c r="J201" i="2"/>
  <c r="I201" i="2"/>
  <c r="L200" i="2"/>
  <c r="K200" i="2"/>
  <c r="J200" i="2"/>
  <c r="I200" i="2"/>
  <c r="L199" i="2"/>
  <c r="K199" i="2"/>
  <c r="J199" i="2"/>
  <c r="I199" i="2"/>
  <c r="L198" i="2"/>
  <c r="K198" i="2"/>
  <c r="J198" i="2"/>
  <c r="I198" i="2"/>
  <c r="L197" i="2"/>
  <c r="K197" i="2"/>
  <c r="J197" i="2"/>
  <c r="I197" i="2"/>
  <c r="L196" i="2"/>
  <c r="K196" i="2"/>
  <c r="J196" i="2"/>
  <c r="I196" i="2"/>
  <c r="L195" i="2"/>
  <c r="K195" i="2"/>
  <c r="J195" i="2"/>
  <c r="I195" i="2"/>
  <c r="L194" i="2"/>
  <c r="K194" i="2"/>
  <c r="J194" i="2"/>
  <c r="I194" i="2"/>
  <c r="L193" i="2"/>
  <c r="K193" i="2"/>
  <c r="J193" i="2"/>
  <c r="I193" i="2"/>
  <c r="L192" i="2"/>
  <c r="K192" i="2"/>
  <c r="J192" i="2"/>
  <c r="I192" i="2"/>
  <c r="L191" i="2"/>
  <c r="K191" i="2"/>
  <c r="J191" i="2"/>
  <c r="I191" i="2"/>
  <c r="L190" i="2"/>
  <c r="K190" i="2"/>
  <c r="J190" i="2"/>
  <c r="I190" i="2"/>
  <c r="L189" i="2"/>
  <c r="K189" i="2"/>
  <c r="J189" i="2"/>
  <c r="I189" i="2"/>
  <c r="L188" i="2"/>
  <c r="K188" i="2"/>
  <c r="J188" i="2"/>
  <c r="I188" i="2"/>
  <c r="L187" i="2"/>
  <c r="K187" i="2"/>
  <c r="J187" i="2"/>
  <c r="I187" i="2"/>
  <c r="L186" i="2"/>
  <c r="K186" i="2"/>
  <c r="J186" i="2"/>
  <c r="I186" i="2"/>
  <c r="L185" i="2"/>
  <c r="K185" i="2"/>
  <c r="J185" i="2"/>
  <c r="I185" i="2"/>
  <c r="L184" i="2"/>
  <c r="K184" i="2"/>
  <c r="J184" i="2"/>
  <c r="I184" i="2"/>
  <c r="L183" i="2"/>
  <c r="K183" i="2"/>
  <c r="J183" i="2"/>
  <c r="I183" i="2"/>
  <c r="L182" i="2"/>
  <c r="K182" i="2"/>
  <c r="J182" i="2"/>
  <c r="I182" i="2"/>
  <c r="L181" i="2"/>
  <c r="K181" i="2"/>
  <c r="J181" i="2"/>
  <c r="I181" i="2"/>
  <c r="L180" i="2"/>
  <c r="K180" i="2"/>
  <c r="J180" i="2"/>
  <c r="I180" i="2"/>
  <c r="L179" i="2"/>
  <c r="K179" i="2"/>
  <c r="J179" i="2"/>
  <c r="I179" i="2"/>
  <c r="L178" i="2"/>
  <c r="K178" i="2"/>
  <c r="J178" i="2"/>
  <c r="I178" i="2"/>
  <c r="L177" i="2"/>
  <c r="K177" i="2"/>
  <c r="J177" i="2"/>
  <c r="I177" i="2"/>
  <c r="L176" i="2"/>
  <c r="K176" i="2"/>
  <c r="J176" i="2"/>
  <c r="I176" i="2"/>
  <c r="L175" i="2"/>
  <c r="K175" i="2"/>
  <c r="J175" i="2"/>
  <c r="I175" i="2"/>
  <c r="L174" i="2"/>
  <c r="K174" i="2"/>
  <c r="J174" i="2"/>
  <c r="I174" i="2"/>
  <c r="L173" i="2"/>
  <c r="K173" i="2"/>
  <c r="J173" i="2"/>
  <c r="I173" i="2"/>
  <c r="L172" i="2"/>
  <c r="K172" i="2"/>
  <c r="J172" i="2"/>
  <c r="I172" i="2"/>
  <c r="L171" i="2"/>
  <c r="K171" i="2"/>
  <c r="J171" i="2"/>
  <c r="I171" i="2"/>
  <c r="L170" i="2"/>
  <c r="K170" i="2"/>
  <c r="J170" i="2"/>
  <c r="I170" i="2"/>
  <c r="L169" i="2"/>
  <c r="K169" i="2"/>
  <c r="J169" i="2"/>
  <c r="I169" i="2"/>
  <c r="L168" i="2"/>
  <c r="K168" i="2"/>
  <c r="J168" i="2"/>
  <c r="I168" i="2"/>
  <c r="L167" i="2"/>
  <c r="K167" i="2"/>
  <c r="J167" i="2"/>
  <c r="I167" i="2"/>
  <c r="L166" i="2"/>
  <c r="K166" i="2"/>
  <c r="J166" i="2"/>
  <c r="I166" i="2"/>
  <c r="L165" i="2"/>
  <c r="K165" i="2"/>
  <c r="J165" i="2"/>
  <c r="I165" i="2"/>
  <c r="L164" i="2"/>
  <c r="K164" i="2"/>
  <c r="J164" i="2"/>
  <c r="I164" i="2"/>
  <c r="L163" i="2"/>
  <c r="K163" i="2"/>
  <c r="J163" i="2"/>
  <c r="I163" i="2"/>
  <c r="L162" i="2"/>
  <c r="K162" i="2"/>
  <c r="J162" i="2"/>
  <c r="I162" i="2"/>
  <c r="L161" i="2"/>
  <c r="K161" i="2"/>
  <c r="J161" i="2"/>
  <c r="I161" i="2"/>
  <c r="L160" i="2"/>
  <c r="K160" i="2"/>
  <c r="J160" i="2"/>
  <c r="I160" i="2"/>
  <c r="L159" i="2"/>
  <c r="K159" i="2"/>
  <c r="J159" i="2"/>
  <c r="I159" i="2"/>
  <c r="L158" i="2"/>
  <c r="K158" i="2"/>
  <c r="J158" i="2"/>
  <c r="I158" i="2"/>
  <c r="L157" i="2"/>
  <c r="K157" i="2"/>
  <c r="J157" i="2"/>
  <c r="I157" i="2"/>
  <c r="L156" i="2"/>
  <c r="K156" i="2"/>
  <c r="J156" i="2"/>
  <c r="I156" i="2"/>
  <c r="L155" i="2"/>
  <c r="K155" i="2"/>
  <c r="J155" i="2"/>
  <c r="I155" i="2"/>
  <c r="L154" i="2"/>
  <c r="K154" i="2"/>
  <c r="J154" i="2"/>
  <c r="I154" i="2"/>
  <c r="L153" i="2"/>
  <c r="K153" i="2"/>
  <c r="J153" i="2"/>
  <c r="I153" i="2"/>
  <c r="L152" i="2"/>
  <c r="K152" i="2"/>
  <c r="J152" i="2"/>
  <c r="I152" i="2"/>
  <c r="L151" i="2"/>
  <c r="K151" i="2"/>
  <c r="J151" i="2"/>
  <c r="I151" i="2"/>
  <c r="L150" i="2"/>
  <c r="K150" i="2"/>
  <c r="J150" i="2"/>
  <c r="I150" i="2"/>
  <c r="L149" i="2"/>
  <c r="K149" i="2"/>
  <c r="J149" i="2"/>
  <c r="I149" i="2"/>
  <c r="L148" i="2"/>
  <c r="K148" i="2"/>
  <c r="J148" i="2"/>
  <c r="I148" i="2"/>
  <c r="L147" i="2"/>
  <c r="K147" i="2"/>
  <c r="J147" i="2"/>
  <c r="I147" i="2"/>
  <c r="L146" i="2"/>
  <c r="K146" i="2"/>
  <c r="J146" i="2"/>
  <c r="I146" i="2"/>
  <c r="L145" i="2"/>
  <c r="K145" i="2"/>
  <c r="J145" i="2"/>
  <c r="I145" i="2"/>
  <c r="L144" i="2"/>
  <c r="K144" i="2"/>
  <c r="J144" i="2"/>
  <c r="I144" i="2"/>
  <c r="L143" i="2"/>
  <c r="K143" i="2"/>
  <c r="J143" i="2"/>
  <c r="I143" i="2"/>
  <c r="L142" i="2"/>
  <c r="K142" i="2"/>
  <c r="J142" i="2"/>
  <c r="I142" i="2"/>
  <c r="L141" i="2"/>
  <c r="K141" i="2"/>
  <c r="J141" i="2"/>
  <c r="I141" i="2"/>
  <c r="L140" i="2"/>
  <c r="K140" i="2"/>
  <c r="J140" i="2"/>
  <c r="I140" i="2"/>
  <c r="L139" i="2"/>
  <c r="K139" i="2"/>
  <c r="J139" i="2"/>
  <c r="I139" i="2"/>
  <c r="L138" i="2"/>
  <c r="K138" i="2"/>
  <c r="J138" i="2"/>
  <c r="I138" i="2"/>
  <c r="L137" i="2"/>
  <c r="K137" i="2"/>
  <c r="J137" i="2"/>
  <c r="I137" i="2"/>
  <c r="L136" i="2"/>
  <c r="K136" i="2"/>
  <c r="J136" i="2"/>
  <c r="I136" i="2"/>
  <c r="L135" i="2"/>
  <c r="K135" i="2"/>
  <c r="J135" i="2"/>
  <c r="I135" i="2"/>
  <c r="L134" i="2"/>
  <c r="K134" i="2"/>
  <c r="J134" i="2"/>
  <c r="I134" i="2"/>
  <c r="L133" i="2"/>
  <c r="K133" i="2"/>
  <c r="J133" i="2"/>
  <c r="I133" i="2"/>
  <c r="L132" i="2"/>
  <c r="K132" i="2"/>
  <c r="J132" i="2"/>
  <c r="I132" i="2"/>
  <c r="L131" i="2"/>
  <c r="K131" i="2"/>
  <c r="J131" i="2"/>
  <c r="I131" i="2"/>
  <c r="L130" i="2"/>
  <c r="K130" i="2"/>
  <c r="J130" i="2"/>
  <c r="I130" i="2"/>
  <c r="L129" i="2"/>
  <c r="K129" i="2"/>
  <c r="J129" i="2"/>
  <c r="I129" i="2"/>
  <c r="L128" i="2"/>
  <c r="K128" i="2"/>
  <c r="J128" i="2"/>
  <c r="I128" i="2"/>
  <c r="L127" i="2"/>
  <c r="K127" i="2"/>
  <c r="J127" i="2"/>
  <c r="I127" i="2"/>
  <c r="L126" i="2"/>
  <c r="K126" i="2"/>
  <c r="J126" i="2"/>
  <c r="I126" i="2"/>
  <c r="L125" i="2"/>
  <c r="K125" i="2"/>
  <c r="J125" i="2"/>
  <c r="I125" i="2"/>
  <c r="L124" i="2"/>
  <c r="K124" i="2"/>
  <c r="J124" i="2"/>
  <c r="I124" i="2"/>
  <c r="L123" i="2"/>
  <c r="K123" i="2"/>
  <c r="J123" i="2"/>
  <c r="I123" i="2"/>
  <c r="L122" i="2"/>
  <c r="K122" i="2"/>
  <c r="J122" i="2"/>
  <c r="I122" i="2"/>
  <c r="L121" i="2"/>
  <c r="K121" i="2"/>
  <c r="J121" i="2"/>
  <c r="I121" i="2"/>
  <c r="L120" i="2"/>
  <c r="K120" i="2"/>
  <c r="J120" i="2"/>
  <c r="I120" i="2"/>
  <c r="L119" i="2"/>
  <c r="K119" i="2"/>
  <c r="J119" i="2"/>
  <c r="I119" i="2"/>
  <c r="L118" i="2"/>
  <c r="K118" i="2"/>
  <c r="J118" i="2"/>
  <c r="I118" i="2"/>
  <c r="L117" i="2"/>
  <c r="K117" i="2"/>
  <c r="J117" i="2"/>
  <c r="I117" i="2"/>
  <c r="L116" i="2"/>
  <c r="K116" i="2"/>
  <c r="J116" i="2"/>
  <c r="I116" i="2"/>
  <c r="L115" i="2"/>
  <c r="K115" i="2"/>
  <c r="J115" i="2"/>
  <c r="I115" i="2"/>
  <c r="L114" i="2"/>
  <c r="K114" i="2"/>
  <c r="J114" i="2"/>
  <c r="I114" i="2"/>
  <c r="L113" i="2"/>
  <c r="K113" i="2"/>
  <c r="J113" i="2"/>
  <c r="I113" i="2"/>
  <c r="L112" i="2"/>
  <c r="K112" i="2"/>
  <c r="J112" i="2"/>
  <c r="I112" i="2"/>
  <c r="L111" i="2"/>
  <c r="K111" i="2"/>
  <c r="J111" i="2"/>
  <c r="I111" i="2"/>
  <c r="L110" i="2"/>
  <c r="K110" i="2"/>
  <c r="J110" i="2"/>
  <c r="I110" i="2"/>
  <c r="L109" i="2"/>
  <c r="K109" i="2"/>
  <c r="J109" i="2"/>
  <c r="I109" i="2"/>
  <c r="L108" i="2"/>
  <c r="K108" i="2"/>
  <c r="J108" i="2"/>
  <c r="I108" i="2"/>
  <c r="L107" i="2"/>
  <c r="K107" i="2"/>
  <c r="J107" i="2"/>
  <c r="I107" i="2"/>
  <c r="L106" i="2"/>
  <c r="K106" i="2"/>
  <c r="J106" i="2"/>
  <c r="I106" i="2"/>
  <c r="L105" i="2"/>
  <c r="K105" i="2"/>
  <c r="J105" i="2"/>
  <c r="I105" i="2"/>
  <c r="L104" i="2"/>
  <c r="K104" i="2"/>
  <c r="J104" i="2"/>
  <c r="I104" i="2"/>
  <c r="L103" i="2"/>
  <c r="K103" i="2"/>
  <c r="J103" i="2"/>
  <c r="I103" i="2"/>
  <c r="L102" i="2"/>
  <c r="K102" i="2"/>
  <c r="J102" i="2"/>
  <c r="I102" i="2"/>
  <c r="L101" i="2"/>
  <c r="K101" i="2"/>
  <c r="J101" i="2"/>
  <c r="I101" i="2"/>
  <c r="L100" i="2"/>
  <c r="K100" i="2"/>
  <c r="J100" i="2"/>
  <c r="I100" i="2"/>
  <c r="L99" i="2"/>
  <c r="K99" i="2"/>
  <c r="J99" i="2"/>
  <c r="I99" i="2"/>
  <c r="L98" i="2"/>
  <c r="K98" i="2"/>
  <c r="J98" i="2"/>
  <c r="I98" i="2"/>
  <c r="L97" i="2"/>
  <c r="K97" i="2"/>
  <c r="J97" i="2"/>
  <c r="I97" i="2"/>
  <c r="L96" i="2"/>
  <c r="K96" i="2"/>
  <c r="J96" i="2"/>
  <c r="I96" i="2"/>
  <c r="L95" i="2"/>
  <c r="K95" i="2"/>
  <c r="J95" i="2"/>
  <c r="I95" i="2"/>
  <c r="L94" i="2"/>
  <c r="K94" i="2"/>
  <c r="J94" i="2"/>
  <c r="I94" i="2"/>
  <c r="L93" i="2"/>
  <c r="K93" i="2"/>
  <c r="J93" i="2"/>
  <c r="I93" i="2"/>
  <c r="L92" i="2"/>
  <c r="K92" i="2"/>
  <c r="J92" i="2"/>
  <c r="I92" i="2"/>
  <c r="L91" i="2"/>
  <c r="K91" i="2"/>
  <c r="J91" i="2"/>
  <c r="I91" i="2"/>
  <c r="L90" i="2"/>
  <c r="K90" i="2"/>
  <c r="J90" i="2"/>
  <c r="I90" i="2"/>
  <c r="L89" i="2"/>
  <c r="K89" i="2"/>
  <c r="J89" i="2"/>
  <c r="I89" i="2"/>
  <c r="L88" i="2"/>
  <c r="K88" i="2"/>
  <c r="J88" i="2"/>
  <c r="I88" i="2"/>
  <c r="L87" i="2"/>
  <c r="K87" i="2"/>
  <c r="J87" i="2"/>
  <c r="I87" i="2"/>
  <c r="L86" i="2"/>
  <c r="K86" i="2"/>
  <c r="J86" i="2"/>
  <c r="I86" i="2"/>
  <c r="L85" i="2"/>
  <c r="K85" i="2"/>
  <c r="J85" i="2"/>
  <c r="I85" i="2"/>
  <c r="L84" i="2"/>
  <c r="K84" i="2"/>
  <c r="J84" i="2"/>
  <c r="I84" i="2"/>
  <c r="L83" i="2"/>
  <c r="K83" i="2"/>
  <c r="J83" i="2"/>
  <c r="I83" i="2"/>
  <c r="L82" i="2"/>
  <c r="K82" i="2"/>
  <c r="J82" i="2"/>
  <c r="I82" i="2"/>
  <c r="L81" i="2"/>
  <c r="K81" i="2"/>
  <c r="J81" i="2"/>
  <c r="I81" i="2"/>
  <c r="L80" i="2"/>
  <c r="K80" i="2"/>
  <c r="J80" i="2"/>
  <c r="I80" i="2"/>
  <c r="L79" i="2"/>
  <c r="K79" i="2"/>
  <c r="J79" i="2"/>
  <c r="I79" i="2"/>
  <c r="L78" i="2"/>
  <c r="K78" i="2"/>
  <c r="J78" i="2"/>
  <c r="I78" i="2"/>
  <c r="L77" i="2"/>
  <c r="K77" i="2"/>
  <c r="J77" i="2"/>
  <c r="I77" i="2"/>
  <c r="L76" i="2"/>
  <c r="K76" i="2"/>
  <c r="J76" i="2"/>
  <c r="I76" i="2"/>
  <c r="L75" i="2"/>
  <c r="K75" i="2"/>
  <c r="J75" i="2"/>
  <c r="I75" i="2"/>
  <c r="L74" i="2"/>
  <c r="K74" i="2"/>
  <c r="J74" i="2"/>
  <c r="I74" i="2"/>
  <c r="L73" i="2"/>
  <c r="K73" i="2"/>
  <c r="J73" i="2"/>
  <c r="I73" i="2"/>
  <c r="L72" i="2"/>
  <c r="K72" i="2"/>
  <c r="J72" i="2"/>
  <c r="I72" i="2"/>
  <c r="L71" i="2"/>
  <c r="K71" i="2"/>
  <c r="J71" i="2"/>
  <c r="I71" i="2"/>
  <c r="L70" i="2"/>
  <c r="K70" i="2"/>
  <c r="J70" i="2"/>
  <c r="I70" i="2"/>
  <c r="L69" i="2"/>
  <c r="K69" i="2"/>
  <c r="J69" i="2"/>
  <c r="I69" i="2"/>
  <c r="L68" i="2"/>
  <c r="K68" i="2"/>
  <c r="J68" i="2"/>
  <c r="I68" i="2"/>
  <c r="L67" i="2"/>
  <c r="K67" i="2"/>
  <c r="J67" i="2"/>
  <c r="I67" i="2"/>
  <c r="L66" i="2"/>
  <c r="K66" i="2"/>
  <c r="J66" i="2"/>
  <c r="I66" i="2"/>
  <c r="L65" i="2"/>
  <c r="K65" i="2"/>
  <c r="J65" i="2"/>
  <c r="I65" i="2"/>
  <c r="L64" i="2"/>
  <c r="K64" i="2"/>
  <c r="J64" i="2"/>
  <c r="I64" i="2"/>
  <c r="L63" i="2"/>
  <c r="K63" i="2"/>
  <c r="J63" i="2"/>
  <c r="I63" i="2"/>
  <c r="L62" i="2"/>
  <c r="K62" i="2"/>
  <c r="J62" i="2"/>
  <c r="I62" i="2"/>
  <c r="L61" i="2"/>
  <c r="K61" i="2"/>
  <c r="J61" i="2"/>
  <c r="I61" i="2"/>
  <c r="L60" i="2"/>
  <c r="K60" i="2"/>
  <c r="J60" i="2"/>
  <c r="I60" i="2"/>
  <c r="L59" i="2"/>
  <c r="K59" i="2"/>
  <c r="J59" i="2"/>
  <c r="I59" i="2"/>
  <c r="L58" i="2"/>
  <c r="K58" i="2"/>
  <c r="J58" i="2"/>
  <c r="I58" i="2"/>
  <c r="L57" i="2"/>
  <c r="K57" i="2"/>
  <c r="J57" i="2"/>
  <c r="I57" i="2"/>
  <c r="L56" i="2"/>
  <c r="K56" i="2"/>
  <c r="J56" i="2"/>
  <c r="I56" i="2"/>
  <c r="L55" i="2"/>
  <c r="K55" i="2"/>
  <c r="J55" i="2"/>
  <c r="I55" i="2"/>
  <c r="L54" i="2"/>
  <c r="K54" i="2"/>
  <c r="J54" i="2"/>
  <c r="I54" i="2"/>
  <c r="L53" i="2"/>
  <c r="K53" i="2"/>
  <c r="J53" i="2"/>
  <c r="I53" i="2"/>
  <c r="L52" i="2"/>
  <c r="K52" i="2"/>
  <c r="J52" i="2"/>
  <c r="I52" i="2"/>
  <c r="L51" i="2"/>
  <c r="K51" i="2"/>
  <c r="J51" i="2"/>
  <c r="I51" i="2"/>
  <c r="L50" i="2"/>
  <c r="K50" i="2"/>
  <c r="J50" i="2"/>
  <c r="I50" i="2"/>
  <c r="L49" i="2"/>
  <c r="K49" i="2"/>
  <c r="J49" i="2"/>
  <c r="I49" i="2"/>
  <c r="L48" i="2"/>
  <c r="K48" i="2"/>
  <c r="J48" i="2"/>
  <c r="I48" i="2"/>
  <c r="L47" i="2"/>
  <c r="K47" i="2"/>
  <c r="J47" i="2"/>
  <c r="I47" i="2"/>
  <c r="L46" i="2"/>
  <c r="K46" i="2"/>
  <c r="J46" i="2"/>
  <c r="I46" i="2"/>
  <c r="L45" i="2"/>
  <c r="K45" i="2"/>
  <c r="J45" i="2"/>
  <c r="I45" i="2"/>
  <c r="L44" i="2"/>
  <c r="K44" i="2"/>
  <c r="J44" i="2"/>
  <c r="I44" i="2"/>
  <c r="L43" i="2"/>
  <c r="K43" i="2"/>
  <c r="J43" i="2"/>
  <c r="I43" i="2"/>
  <c r="L42" i="2"/>
  <c r="K42" i="2"/>
  <c r="J42" i="2"/>
  <c r="I42" i="2"/>
  <c r="L41" i="2"/>
  <c r="K41" i="2"/>
  <c r="J41" i="2"/>
  <c r="I41" i="2"/>
  <c r="L40" i="2"/>
  <c r="K40" i="2"/>
  <c r="J40" i="2"/>
  <c r="I40" i="2"/>
  <c r="L39" i="2"/>
  <c r="K39" i="2"/>
  <c r="J39" i="2"/>
  <c r="I39" i="2"/>
  <c r="L38" i="2"/>
  <c r="K38" i="2"/>
  <c r="J38" i="2"/>
  <c r="I38" i="2"/>
  <c r="L37" i="2"/>
  <c r="K37" i="2"/>
  <c r="J37" i="2"/>
  <c r="I37" i="2"/>
  <c r="L36" i="2"/>
  <c r="K36" i="2"/>
  <c r="J36" i="2"/>
  <c r="I36" i="2"/>
  <c r="L35" i="2"/>
  <c r="K35" i="2"/>
  <c r="J35" i="2"/>
  <c r="I35" i="2"/>
  <c r="L34" i="2"/>
  <c r="K34" i="2"/>
  <c r="J34" i="2"/>
  <c r="I34" i="2"/>
  <c r="L33" i="2"/>
  <c r="K33" i="2"/>
  <c r="J33" i="2"/>
  <c r="I33" i="2"/>
  <c r="L32" i="2"/>
  <c r="K32" i="2"/>
  <c r="J32" i="2"/>
  <c r="I32" i="2"/>
  <c r="L31" i="2"/>
  <c r="K31" i="2"/>
  <c r="J31" i="2"/>
  <c r="I31" i="2"/>
  <c r="L30" i="2"/>
  <c r="K30" i="2"/>
  <c r="J30" i="2"/>
  <c r="I30" i="2"/>
  <c r="L29" i="2"/>
  <c r="K29" i="2"/>
  <c r="J29" i="2"/>
  <c r="I29" i="2"/>
  <c r="L28" i="2"/>
  <c r="K28" i="2"/>
  <c r="J28" i="2"/>
  <c r="I28" i="2"/>
  <c r="L27" i="2"/>
  <c r="K27" i="2"/>
  <c r="J27" i="2"/>
  <c r="I27" i="2"/>
  <c r="L26" i="2"/>
  <c r="K26" i="2"/>
  <c r="J26" i="2"/>
  <c r="I26" i="2"/>
  <c r="L25" i="2"/>
  <c r="K25" i="2"/>
  <c r="J25" i="2"/>
  <c r="I25" i="2"/>
  <c r="L24" i="2"/>
  <c r="K24" i="2"/>
  <c r="J24" i="2"/>
  <c r="I24" i="2"/>
  <c r="L23" i="2"/>
  <c r="K23" i="2"/>
  <c r="J23" i="2"/>
  <c r="I23" i="2"/>
  <c r="L22" i="2"/>
  <c r="K22" i="2"/>
  <c r="J22" i="2"/>
  <c r="I22" i="2"/>
  <c r="L21" i="2"/>
  <c r="K21" i="2"/>
  <c r="J21" i="2"/>
  <c r="I21" i="2"/>
  <c r="L20" i="2"/>
  <c r="K20" i="2"/>
  <c r="J20" i="2"/>
  <c r="I20" i="2"/>
  <c r="L19" i="2"/>
  <c r="K19" i="2"/>
  <c r="J19" i="2"/>
  <c r="I19" i="2"/>
  <c r="L18" i="2"/>
  <c r="K18" i="2"/>
  <c r="J18" i="2"/>
  <c r="I18" i="2"/>
  <c r="L17" i="2"/>
  <c r="K17" i="2"/>
  <c r="J17" i="2"/>
  <c r="I17" i="2"/>
  <c r="L16" i="2"/>
  <c r="K16" i="2"/>
  <c r="J16" i="2"/>
  <c r="I16" i="2"/>
  <c r="L15" i="2"/>
  <c r="K15" i="2"/>
  <c r="J15" i="2"/>
  <c r="I15" i="2"/>
  <c r="L14" i="2"/>
  <c r="K14" i="2"/>
  <c r="J14" i="2"/>
  <c r="I14" i="2"/>
  <c r="L13" i="2"/>
  <c r="K13" i="2"/>
  <c r="J13" i="2"/>
  <c r="I13" i="2"/>
  <c r="L12" i="2"/>
  <c r="K12" i="2"/>
  <c r="J12" i="2"/>
  <c r="I12" i="2"/>
  <c r="L11" i="2"/>
  <c r="K11" i="2"/>
  <c r="J11" i="2"/>
  <c r="I11" i="2"/>
  <c r="L10" i="2"/>
  <c r="K10" i="2"/>
  <c r="J10" i="2"/>
  <c r="I10" i="2"/>
  <c r="L9" i="2"/>
  <c r="K9" i="2"/>
  <c r="J9" i="2"/>
  <c r="I9" i="2"/>
  <c r="L8" i="2"/>
  <c r="K8" i="2"/>
  <c r="J8" i="2"/>
  <c r="I8" i="2"/>
  <c r="L7" i="2"/>
  <c r="K7" i="2"/>
  <c r="J7" i="2"/>
  <c r="I7" i="2"/>
  <c r="L6" i="2"/>
  <c r="K6" i="2"/>
  <c r="J6" i="2"/>
  <c r="I6" i="2"/>
  <c r="L5" i="2"/>
  <c r="K5" i="2"/>
  <c r="J5" i="2"/>
  <c r="I5" i="2"/>
  <c r="L4" i="2"/>
  <c r="K4" i="2"/>
  <c r="J4" i="2"/>
  <c r="I4" i="2"/>
  <c r="L3" i="2"/>
  <c r="K3" i="2"/>
  <c r="J3" i="2"/>
  <c r="I3" i="2"/>
  <c r="L2" i="2"/>
  <c r="K2" i="2"/>
  <c r="J2" i="2"/>
  <c r="I2" i="2"/>
  <c r="M221" i="1"/>
  <c r="L221" i="1"/>
  <c r="K221" i="1"/>
  <c r="J221" i="1"/>
  <c r="M220" i="1"/>
  <c r="L220" i="1"/>
  <c r="K220" i="1"/>
  <c r="J220" i="1"/>
  <c r="M219" i="1"/>
  <c r="L219" i="1"/>
  <c r="K219" i="1"/>
  <c r="J219" i="1"/>
  <c r="M218" i="1"/>
  <c r="L218" i="1"/>
  <c r="K218" i="1"/>
  <c r="J218" i="1"/>
  <c r="M217" i="1"/>
  <c r="L217" i="1"/>
  <c r="K217" i="1"/>
  <c r="J217" i="1"/>
  <c r="M216" i="1"/>
  <c r="L216" i="1"/>
  <c r="K216" i="1"/>
  <c r="J216" i="1"/>
  <c r="M215" i="1"/>
  <c r="L215" i="1"/>
  <c r="K215" i="1"/>
  <c r="J215" i="1"/>
  <c r="M214" i="1"/>
  <c r="L214" i="1"/>
  <c r="K214" i="1"/>
  <c r="J214" i="1"/>
  <c r="M213" i="1"/>
  <c r="L213" i="1"/>
  <c r="K213" i="1"/>
  <c r="J213" i="1"/>
  <c r="M212" i="1"/>
  <c r="L212" i="1"/>
  <c r="K212" i="1"/>
  <c r="J212" i="1"/>
  <c r="M211" i="1"/>
  <c r="L211" i="1"/>
  <c r="K211" i="1"/>
  <c r="J211" i="1"/>
  <c r="M210" i="1"/>
  <c r="L210" i="1"/>
  <c r="K210" i="1"/>
  <c r="J210" i="1"/>
  <c r="M209" i="1"/>
  <c r="L209" i="1"/>
  <c r="K209" i="1"/>
  <c r="J209" i="1"/>
  <c r="M208" i="1"/>
  <c r="L208" i="1"/>
  <c r="K208" i="1"/>
  <c r="J208" i="1"/>
  <c r="M207" i="1"/>
  <c r="L207" i="1"/>
  <c r="K207" i="1"/>
  <c r="J207" i="1"/>
  <c r="M206" i="1"/>
  <c r="L206" i="1"/>
  <c r="K206" i="1"/>
  <c r="J206" i="1"/>
  <c r="M205" i="1"/>
  <c r="L205" i="1"/>
  <c r="K205" i="1"/>
  <c r="J205" i="1"/>
  <c r="M204" i="1"/>
  <c r="L204" i="1"/>
  <c r="K204" i="1"/>
  <c r="J204" i="1"/>
  <c r="M203" i="1"/>
  <c r="L203" i="1"/>
  <c r="K203" i="1"/>
  <c r="J203" i="1"/>
  <c r="M202" i="1"/>
  <c r="L202" i="1"/>
  <c r="K202" i="1"/>
  <c r="J202" i="1"/>
  <c r="M201" i="1"/>
  <c r="L201" i="1"/>
  <c r="K201" i="1"/>
  <c r="J201" i="1"/>
  <c r="M200" i="1"/>
  <c r="L200" i="1"/>
  <c r="K200" i="1"/>
  <c r="J200" i="1"/>
  <c r="M199" i="1"/>
  <c r="L199" i="1"/>
  <c r="K199" i="1"/>
  <c r="J199" i="1"/>
  <c r="M198" i="1"/>
  <c r="L198" i="1"/>
  <c r="K198" i="1"/>
  <c r="J198" i="1"/>
  <c r="M197" i="1"/>
  <c r="L197" i="1"/>
  <c r="K197" i="1"/>
  <c r="J197" i="1"/>
  <c r="M196" i="1"/>
  <c r="L196" i="1"/>
  <c r="K196" i="1"/>
  <c r="J196" i="1"/>
  <c r="M195" i="1"/>
  <c r="L195" i="1"/>
  <c r="K195" i="1"/>
  <c r="J195" i="1"/>
  <c r="M194" i="1"/>
  <c r="L194" i="1"/>
  <c r="K194" i="1"/>
  <c r="J194" i="1"/>
  <c r="M193" i="1"/>
  <c r="L193" i="1"/>
  <c r="K193" i="1"/>
  <c r="J193" i="1"/>
  <c r="M192" i="1"/>
  <c r="L192" i="1"/>
  <c r="K192" i="1"/>
  <c r="J192" i="1"/>
  <c r="M191" i="1"/>
  <c r="L191" i="1"/>
  <c r="K191" i="1"/>
  <c r="J191" i="1"/>
  <c r="M190" i="1"/>
  <c r="L190" i="1"/>
  <c r="K190" i="1"/>
  <c r="J190" i="1"/>
  <c r="M189" i="1"/>
  <c r="L189" i="1"/>
  <c r="K189" i="1"/>
  <c r="J189" i="1"/>
  <c r="M188" i="1"/>
  <c r="L188" i="1"/>
  <c r="K188" i="1"/>
  <c r="J188" i="1"/>
  <c r="M187" i="1"/>
  <c r="L187" i="1"/>
  <c r="K187" i="1"/>
  <c r="J187" i="1"/>
  <c r="M186" i="1"/>
  <c r="L186" i="1"/>
  <c r="K186" i="1"/>
  <c r="J186" i="1"/>
  <c r="M185" i="1"/>
  <c r="L185" i="1"/>
  <c r="K185" i="1"/>
  <c r="J185" i="1"/>
  <c r="M184" i="1"/>
  <c r="L184" i="1"/>
  <c r="K184" i="1"/>
  <c r="J184" i="1"/>
  <c r="M183" i="1"/>
  <c r="L183" i="1"/>
  <c r="K183" i="1"/>
  <c r="J183" i="1"/>
  <c r="M182" i="1"/>
  <c r="L182" i="1"/>
  <c r="K182" i="1"/>
  <c r="J182" i="1"/>
  <c r="M181" i="1"/>
  <c r="L181" i="1"/>
  <c r="K181" i="1"/>
  <c r="J181" i="1"/>
  <c r="M180" i="1"/>
  <c r="L180" i="1"/>
  <c r="K180" i="1"/>
  <c r="J180" i="1"/>
  <c r="M179" i="1"/>
  <c r="L179" i="1"/>
  <c r="K179" i="1"/>
  <c r="J179" i="1"/>
  <c r="M178" i="1"/>
  <c r="L178" i="1"/>
  <c r="K178" i="1"/>
  <c r="J178" i="1"/>
  <c r="M177" i="1"/>
  <c r="L177" i="1"/>
  <c r="K177" i="1"/>
  <c r="J177" i="1"/>
  <c r="M176" i="1"/>
  <c r="L176" i="1"/>
  <c r="K176" i="1"/>
  <c r="J176" i="1"/>
  <c r="M175" i="1"/>
  <c r="L175" i="1"/>
  <c r="K175" i="1"/>
  <c r="J175" i="1"/>
  <c r="M174" i="1"/>
  <c r="L174" i="1"/>
  <c r="K174" i="1"/>
  <c r="J174" i="1"/>
  <c r="M173" i="1"/>
  <c r="L173" i="1"/>
  <c r="K173" i="1"/>
  <c r="J173" i="1"/>
  <c r="M172" i="1"/>
  <c r="L172" i="1"/>
  <c r="K172" i="1"/>
  <c r="J172" i="1"/>
  <c r="M171" i="1"/>
  <c r="L171" i="1"/>
  <c r="K171" i="1"/>
  <c r="J171" i="1"/>
  <c r="M170" i="1"/>
  <c r="L170" i="1"/>
  <c r="K170" i="1"/>
  <c r="J170" i="1"/>
  <c r="M169" i="1"/>
  <c r="L169" i="1"/>
  <c r="K169" i="1"/>
  <c r="J169" i="1"/>
  <c r="M168" i="1"/>
  <c r="L168" i="1"/>
  <c r="K168" i="1"/>
  <c r="J168" i="1"/>
  <c r="M167" i="1"/>
  <c r="L167" i="1"/>
  <c r="K167" i="1"/>
  <c r="J167" i="1"/>
  <c r="M166" i="1"/>
  <c r="L166" i="1"/>
  <c r="K166" i="1"/>
  <c r="J166" i="1"/>
  <c r="M165" i="1"/>
  <c r="L165" i="1"/>
  <c r="K165" i="1"/>
  <c r="J165" i="1"/>
  <c r="M164" i="1"/>
  <c r="L164" i="1"/>
  <c r="K164" i="1"/>
  <c r="J164" i="1"/>
  <c r="M163" i="1"/>
  <c r="L163" i="1"/>
  <c r="K163" i="1"/>
  <c r="J163" i="1"/>
  <c r="M162" i="1"/>
  <c r="L162" i="1"/>
  <c r="K162" i="1"/>
  <c r="J162" i="1"/>
  <c r="M161" i="1"/>
  <c r="L161" i="1"/>
  <c r="K161" i="1"/>
  <c r="J161" i="1"/>
  <c r="M160" i="1"/>
  <c r="L160" i="1"/>
  <c r="K160" i="1"/>
  <c r="J160" i="1"/>
  <c r="M159" i="1"/>
  <c r="L159" i="1"/>
  <c r="K159" i="1"/>
  <c r="J159" i="1"/>
  <c r="M158" i="1"/>
  <c r="L158" i="1"/>
  <c r="K158" i="1"/>
  <c r="J158" i="1"/>
  <c r="M157" i="1"/>
  <c r="L157" i="1"/>
  <c r="K157" i="1"/>
  <c r="J157" i="1"/>
  <c r="M156" i="1"/>
  <c r="L156" i="1"/>
  <c r="K156" i="1"/>
  <c r="J156" i="1"/>
  <c r="M155" i="1"/>
  <c r="L155" i="1"/>
  <c r="K155" i="1"/>
  <c r="J155" i="1"/>
  <c r="M154" i="1"/>
  <c r="L154" i="1"/>
  <c r="K154" i="1"/>
  <c r="J154" i="1"/>
  <c r="M153" i="1"/>
  <c r="L153" i="1"/>
  <c r="K153" i="1"/>
  <c r="J153" i="1"/>
  <c r="M152" i="1"/>
  <c r="L152" i="1"/>
  <c r="K152" i="1"/>
  <c r="J152" i="1"/>
  <c r="M151" i="1"/>
  <c r="L151" i="1"/>
  <c r="K151" i="1"/>
  <c r="J151" i="1"/>
  <c r="M150" i="1"/>
  <c r="L150" i="1"/>
  <c r="K150" i="1"/>
  <c r="J150" i="1"/>
  <c r="M149" i="1"/>
  <c r="L149" i="1"/>
  <c r="K149" i="1"/>
  <c r="J149" i="1"/>
  <c r="M148" i="1"/>
  <c r="L148" i="1"/>
  <c r="K148" i="1"/>
  <c r="J148" i="1"/>
  <c r="M147" i="1"/>
  <c r="L147" i="1"/>
  <c r="K147" i="1"/>
  <c r="J147" i="1"/>
  <c r="M146" i="1"/>
  <c r="L146" i="1"/>
  <c r="K146" i="1"/>
  <c r="J146" i="1"/>
  <c r="M145" i="1"/>
  <c r="L145" i="1"/>
  <c r="K145" i="1"/>
  <c r="J145" i="1"/>
  <c r="M144" i="1"/>
  <c r="L144" i="1"/>
  <c r="K144" i="1"/>
  <c r="J144" i="1"/>
  <c r="M143" i="1"/>
  <c r="L143" i="1"/>
  <c r="K143" i="1"/>
  <c r="J143" i="1"/>
  <c r="M142" i="1"/>
  <c r="L142" i="1"/>
  <c r="K142" i="1"/>
  <c r="J142" i="1"/>
  <c r="M141" i="1"/>
  <c r="L141" i="1"/>
  <c r="K141" i="1"/>
  <c r="J141" i="1"/>
  <c r="M140" i="1"/>
  <c r="L140" i="1"/>
  <c r="K140" i="1"/>
  <c r="J140" i="1"/>
  <c r="M139" i="1"/>
  <c r="L139" i="1"/>
  <c r="K139" i="1"/>
  <c r="J139" i="1"/>
  <c r="M138" i="1"/>
  <c r="L138" i="1"/>
  <c r="K138" i="1"/>
  <c r="J138" i="1"/>
  <c r="M137" i="1"/>
  <c r="L137" i="1"/>
  <c r="K137" i="1"/>
  <c r="J137" i="1"/>
  <c r="M136" i="1"/>
  <c r="L136" i="1"/>
  <c r="K136" i="1"/>
  <c r="J136" i="1"/>
  <c r="M135" i="1"/>
  <c r="L135" i="1"/>
  <c r="K135" i="1"/>
  <c r="J135" i="1"/>
  <c r="M134" i="1"/>
  <c r="L134" i="1"/>
  <c r="K134" i="1"/>
  <c r="J134" i="1"/>
  <c r="M133" i="1"/>
  <c r="L133" i="1"/>
  <c r="K133" i="1"/>
  <c r="J133" i="1"/>
  <c r="M132" i="1"/>
  <c r="L132" i="1"/>
  <c r="K132" i="1"/>
  <c r="J132" i="1"/>
  <c r="M131" i="1"/>
  <c r="L131" i="1"/>
  <c r="K131" i="1"/>
  <c r="J131" i="1"/>
  <c r="M130" i="1"/>
  <c r="L130" i="1"/>
  <c r="K130" i="1"/>
  <c r="J130" i="1"/>
  <c r="M129" i="1"/>
  <c r="L129" i="1"/>
  <c r="K129" i="1"/>
  <c r="J129" i="1"/>
  <c r="M128" i="1"/>
  <c r="L128" i="1"/>
  <c r="K128" i="1"/>
  <c r="J128" i="1"/>
  <c r="M127" i="1"/>
  <c r="L127" i="1"/>
  <c r="K127" i="1"/>
  <c r="J127" i="1"/>
  <c r="M126" i="1"/>
  <c r="L126" i="1"/>
  <c r="K126" i="1"/>
  <c r="J126" i="1"/>
  <c r="M125" i="1"/>
  <c r="L125" i="1"/>
  <c r="K125" i="1"/>
  <c r="J125" i="1"/>
  <c r="M124" i="1"/>
  <c r="L124" i="1"/>
  <c r="K124" i="1"/>
  <c r="J124" i="1"/>
  <c r="M123" i="1"/>
  <c r="L123" i="1"/>
  <c r="K123" i="1"/>
  <c r="J123" i="1"/>
  <c r="M122" i="1"/>
  <c r="L122" i="1"/>
  <c r="K122" i="1"/>
  <c r="J122" i="1"/>
  <c r="M121" i="1"/>
  <c r="L121" i="1"/>
  <c r="K121" i="1"/>
  <c r="J121" i="1"/>
  <c r="M120" i="1"/>
  <c r="L120" i="1"/>
  <c r="K120" i="1"/>
  <c r="J120" i="1"/>
  <c r="M119" i="1"/>
  <c r="L119" i="1"/>
  <c r="K119" i="1"/>
  <c r="J119" i="1"/>
  <c r="M118" i="1"/>
  <c r="L118" i="1"/>
  <c r="K118" i="1"/>
  <c r="J118" i="1"/>
  <c r="M117" i="1"/>
  <c r="L117" i="1"/>
  <c r="K117" i="1"/>
  <c r="J117" i="1"/>
  <c r="M116" i="1"/>
  <c r="L116" i="1"/>
  <c r="K116" i="1"/>
  <c r="J116" i="1"/>
  <c r="M115" i="1"/>
  <c r="L115" i="1"/>
  <c r="K115" i="1"/>
  <c r="J115" i="1"/>
  <c r="M114" i="1"/>
  <c r="L114" i="1"/>
  <c r="K114" i="1"/>
  <c r="J114" i="1"/>
  <c r="M113" i="1"/>
  <c r="L113" i="1"/>
  <c r="K113" i="1"/>
  <c r="J113" i="1"/>
  <c r="M112" i="1"/>
  <c r="L112" i="1"/>
  <c r="K112" i="1"/>
  <c r="J112" i="1"/>
  <c r="M111" i="1"/>
  <c r="L111" i="1"/>
  <c r="K111" i="1"/>
  <c r="J111" i="1"/>
  <c r="M110" i="1"/>
  <c r="L110" i="1"/>
  <c r="K110" i="1"/>
  <c r="J110" i="1"/>
  <c r="M109" i="1"/>
  <c r="L109" i="1"/>
  <c r="K109" i="1"/>
  <c r="J109" i="1"/>
  <c r="M108" i="1"/>
  <c r="L108" i="1"/>
  <c r="K108" i="1"/>
  <c r="J108" i="1"/>
  <c r="M107" i="1"/>
  <c r="L107" i="1"/>
  <c r="K107" i="1"/>
  <c r="J107" i="1"/>
  <c r="M106" i="1"/>
  <c r="L106" i="1"/>
  <c r="K106" i="1"/>
  <c r="J106" i="1"/>
  <c r="M105" i="1"/>
  <c r="L105" i="1"/>
  <c r="K105" i="1"/>
  <c r="J105" i="1"/>
  <c r="M104" i="1"/>
  <c r="L104" i="1"/>
  <c r="K104" i="1"/>
  <c r="J104" i="1"/>
  <c r="M103" i="1"/>
  <c r="L103" i="1"/>
  <c r="K103" i="1"/>
  <c r="J103" i="1"/>
  <c r="M102" i="1"/>
  <c r="L102" i="1"/>
  <c r="K102" i="1"/>
  <c r="J102" i="1"/>
  <c r="M101" i="1"/>
  <c r="L101" i="1"/>
  <c r="K101" i="1"/>
  <c r="J101" i="1"/>
  <c r="M100" i="1"/>
  <c r="L100" i="1"/>
  <c r="K100" i="1"/>
  <c r="J100" i="1"/>
  <c r="M99" i="1"/>
  <c r="L99" i="1"/>
  <c r="K99" i="1"/>
  <c r="J99" i="1"/>
  <c r="M98" i="1"/>
  <c r="L98" i="1"/>
  <c r="K98" i="1"/>
  <c r="J98" i="1"/>
  <c r="M97" i="1"/>
  <c r="L97" i="1"/>
  <c r="K97" i="1"/>
  <c r="J97" i="1"/>
  <c r="M96" i="1"/>
  <c r="L96" i="1"/>
  <c r="K96" i="1"/>
  <c r="J96" i="1"/>
  <c r="M95" i="1"/>
  <c r="L95" i="1"/>
  <c r="K95" i="1"/>
  <c r="J95" i="1"/>
  <c r="M94" i="1"/>
  <c r="L94" i="1"/>
  <c r="K94" i="1"/>
  <c r="J94" i="1"/>
  <c r="M93" i="1"/>
  <c r="L93" i="1"/>
  <c r="K93" i="1"/>
  <c r="J93" i="1"/>
  <c r="M92" i="1"/>
  <c r="L92" i="1"/>
  <c r="K92" i="1"/>
  <c r="J92" i="1"/>
  <c r="M91" i="1"/>
  <c r="L91" i="1"/>
  <c r="K91" i="1"/>
  <c r="J91" i="1"/>
  <c r="M90" i="1"/>
  <c r="L90" i="1"/>
  <c r="K90" i="1"/>
  <c r="J90" i="1"/>
  <c r="M89" i="1"/>
  <c r="L89" i="1"/>
  <c r="K89" i="1"/>
  <c r="J89" i="1"/>
  <c r="M88" i="1"/>
  <c r="L88" i="1"/>
  <c r="K88" i="1"/>
  <c r="J88" i="1"/>
  <c r="M87" i="1"/>
  <c r="L87" i="1"/>
  <c r="K87" i="1"/>
  <c r="J87" i="1"/>
  <c r="M86" i="1"/>
  <c r="L86" i="1"/>
  <c r="K86" i="1"/>
  <c r="J86" i="1"/>
  <c r="M85" i="1"/>
  <c r="L85" i="1"/>
  <c r="K85" i="1"/>
  <c r="J85" i="1"/>
  <c r="M84" i="1"/>
  <c r="L84" i="1"/>
  <c r="K84" i="1"/>
  <c r="J84" i="1"/>
  <c r="M83" i="1"/>
  <c r="L83" i="1"/>
  <c r="K83" i="1"/>
  <c r="J83" i="1"/>
  <c r="M82" i="1"/>
  <c r="L82" i="1"/>
  <c r="K82" i="1"/>
  <c r="J82" i="1"/>
  <c r="M81" i="1"/>
  <c r="L81" i="1"/>
  <c r="K81" i="1"/>
  <c r="J81" i="1"/>
  <c r="M80" i="1"/>
  <c r="L80" i="1"/>
  <c r="K80" i="1"/>
  <c r="J80" i="1"/>
  <c r="M79" i="1"/>
  <c r="L79" i="1"/>
  <c r="K79" i="1"/>
  <c r="J79" i="1"/>
  <c r="M78" i="1"/>
  <c r="L78" i="1"/>
  <c r="K78" i="1"/>
  <c r="J78" i="1"/>
  <c r="M77" i="1"/>
  <c r="L77" i="1"/>
  <c r="K77" i="1"/>
  <c r="J77" i="1"/>
  <c r="M76" i="1"/>
  <c r="L76" i="1"/>
  <c r="K76" i="1"/>
  <c r="J76" i="1"/>
  <c r="M75" i="1"/>
  <c r="L75" i="1"/>
  <c r="K75" i="1"/>
  <c r="J75" i="1"/>
  <c r="M74" i="1"/>
  <c r="L74" i="1"/>
  <c r="K74" i="1"/>
  <c r="J74" i="1"/>
  <c r="M73" i="1"/>
  <c r="L73" i="1"/>
  <c r="K73" i="1"/>
  <c r="J73" i="1"/>
  <c r="M72" i="1"/>
  <c r="L72" i="1"/>
  <c r="K72" i="1"/>
  <c r="J72" i="1"/>
  <c r="M71" i="1"/>
  <c r="L71" i="1"/>
  <c r="K71" i="1"/>
  <c r="J71" i="1"/>
  <c r="M70" i="1"/>
  <c r="L70" i="1"/>
  <c r="K70" i="1"/>
  <c r="J70" i="1"/>
  <c r="M69" i="1"/>
  <c r="L69" i="1"/>
  <c r="K69" i="1"/>
  <c r="J69" i="1"/>
  <c r="M68" i="1"/>
  <c r="L68" i="1"/>
  <c r="K68" i="1"/>
  <c r="J68" i="1"/>
  <c r="M67" i="1"/>
  <c r="L67" i="1"/>
  <c r="K67" i="1"/>
  <c r="J67" i="1"/>
  <c r="M66" i="1"/>
  <c r="L66" i="1"/>
  <c r="K66" i="1"/>
  <c r="J66" i="1"/>
  <c r="M65" i="1"/>
  <c r="L65" i="1"/>
  <c r="K65" i="1"/>
  <c r="J65" i="1"/>
  <c r="M64" i="1"/>
  <c r="L64" i="1"/>
  <c r="K64" i="1"/>
  <c r="J64" i="1"/>
  <c r="M63" i="1"/>
  <c r="L63" i="1"/>
  <c r="K63" i="1"/>
  <c r="J63" i="1"/>
  <c r="M62" i="1"/>
  <c r="L62" i="1"/>
  <c r="K62" i="1"/>
  <c r="J62" i="1"/>
  <c r="M61" i="1"/>
  <c r="L61" i="1"/>
  <c r="K61" i="1"/>
  <c r="J61" i="1"/>
  <c r="M60" i="1"/>
  <c r="L60" i="1"/>
  <c r="K60" i="1"/>
  <c r="J60" i="1"/>
  <c r="M59" i="1"/>
  <c r="L59" i="1"/>
  <c r="K59" i="1"/>
  <c r="J59" i="1"/>
  <c r="M58" i="1"/>
  <c r="L58" i="1"/>
  <c r="K58" i="1"/>
  <c r="J58" i="1"/>
  <c r="M57" i="1"/>
  <c r="L57" i="1"/>
  <c r="K57" i="1"/>
  <c r="J57" i="1"/>
  <c r="M56" i="1"/>
  <c r="L56" i="1"/>
  <c r="K56" i="1"/>
  <c r="J56" i="1"/>
  <c r="M55" i="1"/>
  <c r="L55" i="1"/>
  <c r="K55" i="1"/>
  <c r="J55" i="1"/>
  <c r="M54" i="1"/>
  <c r="L54" i="1"/>
  <c r="K54" i="1"/>
  <c r="J54" i="1"/>
  <c r="M53" i="1"/>
  <c r="L53" i="1"/>
  <c r="K53" i="1"/>
  <c r="J53" i="1"/>
  <c r="M52" i="1"/>
  <c r="L52" i="1"/>
  <c r="K52" i="1"/>
  <c r="J52" i="1"/>
  <c r="M51" i="1"/>
  <c r="L51" i="1"/>
  <c r="K51" i="1"/>
  <c r="J51" i="1"/>
  <c r="M50" i="1"/>
  <c r="L50" i="1"/>
  <c r="K50" i="1"/>
  <c r="J50" i="1"/>
  <c r="M49" i="1"/>
  <c r="L49" i="1"/>
  <c r="K49" i="1"/>
  <c r="J49" i="1"/>
  <c r="M48" i="1"/>
  <c r="L48" i="1"/>
  <c r="K48" i="1"/>
  <c r="J48" i="1"/>
  <c r="M47" i="1"/>
  <c r="L47" i="1"/>
  <c r="K47" i="1"/>
  <c r="J47" i="1"/>
  <c r="M46" i="1"/>
  <c r="L46" i="1"/>
  <c r="K46" i="1"/>
  <c r="J46" i="1"/>
  <c r="M45" i="1"/>
  <c r="L45" i="1"/>
  <c r="K45" i="1"/>
  <c r="J45" i="1"/>
  <c r="M44" i="1"/>
  <c r="L44" i="1"/>
  <c r="K44" i="1"/>
  <c r="J44" i="1"/>
  <c r="M43" i="1"/>
  <c r="L43" i="1"/>
  <c r="K43" i="1"/>
  <c r="J43" i="1"/>
  <c r="M42" i="1"/>
  <c r="L42" i="1"/>
  <c r="K42" i="1"/>
  <c r="J42" i="1"/>
  <c r="M41" i="1"/>
  <c r="L41" i="1"/>
  <c r="K41" i="1"/>
  <c r="J41" i="1"/>
  <c r="M40" i="1"/>
  <c r="L40" i="1"/>
  <c r="K40" i="1"/>
  <c r="J40" i="1"/>
  <c r="M39" i="1"/>
  <c r="L39" i="1"/>
  <c r="K39" i="1"/>
  <c r="J39" i="1"/>
  <c r="M38" i="1"/>
  <c r="L38" i="1"/>
  <c r="K38" i="1"/>
  <c r="J38" i="1"/>
  <c r="M37" i="1"/>
  <c r="L37" i="1"/>
  <c r="K37" i="1"/>
  <c r="J37" i="1"/>
  <c r="M36" i="1"/>
  <c r="L36" i="1"/>
  <c r="K36" i="1"/>
  <c r="J36" i="1"/>
  <c r="M35" i="1"/>
  <c r="L35" i="1"/>
  <c r="K35" i="1"/>
  <c r="J35" i="1"/>
  <c r="M34" i="1"/>
  <c r="L34" i="1"/>
  <c r="K34" i="1"/>
  <c r="J34" i="1"/>
  <c r="M33" i="1"/>
  <c r="L33" i="1"/>
  <c r="K33" i="1"/>
  <c r="J33" i="1"/>
  <c r="M32" i="1"/>
  <c r="L32" i="1"/>
  <c r="K32" i="1"/>
  <c r="J32" i="1"/>
  <c r="M31" i="1"/>
  <c r="L31" i="1"/>
  <c r="K31" i="1"/>
  <c r="J31" i="1"/>
  <c r="M30" i="1"/>
  <c r="L30" i="1"/>
  <c r="K30" i="1"/>
  <c r="J30" i="1"/>
  <c r="M29" i="1"/>
  <c r="L29" i="1"/>
  <c r="K29" i="1"/>
  <c r="J29" i="1"/>
  <c r="M28" i="1"/>
  <c r="L28" i="1"/>
  <c r="K28" i="1"/>
  <c r="J28" i="1"/>
  <c r="M27" i="1"/>
  <c r="L27" i="1"/>
  <c r="K27" i="1"/>
  <c r="J27" i="1"/>
  <c r="M26" i="1"/>
  <c r="L26" i="1"/>
  <c r="K26" i="1"/>
  <c r="J26" i="1"/>
  <c r="M25" i="1"/>
  <c r="L25" i="1"/>
  <c r="K25" i="1"/>
  <c r="J25" i="1"/>
  <c r="M24" i="1"/>
  <c r="L24" i="1"/>
  <c r="K24" i="1"/>
  <c r="J24" i="1"/>
  <c r="M23" i="1"/>
  <c r="L23" i="1"/>
  <c r="K23" i="1"/>
  <c r="J23" i="1"/>
  <c r="M22" i="1"/>
  <c r="L22" i="1"/>
  <c r="K22" i="1"/>
  <c r="J22" i="1"/>
  <c r="M21" i="1"/>
  <c r="L21" i="1"/>
  <c r="K21" i="1"/>
  <c r="J21" i="1"/>
  <c r="M20" i="1"/>
  <c r="L20" i="1"/>
  <c r="K20" i="1"/>
  <c r="J20" i="1"/>
  <c r="M19" i="1"/>
  <c r="L19" i="1"/>
  <c r="K19" i="1"/>
  <c r="J19"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K11" i="1"/>
  <c r="J11" i="1"/>
  <c r="M10" i="1"/>
  <c r="L10" i="1"/>
  <c r="K10" i="1"/>
  <c r="J10" i="1"/>
  <c r="M9" i="1"/>
  <c r="L9" i="1"/>
  <c r="K9" i="1"/>
  <c r="J9" i="1"/>
  <c r="M8" i="1"/>
  <c r="L8" i="1"/>
  <c r="K8" i="1"/>
  <c r="J8" i="1"/>
  <c r="M7" i="1"/>
  <c r="L7" i="1"/>
  <c r="K7" i="1"/>
  <c r="J7" i="1"/>
  <c r="M6" i="1"/>
  <c r="L6" i="1"/>
  <c r="K6" i="1"/>
  <c r="J6" i="1"/>
  <c r="M5" i="1"/>
  <c r="L5" i="1"/>
  <c r="K5" i="1"/>
  <c r="J5" i="1"/>
  <c r="M4" i="1"/>
  <c r="L4" i="1"/>
  <c r="K4" i="1"/>
  <c r="J4" i="1"/>
  <c r="M3" i="1"/>
  <c r="L3" i="1"/>
  <c r="K3" i="1"/>
  <c r="J3" i="1"/>
  <c r="M2" i="1"/>
  <c r="L2" i="1"/>
  <c r="K2" i="1"/>
  <c r="J2" i="1"/>
</calcChain>
</file>

<file path=xl/sharedStrings.xml><?xml version="1.0" encoding="utf-8"?>
<sst xmlns="http://schemas.openxmlformats.org/spreadsheetml/2006/main" count="1405" uniqueCount="143">
  <si>
    <t>Image</t>
  </si>
  <si>
    <t>Question</t>
  </si>
  <si>
    <t>Options</t>
  </si>
  <si>
    <t>Correct Answer</t>
  </si>
  <si>
    <t>Description</t>
  </si>
  <si>
    <t>horse_racing_15.jpg</t>
  </si>
  <si>
    <t>horse_racing_1.jpg</t>
  </si>
  <si>
    <t>horse_racing_5.jpg</t>
  </si>
  <si>
    <t>horse_racing_12.jpg</t>
  </si>
  <si>
    <t>horse_racing_22.jpg</t>
  </si>
  <si>
    <t>horse_racing_13.jpg</t>
  </si>
  <si>
    <t>horse_racing_7.jpg</t>
  </si>
  <si>
    <t>horse_racing_3.jpg</t>
  </si>
  <si>
    <t>horse_racing_16.jpg</t>
  </si>
  <si>
    <t>horse_racing_20.jpg</t>
  </si>
  <si>
    <t>horse_racing_26.jpg</t>
  </si>
  <si>
    <t>horse_racing_30.jpg</t>
  </si>
  <si>
    <t>horse_racing_31.jpg</t>
  </si>
  <si>
    <t>horse_racing_36.jpg</t>
  </si>
  <si>
    <t>horse_racing_25.jpg</t>
  </si>
  <si>
    <t>horse_racing_32.jpg</t>
  </si>
  <si>
    <t>horse_racing_27.jpg</t>
  </si>
  <si>
    <t>horse_racing_29.jpg</t>
  </si>
  <si>
    <t>horse_racing_34.jpg</t>
  </si>
  <si>
    <t>horse_racing_33.jpg</t>
  </si>
  <si>
    <t>horse_racing_42.jpg</t>
  </si>
  <si>
    <t>horse_racing_38.jpg</t>
  </si>
  <si>
    <t>camel_racing_33.jpg</t>
  </si>
  <si>
    <t>camel_racing_22.jpg</t>
  </si>
  <si>
    <t>camel_racing_17.jpg</t>
  </si>
  <si>
    <t>camel_racing_25.jpg</t>
  </si>
  <si>
    <t>camel_racing_15.jpg</t>
  </si>
  <si>
    <t>camel_racing_32.jpg</t>
  </si>
  <si>
    <t>camel_racing_13.jpg</t>
  </si>
  <si>
    <t>camel_racing_12.jpg</t>
  </si>
  <si>
    <t>camel_racing_16.jpg</t>
  </si>
  <si>
    <t>camel_racing_7.jpg</t>
  </si>
  <si>
    <t>camel_racing_63.jpg</t>
  </si>
  <si>
    <t>camel_racing_50.jpg</t>
  </si>
  <si>
    <t>camel_racing_64.jpg</t>
  </si>
  <si>
    <t>camel_racing_39.jpg</t>
  </si>
  <si>
    <t>camel_racing_45.jpg</t>
  </si>
  <si>
    <t>camel_racing_35.jpg</t>
  </si>
  <si>
    <t>camel_racing_59.jpg</t>
  </si>
  <si>
    <t>camel_racing_69.jpg</t>
  </si>
  <si>
    <t>camel_racing_40.jpg</t>
  </si>
  <si>
    <t>camel_racing_52.jpg</t>
  </si>
  <si>
    <t>camel_racing_84.jpg</t>
  </si>
  <si>
    <t>camel_racing_100.jpg</t>
  </si>
  <si>
    <t>camel_racing_77.jpg</t>
  </si>
  <si>
    <t>camel_racing_91.jpg</t>
  </si>
  <si>
    <t>camel_racing_83.jpg</t>
  </si>
  <si>
    <t>camel_racing_70.jpg</t>
  </si>
  <si>
    <t>camel_racing_99.jpg</t>
  </si>
  <si>
    <t>camel_racing_86.jpg</t>
  </si>
  <si>
    <t>camel_racing_76.jpg</t>
  </si>
  <si>
    <t>camel_racing_72.jpg</t>
  </si>
  <si>
    <t>nuba_wrestling_11.jpg</t>
  </si>
  <si>
    <t>nuba_wrestling_12.jpg</t>
  </si>
  <si>
    <t>nuba_wrestling_9.jpg</t>
  </si>
  <si>
    <t>nuba_wrestling_6.jpg</t>
  </si>
  <si>
    <t>nuba_wrestling_17.jpg</t>
  </si>
  <si>
    <t>nuba_wrestling_3.jpg</t>
  </si>
  <si>
    <t>nuba_wrestling_5.jpg</t>
  </si>
  <si>
    <t>nuba_wrestling_15.jpg</t>
  </si>
  <si>
    <t>nuba_wrestling_14.jpg</t>
  </si>
  <si>
    <t>nuba_wrestling_8.jpg</t>
  </si>
  <si>
    <t>nuba_wrestling_22.jpg</t>
  </si>
  <si>
    <t>nuba_wrestling_18.jpg</t>
  </si>
  <si>
    <t>nuba_wrestling_21.jpg</t>
  </si>
  <si>
    <t>nuba_wrestling_25.jpg</t>
  </si>
  <si>
    <t>nuba_wrestling_35.jpg</t>
  </si>
  <si>
    <t>nuba_wrestling_26.jpg</t>
  </si>
  <si>
    <t>nuba_wrestling_38.jpg</t>
  </si>
  <si>
    <t>nuba_wrestling_19.jpg</t>
  </si>
  <si>
    <t>nuba_wrestling_32.jpg</t>
  </si>
  <si>
    <t>nuba_wrestling_27.jpg</t>
  </si>
  <si>
    <t>nuba_wrestling_99.jpg</t>
  </si>
  <si>
    <t>nuba_wrestling_82.jpg</t>
  </si>
  <si>
    <t>nuba_wrestling_95.jpg</t>
  </si>
  <si>
    <t>nuba_wrestling_89.jpg</t>
  </si>
  <si>
    <t>nuba_wrestling_81.jpg</t>
  </si>
  <si>
    <t>nuba_wrestling_98.jpg</t>
  </si>
  <si>
    <t>nuba_wrestling_100.jpg</t>
  </si>
  <si>
    <t>nuba_wrestling_75.jpg</t>
  </si>
  <si>
    <t>nuba_wrestling_92.jpg</t>
  </si>
  <si>
    <t>nuba_wrestling_44.jpg</t>
  </si>
  <si>
    <t>nubian_stick_fighting_23.jpg</t>
  </si>
  <si>
    <t>nubian_stick_fighting_18.jpg</t>
  </si>
  <si>
    <t>nubian_stick_fighting_4.jpg</t>
  </si>
  <si>
    <t>nubian_stick_fighting_2.jpg</t>
  </si>
  <si>
    <t>nubian_stick_fighting_11.jpg</t>
  </si>
  <si>
    <t>nubian_stick_fighting_5.jpg</t>
  </si>
  <si>
    <t>nubian_stick_fighting_7.jpg</t>
  </si>
  <si>
    <t>nubian_stick_fighting_21.jpg</t>
  </si>
  <si>
    <t>nubian_stick_fighting_28.jpg</t>
  </si>
  <si>
    <t>nubian_stick_fighting_15.jpg</t>
  </si>
  <si>
    <t>nubian_stick_fighting_91.jpg</t>
  </si>
  <si>
    <t>nubian_stick_fighting_89.jpg</t>
  </si>
  <si>
    <t>nubian_stick_fighting_93.jpg</t>
  </si>
  <si>
    <t>nubian_stick_fighting_97.jpg</t>
  </si>
  <si>
    <t>nubian_stick_fighting_99.jpg</t>
  </si>
  <si>
    <t>nubian_stick_fighting_30.jpg</t>
  </si>
  <si>
    <t>nubian_stick_fighting_38.jpg</t>
  </si>
  <si>
    <t>nubian_stick_fighting_74.jpg</t>
  </si>
  <si>
    <t>nubian_stick_fighting_52.jpg</t>
  </si>
  <si>
    <t>nubian_stick_fighting_85.jpg</t>
  </si>
  <si>
    <t>nubian_stick_fighting_73.jpg</t>
  </si>
  <si>
    <t>nubian_stick_fighting_80.jpg</t>
  </si>
  <si>
    <t>nubian_stick_fighting_64.jpg</t>
  </si>
  <si>
    <t>nubian_stick_fighting_83.jpg</t>
  </si>
  <si>
    <t>nubian_stick_fighting_46.jpg</t>
  </si>
  <si>
    <t>Questions</t>
  </si>
  <si>
    <t>cow_fighting_30.jpg</t>
  </si>
  <si>
    <t>cow_fighting_45.jpg</t>
  </si>
  <si>
    <t>cow_fighting_10.jpg</t>
  </si>
  <si>
    <t>cow_fighting_60.jpg</t>
  </si>
  <si>
    <t>cow_fighting_23.jpg</t>
  </si>
  <si>
    <t>cow_fighting_51.jpg</t>
  </si>
  <si>
    <t>cow_fighting_41.jpg</t>
  </si>
  <si>
    <t>cow_fighting_42.jpg</t>
  </si>
  <si>
    <t>cow_fighting_5.jpg</t>
  </si>
  <si>
    <t>cow_fighting_34.jpg</t>
  </si>
  <si>
    <t>cow_fighting_100.jpg</t>
  </si>
  <si>
    <t>cow_fighting_35.jpg</t>
  </si>
  <si>
    <t>cow_fighting_83.jpg</t>
  </si>
  <si>
    <t>cow_fighting_94.jpg</t>
  </si>
  <si>
    <t>cow_fighting_52.jpg</t>
  </si>
  <si>
    <t>cow_fighting_48.jpg</t>
  </si>
  <si>
    <t>cow_fighting_17.jpg</t>
  </si>
  <si>
    <t>cow_fighting_74.jpg</t>
  </si>
  <si>
    <t>cow_fighting_99.jpg</t>
  </si>
  <si>
    <t>cow_fighting_85.jpg</t>
  </si>
  <si>
    <t>cow_fighting_84.jpg</t>
  </si>
  <si>
    <t>cow_fighting_96.jpg</t>
  </si>
  <si>
    <t>cow_fighting_92.jpg</t>
  </si>
  <si>
    <t>cow_fighting_76.jpg</t>
  </si>
  <si>
    <t>cow_fighting_90.jpg</t>
  </si>
  <si>
    <t>cow_fighting_91.jpg</t>
  </si>
  <si>
    <t>cow_fighting_97.jpg</t>
  </si>
  <si>
    <t>cow_fighting_65.jpg</t>
  </si>
  <si>
    <t>cow_fighting_82.jpg</t>
  </si>
  <si>
    <t>cow_fighting_68.jpg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</si>
</sst>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10"/>
      <color theme="1"/>
      <name val="Arial"/>
    </font>
  </fonts>
  <fills count="5">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applyFont="1"/>
    <xf numFmtId="0" fontId="2" fillId="0" borderId="0" xfId="0" applyFont="1"/>
    <xf numFmtId="0" fontId="2" fillId="2" borderId="0" xfId="0" applyFont="1" applyFill="1"/>
    <xf numFmtId="0" fontId="2" fillId="3" borderId="0" xfId="0" applyFont="1" applyFill="1"/>
    <xf numFmtId="0" fontId="2" fillId="4" borderId="0" xfId="0" applyFont="1" applyFill="1"/>
    <xf numFmtId="0" fontId="2" fillId="0" borderId="0" xfId="0" applyFont="1" applyAlignment="1">
      <alignment horizontal="left"/>
    </xf>
  </cellXfs>
  <cellStyles count="1">
    <cellStyle name="Normal" xfId="0" builtinId="0"/>
  </cellStyles>
  <dxfs count="42">
    <dxf>
      <font>
        <b val="0"/>
        <i val="0"/>
        <strike val="0"/>
        <condense val="0"/>
        <extend val="0"/>
        <outline val="0"/>
        <shadow val="0"/>
        <u val="none"/>
        <vertAlign val="baseline"/>
        <sz val="10"/>
        <color theme="1"/>
        <name val="Arial"/>
        <scheme val="none"/>
      </font>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2">
    <tableStyle name="Horse_Racing-style" pivot="0" count="4" xr9:uid="{00000000-0011-0000-FFFF-FFFF00000000}">
      <tableStyleElement type="wholeTable" size="0" dxfId="38"/>
      <tableStyleElement type="headerRow" dxfId="41"/>
      <tableStyleElement type="firstRowStripe" dxfId="40"/>
      <tableStyleElement type="secondRowStripe" dxfId="39"/>
    </tableStyle>
    <tableStyle name="Horse_Racing-style 2" pivot="0" count="4" xr9:uid="{00000000-0011-0000-FFFF-FFFF01000000}">
      <tableStyleElement type="wholeTable" size="0" dxfId="34"/>
      <tableStyleElement type="headerRow" dxfId="37"/>
      <tableStyleElement type="firstRowStripe" dxfId="36"/>
      <tableStyleElement type="secondRowStripe" dxfId="35"/>
    </tableStyle>
    <tableStyle name="Camel_Racing-style" pivot="0" count="4" xr9:uid="{00000000-0011-0000-FFFF-FFFF02000000}">
      <tableStyleElement type="wholeTable" size="0" dxfId="30"/>
      <tableStyleElement type="headerRow" dxfId="33"/>
      <tableStyleElement type="firstRowStripe" dxfId="32"/>
      <tableStyleElement type="secondRowStripe" dxfId="31"/>
    </tableStyle>
    <tableStyle name="Camel_Racing-style 2" pivot="0" count="4" xr9:uid="{00000000-0011-0000-FFFF-FFFF03000000}">
      <tableStyleElement type="wholeTable" size="0" dxfId="26"/>
      <tableStyleElement type="headerRow" dxfId="29"/>
      <tableStyleElement type="firstRowStripe" dxfId="28"/>
      <tableStyleElement type="secondRowStripe" dxfId="27"/>
    </tableStyle>
    <tableStyle name="Nuba_Wrestling-style" pivot="0" count="4" xr9:uid="{00000000-0011-0000-FFFF-FFFF04000000}">
      <tableStyleElement type="wholeTable" size="0" dxfId="22"/>
      <tableStyleElement type="headerRow" dxfId="25"/>
      <tableStyleElement type="firstRowStripe" dxfId="24"/>
      <tableStyleElement type="secondRowStripe" dxfId="23"/>
    </tableStyle>
    <tableStyle name="Nuba_Wrestling-style 2" pivot="0" count="3" xr9:uid="{00000000-0011-0000-FFFF-FFFF05000000}">
      <tableStyleElement type="headerRow" dxfId="21"/>
      <tableStyleElement type="firstRowStripe" dxfId="20"/>
      <tableStyleElement type="secondRowStripe" dxfId="19"/>
    </tableStyle>
    <tableStyle name="Nuba_Wrestling-style 3" pivot="0" count="2" xr9:uid="{00000000-0011-0000-FFFF-FFFF06000000}">
      <tableStyleElement type="firstRowStripe" dxfId="18"/>
      <tableStyleElement type="secondRowStripe" dxfId="17"/>
    </tableStyle>
    <tableStyle name="Nubian_Stick_Fighting-style" pivot="0" count="4" xr9:uid="{00000000-0011-0000-FFFF-FFFF07000000}">
      <tableStyleElement type="wholeTable" size="0" dxfId="13"/>
      <tableStyleElement type="headerRow" dxfId="16"/>
      <tableStyleElement type="firstRowStripe" dxfId="15"/>
      <tableStyleElement type="secondRowStripe" dxfId="14"/>
    </tableStyle>
    <tableStyle name="Nubian_Stick_Fighting-style 2" pivot="0" count="4" xr9:uid="{00000000-0011-0000-FFFF-FFFF08000000}">
      <tableStyleElement type="wholeTable" size="0" dxfId="9"/>
      <tableStyleElement type="headerRow" dxfId="12"/>
      <tableStyleElement type="firstRowStripe" dxfId="11"/>
      <tableStyleElement type="secondRowStripe" dxfId="10"/>
    </tableStyle>
    <tableStyle name="Nubian_Stick_Fighting-style 3" pivot="0" count="2" xr9:uid="{00000000-0011-0000-FFFF-FFFF09000000}">
      <tableStyleElement type="firstRowStripe" dxfId="8"/>
      <tableStyleElement type="secondRowStripe" dxfId="7"/>
    </tableStyle>
    <tableStyle name="Cow_fighting-style" pivot="0" count="4" xr9:uid="{00000000-0011-0000-FFFF-FFFF0A000000}">
      <tableStyleElement type="wholeTable" size="0" dxfId="3"/>
      <tableStyleElement type="headerRow" dxfId="6"/>
      <tableStyleElement type="firstRowStripe" dxfId="5"/>
      <tableStyleElement type="secondRowStripe" dxfId="4"/>
    </tableStyle>
    <tableStyle name="Cow_fighting-style 2" pivot="0" count="2" xr9:uid="{00000000-0011-0000-FFFF-FFFF0B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I1:M2">
  <tableColumns count="5">
    <tableColumn id="1" xr3:uid="{00000000-0010-0000-0100-000001000000}" name="Image"/>
    <tableColumn id="2" xr3:uid="{00000000-0010-0000-0100-000002000000}" name="Question"/>
    <tableColumn id="3" xr3:uid="{00000000-0010-0000-0100-000003000000}" name="Options"/>
    <tableColumn id="4" xr3:uid="{00000000-0010-0000-0100-000004000000}" name="Correct Answer"/>
    <tableColumn id="5" xr3:uid="{00000000-0010-0000-0100-000005000000}" name="Description"/>
  </tableColumns>
  <tableStyleInfo name="Horse_Racing-style 2"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 displayName="Table3" ref="H1:L1" headerRowCount="0">
  <tableColumns count="5">
    <tableColumn id="1" xr3:uid="{00000000-0010-0000-0300-000001000000}" name="Column1"/>
    <tableColumn id="2" xr3:uid="{00000000-0010-0000-0300-000002000000}" name="Column2" dataDxfId="0"/>
    <tableColumn id="3" xr3:uid="{00000000-0010-0000-0300-000003000000}" name="Column3"/>
    <tableColumn id="4" xr3:uid="{00000000-0010-0000-0300-000004000000}" name="Column4"/>
    <tableColumn id="5" xr3:uid="{00000000-0010-0000-0300-000005000000}" name="Column5"/>
  </tableColumns>
  <tableStyleInfo name="Camel_Racing-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1" displayName="Table_1" ref="H1:L1" headerRowCount="0">
  <tableColumns count="5">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s>
  <tableStyleInfo name="Nuba_Wrestling-style 2"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2" displayName="Table_2" ref="H2:H301" headerRowCount="0">
  <tableColumns count="1">
    <tableColumn id="1" xr3:uid="{00000000-0010-0000-0600-000001000000}" name="Column1"/>
  </tableColumns>
  <tableStyleInfo name="Nuba_Wrestling-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 displayName="Table7" ref="H1:L1" headerRowCount="0">
  <tableColumns count="5">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s>
  <tableStyleInfo name="Nubian_Stick_Fighting-style 2"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3" displayName="Table_3" ref="H2:H261" headerRowCount="0">
  <tableColumns count="1">
    <tableColumn id="1" xr3:uid="{00000000-0010-0000-0900-000001000000}" name="Column1"/>
  </tableColumns>
  <tableStyleInfo name="Nubian_Stick_Fighting-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4" displayName="Table_4" ref="H2:H301" headerRowCount="0">
  <tableColumns count="1">
    <tableColumn id="1" xr3:uid="{00000000-0010-0000-0B00-000001000000}" name="Column1"/>
  </tableColumns>
  <tableStyleInfo name="Cow_fighting-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21"/>
  <sheetViews>
    <sheetView topLeftCell="D1" workbookViewId="0">
      <pane ySplit="1" topLeftCell="A2" activePane="bottomLeft" state="frozen"/>
      <selection pane="bottomLeft" activeCell="I10" sqref="I10"/>
    </sheetView>
  </sheetViews>
  <sheetFormatPr defaultColWidth="12.6640625" defaultRowHeight="15.75" customHeight="1" x14ac:dyDescent="0.25"/>
  <cols>
    <col min="1" max="1" width="17.109375" customWidth="1"/>
    <col min="2" max="5" width="37.6640625" customWidth="1"/>
  </cols>
  <sheetData>
    <row r="1" spans="1:13" ht="22.5" customHeight="1" x14ac:dyDescent="0.25">
      <c r="A1" s="1"/>
      <c r="B1" s="1"/>
      <c r="C1" s="1"/>
      <c r="D1" s="1"/>
      <c r="E1" s="1"/>
      <c r="I1" s="1" t="s">
        <v>0</v>
      </c>
      <c r="J1" s="1" t="s">
        <v>1</v>
      </c>
      <c r="K1" s="1" t="s">
        <v>2</v>
      </c>
      <c r="L1" s="1" t="s">
        <v>3</v>
      </c>
      <c r="M1" s="1" t="s">
        <v>4</v>
      </c>
    </row>
    <row r="2" spans="1:13" ht="22.5" customHeight="1" x14ac:dyDescent="0.25">
      <c r="A2" s="2"/>
      <c r="B2" s="2"/>
      <c r="C2" s="2"/>
      <c r="D2" s="2"/>
      <c r="E2" s="2"/>
      <c r="I2" s="2" t="s">
        <v>5</v>
      </c>
      <c r="J2" s="2" t="str">
        <f ca="1">IFERROR(__xludf.DUMMYFUNCTION("GOOGLETRANSLATE(B2,""en"",""ar"")"),"ما هي المرحلة من سباق الخيل التي تُصوّرها هذه الصورة؟")</f>
        <v>ما هي المرحلة من سباق الخيل التي تُصوّرها هذه الصورة؟</v>
      </c>
      <c r="K2" s="2" t="str">
        <f ca="1">IFERROR(__xludf.DUMMYFUNCTION("GOOGLETRANSLATE(C2,""en"",""ar"")"),"أ) المرحلة الأخيرة، ب) بداية السباق، ج) لفة النصر، د) جلسة تدريبية")</f>
        <v>أ) المرحلة الأخيرة، ب) بداية السباق، ج) لفة النصر، د) جلسة تدريبية</v>
      </c>
      <c r="L2" s="2" t="str">
        <f ca="1">IFERROR(__xludf.DUMMYFUNCTION("GOOGLETRANSLATE(D2,""en"",""ar"")"),"ب) بداية السباق")</f>
        <v>ب) بداية السباق</v>
      </c>
      <c r="M2" s="2" t="str">
        <f ca="1">IFERROR(__xludf.DUMMYFUNCTION("GOOGLETRANSLATE(E2,""en"",""ar"")"),"تظهر الخيول وهي تنطلق من بوابات البداية، مما يمثل بداية السباق.")</f>
        <v>تظهر الخيول وهي تنطلق من بوابات البداية، مما يمثل بداية السباق.</v>
      </c>
    </row>
    <row r="3" spans="1:13" ht="22.5" customHeight="1" x14ac:dyDescent="0.25">
      <c r="A3" s="2"/>
      <c r="B3" s="2"/>
      <c r="C3" s="2"/>
      <c r="D3" s="2"/>
      <c r="E3" s="2"/>
      <c r="I3" s="3" t="s">
        <v>5</v>
      </c>
      <c r="J3" s="3" t="str">
        <f ca="1">IFERROR(__xludf.DUMMYFUNCTION("GOOGLETRANSLATE(B3,""en"",""ar"")"),"ما هو الاسم الرسمي للمبنى الكبير الذي تخرج منه الخيول؟")</f>
        <v>ما هو الاسم الرسمي للمبنى الكبير الذي تخرج منه الخيول؟</v>
      </c>
      <c r="K3" s="3" t="str">
        <f ca="1">IFERROR(__xludf.DUMMYFUNCTION("GOOGLETRANSLATE(C3,""en"",""ar"")"),"أ) منطقة الحظيرة، ب) الإسطبلات، ج) بوابات البداية، د) خط النهاية")</f>
        <v>أ) منطقة الحظيرة، ب) الإسطبلات، ج) بوابات البداية، د) خط النهاية</v>
      </c>
      <c r="L3" s="3" t="str">
        <f ca="1">IFERROR(__xludf.DUMMYFUNCTION("GOOGLETRANSLATE(D3,""en"",""ar"")"),"ج) بوابات البداية")</f>
        <v>ج) بوابات البداية</v>
      </c>
      <c r="M3" s="3" t="str">
        <f ca="1">IFERROR(__xludf.DUMMYFUNCTION("GOOGLETRANSLATE(E3,""en"",""ar"")"),"تُستخدم بوابات البداية في معظم سباقات الخيل الحديثة لضمان بداية عادلة لجميع المتنافسين.")</f>
        <v>تُستخدم بوابات البداية في معظم سباقات الخيل الحديثة لضمان بداية عادلة لجميع المتنافسين.</v>
      </c>
    </row>
    <row r="4" spans="1:13" ht="22.5" customHeight="1" x14ac:dyDescent="0.25">
      <c r="A4" s="2"/>
      <c r="B4" s="2"/>
      <c r="C4" s="2"/>
      <c r="D4" s="2"/>
      <c r="E4" s="2"/>
      <c r="I4" s="3" t="s">
        <v>5</v>
      </c>
      <c r="J4" s="3" t="str">
        <f ca="1">IFERROR(__xludf.DUMMYFUNCTION("GOOGLETRANSLATE(B4,""en"",""ar"")"),"استنادًا إلى البرجين التوأمين الظاهرين أعلى المدرج الرئيسي، ما هو مضمار السباق الأمريكي الشهير الذي يُرجح ظهوره؟")</f>
        <v>استنادًا إلى البرجين التوأمين الظاهرين أعلى المدرج الرئيسي، ما هو مضمار السباق الأمريكي الشهير الذي يُرجح ظهوره؟</v>
      </c>
      <c r="K4" s="3" t="str">
        <f ca="1">IFERROR(__xludf.DUMMYFUNCTION("GOOGLETRANSLATE(C4,""en"",""ar"")"),"أ) منتزه سانتا أنيتا، ب) مضمار سباق ساراتوغا، ج) تشرشل داونز، د) منتزه بيلمونت")</f>
        <v>أ) منتزه سانتا أنيتا، ب) مضمار سباق ساراتوغا، ج) تشرشل داونز، د) منتزه بيلمونت</v>
      </c>
      <c r="L4" s="3" t="str">
        <f ca="1">IFERROR(__xludf.DUMMYFUNCTION("GOOGLETRANSLATE(D4,""en"",""ar"")"),"ج) تشرشل داونز")</f>
        <v>ج) تشرشل داونز</v>
      </c>
      <c r="M4" s="3" t="str">
        <f ca="1">IFERROR(__xludf.DUMMYFUNCTION("GOOGLETRANSLATE(E4,""en"",""ar"")"),"يُعدّ البرجان التوأمان السمة المعمارية المميزة لمضمار تشرشل داونز في لويفيل، كنتاكي، موطن سباق كنتاكي ديربي. 🐎")</f>
        <v>يُعدّ البرجان التوأمان السمة المعمارية المميزة لمضمار تشرشل داونز في لويفيل، كنتاكي، موطن سباق كنتاكي ديربي. 🐎</v>
      </c>
    </row>
    <row r="5" spans="1:13" ht="22.5" customHeight="1" x14ac:dyDescent="0.25">
      <c r="A5" s="2"/>
      <c r="B5" s="2"/>
      <c r="C5" s="2"/>
      <c r="D5" s="2"/>
      <c r="E5" s="2"/>
      <c r="I5" s="3" t="s">
        <v>5</v>
      </c>
      <c r="J5" s="3" t="str">
        <f ca="1">IFERROR(__xludf.DUMMYFUNCTION("GOOGLETRANSLATE(B5,""en"",""ar"")"),"ما هو اسم المجموعة الكاملة من الخيول المتنافسة في السباق؟")</f>
        <v>ما هو اسم المجموعة الكاملة من الخيول المتنافسة في السباق؟</v>
      </c>
      <c r="K5" s="3" t="str">
        <f ca="1">IFERROR(__xludf.DUMMYFUNCTION("GOOGLETRANSLATE(C5,""en"",""ar"")"),"أ) الحزمة، ب) الإسطبل، ج) السلسلة، د) الحقل")</f>
        <v>أ) الحزمة، ب) الإسطبل، ج) السلسلة، د) الحقل</v>
      </c>
      <c r="L5" s="3" t="str">
        <f ca="1">IFERROR(__xludf.DUMMYFUNCTION("GOOGLETRANSLATE(D5,""en"",""ar"")"),"د) الحقل")</f>
        <v>د) الحقل</v>
      </c>
      <c r="M5" s="3" t="str">
        <f ca="1">IFERROR(__xludf.DUMMYFUNCTION("GOOGLETRANSLATE(E5,""en"",""ar"")"),"في مصطلحات سباق الخيل، تُعرف جميع الخيول التي تتسابق في سباق معين مجتمعة باسم ""الحقل"".")</f>
        <v>في مصطلحات سباق الخيل، تُعرف جميع الخيول التي تتسابق في سباق معين مجتمعة باسم "الحقل".</v>
      </c>
    </row>
    <row r="6" spans="1:13" ht="22.5" customHeight="1" x14ac:dyDescent="0.25">
      <c r="A6" s="2"/>
      <c r="B6" s="2"/>
      <c r="C6" s="2"/>
      <c r="D6" s="2"/>
      <c r="E6" s="2"/>
      <c r="I6" s="3" t="s">
        <v>5</v>
      </c>
      <c r="J6" s="3" t="str">
        <f ca="1">IFERROR(__xludf.DUMMYFUNCTION("GOOGLETRANSLATE(B6,""en"",""ar"")"),"ماذا تمثل ألوان الحرير المختلفة التي يرتديها الفرسان في المقام الأول؟")</f>
        <v>ماذا تمثل ألوان الحرير المختلفة التي يرتديها الفرسان في المقام الأول؟</v>
      </c>
      <c r="K6" s="3" t="str">
        <f ca="1">IFERROR(__xludf.DUMMYFUNCTION("GOOGLETRANSLATE(C6,""en"",""ar"")"),"أ) بلد منشأ الفارس، ب) مالك الحصان المسجل، ج) تفضيل الفارس الشخصي، د) راعي الفريق")</f>
        <v>أ) بلد منشأ الفارس، ب) مالك الحصان المسجل، ج) تفضيل الفارس الشخصي، د) راعي الفريق</v>
      </c>
      <c r="L6" s="3" t="str">
        <f ca="1">IFERROR(__xludf.DUMMYFUNCTION("GOOGLETRANSLATE(D6,""en"",""ar"")"),"ب) المالك المسجل للحصان")</f>
        <v>ب) المالك المسجل للحصان</v>
      </c>
      <c r="M6" s="3" t="str">
        <f ca="1">IFERROR(__xludf.DUMMYFUNCTION("GOOGLETRANSLATE(E6,""en"",""ar"")"),"تحمل الأقمشة الحريرية الألوان والأنماط الفريدة المسجلة باسم مالك الحصان أو الإسطبل.")</f>
        <v>تحمل الأقمشة الحريرية الألوان والأنماط الفريدة المسجلة باسم مالك الحصان أو الإسطبل.</v>
      </c>
    </row>
    <row r="7" spans="1:13" ht="22.5" customHeight="1" x14ac:dyDescent="0.25">
      <c r="A7" s="2"/>
      <c r="B7" s="2"/>
      <c r="C7" s="2"/>
      <c r="D7" s="2"/>
      <c r="E7" s="2"/>
      <c r="I7" s="3" t="s">
        <v>5</v>
      </c>
      <c r="J7" s="3" t="str">
        <f ca="1">IFERROR(__xludf.DUMMYFUNCTION("GOOGLETRANSLATE(B7,""en"",""ar"")"),"ما هو تأثير العدسة ذات الزاوية الواسعة المستخدمة في هذه الصورة على المشهد؟")</f>
        <v>ما هو تأثير العدسة ذات الزاوية الواسعة المستخدمة في هذه الصورة على المشهد؟</v>
      </c>
      <c r="K7" s="3" t="str">
        <f ca="1">IFERROR(__xludf.DUMMYFUNCTION("GOOGLETRANSLATE(C7,""en"",""ar"")"),"أ) يُسطّح المنظور، ب) يُنشئ منظرًا بانوراميًا مشوّهًا، ج) يعزل حصانًا واحدًا، د) يجعل الأشياء تبدو أقرب")</f>
        <v>أ) يُسطّح المنظور، ب) يُنشئ منظرًا بانوراميًا مشوّهًا، ج) يعزل حصانًا واحدًا، د) يجعل الأشياء تبدو أقرب</v>
      </c>
      <c r="L7" s="3" t="str">
        <f ca="1">IFERROR(__xludf.DUMMYFUNCTION("GOOGLETRANSLATE(D7,""en"",""ar"")"),"ب) يخلق ذلك رؤية بانورامية مشوهة")</f>
        <v>ب) يخلق ذلك رؤية بانورامية مشوهة</v>
      </c>
      <c r="M7" s="3" t="str">
        <f ca="1">IFERROR(__xludf.DUMMYFUNCTION("GOOGLETRANSLATE(E7,""en"",""ar"")"),"تلتقط عدسة عين السمكة أو العدسة ذات الزاوية الواسعة مجال رؤية واسعًا جدًا، مما يجعل المشهد يبدو منحنيًا وواسعًا.")</f>
        <v>تلتقط عدسة عين السمكة أو العدسة ذات الزاوية الواسعة مجال رؤية واسعًا جدًا، مما يجعل المشهد يبدو منحنيًا وواسعًا.</v>
      </c>
    </row>
    <row r="8" spans="1:13" ht="22.5" customHeight="1" x14ac:dyDescent="0.25">
      <c r="A8" s="2"/>
      <c r="B8" s="2"/>
      <c r="C8" s="2"/>
      <c r="D8" s="2"/>
      <c r="E8" s="2"/>
      <c r="I8" s="3" t="s">
        <v>5</v>
      </c>
      <c r="J8" s="3" t="str">
        <f ca="1">IFERROR(__xludf.DUMMYFUNCTION("GOOGLETRANSLATE(B8,""en"",""ar"")"),"ماذا تمثل الأرقام الموجودة على أغطية السرج الوردية والخضراء؟")</f>
        <v>ماذا تمثل الأرقام الموجودة على أغطية السرج الوردية والخضراء؟</v>
      </c>
      <c r="K8" s="3" t="str">
        <f ca="1">IFERROR(__xludf.DUMMYFUNCTION("GOOGLETRANSLATE(C8,""en"",""ar"")"),"أ) عمر الحصان، ب) وزن الفارس، ج) رقم الحصان المخصص للسباق، د) عدد مرات فوز الحصان")</f>
        <v>أ) عمر الحصان، ب) وزن الفارس، ج) رقم الحصان المخصص للسباق، د) عدد مرات فوز الحصان</v>
      </c>
      <c r="L8" s="3" t="str">
        <f ca="1">IFERROR(__xludf.DUMMYFUNCTION("GOOGLETRANSLATE(D8,""en"",""ar"")"),"ج) الرقم المخصص للحصان في السباق")</f>
        <v>ج) الرقم المخصص للحصان في السباق</v>
      </c>
      <c r="M8" s="3" t="str">
        <f ca="1">IFERROR(__xludf.DUMMYFUNCTION("GOOGLETRANSLATE(E8,""en"",""ar"")"),"يتم تخصيص رقم لكل حصان في السباق لأغراض التعريف والمراهنة، ويتم عرض هذا الرقم على غطاء السرج.")</f>
        <v>يتم تخصيص رقم لكل حصان في السباق لأغراض التعريف والمراهنة، ويتم عرض هذا الرقم على غطاء السرج.</v>
      </c>
    </row>
    <row r="9" spans="1:13" ht="22.5" customHeight="1" x14ac:dyDescent="0.25">
      <c r="A9" s="2"/>
      <c r="B9" s="2"/>
      <c r="C9" s="2"/>
      <c r="D9" s="2"/>
      <c r="E9" s="2"/>
      <c r="I9" s="3" t="s">
        <v>5</v>
      </c>
      <c r="J9" s="3" t="str">
        <f ca="1">IFERROR(__xludf.DUMMYFUNCTION("GOOGLETRANSLATE(B9,""en"",""ar"")"),"لماذا تتجه جميع الخيول في نفس الاتجاه؟")</f>
        <v>لماذا تتجه جميع الخيول في نفس الاتجاه؟</v>
      </c>
      <c r="K9" s="3" t="str">
        <f ca="1">IFERROR(__xludf.DUMMYFUNCTION("GOOGLETRANSLATE(C9,""en"",""ar"")"),"أ) إنهم يتبعون حصانًا متقدمًا، ب) إنهم في وضعية الاستعداد لبدء السباق، ج) إنهم يتخذون وضعية لالتقاط صورة، د) إنهم عائدون إلى الإسطبلات")</f>
        <v>أ) إنهم يتبعون حصانًا متقدمًا، ب) إنهم في وضعية الاستعداد لبدء السباق، ج) إنهم يتخذون وضعية لالتقاط صورة، د) إنهم عائدون إلى الإسطبلات</v>
      </c>
      <c r="L9" s="3" t="str">
        <f ca="1">IFERROR(__xludf.DUMMYFUNCTION("GOOGLETRANSLATE(D9,""en"",""ar"")"),"ب) هم في وضع يسمح لهم ببدء السباق")</f>
        <v>ب) هم في وضع يسمح لهم ببدء السباق</v>
      </c>
      <c r="M9" s="3" t="str">
        <f ca="1">IFERROR(__xludf.DUMMYFUNCTION("GOOGLETRANSLATE(E9,""en"",""ar"")"),"داخل بوابات البداية، تصطف جميع الخيول لمواجهة المضمار من أجل بداية عادلة ومنظمة.")</f>
        <v>داخل بوابات البداية، تصطف جميع الخيول لمواجهة المضمار من أجل بداية عادلة ومنظمة.</v>
      </c>
    </row>
    <row r="10" spans="1:13" ht="22.5" customHeight="1" x14ac:dyDescent="0.25">
      <c r="A10" s="2"/>
      <c r="B10" s="2"/>
      <c r="C10" s="2"/>
      <c r="D10" s="2"/>
      <c r="E10" s="2"/>
      <c r="I10" s="3" t="s">
        <v>5</v>
      </c>
      <c r="J10" s="3" t="str">
        <f ca="1">IFERROR(__xludf.DUMMYFUNCTION("GOOGLETRANSLATE(B10,""en"",""ar"")"),"يشير هذا الحشد الكبير إلى أي نوع من أنواع الفعاليات؟")</f>
        <v>يشير هذا الحشد الكبير إلى أي نوع من أنواع الفعاليات؟</v>
      </c>
      <c r="K10" s="3" t="str">
        <f ca="1">IFERROR(__xludf.DUMMYFUNCTION("GOOGLETRANSLATE(C10,""en"",""ar"")"),"أ) تجربة خاصة، ب) يوم سباق رئيسي وعام، ج) جلسة تدريب يومية، د) مزاد")</f>
        <v>أ) تجربة خاصة، ب) يوم سباق رئيسي وعام، ج) جلسة تدريب يومية، د) مزاد</v>
      </c>
      <c r="L10" s="3" t="str">
        <f ca="1">IFERROR(__xludf.DUMMYFUNCTION("GOOGLETRANSLATE(D10,""en"",""ar"")"),"ب) يوم سباق رئيسي وعام")</f>
        <v>ب) يوم سباق رئيسي وعام</v>
      </c>
      <c r="M10" s="3" t="str">
        <f ca="1">IFERROR(__xludf.DUMMYFUNCTION("GOOGLETRANSLATE(E10,""en"",""ar"")"),"تشير المدرجات المكتظة إلى حدث سباق مهم يحظى باهتمام جماهيري كبير، مثل سباق الديربي.")</f>
        <v>تشير المدرجات المكتظة إلى حدث سباق مهم يحظى باهتمام جماهيري كبير، مثل سباق الديربي.</v>
      </c>
    </row>
    <row r="11" spans="1:13" ht="22.5" customHeight="1" x14ac:dyDescent="0.25">
      <c r="A11" s="2"/>
      <c r="B11" s="2"/>
      <c r="C11" s="2"/>
      <c r="D11" s="2"/>
      <c r="E11" s="2"/>
      <c r="I11" s="3" t="s">
        <v>5</v>
      </c>
      <c r="J11" s="3" t="str">
        <f ca="1">IFERROR(__xludf.DUMMYFUNCTION("GOOGLETRANSLATE(B11,""en"",""ar"")"),"ما هو السطح المحتمل لهذا المضمار؟")</f>
        <v>ما هو السطح المحتمل لهذا المضمار؟</v>
      </c>
      <c r="K11" s="3" t="str">
        <f ca="1">IFERROR(__xludf.DUMMYFUNCTION("GOOGLETRANSLATE(C11,""en"",""ar"")"),"أ) العشب الطبيعي، ب) التراب، ج) الثلج، د) العشب الصناعي")</f>
        <v>أ) العشب الطبيعي، ب) التراب، ج) الثلج، د) العشب الصناعي</v>
      </c>
      <c r="L11" s="3" t="str">
        <f ca="1">IFERROR(__xludf.DUMMYFUNCTION("GOOGLETRANSLATE(D11,""en"",""ar"")"),"ب) التراب")</f>
        <v>ب) التراب</v>
      </c>
      <c r="M11" s="3" t="str">
        <f ca="1">IFERROR(__xludf.DUMMYFUNCTION("GOOGLETRANSLATE(E11,""en"",""ar"")"),"السطح البني غير المتماسك هو سمة مميزة لحلبة سباق ترابية تقليدية.")</f>
        <v>السطح البني غير المتماسك هو سمة مميزة لحلبة سباق ترابية تقليدية.</v>
      </c>
    </row>
    <row r="12" spans="1:13" ht="22.5" customHeight="1" x14ac:dyDescent="0.25">
      <c r="A12" s="2"/>
      <c r="B12" s="2"/>
      <c r="C12" s="2"/>
      <c r="D12" s="2"/>
      <c r="E12" s="2"/>
      <c r="I12" s="3" t="s">
        <v>6</v>
      </c>
      <c r="J12" s="3" t="str">
        <f ca="1">IFERROR(__xludf.DUMMYFUNCTION("GOOGLETRANSLATE(B12,""en"",""ar"")"),"ما هي القطعة من المعدات التي ترتديها عدة خيول على رؤوسها لتقييد رؤيتها والحفاظ على تركيزها؟")</f>
        <v>ما هي القطعة من المعدات التي ترتديها عدة خيول على رؤوسها لتقييد رؤيتها والحفاظ على تركيزها؟</v>
      </c>
      <c r="K12" s="3" t="str">
        <f ca="1">IFERROR(__xludf.DUMMYFUNCTION("GOOGLETRANSLATE(C12,""en"",""ar"")"),"أ) كمامة، ب) لجام، ج) غطاء العينين، د) حبل المقود")</f>
        <v>أ) كمامة، ب) لجام، ج) غطاء العينين، د) حبل المقود</v>
      </c>
      <c r="L12" s="3" t="str">
        <f ca="1">IFERROR(__xludf.DUMMYFUNCTION("GOOGLETRANSLATE(D12,""en"",""ar"")"),"ج) إشارات الانعطاف")</f>
        <v>ج) إشارات الانعطاف</v>
      </c>
      <c r="M12" s="3" t="str">
        <f ca="1">IFERROR(__xludf.DUMMYFUNCTION("GOOGLETRANSLATE(E12,""en"",""ar"")"),"الأجهزة التي تشبه الكأس على جانبي عيون الخيول هي أجهزة إغماض العين، مصممة لمنعها من التشتت.")</f>
        <v>الأجهزة التي تشبه الكأس على جانبي عيون الخيول هي أجهزة إغماض العين، مصممة لمنعها من التشتت.</v>
      </c>
    </row>
    <row r="13" spans="1:13" ht="22.5" customHeight="1" x14ac:dyDescent="0.25">
      <c r="A13" s="2"/>
      <c r="B13" s="2"/>
      <c r="C13" s="2"/>
      <c r="D13" s="2"/>
      <c r="E13" s="2"/>
      <c r="I13" s="3" t="s">
        <v>6</v>
      </c>
      <c r="J13" s="3" t="str">
        <f ca="1">IFERROR(__xludf.DUMMYFUNCTION("GOOGLETRANSLATE(B13,""en"",""ar"")"),"ما هو الغرض الأساسي من وضعية الفارس المنحنية للأمام؟")</f>
        <v>ما هو الغرض الأساسي من وضعية الفارس المنحنية للأمام؟</v>
      </c>
      <c r="K13" s="3" t="str">
        <f ca="1">IFERROR(__xludf.DUMMYFUNCTION("GOOGLETRANSLATE(C13,""en"",""ar"")"),"أ) لرؤية خط النهاية بشكل أفضل، ب) لتقليل مقاومة الهواء، ج) لتوجيه الحصان بسهولة أكبر، د) ليبدو أطول قامة")</f>
        <v>أ) لرؤية خط النهاية بشكل أفضل، ب) لتقليل مقاومة الهواء، ج) لتوجيه الحصان بسهولة أكبر، د) ليبدو أطول قامة</v>
      </c>
      <c r="L13" s="3" t="str">
        <f ca="1">IFERROR(__xludf.DUMMYFUNCTION("GOOGLETRANSLATE(D13,""en"",""ar"")"),"ب) لتقليل مقاومة الرياح")</f>
        <v>ب) لتقليل مقاومة الرياح</v>
      </c>
      <c r="M13" s="3" t="str">
        <f ca="1">IFERROR(__xludf.DUMMYFUNCTION("GOOGLETRANSLATE(E13,""en"",""ar"")"),"يقلل هذا الانحناء الديناميكي الهوائي من مقاومة الهواء، مما يسمح للحصان بالركض بشكل أسرع.")</f>
        <v>يقلل هذا الانحناء الديناميكي الهوائي من مقاومة الهواء، مما يسمح للحصان بالركض بشكل أسرع.</v>
      </c>
    </row>
    <row r="14" spans="1:13" ht="22.5" customHeight="1" x14ac:dyDescent="0.25">
      <c r="A14" s="2"/>
      <c r="B14" s="2"/>
      <c r="C14" s="2"/>
      <c r="D14" s="2"/>
      <c r="E14" s="2"/>
      <c r="I14" s="3" t="s">
        <v>6</v>
      </c>
      <c r="J14" s="3" t="str">
        <f ca="1">IFERROR(__xludf.DUMMYFUNCTION("GOOGLETRANSLATE(B14,""en"",""ar"")"),"ماذا يرمز إليه الرقم ""6"" الموجود على غطاء السرج الأحمر؟")</f>
        <v>ماذا يرمز إليه الرقم "6" الموجود على غطاء السرج الأحمر؟</v>
      </c>
      <c r="K14" s="3" t="str">
        <f ca="1">IFERROR(__xludf.DUMMYFUNCTION("GOOGLETRANSLATE(C14,""en"",""ar"")"),"أ) مركز انطلاق الحصان أو رقمه في البرنامج، ب) عمر الحصان، ج) احتمالات فوز الحصان، د) عدد الفرسان المشاركين في السباق")</f>
        <v>أ) مركز انطلاق الحصان أو رقمه في البرنامج، ب) عمر الحصان، ج) احتمالات فوز الحصان، د) عدد الفرسان المشاركين في السباق</v>
      </c>
      <c r="L14" s="3" t="str">
        <f ca="1">IFERROR(__xludf.DUMMYFUNCTION("GOOGLETRANSLATE(D14,""en"",""ar"")"),"أ) مركز الحصان أو رقم البرنامج")</f>
        <v>أ) مركز الحصان أو رقم البرنامج</v>
      </c>
      <c r="M14" s="3" t="str">
        <f ca="1">IFERROR(__xludf.DUMMYFUNCTION("GOOGLETRANSLATE(E14,""en"",""ar"")"),"يُستخدم هذا الرقم لتحديد الحصان للمشاهدين والمسؤولين والمراهنين.")</f>
        <v>يُستخدم هذا الرقم لتحديد الحصان للمشاهدين والمسؤولين والمراهنين.</v>
      </c>
    </row>
    <row r="15" spans="1:13" ht="22.5" customHeight="1" x14ac:dyDescent="0.25">
      <c r="A15" s="2"/>
      <c r="B15" s="2"/>
      <c r="C15" s="2"/>
      <c r="D15" s="2"/>
      <c r="E15" s="2"/>
      <c r="I15" s="3" t="s">
        <v>6</v>
      </c>
      <c r="J15" s="3" t="str">
        <f ca="1">IFERROR(__xludf.DUMMYFUNCTION("GOOGLETRANSLATE(B15,""en"",""ar"")"),"ما هو السبب الرئيسي لوجود السور الأبيض الموجود داخل المسار؟")</f>
        <v>ما هو السبب الرئيسي لوجود السور الأبيض الموجود داخل المسار؟</v>
      </c>
      <c r="K15" s="3" t="str">
        <f ca="1">IFERROR(__xludf.DUMMYFUNCTION("GOOGLETRANSLATE(C15,""en"",""ar"")"),"أ) للزينة، ب) لتحديد حدود المضمار، ج) مكان لراحة الفرسان، د) لعرض الإعلانات")</f>
        <v>أ) للزينة، ب) لتحديد حدود المضمار، ج) مكان لراحة الفرسان، د) لعرض الإعلانات</v>
      </c>
      <c r="L15" s="3" t="str">
        <f ca="1">IFERROR(__xludf.DUMMYFUNCTION("GOOGLETRANSLATE(D15,""en"",""ar"")"),"ب) لتحديد حدود المسار")</f>
        <v>ب) لتحديد حدود المسار</v>
      </c>
      <c r="M15" s="3" t="str">
        <f ca="1">IFERROR(__xludf.DUMMYFUNCTION("GOOGLETRANSLATE(E15,""en"",""ar"")"),"يمثل الحاجز الحدود الداخلية الرسمية للمضمار، مما يضمن أن جميع الخيول تسلك نفس المسار.")</f>
        <v>يمثل الحاجز الحدود الداخلية الرسمية للمضمار، مما يضمن أن جميع الخيول تسلك نفس المسار.</v>
      </c>
    </row>
    <row r="16" spans="1:13" ht="22.5" customHeight="1" x14ac:dyDescent="0.25">
      <c r="A16" s="2"/>
      <c r="B16" s="2"/>
      <c r="C16" s="2"/>
      <c r="D16" s="2"/>
      <c r="E16" s="2"/>
      <c r="I16" s="3" t="s">
        <v>6</v>
      </c>
      <c r="J16" s="3" t="str">
        <f ca="1">IFERROR(__xludf.DUMMYFUNCTION("GOOGLETRANSLATE(B16,""en"",""ar"")"),"في أي مرحلة من مراحل العدو السريع يكون الحصان الأمامي (في أقصى اليمين)؟")</f>
        <v>في أي مرحلة من مراحل العدو السريع يكون الحصان الأمامي (في أقصى اليمين)؟</v>
      </c>
      <c r="K16" s="3" t="str">
        <f ca="1">IFERROR(__xludf.DUMMYFUNCTION("GOOGLETRANSLATE(C16,""en"",""ar"")"),"أ) جميع الأقدام الأربعة على الأرض، ب) لحظة تعليق (جميع الأقدام مرفوعة عن الأرض)، ج) القدمان الأماميتان تهبطان، د) القدمان الخلفيتان تهبطان")</f>
        <v>أ) جميع الأقدام الأربعة على الأرض، ب) لحظة تعليق (جميع الأقدام مرفوعة عن الأرض)، ج) القدمان الأماميتان تهبطان، د) القدمان الخلفيتان تهبطان</v>
      </c>
      <c r="L16" s="3" t="str">
        <f ca="1">IFERROR(__xludf.DUMMYFUNCTION("GOOGLETRANSLATE(D16,""en"",""ar"")"),"ب) لحظة تعليق (جميع القدمين مرفوعتان عن الأرض)")</f>
        <v>ب) لحظة تعليق (جميع القدمين مرفوعتان عن الأرض)</v>
      </c>
      <c r="M16" s="3" t="str">
        <f ca="1">IFERROR(__xludf.DUMMYFUNCTION("GOOGLETRANSLATE(E16,""en"",""ar"")"),"في هذا الجزء من خطوته، يكون الحصان محلقاً بالكامل في الهواء، وهي مرحلة أساسية من مراحل العدو.")</f>
        <v>في هذا الجزء من خطوته، يكون الحصان محلقاً بالكامل في الهواء، وهي مرحلة أساسية من مراحل العدو.</v>
      </c>
    </row>
    <row r="17" spans="1:13" ht="22.5" customHeight="1" x14ac:dyDescent="0.25">
      <c r="A17" s="2"/>
      <c r="B17" s="2"/>
      <c r="C17" s="2"/>
      <c r="D17" s="2"/>
      <c r="E17" s="2"/>
      <c r="I17" s="3" t="s">
        <v>6</v>
      </c>
      <c r="J17" s="3" t="str">
        <f ca="1">IFERROR(__xludf.DUMMYFUNCTION("GOOGLETRANSLATE(B17,""en"",""ar"")"),"ما هو أفضل وصف للسطح الذي تجري عليه الخيول؟")</f>
        <v>ما هو أفضل وصف للسطح الذي تجري عليه الخيول؟</v>
      </c>
      <c r="K17" s="3" t="str">
        <f ca="1">IFERROR(__xludf.DUMMYFUNCTION("GOOGLETRANSLATE(C17,""en"",""ar"")"),"أ) مضمار عشبي، ب) مضمار ترابي، ج) مضمار صناعي، د) طريق معبد")</f>
        <v>أ) مضمار عشبي، ب) مضمار ترابي، ج) مضمار صناعي، د) طريق معبد</v>
      </c>
      <c r="L17" s="3" t="str">
        <f ca="1">IFERROR(__xludf.DUMMYFUNCTION("GOOGLETRANSLATE(D17,""en"",""ar"")"),"ب) طريق ترابي")</f>
        <v>ب) طريق ترابي</v>
      </c>
      <c r="M17" s="3" t="str">
        <f ca="1">IFERROR(__xludf.DUMMYFUNCTION("GOOGLETRANSLATE(E17,""en"",""ar"")"),"المادة الحبيبية ذات اللون البني الفاتح هي سمة مميزة لسطح سباقات الطرق الترابية.")</f>
        <v>المادة الحبيبية ذات اللون البني الفاتح هي سمة مميزة لسطح سباقات الطرق الترابية.</v>
      </c>
    </row>
    <row r="18" spans="1:13" ht="22.5" customHeight="1" x14ac:dyDescent="0.25">
      <c r="A18" s="2"/>
      <c r="B18" s="2"/>
      <c r="C18" s="2"/>
      <c r="D18" s="2"/>
      <c r="E18" s="2"/>
      <c r="I18" s="3" t="s">
        <v>6</v>
      </c>
      <c r="J18" s="3" t="str">
        <f ca="1">IFERROR(__xludf.DUMMYFUNCTION("GOOGLETRANSLATE(B18,""en"",""ar"")"),"ما الغرض من السوط الذي يحمله الفرسان؟")</f>
        <v>ما الغرض من السوط الذي يحمله الفرسان؟</v>
      </c>
      <c r="K18" s="3" t="str">
        <f ca="1">IFERROR(__xludf.DUMMYFUNCTION("GOOGLETRANSLATE(C18,""en"",""ar"")"),"أ) لإيذاء الحصان، ب) كوسيلة مساعدة في التوجيه وتشجيع الحصان، ج) للإشارة إلى الفرسان الآخرين، د) لتحقيق التوازن فقط")</f>
        <v>أ) لإيذاء الحصان، ب) كوسيلة مساعدة في التوجيه وتشجيع الحصان، ج) للإشارة إلى الفرسان الآخرين، د) لتحقيق التوازن فقط</v>
      </c>
      <c r="L18" s="3" t="str">
        <f ca="1">IFERROR(__xludf.DUMMYFUNCTION("GOOGLETRANSLATE(D18,""en"",""ar"")"),"ب) كوسيلة مساعدة في التوجيه ولتشجيع الحصان")</f>
        <v>ب) كوسيلة مساعدة في التوجيه ولتشجيع الحصان</v>
      </c>
      <c r="M18" s="3" t="str">
        <f ca="1">IFERROR(__xludf.DUMMYFUNCTION("GOOGLETRANSLATE(E18,""en"",""ar"")"),"يُستخدم السوط كأداة لحث الحصان على بذل المزيد من الجهد. أما الأسواط الحديثة فهي مبطنة لأسباب تتعلق بالسلامة.")</f>
        <v>يُستخدم السوط كأداة لحث الحصان على بذل المزيد من الجهد. أما الأسواط الحديثة فهي مبطنة لأسباب تتعلق بالسلامة.</v>
      </c>
    </row>
    <row r="19" spans="1:13" ht="22.5" customHeight="1" x14ac:dyDescent="0.25">
      <c r="A19" s="2"/>
      <c r="B19" s="2"/>
      <c r="C19" s="2"/>
      <c r="D19" s="2"/>
      <c r="E19" s="2"/>
      <c r="I19" s="3" t="s">
        <v>6</v>
      </c>
      <c r="J19" s="3" t="str">
        <f ca="1">IFERROR(__xludf.DUMMYFUNCTION("GOOGLETRANSLATE(B19,""en"",""ar"")"),"ما لون الخوذة التي يرتديها الفارس على الحصان الأمامي (في أقصى اليمين)؟")</f>
        <v>ما لون الخوذة التي يرتديها الفارس على الحصان الأمامي (في أقصى اليمين)؟</v>
      </c>
      <c r="K19" s="3" t="str">
        <f ca="1">IFERROR(__xludf.DUMMYFUNCTION("GOOGLETRANSLATE(C19,""en"",""ar"")"),"أ) أزرق، ب) أبيض، ج) أخضر، د) برتقالي")</f>
        <v>أ) أزرق، ب) أبيض، ج) أخضر، د) برتقالي</v>
      </c>
      <c r="L19" s="3" t="str">
        <f ca="1">IFERROR(__xludf.DUMMYFUNCTION("GOOGLETRANSLATE(D19,""en"",""ar"")"),"ب) أبيض")</f>
        <v>ب) أبيض</v>
      </c>
      <c r="M19" s="3" t="str">
        <f ca="1">IFERROR(__xludf.DUMMYFUNCTION("GOOGLETRANSLATE(E19,""en"",""ar"")"),"الفارس الذي يمتطي الحصان ذو الألوان الخضراء والبيضاء يرتدي خوذة بيضاء.")</f>
        <v>الفارس الذي يمتطي الحصان ذو الألوان الخضراء والبيضاء يرتدي خوذة بيضاء.</v>
      </c>
    </row>
    <row r="20" spans="1:13" ht="22.5" customHeight="1" x14ac:dyDescent="0.25">
      <c r="A20" s="2"/>
      <c r="B20" s="2"/>
      <c r="C20" s="2"/>
      <c r="D20" s="2"/>
      <c r="E20" s="2"/>
      <c r="I20" s="3" t="s">
        <v>6</v>
      </c>
      <c r="J20" s="3" t="str">
        <f ca="1">IFERROR(__xludf.DUMMYFUNCTION("GOOGLETRANSLATE(B20,""en"",""ar"")"),"ما هو اللون الأساسي للحصان الذي يرتدي غطاء العينين الأحمر وغطاء السرج رقم 6؟")</f>
        <v>ما هو اللون الأساسي للحصان الذي يرتدي غطاء العينين الأحمر وغطاء السرج رقم 6؟</v>
      </c>
      <c r="K20" s="3" t="str">
        <f ca="1">IFERROR(__xludf.DUMMYFUNCTION("GOOGLETRANSLATE(C20,""en"",""ar"")"),"أ) أسود، ب) بني (خليجي)، ج) رمادي، د) كستنائي (بني محمر)")</f>
        <v>أ) أسود، ب) بني (خليجي)، ج) رمادي، د) كستنائي (بني محمر)</v>
      </c>
      <c r="L20" s="3" t="str">
        <f ca="1">IFERROR(__xludf.DUMMYFUNCTION("GOOGLETRANSLATE(D20,""en"",""ar"")"),"د) كستنائي (بني محمر)")</f>
        <v>د) كستنائي (بني محمر)</v>
      </c>
      <c r="M20" s="3" t="str">
        <f ca="1">IFERROR(__xludf.DUMMYFUNCTION("GOOGLETRANSLATE(E20,""en"",""ar"")"),"لون فراء هذا الحصان بني محمر، وهو ما يُشار إليه باسم الكستنائي في مصطلحات الفروسية.")</f>
        <v>لون فراء هذا الحصان بني محمر، وهو ما يُشار إليه باسم الكستنائي في مصطلحات الفروسية.</v>
      </c>
    </row>
    <row r="21" spans="1:13" ht="22.5" customHeight="1" x14ac:dyDescent="0.25">
      <c r="A21" s="2"/>
      <c r="B21" s="2"/>
      <c r="C21" s="2"/>
      <c r="D21" s="2"/>
      <c r="E21" s="2"/>
      <c r="I21" s="3" t="s">
        <v>6</v>
      </c>
      <c r="J21" s="3" t="str">
        <f ca="1">IFERROR(__xludf.DUMMYFUNCTION("GOOGLETRANSLATE(B21,""en"",""ar"")"),"ما هو الاسم الرسمي للقمصان الملونة ذات النقوش التي يرتديها الفرسان؟")</f>
        <v>ما هو الاسم الرسمي للقمصان الملونة ذات النقوش التي يرتديها الفرسان؟</v>
      </c>
      <c r="K21" s="3" t="str">
        <f ca="1">IFERROR(__xludf.DUMMYFUNCTION("GOOGLETRANSLATE(C21,""en"",""ar"")"),"أ) قمصان رياضية، ب) أقمشة حريرية، ج) بلوزات، د) سترات سباق")</f>
        <v>أ) قمصان رياضية، ب) أقمشة حريرية، ج) بلوزات، د) سترات سباق</v>
      </c>
      <c r="L21" s="3" t="str">
        <f ca="1">IFERROR(__xludf.DUMMYFUNCTION("GOOGLETRANSLATE(D21,""en"",""ar"")"),"ب) الحرير")</f>
        <v>ب) الحرير</v>
      </c>
      <c r="M21" s="3" t="str">
        <f ca="1">IFERROR(__xludf.DUMMYFUNCTION("GOOGLETRANSLATE(E21,""en"",""ar"")"),"تُسمى هذه القمصان ""الحرير""، وألوانها وأنماطها الفريدة تمثل مالك الحصان.")</f>
        <v>تُسمى هذه القمصان "الحرير"، وألوانها وأنماطها الفريدة تمثل مالك الحصان.</v>
      </c>
    </row>
    <row r="22" spans="1:13" ht="22.5" customHeight="1" x14ac:dyDescent="0.25">
      <c r="A22" s="2"/>
      <c r="B22" s="2"/>
      <c r="C22" s="2"/>
      <c r="D22" s="2"/>
      <c r="E22" s="2"/>
      <c r="I22" s="3" t="s">
        <v>7</v>
      </c>
      <c r="J22" s="3" t="str">
        <f ca="1">IFERROR(__xludf.DUMMYFUNCTION("GOOGLETRANSLATE(B22,""en"",""ar"")"),"ما هي التقنية الفوتوغرافية التي تخلق خلفية ضبابية مع الحفاظ على وضوح الحصان والفارس بشكل نسبي؟")</f>
        <v>ما هي التقنية الفوتوغرافية التي تخلق خلفية ضبابية مع الحفاظ على وضوح الحصان والفارس بشكل نسبي؟</v>
      </c>
      <c r="K22" s="3" t="str">
        <f ca="1">IFERROR(__xludf.DUMMYFUNCTION("GOOGLETRANSLATE(C22,""en"",""ar"")"),"أ) التعريض الطويل، ب) التحريك البانورامي، ج) عدسة عين السمكة، د) الترشيح بالأبيض والأسود")</f>
        <v>أ) التعريض الطويل، ب) التحريك البانورامي، ج) عدسة عين السمكة، د) الترشيح بالأبيض والأسود</v>
      </c>
      <c r="L22" s="3" t="str">
        <f ca="1">IFERROR(__xludf.DUMMYFUNCTION("GOOGLETRANSLATE(D22,""en"",""ar"")"),"ب) التحريك الأفقي")</f>
        <v>ب) التحريك الأفقي</v>
      </c>
      <c r="M22" s="3" t="str">
        <f ca="1">IFERROR(__xludf.DUMMYFUNCTION("GOOGLETRANSLATE(E22,""en"",""ar"")"),"تتضمن تقنية التتبع البصري تحريك الكاميرا لمتابعة الهدف، مما ينتج عنه خلفية ضبابية تعطي إحساسًا قويًا بالحركة. 📸")</f>
        <v>تتضمن تقنية التتبع البصري تحريك الكاميرا لمتابعة الهدف، مما ينتج عنه خلفية ضبابية تعطي إحساسًا قويًا بالحركة. 📸</v>
      </c>
    </row>
    <row r="23" spans="1:13" ht="22.5" customHeight="1" x14ac:dyDescent="0.25">
      <c r="A23" s="2"/>
      <c r="B23" s="2"/>
      <c r="C23" s="2"/>
      <c r="D23" s="2"/>
      <c r="E23" s="2"/>
      <c r="I23" s="3" t="s">
        <v>7</v>
      </c>
      <c r="J23" s="3" t="str">
        <f ca="1">IFERROR(__xludf.DUMMYFUNCTION("GOOGLETRANSLATE(B23,""en"",""ar"")"),"ما هو الرقم المعروض على غطاء السرج البرتقالي؟")</f>
        <v>ما هو الرقم المعروض على غطاء السرج البرتقالي؟</v>
      </c>
      <c r="K23" s="3" t="str">
        <f ca="1">IFERROR(__xludf.DUMMYFUNCTION("GOOGLETRANSLATE(C23,""en"",""ar"")"),"أ) 2، ب) 3، ج) 5، د) 7")</f>
        <v>أ) 2، ب) 3، ج) 5، د) 7</v>
      </c>
      <c r="L23" s="3" t="str">
        <f ca="1">IFERROR(__xludf.DUMMYFUNCTION("GOOGLETRANSLATE(D23,""en"",""ar"")"),"ج) 5")</f>
        <v>ج) 5</v>
      </c>
      <c r="M23" s="3" t="str">
        <f ca="1">IFERROR(__xludf.DUMMYFUNCTION("GOOGLETRANSLATE(E23,""en"",""ar"")"),"يظهر الرقم ""5"" بوضوح على غطاء السرج البرتقالي الذي يرتديه الحصان.")</f>
        <v>يظهر الرقم "5" بوضوح على غطاء السرج البرتقالي الذي يرتديه الحصان.</v>
      </c>
    </row>
    <row r="24" spans="1:13" ht="22.5" customHeight="1" x14ac:dyDescent="0.25">
      <c r="A24" s="2"/>
      <c r="B24" s="2"/>
      <c r="C24" s="2"/>
      <c r="D24" s="2"/>
      <c r="E24" s="2"/>
      <c r="I24" s="3" t="s">
        <v>7</v>
      </c>
      <c r="J24" s="3" t="str">
        <f ca="1">IFERROR(__xludf.DUMMYFUNCTION("GOOGLETRANSLATE(B24,""en"",""ar"")"),"ما الغرض من المعدات الزرقاء الموجودة على رأس الحصان؟")</f>
        <v>ما الغرض من المعدات الزرقاء الموجودة على رأس الحصان؟</v>
      </c>
      <c r="K24" s="3" t="str">
        <f ca="1">IFERROR(__xludf.DUMMYFUNCTION("GOOGLETRANSLATE(C24,""en"",""ar"")"),"أ) لإبعاد الذباب، ب) هو للزينة فقط، ج) هو غطاء واقٍ للعينين للحفاظ على تركيز الحصان، د) يساعد الحصان على التنفس بشكل أفضل")</f>
        <v>أ) لإبعاد الذباب، ب) هو للزينة فقط، ج) هو غطاء واقٍ للعينين للحفاظ على تركيز الحصان، د) يساعد الحصان على التنفس بشكل أفضل</v>
      </c>
      <c r="L24" s="3" t="str">
        <f ca="1">IFERROR(__xludf.DUMMYFUNCTION("GOOGLETRANSLATE(D24,""en"",""ar"")"),"ج) إنها غطاء واقٍ للعينين للحفاظ على تركيز الحصان")</f>
        <v>ج) إنها غطاء واقٍ للعينين للحفاظ على تركيز الحصان</v>
      </c>
      <c r="M24" s="3" t="str">
        <f ca="1">IFERROR(__xludf.DUMMYFUNCTION("GOOGLETRANSLATE(E24,""en"",""ar"")"),"تم تجهيز هذا الغطاء بأغطية للعينين لمنع الحصان من التشتت بسبب الحركة على جانبيه ومؤخرته.")</f>
        <v>تم تجهيز هذا الغطاء بأغطية للعينين لمنع الحصان من التشتت بسبب الحركة على جانبيه ومؤخرته.</v>
      </c>
    </row>
    <row r="25" spans="1:13" ht="22.5" customHeight="1" x14ac:dyDescent="0.25">
      <c r="A25" s="2"/>
      <c r="B25" s="2"/>
      <c r="C25" s="2"/>
      <c r="D25" s="2"/>
      <c r="E25" s="2"/>
      <c r="I25" s="3" t="s">
        <v>7</v>
      </c>
      <c r="J25" s="3" t="str">
        <f ca="1">IFERROR(__xludf.DUMMYFUNCTION("GOOGLETRANSLATE(B25,""en"",""ar"")"),"ما الذي يساعد عليه وضع الفارس المنحني فوق رقبة الحصان؟")</f>
        <v>ما الذي يساعد عليه وضع الفارس المنحني فوق رقبة الحصان؟</v>
      </c>
      <c r="K25" s="3" t="str">
        <f ca="1">IFERROR(__xludf.DUMMYFUNCTION("GOOGLETRANSLATE(C25,""en"",""ar"")"),"أ) إثارة غضب الحصان، ب) الحفاظ على دفء الفارس، ج) تحسين مركز ثقل الحصان وديناميكيته الهوائية، د) رؤية خط النهاية بشكل أوضح")</f>
        <v>أ) إثارة غضب الحصان، ب) الحفاظ على دفء الفارس، ج) تحسين مركز ثقل الحصان وديناميكيته الهوائية، د) رؤية خط النهاية بشكل أوضح</v>
      </c>
      <c r="L25" s="3" t="str">
        <f ca="1">IFERROR(__xludf.DUMMYFUNCTION("GOOGLETRANSLATE(D25,""en"",""ar"")"),"ج) تحسين مركز ثقل الحصان وديناميكيته الهوائية")</f>
        <v>ج) تحسين مركز ثقل الحصان وديناميكيته الهوائية</v>
      </c>
      <c r="M25" s="3" t="str">
        <f ca="1">IFERROR(__xludf.DUMMYFUNCTION("GOOGLETRANSLATE(E25,""en"",""ar"")"),"تُساعد هذه الوضعية على خلق شكل أكثر انسيابية ونقل وزن الراكب إلى الأمام لتحقيق التوازن الأمثل عند السرعة.")</f>
        <v>تُساعد هذه الوضعية على خلق شكل أكثر انسيابية ونقل وزن الراكب إلى الأمام لتحقيق التوازن الأمثل عند السرعة.</v>
      </c>
    </row>
    <row r="26" spans="1:13" ht="22.5" customHeight="1" x14ac:dyDescent="0.25">
      <c r="A26" s="2"/>
      <c r="B26" s="2"/>
      <c r="C26" s="2"/>
      <c r="D26" s="2"/>
      <c r="E26" s="2"/>
      <c r="I26" s="3" t="s">
        <v>7</v>
      </c>
      <c r="J26" s="3" t="str">
        <f ca="1">IFERROR(__xludf.DUMMYFUNCTION("GOOGLETRANSLATE(B26,""en"",""ar"")"),"ماذا يشير ضبابية الحركة على أرجل الحصان؟")</f>
        <v>ماذا يشير ضبابية الحركة على أرجل الحصان؟</v>
      </c>
      <c r="K26" s="3" t="str">
        <f ca="1">IFERROR(__xludf.DUMMYFUNCTION("GOOGLETRANSLATE(C26,""en"",""ar"")"),"أ) الحصان يتحرك ببطء، ب) الحصان يتحرك بسرعة عالية جدًا، ج) الصورة غير واضحة، د) الحصان متعب")</f>
        <v>أ) الحصان يتحرك ببطء، ب) الحصان يتحرك بسرعة عالية جدًا، ج) الصورة غير واضحة، د) الحصان متعب</v>
      </c>
      <c r="L26" s="3" t="str">
        <f ca="1">IFERROR(__xludf.DUMMYFUNCTION("GOOGLETRANSLATE(D26,""en"",""ar"")"),"ب) يتحرك الحصان بسرعة عالية جداً")</f>
        <v>ب) يتحرك الحصان بسرعة عالية جداً</v>
      </c>
      <c r="M26" s="3" t="str">
        <f ca="1">IFERROR(__xludf.DUMMYFUNCTION("GOOGLETRANSLATE(E26,""en"",""ar"")"),"كانت سرعة غالق الكاميرا بطيئة بما يكفي لالتقاط الحركة السريعة للأرجل على شكل ضبابية.")</f>
        <v>كانت سرعة غالق الكاميرا بطيئة بما يكفي لالتقاط الحركة السريعة للأرجل على شكل ضبابية.</v>
      </c>
    </row>
    <row r="27" spans="1:13" ht="22.5" customHeight="1" x14ac:dyDescent="0.25">
      <c r="A27" s="2"/>
      <c r="B27" s="2"/>
      <c r="C27" s="2"/>
      <c r="D27" s="2"/>
      <c r="E27" s="2"/>
      <c r="I27" s="3" t="s">
        <v>7</v>
      </c>
      <c r="J27" s="3" t="str">
        <f ca="1">IFERROR(__xludf.DUMMYFUNCTION("GOOGLETRANSLATE(B27,""en"",""ar"")"),"ما هو سطح حلبة السباق الظاهر في الصورة؟")</f>
        <v>ما هو سطح حلبة السباق الظاهر في الصورة؟</v>
      </c>
      <c r="K27" s="3" t="str">
        <f ca="1">IFERROR(__xludf.DUMMYFUNCTION("GOOGLETRANSLATE(C27,""en"",""ar"")"),"أ) العشب (الأرض العشبية)، ب) التراب، ج) الأسفلت، د) الثلج")</f>
        <v>أ) العشب (الأرض العشبية)، ب) التراب، ج) الأسفلت، د) الثلج</v>
      </c>
      <c r="L27" s="3" t="str">
        <f ca="1">IFERROR(__xludf.DUMMYFUNCTION("GOOGLETRANSLATE(D27,""en"",""ar"")"),"ب) التراب")</f>
        <v>ب) التراب</v>
      </c>
      <c r="M27" s="3" t="str">
        <f ca="1">IFERROR(__xludf.DUMMYFUNCTION("GOOGLETRANSLATE(E27,""en"",""ar"")"),"يتسابق الحصان على مضمار ترابي بلون بني فاتح، مع وجود مساحة عشبية داخلية ظاهرة في الخلفية.")</f>
        <v>يتسابق الحصان على مضمار ترابي بلون بني فاتح، مع وجود مساحة عشبية داخلية ظاهرة في الخلفية.</v>
      </c>
    </row>
    <row r="28" spans="1:13" ht="22.5" customHeight="1" x14ac:dyDescent="0.25">
      <c r="A28" s="2"/>
      <c r="B28" s="2"/>
      <c r="C28" s="2"/>
      <c r="D28" s="2"/>
      <c r="E28" s="2"/>
      <c r="I28" s="3" t="s">
        <v>7</v>
      </c>
      <c r="J28" s="3" t="str">
        <f ca="1">IFERROR(__xludf.DUMMYFUNCTION("GOOGLETRANSLATE(B28,""en"",""ar"")"),"أين طُبع اسم عائلة الفارس، ""HERCIECIA""؟")</f>
        <v>أين طُبع اسم عائلة الفارس، "HERCIECIA"؟</v>
      </c>
      <c r="K28" s="3" t="str">
        <f ca="1">IFERROR(__xludf.DUMMYFUNCTION("GOOGLETRANSLATE(C28,""en"",""ar"")"),"أ) على خوذته، ب) على حذائه، ج) على بنطاله، د) على سرجه")</f>
        <v>أ) على خوذته، ب) على حذائه، ج) على بنطاله، د) على سرجه</v>
      </c>
      <c r="L28" s="3" t="str">
        <f ca="1">IFERROR(__xludf.DUMMYFUNCTION("GOOGLETRANSLATE(D28,""en"",""ar"")"),"ج) على بنطاله")</f>
        <v>ج) على بنطاله</v>
      </c>
      <c r="M28" s="3" t="str">
        <f ca="1">IFERROR(__xludf.DUMMYFUNCTION("GOOGLETRANSLATE(E28,""en"",""ar"")"),"يظهر الاسم بأحرف بيضاء على جانب سروال الفارس الأبيض.")</f>
        <v>يظهر الاسم بأحرف بيضاء على جانب سروال الفارس الأبيض.</v>
      </c>
    </row>
    <row r="29" spans="1:13" ht="22.5" customHeight="1" x14ac:dyDescent="0.25">
      <c r="A29" s="2"/>
      <c r="B29" s="2"/>
      <c r="C29" s="2"/>
      <c r="D29" s="2"/>
      <c r="E29" s="2"/>
      <c r="I29" s="3" t="s">
        <v>7</v>
      </c>
      <c r="J29" s="3" t="str">
        <f ca="1">IFERROR(__xludf.DUMMYFUNCTION("GOOGLETRANSLATE(B29,""en"",""ar"")"),"أي جزء من جسم الحصان يُنتج أكبر قدر من الغبار؟")</f>
        <v>أي جزء من جسم الحصان يُنتج أكبر قدر من الغبار؟</v>
      </c>
      <c r="K29" s="3" t="str">
        <f ca="1">IFERROR(__xludf.DUMMYFUNCTION("GOOGLETRANSLATE(C29,""en"",""ar"")"),"أ) رأسه، ب) ذيله، ج) حوافره، د) ظهره")</f>
        <v>أ) رأسه، ب) ذيله، ج) حوافره، د) ظهره</v>
      </c>
      <c r="L29" s="3" t="str">
        <f ca="1">IFERROR(__xludf.DUMMYFUNCTION("GOOGLETRANSLATE(D29,""en"",""ar"")"),"ج) حوافره")</f>
        <v>ج) حوافره</v>
      </c>
      <c r="M29" s="3" t="str">
        <f ca="1">IFERROR(__xludf.DUMMYFUNCTION("GOOGLETRANSLATE(E29,""en"",""ar"")"),"تتسبب حوافر الحصان في إثارة الغبار من سطح المضمار أثناء عدوه بسرعة عالية.")</f>
        <v>تتسبب حوافر الحصان في إثارة الغبار من سطح المضمار أثناء عدوه بسرعة عالية.</v>
      </c>
    </row>
    <row r="30" spans="1:13" ht="22.5" customHeight="1" x14ac:dyDescent="0.25">
      <c r="A30" s="2"/>
      <c r="B30" s="2"/>
      <c r="C30" s="2"/>
      <c r="D30" s="2"/>
      <c r="E30" s="2"/>
      <c r="I30" s="3" t="s">
        <v>7</v>
      </c>
      <c r="J30" s="3" t="str">
        <f ca="1">IFERROR(__xludf.DUMMYFUNCTION("GOOGLETRANSLATE(B30,""en"",""ar"")"),"يُطلق على الشعر الأسود المتدفق في الجزء الخلفي من الحصان اسم...")</f>
        <v>يُطلق على الشعر الأسود المتدفق في الجزء الخلفي من الحصان اسم...</v>
      </c>
      <c r="K30" s="3" t="str">
        <f ca="1">IFERROR(__xludf.DUMMYFUNCTION("GOOGLETRANSLATE(C30,""en"",""ar"")"),"أ) العرف، ب) الذيل، ج) غرة الشعر، د) الشوارب")</f>
        <v>أ) العرف، ب) الذيل، ج) غرة الشعر، د) الشوارب</v>
      </c>
      <c r="L30" s="3" t="str">
        <f ca="1">IFERROR(__xludf.DUMMYFUNCTION("GOOGLETRANSLATE(D30,""en"",""ar"")"),"ب) الذيل")</f>
        <v>ب) الذيل</v>
      </c>
      <c r="M30" s="3" t="str">
        <f ca="1">IFERROR(__xludf.DUMMYFUNCTION("GOOGLETRANSLATE(E30,""en"",""ar"")"),"الشعر الطويل الممتد من مؤخرة الحصان هو ذيله.")</f>
        <v>الشعر الطويل الممتد من مؤخرة الحصان هو ذيله.</v>
      </c>
    </row>
    <row r="31" spans="1:13" ht="22.5" customHeight="1" x14ac:dyDescent="0.25">
      <c r="A31" s="2"/>
      <c r="B31" s="2"/>
      <c r="C31" s="2"/>
      <c r="D31" s="2"/>
      <c r="E31" s="2"/>
      <c r="I31" s="3" t="s">
        <v>7</v>
      </c>
      <c r="J31" s="3" t="str">
        <f ca="1">IFERROR(__xludf.DUMMYFUNCTION("GOOGLETRANSLATE(B31,""en"",""ar"")"),"ما هو اللون الأساسي لخوذة الفارس؟")</f>
        <v>ما هو اللون الأساسي لخوذة الفارس؟</v>
      </c>
      <c r="K31" s="3" t="str">
        <f ca="1">IFERROR(__xludf.DUMMYFUNCTION("GOOGLETRANSLATE(C31,""en"",""ar"")"),"أ) أزرق، ب) بنفسجي، ج) أبيض، د) رمادي")</f>
        <v>أ) أزرق، ب) بنفسجي، ج) أبيض، د) رمادي</v>
      </c>
      <c r="L31" s="3" t="str">
        <f ca="1">IFERROR(__xludf.DUMMYFUNCTION("GOOGLETRANSLATE(D31,""en"",""ar"")"),"ب) بنفسجي")</f>
        <v>ب) بنفسجي</v>
      </c>
      <c r="M31" s="3" t="str">
        <f ca="1">IFERROR(__xludf.DUMMYFUNCTION("GOOGLETRANSLATE(E31,""en"",""ar"")"),"يتميز الجزء الرئيسي من الخوذة بلون أرجواني مميز.")</f>
        <v>يتميز الجزء الرئيسي من الخوذة بلون أرجواني مميز.</v>
      </c>
    </row>
    <row r="32" spans="1:13" ht="22.5" customHeight="1" x14ac:dyDescent="0.25">
      <c r="A32" s="2"/>
      <c r="B32" s="2"/>
      <c r="C32" s="2"/>
      <c r="D32" s="2"/>
      <c r="E32" s="2"/>
      <c r="I32" s="3" t="s">
        <v>8</v>
      </c>
      <c r="J32" s="3" t="str">
        <f ca="1">IFERROR(__xludf.DUMMYFUNCTION("GOOGLETRANSLATE(B32,""en"",""ar"")"),"ما هي السمة الأكثر غرابة في بيئة هذا السباق؟")</f>
        <v>ما هي السمة الأكثر غرابة في بيئة هذا السباق؟</v>
      </c>
      <c r="K32" s="3" t="str">
        <f ca="1">IFERROR(__xludf.DUMMYFUNCTION("GOOGLETRANSLATE(C32,""en"",""ar"")"),"أ) إنه الليل، ب) تمطر بغزارة، ج) يُقام السباق في الثلج، د) لا يوجد متفرجون")</f>
        <v>أ) إنه الليل، ب) تمطر بغزارة، ج) يُقام السباق في الثلج، د) لا يوجد متفرجون</v>
      </c>
      <c r="L32" s="3" t="str">
        <f ca="1">IFERROR(__xludf.DUMMYFUNCTION("GOOGLETRANSLATE(D32,""en"",""ar"")"),"ج) يُقام السباق في الثلج")</f>
        <v>ج) يُقام السباق في الثلج</v>
      </c>
      <c r="M32" s="3" t="str">
        <f ca="1">IFERROR(__xludf.DUMMYFUNCTION("GOOGLETRANSLATE(E32,""en"",""ar"")"),"سباق الخيل في الثلج الكثيف شكل نادر ومتخصص من هذه الرياضة. ❄️")</f>
        <v>سباق الخيل في الثلج الكثيف شكل نادر ومتخصص من هذه الرياضة. ❄️</v>
      </c>
    </row>
    <row r="33" spans="1:13" ht="22.5" customHeight="1" x14ac:dyDescent="0.25">
      <c r="A33" s="2"/>
      <c r="B33" s="2"/>
      <c r="C33" s="2"/>
      <c r="D33" s="2"/>
      <c r="E33" s="2"/>
      <c r="I33" s="3" t="s">
        <v>8</v>
      </c>
      <c r="J33" s="3" t="str">
        <f ca="1">IFERROR(__xludf.DUMMYFUNCTION("GOOGLETRANSLATE(B33,""en"",""ar"")"),"ما التحدي الذي يمثله هذا السطح بالنسبة للخيول؟")</f>
        <v>ما التحدي الذي يمثله هذا السطح بالنسبة للخيول؟</v>
      </c>
      <c r="K33" s="3" t="str">
        <f ca="1">IFERROR(__xludf.DUMMYFUNCTION("GOOGLETRANSLATE(C33,""en"",""ar"")"),"أ) الجو حار جدًا، ب) يوفر أرضية غير ثابتة ورؤية ضعيفة، ج) إنه قاسٍ جدًا على حوافرهم، د) إنه ساطع جدًا")</f>
        <v>أ) الجو حار جدًا، ب) يوفر أرضية غير ثابتة ورؤية ضعيفة، ج) إنه قاسٍ جدًا على حوافرهم، د) إنه ساطع جدًا</v>
      </c>
      <c r="L33" s="3" t="str">
        <f ca="1">IFERROR(__xludf.DUMMYFUNCTION("GOOGLETRANSLATE(D33,""en"",""ar"")"),"ب) يوفر ثباتًا ضعيفًا ورؤية غير واضحة")</f>
        <v>ب) يوفر ثباتًا ضعيفًا ورؤية غير واضحة</v>
      </c>
      <c r="M33" s="3" t="str">
        <f ca="1">IFERROR(__xludf.DUMMYFUNCTION("GOOGLETRANSLATE(E33,""en"",""ar"")"),"يمكن أن يكون الثلج زلقاً، كما أن الرذاذ المتطاير من الخيول الأخرى يجعل الرؤية صعبة على الخيول والفرسان الذين يتبعونها.")</f>
        <v>يمكن أن يكون الثلج زلقاً، كما أن الرذاذ المتطاير من الخيول الأخرى يجعل الرؤية صعبة على الخيول والفرسان الذين يتبعونها.</v>
      </c>
    </row>
    <row r="34" spans="1:13" ht="22.5" customHeight="1" x14ac:dyDescent="0.25">
      <c r="A34" s="2"/>
      <c r="B34" s="2"/>
      <c r="C34" s="2"/>
      <c r="D34" s="2"/>
      <c r="E34" s="2"/>
      <c r="I34" s="3" t="s">
        <v>8</v>
      </c>
      <c r="J34" s="3" t="str">
        <f ca="1">IFERROR(__xludf.DUMMYFUNCTION("GOOGLETRANSLATE(B34,""en"",""ar"")"),"ماذا يرتدي الفرسان على وجوههم للحماية؟")</f>
        <v>ماذا يرتدي الفرسان على وجوههم للحماية؟</v>
      </c>
      <c r="K34" s="3" t="str">
        <f ca="1">IFERROR(__xludf.DUMMYFUNCTION("GOOGLETRANSLATE(C34,""en"",""ar"")"),"أ) نظارات شمسية، ب) نظارات واقية، ج) لا شيء، د) أوشحة")</f>
        <v>أ) نظارات شمسية، ب) نظارات واقية، ج) لا شيء، د) أوشحة</v>
      </c>
      <c r="L34" s="3" t="str">
        <f ca="1">IFERROR(__xludf.DUMMYFUNCTION("GOOGLETRANSLATE(D34,""en"",""ar"")"),"ب) نظارات واقية")</f>
        <v>ب) نظارات واقية</v>
      </c>
      <c r="M34" s="3" t="str">
        <f ca="1">IFERROR(__xludf.DUMMYFUNCTION("GOOGLETRANSLATE(E34,""en"",""ar"")"),"تُعد النظارات الواقية ضرورية لحماية عيون الفرسان من البرد والثلج والجليد المتطاير.")</f>
        <v>تُعد النظارات الواقية ضرورية لحماية عيون الفرسان من البرد والثلج والجليد المتطاير.</v>
      </c>
    </row>
    <row r="35" spans="1:13" ht="22.5" customHeight="1" x14ac:dyDescent="0.25">
      <c r="A35" s="2"/>
      <c r="B35" s="2"/>
      <c r="C35" s="2"/>
      <c r="D35" s="2"/>
      <c r="E35" s="2"/>
      <c r="I35" s="3" t="s">
        <v>8</v>
      </c>
      <c r="J35" s="3" t="str">
        <f ca="1">IFERROR(__xludf.DUMMYFUNCTION("GOOGLETRANSLATE(B35,""en"",""ar"")"),"يُطلق على هذا النوع من الأحداث غالبًا اسم...")</f>
        <v>يُطلق على هذا النوع من الأحداث غالبًا اسم...</v>
      </c>
      <c r="K35" s="3" t="str">
        <f ca="1">IFERROR(__xludf.DUMMYFUNCTION("GOOGLETRANSLATE(C35,""en"",""ar"")"),"أ) سباق ""الشمس""، ب) سباق ""الرمال""، ج) سباق ""العشب الأبيض""، د) سباق ""العدو على العشب""")</f>
        <v>أ) سباق "الشمس"، ب) سباق "الرمال"، ج) سباق "العشب الأبيض"، د) سباق "العدو على العشب"</v>
      </c>
      <c r="L35" s="3" t="str">
        <f ca="1">IFERROR(__xludf.DUMMYFUNCTION("GOOGLETRANSLATE(D35,""en"",""ar"")"),"ج) سباقات ""العشب الأبيض""")</f>
        <v>ج) سباقات "العشب الأبيض"</v>
      </c>
      <c r="M35" s="3" t="str">
        <f ca="1">IFERROR(__xludf.DUMMYFUNCTION("GOOGLETRANSLATE(E35,""en"",""ar"")"),"""وايت تيرف"" هو حدث سنوي شهير في سانت موريتز، سويسرا، ويشتهر بسباقات الخيل على بحيرة متجمدة مغطاة بالثلوج.")</f>
        <v>"وايت تيرف" هو حدث سنوي شهير في سانت موريتز، سويسرا، ويشتهر بسباقات الخيل على بحيرة متجمدة مغطاة بالثلوج.</v>
      </c>
    </row>
    <row r="36" spans="1:13" ht="22.5" customHeight="1" x14ac:dyDescent="0.25">
      <c r="A36" s="2"/>
      <c r="B36" s="2"/>
      <c r="C36" s="2"/>
      <c r="D36" s="2"/>
      <c r="E36" s="2"/>
      <c r="I36" s="3" t="s">
        <v>8</v>
      </c>
      <c r="J36" s="3" t="str">
        <f ca="1">IFERROR(__xludf.DUMMYFUNCTION("GOOGLETRANSLATE(B36,""en"",""ar"")"),"ما لون ألوان حرير الفارس الموجود في المنتصف، والذي يبدو أنه في المقدمة؟")</f>
        <v>ما لون ألوان حرير الفارس الموجود في المنتصف، والذي يبدو أنه في المقدمة؟</v>
      </c>
      <c r="K36" s="3" t="str">
        <f ca="1">IFERROR(__xludf.DUMMYFUNCTION("GOOGLETRANSLATE(C36,""en"",""ar"")"),"أ) أبيض بالكامل، ب) أحمر وأخضر، ج) أصفر وأزرق، د) أسود ووردي")</f>
        <v>أ) أبيض بالكامل، ب) أحمر وأخضر، ج) أصفر وأزرق، د) أسود ووردي</v>
      </c>
      <c r="L36" s="3" t="str">
        <f ca="1">IFERROR(__xludf.DUMMYFUNCTION("GOOGLETRANSLATE(D36,""en"",""ar"")"),"ج) الأصفر والأزرق")</f>
        <v>ج) الأصفر والأزرق</v>
      </c>
      <c r="M36" s="3" t="str">
        <f ca="1">IFERROR(__xludf.DUMMYFUNCTION("GOOGLETRANSLATE(E36,""en"",""ar"")"),"يرتدي الفارس الرئيسي خوذة صفراء وملابس حريرية زرقاء في الغالب.")</f>
        <v>يرتدي الفارس الرئيسي خوذة صفراء وملابس حريرية زرقاء في الغالب.</v>
      </c>
    </row>
    <row r="37" spans="1:13" ht="22.5" customHeight="1" x14ac:dyDescent="0.25">
      <c r="A37" s="2"/>
      <c r="B37" s="2"/>
      <c r="C37" s="2"/>
      <c r="D37" s="2"/>
      <c r="E37" s="2"/>
      <c r="I37" s="3" t="s">
        <v>8</v>
      </c>
      <c r="J37" s="3" t="str">
        <f ca="1">IFERROR(__xludf.DUMMYFUNCTION("GOOGLETRANSLATE(B37,""en"",""ar"")"),"ما الذي تقوم الخيول بركله في الهواء؟")</f>
        <v>ما الذي تقوم الخيول بركله في الهواء؟</v>
      </c>
      <c r="K37" s="3" t="str">
        <f ca="1">IFERROR(__xludf.DUMMYFUNCTION("GOOGLETRANSLATE(C37,""en"",""ar"")"),"أ) التراب، ب) الماء، ج) الرمل، د) الثلج")</f>
        <v>أ) التراب، ب) الماء، ج) الرمل، د) الثلج</v>
      </c>
      <c r="L37" s="3" t="str">
        <f ca="1">IFERROR(__xludf.DUMMYFUNCTION("GOOGLETRANSLATE(D37,""en"",""ar"")"),"د) الثلج")</f>
        <v>د) الثلج</v>
      </c>
      <c r="M37" s="3" t="str">
        <f ca="1">IFERROR(__xludf.DUMMYFUNCTION("GOOGLETRANSLATE(E37,""en"",""ar"")"),"تتناثر سحب من الثلج الأبيض من حوافر الخيول أثناء ركضها.")</f>
        <v>تتناثر سحب من الثلج الأبيض من حوافر الخيول أثناء ركضها.</v>
      </c>
    </row>
    <row r="38" spans="1:13" ht="22.5" customHeight="1" x14ac:dyDescent="0.25">
      <c r="A38" s="2"/>
      <c r="B38" s="2"/>
      <c r="C38" s="2"/>
      <c r="D38" s="2"/>
      <c r="E38" s="2"/>
      <c r="I38" s="3" t="s">
        <v>8</v>
      </c>
      <c r="J38" s="3" t="str">
        <f ca="1">IFERROR(__xludf.DUMMYFUNCTION("GOOGLETRANSLATE(B38,""en"",""ar"")"),"ما هي درجة الحرارة المتوقعة في هذا الحدث؟")</f>
        <v>ما هي درجة الحرارة المتوقعة في هذا الحدث؟</v>
      </c>
      <c r="K38" s="3" t="str">
        <f ca="1">IFERROR(__xludf.DUMMYFUNCTION("GOOGLETRANSLATE(C38,""en"",""ar"")"),"أ) عند درجة التجمد أو أقل منها (0 درجة مئوية / 32 درجة فهرنهايت)، ب) دافئ (20 درجة مئوية / 68 درجة فهرنهايت)، ج) حار (30 درجة مئوية / 86 درجة فهرنهايت)، د) معتدل (10 درجات مئوية / 50 درجة فهرنهايت)")</f>
        <v>أ) عند درجة التجمد أو أقل منها (0 درجة مئوية / 32 درجة فهرنهايت)، ب) دافئ (20 درجة مئوية / 68 درجة فهرنهايت)، ج) حار (30 درجة مئوية / 86 درجة فهرنهايت)، د) معتدل (10 درجات مئوية / 50 درجة فهرنهايت)</v>
      </c>
      <c r="L38" s="3" t="str">
        <f ca="1">IFERROR(__xludf.DUMMYFUNCTION("GOOGLETRANSLATE(D38,""en"",""ar"")"),"أ) عند درجة التجمد أو أقل منها (0 درجة مئوية / 32 درجة فهرنهايت)")</f>
        <v>أ) عند درجة التجمد أو أقل منها (0 درجة مئوية / 32 درجة فهرنهايت)</v>
      </c>
      <c r="M38" s="3" t="str">
        <f ca="1">IFERROR(__xludf.DUMMYFUNCTION("GOOGLETRANSLATE(E38,""en"",""ar"")"),"لكي يتراكم الثلج على الأرض في هذه الحالة، يجب أن تكون درجات الحرارة عند أو أقل من درجة التجمد.")</f>
        <v>لكي يتراكم الثلج على الأرض في هذه الحالة، يجب أن تكون درجات الحرارة عند أو أقل من درجة التجمد.</v>
      </c>
    </row>
    <row r="39" spans="1:13" ht="22.5" customHeight="1" x14ac:dyDescent="0.25">
      <c r="A39" s="2"/>
      <c r="B39" s="2"/>
      <c r="C39" s="2"/>
      <c r="D39" s="2"/>
      <c r="E39" s="2"/>
      <c r="I39" s="3" t="s">
        <v>8</v>
      </c>
      <c r="J39" s="3" t="str">
        <f ca="1">IFERROR(__xludf.DUMMYFUNCTION("GOOGLETRANSLATE(B39,""en"",""ar"")"),"بالمقارنة مع المضمار الترابي، يتطلب الجري في الثلج من الخيول أن تمتلك المزيد...")</f>
        <v>بالمقارنة مع المضمار الترابي، يتطلب الجري في الثلج من الخيول أن تمتلك المزيد...</v>
      </c>
      <c r="K39" s="3" t="str">
        <f ca="1">IFERROR(__xludf.DUMMYFUNCTION("GOOGLETRANSLATE(C39,""en"",""ar"")"),"أ) السرعة القصوى، ب) القوة والقدرة على التحمل، ج) خفة الحركة في المنعطفات الحادة، د) تحمل الحرارة")</f>
        <v>أ) السرعة القصوى، ب) القوة والقدرة على التحمل، ج) خفة الحركة في المنعطفات الحادة، د) تحمل الحرارة</v>
      </c>
      <c r="L39" s="3" t="str">
        <f ca="1">IFERROR(__xludf.DUMMYFUNCTION("GOOGLETRANSLATE(D39,""en"",""ar"")"),"ب) القوة والقدرة على التحمل")</f>
        <v>ب) القوة والقدرة على التحمل</v>
      </c>
      <c r="M39" s="3" t="str">
        <f ca="1">IFERROR(__xludf.DUMMYFUNCTION("GOOGLETRANSLATE(E39,""en"",""ar"")"),"يُعدّ التحرك عبر الثلج العميق والمقاوم نشاطًا شاقًا يتطلب قوة وتحملًا كبيرين.")</f>
        <v>يُعدّ التحرك عبر الثلج العميق والمقاوم نشاطًا شاقًا يتطلب قوة وتحملًا كبيرين.</v>
      </c>
    </row>
    <row r="40" spans="1:13" ht="22.5" customHeight="1" x14ac:dyDescent="0.25">
      <c r="A40" s="2"/>
      <c r="B40" s="2"/>
      <c r="C40" s="2"/>
      <c r="D40" s="2"/>
      <c r="E40" s="2"/>
      <c r="I40" s="3" t="s">
        <v>8</v>
      </c>
      <c r="J40" s="3" t="str">
        <f ca="1">IFERROR(__xludf.DUMMYFUNCTION("GOOGLETRANSLATE(B40,""en"",""ar"")"),"ما هو الجزء من جسم الحصان الأكثر حجباً بسبب الثلج المتطاير؟")</f>
        <v>ما هو الجزء من جسم الحصان الأكثر حجباً بسبب الثلج المتطاير؟</v>
      </c>
      <c r="K40" s="3" t="str">
        <f ca="1">IFERROR(__xludf.DUMMYFUNCTION("GOOGLETRANSLATE(C40,""en"",""ar"")"),"أ) رؤوسهم، ب) ذيولهم، ج) أرجلهم وحوافرهم، د) ظهورهم")</f>
        <v>أ) رؤوسهم، ب) ذيولهم، ج) أرجلهم وحوافرهم، د) ظهورهم</v>
      </c>
      <c r="L40" s="3" t="str">
        <f ca="1">IFERROR(__xludf.DUMMYFUNCTION("GOOGLETRANSLATE(D40,""en"",""ar"")"),"ج) أرجلهم وحوافرهم")</f>
        <v>ج) أرجلهم وحوافرهم</v>
      </c>
      <c r="M40" s="3" t="str">
        <f ca="1">IFERROR(__xludf.DUMMYFUNCTION("GOOGLETRANSLATE(E40,""en"",""ar"")"),"تكاد الأجزاء السفلية من الخيول تختفي تماماً تحت سحب الثلج التي تُنتجها.")</f>
        <v>تكاد الأجزاء السفلية من الخيول تختفي تماماً تحت سحب الثلج التي تُنتجها.</v>
      </c>
    </row>
    <row r="41" spans="1:13" ht="22.5" customHeight="1" x14ac:dyDescent="0.25">
      <c r="A41" s="2"/>
      <c r="B41" s="2"/>
      <c r="C41" s="2"/>
      <c r="D41" s="2"/>
      <c r="E41" s="2"/>
      <c r="I41" s="3" t="s">
        <v>8</v>
      </c>
      <c r="J41" s="3" t="str">
        <f ca="1">IFERROR(__xludf.DUMMYFUNCTION("GOOGLETRANSLATE(B41,""en"",""ar"")"),"إن الإثارة الشديدة والأجواء الفريدة تجعل هذا النوع من السباقات مميزاً للغاية...")</f>
        <v>إن الإثارة الشديدة والأجواء الفريدة تجعل هذا النوع من السباقات مميزاً للغاية...</v>
      </c>
      <c r="K41" s="3" t="str">
        <f ca="1">IFERROR(__xludf.DUMMYFUNCTION("GOOGLETRANSLATE(C41,""en"",""ar"")"),"أ) ممل، ب) بطيء، ج) سهل، د) جذاب ومثير")</f>
        <v>أ) ممل، ب) بطيء، ج) سهل، د) جذاب ومثير</v>
      </c>
      <c r="L41" s="3" t="str">
        <f ca="1">IFERROR(__xludf.DUMMYFUNCTION("GOOGLETRANSLATE(D41,""en"",""ar"")"),"د) جذاب ومثير للإعجاب")</f>
        <v>د) جذاب ومثير للإعجاب</v>
      </c>
      <c r="M41" s="3" t="str">
        <f ca="1">IFERROR(__xludf.DUMMYFUNCTION("GOOGLETRANSLATE(E41,""en"",""ar"")"),"إن مزيج الحيوانات القوية، وألوان فرسان الخيل الزاهية، والثلوج المتطايرة يخلق مشهداً مذهلاً ومثيراً بصرياً.")</f>
        <v>إن مزيج الحيوانات القوية، وألوان فرسان الخيل الزاهية، والثلوج المتطايرة يخلق مشهداً مذهلاً ومثيراً بصرياً.</v>
      </c>
    </row>
    <row r="42" spans="1:13" ht="22.5" customHeight="1" x14ac:dyDescent="0.25">
      <c r="A42" s="2"/>
      <c r="B42" s="2"/>
      <c r="C42" s="2"/>
      <c r="D42" s="2"/>
      <c r="E42" s="2"/>
      <c r="I42" s="3" t="s">
        <v>9</v>
      </c>
      <c r="J42" s="3" t="str">
        <f ca="1">IFERROR(__xludf.DUMMYFUNCTION("GOOGLETRANSLATE(B42,""en"",""ar"")"),"ما هو نوع سباق الخيل المحدد الذي يظهر في هذه الصورة القديمة؟")</f>
        <v>ما هو نوع سباق الخيل المحدد الذي يظهر في هذه الصورة القديمة؟</v>
      </c>
      <c r="K42" s="3" t="str">
        <f ca="1">IFERROR(__xludf.DUMMYFUNCTION("GOOGLETRANSLATE(C42,""en"",""ar"")"),"أ) سباق الحواجز، ب) سباق التحمل، ج) سباق الخيول، د) سباق المضمار")</f>
        <v>أ) سباق الحواجز، ب) سباق التحمل، ج) سباق الخيول، د) سباق المضمار</v>
      </c>
      <c r="L42" s="3" t="str">
        <f ca="1">IFERROR(__xludf.DUMMYFUNCTION("GOOGLETRANSLATE(D42,""en"",""ar"")"),"ج) سباق الخيول")</f>
        <v>ج) سباق الخيول</v>
      </c>
      <c r="M42" s="3" t="str">
        <f ca="1">IFERROR(__xludf.DUMMYFUNCTION("GOOGLETRANSLATE(E42,""en"",""ar"")"),"هذا هو سباق الخيول بالعربة، حيث يقوم حصان بسحب سائق في عربة ذات عجلتين بخطوة محددة.")</f>
        <v>هذا هو سباق الخيول بالعربة، حيث يقوم حصان بسحب سائق في عربة ذات عجلتين بخطوة محددة.</v>
      </c>
    </row>
    <row r="43" spans="1:13" ht="22.5" customHeight="1" x14ac:dyDescent="0.25">
      <c r="A43" s="2"/>
      <c r="B43" s="2"/>
      <c r="C43" s="2"/>
      <c r="D43" s="2"/>
      <c r="E43" s="2"/>
      <c r="I43" s="3" t="s">
        <v>9</v>
      </c>
      <c r="J43" s="3" t="str">
        <f ca="1">IFERROR(__xludf.DUMMYFUNCTION("GOOGLETRANSLATE(B43,""en"",""ar"")"),"ما اسم العربة ذات العجلتين التي يجرها الحصان؟")</f>
        <v>ما اسم العربة ذات العجلتين التي يجرها الحصان؟</v>
      </c>
      <c r="K43" s="3" t="str">
        <f ca="1">IFERROR(__xludf.DUMMYFUNCTION("GOOGLETRANSLATE(C43,""en"",""ar"")"),"أ) عربة حربية، ب) عربة تجرها الخيول، ج) عربة تجرها الخيول، د) عربة")</f>
        <v>أ) عربة حربية، ب) عربة تجرها الخيول، ج) عربة تجرها الخيول، د) عربة</v>
      </c>
      <c r="L43" s="3" t="str">
        <f ca="1">IFERROR(__xludf.DUMMYFUNCTION("GOOGLETRANSLATE(D43,""en"",""ar"")"),"ج) عربة متجهمة")</f>
        <v>ج) عربة متجهمة</v>
      </c>
      <c r="M43" s="3" t="str">
        <f ca="1">IFERROR(__xludf.DUMMYFUNCTION("GOOGLETRANSLATE(E43,""en"",""ar"")"),"تُعرف العربة الخفيفة الوزن والديناميكية الهوائية المستخدمة في سباقات الخيول الحديثة باسم ""السلكي"".")</f>
        <v>تُعرف العربة الخفيفة الوزن والديناميكية الهوائية المستخدمة في سباقات الخيول الحديثة باسم "السلكي".</v>
      </c>
    </row>
    <row r="44" spans="1:13" ht="22.5" customHeight="1" x14ac:dyDescent="0.25">
      <c r="A44" s="2"/>
      <c r="B44" s="2"/>
      <c r="C44" s="2"/>
      <c r="D44" s="2"/>
      <c r="E44" s="2"/>
      <c r="I44" s="3" t="s">
        <v>9</v>
      </c>
      <c r="J44" s="3" t="str">
        <f ca="1">IFERROR(__xludf.DUMMYFUNCTION("GOOGLETRANSLATE(B44,""en"",""ar"")"),"بخلاف سباقات الخيول الأصيلة، ما هي طريقة المشي التي يُطلب من الخيول استخدامها في هذه الرياضة؟")</f>
        <v>بخلاف سباقات الخيول الأصيلة، ما هي طريقة المشي التي يُطلب من الخيول استخدامها في هذه الرياضة؟</v>
      </c>
      <c r="K44" s="3" t="str">
        <f ca="1">IFERROR(__xludf.DUMMYFUNCTION("GOOGLETRANSLATE(C44,""en"",""ar"")"),"أ) العدو السريع، ب) العدو الخفيف، ج) المشي، د) الهرولة أو الخطو")</f>
        <v>أ) العدو السريع، ب) العدو الخفيف، ج) المشي، د) الهرولة أو الخطو</v>
      </c>
      <c r="L44" s="3" t="str">
        <f ca="1">IFERROR(__xludf.DUMMYFUNCTION("GOOGLETRANSLATE(D44,""en"",""ar"")"),"د) الهرولة أو الخطو")</f>
        <v>د) الهرولة أو الخطو</v>
      </c>
      <c r="M44" s="3" t="str">
        <f ca="1">IFERROR(__xludf.DUMMYFUNCTION("GOOGLETRANSLATE(E44,""en"",""ar"")"),"في سباقات الخيول، يجب على الخيول استخدام مشية ثنائية الإيقاع محددة (الهرولة أو الخطو)؛ ويؤدي الانطلاق في العدو إلى الاستبعاد.")</f>
        <v>في سباقات الخيول، يجب على الخيول استخدام مشية ثنائية الإيقاع محددة (الهرولة أو الخطو)؛ ويؤدي الانطلاق في العدو إلى الاستبعاد.</v>
      </c>
    </row>
    <row r="45" spans="1:13" ht="22.5" customHeight="1" x14ac:dyDescent="0.25">
      <c r="A45" s="2"/>
      <c r="B45" s="2"/>
      <c r="C45" s="2"/>
      <c r="D45" s="2"/>
      <c r="E45" s="2"/>
      <c r="I45" s="3" t="s">
        <v>9</v>
      </c>
      <c r="J45" s="3" t="str">
        <f ca="1">IFERROR(__xludf.DUMMYFUNCTION("GOOGLETRANSLATE(B45,""en"",""ar"")"),"ماذا يوحي به كون الصورة بالأبيض والأسود؟")</f>
        <v>ماذا يوحي به كون الصورة بالأبيض والأسود؟</v>
      </c>
      <c r="K45" s="3" t="str">
        <f ca="1">IFERROR(__xludf.DUMMYFUNCTION("GOOGLETRANSLATE(C45,""en"",""ar"")"),"أ) كان خيارًا فنيًا، ب) تم التقاطها ليلًا، ج) إنها صورة تاريخية أو قديمة، د) تمت إزالة الألوان رقميًا")</f>
        <v>أ) كان خيارًا فنيًا، ب) تم التقاطها ليلًا، ج) إنها صورة تاريخية أو قديمة، د) تمت إزالة الألوان رقميًا</v>
      </c>
      <c r="L45" s="3" t="str">
        <f ca="1">IFERROR(__xludf.DUMMYFUNCTION("GOOGLETRANSLATE(D45,""en"",""ar"")"),"ج) إنها صورة تاريخية أو قديمة")</f>
        <v>ج) إنها صورة تاريخية أو قديمة</v>
      </c>
      <c r="M45" s="3" t="str">
        <f ca="1">IFERROR(__xludf.DUMMYFUNCTION("GOOGLETRANSLATE(E45,""en"",""ar"")"),"يشير تنسيق الصورة أحادي اللون إلى أنها التُقطت على الأرجح في منتصف القرن العشرين أو قبل ذلك. ⏳")</f>
        <v>يشير تنسيق الصورة أحادي اللون إلى أنها التُقطت على الأرجح في منتصف القرن العشرين أو قبل ذلك. ⏳</v>
      </c>
    </row>
    <row r="46" spans="1:13" ht="22.5" customHeight="1" x14ac:dyDescent="0.25">
      <c r="A46" s="2"/>
      <c r="B46" s="2"/>
      <c r="C46" s="2"/>
      <c r="D46" s="2"/>
      <c r="E46" s="2"/>
      <c r="I46" s="3" t="s">
        <v>9</v>
      </c>
      <c r="J46" s="3" t="str">
        <f ca="1">IFERROR(__xludf.DUMMYFUNCTION("GOOGLETRANSLATE(B46,""en"",""ar"")"),"ما اسم الشخص الذي يتحكم بالحصان؟")</f>
        <v>ما اسم الشخص الذي يتحكم بالحصان؟</v>
      </c>
      <c r="K46" s="3" t="str">
        <f ca="1">IFERROR(__xludf.DUMMYFUNCTION("GOOGLETRANSLATE(C46,""en"",""ar"")"),"أ) فارس، ب) سائق، ج) فارس، د) مدرب")</f>
        <v>أ) فارس، ب) سائق، ج) فارس، د) مدرب</v>
      </c>
      <c r="L46" s="3" t="str">
        <f ca="1">IFERROR(__xludf.DUMMYFUNCTION("GOOGLETRANSLATE(D46,""en"",""ar"")"),"ب) سائق")</f>
        <v>ب) سائق</v>
      </c>
      <c r="M46" s="3" t="str">
        <f ca="1">IFERROR(__xludf.DUMMYFUNCTION("GOOGLETRANSLATE(E46,""en"",""ar"")"),"في سباقات الخيول، يُشار إلى الشخص الموجود في العربة باسم السائق، وليس الفارس.")</f>
        <v>في سباقات الخيول، يُشار إلى الشخص الموجود في العربة باسم السائق، وليس الفارس.</v>
      </c>
    </row>
    <row r="47" spans="1:13" ht="22.5" customHeight="1" x14ac:dyDescent="0.25">
      <c r="A47" s="2"/>
      <c r="B47" s="2"/>
      <c r="C47" s="2"/>
      <c r="D47" s="2"/>
      <c r="E47" s="2"/>
      <c r="I47" s="3" t="s">
        <v>9</v>
      </c>
      <c r="J47" s="3" t="str">
        <f ca="1">IFERROR(__xludf.DUMMYFUNCTION("GOOGLETRANSLATE(B47,""en"",""ar"")"),"ما هو الرقم المعروض على وسادة سرج الحصان القائد؟")</f>
        <v>ما هو الرقم المعروض على وسادة سرج الحصان القائد؟</v>
      </c>
      <c r="K47" s="3" t="str">
        <f ca="1">IFERROR(__xludf.DUMMYFUNCTION("GOOGLETRANSLATE(C47,""en"",""ar"")"),"أ) 7D، ب) 51، ج) 15، د) H5")</f>
        <v>أ) 7D، ب) 51، ج) 15، د) H5</v>
      </c>
      <c r="L47" s="3" t="str">
        <f ca="1">IFERROR(__xludf.DUMMYFUNCTION("GOOGLETRANSLATE(D47,""en"",""ar"")"),"ب) 51")</f>
        <v>ب) 51</v>
      </c>
      <c r="M47" s="3" t="str">
        <f ca="1">IFERROR(__xludf.DUMMYFUNCTION("GOOGLETRANSLATE(E47,""en"",""ar"")"),"يظهر الرقم 51 بوضوح على وسادة السرج البيضاء للحصان في المقدمة.")</f>
        <v>يظهر الرقم 51 بوضوح على وسادة السرج البيضاء للحصان في المقدمة.</v>
      </c>
    </row>
    <row r="48" spans="1:13" ht="22.5" customHeight="1" x14ac:dyDescent="0.25">
      <c r="A48" s="2"/>
      <c r="B48" s="2"/>
      <c r="C48" s="2"/>
      <c r="D48" s="2"/>
      <c r="E48" s="2"/>
      <c r="I48" s="3" t="s">
        <v>9</v>
      </c>
      <c r="J48" s="3" t="str">
        <f ca="1">IFERROR(__xludf.DUMMYFUNCTION("GOOGLETRANSLATE(B48,""en"",""ar"")"),"ما الذي يمكن استنتاجه بشأن سطح المسار؟")</f>
        <v>ما الذي يمكن استنتاجه بشأن سطح المسار؟</v>
      </c>
      <c r="K48" s="3" t="str">
        <f ca="1">IFERROR(__xludf.DUMMYFUNCTION("GOOGLETRANSLATE(C48,""en"",""ar"")"),"أ) إنه عشب، ب) من المحتمل أن يكون ترابًا أو حصى مكسر، ج) إنه جليد، د) إنه أسفلت")</f>
        <v>أ) إنه عشب، ب) من المحتمل أن يكون ترابًا أو حصى مكسر، ج) إنه جليد، د) إنه أسفلت</v>
      </c>
      <c r="L48" s="3" t="str">
        <f ca="1">IFERROR(__xludf.DUMMYFUNCTION("GOOGLETRANSLATE(D48,""en"",""ar"")"),"ب) من المحتمل أن يكون ترابًا أو حصى مكسرًا")</f>
        <v>ب) من المحتمل أن يكون ترابًا أو حصى مكسرًا</v>
      </c>
      <c r="M48" s="3" t="str">
        <f ca="1">IFERROR(__xludf.DUMMYFUNCTION("GOOGLETRANSLATE(E48,""en"",""ar"")"),"عادة ما تكون مضامير سباق الخيول مصنوعة من التراب أو الصخور المسحوقة أو مادة ناعمة وصلبة مماثلة.")</f>
        <v>عادة ما تكون مضامير سباق الخيول مصنوعة من التراب أو الصخور المسحوقة أو مادة ناعمة وصلبة مماثلة.</v>
      </c>
    </row>
    <row r="49" spans="1:13" ht="22.5" customHeight="1" x14ac:dyDescent="0.25">
      <c r="A49" s="2"/>
      <c r="B49" s="2"/>
      <c r="C49" s="2"/>
      <c r="D49" s="2"/>
      <c r="E49" s="2"/>
      <c r="I49" s="3" t="s">
        <v>9</v>
      </c>
      <c r="J49" s="3" t="str">
        <f ca="1">IFERROR(__xludf.DUMMYFUNCTION("GOOGLETRANSLATE(B49,""en"",""ar"")"),"أين يتواجد الأشخاص الظاهرون في الخلفية؟")</f>
        <v>أين يتواجد الأشخاص الظاهرون في الخلفية؟</v>
      </c>
      <c r="K49" s="3" t="str">
        <f ca="1">IFERROR(__xludf.DUMMYFUNCTION("GOOGLETRANSLATE(C49,""en"",""ar"")"),"أ) في الإسطبلات، ب) على المضمار، ج) في المدرجات، د) في موقف السيارات")</f>
        <v>أ) في الإسطبلات، ب) على المضمار، ج) في المدرجات، د) في موقف السيارات</v>
      </c>
      <c r="L49" s="3" t="str">
        <f ca="1">IFERROR(__xludf.DUMMYFUNCTION("GOOGLETRANSLATE(D49,""en"",""ar"")"),"ج) في المدرجات")</f>
        <v>ج) في المدرجات</v>
      </c>
      <c r="M49" s="3" t="str">
        <f ca="1">IFERROR(__xludf.DUMMYFUNCTION("GOOGLETRANSLATE(E49,""en"",""ar"")"),"يتابع حشد كبير من المتفرجين السباق من المدرجات.")</f>
        <v>يتابع حشد كبير من المتفرجين السباق من المدرجات.</v>
      </c>
    </row>
    <row r="50" spans="1:13" ht="22.5" customHeight="1" x14ac:dyDescent="0.25">
      <c r="A50" s="2"/>
      <c r="B50" s="2"/>
      <c r="C50" s="2"/>
      <c r="D50" s="2"/>
      <c r="E50" s="2"/>
      <c r="I50" s="3" t="s">
        <v>9</v>
      </c>
      <c r="J50" s="3" t="str">
        <f ca="1">IFERROR(__xludf.DUMMYFUNCTION("GOOGLETRANSLATE(B50,""en"",""ar"")"),"بالمقارنة مع الخيول الأصيلة، فإن الخيول المستخدمة في سباقات الخيول (الخيول القياسية) عادةً ما تكون مصممة لتكون...")</f>
        <v>بالمقارنة مع الخيول الأصيلة، فإن الخيول المستخدمة في سباقات الخيول (الخيول القياسية) عادةً ما تكون مصممة لتكون...</v>
      </c>
      <c r="K50" s="3" t="str">
        <f ca="1">IFERROR(__xludf.DUMMYFUNCTION("GOOGLETRANSLATE(C50,""en"",""ar"")"),"أ) أطول وأنحف، ب) أقصر وأكثر عضلية، ج) أثقل وزناً مع مؤخرة أقوى، د) أخف وزناً وأسرع في المسافات القصيرة")</f>
        <v>أ) أطول وأنحف، ب) أقصر وأكثر عضلية، ج) أثقل وزناً مع مؤخرة أقوى، د) أخف وزناً وأسرع في المسافات القصيرة</v>
      </c>
      <c r="L50" s="3" t="str">
        <f ca="1">IFERROR(__xludf.DUMMYFUNCTION("GOOGLETRANSLATE(D50,""en"",""ar"")"),"ج) أثقل وزناً مع مؤخرة أقوى")</f>
        <v>ج) أثقل وزناً مع مؤخرة أقوى</v>
      </c>
      <c r="M50" s="3" t="str">
        <f ca="1">IFERROR(__xludf.DUMMYFUNCTION("GOOGLETRANSLATE(E50,""en"",""ar"")"),"تتميز الخيول الأصيلة عموماً بأنها أكثر عضلية وقوة من الخيول الأصيلة، وهي مصممة للقوة اللازمة لجر عربة تجرها الخيول بسرعة.")</f>
        <v>تتميز الخيول الأصيلة عموماً بأنها أكثر عضلية وقوة من الخيول الأصيلة، وهي مصممة للقوة اللازمة لجر عربة تجرها الخيول بسرعة.</v>
      </c>
    </row>
    <row r="51" spans="1:13" ht="22.5" customHeight="1" x14ac:dyDescent="0.25">
      <c r="A51" s="2"/>
      <c r="B51" s="2"/>
      <c r="C51" s="2"/>
      <c r="D51" s="2"/>
      <c r="E51" s="2"/>
      <c r="I51" s="3" t="s">
        <v>9</v>
      </c>
      <c r="J51" s="3" t="str">
        <f ca="1">IFERROR(__xludf.DUMMYFUNCTION("GOOGLETRANSLATE(B51,""en"",""ar"")"),"ما هو الدور الأساسي للزمام الطويل الذي يمسكه السائق؟")</f>
        <v>ما هو الدور الأساسي للزمام الطويل الذي يمسكه السائق؟</v>
      </c>
      <c r="K51" s="3" t="str">
        <f ca="1">IFERROR(__xludf.DUMMYFUNCTION("GOOGLETRANSLATE(C51,""en"",""ar"")"),"أ) لضرب الحصان بالسوط، ب) للتحكم في سرعة الحصان واتجاهه، ج) للزينة فقط، د) لربط الحصان بعد السباق")</f>
        <v>أ) لضرب الحصان بالسوط، ب) للتحكم في سرعة الحصان واتجاهه، ج) للزينة فقط، د) لربط الحصان بعد السباق</v>
      </c>
      <c r="L51" s="3" t="str">
        <f ca="1">IFERROR(__xludf.DUMMYFUNCTION("GOOGLETRANSLATE(D51,""en"",""ar"")"),"ب) للتحكم في سرعة الحصان واتجاهه")</f>
        <v>ب) للتحكم في سرعة الحصان واتجاهه</v>
      </c>
      <c r="M51" s="3" t="str">
        <f ca="1">IFERROR(__xludf.DUMMYFUNCTION("GOOGLETRANSLATE(E51,""en"",""ar"")"),"يستخدم السائق اللجام للتواصل مع الحصان، وتوجيه سرعته وقيادته على المسار.")</f>
        <v>يستخدم السائق اللجام للتواصل مع الحصان، وتوجيه سرعته وقيادته على المسار.</v>
      </c>
    </row>
    <row r="52" spans="1:13" ht="22.5" customHeight="1" x14ac:dyDescent="0.25">
      <c r="A52" s="2"/>
      <c r="B52" s="2"/>
      <c r="C52" s="2"/>
      <c r="D52" s="2"/>
      <c r="E52" s="2"/>
      <c r="I52" s="3" t="s">
        <v>10</v>
      </c>
      <c r="J52" s="3" t="str">
        <f ca="1">IFERROR(__xludf.DUMMYFUNCTION("GOOGLETRANSLATE(B52,""en"",""ar"")"),"ما هو الحدث الرئيسي الذي تصوره هذه الصورة الدرامية؟")</f>
        <v>ما هو الحدث الرئيسي الذي تصوره هذه الصورة الدرامية؟</v>
      </c>
      <c r="K52" s="3" t="str">
        <f ca="1">IFERROR(__xludf.DUMMYFUNCTION("GOOGLETRANSLATE(C52,""en"",""ar"")"),"أ) فارس ينزل عن حصانه بعد الفوز، ب) تمرين تدريبي، ج) فارس وحصان يسقطان، د) حصان يستريح")</f>
        <v>أ) فارس ينزل عن حصانه بعد الفوز، ب) تمرين تدريبي، ج) فارس وحصان يسقطان، د) حصان يستريح</v>
      </c>
      <c r="L52" s="3" t="str">
        <f ca="1">IFERROR(__xludf.DUMMYFUNCTION("GOOGLETRANSLATE(D52,""en"",""ar"")"),"ج) سقط فارس وحصانه")</f>
        <v>ج) سقط فارس وحصانه</v>
      </c>
      <c r="M52" s="3" t="str">
        <f ca="1">IFERROR(__xludf.DUMMYFUNCTION("GOOGLETRANSLATE(E52,""en"",""ar"")"),"تُظهر الصورة العواقب الخطيرة للسقوط، حيث يظهر كل من الحصان والفارس على الأرض.")</f>
        <v>تُظهر الصورة العواقب الخطيرة للسقوط، حيث يظهر كل من الحصان والفارس على الأرض.</v>
      </c>
    </row>
    <row r="53" spans="1:13" ht="22.5" customHeight="1" x14ac:dyDescent="0.25">
      <c r="A53" s="2"/>
      <c r="B53" s="2"/>
      <c r="C53" s="2"/>
      <c r="D53" s="2"/>
      <c r="E53" s="2"/>
      <c r="I53" s="3" t="s">
        <v>10</v>
      </c>
      <c r="J53" s="3" t="str">
        <f ca="1">IFERROR(__xludf.DUMMYFUNCTION("GOOGLETRANSLATE(B53,""en"",""ar"")"),"ما هي أهم قطعة من معدات السلامة التي يرتديها الفارس على رأسه؟")</f>
        <v>ما هي أهم قطعة من معدات السلامة التي يرتديها الفارس على رأسه؟</v>
      </c>
      <c r="K53" s="3" t="str">
        <f ca="1">IFERROR(__xludf.DUMMYFUNCTION("GOOGLETRANSLATE(C53,""en"",""ar"")"),"أ) قبعة، ب) نظارات واقية، ج) خوذة، د) عصابة رأس")</f>
        <v>أ) قبعة، ب) نظارات واقية، ج) خوذة، د) عصابة رأس</v>
      </c>
      <c r="L53" s="3" t="str">
        <f ca="1">IFERROR(__xludf.DUMMYFUNCTION("GOOGLETRANSLATE(D53,""en"",""ar"")"),"ج) خوذة")</f>
        <v>ج) خوذة</v>
      </c>
      <c r="M53" s="3" t="str">
        <f ca="1">IFERROR(__xludf.DUMMYFUNCTION("GOOGLETRANSLATE(E53,""en"",""ar"")"),"يُشترط على جميع الفرسان ارتداء خوذة أمان معتمدة للحماية من إصابات الرأس.")</f>
        <v>يُشترط على جميع الفرسان ارتداء خوذة أمان معتمدة للحماية من إصابات الرأس.</v>
      </c>
    </row>
    <row r="54" spans="1:13" ht="22.5" customHeight="1" x14ac:dyDescent="0.25">
      <c r="A54" s="2"/>
      <c r="B54" s="2"/>
      <c r="C54" s="2"/>
      <c r="D54" s="2"/>
      <c r="E54" s="2"/>
      <c r="I54" s="3" t="s">
        <v>10</v>
      </c>
      <c r="J54" s="3" t="str">
        <f ca="1">IFERROR(__xludf.DUMMYFUNCTION("GOOGLETRANSLATE(B54,""en"",""ar"")"),"ما هو سطح حلبة السباق الموضح في الصورة؟")</f>
        <v>ما هو سطح حلبة السباق الموضح في الصورة؟</v>
      </c>
      <c r="K54" s="3" t="str">
        <f ca="1">IFERROR(__xludf.DUMMYFUNCTION("GOOGLETRANSLATE(C54,""en"",""ar"")"),"أ) ترابي، ب) ثلجي، ج) مضمار صناعي، د) عشبي (أرضية عشبية)")</f>
        <v>أ) ترابي، ب) ثلجي، ج) مضمار صناعي، د) عشبي (أرضية عشبية)</v>
      </c>
      <c r="L54" s="3" t="str">
        <f ca="1">IFERROR(__xludf.DUMMYFUNCTION("GOOGLETRANSLATE(D54,""en"",""ar"")"),"د) العشب (الأرض العشبية)")</f>
        <v>د) العشب (الأرض العشبية)</v>
      </c>
      <c r="M54" s="3" t="str">
        <f ca="1">IFERROR(__xludf.DUMMYFUNCTION("GOOGLETRANSLATE(E54,""en"",""ar"")"),"يقام السباق على مضمار عشبي أخضر، يُعرف أيضاً باسم مضمار العشب.")</f>
        <v>يقام السباق على مضمار عشبي أخضر، يُعرف أيضاً باسم مضمار العشب.</v>
      </c>
    </row>
    <row r="55" spans="1:13" ht="22.5" customHeight="1" x14ac:dyDescent="0.25">
      <c r="A55" s="2"/>
      <c r="B55" s="2"/>
      <c r="C55" s="2"/>
      <c r="D55" s="2"/>
      <c r="E55" s="2"/>
      <c r="I55" s="3" t="s">
        <v>10</v>
      </c>
      <c r="J55" s="3" t="str">
        <f ca="1">IFERROR(__xludf.DUMMYFUNCTION("GOOGLETRANSLATE(B55,""en"",""ar"")"),"ما هي المخاطر الكامنة في سباق الخيل التي توضحها هذه الصورة بوضوح؟")</f>
        <v>ما هي المخاطر الكامنة في سباق الخيل التي توضحها هذه الصورة بوضوح؟</v>
      </c>
      <c r="K55" s="3" t="str">
        <f ca="1">IFERROR(__xludf.DUMMYFUNCTION("GOOGLETRANSLATE(C55,""en"",""ar"")"),"أ) التكلفة المالية، ب) خطر إصابة الفرسان والخيول، ج) عدم القدرة على التنبؤ بالطقس، د) ساعات التدريب الطويلة")</f>
        <v>أ) التكلفة المالية، ب) خطر إصابة الفرسان والخيول، ج) عدم القدرة على التنبؤ بالطقس، د) ساعات التدريب الطويلة</v>
      </c>
      <c r="L55" s="3" t="str">
        <f ca="1">IFERROR(__xludf.DUMMYFUNCTION("GOOGLETRANSLATE(D55,""en"",""ar"")"),"ب) خطر إصابة الفرسان والخيول")</f>
        <v>ب) خطر إصابة الفرسان والخيول</v>
      </c>
      <c r="M55" s="3" t="str">
        <f ca="1">IFERROR(__xludf.DUMMYFUNCTION("GOOGLETRANSLATE(E55,""en"",""ar"")"),"تشكل السقطات خطراً جسيماً في سباقات الخيل ويمكن أن تؤدي إلى إصابات بالغة لكل من الفارس والحيوان.")</f>
        <v>تشكل السقطات خطراً جسيماً في سباقات الخيل ويمكن أن تؤدي إلى إصابات بالغة لكل من الفارس والحيوان.</v>
      </c>
    </row>
    <row r="56" spans="1:13" ht="22.5" customHeight="1" x14ac:dyDescent="0.25">
      <c r="A56" s="2"/>
      <c r="B56" s="2"/>
      <c r="C56" s="2"/>
      <c r="D56" s="2"/>
      <c r="E56" s="2"/>
      <c r="I56" s="3" t="s">
        <v>10</v>
      </c>
      <c r="J56" s="3" t="str">
        <f ca="1">IFERROR(__xludf.DUMMYFUNCTION("GOOGLETRANSLATE(B56,""en"",""ar"")"),"ما هو الرقم الموجود على غطاء سرج الحصان الذي لا يزال واقفاً؟")</f>
        <v>ما هو الرقم الموجود على غطاء سرج الحصان الذي لا يزال واقفاً؟</v>
      </c>
      <c r="K56" s="3" t="str">
        <f ca="1">IFERROR(__xludf.DUMMYFUNCTION("GOOGLETRANSLATE(C56,""en"",""ar"")"),"أ) 6، ب) 8، ج) 9، د) 3")</f>
        <v>أ) 6، ب) 8، ج) 9، د) 3</v>
      </c>
      <c r="L56" s="3" t="str">
        <f ca="1">IFERROR(__xludf.DUMMYFUNCTION("GOOGLETRANSLATE(D56,""en"",""ar"")"),"ج) 9")</f>
        <v>ج) 9</v>
      </c>
      <c r="M56" s="3" t="str">
        <f ca="1">IFERROR(__xludf.DUMMYFUNCTION("GOOGLETRANSLATE(E56,""en"",""ar"")"),"يظهر الرقم 9 بوضوح على غطاء السرج الأخضر للحصان الذي لا يزال واقفاً على قدميه.")</f>
        <v>يظهر الرقم 9 بوضوح على غطاء السرج الأخضر للحصان الذي لا يزال واقفاً على قدميه.</v>
      </c>
    </row>
    <row r="57" spans="1:13" ht="22.5" customHeight="1" x14ac:dyDescent="0.25">
      <c r="A57" s="2"/>
      <c r="B57" s="2"/>
      <c r="C57" s="2"/>
      <c r="D57" s="2"/>
      <c r="E57" s="2"/>
      <c r="I57" s="3" t="s">
        <v>10</v>
      </c>
      <c r="J57" s="3" t="str">
        <f ca="1">IFERROR(__xludf.DUMMYFUNCTION("GOOGLETRANSLATE(B57,""en"",""ar"")"),"يمكن وصف تعبير الفارس بأنه أحد...")</f>
        <v>يمكن وصف تعبير الفارس بأنه أحد...</v>
      </c>
      <c r="K57" s="3" t="str">
        <f ca="1">IFERROR(__xludf.DUMMYFUNCTION("GOOGLETRANSLATE(C57,""en"",""ar"")"),"أ) الفرح، ب) المفاجأة والألم، ج) الملل، د) الهدوء")</f>
        <v>أ) الفرح، ب) المفاجأة والألم، ج) الملل، د) الهدوء</v>
      </c>
      <c r="L57" s="3" t="str">
        <f ca="1">IFERROR(__xludf.DUMMYFUNCTION("GOOGLETRANSLATE(D57,""en"",""ar"")"),"ب) المفاجأة والألم")</f>
        <v>ب) المفاجأة والألم</v>
      </c>
      <c r="M57" s="3" t="str">
        <f ca="1">IFERROR(__xludf.DUMMYFUNCTION("GOOGLETRANSLATE(E57,""en"",""ar"")"),"يظهر على وجهه تكشيرة توحي بالصدمة، وربما الألم، الناجم عن السقوط المفاجئ والقوي.")</f>
        <v>يظهر على وجهه تكشيرة توحي بالصدمة، وربما الألم، الناجم عن السقوط المفاجئ والقوي.</v>
      </c>
    </row>
    <row r="58" spans="1:13" ht="22.5" customHeight="1" x14ac:dyDescent="0.25">
      <c r="A58" s="2"/>
      <c r="B58" s="2"/>
      <c r="C58" s="2"/>
      <c r="D58" s="2"/>
      <c r="E58" s="2"/>
      <c r="I58" s="3" t="s">
        <v>10</v>
      </c>
      <c r="J58" s="3" t="str">
        <f ca="1">IFERROR(__xludf.DUMMYFUNCTION("GOOGLETRANSLATE(B58,""en"",""ar"")"),"الحصان الموجود على الأرض في وضع خطير لأن...")</f>
        <v>الحصان الموجود على الأرض في وضع خطير لأن...</v>
      </c>
      <c r="K58" s="3" t="str">
        <f ca="1">IFERROR(__xludf.DUMMYFUNCTION("GOOGLETRANSLATE(C58,""en"",""ar"")"),"أ) إنه متعب، ب) قد يكون مصابًا أو مدهوسًا من قبل خيول أخرى، ج) إنه يسد الطريق، د) تم استبعاده")</f>
        <v>أ) إنه متعب، ب) قد يكون مصابًا أو مدهوسًا من قبل خيول أخرى، ج) إنه يسد الطريق، د) تم استبعاده</v>
      </c>
      <c r="L58" s="3" t="str">
        <f ca="1">IFERROR(__xludf.DUMMYFUNCTION("GOOGLETRANSLATE(D58,""en"",""ar"")"),"ب) قد يتعرض للإصابة أو الدهس من قبل خيول أخرى")</f>
        <v>ب) قد يتعرض للإصابة أو الدهس من قبل خيول أخرى</v>
      </c>
      <c r="M58" s="3" t="str">
        <f ca="1">IFERROR(__xludf.DUMMYFUNCTION("GOOGLETRANSLATE(E58,""en"",""ar"")"),"يكون الحصان الساقط عرضة بشكل كبير للدوس عليه من قبل الخيول الأخرى التي لا تزال تجري في السباق.")</f>
        <v>يكون الحصان الساقط عرضة بشكل كبير للدوس عليه من قبل الخيول الأخرى التي لا تزال تجري في السباق.</v>
      </c>
    </row>
    <row r="59" spans="1:13" ht="22.5" customHeight="1" x14ac:dyDescent="0.25">
      <c r="A59" s="2"/>
      <c r="B59" s="2"/>
      <c r="C59" s="2"/>
      <c r="D59" s="2"/>
      <c r="E59" s="2"/>
      <c r="I59" s="3" t="s">
        <v>10</v>
      </c>
      <c r="J59" s="3" t="str">
        <f ca="1">IFERROR(__xludf.DUMMYFUNCTION("GOOGLETRANSLATE(B59,""en"",""ar"")"),"ماذا تمثل الخطوط الصفراء والخضراء على زي الفارس؟")</f>
        <v>ماذا تمثل الخطوط الصفراء والخضراء على زي الفارس؟</v>
      </c>
      <c r="K59" s="3" t="str">
        <f ca="1">IFERROR(__xludf.DUMMYFUNCTION("GOOGLETRANSLATE(C59,""en"",""ar"")"),"أ) ألوانه المفضلة الشخصية، ب) ألوان مالك الحصان، ج) تصميم عشوائي، د) بلد الفارس")</f>
        <v>أ) ألوانه المفضلة الشخصية، ب) ألوان مالك الحصان، ج) تصميم عشوائي، د) بلد الفارس</v>
      </c>
      <c r="L59" s="3" t="str">
        <f ca="1">IFERROR(__xludf.DUMMYFUNCTION("GOOGLETRANSLATE(D59,""en"",""ar"")"),"ب) ألوان مالك الحصان")</f>
        <v>ب) ألوان مالك الحصان</v>
      </c>
      <c r="M59" s="3" t="str">
        <f ca="1">IFERROR(__xludf.DUMMYFUNCTION("GOOGLETRANSLATE(E59,""en"",""ar"")"),"هذه هي ألوان السباق المسجلة (""الألوان الحريرية"") للإسطبل أو المالك الذي يركب لصالحه.")</f>
        <v>هذه هي ألوان السباق المسجلة ("الألوان الحريرية") للإسطبل أو المالك الذي يركب لصالحه.</v>
      </c>
    </row>
    <row r="60" spans="1:13" ht="22.5" customHeight="1" x14ac:dyDescent="0.25">
      <c r="A60" s="2"/>
      <c r="B60" s="2"/>
      <c r="C60" s="2"/>
      <c r="D60" s="2"/>
      <c r="E60" s="2"/>
      <c r="I60" s="3" t="s">
        <v>10</v>
      </c>
      <c r="J60" s="3" t="str">
        <f ca="1">IFERROR(__xludf.DUMMYFUNCTION("GOOGLETRANSLATE(B60,""en"",""ar"")"),"العمود الرمادي والسور الأبيض في الخلفية جزء من...")</f>
        <v>العمود الرمادي والسور الأبيض في الخلفية جزء من...</v>
      </c>
      <c r="K60" s="3" t="str">
        <f ca="1">IFERROR(__xludf.DUMMYFUNCTION("GOOGLETRANSLATE(C60,""en"",""ar"")"),"أ) سياج الحظيرة، ب) بوابة البداية، ج) حدود المضمار، د) خط النهاية")</f>
        <v>أ) سياج الحظيرة، ب) بوابة البداية، ج) حدود المضمار، د) خط النهاية</v>
      </c>
      <c r="L60" s="3" t="str">
        <f ca="1">IFERROR(__xludf.DUMMYFUNCTION("GOOGLETRANSLATE(D60,""en"",""ar"")"),"ج) حدود المسار")</f>
        <v>ج) حدود المسار</v>
      </c>
      <c r="M60" s="3" t="str">
        <f ca="1">IFERROR(__xludf.DUMMYFUNCTION("GOOGLETRANSLATE(E60,""en"",""ar"")"),"هذا هو الحاجز الذي يحدد حافة مضمار السباق الرسمي.")</f>
        <v>هذا هو الحاجز الذي يحدد حافة مضمار السباق الرسمي.</v>
      </c>
    </row>
    <row r="61" spans="1:13" ht="22.5" customHeight="1" x14ac:dyDescent="0.25">
      <c r="A61" s="2"/>
      <c r="B61" s="2"/>
      <c r="C61" s="2"/>
      <c r="D61" s="2"/>
      <c r="E61" s="2"/>
      <c r="I61" s="3" t="s">
        <v>10</v>
      </c>
      <c r="J61" s="3" t="str">
        <f ca="1">IFERROR(__xludf.DUMMYFUNCTION("GOOGLETRANSLATE(B61,""en"",""ar"")"),"ما هو الفعل الذي تسبب على الأرجح في هذا المشهد؟")</f>
        <v>ما هو الفعل الذي تسبب على الأرجح في هذا المشهد؟</v>
      </c>
      <c r="K61" s="3" t="str">
        <f ca="1">IFERROR(__xludf.DUMMYFUNCTION("GOOGLETRANSLATE(C61,""en"",""ar"")"),"أ) تعثر الحصان أو صدم كعب حصان آخر، ب) قرر الفارس القفز، ج) انكسر السرج، د) انتهى السباق فجأة")</f>
        <v>أ) تعثر الحصان أو صدم كعب حصان آخر، ب) قرر الفارس القفز، ج) انكسر السرج، د) انتهى السباق فجأة</v>
      </c>
      <c r="L61" s="3" t="str">
        <f ca="1">IFERROR(__xludf.DUMMYFUNCTION("GOOGLETRANSLATE(D61,""en"",""ar"")"),"أ) تعثر الحصان أو صدم كعب حصان آخر")</f>
        <v>أ) تعثر الحصان أو صدم كعب حصان آخر</v>
      </c>
      <c r="M61" s="3" t="str">
        <f ca="1">IFERROR(__xludf.DUMMYFUNCTION("GOOGLETRANSLATE(E61,""en"",""ar"")"),"غالباً ما تحدث حالات السقوط من هذا النوع بسبب تعثر الحصان أو انزلاقه أو احتكاكه بحصان آخر أثناء السباق.")</f>
        <v>غالباً ما تحدث حالات السقوط من هذا النوع بسبب تعثر الحصان أو انزلاقه أو احتكاكه بحصان آخر أثناء السباق.</v>
      </c>
    </row>
    <row r="62" spans="1:13" ht="22.5" customHeight="1" x14ac:dyDescent="0.25">
      <c r="A62" s="2"/>
      <c r="B62" s="2"/>
      <c r="C62" s="2"/>
      <c r="D62" s="2"/>
      <c r="E62" s="2"/>
      <c r="I62" s="3" t="s">
        <v>11</v>
      </c>
      <c r="J62" s="3" t="str">
        <f ca="1">IFERROR(__xludf.DUMMYFUNCTION("GOOGLETRANSLATE(B62,""en"",""ar"")"),"من أي زاوية تم التقاط هذه الصورة؟")</f>
        <v>من أي زاوية تم التقاط هذه الصورة؟</v>
      </c>
      <c r="K62" s="3" t="str">
        <f ca="1">IFERROR(__xludf.DUMMYFUNCTION("GOOGLETRANSLATE(C62,""en"",""ar"")"),"أ) من أعلى المضمار (من منظور طائرة بدون طيار)، ب) من جانب المضمار، ج) من زاوية منخفضة، من الأمام، د) من خلف الخيول")</f>
        <v>أ) من أعلى المضمار (من منظور طائرة بدون طيار)، ب) من جانب المضمار، ج) من زاوية منخفضة، من الأمام، د) من خلف الخيول</v>
      </c>
      <c r="L62" s="3" t="str">
        <f ca="1">IFERROR(__xludf.DUMMYFUNCTION("GOOGLETRANSLATE(D62,""en"",""ar"")"),"ج) من زاوية منخفضة، وجهاً لوجه")</f>
        <v>ج) من زاوية منخفضة، وجهاً لوجه</v>
      </c>
      <c r="M62" s="3" t="str">
        <f ca="1">IFERROR(__xludf.DUMMYFUNCTION("GOOGLETRANSLATE(E62,""en"",""ar"")"),"يخلق هذا المنظور الأمامي المنخفض مشهداً مثيراً، مما يؤكد على قوة الخيول القادمة نحو المشاهد.")</f>
        <v>يخلق هذا المنظور الأمامي المنخفض مشهداً مثيراً، مما يؤكد على قوة الخيول القادمة نحو المشاهد.</v>
      </c>
    </row>
    <row r="63" spans="1:13" ht="22.5" customHeight="1" x14ac:dyDescent="0.25">
      <c r="A63" s="2"/>
      <c r="B63" s="2"/>
      <c r="C63" s="2"/>
      <c r="D63" s="2"/>
      <c r="E63" s="2"/>
      <c r="I63" s="3" t="s">
        <v>11</v>
      </c>
      <c r="J63" s="3" t="str">
        <f ca="1">IFERROR(__xludf.DUMMYFUNCTION("GOOGLETRANSLATE(B63,""en"",""ar"")"),"ما هي الصفة التي تبرزها زاوية الكاميرا الدرامية هذه؟")</f>
        <v>ما هي الصفة التي تبرزها زاوية الكاميرا الدرامية هذه؟</v>
      </c>
      <c r="K63" s="3" t="str">
        <f ca="1">IFERROR(__xludf.DUMMYFUNCTION("GOOGLETRANSLATE(C63,""en"",""ar"")"),"أ) هدوء الحدث، ب) أناقة الخيول، ج) قوة السباق وشدته وسرعته، د) ضخامة الحشد")</f>
        <v>أ) هدوء الحدث، ب) أناقة الخيول، ج) قوة السباق وشدته وسرعته، د) ضخامة الحشد</v>
      </c>
      <c r="L63" s="3" t="str">
        <f ca="1">IFERROR(__xludf.DUMMYFUNCTION("GOOGLETRANSLATE(D63,""en"",""ar"")"),"ج) قوة السباق وشدته وسرعته")</f>
        <v>ج) قوة السباق وشدته وسرعته</v>
      </c>
      <c r="M63" s="3" t="str">
        <f ca="1">IFERROR(__xludf.DUMMYFUNCTION("GOOGLETRANSLATE(E63,""en"",""ar"")"),"الزاوية المنخفضة والغبار المتطاير يجعلان الخيول تبدو أكثر هيبة والحركة أكثر حدة.")</f>
        <v>الزاوية المنخفضة والغبار المتطاير يجعلان الخيول تبدو أكثر هيبة والحركة أكثر حدة.</v>
      </c>
    </row>
    <row r="64" spans="1:13" ht="22.5" customHeight="1" x14ac:dyDescent="0.25">
      <c r="A64" s="2"/>
      <c r="B64" s="2"/>
      <c r="C64" s="2"/>
      <c r="D64" s="2"/>
      <c r="E64" s="2"/>
      <c r="I64" s="3" t="s">
        <v>11</v>
      </c>
      <c r="J64" s="3" t="str">
        <f ca="1">IFERROR(__xludf.DUMMYFUNCTION("GOOGLETRANSLATE(B64,""en"",""ar"")"),"ما الذي يتكون منه رذاذ المواد المتساقطة من الأرض؟")</f>
        <v>ما الذي يتكون منه رذاذ المواد المتساقطة من الأرض؟</v>
      </c>
      <c r="K64" s="3" t="str">
        <f ca="1">IFERROR(__xludf.DUMMYFUNCTION("GOOGLETRANSLATE(C64,""en"",""ar"")"),"أ) الماء، ب) قصاصات العشب، ج) التراب والرمل، د) الثلج")</f>
        <v>أ) الماء، ب) قصاصات العشب، ج) التراب والرمل، د) الثلج</v>
      </c>
      <c r="L64" s="3" t="str">
        <f ca="1">IFERROR(__xludf.DUMMYFUNCTION("GOOGLETRANSLATE(D64,""en"",""ar"")"),"ج) التراب والرمل")</f>
        <v>ج) التراب والرمل</v>
      </c>
      <c r="M64" s="3" t="str">
        <f ca="1">IFERROR(__xludf.DUMMYFUNCTION("GOOGLETRANSLATE(E64,""en"",""ar"")"),"الخيول تسير على مضمار ترابي، وحوافرها القوية تثير كميات كبيرة من المواد السطحية.")</f>
        <v>الخيول تسير على مضمار ترابي، وحوافرها القوية تثير كميات كبيرة من المواد السطحية.</v>
      </c>
    </row>
    <row r="65" spans="1:13" ht="22.5" customHeight="1" x14ac:dyDescent="0.25">
      <c r="A65" s="2"/>
      <c r="B65" s="2"/>
      <c r="C65" s="2"/>
      <c r="D65" s="2"/>
      <c r="E65" s="2"/>
      <c r="I65" s="3" t="s">
        <v>11</v>
      </c>
      <c r="J65" s="3" t="str">
        <f ca="1">IFERROR(__xludf.DUMMYFUNCTION("GOOGLETRANSLATE(B65,""en"",""ar"")"),"في هذه المرحلة من العدو السريع، ماذا تفعل الأرجل الأمامية للحصان القائد؟")</f>
        <v>في هذه المرحلة من العدو السريع، ماذا تفعل الأرجل الأمامية للحصان القائد؟</v>
      </c>
      <c r="K65" s="3" t="str">
        <f ca="1">IFERROR(__xludf.DUMMYFUNCTION("GOOGLETRANSLATE(C65,""en"",""ar"")"),"أ) كلاهما على الأرض، ب) كلاهما مطويان تحت جسده، ج) أحدهما يهبط بينما الآخر مرفوع، د) كلاهما ممدودان إلى الأمام")</f>
        <v>أ) كلاهما على الأرض، ب) كلاهما مطويان تحت جسده، ج) أحدهما يهبط بينما الآخر مرفوع، د) كلاهما ممدودان إلى الأمام</v>
      </c>
      <c r="L65" s="3" t="str">
        <f ca="1">IFERROR(__xludf.DUMMYFUNCTION("GOOGLETRANSLATE(D65,""en"",""ar"")"),"ب) إنها مخبأة تحت جسدها")</f>
        <v>ب) إنها مخبأة تحت جسدها</v>
      </c>
      <c r="M65" s="3" t="str">
        <f ca="1">IFERROR(__xludf.DUMMYFUNCTION("GOOGLETRANSLATE(E65,""en"",""ar"")"),"يكون الحصان في لحظة تعليق حيث تتجمع ساقيه تحت جسده قبل الخطوة التالية.")</f>
        <v>يكون الحصان في لحظة تعليق حيث تتجمع ساقيه تحت جسده قبل الخطوة التالية.</v>
      </c>
    </row>
    <row r="66" spans="1:13" ht="22.5" customHeight="1" x14ac:dyDescent="0.25">
      <c r="A66" s="2"/>
      <c r="B66" s="2"/>
      <c r="C66" s="2"/>
      <c r="D66" s="2"/>
      <c r="E66" s="2"/>
      <c r="I66" s="3" t="s">
        <v>11</v>
      </c>
      <c r="J66" s="3" t="str">
        <f ca="1">IFERROR(__xludf.DUMMYFUNCTION("GOOGLETRANSLATE(B66,""en"",""ar"")"),"ما هي قطعة معدات السلامة الضرورية لجميع الفرسان الموضحين هنا؟")</f>
        <v>ما هي قطعة معدات السلامة الضرورية لجميع الفرسان الموضحين هنا؟</v>
      </c>
      <c r="K66" s="3" t="str">
        <f ca="1">IFERROR(__xludf.DUMMYFUNCTION("GOOGLETRANSLATE(C66,""en"",""ar"")"),"أ) سترات مبطنة، ب) نظارات واقية، ج) خوذات، د) جميع ما سبق")</f>
        <v>أ) سترات مبطنة، ب) نظارات واقية، ج) خوذات، د) جميع ما سبق</v>
      </c>
      <c r="L66" s="3" t="str">
        <f ca="1">IFERROR(__xludf.DUMMYFUNCTION("GOOGLETRANSLATE(D66,""en"",""ar"")"),"د) جميع ما سبق")</f>
        <v>د) جميع ما سبق</v>
      </c>
      <c r="M66" s="3" t="str">
        <f ca="1">IFERROR(__xludf.DUMMYFUNCTION("GOOGLETRANSLATE(E66,""en"",""ar"")"),"على الرغم من أن الخوذة هي الأكثر وضوحاً، إلا أنه يُطلب من الفرسان ارتداء خوذات أمان ونظارات واقية للرؤية وسترات واقية تحت ملابسهم.")</f>
        <v>على الرغم من أن الخوذة هي الأكثر وضوحاً، إلا أنه يُطلب من الفرسان ارتداء خوذات أمان ونظارات واقية للرؤية وسترات واقية تحت ملابسهم.</v>
      </c>
    </row>
    <row r="67" spans="1:13" ht="22.5" customHeight="1" x14ac:dyDescent="0.25">
      <c r="A67" s="2"/>
      <c r="B67" s="2"/>
      <c r="C67" s="2"/>
      <c r="D67" s="2"/>
      <c r="E67" s="2"/>
      <c r="I67" s="3" t="s">
        <v>11</v>
      </c>
      <c r="J67" s="3" t="str">
        <f ca="1">IFERROR(__xludf.DUMMYFUNCTION("GOOGLETRANSLATE(B67,""en"",""ar"")"),"ما الذي تدل عليه فتحتا أنف الحصان القائد المتسعتان؟")</f>
        <v>ما الذي تدل عليه فتحتا أنف الحصان القائد المتسعتان؟</v>
      </c>
      <c r="K67" s="3" t="str">
        <f ca="1">IFERROR(__xludf.DUMMYFUNCTION("GOOGLETRANSLATE(C67,""en"",""ar"")"),"أ) العدوانية تجاه الخيول الأخرى، ب) أقصى جهد بدني، ج) حالة استرخاء، د) سوء الحالة الصحية")</f>
        <v>أ) العدوانية تجاه الخيول الأخرى، ب) أقصى جهد بدني، ج) حالة استرخاء، د) سوء الحالة الصحية</v>
      </c>
      <c r="L67" s="3" t="str">
        <f ca="1">IFERROR(__xludf.DUMMYFUNCTION("GOOGLETRANSLATE(D67,""en"",""ar"")"),"ب) أقصى جهد بدني")</f>
        <v>ب) أقصى جهد بدني</v>
      </c>
      <c r="M67" s="3" t="str">
        <f ca="1">IFERROR(__xludf.DUMMYFUNCTION("GOOGLETRANSLATE(E67,""en"",""ar"")"),"تسمح فتحات الأنف المتسعة للحصان باستنشاق أكبر كمية ممكنة من الأكسجين أثناء الجري بأقصى سرعة. 😮‍💨")</f>
        <v>تسمح فتحات الأنف المتسعة للحصان باستنشاق أكبر كمية ممكنة من الأكسجين أثناء الجري بأقصى سرعة. 😮‍💨</v>
      </c>
    </row>
    <row r="68" spans="1:13" ht="22.5" customHeight="1" x14ac:dyDescent="0.25">
      <c r="A68" s="2"/>
      <c r="B68" s="2"/>
      <c r="C68" s="2"/>
      <c r="D68" s="2"/>
      <c r="E68" s="2"/>
      <c r="I68" s="3" t="s">
        <v>11</v>
      </c>
      <c r="J68" s="3" t="str">
        <f ca="1">IFERROR(__xludf.DUMMYFUNCTION("GOOGLETRANSLATE(B68,""en"",""ar"")"),"ما لون خوذة الفارس على الحصان المتصدر؟")</f>
        <v>ما لون خوذة الفارس على الحصان المتصدر؟</v>
      </c>
      <c r="K68" s="3" t="str">
        <f ca="1">IFERROR(__xludf.DUMMYFUNCTION("GOOGLETRANSLATE(C68,""en"",""ar"")"),"أ) أزرق، ب) أسود، ج) أبيض، د) أصفر")</f>
        <v>أ) أزرق، ب) أسود، ج) أبيض، د) أصفر</v>
      </c>
      <c r="L68" s="3" t="str">
        <f ca="1">IFERROR(__xludf.DUMMYFUNCTION("GOOGLETRANSLATE(D68,""en"",""ar"")"),"ج) أبيض")</f>
        <v>ج) أبيض</v>
      </c>
      <c r="M68" s="3" t="str">
        <f ca="1">IFERROR(__xludf.DUMMYFUNCTION("GOOGLETRANSLATE(E68,""en"",""ar"")"),"يرتدي الفارس الذي يمتطي الحصان الأمامي خوذة بيضاء.")</f>
        <v>يرتدي الفارس الذي يمتطي الحصان الأمامي خوذة بيضاء.</v>
      </c>
    </row>
    <row r="69" spans="1:13" ht="22.5" customHeight="1" x14ac:dyDescent="0.25">
      <c r="A69" s="2"/>
      <c r="B69" s="2"/>
      <c r="C69" s="2"/>
      <c r="D69" s="2"/>
      <c r="E69" s="2"/>
      <c r="I69" s="3" t="s">
        <v>11</v>
      </c>
      <c r="J69" s="3" t="str">
        <f ca="1">IFERROR(__xludf.DUMMYFUNCTION("GOOGLETRANSLATE(B69,""en"",""ar"")"),"الخلفية الضبابية هي تأثير فوتوغرافي يساعد على ماذا؟")</f>
        <v>الخلفية الضبابية هي تأثير فوتوغرافي يساعد على ماذا؟</v>
      </c>
      <c r="K69" s="3" t="str">
        <f ca="1">IFERROR(__xludf.DUMMYFUNCTION("GOOGLETRANSLATE(C69,""en"",""ar"")"),"أ) إظهار الموقع بشكل أوضح، ب) جعل الخيول تبدو أبطأ، ج) التأكيد على الحركة والتركيز على الموضوع، د) إثبات أن الصورة غير معدلة")</f>
        <v>أ) إظهار الموقع بشكل أوضح، ب) جعل الخيول تبدو أبطأ، ج) التأكيد على الحركة والتركيز على الموضوع، د) إثبات أن الصورة غير معدلة</v>
      </c>
      <c r="L69" s="3" t="str">
        <f ca="1">IFERROR(__xludf.DUMMYFUNCTION("GOOGLETRANSLATE(D69,""en"",""ar"")"),"ج) التركيز على الحركة والموضوع")</f>
        <v>ج) التركيز على الحركة والموضوع</v>
      </c>
      <c r="M69" s="3" t="str">
        <f ca="1">IFERROR(__xludf.DUMMYFUNCTION("GOOGLETRANSLATE(E69,""en"",""ar"")"),"هذا التأثير، الذي يُطلق عليه عمق المجال الضحل، يعزل الخيول عن الخلفية، مما ينقل إحساسًا بالسرعة العالية.")</f>
        <v>هذا التأثير، الذي يُطلق عليه عمق المجال الضحل، يعزل الخيول عن الخلفية، مما ينقل إحساسًا بالسرعة العالية.</v>
      </c>
    </row>
    <row r="70" spans="1:13" ht="22.5" customHeight="1" x14ac:dyDescent="0.25">
      <c r="A70" s="2"/>
      <c r="B70" s="2"/>
      <c r="C70" s="2"/>
      <c r="D70" s="2"/>
      <c r="E70" s="2"/>
      <c r="I70" s="3" t="s">
        <v>11</v>
      </c>
      <c r="J70" s="3" t="str">
        <f ca="1">IFERROR(__xludf.DUMMYFUNCTION("GOOGLETRANSLATE(B70,""en"",""ar"")"),"ما الذي يحمله الفارس الرئيسي في يده اليمنى؟")</f>
        <v>ما الذي يحمله الفارس الرئيسي في يده اليمنى؟</v>
      </c>
      <c r="K70" s="3" t="str">
        <f ca="1">IFERROR(__xludf.DUMMYFUNCTION("GOOGLETRANSLATE(C70,""en"",""ar"")"),"أ) اللجام، ب) سوط ركوب الخيل، ج) منظار، د) زجاجة ماء")</f>
        <v>أ) اللجام، ب) سوط ركوب الخيل، ج) منظار، د) زجاجة ماء</v>
      </c>
      <c r="L70" s="3" t="str">
        <f ca="1">IFERROR(__xludf.DUMMYFUNCTION("GOOGLETRANSLATE(D70,""en"",""ar"")"),"ب) سوط ركوب الخيل")</f>
        <v>ب) سوط ركوب الخيل</v>
      </c>
      <c r="M70" s="3" t="str">
        <f ca="1">IFERROR(__xludf.DUMMYFUNCTION("GOOGLETRANSLATE(E70,""en"",""ar"")"),"يحمل الفارس سوطًا يستخدم لتشجيع الحصان على الحفاظ على سرعته أو زيادتها.")</f>
        <v>يحمل الفارس سوطًا يستخدم لتشجيع الحصان على الحفاظ على سرعته أو زيادتها.</v>
      </c>
    </row>
    <row r="71" spans="1:13" ht="22.5" customHeight="1" x14ac:dyDescent="0.25">
      <c r="A71" s="2"/>
      <c r="B71" s="2"/>
      <c r="C71" s="2"/>
      <c r="D71" s="2"/>
      <c r="E71" s="2"/>
      <c r="I71" s="3" t="s">
        <v>11</v>
      </c>
      <c r="J71" s="3" t="str">
        <f ca="1">IFERROR(__xludf.DUMMYFUNCTION("GOOGLETRANSLATE(B71,""en"",""ar"")"),"بناءً على عدد الخيول الظاهرة، ما نوع هذا السباق على ما يبدو؟")</f>
        <v>بناءً على عدد الخيول الظاهرة، ما نوع هذا السباق على ما يبدو؟</v>
      </c>
      <c r="K71" s="3" t="str">
        <f ca="1">IFERROR(__xludf.DUMMYFUNCTION("GOOGLETRANSLATE(C71,""en"",""ar"")"),"أ) سباق فردي ضد الساعة، ب) سباق ثنائي (حصانان)، ج) سباق تنافسي بمشاركة جميع الخيول، د) إحماء تدريبي")</f>
        <v>أ) سباق فردي ضد الساعة، ب) سباق ثنائي (حصانان)، ج) سباق تنافسي بمشاركة جميع الخيول، د) إحماء تدريبي</v>
      </c>
      <c r="L71" s="3" t="str">
        <f ca="1">IFERROR(__xludf.DUMMYFUNCTION("GOOGLETRANSLATE(D71,""en"",""ar"")"),"ج) سباق تنافسي بمشاركة جميع المتسابقين")</f>
        <v>ج) سباق تنافسي بمشاركة جميع المتسابقين</v>
      </c>
      <c r="M71" s="3" t="str">
        <f ca="1">IFERROR(__xludf.DUMMYFUNCTION("GOOGLETRANSLATE(E71,""en"",""ar"")"),"تجري عدة خيول متقاربة، مما يشير إلى سباق خيول تنافسي قياسي.")</f>
        <v>تجري عدة خيول متقاربة، مما يشير إلى سباق خيول تنافسي قياسي.</v>
      </c>
    </row>
    <row r="72" spans="1:13" ht="22.5" customHeight="1" x14ac:dyDescent="0.25">
      <c r="A72" s="2"/>
      <c r="B72" s="2"/>
      <c r="C72" s="2"/>
      <c r="D72" s="2"/>
      <c r="E72" s="2"/>
      <c r="I72" s="3" t="s">
        <v>12</v>
      </c>
      <c r="J72" s="3" t="str">
        <f ca="1">IFERROR(__xludf.DUMMYFUNCTION("GOOGLETRANSLATE(B72,""en"",""ar"")"),"ما المصطلح الذي يصف بشكل أفضل هذه المجموعة الكبيرة والمتراصة من الخيول في السباق؟")</f>
        <v>ما المصطلح الذي يصف بشكل أفضل هذه المجموعة الكبيرة والمتراصة من الخيول في السباق؟</v>
      </c>
      <c r="K72" s="3" t="str">
        <f ca="1">IFERROR(__xludf.DUMMYFUNCTION("GOOGLETRANSLATE(C72,""en"",""ar"")"),"أ) قطيع، ب) إسطبل، ج) حقل، د) رفيق إسطبل")</f>
        <v>أ) قطيع، ب) إسطبل، ج) حقل، د) رفيق إسطبل</v>
      </c>
      <c r="L72" s="3" t="str">
        <f ca="1">IFERROR(__xludf.DUMMYFUNCTION("GOOGLETRANSLATE(D72,""en"",""ar"")"),"ج) حقل")</f>
        <v>ج) حقل</v>
      </c>
      <c r="M72" s="3" t="str">
        <f ca="1">IFERROR(__xludf.DUMMYFUNCTION("GOOGLETRANSLATE(E72,""en"",""ar"")"),"في سباقات الخيل، يُشار إلى المجموعة الكاملة من الخيول المتنافسة باسم ""الحقل"".")</f>
        <v>في سباقات الخيل، يُشار إلى المجموعة الكاملة من الخيول المتنافسة باسم "الحقل".</v>
      </c>
    </row>
    <row r="73" spans="1:13" ht="22.5" customHeight="1" x14ac:dyDescent="0.25">
      <c r="A73" s="2"/>
      <c r="B73" s="2"/>
      <c r="C73" s="2"/>
      <c r="D73" s="2"/>
      <c r="E73" s="2"/>
      <c r="I73" s="3" t="s">
        <v>12</v>
      </c>
      <c r="J73" s="3" t="str">
        <f ca="1">IFERROR(__xludf.DUMMYFUNCTION("GOOGLETRANSLATE(B73,""en"",""ar"")"),"ما هي المادة التي تتطاير في الهواء بفعل حوافر الخيول؟")</f>
        <v>ما هي المادة التي تتطاير في الهواء بفعل حوافر الخيول؟</v>
      </c>
      <c r="K73" s="3" t="str">
        <f ca="1">IFERROR(__xludf.DUMMYFUNCTION("GOOGLETRANSLATE(C73,""en"",""ar"")"),"أ) الماء، ب) الرمل، ج) التراب والغبار، د) قصاصات العشب")</f>
        <v>أ) الماء، ب) الرمل، ج) التراب والغبار، د) قصاصات العشب</v>
      </c>
      <c r="L73" s="3" t="str">
        <f ca="1">IFERROR(__xludf.DUMMYFUNCTION("GOOGLETRANSLATE(D73,""en"",""ar"")"),"ج) الأوساخ والغبار")</f>
        <v>ج) الأوساخ والغبار</v>
      </c>
      <c r="M73" s="3" t="str">
        <f ca="1">IFERROR(__xludf.DUMMYFUNCTION("GOOGLETRANSLATE(E73,""en"",""ar"")"),"تُظهر الصورة بوضوح سحب الغبار التي تتطاير بفعل الخيول التي تركض على مضمار ترابي.")</f>
        <v>تُظهر الصورة بوضوح سحب الغبار التي تتطاير بفعل الخيول التي تركض على مضمار ترابي.</v>
      </c>
    </row>
    <row r="74" spans="1:13" ht="22.5" customHeight="1" x14ac:dyDescent="0.25">
      <c r="A74" s="2"/>
      <c r="B74" s="2"/>
      <c r="C74" s="2"/>
      <c r="D74" s="2"/>
      <c r="E74" s="2"/>
      <c r="I74" s="3" t="s">
        <v>12</v>
      </c>
      <c r="J74" s="3" t="str">
        <f ca="1">IFERROR(__xludf.DUMMYFUNCTION("GOOGLETRANSLATE(B74,""en"",""ar"")"),"ما هو الشيء الذي يحمله الفارس الذي يرتدي الزي الحريري الوردي الزاهي في يده اليمنى؟")</f>
        <v>ما هو الشيء الذي يحمله الفارس الذي يرتدي الزي الحريري الوردي الزاهي في يده اليمنى؟</v>
      </c>
      <c r="K74" s="3" t="str">
        <f ca="1">IFERROR(__xludf.DUMMYFUNCTION("GOOGLETRANSLATE(C74,""en"",""ar"")"),"أ) لجام، ب) سوط، ج) زجاجة ماء، د) منظار")</f>
        <v>أ) لجام، ب) سوط، ج) زجاجة ماء، د) منظار</v>
      </c>
      <c r="L74" s="3" t="str">
        <f ca="1">IFERROR(__xludf.DUMMYFUNCTION("GOOGLETRANSLATE(D74,""en"",""ar"")"),"ب) سوط (محصول)")</f>
        <v>ب) سوط (محصول)</v>
      </c>
      <c r="M74" s="3" t="str">
        <f ca="1">IFERROR(__xludf.DUMMYFUNCTION("GOOGLETRANSLATE(E74,""en"",""ar"")"),"إنه يحمل سوطًا يستخدم لتشجيع الحصان.")</f>
        <v>إنه يحمل سوطًا يستخدم لتشجيع الحصان.</v>
      </c>
    </row>
    <row r="75" spans="1:13" ht="22.5" customHeight="1" x14ac:dyDescent="0.25">
      <c r="A75" s="2"/>
      <c r="B75" s="2"/>
      <c r="C75" s="2"/>
      <c r="D75" s="2"/>
      <c r="E75" s="2"/>
      <c r="I75" s="3" t="s">
        <v>12</v>
      </c>
      <c r="J75" s="3" t="str">
        <f ca="1">IFERROR(__xludf.DUMMYFUNCTION("GOOGLETRANSLATE(B75,""en"",""ar"")"),"لماذا يتخذ معظم الفرسان وضعية منخفضة ومنحنية؟")</f>
        <v>لماذا يتخذ معظم الفرسان وضعية منخفضة ومنحنية؟</v>
      </c>
      <c r="K75" s="3" t="str">
        <f ca="1">IFERROR(__xludf.DUMMYFUNCTION("GOOGLETRANSLATE(C75,""en"",""ar"")"),"أ) لتحسين الرؤية، ب) لحماية أنفسهم من الغبار المتطاير، ج) لتقليل مقاومة الهواء (الديناميكا الهوائية)، د) لجعل الحصان يشعر بخفة أكبر")</f>
        <v>أ) لتحسين الرؤية، ب) لحماية أنفسهم من الغبار المتطاير، ج) لتقليل مقاومة الهواء (الديناميكا الهوائية)، د) لجعل الحصان يشعر بخفة أكبر</v>
      </c>
      <c r="L75" s="3" t="str">
        <f ca="1">IFERROR(__xludf.DUMMYFUNCTION("GOOGLETRANSLATE(D75,""en"",""ar"")"),"ج) لتقليل مقاومة الرياح (الديناميكا الهوائية)")</f>
        <v>ج) لتقليل مقاومة الرياح (الديناميكا الهوائية)</v>
      </c>
      <c r="M75" s="3" t="str">
        <f ca="1">IFERROR(__xludf.DUMMYFUNCTION("GOOGLETRANSLATE(E75,""en"",""ar"")"),"يساعد هذا ""الانحناء الذي يتخذه الفارس"" الفارس والحصان على التحرك بشكل أسرع عن طريق تقليل مقاومة الهواء.")</f>
        <v>يساعد هذا "الانحناء الذي يتخذه الفارس" الفارس والحصان على التحرك بشكل أسرع عن طريق تقليل مقاومة الهواء.</v>
      </c>
    </row>
    <row r="76" spans="1:13" ht="22.5" customHeight="1" x14ac:dyDescent="0.25">
      <c r="A76" s="2"/>
      <c r="B76" s="2"/>
      <c r="C76" s="2"/>
      <c r="D76" s="2"/>
      <c r="E76" s="2"/>
      <c r="I76" s="3" t="s">
        <v>12</v>
      </c>
      <c r="J76" s="3" t="str">
        <f ca="1">IFERROR(__xludf.DUMMYFUNCTION("GOOGLETRANSLATE(B76,""en"",""ar"")"),"ما لون ألوان حرير الفارس على الحصان الرمادي في وسط يسار الصورة؟")</f>
        <v>ما لون ألوان حرير الفارس على الحصان الرمادي في وسط يسار الصورة؟</v>
      </c>
      <c r="K76" s="3" t="str">
        <f ca="1">IFERROR(__xludf.DUMMYFUNCTION("GOOGLETRANSLATE(C76,""en"",""ar"")"),"أ) أصفر وأخضر، ب) أزرق ووردي، ج) أصفر وأزرق، د) وردي وأبيض")</f>
        <v>أ) أصفر وأخضر، ب) أزرق ووردي، ج) أصفر وأزرق، د) وردي وأبيض</v>
      </c>
      <c r="L76" s="3" t="str">
        <f ca="1">IFERROR(__xludf.DUMMYFUNCTION("GOOGLETRANSLATE(D76,""en"",""ar"")"),"د) وردي وأبيض")</f>
        <v>د) وردي وأبيض</v>
      </c>
      <c r="M76" s="3" t="str">
        <f ca="1">IFERROR(__xludf.DUMMYFUNCTION("GOOGLETRANSLATE(E76,""en"",""ar"")"),"الفارس على الحصان الرمادي يرتدي زياً حريرياً وردياً بأكمام بيضاء وخوذة بيضاء.")</f>
        <v>الفارس على الحصان الرمادي يرتدي زياً حريرياً وردياً بأكمام بيضاء وخوذة بيضاء.</v>
      </c>
    </row>
    <row r="77" spans="1:13" ht="22.5" customHeight="1" x14ac:dyDescent="0.25">
      <c r="A77" s="2"/>
      <c r="B77" s="2"/>
      <c r="C77" s="2"/>
      <c r="D77" s="2"/>
      <c r="E77" s="2"/>
      <c r="I77" s="3" t="s">
        <v>12</v>
      </c>
      <c r="J77" s="3" t="str">
        <f ca="1">IFERROR(__xludf.DUMMYFUNCTION("GOOGLETRANSLATE(B77,""en"",""ar"")"),"ما هي قطعة غطاء الرأس التي يرتديها الحصان الذي يقوده الفارس ذو الخوذة البرتقالية لمساعدته على التركيز؟")</f>
        <v>ما هي قطعة غطاء الرأس التي يرتديها الحصان الذي يقوده الفارس ذو الخوذة البرتقالية لمساعدته على التركيز؟</v>
      </c>
      <c r="K77" s="3" t="str">
        <f ca="1">IFERROR(__xludf.DUMMYFUNCTION("GOOGLETRANSLATE(C77,""en"",""ar"")"),"أ) لجام، ب) غطاء العينين، ج) كمامة، د) سدادات الأذن")</f>
        <v>أ) لجام، ب) غطاء العينين، ج) كمامة، د) سدادات الأذن</v>
      </c>
      <c r="L77" s="3" t="str">
        <f ca="1">IFERROR(__xludf.DUMMYFUNCTION("GOOGLETRANSLATE(D77,""en"",""ar"")"),"ب) إشارات الانعطاف")</f>
        <v>ب) إشارات الانعطاف</v>
      </c>
      <c r="M77" s="3" t="str">
        <f ca="1">IFERROR(__xludf.DUMMYFUNCTION("GOOGLETRANSLATE(E77,""en"",""ar"")"),"يرتدي الحصان ""غطاءً"" مزوداً بأغطية للعينين، وهي عبارة عن أكواب تحد من رؤيته المحيطية.")</f>
        <v>يرتدي الحصان "غطاءً" مزوداً بأغطية للعينين، وهي عبارة عن أكواب تحد من رؤيته المحيطية.</v>
      </c>
    </row>
    <row r="78" spans="1:13" ht="22.5" customHeight="1" x14ac:dyDescent="0.25">
      <c r="A78" s="2"/>
      <c r="B78" s="2"/>
      <c r="C78" s="2"/>
      <c r="D78" s="2"/>
      <c r="E78" s="2"/>
      <c r="I78" s="3" t="s">
        <v>12</v>
      </c>
      <c r="J78" s="3" t="str">
        <f ca="1">IFERROR(__xludf.DUMMYFUNCTION("GOOGLETRANSLATE(B78,""en"",""ar"")"),"بناءً على هذا الحدث، ما هو الجزء من السباق الذي من المرجح أن يحدث فيه هذا؟")</f>
        <v>بناءً على هذا الحدث، ما هو الجزء من السباق الذي من المرجح أن يحدث فيه هذا؟</v>
      </c>
      <c r="K78" s="3" t="str">
        <f ca="1">IFERROR(__xludf.DUMMYFUNCTION("GOOGLETRANSLATE(C78,""en"",""ar"")"),"أ) البداية تمامًا، ب) المنعطف الأول أو الطريق المستقيم، ج) خط النهاية، د) لفة التهدئة")</f>
        <v>أ) البداية تمامًا، ب) المنعطف الأول أو الطريق المستقيم، ج) خط النهاية، د) لفة التهدئة</v>
      </c>
      <c r="L78" s="3" t="str">
        <f ca="1">IFERROR(__xludf.DUMMYFUNCTION("GOOGLETRANSLATE(D78,""en"",""ar"")"),"ب) المنعطف الأول أو الطريق المستقيم")</f>
        <v>ب) المنعطف الأول أو الطريق المستقيم</v>
      </c>
      <c r="M78" s="3" t="str">
        <f ca="1">IFERROR(__xludf.DUMMYFUNCTION("GOOGLETRANSLATE(E78,""en"",""ar"")"),"تتجمع الخيول بشكل متقارب وتجري بأقصى سرعة، وهو أمر نموذجي لمرحلة تنافسية من السباق.")</f>
        <v>تتجمع الخيول بشكل متقارب وتجري بأقصى سرعة، وهو أمر نموذجي لمرحلة تنافسية من السباق.</v>
      </c>
    </row>
    <row r="79" spans="1:13" ht="22.5" customHeight="1" x14ac:dyDescent="0.25">
      <c r="A79" s="2"/>
      <c r="B79" s="2"/>
      <c r="C79" s="2"/>
      <c r="D79" s="2"/>
      <c r="E79" s="2"/>
      <c r="I79" s="3" t="s">
        <v>12</v>
      </c>
      <c r="J79" s="3" t="str">
        <f ca="1">IFERROR(__xludf.DUMMYFUNCTION("GOOGLETRANSLATE(B79,""en"",""ar"")"),"يشير الجدار المبني من الطوب في الخلفية إلى نوع البيئة التي يقع فيها مضمار السباق؟")</f>
        <v>يشير الجدار المبني من الطوب في الخلفية إلى نوع البيئة التي يقع فيها مضمار السباق؟</v>
      </c>
      <c r="K79" s="3" t="str">
        <f ca="1">IFERROR(__xludf.DUMMYFUNCTION("GOOGLETRANSLATE(C79,""en"",""ar"")"),"أ) حقل ريفي، ب) منطقة حضرية أو ضاحية، ج) صحراء نائية، د) سلسلة جبال")</f>
        <v>أ) حقل ريفي، ب) منطقة حضرية أو ضاحية، ج) صحراء نائية، د) سلسلة جبال</v>
      </c>
      <c r="L79" s="3" t="str">
        <f ca="1">IFERROR(__xludf.DUMMYFUNCTION("GOOGLETRANSLATE(D79,""en"",""ar"")"),"ب) منطقة حضرية أو ضاحية")</f>
        <v>ب) منطقة حضرية أو ضاحية</v>
      </c>
      <c r="M79" s="3" t="str">
        <f ca="1">IFERROR(__xludf.DUMMYFUNCTION("GOOGLETRANSLATE(E79,""en"",""ar"")"),"يُعدّ الهيكل الكبير والدائم، مثل الجدار المبني من الطوب، سمة مميزة لحلبة سباق سيارات راسخة بالقرب من منطقة مأهولة بالسكان.")</f>
        <v>يُعدّ الهيكل الكبير والدائم، مثل الجدار المبني من الطوب، سمة مميزة لحلبة سباق سيارات راسخة بالقرب من منطقة مأهولة بالسكان.</v>
      </c>
    </row>
    <row r="80" spans="1:13" ht="22.5" customHeight="1" x14ac:dyDescent="0.25">
      <c r="A80" s="2"/>
      <c r="B80" s="2"/>
      <c r="C80" s="2"/>
      <c r="D80" s="2"/>
      <c r="E80" s="2"/>
      <c r="I80" s="3" t="s">
        <v>12</v>
      </c>
      <c r="J80" s="3" t="str">
        <f ca="1">IFERROR(__xludf.DUMMYFUNCTION("GOOGLETRANSLATE(B80,""en"",""ar"")"),"الحصان الذي يخرج لسانه (في المنتصف إلى اليمين) هو علامة على ماذا؟")</f>
        <v>الحصان الذي يخرج لسانه (في المنتصف إلى اليمين) هو علامة على ماذا؟</v>
      </c>
      <c r="K80" s="3" t="str">
        <f ca="1">IFERROR(__xludf.DUMMYFUNCTION("GOOGLETRANSLATE(C80,""en"",""ar"")"),"أ) الجوع، ب) العطش، ج) الجهد البدني الشديد، د) العدوان")</f>
        <v>أ) الجوع، ب) العطش، ج) الجهد البدني الشديد، د) العدوان</v>
      </c>
      <c r="L80" s="3" t="str">
        <f ca="1">IFERROR(__xludf.DUMMYFUNCTION("GOOGLETRANSLATE(D80,""en"",""ar"")"),"ج) بذل جهد بدني مكثف")</f>
        <v>ج) بذل جهد بدني مكثف</v>
      </c>
      <c r="M80" s="3" t="str">
        <f ca="1">IFERROR(__xludf.DUMMYFUNCTION("GOOGLETRANSLATE(E80,""en"",""ar"")"),"من الشائع أن تخرج الخيول ألسنتها أثناء التمارين الشاقة مثل السباقات.")</f>
        <v>من الشائع أن تخرج الخيول ألسنتها أثناء التمارين الشاقة مثل السباقات.</v>
      </c>
    </row>
    <row r="81" spans="1:13" ht="22.5" customHeight="1" x14ac:dyDescent="0.25">
      <c r="A81" s="2"/>
      <c r="B81" s="2"/>
      <c r="C81" s="2"/>
      <c r="D81" s="2"/>
      <c r="E81" s="2"/>
      <c r="I81" s="3" t="s">
        <v>12</v>
      </c>
      <c r="J81" s="3" t="str">
        <f ca="1">IFERROR(__xludf.DUMMYFUNCTION("GOOGLETRANSLATE(B81,""en"",""ar"")"),"أي حصان يبدو أنه متقدم قليلاً في هذه اللحظة بالذات؟")</f>
        <v>أي حصان يبدو أنه متقدم قليلاً في هذه اللحظة بالذات؟</v>
      </c>
      <c r="K81" s="3" t="str">
        <f ca="1">IFERROR(__xludf.DUMMYFUNCTION("GOOGLETRANSLATE(C81,""en"",""ar"")"),"أ) تلك التي بها أقمشة حريرية وردية، ب) تلك التي بها أقمشة حريرية برتقالية، ج) تلك التي بها أقمشة حريرية زرقاء فاتحة (أقصى اليسار)، د) يصعب تحديدها")</f>
        <v>أ) تلك التي بها أقمشة حريرية وردية، ب) تلك التي بها أقمشة حريرية برتقالية، ج) تلك التي بها أقمشة حريرية زرقاء فاتحة (أقصى اليسار)، د) يصعب تحديدها</v>
      </c>
      <c r="L81" s="3" t="str">
        <f ca="1">IFERROR(__xludf.DUMMYFUNCTION("GOOGLETRANSLATE(D81,""en"",""ar"")"),"ب) تلك التي تحتوي على أقمشة حريرية برتقالية")</f>
        <v>ب) تلك التي تحتوي على أقمشة حريرية برتقالية</v>
      </c>
      <c r="M81" s="3" t="str">
        <f ca="1">IFERROR(__xludf.DUMMYFUNCTION("GOOGLETRANSLATE(E81,""en"",""ar"")"),"من هذه الزاوية، يظهر الحصان الذي يرتدي الحرير البرتقالي والأرجواني متقدماً قليلاً عن الخيول الأخرى.")</f>
        <v>من هذه الزاوية، يظهر الحصان الذي يرتدي الحرير البرتقالي والأرجواني متقدماً قليلاً عن الخيول الأخرى.</v>
      </c>
    </row>
    <row r="82" spans="1:13" ht="22.5" customHeight="1" x14ac:dyDescent="0.25">
      <c r="A82" s="2"/>
      <c r="B82" s="2"/>
      <c r="C82" s="2"/>
      <c r="D82" s="2"/>
      <c r="E82" s="2"/>
      <c r="I82" s="3" t="s">
        <v>13</v>
      </c>
      <c r="J82" s="3" t="str">
        <f ca="1">IFERROR(__xludf.DUMMYFUNCTION("GOOGLETRANSLATE(B82,""en"",""ar"")"),"ما هو سطح السباق الموضح في هذه الصورة؟")</f>
        <v>ما هو سطح السباق الموضح في هذه الصورة؟</v>
      </c>
      <c r="K82" s="3" t="str">
        <f ca="1">IFERROR(__xludf.DUMMYFUNCTION("GOOGLETRANSLATE(C82,""en"",""ar"")"),"أ) تراب، ب) عشب (عشب صناعي)، ج) ثلج، د) صناعي")</f>
        <v>أ) تراب، ب) عشب (عشب صناعي)، ج) ثلج، د) صناعي</v>
      </c>
      <c r="L82" s="3" t="str">
        <f ca="1">IFERROR(__xludf.DUMMYFUNCTION("GOOGLETRANSLATE(D82,""en"",""ar"")"),"ب) العشب (الأرض العشبية)")</f>
        <v>ب) العشب (الأرض العشبية)</v>
      </c>
      <c r="M82" s="3" t="str">
        <f ca="1">IFERROR(__xludf.DUMMYFUNCTION("GOOGLETRANSLATE(E82,""en"",""ar"")"),"من الواضح أن الخيول تجري على مضمار عشبي مُعتنى به جيداً، وهو ما يُعرف في سباقات الخيل باسم مضمار العشب.")</f>
        <v>من الواضح أن الخيول تجري على مضمار عشبي مُعتنى به جيداً، وهو ما يُعرف في سباقات الخيل باسم مضمار العشب.</v>
      </c>
    </row>
    <row r="83" spans="1:13" ht="22.5" customHeight="1" x14ac:dyDescent="0.25">
      <c r="A83" s="2"/>
      <c r="B83" s="2"/>
      <c r="C83" s="2"/>
      <c r="D83" s="2"/>
      <c r="E83" s="2"/>
      <c r="I83" s="3" t="s">
        <v>13</v>
      </c>
      <c r="J83" s="3" t="str">
        <f ca="1">IFERROR(__xludf.DUMMYFUNCTION("GOOGLETRANSLATE(B83,""en"",""ar"")"),"ما الذي يتطلبه السباق على العشب، على عكس السباق على التراب، من الحصان بشكل عام؟")</f>
        <v>ما الذي يتطلبه السباق على العشب، على عكس السباق على التراب، من الحصان بشكل عام؟</v>
      </c>
      <c r="K83" s="3" t="str">
        <f ca="1">IFERROR(__xludf.DUMMYFUNCTION("GOOGLETRANSLATE(C83,""en"",""ar"")"),"أ) قوة خام أكبر، ب) أسلوب جري مختلف، وقد يُفضّل الخيول ذات القدرة الأكبر على التحمل، ج) القدرة على الجري في الطقس البارد، د) فارس أثقل وزنًا")</f>
        <v>أ) قوة خام أكبر، ب) أسلوب جري مختلف، وقد يُفضّل الخيول ذات القدرة الأكبر على التحمل، ج) القدرة على الجري في الطقس البارد، د) فارس أثقل وزنًا</v>
      </c>
      <c r="L83" s="3" t="str">
        <f ca="1">IFERROR(__xludf.DUMMYFUNCTION("GOOGLETRANSLATE(D83,""en"",""ar"")"),"ب) أسلوب جري مختلف، وقد يُفضّل الخيول ذات القدرة الأكبر على التحمل.")</f>
        <v>ب) أسلوب جري مختلف، وقد يُفضّل الخيول ذات القدرة الأكبر على التحمل.</v>
      </c>
      <c r="M83" s="3" t="str">
        <f ca="1">IFERROR(__xludf.DUMMYFUNCTION("GOOGLETRANSLATE(E83,""en"",""ar"")"),"قد يكون العشب أكثر ليونة وأكثر مرونة من التراب، مما يجعله في كثير من الأحيان مفضلاً للخيول ذات الخطوة والقدرة على التحمل المختلفة قليلاً.")</f>
        <v>قد يكون العشب أكثر ليونة وأكثر مرونة من التراب، مما يجعله في كثير من الأحيان مفضلاً للخيول ذات الخطوة والقدرة على التحمل المختلفة قليلاً.</v>
      </c>
    </row>
    <row r="84" spans="1:13" ht="22.5" customHeight="1" x14ac:dyDescent="0.25">
      <c r="A84" s="2"/>
      <c r="B84" s="2"/>
      <c r="C84" s="2"/>
      <c r="D84" s="2"/>
      <c r="E84" s="2"/>
      <c r="I84" s="3" t="s">
        <v>13</v>
      </c>
      <c r="J84" s="3" t="str">
        <f ca="1">IFERROR(__xludf.DUMMYFUNCTION("GOOGLETRANSLATE(B84,""en"",""ar"")"),"ما هي معدات الحماية التي يرتديها الفارس في المقدمة على وجهه؟")</f>
        <v>ما هي معدات الحماية التي يرتديها الفارس في المقدمة على وجهه؟</v>
      </c>
      <c r="K84" s="3" t="str">
        <f ca="1">IFERROR(__xludf.DUMMYFUNCTION("GOOGLETRANSLATE(C84,""en"",""ar"")"),"أ) واقي للوجه، ب) قناع للغبار، ج) نظارات واقية، د) نظارات شمسية")</f>
        <v>أ) واقي للوجه، ب) قناع للغبار، ج) نظارات واقية، د) نظارات شمسية</v>
      </c>
      <c r="L84" s="3" t="str">
        <f ca="1">IFERROR(__xludf.DUMMYFUNCTION("GOOGLETRANSLATE(D84,""en"",""ar"")"),"ج) نظارات واقية")</f>
        <v>ج) نظارات واقية</v>
      </c>
      <c r="M84" s="3" t="str">
        <f ca="1">IFERROR(__xludf.DUMMYFUNCTION("GOOGLETRANSLATE(E84,""en"",""ar"")"),"يرتدي الفرسان نظارات واقية لحماية أعينهم من الحطام المتطاير، مثل العشب والأتربة التي تثيرها الخيول الأخرى.")</f>
        <v>يرتدي الفرسان نظارات واقية لحماية أعينهم من الحطام المتطاير، مثل العشب والأتربة التي تثيرها الخيول الأخرى.</v>
      </c>
    </row>
    <row r="85" spans="1:13" ht="22.5" customHeight="1" x14ac:dyDescent="0.25">
      <c r="A85" s="2"/>
      <c r="B85" s="2"/>
      <c r="C85" s="2"/>
      <c r="D85" s="2"/>
      <c r="E85" s="2"/>
      <c r="I85" s="3" t="s">
        <v>13</v>
      </c>
      <c r="J85" s="3" t="str">
        <f ca="1">IFERROR(__xludf.DUMMYFUNCTION("GOOGLETRANSLATE(B85,""en"",""ar"")"),"ما الذي يرمز إليه الحرف ""B"" الموجود على غطاء سرج الحصان القائد؟")</f>
        <v>ما الذي يرمز إليه الحرف "B" الموجود على غطاء سرج الحصان القائد؟</v>
      </c>
      <c r="K85" s="3" t="str">
        <f ca="1">IFERROR(__xludf.DUMMYFUNCTION("GOOGLETRANSLATE(C85,""en"",""ar"")"),"أ) اسم الحصان يبدأ بحرف ""ب""، ب) رمز مراهنة، ج) الحصان من بريطانيا، د) هو جزء من رقم برنامج الحصان أو اسمه")</f>
        <v>أ) اسم الحصان يبدأ بحرف "ب"، ب) رمز مراهنة، ج) الحصان من بريطانيا، د) هو جزء من رقم برنامج الحصان أو اسمه</v>
      </c>
      <c r="L85" s="3" t="str">
        <f ca="1">IFERROR(__xludf.DUMMYFUNCTION("GOOGLETRANSLATE(D85,""en"",""ar"")"),"د) إنه جزء من رقم برنامج الحصان أو اسمه")</f>
        <v>د) إنه جزء من رقم برنامج الحصان أو اسمه</v>
      </c>
      <c r="M85" s="3" t="str">
        <f ca="1">IFERROR(__xludf.DUMMYFUNCTION("GOOGLETRANSLATE(E85,""en"",""ar"")"),"غالباً ما تُضاف الأحرف إلى أغطية السرج كجزء من تعريف الحصان لسباق أو حدث معين.")</f>
        <v>غالباً ما تُضاف الأحرف إلى أغطية السرج كجزء من تعريف الحصان لسباق أو حدث معين.</v>
      </c>
    </row>
    <row r="86" spans="1:13" ht="22.5" customHeight="1" x14ac:dyDescent="0.25">
      <c r="A86" s="2"/>
      <c r="B86" s="2"/>
      <c r="C86" s="2"/>
      <c r="D86" s="2"/>
      <c r="E86" s="2"/>
      <c r="I86" s="3" t="s">
        <v>13</v>
      </c>
      <c r="J86" s="3" t="str">
        <f ca="1">IFERROR(__xludf.DUMMYFUNCTION("GOOGLETRANSLATE(B86,""en"",""ar"")"),"إن غطاء الرأس الملون على الخيول (على سبيل المثال، الأحمر على الحصان الأيسر) هو جزء من أي قطعة من المعدات؟")</f>
        <v>إن غطاء الرأس الملون على الخيول (على سبيل المثال، الأحمر على الحصان الأيسر) هو جزء من أي قطعة من المعدات؟</v>
      </c>
      <c r="K86" s="3" t="str">
        <f ca="1">IFERROR(__xludf.DUMMYFUNCTION("GOOGLETRANSLATE(C86,""en"",""ar"")"),"أ) كمامة للرعي، ب) غطاء رأس مزخرف، ج) غطاء واقٍ من الضوء، د) قناع للذباب")</f>
        <v>أ) كمامة للرعي، ب) غطاء رأس مزخرف، ج) غطاء واقٍ من الضوء، د) قناع للذباب</v>
      </c>
      <c r="L86" s="3" t="str">
        <f ca="1">IFERROR(__xludf.DUMMYFUNCTION("GOOGLETRANSLATE(D86,""en"",""ar"")"),"ج) غطاء إشارة الانعطاف")</f>
        <v>ج) غطاء إشارة الانعطاف</v>
      </c>
      <c r="M86" s="3" t="str">
        <f ca="1">IFERROR(__xludf.DUMMYFUNCTION("GOOGLETRANSLATE(E86,""en"",""ar"")"),"هذا غطاء للعينين، وهو يعمل على تقييد رؤية الحصان وإبقائه مركزاً على السباق الذي ينتظره.")</f>
        <v>هذا غطاء للعينين، وهو يعمل على تقييد رؤية الحصان وإبقائه مركزاً على السباق الذي ينتظره.</v>
      </c>
    </row>
    <row r="87" spans="1:13" ht="22.5" customHeight="1" x14ac:dyDescent="0.25">
      <c r="A87" s="2"/>
      <c r="B87" s="2"/>
      <c r="C87" s="2"/>
      <c r="D87" s="2"/>
      <c r="E87" s="2"/>
      <c r="I87" s="3" t="s">
        <v>13</v>
      </c>
      <c r="J87" s="3" t="str">
        <f ca="1">IFERROR(__xludf.DUMMYFUNCTION("GOOGLETRANSLATE(B87,""en"",""ar"")"),"ماذا تشير إليه وضعية الفارس الرئيسي (الذي يرتدي ألوان الحرير الأزرق والأبيض)؟")</f>
        <v>ماذا تشير إليه وضعية الفارس الرئيسي (الذي يرتدي ألوان الحرير الأزرق والأبيض)؟</v>
      </c>
      <c r="K87" s="3" t="str">
        <f ca="1">IFERROR(__xludf.DUMMYFUNCTION("GOOGLETRANSLATE(C87,""en"",""ar"")"),"أ) إبطاء الحصان، ب) مطالبة الحصان بأقصى سرعة، ج) النظر إلى الحشد، د) تعديل سرجه")</f>
        <v>أ) إبطاء الحصان، ب) مطالبة الحصان بأقصى سرعة، ج) النظر إلى الحشد، د) تعديل سرجه</v>
      </c>
      <c r="L87" s="3" t="str">
        <f ca="1">IFERROR(__xludf.DUMMYFUNCTION("GOOGLETRANSLATE(D87,""en"",""ar"")"),"ب) طلب أقصى سرعة من الحصان")</f>
        <v>ب) طلب أقصى سرعة من الحصان</v>
      </c>
      <c r="M87" s="3" t="str">
        <f ca="1">IFERROR(__xludf.DUMMYFUNCTION("GOOGLETRANSLATE(E87,""en"",""ar"")"),"يُظهر انحناءه المنخفض ووضعية ركوبه النشطة أنه يحث حصانه على الركض بأقصى سرعة.")</f>
        <v>يُظهر انحناءه المنخفض ووضعية ركوبه النشطة أنه يحث حصانه على الركض بأقصى سرعة.</v>
      </c>
    </row>
    <row r="88" spans="1:13" ht="22.5" customHeight="1" x14ac:dyDescent="0.25">
      <c r="A88" s="2"/>
      <c r="B88" s="2"/>
      <c r="C88" s="2"/>
      <c r="D88" s="2"/>
      <c r="E88" s="2"/>
      <c r="I88" s="3" t="s">
        <v>13</v>
      </c>
      <c r="J88" s="3" t="str">
        <f ca="1">IFERROR(__xludf.DUMMYFUNCTION("GOOGLETRANSLATE(B88,""en"",""ar"")"),"كم عدد الفرسان في الصورة الذين يرتدون خوذة خضراء في الغالب؟")</f>
        <v>كم عدد الفرسان في الصورة الذين يرتدون خوذة خضراء في الغالب؟</v>
      </c>
      <c r="K88" s="3" t="str">
        <f ca="1">IFERROR(__xludf.DUMMYFUNCTION("GOOGLETRANSLATE(C88,""en"",""ar"")"),"أ) واحد، ب) اثنان، ج) ثلاثة، د) أربعة")</f>
        <v>أ) واحد، ب) اثنان، ج) ثلاثة، د) أربعة</v>
      </c>
      <c r="L88" s="3" t="str">
        <f ca="1">IFERROR(__xludf.DUMMYFUNCTION("GOOGLETRANSLATE(D88,""en"",""ar"")"),"ب) اثنان")</f>
        <v>ب) اثنان</v>
      </c>
      <c r="M88" s="3" t="str">
        <f ca="1">IFERROR(__xludf.DUMMYFUNCTION("GOOGLETRANSLATE(E88,""en"",""ar"")"),"الفارس الذي يرتدي الزي الأحمر (يسار) والفارس الذي يرتدي الزي الأخضر/الأصفر (يمين) كلاهما يرتديان خوذات خضراء.")</f>
        <v>الفارس الذي يرتدي الزي الأحمر (يسار) والفارس الذي يرتدي الزي الأخضر/الأصفر (يمين) كلاهما يرتديان خوذات خضراء.</v>
      </c>
    </row>
    <row r="89" spans="1:13" ht="22.5" customHeight="1" x14ac:dyDescent="0.25">
      <c r="A89" s="2"/>
      <c r="B89" s="2"/>
      <c r="C89" s="2"/>
      <c r="D89" s="2"/>
      <c r="E89" s="2"/>
      <c r="I89" s="3" t="s">
        <v>13</v>
      </c>
      <c r="J89" s="3" t="str">
        <f ca="1">IFERROR(__xludf.DUMMYFUNCTION("GOOGLETRANSLATE(B89,""en"",""ar"")"),"غالباً ما يرتبط هذا النوع من سباقات الخيل، على مضمار عشبي خصب مع تلال متدحرجة في الخلفية، بأي منطقة؟")</f>
        <v>غالباً ما يرتبط هذا النوع من سباقات الخيل، على مضمار عشبي خصب مع تلال متدحرجة في الخلفية، بأي منطقة؟</v>
      </c>
      <c r="K89" s="3" t="str">
        <f ca="1">IFERROR(__xludf.DUMMYFUNCTION("GOOGLETRANSLATE(C89,""en"",""ar"")"),"أ) الغرب الأمريكي، ب) أوروبا، ج) أستراليا، د) الشرق الأوسط")</f>
        <v>أ) الغرب الأمريكي، ب) أوروبا، ج) أستراليا، د) الشرق الأوسط</v>
      </c>
      <c r="L89" s="3" t="str">
        <f ca="1">IFERROR(__xludf.DUMMYFUNCTION("GOOGLETRANSLATE(D89,""en"",""ar"")"),"ب) أوروبا")</f>
        <v>ب) أوروبا</v>
      </c>
      <c r="M89" s="3" t="str">
        <f ca="1">IFERROR(__xludf.DUMMYFUNCTION("GOOGLETRANSLATE(E89,""en"",""ar"")"),"تشتهر مضامير سباق الخيل الأوروبية الكلاسيكية، وخاصة في إنجلترا وأيرلندا وفرنسا، بمضاميرها العشبية ذات المناظر الخلابة.")</f>
        <v>تشتهر مضامير سباق الخيل الأوروبية الكلاسيكية، وخاصة في إنجلترا وأيرلندا وفرنسا، بمضاميرها العشبية ذات المناظر الخلابة.</v>
      </c>
    </row>
    <row r="90" spans="1:13" ht="22.5" customHeight="1" x14ac:dyDescent="0.25">
      <c r="A90" s="2"/>
      <c r="B90" s="2"/>
      <c r="C90" s="2"/>
      <c r="D90" s="2"/>
      <c r="E90" s="2"/>
      <c r="I90" s="3" t="s">
        <v>13</v>
      </c>
      <c r="J90" s="3" t="str">
        <f ca="1">IFERROR(__xludf.DUMMYFUNCTION("GOOGLETRANSLATE(B90,""en"",""ar"")"),"ما الحركة التي يقوم بها الحصان الموجود في أقصى اليسار (بالألوان الحريرية الحمراء) برأسه؟")</f>
        <v>ما الحركة التي يقوم بها الحصان الموجود في أقصى اليسار (بالألوان الحريرية الحمراء) برأسه؟</v>
      </c>
      <c r="K90" s="3" t="str">
        <f ca="1">IFERROR(__xludf.DUMMYFUNCTION("GOOGLETRANSLATE(C90,""en"",""ar"")"),"أ) يحاول عض حصان آخر، ب) يمد رقبته للأمام، ج) ينظر إلى الفارس، د) يهز رأسه")</f>
        <v>أ) يحاول عض حصان آخر، ب) يمد رقبته للأمام، ج) ينظر إلى الفارس، د) يهز رأسه</v>
      </c>
      <c r="L90" s="3" t="str">
        <f ca="1">IFERROR(__xludf.DUMMYFUNCTION("GOOGLETRANSLATE(D90,""en"",""ar"")"),"ب) إنه يجهد للأمام مع تمديد رقبته")</f>
        <v>ب) إنه يجهد للأمام مع تمديد رقبته</v>
      </c>
      <c r="M90" s="3" t="str">
        <f ca="1">IFERROR(__xludf.DUMMYFUNCTION("GOOGLETRANSLATE(E90,""en"",""ar"")"),"يمد الحصان رقبته بالكامل أثناء العدو، وهو جزء طبيعي من حركته أثناء الجري.")</f>
        <v>يمد الحصان رقبته بالكامل أثناء العدو، وهو جزء طبيعي من حركته أثناء الجري.</v>
      </c>
    </row>
    <row r="91" spans="1:13" ht="22.5" customHeight="1" x14ac:dyDescent="0.25">
      <c r="A91" s="2"/>
      <c r="B91" s="2"/>
      <c r="C91" s="2"/>
      <c r="D91" s="2"/>
      <c r="E91" s="2"/>
      <c r="I91" s="3" t="s">
        <v>13</v>
      </c>
      <c r="J91" s="3" t="str">
        <f ca="1">IFERROR(__xludf.DUMMYFUNCTION("GOOGLETRANSLATE(B91,""en"",""ar"")"),"ماذا يفعل الفارس الذي يرتدي الزي الأحمر والأخضر (في أقصى اليسار) وهو ينظر إلى يمينه؟")</f>
        <v>ماذا يفعل الفارس الذي يرتدي الزي الأحمر والأخضر (في أقصى اليسار) وهو ينظر إلى يمينه؟</v>
      </c>
      <c r="K91" s="3" t="str">
        <f ca="1">IFERROR(__xludf.DUMMYFUNCTION("GOOGLETRANSLATE(C91,""en"",""ar"")"),"أ) الاستمتاع بالمناظر الطبيعية، ب) التحدث إلى الجمهور، ج) التحقق من مواقع منافسيه، د) البحث عن خط النهاية")</f>
        <v>أ) الاستمتاع بالمناظر الطبيعية، ب) التحدث إلى الجمهور، ج) التحقق من مواقع منافسيه، د) البحث عن خط النهاية</v>
      </c>
      <c r="L91" s="3" t="str">
        <f ca="1">IFERROR(__xludf.DUMMYFUNCTION("GOOGLETRANSLATE(D91,""en"",""ar"")"),"ج) التحقق من موقع منافسيه")</f>
        <v>ج) التحقق من موقع منافسيه</v>
      </c>
      <c r="M91" s="3" t="str">
        <f ca="1">IFERROR(__xludf.DUMMYFUNCTION("GOOGLETRANSLATE(E91,""en"",""ar"")"),"يراقب الفرسان باستمرار الخيول الأخرى في المضمار لتخطيط استراتيجيتهم أثناء السباق.")</f>
        <v>يراقب الفرسان باستمرار الخيول الأخرى في المضمار لتخطيط استراتيجيتهم أثناء السباق.</v>
      </c>
    </row>
    <row r="92" spans="1:13" ht="22.5" customHeight="1" x14ac:dyDescent="0.25">
      <c r="A92" s="2"/>
      <c r="B92" s="2"/>
      <c r="C92" s="2"/>
      <c r="D92" s="2"/>
      <c r="E92" s="2"/>
      <c r="I92" s="3" t="s">
        <v>14</v>
      </c>
      <c r="J92" s="3" t="str">
        <f ca="1">IFERROR(__xludf.DUMMYFUNCTION("GOOGLETRANSLATE(B92,""en"",""ar"")"),"ماذا يوحي تقارب الحصانين المتصدرين بشأن نتيجة السباق؟")</f>
        <v>ماذا يوحي تقارب الحصانين المتصدرين بشأن نتيجة السباق؟</v>
      </c>
      <c r="K92" s="3" t="str">
        <f ca="1">IFERROR(__xludf.DUMMYFUNCTION("GOOGLETRANSLATE(C92,""en"",""ar"")"),"أ) فاز أحد الحصانين بسهولة، ب) ستكون النهاية متقاربة للغاية، ج) تم إلغاء السباق، د) تم استبعاد كلا الحصانين")</f>
        <v>أ) فاز أحد الحصانين بسهولة، ب) ستكون النهاية متقاربة للغاية، ج) تم إلغاء السباق، د) تم استبعاد كلا الحصانين</v>
      </c>
      <c r="L92" s="3" t="str">
        <f ca="1">IFERROR(__xludf.DUMMYFUNCTION("GOOGLETRANSLATE(D92,""en"",""ar"")"),"ب) ستكون النتيجة ""متقاربة للغاية""")</f>
        <v>ب) ستكون النتيجة "متقاربة للغاية"</v>
      </c>
      <c r="M92" s="3" t="str">
        <f ca="1">IFERROR(__xludf.DUMMYFUNCTION("GOOGLETRANSLATE(E92,""en"",""ar"")"),"عندما تكون الخيول متقاربة جدًا في النهاية، يتم استخدام صورة فوتوغرافية تم التقاطها عند خط النهاية لتحديد الفائز الرسمي.")</f>
        <v>عندما تكون الخيول متقاربة جدًا في النهاية، يتم استخدام صورة فوتوغرافية تم التقاطها عند خط النهاية لتحديد الفائز الرسمي.</v>
      </c>
    </row>
    <row r="93" spans="1:13" ht="22.5" customHeight="1" x14ac:dyDescent="0.25">
      <c r="A93" s="2"/>
      <c r="B93" s="2"/>
      <c r="C93" s="2"/>
      <c r="D93" s="2"/>
      <c r="E93" s="2"/>
      <c r="I93" s="3" t="s">
        <v>14</v>
      </c>
      <c r="J93" s="3" t="str">
        <f ca="1">IFERROR(__xludf.DUMMYFUNCTION("GOOGLETRANSLATE(B93,""en"",""ar"")"),"ما اسم اللفائف البيج الموجودة على الجزء السفلي من الساق الأمامية للحصان القائد؟")</f>
        <v>ما اسم اللفائف البيج الموجودة على الجزء السفلي من الساق الأمامية للحصان القائد؟</v>
      </c>
      <c r="K93" s="3" t="str">
        <f ca="1">IFERROR(__xludf.DUMMYFUNCTION("GOOGLETRANSLATE(C93,""en"",""ar"")"),"أ) جوارب، ب) مدفئات الساق، ج) ضمادات أو لفائف الساق، د) شرابات زينة")</f>
        <v>أ) جوارب، ب) مدفئات الساق، ج) ضمادات أو لفائف الساق، د) شرابات زينة</v>
      </c>
      <c r="L93" s="3" t="str">
        <f ca="1">IFERROR(__xludf.DUMMYFUNCTION("GOOGLETRANSLATE(D93,""en"",""ar"")"),"ج) ضمادات أو لفائف الساق")</f>
        <v>ج) ضمادات أو لفائف الساق</v>
      </c>
      <c r="M93" s="3" t="str">
        <f ca="1">IFERROR(__xludf.DUMMYFUNCTION("GOOGLETRANSLATE(E93,""en"",""ar"")"),"هذه ضمادات واقية تستخدم لدعم الأوتار والأربطة الحساسة في أسفل ساقي الحصان.")</f>
        <v>هذه ضمادات واقية تستخدم لدعم الأوتار والأربطة الحساسة في أسفل ساقي الحصان.</v>
      </c>
    </row>
    <row r="94" spans="1:13" ht="22.5" customHeight="1" x14ac:dyDescent="0.25">
      <c r="A94" s="2"/>
      <c r="B94" s="2"/>
      <c r="C94" s="2"/>
      <c r="D94" s="2"/>
      <c r="E94" s="2"/>
      <c r="I94" s="3" t="s">
        <v>14</v>
      </c>
      <c r="J94" s="3" t="str">
        <f ca="1">IFERROR(__xludf.DUMMYFUNCTION("GOOGLETRANSLATE(B94,""en"",""ar"")"),"ما هو شعار السباق الشهير الذي يحمل غطاء السرج الوردي على الحصان الرئيسي؟")</f>
        <v>ما هو شعار السباق الشهير الذي يحمل غطاء السرج الوردي على الحصان الرئيسي؟</v>
      </c>
      <c r="K94" s="3" t="str">
        <f ca="1">IFERROR(__xludf.DUMMYFUNCTION("GOOGLETRANSLATE(C94,""en"",""ar"")"),"أ) سباق بريكنيس ستيكس، ب) سباق بيلمونت ستيكس، ج) سباق كنتاكي أوكس/ديربي، د) سباق سانتا أنيتا هانديكاب")</f>
        <v>أ) سباق بريكنيس ستيكس، ب) سباق بيلمونت ستيكس، ج) سباق كنتاكي أوكس/ديربي، د) سباق سانتا أنيتا هانديكاب</v>
      </c>
      <c r="L94" s="3" t="str">
        <f ca="1">IFERROR(__xludf.DUMMYFUNCTION("GOOGLETRANSLATE(D94,""en"",""ar"")"),"ج) سباق كنتاكي أوكس / ديربي")</f>
        <v>ج) سباق كنتاكي أوكس / ديربي</v>
      </c>
      <c r="M94" s="3" t="str">
        <f ca="1">IFERROR(__xludf.DUMMYFUNCTION("GOOGLETRANSLATE(E94,""en"",""ar"")"),"الشعار الذي يضم البرجين التوأمين وزهرة الزنبق/الوردة خاص بـ Churchill Downs، موطن سباق كنتاكي ديربي وسباق كنتاكي أوكس.")</f>
        <v>الشعار الذي يضم البرجين التوأمين وزهرة الزنبق/الوردة خاص بـ Churchill Downs، موطن سباق كنتاكي ديربي وسباق كنتاكي أوكس.</v>
      </c>
    </row>
    <row r="95" spans="1:13" ht="22.5" customHeight="1" x14ac:dyDescent="0.25">
      <c r="A95" s="2"/>
      <c r="B95" s="2"/>
      <c r="C95" s="2"/>
      <c r="D95" s="2"/>
      <c r="E95" s="2"/>
      <c r="I95" s="3" t="s">
        <v>14</v>
      </c>
      <c r="J95" s="3" t="str">
        <f ca="1">IFERROR(__xludf.DUMMYFUNCTION("GOOGLETRANSLATE(B95,""en"",""ar"")"),"ماذا يفعل الفارس الذي يرتدي الزي الأزرق؟")</f>
        <v>ماذا يفعل الفارس الذي يرتدي الزي الأزرق؟</v>
      </c>
      <c r="K95" s="3" t="str">
        <f ca="1">IFERROR(__xludf.DUMMYFUNCTION("GOOGLETRANSLATE(C95,""en"",""ar"")"),"أ) ينظر إلى الحشد، ب) يحث حصانه على التقدم، ج) يلوح لفارس آخر، د) يبطئ من سرعة حصانه")</f>
        <v>أ) ينظر إلى الحشد، ب) يحث حصانه على التقدم، ج) يلوح لفارس آخر، د) يبطئ من سرعة حصانه</v>
      </c>
      <c r="L95" s="3" t="str">
        <f ca="1">IFERROR(__xludf.DUMMYFUNCTION("GOOGLETRANSLATE(D95,""en"",""ar"")"),"ب) يحث حصانه على المضي قدماً")</f>
        <v>ب) يحث حصانه على المضي قدماً</v>
      </c>
      <c r="M95" s="3" t="str">
        <f ca="1">IFERROR(__xludf.DUMMYFUNCTION("GOOGLETRANSLATE(E95,""en"",""ar"")"),"ينصب تركيزه بالكامل على وضعية جسده وجهده على الحصول على أقصى جهد من حصانه في اللحظات الأخيرة من السباق.")</f>
        <v>ينصب تركيزه بالكامل على وضعية جسده وجهده على الحصول على أقصى جهد من حصانه في اللحظات الأخيرة من السباق.</v>
      </c>
    </row>
    <row r="96" spans="1:13" ht="22.5" customHeight="1" x14ac:dyDescent="0.25">
      <c r="A96" s="2"/>
      <c r="B96" s="2"/>
      <c r="C96" s="2"/>
      <c r="D96" s="2"/>
      <c r="E96" s="2"/>
      <c r="I96" s="3" t="s">
        <v>14</v>
      </c>
      <c r="J96" s="3" t="str">
        <f ca="1">IFERROR(__xludf.DUMMYFUNCTION("GOOGLETRANSLATE(B96,""en"",""ar"")"),"ما لون الحصان الموجود على اليمين؟")</f>
        <v>ما لون الحصان الموجود على اليمين؟</v>
      </c>
      <c r="K96" s="3" t="str">
        <f ca="1">IFERROR(__xludf.DUMMYFUNCTION("GOOGLETRANSLATE(C96,""en"",""ar"")"),"أ) أسود، ب) رمادي، ج) كستنائي، د) بالومينو")</f>
        <v>أ) أسود، ب) رمادي، ج) كستنائي، د) بالومينو</v>
      </c>
      <c r="L96" s="3" t="str">
        <f ca="1">IFERROR(__xludf.DUMMYFUNCTION("GOOGLETRANSLATE(D96,""en"",""ar"")"),"ب) رمادي")</f>
        <v>ب) رمادي</v>
      </c>
      <c r="M96" s="3" t="str">
        <f ca="1">IFERROR(__xludf.DUMMYFUNCTION("GOOGLETRANSLATE(E96,""en"",""ar"")"),"هذا الحصان له معطف رمادي، وهو مزيج من الشعر الأبيض والأسود.")</f>
        <v>هذا الحصان له معطف رمادي، وهو مزيج من الشعر الأبيض والأسود.</v>
      </c>
    </row>
    <row r="97" spans="1:13" ht="22.5" customHeight="1" x14ac:dyDescent="0.25">
      <c r="A97" s="2"/>
      <c r="B97" s="2"/>
      <c r="C97" s="2"/>
      <c r="D97" s="2"/>
      <c r="E97" s="2"/>
      <c r="I97" s="3" t="s">
        <v>14</v>
      </c>
      <c r="J97" s="3" t="str">
        <f ca="1">IFERROR(__xludf.DUMMYFUNCTION("GOOGLETRANSLATE(B97,""en"",""ar"")"),"ماذا يرمز إليه الرقم ""6"" الموجود على غطاء سرج الفارس ذي الزي البرتقالي؟")</f>
        <v>ماذا يرمز إليه الرقم "6" الموجود على غطاء سرج الفارس ذي الزي البرتقالي؟</v>
      </c>
      <c r="K97" s="3" t="str">
        <f ca="1">IFERROR(__xludf.DUMMYFUNCTION("GOOGLETRANSLATE(C97,""en"",""ar"")"),"أ) عمر الحصان، ب) رتبة الفارس، ج) رقم الحصان في البرنامج، د) عدد مرات الفوز السابقة")</f>
        <v>أ) عمر الحصان، ب) رتبة الفارس، ج) رقم الحصان في البرنامج، د) عدد مرات الفوز السابقة</v>
      </c>
      <c r="L97" s="3" t="str">
        <f ca="1">IFERROR(__xludf.DUMMYFUNCTION("GOOGLETRANSLATE(D97,""en"",""ar"")"),"ج) رقم برنامج الحصان")</f>
        <v>ج) رقم برنامج الحصان</v>
      </c>
      <c r="M97" s="3" t="str">
        <f ca="1">IFERROR(__xludf.DUMMYFUNCTION("GOOGLETRANSLATE(E97,""en"",""ar"")"),"الرقم الموجود على غطاء السرج هو رمز تعريف الحصان في ذلك السباق المحدد.")</f>
        <v>الرقم الموجود على غطاء السرج هو رمز تعريف الحصان في ذلك السباق المحدد.</v>
      </c>
    </row>
    <row r="98" spans="1:13" ht="22.5" customHeight="1" x14ac:dyDescent="0.25">
      <c r="A98" s="2"/>
      <c r="B98" s="2"/>
      <c r="C98" s="2"/>
      <c r="D98" s="2"/>
      <c r="E98" s="2"/>
      <c r="I98" s="3" t="s">
        <v>14</v>
      </c>
      <c r="J98" s="3" t="str">
        <f ca="1">IFERROR(__xludf.DUMMYFUNCTION("GOOGLETRANSLATE(B98,""en"",""ar"")"),"ما اسم الجهاز الذي يوضع في فم الحصان لمساعدة الفارس على توجيهه؟")</f>
        <v>ما اسم الجهاز الذي يوضع في فم الحصان لمساعدة الفارس على توجيهه؟</v>
      </c>
      <c r="K98" s="3" t="str">
        <f ca="1">IFERROR(__xludf.DUMMYFUNCTION("GOOGLETRANSLATE(C98,""en"",""ar"")"),"أ) اللجام، ب) حزام الأنف، ج) اللجام، د) حزام الجبهة")</f>
        <v>أ) اللجام، ب) حزام الأنف، ج) اللجام، د) حزام الجبهة</v>
      </c>
      <c r="L98" s="3" t="str">
        <f ca="1">IFERROR(__xludf.DUMMYFUNCTION("GOOGLETRANSLATE(D98,""en"",""ar"")"),"أ) الجزء")</f>
        <v>أ) الجزء</v>
      </c>
      <c r="M98" s="3" t="str">
        <f ca="1">IFERROR(__xludf.DUMMYFUNCTION("GOOGLETRANSLATE(E98,""en"",""ar"")"),"اللجام هو القطعة المعدنية الموجودة في فم الحصان، والمتصلة باللجام، والتي يستخدمها الفارس للتحكم.")</f>
        <v>اللجام هو القطعة المعدنية الموجودة في فم الحصان، والمتصلة باللجام، والتي يستخدمها الفارس للتحكم.</v>
      </c>
    </row>
    <row r="99" spans="1:13" ht="22.5" customHeight="1" x14ac:dyDescent="0.25">
      <c r="A99" s="2"/>
      <c r="B99" s="2"/>
      <c r="C99" s="2"/>
      <c r="D99" s="2"/>
      <c r="E99" s="2"/>
      <c r="I99" s="3" t="s">
        <v>14</v>
      </c>
      <c r="J99" s="3" t="str">
        <f ca="1">IFERROR(__xludf.DUMMYFUNCTION("GOOGLETRANSLATE(B99,""en"",""ar"")"),"الحصان الرئيسي (على اليسار) أذناه متجهتان للأمام، وهذا دليل على...")</f>
        <v>الحصان الرئيسي (على اليسار) أذناه متجهتان للأمام، وهذا دليل على...</v>
      </c>
      <c r="K99" s="3" t="str">
        <f ca="1">IFERROR(__xludf.DUMMYFUNCTION("GOOGLETRANSLATE(C99,""en"",""ar"")"),"أ) الخوف، ب) الغضب، ج) التركيز والانتباه، د) التعب")</f>
        <v>أ) الخوف، ب) الغضب، ج) التركيز والانتباه، د) التعب</v>
      </c>
      <c r="L99" s="3" t="str">
        <f ca="1">IFERROR(__xludf.DUMMYFUNCTION("GOOGLETRANSLATE(D99,""en"",""ar"")"),"ج) التركيز والانتباه")</f>
        <v>ج) التركيز والانتباه</v>
      </c>
      <c r="M99" s="3" t="str">
        <f ca="1">IFERROR(__xludf.DUMMYFUNCTION("GOOGLETRANSLATE(E99,""en"",""ar"")"),"تشير آذان الحصان المتجهة للأمام إلى أنه منتبه لما هو أمامه، وفي هذه الحالة، خط النهاية.")</f>
        <v>تشير آذان الحصان المتجهة للأمام إلى أنه منتبه لما هو أمامه، وفي هذه الحالة، خط النهاية.</v>
      </c>
    </row>
    <row r="100" spans="1:13" ht="22.5" customHeight="1" x14ac:dyDescent="0.25">
      <c r="A100" s="2"/>
      <c r="B100" s="2"/>
      <c r="C100" s="2"/>
      <c r="D100" s="2"/>
      <c r="E100" s="2"/>
      <c r="I100" s="3" t="s">
        <v>14</v>
      </c>
      <c r="J100" s="3" t="str">
        <f ca="1">IFERROR(__xludf.DUMMYFUNCTION("GOOGLETRANSLATE(B100,""en"",""ar"")"),"ما هو الغرض الأساسي من خوذة الفارس؟")</f>
        <v>ما هو الغرض الأساسي من خوذة الفارس؟</v>
      </c>
      <c r="K100" s="3" t="str">
        <f ca="1">IFERROR(__xludf.DUMMYFUNCTION("GOOGLETRANSLATE(C100,""en"",""ar"")"),"أ) لتحسين الديناميكا الهوائية، ب) لعرض شعارات الرعاة، ج) للحماية من إصابات الرأس، د) لحجب أشعة الشمس عن أعينهم")</f>
        <v>أ) لتحسين الديناميكا الهوائية، ب) لعرض شعارات الرعاة، ج) للحماية من إصابات الرأس، د) لحجب أشعة الشمس عن أعينهم</v>
      </c>
      <c r="L100" s="3" t="str">
        <f ca="1">IFERROR(__xludf.DUMMYFUNCTION("GOOGLETRANSLATE(D100,""en"",""ar"")"),"ج) للحماية من إصابات الرأس")</f>
        <v>ج) للحماية من إصابات الرأس</v>
      </c>
      <c r="M100" s="3" t="str">
        <f ca="1">IFERROR(__xludf.DUMMYFUNCTION("GOOGLETRANSLATE(E100,""en"",""ar"")"),"تُعدّ خوذات الأمان من المعدات الإلزامية والضرورية للوقاية من الإصابات الخطيرة الناتجة عن السقوط. 🧠")</f>
        <v>تُعدّ خوذات الأمان من المعدات الإلزامية والضرورية للوقاية من الإصابات الخطيرة الناتجة عن السقوط. 🧠</v>
      </c>
    </row>
    <row r="101" spans="1:13" ht="22.5" customHeight="1" x14ac:dyDescent="0.25">
      <c r="A101" s="2"/>
      <c r="B101" s="2"/>
      <c r="C101" s="2"/>
      <c r="D101" s="2"/>
      <c r="E101" s="2"/>
      <c r="I101" s="3" t="s">
        <v>14</v>
      </c>
      <c r="J101" s="3" t="str">
        <f ca="1">IFERROR(__xludf.DUMMYFUNCTION("GOOGLETRANSLATE(B101,""en"",""ar"")"),"لماذا يقف الفارس الموجود على اليسار بجسمه منخفضاً ومتقدماً إلى الأمام؟")</f>
        <v>لماذا يقف الفارس الموجود على اليسار بجسمه منخفضاً ومتقدماً إلى الأمام؟</v>
      </c>
      <c r="K101" s="3" t="str">
        <f ca="1">IFERROR(__xludf.DUMMYFUNCTION("GOOGLETRANSLATE(C101,""en"",""ar"")"),"أ) لتحسين الديناميكية الهوائية وتقليل مقاومة الرياح، ب) لتحسين الرؤية على الأرض، ج) لزيادة الراحة، د) لتسهيل ضرب الحصان بالسوط")</f>
        <v>أ) لتحسين الديناميكية الهوائية وتقليل مقاومة الرياح، ب) لتحسين الرؤية على الأرض، ج) لزيادة الراحة، د) لتسهيل ضرب الحصان بالسوط</v>
      </c>
      <c r="L101" s="3" t="str">
        <f ca="1">IFERROR(__xludf.DUMMYFUNCTION("GOOGLETRANSLATE(D101,""en"",""ar"")"),"أ) لتحسين الديناميكية الهوائية وتقليل مقاومة الرياح")</f>
        <v>أ) لتحسين الديناميكية الهوائية وتقليل مقاومة الرياح</v>
      </c>
      <c r="M101" s="3" t="str">
        <f ca="1">IFERROR(__xludf.DUMMYFUNCTION("GOOGLETRANSLATE(E101,""en"",""ar"")"),"تساعد هذه الوضعية المنحنية، والمعروفة باسم ""انحناء القرد""، الحصان والفارس على اختراق الرياح بكفاءة أكبر.")</f>
        <v>تساعد هذه الوضعية المنحنية، والمعروفة باسم "انحناء القرد"، الحصان والفارس على اختراق الرياح بكفاءة أكبر.</v>
      </c>
    </row>
    <row r="102" spans="1:13" ht="22.5" customHeight="1" x14ac:dyDescent="0.25">
      <c r="A102" s="4"/>
      <c r="B102" s="4"/>
      <c r="C102" s="4"/>
      <c r="D102" s="4"/>
      <c r="E102" s="4"/>
      <c r="I102" s="4" t="s">
        <v>15</v>
      </c>
      <c r="J102" s="3" t="str">
        <f ca="1">IFERROR(__xludf.DUMMYFUNCTION("GOOGLETRANSLATE(B102,""en"",""ar"")"),"ما هي رياضة الفروسية المصورة في هذه الصورة، والتي تختلف عن سباق الخيل؟")</f>
        <v>ما هي رياضة الفروسية المصورة في هذه الصورة، والتي تختلف عن سباق الخيل؟</v>
      </c>
      <c r="K102" s="3" t="str">
        <f ca="1">IFERROR(__xludf.DUMMYFUNCTION("GOOGLETRANSLATE(C102,""en"",""ar"")"),"أ) الترويض، ب) قفز الحواجز، ج) فعالية روديو مثل رمي الحبل، د) ركوب التحمل")</f>
        <v>أ) الترويض، ب) قفز الحواجز، ج) فعالية روديو مثل رمي الحبل، د) ركوب التحمل</v>
      </c>
      <c r="L102" s="3" t="str">
        <f ca="1">IFERROR(__xludf.DUMMYFUNCTION("GOOGLETRANSLATE(D102,""en"",""ar"")"),"ج) حدث روديو مثل ركوب الحبل")</f>
        <v>ج) حدث روديو مثل ركوب الحبل</v>
      </c>
      <c r="M102" s="3" t="str">
        <f ca="1">IFERROR(__xludf.DUMMYFUNCTION("GOOGLETRANSLATE(E102,""en"",""ar"")"),"تعتبر ملابس الفارس (قبعة رعاة البقر)، والسرج الغربي، والحبل (الرباط) من السمات المميزة لرياضات الروديو مثل سباق الانفصال أو سباق الترويض الجماعي.")</f>
        <v>تعتبر ملابس الفارس (قبعة رعاة البقر)، والسرج الغربي، والحبل (الرباط) من السمات المميزة لرياضات الروديو مثل سباق الانفصال أو سباق الترويض الجماعي.</v>
      </c>
    </row>
    <row r="103" spans="1:13" ht="22.5" customHeight="1" x14ac:dyDescent="0.25">
      <c r="A103" s="4"/>
      <c r="B103" s="4"/>
      <c r="C103" s="4"/>
      <c r="D103" s="4"/>
      <c r="E103" s="4"/>
      <c r="I103" s="4" t="s">
        <v>15</v>
      </c>
      <c r="J103" s="3" t="str">
        <f ca="1">IFERROR(__xludf.DUMMYFUNCTION("GOOGLETRANSLATE(B103,""en"",""ar"")"),"ما هو الاسم الرسمي للحبل الذي يتأرجح به الفارس؟")</f>
        <v>ما هو الاسم الرسمي للحبل الذي يتأرجح به الفارس؟</v>
      </c>
      <c r="K103" s="3" t="str">
        <f ca="1">IFERROR(__xludf.DUMMYFUNCTION("GOOGLETRANSLATE(C103,""en"",""ar"")"),"أ) خيط، ب) حبل أو لاريات، ج) حبل، د) خيط")</f>
        <v>أ) خيط، ب) حبل أو لاريات، ج) حبل، د) خيط</v>
      </c>
      <c r="L103" s="3" t="str">
        <f ca="1">IFERROR(__xludf.DUMMYFUNCTION("GOOGLETRANSLATE(D103,""en"",""ar"")"),"ب) حبل أو لاريات")</f>
        <v>ب) حبل أو لاريات</v>
      </c>
      <c r="M103" s="3" t="str">
        <f ca="1">IFERROR(__xludf.DUMMYFUNCTION("GOOGLETRANSLATE(E103,""en"",""ar"")"),"في رياضة ركوب الخيل الغربية ورياضة الروديو، يُطلق على هذا النوع المحدد من الحبال المستخدم في صيد الماشية اسم ""لاريات"" أو ""لاسو"".")</f>
        <v>في رياضة ركوب الخيل الغربية ورياضة الروديو، يُطلق على هذا النوع المحدد من الحبال المستخدم في صيد الماشية اسم "لاريات" أو "لاسو".</v>
      </c>
    </row>
    <row r="104" spans="1:13" ht="22.5" customHeight="1" x14ac:dyDescent="0.25">
      <c r="A104" s="4"/>
      <c r="B104" s="4"/>
      <c r="C104" s="4"/>
      <c r="D104" s="4"/>
      <c r="E104" s="4"/>
      <c r="I104" s="4" t="s">
        <v>15</v>
      </c>
      <c r="J104" s="3" t="str">
        <f ca="1">IFERROR(__xludf.DUMMYFUNCTION("GOOGLETRANSLATE(B104,""en"",""ar"")"),"ما هو الهدف الأساسي في مسابقة رمي الحبل المحددة بوقت؟")</f>
        <v>ما هو الهدف الأساسي في مسابقة رمي الحبل المحددة بوقت؟</v>
      </c>
      <c r="K104" s="3" t="str">
        <f ca="1">IFERROR(__xludf.DUMMYFUNCTION("GOOGLETRANSLATE(C104,""en"",""ar"")"),"أ) القفز فوق السياج، ب) إكمال سلسلة من المنعطفات، ج) الإمساك بعجل أو ثور بأسرع ما يمكن، د) التسابق مع خيول أخرى حتى خط النهاية")</f>
        <v>أ) القفز فوق السياج، ب) إكمال سلسلة من المنعطفات، ج) الإمساك بعجل أو ثور بأسرع ما يمكن، د) التسابق مع خيول أخرى حتى خط النهاية</v>
      </c>
      <c r="L104" s="3" t="str">
        <f ca="1">IFERROR(__xludf.DUMMYFUNCTION("GOOGLETRANSLATE(D104,""en"",""ar"")"),"ج) ربط العجل أو الثور بالحبل بأسرع ما يمكن")</f>
        <v>ج) ربط العجل أو الثور بالحبل بأسرع ما يمكن</v>
      </c>
      <c r="M104" s="3" t="str">
        <f ca="1">IFERROR(__xludf.DUMMYFUNCTION("GOOGLETRANSLATE(E104,""en"",""ar"")"),"يتم تقييم مسابقات ربط الحبال بناءً على السرعة والدقة التي يستطيع بها الفارس ربط الحبل حول الحيوان.")</f>
        <v>يتم تقييم مسابقات ربط الحبال بناءً على السرعة والدقة التي يستطيع بها الفارس ربط الحبل حول الحيوان.</v>
      </c>
    </row>
    <row r="105" spans="1:13" ht="22.5" customHeight="1" x14ac:dyDescent="0.25">
      <c r="A105" s="4"/>
      <c r="B105" s="4"/>
      <c r="C105" s="4"/>
      <c r="D105" s="4"/>
      <c r="E105" s="4"/>
      <c r="I105" s="4" t="s">
        <v>15</v>
      </c>
      <c r="J105" s="3" t="str">
        <f ca="1">IFERROR(__xludf.DUMMYFUNCTION("GOOGLETRANSLATE(B105,""en"",""ar"")"),"ما نوع السرج الذي يستخدمه الفارس؟")</f>
        <v>ما نوع السرج الذي يستخدمه الفارس؟</v>
      </c>
      <c r="K105" s="3" t="str">
        <f ca="1">IFERROR(__xludf.DUMMYFUNCTION("GOOGLETRANSLATE(C105,""en"",""ar"")"),"أ) سرج إنجليزي، ب) سرج سباق، ج) سرج غربي، د) سرج أسترالي")</f>
        <v>أ) سرج إنجليزي، ب) سرج سباق، ج) سرج غربي، د) سرج أسترالي</v>
      </c>
      <c r="L105" s="3" t="str">
        <f ca="1">IFERROR(__xludf.DUMMYFUNCTION("GOOGLETRANSLATE(D105,""en"",""ar"")"),"ج) سرج غربي")</f>
        <v>ج) سرج غربي</v>
      </c>
      <c r="M105" s="3" t="str">
        <f ca="1">IFERROR(__xludf.DUMMYFUNCTION("GOOGLETRANSLATE(E105,""en"",""ar"")"),"هذا سرج غربي، يتميز بمقعده العميق، وظهره المرتفع، وقرنه البارز، وهو مصمم لأعمال المزارع ورياضة الروديو.")</f>
        <v>هذا سرج غربي، يتميز بمقعده العميق، وظهره المرتفع، وقرنه البارز، وهو مصمم لأعمال المزارع ورياضة الروديو.</v>
      </c>
    </row>
    <row r="106" spans="1:13" ht="22.5" customHeight="1" x14ac:dyDescent="0.25">
      <c r="A106" s="4"/>
      <c r="B106" s="4"/>
      <c r="C106" s="4"/>
      <c r="D106" s="4"/>
      <c r="E106" s="4"/>
      <c r="I106" s="4" t="s">
        <v>15</v>
      </c>
      <c r="J106" s="3" t="str">
        <f ca="1">IFERROR(__xludf.DUMMYFUNCTION("GOOGLETRANSLATE(B106,""en"",""ar"")"),"من المرجح أن يكون الحصان الموجود في هذه الصورة من أي سلالة، والمعروفة بخفة حركتها وسرعتها في فعاليات الروديو؟")</f>
        <v>من المرجح أن يكون الحصان الموجود في هذه الصورة من أي سلالة، والمعروفة بخفة حركتها وسرعتها في فعاليات الروديو؟</v>
      </c>
      <c r="K106" s="3" t="str">
        <f ca="1">IFERROR(__xludf.DUMMYFUNCTION("GOOGLETRANSLATE(C106,""en"",""ar"")"),"أ) حصان عربي، ب) حصان أصيل، ج) حصان أمريكي ربعي، د) حصان كلايدزديل")</f>
        <v>أ) حصان عربي، ب) حصان أصيل، ج) حصان أمريكي ربعي، د) حصان كلايدزديل</v>
      </c>
      <c r="L106" s="3" t="str">
        <f ca="1">IFERROR(__xludf.DUMMYFUNCTION("GOOGLETRANSLATE(D106,""en"",""ar"")"),"ج) حصان الكوارتر الأمريكي")</f>
        <v>ج) حصان الكوارتر الأمريكي</v>
      </c>
      <c r="M106" s="3" t="str">
        <f ca="1">IFERROR(__xludf.DUMMYFUNCTION("GOOGLETRANSLATE(E106,""en"",""ar"")"),"يشتهر حصان الكوارتر الأمريكي ببنيته العضلية وقدرته على العدو لمسافات قصيرة، مما يجعله السلالة الأكثر شعبية في رياضة الروديو.")</f>
        <v>يشتهر حصان الكوارتر الأمريكي ببنيته العضلية وقدرته على العدو لمسافات قصيرة، مما يجعله السلالة الأكثر شعبية في رياضة الروديو.</v>
      </c>
    </row>
    <row r="107" spans="1:13" ht="22.5" customHeight="1" x14ac:dyDescent="0.25">
      <c r="A107" s="4"/>
      <c r="B107" s="4"/>
      <c r="C107" s="4"/>
      <c r="D107" s="4"/>
      <c r="E107" s="4"/>
      <c r="I107" s="4" t="s">
        <v>15</v>
      </c>
      <c r="J107" s="3" t="str">
        <f ca="1">IFERROR(__xludf.DUMMYFUNCTION("GOOGLETRANSLATE(B107,""en"",""ar"")"),"ما الغرض من اللفائف الأرجوانية الموجودة على أسفل ساقي الحصان؟")</f>
        <v>ما الغرض من اللفائف الأرجوانية الموجودة على أسفل ساقي الحصان؟</v>
      </c>
      <c r="K107" s="3" t="str">
        <f ca="1">IFERROR(__xludf.DUMMYFUNCTION("GOOGLETRANSLATE(C107,""en"",""ar"")"),"أ) هي للزينة فقط، ب) لتوفير الدعم والحماية للأرجل، ج) للحفاظ على دفء أرجل الحصان، د) لتحديد مالك الحصان")</f>
        <v>أ) هي للزينة فقط، ب) لتوفير الدعم والحماية للأرجل، ج) للحفاظ على دفء أرجل الحصان، د) لتحديد مالك الحصان</v>
      </c>
      <c r="L107" s="3" t="str">
        <f ca="1">IFERROR(__xludf.DUMMYFUNCTION("GOOGLETRANSLATE(D107,""en"",""ar"")"),"ب) لتوفير الدعم والحماية للساقين")</f>
        <v>ب) لتوفير الدعم والحماية للساقين</v>
      </c>
      <c r="M107" s="3" t="str">
        <f ca="1">IFERROR(__xludf.DUMMYFUNCTION("GOOGLETRANSLATE(E107,""en"",""ar"")"),"هذه أحذية أو أربطة واقية تحمي الأوتار والعظام الحساسة في أسفل ساقي الحصان أثناء المناورات الرياضية الشاقة.")</f>
        <v>هذه أحذية أو أربطة واقية تحمي الأوتار والعظام الحساسة في أسفل ساقي الحصان أثناء المناورات الرياضية الشاقة.</v>
      </c>
    </row>
    <row r="108" spans="1:13" ht="22.5" customHeight="1" x14ac:dyDescent="0.25">
      <c r="A108" s="4"/>
      <c r="B108" s="4"/>
      <c r="C108" s="4"/>
      <c r="D108" s="4"/>
      <c r="E108" s="4"/>
      <c r="I108" s="4" t="s">
        <v>15</v>
      </c>
      <c r="J108" s="3" t="str">
        <f ca="1">IFERROR(__xludf.DUMMYFUNCTION("GOOGLETRANSLATE(B108,""en"",""ar"")"),"تشير وضعية الفارسة، المنحنية للأمام والمركزة، إلى أي مرحلة من مراحل سباقها؟")</f>
        <v>تشير وضعية الفارسة، المنحنية للأمام والمركزة، إلى أي مرحلة من مراحل سباقها؟</v>
      </c>
      <c r="K108" s="3" t="str">
        <f ca="1">IFERROR(__xludf.DUMMYFUNCTION("GOOGLETRANSLATE(C108,""en"",""ar"")"),"أ) الإحماء، ب) ذروة النشاط، على وشك رمي الحبل، ج) التباطؤ بعد انتهاء الحدث، د) التقاط صورة")</f>
        <v>أ) الإحماء، ب) ذروة النشاط، على وشك رمي الحبل، ج) التباطؤ بعد انتهاء الحدث، د) التقاط صورة</v>
      </c>
      <c r="L108" s="3" t="str">
        <f ca="1">IFERROR(__xludf.DUMMYFUNCTION("GOOGLETRANSLATE(D108,""en"",""ar"")"),"ب) ذروة الحركة، على وشك إلقاء الحبل")</f>
        <v>ب) ذروة الحركة، على وشك إلقاء الحبل</v>
      </c>
      <c r="M108" s="3" t="str">
        <f ca="1">IFERROR(__xludf.DUMMYFUNCTION("GOOGLETRANSLATE(E108,""en"",""ar"")"),"ينخرط جسدها بالكامل في الحركة الرياضية المتمثلة في تأرجح الحبل أثناء توجيه الحصان بسرعة عالية.")</f>
        <v>ينخرط جسدها بالكامل في الحركة الرياضية المتمثلة في تأرجح الحبل أثناء توجيه الحصان بسرعة عالية.</v>
      </c>
    </row>
    <row r="109" spans="1:13" ht="22.5" customHeight="1" x14ac:dyDescent="0.25">
      <c r="A109" s="4"/>
      <c r="B109" s="4"/>
      <c r="C109" s="4"/>
      <c r="D109" s="4"/>
      <c r="E109" s="4"/>
      <c r="I109" s="4" t="s">
        <v>15</v>
      </c>
      <c r="J109" s="3" t="str">
        <f ca="1">IFERROR(__xludf.DUMMYFUNCTION("GOOGLETRANSLATE(B109,""en"",""ar"")"),"ما هو سطح هذه الساحة؟")</f>
        <v>ما هو سطح هذه الساحة؟</v>
      </c>
      <c r="K109" s="3" t="str">
        <f ca="1">IFERROR(__xludf.DUMMYFUNCTION("GOOGLETRANSLATE(C109,""en"",""ar"")"),"أ) العشب (الأرضية العشبية)، ب) الطين، ج) الرمل، د) تراب الملعب المُجهز خصيصًا")</f>
        <v>أ) العشب (الأرضية العشبية)، ب) الطين، ج) الرمل، د) تراب الملعب المُجهز خصيصًا</v>
      </c>
      <c r="L109" s="3" t="str">
        <f ca="1">IFERROR(__xludf.DUMMYFUNCTION("GOOGLETRANSLATE(D109,""en"",""ar"")"),"د) تراب حلبة مُجهز خصيصًا")</f>
        <v>د) تراب حلبة مُجهز خصيصًا</v>
      </c>
      <c r="M109" s="3" t="str">
        <f ca="1">IFERROR(__xludf.DUMMYFUNCTION("GOOGLETRANSLATE(E109,""en"",""ar"")"),"تستخدم ساحات الروديو مزيجًا محددًا من التراب والرمل والطين لتوفير أرضية جيدة للخيول أثناء البدايات السريعة والتوقفات والانعطافات.")</f>
        <v>تستخدم ساحات الروديو مزيجًا محددًا من التراب والرمل والطين لتوفير أرضية جيدة للخيول أثناء البدايات السريعة والتوقفات والانعطافات.</v>
      </c>
    </row>
    <row r="110" spans="1:13" ht="22.5" customHeight="1" x14ac:dyDescent="0.25">
      <c r="A110" s="4"/>
      <c r="B110" s="4"/>
      <c r="C110" s="4"/>
      <c r="D110" s="4"/>
      <c r="E110" s="4"/>
      <c r="I110" s="4" t="s">
        <v>15</v>
      </c>
      <c r="J110" s="3" t="str">
        <f ca="1">IFERROR(__xludf.DUMMYFUNCTION("GOOGLETRANSLATE(B110,""en"",""ar"")"),"ما هي قطعة معدات السلامة والتجهيزات التقليدية التي ترتديها الفارسة على رأسها؟")</f>
        <v>ما هي قطعة معدات السلامة والتجهيزات التقليدية التي ترتديها الفارسة على رأسها؟</v>
      </c>
      <c r="K110" s="3" t="str">
        <f ca="1">IFERROR(__xludf.DUMMYFUNCTION("GOOGLETRANSLATE(C110,""en"",""ar"")"),"أ) خوذة، ب) قبعة بيسبول، ج) قبعة رعاة البقر، د) قبعة صوفية")</f>
        <v>أ) خوذة، ب) قبعة بيسبول، ج) قبعة رعاة البقر، د) قبعة صوفية</v>
      </c>
      <c r="L110" s="3" t="str">
        <f ca="1">IFERROR(__xludf.DUMMYFUNCTION("GOOGLETRANSLATE(D110,""en"",""ar"")"),"ج) قبعة رعاة البقر")</f>
        <v>ج) قبعة رعاة البقر</v>
      </c>
      <c r="M110" s="3" t="str">
        <f ca="1">IFERROR(__xludf.DUMMYFUNCTION("GOOGLETRANSLATE(E110,""en"",""ar"")"),"تُعد قبعة رعاة البقر زياً مميزاً وتقليدياً لمنافسي رياضة الروديو الغربية.")</f>
        <v>تُعد قبعة رعاة البقر زياً مميزاً وتقليدياً لمنافسي رياضة الروديو الغربية.</v>
      </c>
    </row>
    <row r="111" spans="1:13" ht="22.5" customHeight="1" x14ac:dyDescent="0.25">
      <c r="A111" s="4"/>
      <c r="B111" s="4"/>
      <c r="C111" s="4"/>
      <c r="D111" s="4"/>
      <c r="E111" s="4"/>
      <c r="I111" s="4" t="s">
        <v>15</v>
      </c>
      <c r="J111" s="3" t="str">
        <f ca="1">IFERROR(__xludf.DUMMYFUNCTION("GOOGLETRANSLATE(B111,""en"",""ar"")"),"تُظهر وضعية الحصان الرياضية، بجسمه المنخفض وساقيه المندفعتين للأمام، ...")</f>
        <v>تُظهر وضعية الحصان الرياضية، بجسمه المنخفض وساقيه المندفعتين للأمام، ...</v>
      </c>
      <c r="K111" s="3" t="str">
        <f ca="1">IFERROR(__xludf.DUMMYFUNCTION("GOOGLETRANSLATE(C111,""en"",""ar"")"),"أ) مشي هادئ، ب) تسارع قوي، ج) توقف مفاجئ، د) قفزة عالية")</f>
        <v>أ) مشي هادئ، ب) تسارع قوي، ج) توقف مفاجئ، د) قفزة عالية</v>
      </c>
      <c r="L111" s="3" t="str">
        <f ca="1">IFERROR(__xludf.DUMMYFUNCTION("GOOGLETRANSLATE(D111,""en"",""ar"")"),"ب) تسارع قوي")</f>
        <v>ب) تسارع قوي</v>
      </c>
      <c r="M111" s="3" t="str">
        <f ca="1">IFERROR(__xludf.DUMMYFUNCTION("GOOGLETRANSLATE(E111,""en"",""ar"")"),"يندفع الحصان للأمام بقوة، مستخدماً كل قوته للتحرك بسرعة لوضع الفارس في وضعية مناسبة لرمية ناجحة.")</f>
        <v>يندفع الحصان للأمام بقوة، مستخدماً كل قوته للتحرك بسرعة لوضع الفارس في وضعية مناسبة لرمية ناجحة.</v>
      </c>
    </row>
    <row r="112" spans="1:13" ht="22.5" customHeight="1" x14ac:dyDescent="0.25">
      <c r="A112" s="4"/>
      <c r="B112" s="4"/>
      <c r="C112" s="4"/>
      <c r="D112" s="4"/>
      <c r="E112" s="4"/>
      <c r="I112" s="4" t="s">
        <v>16</v>
      </c>
      <c r="J112" s="3" t="str">
        <f ca="1">IFERROR(__xludf.DUMMYFUNCTION("GOOGLETRANSLATE(B112,""en"",""ar"")"),"يشير تناثر الغبار الكثيف وخطوات الحصان القوية إلى أن السباق قد وصل إلى ذروته...")</f>
        <v>يشير تناثر الغبار الكثيف وخطوات الحصان القوية إلى أن السباق قد وصل إلى ذروته...</v>
      </c>
      <c r="K112" s="3" t="str">
        <f ca="1">IFERROR(__xludf.DUMMYFUNCTION("GOOGLETRANSLATE(C112,""en"",""ar"")"),"أ) هرولة بطيئة، ب) انطلاقة ثابتة، ج) عدو سريع، د) عدو خفيف")</f>
        <v>أ) هرولة بطيئة، ب) انطلاقة ثابتة، ج) عدو سريع، د) عدو خفيف</v>
      </c>
      <c r="L112" s="3" t="str">
        <f ca="1">IFERROR(__xludf.DUMMYFUNCTION("GOOGLETRANSLATE(D112,""en"",""ar"")"),"ج) العدو الكامل")</f>
        <v>ج) العدو الكامل</v>
      </c>
      <c r="M112" s="3" t="str">
        <f ca="1">IFERROR(__xludf.DUMMYFUNCTION("GOOGLETRANSLATE(E112,""en"",""ar"")"),"الحصان في أقصى سرعته، وهي مشية رباعية تسمى العدو، مما يؤدي إلى إثارة كمية هائلة من التراب.")</f>
        <v>الحصان في أقصى سرعته، وهي مشية رباعية تسمى العدو، مما يؤدي إلى إثارة كمية هائلة من التراب.</v>
      </c>
    </row>
    <row r="113" spans="1:13" ht="22.5" customHeight="1" x14ac:dyDescent="0.25">
      <c r="A113" s="4"/>
      <c r="B113" s="4"/>
      <c r="C113" s="4"/>
      <c r="D113" s="4"/>
      <c r="E113" s="4"/>
      <c r="I113" s="4" t="s">
        <v>16</v>
      </c>
      <c r="J113" s="3" t="str">
        <f ca="1">IFERROR(__xludf.DUMMYFUNCTION("GOOGLETRANSLATE(B113,""en"",""ar"")"),"ما هي قطعة المعدات التي يرتديها الفارس لحماية عينيه؟")</f>
        <v>ما هي قطعة المعدات التي يرتديها الفارس لحماية عينيه؟</v>
      </c>
      <c r="K113" s="3" t="str">
        <f ca="1">IFERROR(__xludf.DUMMYFUNCTION("GOOGLETRANSLATE(C113,""en"",""ar"")"),"أ) نظارات شمسية، ب) قناع واقٍ للوجه، ج) نظارات واقية، د) واقي للوجه")</f>
        <v>أ) نظارات شمسية، ب) قناع واقٍ للوجه، ج) نظارات واقية، د) واقي للوجه</v>
      </c>
      <c r="L113" s="3" t="str">
        <f ca="1">IFERROR(__xludf.DUMMYFUNCTION("GOOGLETRANSLATE(D113,""en"",""ar"")"),"ج) نظارات واقية")</f>
        <v>ج) نظارات واقية</v>
      </c>
      <c r="M113" s="3" t="str">
        <f ca="1">IFERROR(__xludf.DUMMYFUNCTION("GOOGLETRANSLATE(E113,""en"",""ar"")"),"يرتدي الفرسان نظارات واقية لحماية أعينهم من الأوساخ والحطام الذي تثيره الخيول الأخرى.")</f>
        <v>يرتدي الفرسان نظارات واقية لحماية أعينهم من الأوساخ والحطام الذي تثيره الخيول الأخرى.</v>
      </c>
    </row>
    <row r="114" spans="1:13" ht="22.5" customHeight="1" x14ac:dyDescent="0.25">
      <c r="A114" s="4"/>
      <c r="B114" s="4"/>
      <c r="C114" s="4"/>
      <c r="D114" s="4"/>
      <c r="E114" s="4"/>
      <c r="I114" s="4" t="s">
        <v>16</v>
      </c>
      <c r="J114" s="3" t="str">
        <f ca="1">IFERROR(__xludf.DUMMYFUNCTION("GOOGLETRANSLATE(B114,""en"",""ar"")"),"ما هو المصطلح الذي يُطلق على نمط الفراء الأحمر والأبيض على هذا الحصان؟")</f>
        <v>ما هو المصطلح الذي يُطلق على نمط الفراء الأحمر والأبيض على هذا الحصان؟</v>
      </c>
      <c r="K114" s="3" t="str">
        <f ca="1">IFERROR(__xludf.DUMMYFUNCTION("GOOGLETRANSLATE(C114,""en"",""ar"")"),"أ) روان، ب) أبالوسا، ج) بينتو أو بينت، د) بالومينو")</f>
        <v>أ) روان، ب) أبالوسا، ج) بينتو أو بينت، د) بالومينو</v>
      </c>
      <c r="L114" s="3" t="str">
        <f ca="1">IFERROR(__xludf.DUMMYFUNCTION("GOOGLETRANSLATE(D114,""en"",""ar"")"),"ج) بينتو أو بينتو")</f>
        <v>ج) بينتو أو بينتو</v>
      </c>
      <c r="M114" s="3" t="str">
        <f ca="1">IFERROR(__xludf.DUMMYFUNCTION("GOOGLETRANSLATE(E114,""en"",""ar"")"),"يتميز حصان البينتو أو البينت بوجود بقع بيضاء كبيرة ولون آخر. هذا الحصان تحديداً هو حصان بينتو كستنائي وأبيض.")</f>
        <v>يتميز حصان البينتو أو البينت بوجود بقع بيضاء كبيرة ولون آخر. هذا الحصان تحديداً هو حصان بينتو كستنائي وأبيض.</v>
      </c>
    </row>
    <row r="115" spans="1:13" ht="22.5" customHeight="1" x14ac:dyDescent="0.25">
      <c r="A115" s="4"/>
      <c r="B115" s="4"/>
      <c r="C115" s="4"/>
      <c r="D115" s="4"/>
      <c r="E115" s="4"/>
      <c r="I115" s="4" t="s">
        <v>16</v>
      </c>
      <c r="J115" s="3" t="str">
        <f ca="1">IFERROR(__xludf.DUMMYFUNCTION("GOOGLETRANSLATE(B115,""en"",""ar"")"),"ما هو الغرض الأساسي من السرج الصغير والخفيف المستخدم في سباقات الخيل؟")</f>
        <v>ما هو الغرض الأساسي من السرج الصغير والخفيف المستخدم في سباقات الخيل؟</v>
      </c>
      <c r="K115" s="3" t="str">
        <f ca="1">IFERROR(__xludf.DUMMYFUNCTION("GOOGLETRANSLATE(C115,""en"",""ar"")"),"أ) لتوفير أقصى قدر من الراحة للفارس، ب) ليكون خفيفًا قدر الإمكان حتى لا يبطئ الحصان، ج) ليكون مزخرفًا للغاية، د) لمساعدة الفارس على الجلوس منتصبًا")</f>
        <v>أ) لتوفير أقصى قدر من الراحة للفارس، ب) ليكون خفيفًا قدر الإمكان حتى لا يبطئ الحصان، ج) ليكون مزخرفًا للغاية، د) لمساعدة الفارس على الجلوس منتصبًا</v>
      </c>
      <c r="L115" s="3" t="str">
        <f ca="1">IFERROR(__xludf.DUMMYFUNCTION("GOOGLETRANSLATE(D115,""en"",""ar"")"),"ب) أن يكون خفيف الوزن قدر الإمكان، حتى لا يبطئ الحصان")</f>
        <v>ب) أن يكون خفيف الوزن قدر الإمكان، حتى لا يبطئ الحصان</v>
      </c>
      <c r="M115" s="3" t="str">
        <f ca="1">IFERROR(__xludf.DUMMYFUNCTION("GOOGLETRANSLATE(E115,""en"",""ar"")"),"تتميز سروج السباق بتصميمها البسيط وخفة وزنها الشديدة لتقليل الوزن الإجمالي الذي يجب على الحصان حمله.")</f>
        <v>تتميز سروج السباق بتصميمها البسيط وخفة وزنها الشديدة لتقليل الوزن الإجمالي الذي يجب على الحصان حمله.</v>
      </c>
    </row>
    <row r="116" spans="1:13" ht="22.5" customHeight="1" x14ac:dyDescent="0.25">
      <c r="A116" s="4"/>
      <c r="B116" s="4"/>
      <c r="C116" s="4"/>
      <c r="D116" s="4"/>
      <c r="E116" s="4"/>
      <c r="I116" s="4" t="s">
        <v>16</v>
      </c>
      <c r="J116" s="3" t="str">
        <f ca="1">IFERROR(__xludf.DUMMYFUNCTION("GOOGLETRANSLATE(B116,""en"",""ar"")"),"تُستخدم الخلفية الضبابية في الصورة لخلق إحساس بماذا؟")</f>
        <v>تُستخدم الخلفية الضبابية في الصورة لخلق إحساس بماذا؟</v>
      </c>
      <c r="K116" s="3" t="str">
        <f ca="1">IFERROR(__xludf.DUMMYFUNCTION("GOOGLETRANSLATE(C116,""en"",""ar"")"),"أ) حشد كبير، ب) موقع محدد، ج) سرعة وحركة فائقة، د) هدوء")</f>
        <v>أ) حشد كبير، ب) موقع محدد، ج) سرعة وحركة فائقة، د) هدوء</v>
      </c>
      <c r="L116" s="3" t="str">
        <f ca="1">IFERROR(__xludf.DUMMYFUNCTION("GOOGLETRANSLATE(D116,""en"",""ar"")"),"ج) السرعة والحركة القصوى")</f>
        <v>ج) السرعة والحركة القصوى</v>
      </c>
      <c r="M116" s="3" t="str">
        <f ca="1">IFERROR(__xludf.DUMMYFUNCTION("GOOGLETRANSLATE(E116,""en"",""ar"")"),"يُعد التركيز على الحصان مع خلفية ضبابية أسلوبًا شائعًا للتأكيد على السرعة العالية للموضوع.")</f>
        <v>يُعد التركيز على الحصان مع خلفية ضبابية أسلوبًا شائعًا للتأكيد على السرعة العالية للموضوع.</v>
      </c>
    </row>
    <row r="117" spans="1:13" ht="22.5" customHeight="1" x14ac:dyDescent="0.25">
      <c r="A117" s="4"/>
      <c r="B117" s="4"/>
      <c r="C117" s="4"/>
      <c r="D117" s="4"/>
      <c r="E117" s="4"/>
      <c r="I117" s="4" t="s">
        <v>16</v>
      </c>
      <c r="J117" s="3" t="str">
        <f ca="1">IFERROR(__xludf.DUMMYFUNCTION("GOOGLETRANSLATE(B117,""en"",""ar"")"),"ما الذي يحمله الفارس في يده اليمنى؟")</f>
        <v>ما الذي يحمله الفارس في يده اليمنى؟</v>
      </c>
      <c r="K117" s="3" t="str">
        <f ca="1">IFERROR(__xludf.DUMMYFUNCTION("GOOGLETRANSLATE(C117,""en"",""ar"")"),"أ) زجاجة ماء، ب) سوط ركوب الخيل، ج) عرف الحصان، د) راديو")</f>
        <v>أ) زجاجة ماء، ب) سوط ركوب الخيل، ج) عرف الحصان، د) راديو</v>
      </c>
      <c r="L117" s="3" t="str">
        <f ca="1">IFERROR(__xludf.DUMMYFUNCTION("GOOGLETRANSLATE(D117,""en"",""ar"")"),"ب) سوط ركوب الخيل")</f>
        <v>ب) سوط ركوب الخيل</v>
      </c>
      <c r="M117" s="3" t="str">
        <f ca="1">IFERROR(__xludf.DUMMYFUNCTION("GOOGLETRANSLATE(E117,""en"",""ar"")"),"يحمل الفارس سوطًا مرنًا يستخدم لتشجيع الحصان على زيادة سرعته.")</f>
        <v>يحمل الفارس سوطًا مرنًا يستخدم لتشجيع الحصان على زيادة سرعته.</v>
      </c>
    </row>
    <row r="118" spans="1:13" ht="22.5" customHeight="1" x14ac:dyDescent="0.25">
      <c r="A118" s="4"/>
      <c r="B118" s="4"/>
      <c r="C118" s="4"/>
      <c r="D118" s="4"/>
      <c r="E118" s="4"/>
      <c r="I118" s="4" t="s">
        <v>16</v>
      </c>
      <c r="J118" s="3" t="str">
        <f ca="1">IFERROR(__xludf.DUMMYFUNCTION("GOOGLETRANSLATE(B118,""en"",""ar"")"),"أذنا الحصان متجهتان للأمام، مما يدل على أنه...")</f>
        <v>أذنا الحصان متجهتان للأمام، مما يدل على أنه...</v>
      </c>
      <c r="K118" s="3" t="str">
        <f ca="1">IFERROR(__xludf.DUMMYFUNCTION("GOOGLETRANSLATE(C118,""en"",""ar"")"),"أ) خائف، ب) مُركّز على ما هو قادم، ج) مُنصت إلى الفارس، د) مُتعب")</f>
        <v>أ) خائف، ب) مُركّز على ما هو قادم، ج) مُنصت إلى الفارس، د) مُتعب</v>
      </c>
      <c r="L118" s="3" t="str">
        <f ca="1">IFERROR(__xludf.DUMMYFUNCTION("GOOGLETRANSLATE(D118,""en"",""ar"")"),"ب) التركيز على ما هو قادم")</f>
        <v>ب) التركيز على ما هو قادم</v>
      </c>
      <c r="M118" s="3" t="str">
        <f ca="1">IFERROR(__xludf.DUMMYFUNCTION("GOOGLETRANSLATE(E118,""en"",""ar"")"),"تعتبر آذان الحصان مؤشراً رئيسياً على مدى انتباهه؛ فالآذان المتجهة للأمام تعني أنه يركز على السباق الذي أمامه.")</f>
        <v>تعتبر آذان الحصان مؤشراً رئيسياً على مدى انتباهه؛ فالآذان المتجهة للأمام تعني أنه يركز على السباق الذي أمامه.</v>
      </c>
    </row>
    <row r="119" spans="1:13" ht="22.5" customHeight="1" x14ac:dyDescent="0.25">
      <c r="A119" s="4"/>
      <c r="B119" s="4"/>
      <c r="C119" s="4"/>
      <c r="D119" s="4"/>
      <c r="E119" s="4"/>
      <c r="I119" s="4" t="s">
        <v>16</v>
      </c>
      <c r="J119" s="3" t="str">
        <f ca="1">IFERROR(__xludf.DUMMYFUNCTION("GOOGLETRANSLATE(B119,""en"",""ar"")"),"تُسمى العلامة البيضاء الموجودة على وجه الحصان والتي تغطي عينيه وأنفه وجبهته بـ...")</f>
        <v>تُسمى العلامة البيضاء الموجودة على وجه الحصان والتي تغطي عينيه وأنفه وجبهته بـ...</v>
      </c>
      <c r="K119" s="3" t="str">
        <f ca="1">IFERROR(__xludf.DUMMYFUNCTION("GOOGLETRANSLATE(C119,""en"",""ar"")"),"أ) نجمة، ب) شريط، ج) لهيب، د) وجه أصلع")</f>
        <v>أ) نجمة، ب) شريط، ج) لهيب، د) وجه أصلع</v>
      </c>
      <c r="L119" s="3" t="str">
        <f ca="1">IFERROR(__xludf.DUMMYFUNCTION("GOOGLETRANSLATE(D119,""en"",""ar"")"),"د) وجه أصلع")</f>
        <v>د) وجه أصلع</v>
      </c>
      <c r="M119" s="3" t="str">
        <f ca="1">IFERROR(__xludf.DUMMYFUNCTION("GOOGLETRANSLATE(E119,""en"",""ar"")"),"""الوجه الأصلع"" هو عبارة عن بقعة عريضة جداً تمتد إلى العينين أو تتجاوزهما.")</f>
        <v>"الوجه الأصلع" هو عبارة عن بقعة عريضة جداً تمتد إلى العينين أو تتجاوزهما.</v>
      </c>
    </row>
    <row r="120" spans="1:13" ht="22.5" customHeight="1" x14ac:dyDescent="0.25">
      <c r="A120" s="4"/>
      <c r="B120" s="4"/>
      <c r="C120" s="4"/>
      <c r="D120" s="4"/>
      <c r="E120" s="4"/>
      <c r="I120" s="4" t="s">
        <v>16</v>
      </c>
      <c r="J120" s="3" t="str">
        <f ca="1">IFERROR(__xludf.DUMMYFUNCTION("GOOGLETRANSLATE(B120,""en"",""ar"")"),"غالباً ما يُطلق على وضعية الفارس المنحنية والديناميكية الهوائية اسم...")</f>
        <v>غالباً ما يُطلق على وضعية الفارس المنحنية والديناميكية الهوائية اسم...</v>
      </c>
      <c r="K120" s="3" t="str">
        <f ca="1">IFERROR(__xludf.DUMMYFUNCTION("GOOGLETRANSLATE(C120,""en"",""ar"")"),"أ) وضعية الجلوس الغربية، ب) وضعية الجلوس في رياضة الترويض، ج) وضعية القرد المنحني، د) العدو واقفاً")</f>
        <v>أ) وضعية الجلوس الغربية، ب) وضعية الجلوس في رياضة الترويض، ج) وضعية القرد المنحني، د) العدو واقفاً</v>
      </c>
      <c r="L120" s="3" t="str">
        <f ca="1">IFERROR(__xludf.DUMMYFUNCTION("GOOGLETRANSLATE(D120,""en"",""ar"")"),"ج) وضعية القرد")</f>
        <v>ج) وضعية القرد</v>
      </c>
      <c r="M120" s="3" t="str">
        <f ca="1">IFERROR(__xludf.DUMMYFUNCTION("GOOGLETRANSLATE(E120,""en"",""ar"")"),"انتشر هذا الأسلوب المنحني للأمام في أمريكا، وهو الآن المعيار لتقليل مقاومة الرياح في السباقات.")</f>
        <v>انتشر هذا الأسلوب المنحني للأمام في أمريكا، وهو الآن المعيار لتقليل مقاومة الرياح في السباقات.</v>
      </c>
    </row>
    <row r="121" spans="1:13" ht="22.5" customHeight="1" x14ac:dyDescent="0.25">
      <c r="A121" s="4"/>
      <c r="B121" s="4"/>
      <c r="C121" s="4"/>
      <c r="D121" s="4"/>
      <c r="E121" s="4"/>
      <c r="I121" s="4" t="s">
        <v>16</v>
      </c>
      <c r="J121" s="3" t="str">
        <f ca="1">IFERROR(__xludf.DUMMYFUNCTION("GOOGLETRANSLATE(B121,""en"",""ar"")"),"تُعد العضلات القوية الظاهرة في الجزء الخلفي من الحصان المحرك الأساسي لـ...")</f>
        <v>تُعد العضلات القوية الظاهرة في الجزء الخلفي من الحصان المحرك الأساسي لـ...</v>
      </c>
      <c r="K121" s="3" t="str">
        <f ca="1">IFERROR(__xludf.DUMMYFUNCTION("GOOGLETRANSLATE(C121,""en"",""ar"")"),"أ) التوجيه، ب) التنفس، ج) السرعة والدفع، د) التوازن")</f>
        <v>أ) التوجيه، ب) التنفس، ج) السرعة والدفع، د) التوازن</v>
      </c>
      <c r="L121" s="3" t="str">
        <f ca="1">IFERROR(__xludf.DUMMYFUNCTION("GOOGLETRANSLATE(D121,""en"",""ar"")"),"ج) السرعة والدفع")</f>
        <v>ج) السرعة والدفع</v>
      </c>
      <c r="M121" s="3" t="str">
        <f ca="1">IFERROR(__xludf.DUMMYFUNCTION("GOOGLETRANSLATE(E121,""en"",""ar"")"),"توفر العضلات الكبيرة في الجزء الخلفي من جسم الحصان الأصيل القوة الانفجارية اللازمة للعدو بسرعات عالية.")</f>
        <v>توفر العضلات الكبيرة في الجزء الخلفي من جسم الحصان الأصيل القوة الانفجارية اللازمة للعدو بسرعات عالية.</v>
      </c>
    </row>
    <row r="122" spans="1:13" ht="22.5" customHeight="1" x14ac:dyDescent="0.25">
      <c r="A122" s="4"/>
      <c r="B122" s="4"/>
      <c r="C122" s="4"/>
      <c r="D122" s="4"/>
      <c r="E122" s="4"/>
      <c r="I122" s="4" t="s">
        <v>17</v>
      </c>
      <c r="J122" s="3" t="str">
        <f ca="1">IFERROR(__xludf.DUMMYFUNCTION("GOOGLETRANSLATE(B122,""en"",""ar"")"),"إن طبيعة هذه الصورة بالأبيض والأسود توحي بأنها...")</f>
        <v>إن طبيعة هذه الصورة بالأبيض والأسود توحي بأنها...</v>
      </c>
      <c r="K122" s="3" t="str">
        <f ca="1">IFERROR(__xludf.DUMMYFUNCTION("GOOGLETRANSLATE(C122,""en"",""ar"")"),"أ) صورة حديثة مع تطبيق فلتر، ب) سباق ليلي، ج) صورة قديمة أو تاريخية، د) رسم فني")</f>
        <v>أ) صورة حديثة مع تطبيق فلتر، ب) سباق ليلي، ج) صورة قديمة أو تاريخية، د) رسم فني</v>
      </c>
      <c r="L122" s="3" t="str">
        <f ca="1">IFERROR(__xludf.DUMMYFUNCTION("GOOGLETRANSLATE(D122,""en"",""ar"")"),"ج) صورة فوتوغرافية قديمة أو تاريخية")</f>
        <v>ج) صورة فوتوغرافية قديمة أو تاريخية</v>
      </c>
      <c r="M122" s="3" t="str">
        <f ca="1">IFERROR(__xludf.DUMMYFUNCTION("GOOGLETRANSLATE(E122,""en"",""ar"")"),"تشير جودة الصورة أحادية اللون وأسلوب المعدات إلى أنها التُقطت قبل عدة عقود، قبل أن يصبح التصوير الملون معيارًا في مجال الرياضة. ⏳")</f>
        <v>تشير جودة الصورة أحادية اللون وأسلوب المعدات إلى أنها التُقطت قبل عدة عقود، قبل أن يصبح التصوير الملون معيارًا في مجال الرياضة. ⏳</v>
      </c>
    </row>
    <row r="123" spans="1:13" ht="22.5" customHeight="1" x14ac:dyDescent="0.25">
      <c r="A123" s="4"/>
      <c r="B123" s="4"/>
      <c r="C123" s="4"/>
      <c r="D123" s="4"/>
      <c r="E123" s="4"/>
      <c r="I123" s="4" t="s">
        <v>17</v>
      </c>
      <c r="J123" s="3" t="str">
        <f ca="1">IFERROR(__xludf.DUMMYFUNCTION("GOOGLETRANSLATE(B123,""en"",""ar"")"),"ماذا يدل التقارب الشديد بين الحصانين في هذه المرحلة من السباق؟")</f>
        <v>ماذا يدل التقارب الشديد بين الحصانين في هذه المرحلة من السباق؟</v>
      </c>
      <c r="K123" s="3" t="str">
        <f ca="1">IFERROR(__xludf.DUMMYFUNCTION("GOOGLETRANSLATE(C123,""en"",""ar"")"),"أ) السباق قد بدأ للتو، ب) الخيول لا تبذل جهدًا كبيرًا، ج) إنه سباق تنافسي للغاية، وينتهي بفارق ضئيل، د) الفرسان أصدقاء")</f>
        <v>أ) السباق قد بدأ للتو، ب) الخيول لا تبذل جهدًا كبيرًا، ج) إنه سباق تنافسي للغاية، وينتهي بفارق ضئيل، د) الفرسان أصدقاء</v>
      </c>
      <c r="L123" s="3" t="str">
        <f ca="1">IFERROR(__xludf.DUMMYFUNCTION("GOOGLETRANSLATE(D123,""en"",""ar"")"),"ج) إنها منافسة شديدة ونهاية متقاربة")</f>
        <v>ج) إنها منافسة شديدة ونهاية متقاربة</v>
      </c>
      <c r="M123" s="3" t="str">
        <f ca="1">IFERROR(__xludf.DUMMYFUNCTION("GOOGLETRANSLATE(E123,""en"",""ar"")"),"إن سباق حصانين متقاربين بهذا الشكل هو تعريف السباق المثير والمتقارب.")</f>
        <v>إن سباق حصانين متقاربين بهذا الشكل هو تعريف السباق المثير والمتقارب.</v>
      </c>
    </row>
    <row r="124" spans="1:13" ht="22.5" customHeight="1" x14ac:dyDescent="0.25">
      <c r="A124" s="4"/>
      <c r="B124" s="4"/>
      <c r="C124" s="4"/>
      <c r="D124" s="4"/>
      <c r="E124" s="4"/>
      <c r="I124" s="4" t="s">
        <v>17</v>
      </c>
      <c r="J124" s="3" t="str">
        <f ca="1">IFERROR(__xludf.DUMMYFUNCTION("GOOGLETRANSLATE(B124,""en"",""ar"")"),"ما هي قطعة المعدات الموجودة على رأس الحصان الأيمن، والتي تتضمن واقيات العين؟")</f>
        <v>ما هي قطعة المعدات الموجودة على رأس الحصان الأيمن، والتي تتضمن واقيات العين؟</v>
      </c>
      <c r="K124" s="3" t="str">
        <f ca="1">IFERROR(__xludf.DUMMYFUNCTION("GOOGLETRANSLATE(C124,""en"",""ar"")"),"أ) لجام، ب) كمامة للرعي، ج) غطاء واقٍ كامل للعينين، د) لجام مزخرف")</f>
        <v>أ) لجام، ب) كمامة للرعي، ج) غطاء واقٍ كامل للعينين، د) لجام مزخرف</v>
      </c>
      <c r="L124" s="3" t="str">
        <f ca="1">IFERROR(__xludf.DUMMYFUNCTION("GOOGLETRANSLATE(D124,""en"",""ar"")"),"ج) غطاء كامل لإشارات الانعطاف")</f>
        <v>ج) غطاء كامل لإشارات الانعطاف</v>
      </c>
      <c r="M124" s="3" t="str">
        <f ca="1">IFERROR(__xludf.DUMMYFUNCTION("GOOGLETRANSLATE(E124,""en"",""ar"")"),"الغطاء المزود بأكواب حول العينين هو عبارة عن مجموعة من واقيات العين (أو واقيات العين)، مصممة للحفاظ على تركيز الحصان للأمام وعدم تشتيت انتباهه.")</f>
        <v>الغطاء المزود بأكواب حول العينين هو عبارة عن مجموعة من واقيات العين (أو واقيات العين)، مصممة للحفاظ على تركيز الحصان للأمام وعدم تشتيت انتباهه.</v>
      </c>
    </row>
    <row r="125" spans="1:13" ht="22.5" customHeight="1" x14ac:dyDescent="0.25">
      <c r="A125" s="4"/>
      <c r="B125" s="4"/>
      <c r="C125" s="4"/>
      <c r="D125" s="4"/>
      <c r="E125" s="4"/>
      <c r="I125" s="4" t="s">
        <v>17</v>
      </c>
      <c r="J125" s="3" t="str">
        <f ca="1">IFERROR(__xludf.DUMMYFUNCTION("GOOGLETRANSLATE(B125,""en"",""ar"")"),"ماذا يفعل كلا الفارسين بأجسادهما لحث خيولهما على التقدم؟")</f>
        <v>ماذا يفعل كلا الفارسين بأجسادهما لحث خيولهما على التقدم؟</v>
      </c>
      <c r="K125" s="3" t="str">
        <f ca="1">IFERROR(__xludf.DUMMYFUNCTION("GOOGLETRANSLATE(C125,""en"",""ar"")"),"أ) الجلوس باستقامة، ب) الوقوف في الركاب، ج) الركوب بنشاط ونقل وزنهم، د) النظر خلفهم")</f>
        <v>أ) الجلوس باستقامة، ب) الوقوف في الركاب، ج) الركوب بنشاط ونقل وزنهم، د) النظر خلفهم</v>
      </c>
      <c r="L125" s="3" t="str">
        <f ca="1">IFERROR(__xludf.DUMMYFUNCTION("GOOGLETRANSLATE(D125,""en"",""ar"")"),"ج) ركوب الدراجة بنشاط ونقل وزنهم")</f>
        <v>ج) ركوب الدراجة بنشاط ونقل وزنهم</v>
      </c>
      <c r="M125" s="3" t="str">
        <f ca="1">IFERROR(__xludf.DUMMYFUNCTION("GOOGLETRANSLATE(E125,""en"",""ar"")"),"يتخذ الفرسان وضعية رياضية انسيابية، مستخدمين توازنهم وسياطهم لطلب أقصى جهد من خيولهم.")</f>
        <v>يتخذ الفرسان وضعية رياضية انسيابية، مستخدمين توازنهم وسياطهم لطلب أقصى جهد من خيولهم.</v>
      </c>
    </row>
    <row r="126" spans="1:13" ht="22.5" customHeight="1" x14ac:dyDescent="0.25">
      <c r="A126" s="4"/>
      <c r="B126" s="4"/>
      <c r="C126" s="4"/>
      <c r="D126" s="4"/>
      <c r="E126" s="4"/>
      <c r="I126" s="4" t="s">
        <v>17</v>
      </c>
      <c r="J126" s="3" t="str">
        <f ca="1">IFERROR(__xludf.DUMMYFUNCTION("GOOGLETRANSLATE(B126,""en"",""ar"")"),"غالباً ما يتم تحديد نتيجة سباق متقارب كهذا رسمياً بواسطة...")</f>
        <v>غالباً ما يتم تحديد نتيجة سباق متقارب كهذا رسمياً بواسطة...</v>
      </c>
      <c r="K126" s="3" t="str">
        <f ca="1">IFERROR(__xludf.DUMMYFUNCTION("GOOGLETRANSLATE(C126,""en"",""ar"")"),"أ) تصويت القاضي، ب) رمي العملة، ج) صورة خط النهاية، د) إعادة السباق")</f>
        <v>أ) تصويت القاضي، ب) رمي العملة، ج) صورة خط النهاية، د) إعادة السباق</v>
      </c>
      <c r="L126" s="3" t="str">
        <f ca="1">IFERROR(__xludf.DUMMYFUNCTION("GOOGLETRANSLATE(D126,""en"",""ar"")"),"ج) نهاية الصورة")</f>
        <v>ج) نهاية الصورة</v>
      </c>
      <c r="M126" s="3" t="str">
        <f ca="1">IFERROR(__xludf.DUMMYFUNCTION("GOOGLETRANSLATE(E126,""en"",""ar"")"),"تلتقط كاميرا عالية السرعة اللحظة الدقيقة التي تعبر فيها أنوف الخيول خط النهاية لتحديد الفائز في السباقات المتقاربة للغاية.")</f>
        <v>تلتقط كاميرا عالية السرعة اللحظة الدقيقة التي تعبر فيها أنوف الخيول خط النهاية لتحديد الفائز في السباقات المتقاربة للغاية.</v>
      </c>
    </row>
    <row r="127" spans="1:13" ht="22.5" customHeight="1" x14ac:dyDescent="0.25">
      <c r="A127" s="4"/>
      <c r="B127" s="4"/>
      <c r="C127" s="4"/>
      <c r="D127" s="4"/>
      <c r="E127" s="4"/>
      <c r="I127" s="4" t="s">
        <v>17</v>
      </c>
      <c r="J127" s="3" t="str">
        <f ca="1">IFERROR(__xludf.DUMMYFUNCTION("GOOGLETRANSLATE(B127,""en"",""ar"")"),"يُستخدم الدرابزين ذو اللون الفاتح في الخلفية لـ...")</f>
        <v>يُستخدم الدرابزين ذو اللون الفاتح في الخلفية لـ...</v>
      </c>
      <c r="K127" s="3" t="str">
        <f ca="1">IFERROR(__xludf.DUMMYFUNCTION("GOOGLETRANSLATE(C127,""en"",""ar"")"),"أ) تحديد حدود مضمار السباق، ب) عرض الإعلانات، ج) توفير مكان استراحة للطيور، د) فصل الفرسان")</f>
        <v>أ) تحديد حدود مضمار السباق، ب) عرض الإعلانات، ج) توفير مكان استراحة للطيور، د) فصل الفرسان</v>
      </c>
      <c r="L127" s="3" t="str">
        <f ca="1">IFERROR(__xludf.DUMMYFUNCTION("GOOGLETRANSLATE(D127,""en"",""ar"")"),"أ) حدد حدود مضمار السباق")</f>
        <v>أ) حدد حدود مضمار السباق</v>
      </c>
      <c r="M127" s="3" t="str">
        <f ca="1">IFERROR(__xludf.DUMMYFUNCTION("GOOGLETRANSLATE(E127,""en"",""ar"")"),"يحدد الحاجز الداخلي المسار الرسمي ويحافظ على السباق ضمن حدوده.")</f>
        <v>يحدد الحاجز الداخلي المسار الرسمي ويحافظ على السباق ضمن حدوده.</v>
      </c>
    </row>
    <row r="128" spans="1:13" ht="22.5" customHeight="1" x14ac:dyDescent="0.25">
      <c r="A128" s="4"/>
      <c r="B128" s="4"/>
      <c r="C128" s="4"/>
      <c r="D128" s="4"/>
      <c r="E128" s="4"/>
      <c r="I128" s="4" t="s">
        <v>17</v>
      </c>
      <c r="J128" s="3" t="str">
        <f ca="1">IFERROR(__xludf.DUMMYFUNCTION("GOOGLETRANSLATE(B128,""en"",""ar"")"),"ما لون الحصان الموجود على اليسار؟")</f>
        <v>ما لون الحصان الموجود على اليسار؟</v>
      </c>
      <c r="K128" s="3" t="str">
        <f ca="1">IFERROR(__xludf.DUMMYFUNCTION("GOOGLETRANSLATE(C128,""en"",""ar"")"),"أ) رمادي، ب) بني أو كستنائي، ج) بالومينو، د) أبيض")</f>
        <v>أ) رمادي، ب) بني أو كستنائي، ج) بالومينو، د) أبيض</v>
      </c>
      <c r="L128" s="3" t="str">
        <f ca="1">IFERROR(__xludf.DUMMYFUNCTION("GOOGLETRANSLATE(D128,""en"",""ar"")"),"ب) بني أو أحمر")</f>
        <v>ب) بني أو أحمر</v>
      </c>
      <c r="M128" s="3" t="str">
        <f ca="1">IFERROR(__xludf.DUMMYFUNCTION("GOOGLETRANSLATE(E128,""en"",""ar"")"),"في الصورة أحادية اللون، يشير لون جسم الحصان الداكن وعرفه وذيله إلى أنه حصان بني أو كستنائي اللون.")</f>
        <v>في الصورة أحادية اللون، يشير لون جسم الحصان الداكن وعرفه وذيله إلى أنه حصان بني أو كستنائي اللون.</v>
      </c>
    </row>
    <row r="129" spans="1:13" ht="22.5" customHeight="1" x14ac:dyDescent="0.25">
      <c r="A129" s="4"/>
      <c r="B129" s="4"/>
      <c r="C129" s="4"/>
      <c r="D129" s="4"/>
      <c r="E129" s="4"/>
      <c r="I129" s="4" t="s">
        <v>17</v>
      </c>
      <c r="J129" s="3" t="str">
        <f ca="1">IFERROR(__xludf.DUMMYFUNCTION("GOOGLETRANSLATE(B129,""en"",""ar"")"),"يحمل كلا الفارسَين سوطًا. ما الغرض الرئيسي من هذا السوط؟")</f>
        <v>يحمل كلا الفارسَين سوطًا. ما الغرض الرئيسي من هذا السوط؟</v>
      </c>
      <c r="K129" s="3" t="str">
        <f ca="1">IFERROR(__xludf.DUMMYFUNCTION("GOOGLETRANSLATE(C129,""en"",""ar"")"),"أ) لتوجيه الحصان، ب) لتشجيع الحصان على الجري أسرع، ج) لتحقيق توازن الفارس، د) للإشارة إلى الفرسان الآخرين")</f>
        <v>أ) لتوجيه الحصان، ب) لتشجيع الحصان على الجري أسرع، ج) لتحقيق توازن الفارس، د) للإشارة إلى الفرسان الآخرين</v>
      </c>
      <c r="L129" s="3" t="str">
        <f ca="1">IFERROR(__xludf.DUMMYFUNCTION("GOOGLETRANSLATE(D129,""en"",""ar"")"),"ب) لتشجيع الحصان على الجري بشكل أسرع")</f>
        <v>ب) لتشجيع الحصان على الجري بشكل أسرع</v>
      </c>
      <c r="M129" s="3" t="str">
        <f ca="1">IFERROR(__xludf.DUMMYFUNCTION("GOOGLETRANSLATE(E129,""en"",""ar"")"),"يُستخدم السوط كإشارة لطلب أقصى سرعة من الحصان قرب خط النهاية.")</f>
        <v>يُستخدم السوط كإشارة لطلب أقصى سرعة من الحصان قرب خط النهاية.</v>
      </c>
    </row>
    <row r="130" spans="1:13" ht="22.5" customHeight="1" x14ac:dyDescent="0.25">
      <c r="A130" s="4"/>
      <c r="B130" s="4"/>
      <c r="C130" s="4"/>
      <c r="D130" s="4"/>
      <c r="E130" s="4"/>
      <c r="I130" s="4" t="s">
        <v>17</v>
      </c>
      <c r="J130" s="3" t="str">
        <f ca="1">IFERROR(__xludf.DUMMYFUNCTION("GOOGLETRANSLATE(B130,""en"",""ar"")"),"الخيول في حالة عدو كامل، وهو نمط إيقاعي رباعي. ما هو الصحيح في نقاط معينة من هذا النمط؟")</f>
        <v>الخيول في حالة عدو كامل، وهو نمط إيقاعي رباعي. ما هو الصحيح في نقاط معينة من هذا النمط؟</v>
      </c>
      <c r="K130" s="3" t="str">
        <f ca="1">IFERROR(__xludf.DUMMYFUNCTION("GOOGLETRANSLATE(C130,""en"",""ar"")"),"أ) جميع الأقدام الأربعة على الأرض في وقت واحد، ب) قدم واحدة فقط على الأرض في كل مرة، ج) جميع الأقدام الأربعة مرفوعة عن الأرض في وقت واحد، د) الحصان ينزلق على التراب")</f>
        <v>أ) جميع الأقدام الأربعة على الأرض في وقت واحد، ب) قدم واحدة فقط على الأرض في كل مرة، ج) جميع الأقدام الأربعة مرفوعة عن الأرض في وقت واحد، د) الحصان ينزلق على التراب</v>
      </c>
      <c r="L130" s="3" t="str">
        <f ca="1">IFERROR(__xludf.DUMMYFUNCTION("GOOGLETRANSLATE(D130,""en"",""ar"")"),"ج) جميع الأقدام الأربعة مرفوعة عن الأرض في وقت واحد")</f>
        <v>ج) جميع الأقدام الأربعة مرفوعة عن الأرض في وقت واحد</v>
      </c>
      <c r="M130" s="3" t="str">
        <f ca="1">IFERROR(__xludf.DUMMYFUNCTION("GOOGLETRANSLATE(E130,""en"",""ar"")"),"يتضمن العدو ""لحظة تعليق"" يكون فيها الحصان محلقاً في الهواء تماماً.")</f>
        <v>يتضمن العدو "لحظة تعليق" يكون فيها الحصان محلقاً في الهواء تماماً.</v>
      </c>
    </row>
    <row r="131" spans="1:13" ht="22.5" customHeight="1" x14ac:dyDescent="0.25">
      <c r="A131" s="4"/>
      <c r="B131" s="4"/>
      <c r="C131" s="4"/>
      <c r="D131" s="4"/>
      <c r="E131" s="4"/>
      <c r="I131" s="4" t="s">
        <v>17</v>
      </c>
      <c r="J131" s="3" t="str">
        <f ca="1">IFERROR(__xludf.DUMMYFUNCTION("GOOGLETRANSLATE(B131,""en"",""ar"")"),"الرقم الظاهر على غطاء سرج الحصان الأيسر هو...")</f>
        <v>الرقم الظاهر على غطاء سرج الحصان الأيسر هو...</v>
      </c>
      <c r="K131" s="3" t="str">
        <f ca="1">IFERROR(__xludf.DUMMYFUNCTION("GOOGLETRANSLATE(C131,""en"",""ar"")"),"أ) 2، ب) 4، ج) 7، د) 9")</f>
        <v>أ) 2، ب) 4، ج) 7، د) 9</v>
      </c>
      <c r="L131" s="3" t="str">
        <f ca="1">IFERROR(__xludf.DUMMYFUNCTION("GOOGLETRANSLATE(D131,""en"",""ar"")"),"ج) 7")</f>
        <v>ج) 7</v>
      </c>
      <c r="M131" s="3" t="str">
        <f ca="1">IFERROR(__xludf.DUMMYFUNCTION("GOOGLETRANSLATE(E131,""en"",""ar"")"),"يمكن رؤية الرقم 7 على غطاء السرج الأبيض للحصان من الداخل.")</f>
        <v>يمكن رؤية الرقم 7 على غطاء السرج الأبيض للحصان من الداخل.</v>
      </c>
    </row>
    <row r="132" spans="1:13" ht="22.5" customHeight="1" x14ac:dyDescent="0.25">
      <c r="A132" s="4"/>
      <c r="B132" s="4"/>
      <c r="C132" s="4"/>
      <c r="D132" s="4"/>
      <c r="E132" s="4"/>
      <c r="I132" s="4" t="s">
        <v>18</v>
      </c>
      <c r="J132" s="3" t="str">
        <f ca="1">IFERROR(__xludf.DUMMYFUNCTION("GOOGLETRANSLATE(B132,""en"",""ar"")"),"ما هو العمود المخطط بالأبيض والأسود في خلفية السباق؟")</f>
        <v>ما هو العمود المخطط بالأبيض والأسود في خلفية السباق؟</v>
      </c>
      <c r="K132" s="3" t="str">
        <f ca="1">IFERROR(__xludf.DUMMYFUNCTION("GOOGLETRANSLATE(C132,""en"",""ar"")"),"أ) علامة خط النهاية، ب) نقطة البداية، ج) علامة المسافة، د) سارية العلم")</f>
        <v>أ) علامة خط النهاية، ب) نقطة البداية، ج) علامة المسافة، د) سارية العلم</v>
      </c>
      <c r="L132" s="3" t="str">
        <f ca="1">IFERROR(__xludf.DUMMYFUNCTION("GOOGLETRANSLATE(D132,""en"",""ar"")"),"ج) علامة المسافة")</f>
        <v>ج) علامة المسافة</v>
      </c>
      <c r="M132" s="3" t="str">
        <f ca="1">IFERROR(__xludf.DUMMYFUNCTION("GOOGLETRANSLATE(E132,""en"",""ar"")"),"تُوضع هذه الأعمدة على مسافات منتظمة حول المضمار لإعلام الفرسان بالمسافة المتبقية لهم من خط النهاية. هذا العمود يُشير إلى 1/16 من الميل.")</f>
        <v>تُوضع هذه الأعمدة على مسافات منتظمة حول المضمار لإعلام الفرسان بالمسافة المتبقية لهم من خط النهاية. هذا العمود يُشير إلى 1/16 من الميل.</v>
      </c>
    </row>
    <row r="133" spans="1:13" ht="22.5" customHeight="1" x14ac:dyDescent="0.25">
      <c r="A133" s="4"/>
      <c r="B133" s="4"/>
      <c r="C133" s="4"/>
      <c r="D133" s="4"/>
      <c r="E133" s="4"/>
      <c r="I133" s="4" t="s">
        <v>18</v>
      </c>
      <c r="J133" s="3" t="str">
        <f ca="1">IFERROR(__xludf.DUMMYFUNCTION("GOOGLETRANSLATE(B133,""en"",""ar"")"),"يُطلق على وضع هذه الخيول الثلاثة، وهي تتنافس بشدة قرب نهاية السباق، اسم...")</f>
        <v>يُطلق على وضع هذه الخيول الثلاثة، وهي تتنافس بشدة قرب نهاية السباق، اسم...</v>
      </c>
      <c r="K133" s="3" t="str">
        <f ca="1">IFERROR(__xludf.DUMMYFUNCTION("GOOGLETRANSLATE(C133,""en"",""ar"")"),"أ) انطلاقة سريعة، ب) جري إطالة، ج) لفة تهدئة، د) استعراض حتى خط النهاية")</f>
        <v>أ) انطلاقة سريعة، ب) جري إطالة، ج) لفة تهدئة، د) استعراض حتى خط النهاية</v>
      </c>
      <c r="L133" s="3" t="str">
        <f ca="1">IFERROR(__xludf.DUMMYFUNCTION("GOOGLETRANSLATE(D133,""en"",""ar"")"),"ب) المرحلة الأخيرة")</f>
        <v>ب) المرحلة الأخيرة</v>
      </c>
      <c r="M133" s="3" t="str">
        <f ca="1">IFERROR(__xludf.DUMMYFUNCTION("GOOGLETRANSLATE(E133,""en"",""ar"")"),"يُعرف الجزء المستقيم الأخير من مضمار السباق المؤدي إلى خط النهاية باسم ""الامتداد""، وهذه المرحلة الأخيرة هي ""الجري الأخير"".")</f>
        <v>يُعرف الجزء المستقيم الأخير من مضمار السباق المؤدي إلى خط النهاية باسم "الامتداد"، وهذه المرحلة الأخيرة هي "الجري الأخير".</v>
      </c>
    </row>
    <row r="134" spans="1:13" ht="22.5" customHeight="1" x14ac:dyDescent="0.25">
      <c r="A134" s="4"/>
      <c r="B134" s="4"/>
      <c r="C134" s="4"/>
      <c r="D134" s="4"/>
      <c r="E134" s="4"/>
      <c r="I134" s="4" t="s">
        <v>18</v>
      </c>
      <c r="J134" s="3" t="str">
        <f ca="1">IFERROR(__xludf.DUMMYFUNCTION("GOOGLETRANSLATE(B134,""en"",""ar"")"),"ما هي قطعة المعدات الموجودة على مقدمة الحصان الأسود على اليسار؟")</f>
        <v>ما هي قطعة المعدات الموجودة على مقدمة الحصان الأسود على اليسار؟</v>
      </c>
      <c r="K134" s="3" t="str">
        <f ca="1">IFERROR(__xludf.DUMMYFUNCTION("GOOGLETRANSLATE(C134,""en"",""ar"")"),"أ) كمامة، ب) لفافة ظل، ج) حزام أنف، د) ضمادة")</f>
        <v>أ) كمامة، ب) لفافة ظل، ج) حزام أنف، د) ضمادة</v>
      </c>
      <c r="L134" s="3" t="str">
        <f ca="1">IFERROR(__xludf.DUMMYFUNCTION("GOOGLETRANSLATE(D134,""en"",""ar"")"),"ب) لفة الظل")</f>
        <v>ب) لفة الظل</v>
      </c>
      <c r="M134" s="3" t="str">
        <f ca="1">IFERROR(__xludf.DUMMYFUNCTION("GOOGLETRANSLATE(E134,""en"",""ar"")"),"هذه قطعة سميكة وناعمة من المعدات تسمى لفة الظل، وهي مصممة لمنع الحصان من رؤية الظلال على المسار والخوف منها.")</f>
        <v>هذه قطعة سميكة وناعمة من المعدات تسمى لفة الظل، وهي مصممة لمنع الحصان من رؤية الظلال على المسار والخوف منها.</v>
      </c>
    </row>
    <row r="135" spans="1:13" ht="22.5" customHeight="1" x14ac:dyDescent="0.25">
      <c r="A135" s="4"/>
      <c r="B135" s="4"/>
      <c r="C135" s="4"/>
      <c r="D135" s="4"/>
      <c r="E135" s="4"/>
      <c r="I135" s="4" t="s">
        <v>18</v>
      </c>
      <c r="J135" s="3" t="str">
        <f ca="1">IFERROR(__xludf.DUMMYFUNCTION("GOOGLETRANSLATE(B135,""en"",""ar"")"),"كم عدد الفرسان الذين يستخدمون سياطهم بنشاط في هذه اللحظة؟")</f>
        <v>كم عدد الفرسان الذين يستخدمون سياطهم بنشاط في هذه اللحظة؟</v>
      </c>
      <c r="K135" s="3" t="str">
        <f ca="1">IFERROR(__xludf.DUMMYFUNCTION("GOOGLETRANSLATE(C135,""en"",""ar"")"),"أ) لا أحد منهم، ب) واحد، ج) اثنان، د) جميعهم الثلاثة")</f>
        <v>أ) لا أحد منهم، ب) واحد، ج) اثنان، د) جميعهم الثلاثة</v>
      </c>
      <c r="L135" s="3" t="str">
        <f ca="1">IFERROR(__xludf.DUMMYFUNCTION("GOOGLETRANSLATE(D135,""en"",""ar"")"),"د) جميعها الثلاثة")</f>
        <v>د) جميعها الثلاثة</v>
      </c>
      <c r="M135" s="3" t="str">
        <f ca="1">IFERROR(__xludf.DUMMYFUNCTION("GOOGLETRANSLATE(E135,""en"",""ar"")"),"يمكن رؤية الفرسان الثلاثة وهم يحملون عصيهم في أيديهم، ويحثون خيولهم على بذل المزيد من الجهد في نهاية السباق.")</f>
        <v>يمكن رؤية الفرسان الثلاثة وهم يحملون عصيهم في أيديهم، ويحثون خيولهم على بذل المزيد من الجهد في نهاية السباق.</v>
      </c>
    </row>
    <row r="136" spans="1:13" ht="22.5" customHeight="1" x14ac:dyDescent="0.25">
      <c r="A136" s="4"/>
      <c r="B136" s="4"/>
      <c r="C136" s="4"/>
      <c r="D136" s="4"/>
      <c r="E136" s="4"/>
      <c r="I136" s="4" t="s">
        <v>18</v>
      </c>
      <c r="J136" s="3" t="str">
        <f ca="1">IFERROR(__xludf.DUMMYFUNCTION("GOOGLETRANSLATE(B136,""en"",""ar"")"),"تُعرف الملابس الملونة والمنقوشة التي يرتديها الفرسان باسم...")</f>
        <v>تُعرف الملابس الملونة والمنقوشة التي يرتديها الفرسان باسم...</v>
      </c>
      <c r="K136" s="3" t="str">
        <f ca="1">IFERROR(__xludf.DUMMYFUNCTION("GOOGLETRANSLATE(C136,""en"",""ar"")"),"أ) الزي الرسمي، ب) الأزياء التنكرية، ج) الحرير، د) خطوط السباق")</f>
        <v>أ) الزي الرسمي، ب) الأزياء التنكرية، ج) الحرير، د) خطوط السباق</v>
      </c>
      <c r="L136" s="3" t="str">
        <f ca="1">IFERROR(__xludf.DUMMYFUNCTION("GOOGLETRANSLATE(D136,""en"",""ar"")"),"ج) الحرير")</f>
        <v>ج) الحرير</v>
      </c>
      <c r="M136" s="3" t="str">
        <f ca="1">IFERROR(__xludf.DUMMYFUNCTION("GOOGLETRANSLATE(E136,""en"",""ar"")"),"تُسمى قمصان الفرسان وأغطية خوذاتهم بالأقمشة الحريرية، وتمثل ألوانها وأنماطها مالك الحصان.")</f>
        <v>تُسمى قمصان الفرسان وأغطية خوذاتهم بالأقمشة الحريرية، وتمثل ألوانها وأنماطها مالك الحصان.</v>
      </c>
    </row>
    <row r="137" spans="1:13" ht="22.5" customHeight="1" x14ac:dyDescent="0.25">
      <c r="A137" s="4"/>
      <c r="B137" s="4"/>
      <c r="C137" s="4"/>
      <c r="D137" s="4"/>
      <c r="E137" s="4"/>
      <c r="I137" s="4" t="s">
        <v>18</v>
      </c>
      <c r="J137" s="3" t="str">
        <f ca="1">IFERROR(__xludf.DUMMYFUNCTION("GOOGLETRANSLATE(B137,""en"",""ar"")"),"ما هي مشية الخيول في هذه الصورة؟")</f>
        <v>ما هي مشية الخيول في هذه الصورة؟</v>
      </c>
      <c r="K137" s="3" t="str">
        <f ca="1">IFERROR(__xludf.DUMMYFUNCTION("GOOGLETRANSLATE(C137,""en"",""ar"")"),"أ) الهرولة، ب) العدو، ج) العدو السريع، د) الخطوة")</f>
        <v>أ) الهرولة، ب) العدو، ج) العدو السريع، د) الخطوة</v>
      </c>
      <c r="L137" s="3" t="str">
        <f ca="1">IFERROR(__xludf.DUMMYFUNCTION("GOOGLETRANSLATE(D137,""en"",""ar"")"),"ج) العدو")</f>
        <v>ج) العدو</v>
      </c>
      <c r="M137" s="3" t="str">
        <f ca="1">IFERROR(__xludf.DUMMYFUNCTION("GOOGLETRANSLATE(E137,""en"",""ar"")"),"هذه هي أسرع مشية للحصان، وتستخدم في سباقات الخيل، حيث تكون جميع الأقدام الأربعة مرفوعة عن الأرض في نقطة واحدة.")</f>
        <v>هذه هي أسرع مشية للحصان، وتستخدم في سباقات الخيل، حيث تكون جميع الأقدام الأربعة مرفوعة عن الأرض في نقطة واحدة.</v>
      </c>
    </row>
    <row r="138" spans="1:13" ht="22.5" customHeight="1" x14ac:dyDescent="0.25">
      <c r="A138" s="4"/>
      <c r="B138" s="4"/>
      <c r="C138" s="4"/>
      <c r="D138" s="4"/>
      <c r="E138" s="4"/>
      <c r="I138" s="4" t="s">
        <v>18</v>
      </c>
      <c r="J138" s="3" t="str">
        <f ca="1">IFERROR(__xludf.DUMMYFUNCTION("GOOGLETRANSLATE(B138,""en"",""ar"")"),"يبدو سطح المسار...")</f>
        <v>يبدو سطح المسار...</v>
      </c>
      <c r="K138" s="3" t="str">
        <f ca="1">IFERROR(__xludf.DUMMYFUNCTION("GOOGLETRANSLATE(C138,""en"",""ar"")"),"أ) عشب أخضر كثيف، ب) مضمار صناعي أو ترابي، ج) طين رطب، د) رصيف")</f>
        <v>أ) عشب أخضر كثيف، ب) مضمار صناعي أو ترابي، ج) طين رطب، د) رصيف</v>
      </c>
      <c r="L138" s="3" t="str">
        <f ca="1">IFERROR(__xludf.DUMMYFUNCTION("GOOGLETRANSLATE(D138,""en"",""ar"")"),"ب) مسار صناعي أو ترابي")</f>
        <v>ب) مسار صناعي أو ترابي</v>
      </c>
      <c r="M138" s="3" t="str">
        <f ca="1">IFERROR(__xludf.DUMMYFUNCTION("GOOGLETRANSLATE(E138,""en"",""ar"")"),"يُعد اللون والنسيج الرمادي المائل للبني من السمات المميزة إما لمسار ترابي تقليدي أو سطح صناعي حديث (مناسب لجميع الأحوال الجوية).")</f>
        <v>يُعد اللون والنسيج الرمادي المائل للبني من السمات المميزة إما لمسار ترابي تقليدي أو سطح صناعي حديث (مناسب لجميع الأحوال الجوية).</v>
      </c>
    </row>
    <row r="139" spans="1:13" ht="22.5" customHeight="1" x14ac:dyDescent="0.25">
      <c r="A139" s="4"/>
      <c r="B139" s="4"/>
      <c r="C139" s="4"/>
      <c r="D139" s="4"/>
      <c r="E139" s="4"/>
      <c r="I139" s="4" t="s">
        <v>18</v>
      </c>
      <c r="J139" s="3" t="str">
        <f ca="1">IFERROR(__xludf.DUMMYFUNCTION("GOOGLETRANSLATE(B139,""en"",""ar"")"),"ماذا يرتدي الحصان الموجود في المنتصف على رأسه للحد من مجال رؤيته؟")</f>
        <v>ماذا يرتدي الحصان الموجود في المنتصف على رأسه للحد من مجال رؤيته؟</v>
      </c>
      <c r="K139" s="3" t="str">
        <f ca="1">IFERROR(__xludf.DUMMYFUNCTION("GOOGLETRANSLATE(C139,""en"",""ar"")"),"أ) قناع ذباب، ب) لفافة ظل، ج) غطاء واقٍ للعينين، د) لجام")</f>
        <v>أ) قناع ذباب، ب) لفافة ظل، ج) غطاء واقٍ للعينين، د) لجام</v>
      </c>
      <c r="L139" s="3" t="str">
        <f ca="1">IFERROR(__xludf.DUMMYFUNCTION("GOOGLETRANSLATE(D139,""en"",""ar"")"),"ج) إشارات الانعطاف")</f>
        <v>ج) إشارات الانعطاف</v>
      </c>
      <c r="M139" s="3" t="str">
        <f ca="1">IFERROR(__xludf.DUMMYFUNCTION("GOOGLETRANSLATE(E139,""en"",""ar"")"),"إن غطاء الرأس المزود بأكواب على جانبي العينين هو عبارة عن مجموعة من واقيات العين، تهدف إلى إبقاء الحصان مركزًا على السباق الذي أمامه.")</f>
        <v>إن غطاء الرأس المزود بأكواب على جانبي العينين هو عبارة عن مجموعة من واقيات العين، تهدف إلى إبقاء الحصان مركزًا على السباق الذي أمامه.</v>
      </c>
    </row>
    <row r="140" spans="1:13" ht="22.5" customHeight="1" x14ac:dyDescent="0.25">
      <c r="A140" s="4"/>
      <c r="B140" s="4"/>
      <c r="C140" s="4"/>
      <c r="D140" s="4"/>
      <c r="E140" s="4"/>
      <c r="I140" s="4" t="s">
        <v>18</v>
      </c>
      <c r="J140" s="3" t="str">
        <f ca="1">IFERROR(__xludf.DUMMYFUNCTION("GOOGLETRANSLATE(B140,""en"",""ar"")"),"تظهر الخلفية تلالاً وأشجاراً، مما يوحي بأن مضمار السباق يقع في...")</f>
        <v>تظهر الخلفية تلالاً وأشجاراً، مما يوحي بأن مضمار السباق يقع في...</v>
      </c>
      <c r="K140" s="3" t="str">
        <f ca="1">IFERROR(__xludf.DUMMYFUNCTION("GOOGLETRANSLATE(C140,""en"",""ar"")"),"أ) مركز مدينة حضري مكتظ، ب) صحراء، ج) منطقة خلابة وواسعة، د) غابة استوائية")</f>
        <v>أ) مركز مدينة حضري مكتظ، ب) صحراء، ج) منطقة خلابة وواسعة، د) غابة استوائية</v>
      </c>
      <c r="L140" s="3" t="str">
        <f ca="1">IFERROR(__xludf.DUMMYFUNCTION("GOOGLETRANSLATE(D140,""en"",""ar"")"),"ج) منطقة واسعة ذات مناظر خلابة")</f>
        <v>ج) منطقة واسعة ذات مناظر خلابة</v>
      </c>
      <c r="M140" s="3" t="str">
        <f ca="1">IFERROR(__xludf.DUMMYFUNCTION("GOOGLETRANSLATE(E140,""en"",""ar"")"),"تقع العديد من حلبات السباق في مناطق الضواحي أو المناطق شبه الريفية ذات المناظر الطبيعية الخلابة.")</f>
        <v>تقع العديد من حلبات السباق في مناطق الضواحي أو المناطق شبه الريفية ذات المناظر الطبيعية الخلابة.</v>
      </c>
    </row>
    <row r="141" spans="1:13" ht="22.5" customHeight="1" x14ac:dyDescent="0.25">
      <c r="A141" s="4"/>
      <c r="B141" s="4"/>
      <c r="C141" s="4"/>
      <c r="D141" s="4"/>
      <c r="E141" s="4"/>
      <c r="I141" s="4" t="s">
        <v>18</v>
      </c>
      <c r="J141" s="3" t="str">
        <f ca="1">IFERROR(__xludf.DUMMYFUNCTION("GOOGLETRANSLATE(B141,""en"",""ar"")"),"يشير عدد الخيول التي تجري متقاربة جدًا إلى أن السباق...")</f>
        <v>يشير عدد الخيول التي تجري متقاربة جدًا إلى أن السباق...</v>
      </c>
      <c r="K141" s="3" t="str">
        <f ca="1">IFERROR(__xludf.DUMMYFUNCTION("GOOGLETRANSLATE(C141,""en"",""ar"")"),"أ) أحادي الجانب للغاية، ب) غير مهم، ج) تنافسي للغاية، د) للتدريب فقط")</f>
        <v>أ) أحادي الجانب للغاية، ب) غير مهم، ج) تنافسي للغاية، د) للتدريب فقط</v>
      </c>
      <c r="L141" s="3" t="str">
        <f ca="1">IFERROR(__xludf.DUMMYFUNCTION("GOOGLETRANSLATE(D141,""en"",""ar"")"),"ج) تنافسية للغاية")</f>
        <v>ج) تنافسية للغاية</v>
      </c>
      <c r="M141" s="3" t="str">
        <f ca="1">IFERROR(__xludf.DUMMYFUNCTION("GOOGLETRANSLATE(E141,""en"",""ar"")"),"إن وجود عدة خيول تتنافس على الفوز قرب خط النهاية هو علامة على سباق تنافسي للغاية.")</f>
        <v>إن وجود عدة خيول تتنافس على الفوز قرب خط النهاية هو علامة على سباق تنافسي للغاية.</v>
      </c>
    </row>
    <row r="142" spans="1:13" ht="22.5" customHeight="1" x14ac:dyDescent="0.25">
      <c r="A142" s="4"/>
      <c r="B142" s="4"/>
      <c r="C142" s="4"/>
      <c r="D142" s="4"/>
      <c r="E142" s="4"/>
      <c r="I142" s="4" t="s">
        <v>19</v>
      </c>
      <c r="J142" s="3" t="str">
        <f ca="1">IFERROR(__xludf.DUMMYFUNCTION("GOOGLETRANSLATE(B142,""en"",""ar"")"),"ما هو سطح السباق الموضح في هذه الصورة؟")</f>
        <v>ما هو سطح السباق الموضح في هذه الصورة؟</v>
      </c>
      <c r="K142" s="3" t="str">
        <f ca="1">IFERROR(__xludf.DUMMYFUNCTION("GOOGLETRANSLATE(C142,""en"",""ar"")"),"أ) تراب، ب) عشب (عشب صناعي)، ج) ثلج، د) صناعي")</f>
        <v>أ) تراب، ب) عشب (عشب صناعي)، ج) ثلج، د) صناعي</v>
      </c>
      <c r="L142" s="3" t="str">
        <f ca="1">IFERROR(__xludf.DUMMYFUNCTION("GOOGLETRANSLATE(D142,""en"",""ar"")"),"ب) العشب (الأرض العشبية)")</f>
        <v>ب) العشب (الأرض العشبية)</v>
      </c>
      <c r="M142" s="3" t="str">
        <f ca="1">IFERROR(__xludf.DUMMYFUNCTION("GOOGLETRANSLATE(E142,""en"",""ar"")"),"من الواضح أن الخيول تجري على مضمار عشبي أخضر جيد الصيانة، وهو ما يُعرف في سباقات الخيل باسم مضمار العشب.")</f>
        <v>من الواضح أن الخيول تجري على مضمار عشبي أخضر جيد الصيانة، وهو ما يُعرف في سباقات الخيل باسم مضمار العشب.</v>
      </c>
    </row>
    <row r="143" spans="1:13" ht="22.5" customHeight="1" x14ac:dyDescent="0.25">
      <c r="A143" s="4"/>
      <c r="B143" s="4"/>
      <c r="C143" s="4"/>
      <c r="D143" s="4"/>
      <c r="E143" s="4"/>
      <c r="I143" s="4" t="s">
        <v>19</v>
      </c>
      <c r="J143" s="3" t="str">
        <f ca="1">IFERROR(__xludf.DUMMYFUNCTION("GOOGLETRANSLATE(B143,""en"",""ar"")"),"ما هو رقم الحصان الرئيسي في المقدمة؟")</f>
        <v>ما هو رقم الحصان الرئيسي في المقدمة؟</v>
      </c>
      <c r="K143" s="3" t="str">
        <f ca="1">IFERROR(__xludf.DUMMYFUNCTION("GOOGLETRANSLATE(C143,""en"",""ar"")"),"أ) 1، ب) 7، ج) 11، د) 9")</f>
        <v>أ) 1، ب) 7، ج) 11، د) 9</v>
      </c>
      <c r="L143" s="3" t="str">
        <f ca="1">IFERROR(__xludf.DUMMYFUNCTION("GOOGLETRANSLATE(D143,""en"",""ar"")"),"ج) 11")</f>
        <v>ج) 11</v>
      </c>
      <c r="M143" s="3" t="str">
        <f ca="1">IFERROR(__xludf.DUMMYFUNCTION("GOOGLETRANSLATE(E143,""en"",""ar"")"),"يظهر الرقم 11 بشكل بارز على غطاء السرج الأسود للحصان ذي اللون البني الداكن في المقدمة.")</f>
        <v>يظهر الرقم 11 بشكل بارز على غطاء السرج الأسود للحصان ذي اللون البني الداكن في المقدمة.</v>
      </c>
    </row>
    <row r="144" spans="1:13" ht="22.5" customHeight="1" x14ac:dyDescent="0.25">
      <c r="A144" s="4"/>
      <c r="B144" s="4"/>
      <c r="C144" s="4"/>
      <c r="D144" s="4"/>
      <c r="E144" s="4"/>
      <c r="I144" s="4" t="s">
        <v>19</v>
      </c>
      <c r="J144" s="3" t="str">
        <f ca="1">IFERROR(__xludf.DUMMYFUNCTION("GOOGLETRANSLATE(B144,""en"",""ar"")"),"ما هي القطعة البيضاء الرقيقة الموجودة على أنف الحصان القائد؟")</f>
        <v>ما هي القطعة البيضاء الرقيقة الموجودة على أنف الحصان القائد؟</v>
      </c>
      <c r="K144" s="3" t="str">
        <f ca="1">IFERROR(__xludf.DUMMYFUNCTION("GOOGLETRANSLATE(C144,""en"",""ar"")"),"أ) إسفنجة، ب) لفافة ظل، ج) مدفأة أنف، د) نفخة زينة")</f>
        <v>أ) إسفنجة، ب) لفافة ظل، ج) مدفأة أنف، د) نفخة زينة</v>
      </c>
      <c r="L144" s="3" t="str">
        <f ca="1">IFERROR(__xludf.DUMMYFUNCTION("GOOGLETRANSLATE(D144,""en"",""ar"")"),"ب) لفة الظل")</f>
        <v>ب) لفة الظل</v>
      </c>
      <c r="M144" s="3" t="str">
        <f ca="1">IFERROR(__xludf.DUMMYFUNCTION("GOOGLETRANSLATE(E144,""en"",""ar"")"),"هذا عبارة عن لفافة ظل من جلد الغنم، تمنع الحصان من رؤية الظلال مباشرة على الأرض أمامه، مما قد يجعله ينزعج أو يقفز.")</f>
        <v>هذا عبارة عن لفافة ظل من جلد الغنم، تمنع الحصان من رؤية الظلال مباشرة على الأرض أمامه، مما قد يجعله ينزعج أو يقفز.</v>
      </c>
    </row>
    <row r="145" spans="1:13" ht="22.5" customHeight="1" x14ac:dyDescent="0.25">
      <c r="A145" s="4"/>
      <c r="B145" s="4"/>
      <c r="C145" s="4"/>
      <c r="D145" s="4"/>
      <c r="E145" s="4"/>
      <c r="I145" s="4" t="s">
        <v>19</v>
      </c>
      <c r="J145" s="3" t="str">
        <f ca="1">IFERROR(__xludf.DUMMYFUNCTION("GOOGLETRANSLATE(B145,""en"",""ar"")"),"ماذا يشير شعار ""WORLD POOL"" الظاهر على أغطية السرج؟")</f>
        <v>ماذا يشير شعار "WORLD POOL" الظاهر على أغطية السرج؟</v>
      </c>
      <c r="K145" s="3" t="str">
        <f ca="1">IFERROR(__xludf.DUMMYFUNCTION("GOOGLETRANSLATE(C145,""en"",""ar"")"),"أ) اسم الحصان، ب) اسم الفارس، ج) راعٍ أو شريك مراهنات للحدث، د) موقع السباق")</f>
        <v>أ) اسم الحصان، ب) اسم الفارس، ج) راعٍ أو شريك مراهنات للحدث، د) موقع السباق</v>
      </c>
      <c r="L145" s="3" t="str">
        <f ca="1">IFERROR(__xludf.DUMMYFUNCTION("GOOGLETRANSLATE(D145,""en"",""ar"")"),"ج) راعٍ أو شريك مراهنات للحدث")</f>
        <v>ج) راعٍ أو شريك مراهنات للحدث</v>
      </c>
      <c r="M145" s="3" t="str">
        <f ca="1">IFERROR(__xludf.DUMMYFUNCTION("GOOGLETRANSLATE(E145,""en"",""ar"")"),"عادةً ما تكون الشعارات الموجودة على أغطية السرج خاصة براعي السباق. يُعدّ ""التجمع العالمي"" تعاونًا بين منظمات المراهنات العالمية.")</f>
        <v>عادةً ما تكون الشعارات الموجودة على أغطية السرج خاصة براعي السباق. يُعدّ "التجمع العالمي" تعاونًا بين منظمات المراهنات العالمية.</v>
      </c>
    </row>
    <row r="146" spans="1:13" ht="22.5" customHeight="1" x14ac:dyDescent="0.25">
      <c r="A146" s="4"/>
      <c r="B146" s="4"/>
      <c r="C146" s="4"/>
      <c r="D146" s="4"/>
      <c r="E146" s="4"/>
      <c r="I146" s="4" t="s">
        <v>19</v>
      </c>
      <c r="J146" s="3" t="str">
        <f ca="1">IFERROR(__xludf.DUMMYFUNCTION("GOOGLETRANSLATE(B146,""en"",""ar"")"),"ما هو الفعل الذي يقوم به فارس الحصان رقم 11 بيده اليمنى؟")</f>
        <v>ما هو الفعل الذي يقوم به فارس الحصان رقم 11 بيده اليمنى؟</v>
      </c>
      <c r="K146" s="3" t="str">
        <f ca="1">IFERROR(__xludf.DUMMYFUNCTION("GOOGLETRANSLATE(C146,""en"",""ar"")"),"أ) التلويح للحشد، ب) الإمساك باللجام، ج) استخدام سوط الركوب، د) الإمساك بعرف الحصان")</f>
        <v>أ) التلويح للحشد، ب) الإمساك باللجام، ج) استخدام سوط الركوب، د) الإمساك بعرف الحصان</v>
      </c>
      <c r="L146" s="3" t="str">
        <f ca="1">IFERROR(__xludf.DUMMYFUNCTION("GOOGLETRANSLATE(D146,""en"",""ar"")"),"د) الإمساك بعرف الحصان")</f>
        <v>د) الإمساك بعرف الحصان</v>
      </c>
      <c r="M146" s="3" t="str">
        <f ca="1">IFERROR(__xludf.DUMMYFUNCTION("GOOGLETRANSLATE(E146,""en"",""ar"")"),"إنه يمسك بجزء من عرف الحصان مع اللجام، وهي تقنية يستخدمها بعض الفرسان لتحقيق توازن وتحكم أفضل.")</f>
        <v>إنه يمسك بجزء من عرف الحصان مع اللجام، وهي تقنية يستخدمها بعض الفرسان لتحقيق توازن وتحكم أفضل.</v>
      </c>
    </row>
    <row r="147" spans="1:13" ht="22.5" customHeight="1" x14ac:dyDescent="0.25">
      <c r="A147" s="4"/>
      <c r="B147" s="4"/>
      <c r="C147" s="4"/>
      <c r="D147" s="4"/>
      <c r="E147" s="4"/>
      <c r="I147" s="4" t="s">
        <v>19</v>
      </c>
      <c r="J147" s="3" t="str">
        <f ca="1">IFERROR(__xludf.DUMMYFUNCTION("GOOGLETRANSLATE(B147,""en"",""ar"")"),"الحصان الأمامي والحصان الرمادي (رقم 1) في مرحلة من العدو حيث...")</f>
        <v>الحصان الأمامي والحصان الرمادي (رقم 1) في مرحلة من العدو حيث...</v>
      </c>
      <c r="K147" s="3" t="str">
        <f ca="1">IFERROR(__xludf.DUMMYFUNCTION("GOOGLETRANSLATE(C147,""en"",""ar"")"),"أ) جميع الأقدام الأربعة على الأرض، ب) هي في الهواء تمامًا، ج) هي تهبط على أقدامها الأمامية، د) هي تهبط على أقدامها الخلفية")</f>
        <v>أ) جميع الأقدام الأربعة على الأرض، ب) هي في الهواء تمامًا، ج) هي تهبط على أقدامها الأمامية، د) هي تهبط على أقدامها الخلفية</v>
      </c>
      <c r="L147" s="3" t="str">
        <f ca="1">IFERROR(__xludf.DUMMYFUNCTION("GOOGLETRANSLATE(D147,""en"",""ar"")"),"ب) إنها محمولة جواً بالكامل")</f>
        <v>ب) إنها محمولة جواً بالكامل</v>
      </c>
      <c r="M147" s="3" t="str">
        <f ca="1">IFERROR(__xludf.DUMMYFUNCTION("GOOGLETRANSLATE(E147,""en"",""ar"")"),"كلا الحصانين في ""لحظة تعليق"" أثناء عدوهما، حيث تكون جميع حوافرهما الأربعة خارج العشب.")</f>
        <v>كلا الحصانين في "لحظة تعليق" أثناء عدوهما، حيث تكون جميع حوافرهما الأربعة خارج العشب.</v>
      </c>
    </row>
    <row r="148" spans="1:13" ht="22.5" customHeight="1" x14ac:dyDescent="0.25">
      <c r="A148" s="4"/>
      <c r="B148" s="4"/>
      <c r="C148" s="4"/>
      <c r="D148" s="4"/>
      <c r="E148" s="4"/>
      <c r="I148" s="4" t="s">
        <v>19</v>
      </c>
      <c r="J148" s="3" t="str">
        <f ca="1">IFERROR(__xludf.DUMMYFUNCTION("GOOGLETRANSLATE(B148,""en"",""ar"")"),"ما لون الحصان الذي يحمل غطاء السرج رقم 1؟")</f>
        <v>ما لون الحصان الذي يحمل غطاء السرج رقم 1؟</v>
      </c>
      <c r="K148" s="3" t="str">
        <f ca="1">IFERROR(__xludf.DUMMYFUNCTION("GOOGLETRANSLATE(C148,""en"",""ar"")"),"أ) أسود، ب) بني، ج) رمادي، د) كستنائي")</f>
        <v>أ) أسود، ب) بني، ج) رمادي، د) كستنائي</v>
      </c>
      <c r="L148" s="3" t="str">
        <f ca="1">IFERROR(__xludf.DUMMYFUNCTION("GOOGLETRANSLATE(D148,""en"",""ar"")"),"ج) رمادي")</f>
        <v>ج) رمادي</v>
      </c>
      <c r="M148" s="3" t="str">
        <f ca="1">IFERROR(__xludf.DUMMYFUNCTION("GOOGLETRANSLATE(E148,""en"",""ar"")"),"هذا الحصان ذو فراء رمادي، وهو لون شائع في الخيول الأصيلة.")</f>
        <v>هذا الحصان ذو فراء رمادي، وهو لون شائع في الخيول الأصيلة.</v>
      </c>
    </row>
    <row r="149" spans="1:13" ht="22.5" customHeight="1" x14ac:dyDescent="0.25">
      <c r="A149" s="4"/>
      <c r="B149" s="4"/>
      <c r="C149" s="4"/>
      <c r="D149" s="4"/>
      <c r="E149" s="4"/>
      <c r="I149" s="4" t="s">
        <v>19</v>
      </c>
      <c r="J149" s="3" t="str">
        <f ca="1">IFERROR(__xludf.DUMMYFUNCTION("GOOGLETRANSLATE(B149,""en"",""ar"")"),"ما هي المنطقة التي تشتهر بسباقات الخيل، والتي تشتهر بأسلوب سباقات الخيل ومضمارها العشبي الأخضر؟")</f>
        <v>ما هي المنطقة التي تشتهر بسباقات الخيل، والتي تشتهر بأسلوب سباقات الخيل ومضمارها العشبي الأخضر؟</v>
      </c>
      <c r="K149" s="3" t="str">
        <f ca="1">IFERROR(__xludf.DUMMYFUNCTION("GOOGLETRANSLATE(C149,""en"",""ar"")"),"أ) صحراء الشرق الأوسط، ب) أمريكا الجنوبية، ج) أوروبا (وخاصة المملكة المتحدة وأيرلندا)، د) المناطق القطبية الشمالية")</f>
        <v>أ) صحراء الشرق الأوسط، ب) أمريكا الجنوبية، ج) أوروبا (وخاصة المملكة المتحدة وأيرلندا)، د) المناطق القطبية الشمالية</v>
      </c>
      <c r="L149" s="3" t="str">
        <f ca="1">IFERROR(__xludf.DUMMYFUNCTION("GOOGLETRANSLATE(D149,""en"",""ar"")"),"ج) أوروبا (وخاصة المملكة المتحدة وأيرلندا)")</f>
        <v>ج) أوروبا (وخاصة المملكة المتحدة وأيرلندا)</v>
      </c>
      <c r="M149" s="3" t="str">
        <f ca="1">IFERROR(__xludf.DUMMYFUNCTION("GOOGLETRANSLATE(E149,""en"",""ar"")"),"سباقات العشب هي الشكل التقليدي والأكثر شيوعًا لسباقات الخيل في المملكة المتحدة وأيرلندا وجزء كبير من أوروبا القارية.")</f>
        <v>سباقات العشب هي الشكل التقليدي والأكثر شيوعًا لسباقات الخيل في المملكة المتحدة وأيرلندا وجزء كبير من أوروبا القارية.</v>
      </c>
    </row>
    <row r="150" spans="1:13" ht="22.5" customHeight="1" x14ac:dyDescent="0.25">
      <c r="A150" s="4"/>
      <c r="B150" s="4"/>
      <c r="C150" s="4"/>
      <c r="D150" s="4"/>
      <c r="E150" s="4"/>
      <c r="I150" s="4" t="s">
        <v>19</v>
      </c>
      <c r="J150" s="3" t="str">
        <f ca="1">IFERROR(__xludf.DUMMYFUNCTION("GOOGLETRANSLATE(B150,""en"",""ar"")"),"ما هي الوظيفة الأساسية للأحذية الخفيفة التي يرتديها الفرسان؟")</f>
        <v>ما هي الوظيفة الأساسية للأحذية الخفيفة التي يرتديها الفرسان؟</v>
      </c>
      <c r="K150" s="3" t="str">
        <f ca="1">IFERROR(__xludf.DUMMYFUNCTION("GOOGLETRANSLATE(C150,""en"",""ar"")"),"أ) لتوفير الدفء، ب) لتوفير الحماية بأقل وزن ممكن، ج) ليكون أنيقًا، د) لجعل الفارس أطول قامة")</f>
        <v>أ) لتوفير الدفء، ب) لتوفير الحماية بأقل وزن ممكن، ج) ليكون أنيقًا، د) لجعل الفارس أطول قامة</v>
      </c>
      <c r="L150" s="3" t="str">
        <f ca="1">IFERROR(__xludf.DUMMYFUNCTION("GOOGLETRANSLATE(D150,""en"",""ar"")"),"ب) توفير الحماية بأقل وزن ممكن")</f>
        <v>ب) توفير الحماية بأقل وزن ممكن</v>
      </c>
      <c r="M150" s="3" t="str">
        <f ca="1">IFERROR(__xludf.DUMMYFUNCTION("GOOGLETRANSLATE(E150,""en"",""ar"")"),"أحذية الجوكي رقيقة وخفيفة الوزن لإضافة أقل وزن ممكن، مع توفير بعض الحماية والدعم.")</f>
        <v>أحذية الجوكي رقيقة وخفيفة الوزن لإضافة أقل وزن ممكن، مع توفير بعض الحماية والدعم.</v>
      </c>
    </row>
    <row r="151" spans="1:13" ht="22.5" customHeight="1" x14ac:dyDescent="0.25">
      <c r="A151" s="4"/>
      <c r="B151" s="4"/>
      <c r="C151" s="4"/>
      <c r="D151" s="4"/>
      <c r="E151" s="4"/>
      <c r="I151" s="4" t="s">
        <v>19</v>
      </c>
      <c r="J151" s="3" t="str">
        <f ca="1">IFERROR(__xludf.DUMMYFUNCTION("GOOGLETRANSLATE(B151,""en"",""ar"")"),"ينظر الفارس الذي يرتدي الزي الأخضر والوردي إلى جانبه...")</f>
        <v>ينظر الفارس الذي يرتدي الزي الأخضر والوردي إلى جانبه...</v>
      </c>
      <c r="K151" s="3" t="str">
        <f ca="1">IFERROR(__xludf.DUMMYFUNCTION("GOOGLETRANSLATE(C151,""en"",""ar"")"),"أ) انظر إلى المتفرجين، ب) قيّم موقع الخيول الأخرى، ج) تحدث إلى فارس آخر، د) عدّل خوذته")</f>
        <v>أ) انظر إلى المتفرجين، ب) قيّم موقع الخيول الأخرى، ج) تحدث إلى فارس آخر، د) عدّل خوذته</v>
      </c>
      <c r="L151" s="3" t="str">
        <f ca="1">IFERROR(__xludf.DUMMYFUNCTION("GOOGLETRANSLATE(D151,""en"",""ar"")"),"ب) تحديد موقع الخيول الأخرى")</f>
        <v>ب) تحديد موقع الخيول الأخرى</v>
      </c>
      <c r="M151" s="3" t="str">
        <f ca="1">IFERROR(__xludf.DUMMYFUNCTION("GOOGLETRANSLATE(E151,""en"",""ar"")"),"يراقب الفرسان منافسيهم باستمرار لتحديد الوقت المناسب للقيام بخطوة أثناء السباق.")</f>
        <v>يراقب الفرسان منافسيهم باستمرار لتحديد الوقت المناسب للقيام بخطوة أثناء السباق.</v>
      </c>
    </row>
    <row r="152" spans="1:13" ht="22.5" customHeight="1" x14ac:dyDescent="0.25">
      <c r="A152" s="4"/>
      <c r="B152" s="4"/>
      <c r="C152" s="4"/>
      <c r="D152" s="4"/>
      <c r="E152" s="4"/>
      <c r="I152" s="4" t="s">
        <v>20</v>
      </c>
      <c r="J152" s="3" t="str">
        <f ca="1">IFERROR(__xludf.DUMMYFUNCTION("GOOGLETRANSLATE(B152,""en"",""ar"")"),"يبدو أن هذه الصورة قد التُقطت في أي وقت من اليوم؟")</f>
        <v>يبدو أن هذه الصورة قد التُقطت في أي وقت من اليوم؟</v>
      </c>
      <c r="K152" s="3" t="str">
        <f ca="1">IFERROR(__xludf.DUMMYFUNCTION("GOOGLETRANSLATE(C152,""en"",""ar"")"),"أ) منتصف النهار، والشمس في كبد السماء، ب) أواخر فترة ما بعد الظهر أو أوائل المساء، ج) عند الفجر، د) في منتصف الليل")</f>
        <v>أ) منتصف النهار، والشمس في كبد السماء، ب) أواخر فترة ما بعد الظهر أو أوائل المساء، ج) عند الفجر، د) في منتصف الليل</v>
      </c>
      <c r="L152" s="3" t="str">
        <f ca="1">IFERROR(__xludf.DUMMYFUNCTION("GOOGLETRANSLATE(D152,""en"",""ar"")"),"ب) أواخر فترة ما بعد الظهر أو أوائل المساء")</f>
        <v>ب) أواخر فترة ما بعد الظهر أو أوائل المساء</v>
      </c>
      <c r="M152" s="3" t="str">
        <f ca="1">IFERROR(__xludf.DUMMYFUNCTION("GOOGLETRANSLATE(E152,""en"",""ar"")"),"تُعد الظلال الطويلة والضوء الذهبي الدافئ من سمات ""الساعة الذهبية"" قبل غروب الشمس.")</f>
        <v>تُعد الظلال الطويلة والضوء الذهبي الدافئ من سمات "الساعة الذهبية" قبل غروب الشمس.</v>
      </c>
    </row>
    <row r="153" spans="1:13" ht="22.5" customHeight="1" x14ac:dyDescent="0.25">
      <c r="A153" s="4"/>
      <c r="B153" s="4"/>
      <c r="C153" s="4"/>
      <c r="D153" s="4"/>
      <c r="E153" s="4"/>
      <c r="I153" s="4" t="s">
        <v>20</v>
      </c>
      <c r="J153" s="3" t="str">
        <f ca="1">IFERROR(__xludf.DUMMYFUNCTION("GOOGLETRANSLATE(B153,""en"",""ar"")"),"الخيول متباعدة، واثنان منها في المقدمة. وهذا يشير إلى أن السباق...")</f>
        <v>الخيول متباعدة، واثنان منها في المقدمة. وهذا يشير إلى أن السباق...</v>
      </c>
      <c r="K153" s="3" t="str">
        <f ca="1">IFERROR(__xludf.DUMMYFUNCTION("GOOGLETRANSLATE(C153,""en"",""ar"")"),"أ) بداية السباق، ب) في المراحل المتوسطة أو المتأخرة، ج) لفة إحماء، د) سباق متقارب للغاية ينتهي بفارق ضئيل")</f>
        <v>أ) بداية السباق، ب) في المراحل المتوسطة أو المتأخرة، ج) لفة إحماء، د) سباق متقارب للغاية ينتهي بفارق ضئيل</v>
      </c>
      <c r="L153" s="3" t="str">
        <f ca="1">IFERROR(__xludf.DUMMYFUNCTION("GOOGLETRANSLATE(D153,""en"",""ar"")"),"ب) في المراحل المتوسطة أو المتأخرة")</f>
        <v>ب) في المراحل المتوسطة أو المتأخرة</v>
      </c>
      <c r="M153" s="3" t="str">
        <f ca="1">IFERROR(__xludf.DUMMYFUNCTION("GOOGLETRANSLATE(E153,""en"",""ar"")"),"في السباقات الطويلة، يميل حقل الخيول إلى التباعد حيث تتعب بعض الخيول بينما تقوم خيول أخرى بالتحرك.")</f>
        <v>في السباقات الطويلة، يميل حقل الخيول إلى التباعد حيث تتعب بعض الخيول بينما تقوم خيول أخرى بالتحرك.</v>
      </c>
    </row>
    <row r="154" spans="1:13" ht="22.5" customHeight="1" x14ac:dyDescent="0.25">
      <c r="A154" s="4"/>
      <c r="B154" s="4"/>
      <c r="C154" s="4"/>
      <c r="D154" s="4"/>
      <c r="E154" s="4"/>
      <c r="I154" s="4" t="s">
        <v>20</v>
      </c>
      <c r="J154" s="3" t="str">
        <f ca="1">IFERROR(__xludf.DUMMYFUNCTION("GOOGLETRANSLATE(B154,""en"",""ar"")"),"ما نوع سطح مضمار السباق هذا؟")</f>
        <v>ما نوع سطح مضمار السباق هذا؟</v>
      </c>
      <c r="K154" s="3" t="str">
        <f ca="1">IFERROR(__xludf.DUMMYFUNCTION("GOOGLETRANSLATE(C154,""en"",""ar"")"),"أ) عشب أخضر، ب) طين داكن، ج) مسار رملي أو ترابي فاتح اللون، د) أسفلت")</f>
        <v>أ) عشب أخضر، ب) طين داكن، ج) مسار رملي أو ترابي فاتح اللون، د) أسفلت</v>
      </c>
      <c r="L154" s="3" t="str">
        <f ca="1">IFERROR(__xludf.DUMMYFUNCTION("GOOGLETRANSLATE(D154,""en"",""ar"")"),"ج) مسار رملي أو ترابي فاتح اللون")</f>
        <v>ج) مسار رملي أو ترابي فاتح اللون</v>
      </c>
      <c r="M154" s="3" t="str">
        <f ca="1">IFERROR(__xludf.DUMMYFUNCTION("GOOGLETRANSLATE(E154,""en"",""ar"")"),"السطح ذو لون رملي باهت، يختلف عن ملعب العشب الأخضر المورق.")</f>
        <v>السطح ذو لون رملي باهت، يختلف عن ملعب العشب الأخضر المورق.</v>
      </c>
    </row>
    <row r="155" spans="1:13" ht="22.5" customHeight="1" x14ac:dyDescent="0.25">
      <c r="A155" s="4"/>
      <c r="B155" s="4"/>
      <c r="C155" s="4"/>
      <c r="D155" s="4"/>
      <c r="E155" s="4"/>
      <c r="I155" s="4" t="s">
        <v>20</v>
      </c>
      <c r="J155" s="3" t="str">
        <f ca="1">IFERROR(__xludf.DUMMYFUNCTION("GOOGLETRANSLATE(B155,""en"",""ar"")"),"ما هي الألوان الأساسية التي يرتديها الفارس المتصدر؟")</f>
        <v>ما هي الألوان الأساسية التي يرتديها الفارس المتصدر؟</v>
      </c>
      <c r="K155" s="3" t="str">
        <f ca="1">IFERROR(__xludf.DUMMYFUNCTION("GOOGLETRANSLATE(C155,""en"",""ar"")"),"أ) أحمر وأزرق، ب) أخضر وأبيض، ج) أصفر وأزرق، د) أسود ووردي")</f>
        <v>أ) أحمر وأزرق، ب) أخضر وأبيض، ج) أصفر وأزرق، د) أسود ووردي</v>
      </c>
      <c r="L155" s="3" t="str">
        <f ca="1">IFERROR(__xludf.DUMMYFUNCTION("GOOGLETRANSLATE(D155,""en"",""ar"")"),"ج) الأصفر والأزرق")</f>
        <v>ج) الأصفر والأزرق</v>
      </c>
      <c r="M155" s="3" t="str">
        <f ca="1">IFERROR(__xludf.DUMMYFUNCTION("GOOGLETRANSLATE(E155,""en"",""ar"")"),"يرتدي الفارس على الحصان الرئيسي خوذة صفراء وسترة صفراء بنقشة ماسية زرقاء.")</f>
        <v>يرتدي الفارس على الحصان الرئيسي خوذة صفراء وسترة صفراء بنقشة ماسية زرقاء.</v>
      </c>
    </row>
    <row r="156" spans="1:13" ht="22.5" customHeight="1" x14ac:dyDescent="0.25">
      <c r="A156" s="4"/>
      <c r="B156" s="4"/>
      <c r="C156" s="4"/>
      <c r="D156" s="4"/>
      <c r="E156" s="4"/>
      <c r="I156" s="4" t="s">
        <v>20</v>
      </c>
      <c r="J156" s="3" t="str">
        <f ca="1">IFERROR(__xludf.DUMMYFUNCTION("GOOGLETRANSLATE(B156,""en"",""ar"")"),"ما الذي يمكن رؤيته في الخلفية، خلف الأشجار؟")</f>
        <v>ما الذي يمكن رؤيته في الخلفية، خلف الأشجار؟</v>
      </c>
      <c r="K156" s="3" t="str">
        <f ca="1">IFERROR(__xludf.DUMMYFUNCTION("GOOGLETRANSLATE(C156,""en"",""ar"")"),"أ) ناطحات السحاب الشاهقة في المدن، ب) الجبال، ج) المنشآت الصناعية مثل المداخن، د) المحيط")</f>
        <v>أ) ناطحات السحاب الشاهقة في المدن، ب) الجبال، ج) المنشآت الصناعية مثل المداخن، د) المحيط</v>
      </c>
      <c r="L156" s="3" t="str">
        <f ca="1">IFERROR(__xludf.DUMMYFUNCTION("GOOGLETRANSLATE(D156,""en"",""ar"")"),"ج) المنشآت الصناعية مثل المداخن")</f>
        <v>ج) المنشآت الصناعية مثل المداخن</v>
      </c>
      <c r="M156" s="3" t="str">
        <f ca="1">IFERROR(__xludf.DUMMYFUNCTION("GOOGLETRANSLATE(E156,""en"",""ar"")"),"تظهر في الخلفية بشكل خافت ما يبدو أنها مداخن مصانع أو محطات معالجة مياه.")</f>
        <v>تظهر في الخلفية بشكل خافت ما يبدو أنها مداخن مصانع أو محطات معالجة مياه.</v>
      </c>
    </row>
    <row r="157" spans="1:13" ht="22.5" customHeight="1" x14ac:dyDescent="0.25">
      <c r="A157" s="4"/>
      <c r="B157" s="4"/>
      <c r="C157" s="4"/>
      <c r="D157" s="4"/>
      <c r="E157" s="4"/>
      <c r="I157" s="4" t="s">
        <v>20</v>
      </c>
      <c r="J157" s="3" t="str">
        <f ca="1">IFERROR(__xludf.DUMMYFUNCTION("GOOGLETRANSLATE(B157,""en"",""ar"")"),"ينظر الفارس الرئيسي إلى الوراء فوق كتفه لينظر إلى...")</f>
        <v>ينظر الفارس الرئيسي إلى الوراء فوق كتفه لينظر إلى...</v>
      </c>
      <c r="K157" s="3" t="str">
        <f ca="1">IFERROR(__xludf.DUMMYFUNCTION("GOOGLETRANSLATE(C157,""en"",""ar"")"),"أ) تأكد مما إذا كان لا يزال يرتدي خوذته، ب) تحقق من مواقع منافسيه، ج) لوّح للجمهور، د) استمتع بمنظر غروب الشمس")</f>
        <v>أ) تأكد مما إذا كان لا يزال يرتدي خوذته، ب) تحقق من مواقع منافسيه، ج) لوّح للجمهور، د) استمتع بمنظر غروب الشمس</v>
      </c>
      <c r="L157" s="3" t="str">
        <f ca="1">IFERROR(__xludf.DUMMYFUNCTION("GOOGLETRANSLATE(D157,""en"",""ar"")"),"ب) التحقق من موقع منافسيه")</f>
        <v>ب) التحقق من موقع منافسيه</v>
      </c>
      <c r="M157" s="3" t="str">
        <f ca="1">IFERROR(__xludf.DUMMYFUNCTION("GOOGLETRANSLATE(E157,""en"",""ar"")"),"كثيراً ما ينظر الفرسان إلى الخلف لتقييم مدى تقدمهم ومكان وجود الخيول الأخرى.")</f>
        <v>كثيراً ما ينظر الفرسان إلى الخلف لتقييم مدى تقدمهم ومكان وجود الخيول الأخرى.</v>
      </c>
    </row>
    <row r="158" spans="1:13" ht="22.5" customHeight="1" x14ac:dyDescent="0.25">
      <c r="A158" s="4"/>
      <c r="B158" s="4"/>
      <c r="C158" s="4"/>
      <c r="D158" s="4"/>
      <c r="E158" s="4"/>
      <c r="I158" s="4" t="s">
        <v>20</v>
      </c>
      <c r="J158" s="3" t="str">
        <f ca="1">IFERROR(__xludf.DUMMYFUNCTION("GOOGLETRANSLATE(B158,""en"",""ar"")"),"ما هو المزاج العام لهذه الصورة؟")</f>
        <v>ما هو المزاج العام لهذه الصورة؟</v>
      </c>
      <c r="K158" s="3" t="str">
        <f ca="1">IFERROR(__xludf.DUMMYFUNCTION("GOOGLETRANSLATE(C158,""en"",""ar"")"),"أ) متوتر وفوضوي، ب) هادئ وساكن، ج) كئيب ومظلم، د) سريع الإيقاع ومثير")</f>
        <v>أ) متوتر وفوضوي، ب) هادئ وساكن، ج) كئيب ومظلم، د) سريع الإيقاع ومثير</v>
      </c>
      <c r="L158" s="3" t="str">
        <f ca="1">IFERROR(__xludf.DUMMYFUNCTION("GOOGLETRANSLATE(D158,""en"",""ar"")"),"ب) هادئ وساكن")</f>
        <v>ب) هادئ وساكن</v>
      </c>
      <c r="M158" s="3" t="str">
        <f ca="1">IFERROR(__xludf.DUMMYFUNCTION("GOOGLETRANSLATE(E158,""en"",""ar"")"),"بالمقارنة مع العديد من صور سباقات الخيل، فإن اللقطة الواسعة والإضاءة الدافئة والخيول المتباعدة تمنح هذه الصورة إحساساً بالهدوء النسبي، يكاد يكون ريفياً.")</f>
        <v>بالمقارنة مع العديد من صور سباقات الخيل، فإن اللقطة الواسعة والإضاءة الدافئة والخيول المتباعدة تمنح هذه الصورة إحساساً بالهدوء النسبي، يكاد يكون ريفياً.</v>
      </c>
    </row>
    <row r="159" spans="1:13" ht="22.5" customHeight="1" x14ac:dyDescent="0.25">
      <c r="A159" s="4"/>
      <c r="B159" s="4"/>
      <c r="C159" s="4"/>
      <c r="D159" s="4"/>
      <c r="E159" s="4"/>
      <c r="I159" s="4" t="s">
        <v>20</v>
      </c>
      <c r="J159" s="3" t="str">
        <f ca="1">IFERROR(__xludf.DUMMYFUNCTION("GOOGLETRANSLATE(B159,""en"",""ar"")"),"السور الأبيض الذي يمتد على طول السكة موجود لغرض...")</f>
        <v>السور الأبيض الذي يمتد على طول السكة موجود لغرض...</v>
      </c>
      <c r="K159" s="3" t="str">
        <f ca="1">IFERROR(__xludf.DUMMYFUNCTION("GOOGLETRANSLATE(C159,""en"",""ar"")"),"أ) تزويد الفرسان بشيءٍ للإمساك به، ب) إبقاء الخيول على المسار الصحيح، ج) عرض الإعلانات، د) توفير مقاعد للمتفرجين")</f>
        <v>أ) تزويد الفرسان بشيءٍ للإمساك به، ب) إبقاء الخيول على المسار الصحيح، ج) عرض الإعلانات، د) توفير مقاعد للمتفرجين</v>
      </c>
      <c r="L159" s="3" t="str">
        <f ca="1">IFERROR(__xludf.DUMMYFUNCTION("GOOGLETRANSLATE(D159,""en"",""ar"")"),"ب) حافظ على مسار الخيول الصحيح")</f>
        <v>ب) حافظ على مسار الخيول الصحيح</v>
      </c>
      <c r="M159" s="3" t="str">
        <f ca="1">IFERROR(__xludf.DUMMYFUNCTION("GOOGLETRANSLATE(E159,""en"",""ar"")"),"يحدد القضيب الحدود الداخلية للمسار.")</f>
        <v>يحدد القضيب الحدود الداخلية للمسار.</v>
      </c>
    </row>
    <row r="160" spans="1:13" ht="22.5" customHeight="1" x14ac:dyDescent="0.25">
      <c r="A160" s="4"/>
      <c r="B160" s="4"/>
      <c r="C160" s="4"/>
      <c r="D160" s="4"/>
      <c r="E160" s="4"/>
      <c r="I160" s="4" t="s">
        <v>20</v>
      </c>
      <c r="J160" s="3" t="str">
        <f ca="1">IFERROR(__xludf.DUMMYFUNCTION("GOOGLETRANSLATE(B160,""en"",""ar"")"),"الحصان الموجود في أقصى اليسار أذناه متجهتان للخلف، مما يعني على الأرجح أنه...")</f>
        <v>الحصان الموجود في أقصى اليسار أذناه متجهتان للخلف، مما يعني على الأرجح أنه...</v>
      </c>
      <c r="K160" s="3" t="str">
        <f ca="1">IFERROR(__xludf.DUMMYFUNCTION("GOOGLETRANSLATE(C160,""en"",""ar"")"),"أ) عدم الانتباه، ب) الاستماع إلى الفارس أو الخيول التي خلفه، ج) الخوف من الجمهور، د) الاسترخاء الشديد")</f>
        <v>أ) عدم الانتباه، ب) الاستماع إلى الفارس أو الخيول التي خلفه، ج) الخوف من الجمهور، د) الاسترخاء الشديد</v>
      </c>
      <c r="L160" s="3" t="str">
        <f ca="1">IFERROR(__xludf.DUMMYFUNCTION("GOOGLETRANSLATE(D160,""en"",""ar"")"),"ب) الاستماع إلى فارسها أو الخيول التي خلفها")</f>
        <v>ب) الاستماع إلى فارسها أو الخيول التي خلفها</v>
      </c>
      <c r="M160" s="3" t="str">
        <f ca="1">IFERROR(__xludf.DUMMYFUNCTION("GOOGLETRANSLATE(E160,""en"",""ar"")"),"تتحرك آذان الحصان لتحديد مصادر الأصوات بدقة. وعندما تكون ملتفتة للخلف، فإنها غالباً ما تستمع إلى إشارات فارسها أو أصوات المطاردة.")</f>
        <v>تتحرك آذان الحصان لتحديد مصادر الأصوات بدقة. وعندما تكون ملتفتة للخلف، فإنها غالباً ما تستمع إلى إشارات فارسها أو أصوات المطاردة.</v>
      </c>
    </row>
    <row r="161" spans="1:13" ht="22.5" customHeight="1" x14ac:dyDescent="0.25">
      <c r="A161" s="4"/>
      <c r="B161" s="4"/>
      <c r="C161" s="4"/>
      <c r="D161" s="4"/>
      <c r="E161" s="4"/>
      <c r="I161" s="4" t="s">
        <v>20</v>
      </c>
      <c r="J161" s="3" t="str">
        <f ca="1">IFERROR(__xludf.DUMMYFUNCTION("GOOGLETRANSLATE(B161,""en"",""ar"")"),"من أي زاوية تم التقاط هذه الصورة؟")</f>
        <v>من أي زاوية تم التقاط هذه الصورة؟</v>
      </c>
      <c r="K161" s="3" t="str">
        <f ca="1">IFERROR(__xludf.DUMMYFUNCTION("GOOGLETRANSLATE(C161,""en"",""ar"")"),"أ) من أعلى المضمار مباشرةً، ب) من زاوية منخفضة على المضمار نفسه، ج) من جانب المضمار، على مسافة، د) من منظور الفارس")</f>
        <v>أ) من أعلى المضمار مباشرةً، ب) من زاوية منخفضة على المضمار نفسه، ج) من جانب المضمار، على مسافة، د) من منظور الفارس</v>
      </c>
      <c r="L161" s="3" t="str">
        <f ca="1">IFERROR(__xludf.DUMMYFUNCTION("GOOGLETRANSLATE(D161,""en"",""ar"")"),"ج) من جانب المسار، على مسافة")</f>
        <v>ج) من جانب المسار، على مسافة</v>
      </c>
      <c r="M161" s="3" t="str">
        <f ca="1">IFERROR(__xludf.DUMMYFUNCTION("GOOGLETRANSLATE(E161,""en"",""ar"")"),"يتمركز المصور على الجانب الخارجي من المضمار، ليلتقط صورة واسعة للسباق أثناء سيره.")</f>
        <v>يتمركز المصور على الجانب الخارجي من المضمار، ليلتقط صورة واسعة للسباق أثناء سيره.</v>
      </c>
    </row>
    <row r="162" spans="1:13" ht="22.5" customHeight="1" x14ac:dyDescent="0.25">
      <c r="A162" s="4"/>
      <c r="B162" s="4"/>
      <c r="C162" s="4"/>
      <c r="D162" s="4"/>
      <c r="E162" s="4"/>
      <c r="I162" s="4" t="s">
        <v>21</v>
      </c>
      <c r="J162" s="3" t="str">
        <f ca="1">IFERROR(__xludf.DUMMYFUNCTION("GOOGLETRANSLATE(B162,""en"",""ar"")"),"من أي منظور فريد ومثير تم التقاط هذه الصورة؟")</f>
        <v>من أي منظور فريد ومثير تم التقاط هذه الصورة؟</v>
      </c>
      <c r="K162" s="3" t="str">
        <f ca="1">IFERROR(__xludf.DUMMYFUNCTION("GOOGLETRANSLATE(C162,""en"",""ar"")"),"أ) منظر علوي من طائرة بدون طيار، ب) منظور الفارس، ج) منظر سفلي من زاوية منخفضة جدًا على المضمار، د) من المدرجات الرئيسية للمشاهدين")</f>
        <v>أ) منظر علوي من طائرة بدون طيار، ب) منظور الفارس، ج) منظر سفلي من زاوية منخفضة جدًا على المضمار، د) من المدرجات الرئيسية للمشاهدين</v>
      </c>
      <c r="L162" s="3" t="str">
        <f ca="1">IFERROR(__xludf.DUMMYFUNCTION("GOOGLETRANSLATE(D162,""en"",""ar"")"),"ج) منظر ""من أسفل"" من زاوية منخفضة جدًا على المسار")</f>
        <v>ج) منظر "من أسفل" من زاوية منخفضة جدًا على المسار</v>
      </c>
      <c r="M162" s="3" t="str">
        <f ca="1">IFERROR(__xludf.DUMMYFUNCTION("GOOGLETRANSLATE(E162,""en"",""ar"")"),"تخلق هذه اللقطة من زاوية منخفضة للغاية منظورًا قويًا وغير عادي، مما يجعل الحصان يبدو ضخمًا.")</f>
        <v>تخلق هذه اللقطة من زاوية منخفضة للغاية منظورًا قويًا وغير عادي، مما يجعل الحصان يبدو ضخمًا.</v>
      </c>
    </row>
    <row r="163" spans="1:13" ht="22.5" customHeight="1" x14ac:dyDescent="0.25">
      <c r="A163" s="4"/>
      <c r="B163" s="4"/>
      <c r="C163" s="4"/>
      <c r="D163" s="4"/>
      <c r="E163" s="4"/>
      <c r="I163" s="4" t="s">
        <v>21</v>
      </c>
      <c r="J163" s="3" t="str">
        <f ca="1">IFERROR(__xludf.DUMMYFUNCTION("GOOGLETRANSLATE(B163,""en"",""ar"")"),"ما فائدة الضمادات الحمراء والزرقاء على أرجل الحصان؟")</f>
        <v>ما فائدة الضمادات الحمراء والزرقاء على أرجل الحصان؟</v>
      </c>
      <c r="K163" s="3" t="str">
        <f ca="1">IFERROR(__xludf.DUMMYFUNCTION("GOOGLETRANSLATE(C163,""en"",""ar"")"),"أ) زيادة سرعة الحصان، ب) توفير الدعم والحماية لأوتار الساق، ج) الحفاظ على نظافة أرجل الحصان، د) هي للزينة فقط")</f>
        <v>أ) زيادة سرعة الحصان، ب) توفير الدعم والحماية لأوتار الساق، ج) الحفاظ على نظافة أرجل الحصان، د) هي للزينة فقط</v>
      </c>
      <c r="L163" s="3" t="str">
        <f ca="1">IFERROR(__xludf.DUMMYFUNCTION("GOOGLETRANSLATE(D163,""en"",""ar"")"),"ب) توفير الدعم والحماية لأوتار الساق")</f>
        <v>ب) توفير الدعم والحماية لأوتار الساق</v>
      </c>
      <c r="M163" s="3" t="str">
        <f ca="1">IFERROR(__xludf.DUMMYFUNCTION("GOOGLETRANSLATE(E163,""en"",""ar"")"),"هذه ضمادات أو لفائف بولو، تستخدم لحماية الهياكل الحساسة للساق السفلية للحصان من الإصابة أثناء النشاط عالي التأثير.")</f>
        <v>هذه ضمادات أو لفائف بولو، تستخدم لحماية الهياكل الحساسة للساق السفلية للحصان من الإصابة أثناء النشاط عالي التأثير.</v>
      </c>
    </row>
    <row r="164" spans="1:13" ht="22.5" customHeight="1" x14ac:dyDescent="0.25">
      <c r="A164" s="4"/>
      <c r="B164" s="4"/>
      <c r="C164" s="4"/>
      <c r="D164" s="4"/>
      <c r="E164" s="4"/>
      <c r="I164" s="4" t="s">
        <v>21</v>
      </c>
      <c r="J164" s="3" t="str">
        <f ca="1">IFERROR(__xludf.DUMMYFUNCTION("GOOGLETRANSLATE(B164,""en"",""ar"")"),"كيف تبدو حالة السكة الحديدية؟")</f>
        <v>كيف تبدو حالة السكة الحديدية؟</v>
      </c>
      <c r="K164" s="3" t="str">
        <f ca="1">IFERROR(__xludf.DUMMYFUNCTION("GOOGLETRANSLATE(C164,""en"",""ar"")"),"أ) جاف ومغبر، ب) متجمد وصلب، ج) ناعم وموحل، د) عشب مُهذّب بشكل مثالي")</f>
        <v>أ) جاف ومغبر، ب) متجمد وصلب، ج) ناعم وموحل، د) عشب مُهذّب بشكل مثالي</v>
      </c>
      <c r="L164" s="3" t="str">
        <f ca="1">IFERROR(__xludf.DUMMYFUNCTION("GOOGLETRANSLATE(D164,""en"",""ar"")"),"ج) ناعم وموحل")</f>
        <v>ج) ناعم وموحل</v>
      </c>
      <c r="M164" s="3" t="str">
        <f ca="1">IFERROR(__xludf.DUMMYFUNCTION("GOOGLETRANSLATE(E164,""en"",""ar"")"),"تشير قطع التراب المتطايرة وآثار حوافر الخيول العميقة بوضوح إلى أن المسار مبتل وموحل للغاية.")</f>
        <v>تشير قطع التراب المتطايرة وآثار حوافر الخيول العميقة بوضوح إلى أن المسار مبتل وموحل للغاية.</v>
      </c>
    </row>
    <row r="165" spans="1:13" ht="22.5" customHeight="1" x14ac:dyDescent="0.25">
      <c r="A165" s="4"/>
      <c r="B165" s="4"/>
      <c r="C165" s="4"/>
      <c r="D165" s="4"/>
      <c r="E165" s="4"/>
      <c r="I165" s="4" t="s">
        <v>21</v>
      </c>
      <c r="J165" s="3" t="str">
        <f ca="1">IFERROR(__xludf.DUMMYFUNCTION("GOOGLETRANSLATE(B165,""en"",""ar"")"),"ما هو الجزء الأكثر بروزاً من الحصان في مقدمة الصورة؟")</f>
        <v>ما هو الجزء الأكثر بروزاً من الحصان في مقدمة الصورة؟</v>
      </c>
      <c r="K165" s="3" t="str">
        <f ca="1">IFERROR(__xludf.DUMMYFUNCTION("GOOGLETRANSLATE(C165,""en"",""ar"")"),"أ) رأسه، ب) ذيله، ج) حوافره، د) ظهره وسرجه")</f>
        <v>أ) رأسه، ب) ذيله، ج) حوافره، د) ظهره وسرجه</v>
      </c>
      <c r="L165" s="3" t="str">
        <f ca="1">IFERROR(__xludf.DUMMYFUNCTION("GOOGLETRANSLATE(D165,""en"",""ar"")"),"ج) حوافره")</f>
        <v>ج) حوافره</v>
      </c>
      <c r="M165" s="3" t="str">
        <f ca="1">IFERROR(__xludf.DUMMYFUNCTION("GOOGLETRANSLATE(E165,""en"",""ar"")"),"زاوية الكاميرا تجعل حوافر الحصان الأمامية، التي يرتدي أحدها حدوة حصان، هي الموضوع المهيمن.")</f>
        <v>زاوية الكاميرا تجعل حوافر الحصان الأمامية، التي يرتدي أحدها حدوة حصان، هي الموضوع المهيمن.</v>
      </c>
    </row>
    <row r="166" spans="1:13" ht="22.5" customHeight="1" x14ac:dyDescent="0.25">
      <c r="A166" s="4"/>
      <c r="B166" s="4"/>
      <c r="C166" s="4"/>
      <c r="D166" s="4"/>
      <c r="E166" s="4"/>
      <c r="I166" s="4" t="s">
        <v>21</v>
      </c>
      <c r="J166" s="3" t="str">
        <f ca="1">IFERROR(__xludf.DUMMYFUNCTION("GOOGLETRANSLATE(B166,""en"",""ar"")"),"ما الذي يمكن رؤيته في أسفل حافر الحصان المرفوع؟")</f>
        <v>ما الذي يمكن رؤيته في أسفل حافر الحصان المرفوع؟</v>
      </c>
      <c r="K166" s="3" t="str">
        <f ca="1">IFERROR(__xludf.DUMMYFUNCTION("GOOGLETRANSLATE(C166,""en"",""ar"")"),"أ) رقم، ب) الأحرف الأولى من اسم المالك، ج) حدوة حصان معدنية، د) وسادة مطاطية")</f>
        <v>أ) رقم، ب) الأحرف الأولى من اسم المالك، ج) حدوة حصان معدنية، د) وسادة مطاطية</v>
      </c>
      <c r="L166" s="3" t="str">
        <f ca="1">IFERROR(__xludf.DUMMYFUNCTION("GOOGLETRANSLATE(D166,""en"",""ar"")"),"ج) حدوة حصان معدنية")</f>
        <v>ج) حدوة حصان معدنية</v>
      </c>
      <c r="M166" s="3" t="str">
        <f ca="1">IFERROR(__xludf.DUMMYFUNCTION("GOOGLETRANSLATE(E166,""en"",""ar"")"),"يظهر بوضوح الشكل الفضي لحذوة حصان معدنية، تُستخدم لحماية الحافر.")</f>
        <v>يظهر بوضوح الشكل الفضي لحذوة حصان معدنية، تُستخدم لحماية الحافر.</v>
      </c>
    </row>
    <row r="167" spans="1:13" ht="22.5" customHeight="1" x14ac:dyDescent="0.25">
      <c r="A167" s="4"/>
      <c r="B167" s="4"/>
      <c r="C167" s="4"/>
      <c r="D167" s="4"/>
      <c r="E167" s="4"/>
      <c r="I167" s="4" t="s">
        <v>21</v>
      </c>
      <c r="J167" s="3" t="str">
        <f ca="1">IFERROR(__xludf.DUMMYFUNCTION("GOOGLETRANSLATE(B167,""en"",""ar"")"),"أين يظهر حشد المتفرجين في الصورة؟")</f>
        <v>أين يظهر حشد المتفرجين في الصورة؟</v>
      </c>
      <c r="K167" s="3" t="str">
        <f ca="1">IFERROR(__xludf.DUMMYFUNCTION("GOOGLETRANSLATE(C167,""en"",""ar"")"),"أ) غير مرئية، ب) يمتطون الخيول، ج) يصطفون على جانبي مضمار السباق، د) في السماء")</f>
        <v>أ) غير مرئية، ب) يمتطون الخيول، ج) يصطفون على جانبي مضمار السباق، د) في السماء</v>
      </c>
      <c r="L167" s="3" t="str">
        <f ca="1">IFERROR(__xludf.DUMMYFUNCTION("GOOGLETRANSLATE(D167,""en"",""ar"")"),"ج) تبطين جانبي مضمار السباق")</f>
        <v>ج) تبطين جانبي مضمار السباق</v>
      </c>
      <c r="M167" s="3" t="str">
        <f ca="1">IFERROR(__xludf.DUMMYFUNCTION("GOOGLETRANSLATE(E167,""en"",""ar"")"),"يمكن رؤية الناس على طول القضبان على جانبي المسار الأيمن والأيسر.")</f>
        <v>يمكن رؤية الناس على طول القضبان على جانبي المسار الأيمن والأيسر.</v>
      </c>
    </row>
    <row r="168" spans="1:13" ht="22.5" customHeight="1" x14ac:dyDescent="0.25">
      <c r="A168" s="4"/>
      <c r="B168" s="4"/>
      <c r="C168" s="4"/>
      <c r="D168" s="4"/>
      <c r="E168" s="4"/>
      <c r="I168" s="4" t="s">
        <v>21</v>
      </c>
      <c r="J168" s="3" t="str">
        <f ca="1">IFERROR(__xludf.DUMMYFUNCTION("GOOGLETRANSLATE(B168,""en"",""ar"")"),"تُجسّد هذه الصورة ببراعة إحساسًا بـ...")</f>
        <v>تُجسّد هذه الصورة ببراعة إحساسًا بـ...</v>
      </c>
      <c r="K168" s="3" t="str">
        <f ca="1">IFERROR(__xludf.DUMMYFUNCTION("GOOGLETRANSLATE(C168,""en"",""ar"")"),"أ) الهدوء والسكون، ب) القوة والسرعة والفوضى، ج) الأناقة والرشاقة، د) الحزن والهزيمة")</f>
        <v>أ) الهدوء والسكون، ب) القوة والسرعة والفوضى، ج) الأناقة والرشاقة، د) الحزن والهزيمة</v>
      </c>
      <c r="L168" s="3" t="str">
        <f ca="1">IFERROR(__xludf.DUMMYFUNCTION("GOOGLETRANSLATE(D168,""en"",""ar"")"),"ب) القوة والسرعة والفوضى")</f>
        <v>ب) القوة والسرعة والفوضى</v>
      </c>
      <c r="M168" s="3" t="str">
        <f ca="1">IFERROR(__xludf.DUMMYFUNCTION("GOOGLETRANSLATE(E168,""en"",""ar"")"),"إن الجمع بين الزاوية المنخفضة والطين المتطاير وحوافر الخيول المدوية يخلق لقطة حركة قوية وفوضوية للغاية.")</f>
        <v>إن الجمع بين الزاوية المنخفضة والطين المتطاير وحوافر الخيول المدوية يخلق لقطة حركة قوية وفوضوية للغاية.</v>
      </c>
    </row>
    <row r="169" spans="1:13" ht="22.5" customHeight="1" x14ac:dyDescent="0.25">
      <c r="A169" s="4"/>
      <c r="B169" s="4"/>
      <c r="C169" s="4"/>
      <c r="D169" s="4"/>
      <c r="E169" s="4"/>
      <c r="I169" s="4" t="s">
        <v>21</v>
      </c>
      <c r="J169" s="3" t="str">
        <f ca="1">IFERROR(__xludf.DUMMYFUNCTION("GOOGLETRANSLATE(B169,""en"",""ar"")"),"في الأفق، يمكن رؤية حصان وفارس آخرين. وهذا يدل على...")</f>
        <v>في الأفق، يمكن رؤية حصان وفارس آخرين. وهذا يدل على...</v>
      </c>
      <c r="K169" s="3" t="str">
        <f ca="1">IFERROR(__xludf.DUMMYFUNCTION("GOOGLETRANSLATE(C169,""en"",""ar"")"),"أ) إنها جلسة تدريبية لحصان واحد، ب) هذا سباق حقيقي يضم عدة متنافسين، ج) الخيول تجري في الاتجاه الخاطئ، د) الصورة معدلة رقميًا")</f>
        <v>أ) إنها جلسة تدريبية لحصان واحد، ب) هذا سباق حقيقي يضم عدة متنافسين، ج) الخيول تجري في الاتجاه الخاطئ، د) الصورة معدلة رقميًا</v>
      </c>
      <c r="L169" s="3" t="str">
        <f ca="1">IFERROR(__xludf.DUMMYFUNCTION("GOOGLETRANSLATE(D169,""en"",""ar"")"),"ب) هذا سباق حقيقي يضم العديد من المتنافسين")</f>
        <v>ب) هذا سباق حقيقي يضم العديد من المتنافسين</v>
      </c>
      <c r="M169" s="3" t="str">
        <f ca="1">IFERROR(__xludf.DUMMYFUNCTION("GOOGLETRANSLATE(E169,""en"",""ar"")"),"يؤكد وجود خيول أخرى أن هذا حدث تنافسي وليس مجرد صورة لحصان واحد.")</f>
        <v>يؤكد وجود خيول أخرى أن هذا حدث تنافسي وليس مجرد صورة لحصان واحد.</v>
      </c>
    </row>
    <row r="170" spans="1:13" ht="22.5" customHeight="1" x14ac:dyDescent="0.25">
      <c r="A170" s="4"/>
      <c r="B170" s="4"/>
      <c r="C170" s="4"/>
      <c r="D170" s="4"/>
      <c r="E170" s="4"/>
      <c r="I170" s="4" t="s">
        <v>21</v>
      </c>
      <c r="J170" s="3" t="str">
        <f ca="1">IFERROR(__xludf.DUMMYFUNCTION("GOOGLETRANSLATE(B170,""en"",""ar"")"),"ما الذي يطير في الهواء حول الحصان؟")</f>
        <v>ما الذي يطير في الهواء حول الحصان؟</v>
      </c>
      <c r="K170" s="3" t="str">
        <f ca="1">IFERROR(__xludf.DUMMYFUNCTION("GOOGLETRANSLATE(C170,""en"",""ar"")"),"أ) قطرات المطر، ب) الأوراق، ج) قطع الطين والعشب، د) قصاصات الورق الملون")</f>
        <v>أ) قطرات المطر، ب) الأوراق، ج) قطع الطين والعشب، د) قصاصات الورق الملون</v>
      </c>
      <c r="L170" s="3" t="str">
        <f ca="1">IFERROR(__xludf.DUMMYFUNCTION("GOOGLETRANSLATE(D170,""en"",""ar"")"),"ج) قطع من الطين والعشب")</f>
        <v>ج) قطع من الطين والعشب</v>
      </c>
      <c r="M170" s="3" t="str">
        <f ca="1">IFERROR(__xludf.DUMMYFUNCTION("GOOGLETRANSLATE(E170,""en"",""ar"")"),"خطوات الحصان القوية تمزق الأرض المبتلة وتقذفها في الهواء.")</f>
        <v>خطوات الحصان القوية تمزق الأرض المبتلة وتقذفها في الهواء.</v>
      </c>
    </row>
    <row r="171" spans="1:13" ht="22.5" customHeight="1" x14ac:dyDescent="0.25">
      <c r="A171" s="4"/>
      <c r="B171" s="4"/>
      <c r="C171" s="4"/>
      <c r="D171" s="4"/>
      <c r="E171" s="4"/>
      <c r="I171" s="4" t="s">
        <v>21</v>
      </c>
      <c r="J171" s="3" t="str">
        <f ca="1">IFERROR(__xludf.DUMMYFUNCTION("GOOGLETRANSLATE(B171,""en"",""ar"")"),"إن الأرجل الأمامية للحصان مطوية تحت جسمه، مما يعني أنه في أي مرحلة من مراحل العدو؟")</f>
        <v>إن الأرجل الأمامية للحصان مطوية تحت جسمه، مما يعني أنه في أي مرحلة من مراحل العدو؟</v>
      </c>
      <c r="K171" s="3" t="str">
        <f ca="1">IFERROR(__xludf.DUMMYFUNCTION("GOOGLETRANSLATE(C171,""en"",""ar"")"),"أ) مرحلة الهبوط، ب) مرحلة الإقلاع، ج) لحظة التعليق، د) الخطوة الأولى")</f>
        <v>أ) مرحلة الهبوط، ب) مرحلة الإقلاع، ج) لحظة التعليق، د) الخطوة الأولى</v>
      </c>
      <c r="L171" s="3" t="str">
        <f ca="1">IFERROR(__xludf.DUMMYFUNCTION("GOOGLETRANSLATE(D171,""en"",""ar"")"),"ج) لحظة التعليق")</f>
        <v>ج) لحظة التعليق</v>
      </c>
      <c r="M171" s="3" t="str">
        <f ca="1">IFERROR(__xludf.DUMMYFUNCTION("GOOGLETRANSLATE(E171,""en"",""ar"")"),"هذه هي النقطة في العدو حيث تكون جميع الأقدام الأربعة مرفوعة عن الأرض، ويكون الحصان في الهواء.")</f>
        <v>هذه هي النقطة في العدو حيث تكون جميع الأقدام الأربعة مرفوعة عن الأرض، ويكون الحصان في الهواء.</v>
      </c>
    </row>
    <row r="172" spans="1:13" ht="22.5" customHeight="1" x14ac:dyDescent="0.25">
      <c r="A172" s="4"/>
      <c r="B172" s="4"/>
      <c r="C172" s="4"/>
      <c r="D172" s="4"/>
      <c r="E172" s="4"/>
      <c r="I172" s="4" t="s">
        <v>22</v>
      </c>
      <c r="J172" s="3" t="str">
        <f ca="1">IFERROR(__xludf.DUMMYFUNCTION("GOOGLETRANSLATE(B172,""en"",""ar"")"),"خلفية هذه الصورة، التي تتميز بأشجار النخيل والتلال، هي سمة مميزة لحلبات السباق في أي ولاية أمريكية؟")</f>
        <v>خلفية هذه الصورة، التي تتميز بأشجار النخيل والتلال، هي سمة مميزة لحلبات السباق في أي ولاية أمريكية؟</v>
      </c>
      <c r="K172" s="3" t="str">
        <f ca="1">IFERROR(__xludf.DUMMYFUNCTION("GOOGLETRANSLATE(C172,""en"",""ar"")"),"أ) نيويورك، ب) كنتاكي، ج) فلوريدا، د) كاليفورنيا")</f>
        <v>أ) نيويورك، ب) كنتاكي، ج) فلوريدا، د) كاليفورنيا</v>
      </c>
      <c r="L172" s="3" t="str">
        <f ca="1">IFERROR(__xludf.DUMMYFUNCTION("GOOGLETRANSLATE(D172,""en"",""ar"")"),"د) كاليفورنيا")</f>
        <v>د) كاليفورنيا</v>
      </c>
      <c r="M172" s="3" t="str">
        <f ca="1">IFERROR(__xludf.DUMMYFUNCTION("GOOGLETRANSLATE(E172,""en"",""ar"")"),"تشتهر حلبات سباق الخيل مثل سانتا أنيتا بارك وديل مار في كاليفورنيا بمناظرها الخلابة التي تضم أشجار النخيل والجبال. 🌴")</f>
        <v>تشتهر حلبات سباق الخيل مثل سانتا أنيتا بارك وديل مار في كاليفورنيا بمناظرها الخلابة التي تضم أشجار النخيل والجبال. 🌴</v>
      </c>
    </row>
    <row r="173" spans="1:13" ht="22.5" customHeight="1" x14ac:dyDescent="0.25">
      <c r="A173" s="4"/>
      <c r="B173" s="4"/>
      <c r="C173" s="4"/>
      <c r="D173" s="4"/>
      <c r="E173" s="4"/>
      <c r="I173" s="4" t="s">
        <v>22</v>
      </c>
      <c r="J173" s="3" t="str">
        <f ca="1">IFERROR(__xludf.DUMMYFUNCTION("GOOGLETRANSLATE(B173,""en"",""ar"")"),"ما هي قطعة المعدات المصممة لتقييد الرؤية، والتي ترتديها الخيول الثلاثة جميعها بشكل أو بآخر؟")</f>
        <v>ما هي قطعة المعدات المصممة لتقييد الرؤية، والتي ترتديها الخيول الثلاثة جميعها بشكل أو بآخر؟</v>
      </c>
      <c r="K173" s="3" t="str">
        <f ca="1">IFERROR(__xludf.DUMMYFUNCTION("GOOGLETRANSLATE(C173,""en"",""ar"")"),"أ) سدادات الأذن، ب) أغطية العين، ج) الكمامات، د) اللجام")</f>
        <v>أ) سدادات الأذن، ب) أغطية العين، ج) الكمامات، د) اللجام</v>
      </c>
      <c r="L173" s="3" t="str">
        <f ca="1">IFERROR(__xludf.DUMMYFUNCTION("GOOGLETRANSLATE(D173,""en"",""ar"")"),"ب) إشارات الانعطاف")</f>
        <v>ب) إشارات الانعطاف</v>
      </c>
      <c r="M173" s="3" t="str">
        <f ca="1">IFERROR(__xludf.DUMMYFUNCTION("GOOGLETRANSLATE(E173,""en"",""ar"")"),"تم تجهيز الخيول الثلاثة جميعها بأغطية للعين (غطاء الرأس المزود بأكواب للعين) للحفاظ على تركيزها على الجري في خط مستقيم للأمام.")</f>
        <v>تم تجهيز الخيول الثلاثة جميعها بأغطية للعين (غطاء الرأس المزود بأكواب للعين) للحفاظ على تركيزها على الجري في خط مستقيم للأمام.</v>
      </c>
    </row>
    <row r="174" spans="1:13" ht="22.5" customHeight="1" x14ac:dyDescent="0.25">
      <c r="A174" s="4"/>
      <c r="B174" s="4"/>
      <c r="C174" s="4"/>
      <c r="D174" s="4"/>
      <c r="E174" s="4"/>
      <c r="I174" s="4" t="s">
        <v>22</v>
      </c>
      <c r="J174" s="3" t="str">
        <f ca="1">IFERROR(__xludf.DUMMYFUNCTION("GOOGLETRANSLATE(B174,""en"",""ar"")"),"ماذا يفعل الفرسان على الخيول اليسرى واليمنى بعصيهم؟")</f>
        <v>ماذا يفعل الفرسان على الخيول اليسرى واليمنى بعصيهم؟</v>
      </c>
      <c r="K174" s="3" t="str">
        <f ca="1">IFERROR(__xludf.DUMMYFUNCTION("GOOGLETRANSLATE(C174,""en"",""ar"")"),"أ) التلويح بها للجمهور، ب) وضعها تحت أذرعهم، ج) استخدامها لتشجيع خيولهم، د) توجيهها نحو بعضهم البعض")</f>
        <v>أ) التلويح بها للجمهور، ب) وضعها تحت أذرعهم، ج) استخدامها لتشجيع خيولهم، د) توجيهها نحو بعضهم البعض</v>
      </c>
      <c r="L174" s="3" t="str">
        <f ca="1">IFERROR(__xludf.DUMMYFUNCTION("GOOGLETRANSLATE(D174,""en"",""ar"")"),"ج) استخدامها لتشجيع خيولهم")</f>
        <v>ج) استخدامها لتشجيع خيولهم</v>
      </c>
      <c r="M174" s="3" t="str">
        <f ca="1">IFERROR(__xludf.DUMMYFUNCTION("GOOGLETRANSLATE(E174,""en"",""ar"")"),"يستخدم كلا الفارسين سوطيهما بنشاط، ويضربان الخيول لطلب دفعة أخيرة من السرعة.")</f>
        <v>يستخدم كلا الفارسين سوطيهما بنشاط، ويضربان الخيول لطلب دفعة أخيرة من السرعة.</v>
      </c>
    </row>
    <row r="175" spans="1:13" ht="22.5" customHeight="1" x14ac:dyDescent="0.25">
      <c r="A175" s="4"/>
      <c r="B175" s="4"/>
      <c r="C175" s="4"/>
      <c r="D175" s="4"/>
      <c r="E175" s="4"/>
      <c r="I175" s="4" t="s">
        <v>22</v>
      </c>
      <c r="J175" s="3" t="str">
        <f ca="1">IFERROR(__xludf.DUMMYFUNCTION("GOOGLETRANSLATE(B175,""en"",""ar"")"),"ماذا يُظهر غطاء السرج الأخضر على الحصان الموجود في أقصى اليسار؟")</f>
        <v>ماذا يُظهر غطاء السرج الأخضر على الحصان الموجود في أقصى اليسار؟</v>
      </c>
      <c r="K175" s="3" t="str">
        <f ca="1">IFERROR(__xludf.DUMMYFUNCTION("GOOGLETRANSLATE(C175,""en"",""ar"")"),"أ) اسم الفارس، ب) اسم الحصان، ج) الرقم 3، د) شعار الراعي")</f>
        <v>أ) اسم الفارس، ب) اسم الحصان، ج) الرقم 3، د) شعار الراعي</v>
      </c>
      <c r="L175" s="3" t="str">
        <f ca="1">IFERROR(__xludf.DUMMYFUNCTION("GOOGLETRANSLATE(D175,""en"",""ar"")"),"ج) الرقم 3")</f>
        <v>ج) الرقم 3</v>
      </c>
      <c r="M175" s="3" t="str">
        <f ca="1">IFERROR(__xludf.DUMMYFUNCTION("GOOGLETRANSLATE(E175,""en"",""ar"")"),"الرقم 3 هو رقم الحصان في برنامج السباق.")</f>
        <v>الرقم 3 هو رقم الحصان في برنامج السباق.</v>
      </c>
    </row>
    <row r="176" spans="1:13" ht="22.5" customHeight="1" x14ac:dyDescent="0.25">
      <c r="A176" s="4"/>
      <c r="B176" s="4"/>
      <c r="C176" s="4"/>
      <c r="D176" s="4"/>
      <c r="E176" s="4"/>
      <c r="I176" s="4" t="s">
        <v>22</v>
      </c>
      <c r="J176" s="3" t="str">
        <f ca="1">IFERROR(__xludf.DUMMYFUNCTION("GOOGLETRANSLATE(B176,""en"",""ar"")"),"الحصان الموجود في أقصى اليمين لديه قطعة من المعدات تشبه الأنبوب، مغطاة بالفرو، على أنفه. ما اسم هذه القطعة؟")</f>
        <v>الحصان الموجود في أقصى اليمين لديه قطعة من المعدات تشبه الأنبوب، مغطاة بالفرو، على أنفه. ما اسم هذه القطعة؟</v>
      </c>
      <c r="K176" s="3" t="str">
        <f ca="1">IFERROR(__xludf.DUMMYFUNCTION("GOOGLETRANSLATE(C176,""en"",""ar"")"),"أ) شبكة للأنف، ب) لفافة ظل، ج) وسادة رباط الأنف، د) واقي الشارب")</f>
        <v>أ) شبكة للأنف، ب) لفافة ظل، ج) وسادة رباط الأنف، د) واقي الشارب</v>
      </c>
      <c r="L176" s="3" t="str">
        <f ca="1">IFERROR(__xludf.DUMMYFUNCTION("GOOGLETRANSLATE(D176,""en"",""ar"")"),"ب) لفة الظل")</f>
        <v>ب) لفة الظل</v>
      </c>
      <c r="M176" s="3" t="str">
        <f ca="1">IFERROR(__xludf.DUMMYFUNCTION("GOOGLETRANSLATE(E176,""en"",""ar"")"),"هذا عبارة عن لفة ظل، تستخدم لحجب رؤية الحصان للظلال على المسار التي قد تسبب له الفزع.")</f>
        <v>هذا عبارة عن لفة ظل، تستخدم لحجب رؤية الحصان للظلال على المسار التي قد تسبب له الفزع.</v>
      </c>
    </row>
    <row r="177" spans="1:13" ht="22.5" customHeight="1" x14ac:dyDescent="0.25">
      <c r="A177" s="4"/>
      <c r="B177" s="4"/>
      <c r="C177" s="4"/>
      <c r="D177" s="4"/>
      <c r="E177" s="4"/>
      <c r="I177" s="4" t="s">
        <v>22</v>
      </c>
      <c r="J177" s="3" t="str">
        <f ca="1">IFERROR(__xludf.DUMMYFUNCTION("GOOGLETRANSLATE(B177,""en"",""ar"")"),"تشير التعابير الحادة على وجوه الفرسان ووضعياتهم النشطة إلى أي مرحلة من السباق؟")</f>
        <v>تشير التعابير الحادة على وجوه الفرسان ووضعياتهم النشطة إلى أي مرحلة من السباق؟</v>
      </c>
      <c r="K177" s="3" t="str">
        <f ca="1">IFERROR(__xludf.DUMMYFUNCTION("GOOGLETRANSLATE(C177,""en"",""ar"")"),"أ) البداية الهادئة، ب) الإحماء البطيء، ج) الانطلاقة الأخيرة اليائسة نحو خط النهاية، د) موكب النصر")</f>
        <v>أ) البداية الهادئة، ب) الإحماء البطيء، ج) الانطلاقة الأخيرة اليائسة نحو خط النهاية، د) موكب النصر</v>
      </c>
      <c r="L177" s="3" t="str">
        <f ca="1">IFERROR(__xludf.DUMMYFUNCTION("GOOGLETRANSLATE(D177,""en"",""ar"")"),"ج) المحاولة الأخيرة اليائسة للوصول إلى خط النهاية")</f>
        <v>ج) المحاولة الأخيرة اليائسة للوصول إلى خط النهاية</v>
      </c>
      <c r="M177" s="3" t="str">
        <f ca="1">IFERROR(__xludf.DUMMYFUNCTION("GOOGLETRANSLATE(E177,""en"",""ar"")"),"هذه هي ذروة السباق، حيث يبذل الفرسان والخيول أقصى جهد ممكن للفوز.")</f>
        <v>هذه هي ذروة السباق، حيث يبذل الفرسان والخيول أقصى جهد ممكن للفوز.</v>
      </c>
    </row>
    <row r="178" spans="1:13" ht="22.5" customHeight="1" x14ac:dyDescent="0.25">
      <c r="A178" s="4"/>
      <c r="B178" s="4"/>
      <c r="C178" s="4"/>
      <c r="D178" s="4"/>
      <c r="E178" s="4"/>
      <c r="I178" s="4" t="s">
        <v>22</v>
      </c>
      <c r="J178" s="3" t="str">
        <f ca="1">IFERROR(__xludf.DUMMYFUNCTION("GOOGLETRANSLATE(B178,""en"",""ar"")"),"الحصان الموجود في المنتصف محصور، وبالتالي تقل مساحة الجري المتاحة له. يُطلق على هذه الحالة غالبًا اسم...")</f>
        <v>الحصان الموجود في المنتصف محصور، وبالتالي تقل مساحة الجري المتاحة له. يُطلق على هذه الحالة غالبًا اسم...</v>
      </c>
      <c r="K178" s="3" t="str">
        <f ca="1">IFERROR(__xludf.DUMMYFUNCTION("GOOGLETRANSLATE(C178,""en"",""ar"")"),"أ) ""في مأمن""، ب) ""على الصدارة""، ج) ""محاصر""، د) ""في المرعى""")</f>
        <v>أ) "في مأمن"، ب) "على الصدارة"، ج) "محاصر"، د) "في المرعى"</v>
      </c>
      <c r="L178" s="3" t="str">
        <f ca="1">IFERROR(__xludf.DUMMYFUNCTION("GOOGLETRANSLATE(D178,""en"",""ar"")"),"ج) ""محاصر""")</f>
        <v>ج) "محاصر"</v>
      </c>
      <c r="M178" s="3" t="str">
        <f ca="1">IFERROR(__xludf.DUMMYFUNCTION("GOOGLETRANSLATE(E178,""en"",""ar"")"),"يُقال إن الحصان ""محاصر"" أو ""في زحام المرور"" عندما يكون عالقاً خلف الخيول الأخرى وبجانبها دون وجود مسار واضح للجري.")</f>
        <v>يُقال إن الحصان "محاصر" أو "في زحام المرور" عندما يكون عالقاً خلف الخيول الأخرى وبجانبها دون وجود مسار واضح للجري.</v>
      </c>
    </row>
    <row r="179" spans="1:13" ht="22.5" customHeight="1" x14ac:dyDescent="0.25">
      <c r="A179" s="4"/>
      <c r="B179" s="4"/>
      <c r="C179" s="4"/>
      <c r="D179" s="4"/>
      <c r="E179" s="4"/>
      <c r="I179" s="4" t="s">
        <v>22</v>
      </c>
      <c r="J179" s="3" t="str">
        <f ca="1">IFERROR(__xludf.DUMMYFUNCTION("GOOGLETRANSLATE(B179,""en"",""ar"")"),"ما لون غطاء العينين على الحصان المتقدم على اليمين؟")</f>
        <v>ما لون غطاء العينين على الحصان المتقدم على اليمين؟</v>
      </c>
      <c r="K179" s="3" t="str">
        <f ca="1">IFERROR(__xludf.DUMMYFUNCTION("GOOGLETRANSLATE(C179,""en"",""ar"")"),"أ) أحمر، ب) أبيض، ج) أخضر، د) أزرق")</f>
        <v>أ) أحمر، ب) أبيض، ج) أخضر، د) أزرق</v>
      </c>
      <c r="L179" s="3" t="str">
        <f ca="1">IFERROR(__xludf.DUMMYFUNCTION("GOOGLETRANSLATE(D179,""en"",""ar"")"),"د) أزرق")</f>
        <v>د) أزرق</v>
      </c>
      <c r="M179" s="3" t="str">
        <f ca="1">IFERROR(__xludf.DUMMYFUNCTION("GOOGLETRANSLATE(E179,""en"",""ar"")"),"الحصان الذي يرتديه الفارس ذو الخوذة البيضاء يرتدي غطاءً مميزاً للعينين باللون الأزرق.")</f>
        <v>الحصان الذي يرتديه الفارس ذو الخوذة البيضاء يرتدي غطاءً مميزاً للعينين باللون الأزرق.</v>
      </c>
    </row>
    <row r="180" spans="1:13" ht="22.5" customHeight="1" x14ac:dyDescent="0.25">
      <c r="A180" s="4"/>
      <c r="B180" s="4"/>
      <c r="C180" s="4"/>
      <c r="D180" s="4"/>
      <c r="E180" s="4"/>
      <c r="I180" s="4" t="s">
        <v>22</v>
      </c>
      <c r="J180" s="3" t="str">
        <f ca="1">IFERROR(__xludf.DUMMYFUNCTION("GOOGLETRANSLATE(B180,""en"",""ar"")"),"جميع الخيول الثلاثة ""خارج الخدمة تمامًا""، أي أنها...")</f>
        <v>جميع الخيول الثلاثة "خارج الخدمة تمامًا"، أي أنها...</v>
      </c>
      <c r="K180" s="3" t="str">
        <f ca="1">IFERROR(__xludf.DUMMYFUNCTION("GOOGLETRANSLATE(C180,""en"",""ar"")"),"أ) يركضون بأقصى سرعة ممكنة، ب) يهرولون بخفة، ج) على وشك التوقف، د) يعودون سيراً على الأقدام إلى الحظيرة")</f>
        <v>أ) يركضون بأقصى سرعة ممكنة، ب) يهرولون بخفة، ج) على وشك التوقف، د) يعودون سيراً على الأقدام إلى الحظيرة</v>
      </c>
      <c r="L180" s="3" t="str">
        <f ca="1">IFERROR(__xludf.DUMMYFUNCTION("GOOGLETRANSLATE(D180,""en"",""ar"")"),"أ) الجري بأقصى سرعة ممكنة")</f>
        <v>أ) الجري بأقصى سرعة ممكنة</v>
      </c>
      <c r="M180" s="3" t="str">
        <f ca="1">IFERROR(__xludf.DUMMYFUNCTION("GOOGLETRANSLATE(E180,""en"",""ar"")"),"هذه العبارة تعني أن الخيول تبذل قصارى جهدها وتبذل أقصى جهد ممكن.")</f>
        <v>هذه العبارة تعني أن الخيول تبذل قصارى جهدها وتبذل أقصى جهد ممكن.</v>
      </c>
    </row>
    <row r="181" spans="1:13" ht="22.5" customHeight="1" x14ac:dyDescent="0.25">
      <c r="A181" s="4"/>
      <c r="B181" s="4"/>
      <c r="C181" s="4"/>
      <c r="D181" s="4"/>
      <c r="E181" s="4"/>
      <c r="I181" s="4" t="s">
        <v>22</v>
      </c>
      <c r="J181" s="3" t="str">
        <f ca="1">IFERROR(__xludf.DUMMYFUNCTION("GOOGLETRANSLATE(B181,""en"",""ar"")"),"سطح المضمار مُصان جيداً...")</f>
        <v>سطح المضمار مُصان جيداً...</v>
      </c>
      <c r="K181" s="3" t="str">
        <f ca="1">IFERROR(__xludf.DUMMYFUNCTION("GOOGLETRANSLATE(C181,""en"",""ar"")"),"أ) مسار عشبي، ب) مسار ترابي، ج) حفرة طينية، د) حقل مغطى بالثلوج")</f>
        <v>أ) مسار عشبي، ب) مسار ترابي، ج) حفرة طينية، د) حقل مغطى بالثلوج</v>
      </c>
      <c r="L181" s="3" t="str">
        <f ca="1">IFERROR(__xludf.DUMMYFUNCTION("GOOGLETRANSLATE(D181,""en"",""ar"")"),"ب) مسار ترابي")</f>
        <v>ب) مسار ترابي</v>
      </c>
      <c r="M181" s="3" t="str">
        <f ca="1">IFERROR(__xludf.DUMMYFUNCTION("GOOGLETRANSLATE(E181,""en"",""ar"")"),"يشير لون وملمس الأرض إلى أنها مضمار سباق ترابي قياسي.")</f>
        <v>يشير لون وملمس الأرض إلى أنها مضمار سباق ترابي قياسي.</v>
      </c>
    </row>
    <row r="182" spans="1:13" ht="22.5" customHeight="1" x14ac:dyDescent="0.25">
      <c r="A182" s="4"/>
      <c r="B182" s="4"/>
      <c r="C182" s="4"/>
      <c r="D182" s="4"/>
      <c r="E182" s="4"/>
      <c r="I182" s="4" t="s">
        <v>23</v>
      </c>
      <c r="J182" s="3" t="str">
        <f ca="1">IFERROR(__xludf.DUMMYFUNCTION("GOOGLETRANSLATE(B182,""en"",""ar"")"),"ما نوع أرضية السباق التي يقف عليها الفارس والحصان؟")</f>
        <v>ما نوع أرضية السباق التي يقف عليها الفارس والحصان؟</v>
      </c>
      <c r="K182" s="3" t="str">
        <f ca="1">IFERROR(__xludf.DUMMYFUNCTION("GOOGLETRANSLATE(C182,""en"",""ar"")"),"أ) مسار ترابي، ب) مسار صناعي مناسب لجميع الأحوال الجوية، ج) مسار عشبي، د) ممر خشبي")</f>
        <v>أ) مسار ترابي، ب) مسار صناعي مناسب لجميع الأحوال الجوية، ج) مسار عشبي، د) ممر خشبي</v>
      </c>
      <c r="L182" s="3" t="str">
        <f ca="1">IFERROR(__xludf.DUMMYFUNCTION("GOOGLETRANSLATE(D182,""en"",""ar"")"),"ج) ملعب عشبي أو ملعب ذو أرضية عشبية")</f>
        <v>ج) ملعب عشبي أو ملعب ذو أرضية عشبية</v>
      </c>
      <c r="M182" s="3" t="str">
        <f ca="1">IFERROR(__xludf.DUMMYFUNCTION("GOOGLETRANSLATE(E182,""en"",""ar"")"),"يُظهر العشب الأخضر والنباتات الطبيعية بوضوح أن الحصان موجود في مضمار عشبي.")</f>
        <v>يُظهر العشب الأخضر والنباتات الطبيعية بوضوح أن الحصان موجود في مضمار عشبي.</v>
      </c>
    </row>
    <row r="183" spans="1:13" ht="22.5" customHeight="1" x14ac:dyDescent="0.25">
      <c r="A183" s="4"/>
      <c r="B183" s="4"/>
      <c r="C183" s="4"/>
      <c r="D183" s="4"/>
      <c r="E183" s="4"/>
      <c r="I183" s="4" t="s">
        <v>23</v>
      </c>
      <c r="J183" s="3" t="str">
        <f ca="1">IFERROR(__xludf.DUMMYFUNCTION("GOOGLETRANSLATE(B183,""en"",""ar"")"),"ما هو الرقم المعروض على غطاء سرج الحصان الأسود؟")</f>
        <v>ما هو الرقم المعروض على غطاء سرج الحصان الأسود؟</v>
      </c>
      <c r="K183" s="3" t="str">
        <f ca="1">IFERROR(__xludf.DUMMYFUNCTION("GOOGLETRANSLATE(C183,""en"",""ar"")"),"أ) 1، ب) 4، ج) 7، د) 9")</f>
        <v>أ) 1، ب) 4، ج) 7، د) 9</v>
      </c>
      <c r="L183" s="3" t="str">
        <f ca="1">IFERROR(__xludf.DUMMYFUNCTION("GOOGLETRANSLATE(D183,""en"",""ar"")"),"أ) 1")</f>
        <v>أ) 1</v>
      </c>
      <c r="M183" s="3" t="str">
        <f ca="1">IFERROR(__xludf.DUMMYFUNCTION("GOOGLETRANSLATE(E183,""en"",""ar"")"),"يظهر الرقم 1 بوضوح باللون الأصفر على غطاء السرج.")</f>
        <v>يظهر الرقم 1 بوضوح باللون الأصفر على غطاء السرج.</v>
      </c>
    </row>
    <row r="184" spans="1:13" ht="22.5" customHeight="1" x14ac:dyDescent="0.25">
      <c r="A184" s="4"/>
      <c r="B184" s="4"/>
      <c r="C184" s="4"/>
      <c r="D184" s="4"/>
      <c r="E184" s="4"/>
      <c r="I184" s="4" t="s">
        <v>23</v>
      </c>
      <c r="J184" s="3" t="str">
        <f ca="1">IFERROR(__xludf.DUMMYFUNCTION("GOOGLETRANSLATE(B184,""en"",""ar"")"),"من المحتمل أن هذه الصورة تصور...")</f>
        <v>من المحتمل أن هذه الصورة تصور...</v>
      </c>
      <c r="K184" s="3" t="str">
        <f ca="1">IFERROR(__xludf.DUMMYFUNCTION("GOOGLETRANSLATE(C184,""en"",""ar"")"),"أ) بداية فوضوية لسباق كبير، ب) حصان وفارس يتدربان أو في سباق صغير، ج) حصان توقف عن الجري، د) حدث روديو")</f>
        <v>أ) بداية فوضوية لسباق كبير، ب) حصان وفارس يتدربان أو في سباق صغير، ج) حصان توقف عن الجري، د) حدث روديو</v>
      </c>
      <c r="L184" s="3" t="str">
        <f ca="1">IFERROR(__xludf.DUMMYFUNCTION("GOOGLETRANSLATE(D184,""en"",""ar"")"),"ب) حصان وفارس يتدربان أو في سباق صغير")</f>
        <v>ب) حصان وفارس يتدربان أو في سباق صغير</v>
      </c>
      <c r="M184" s="3" t="str">
        <f ca="1">IFERROR(__xludf.DUMMYFUNCTION("GOOGLETRANSLATE(E184,""en"",""ar"")"),"إن البيئة الطبيعية الهادئة وحقيقة أنهم بمفردهم توحي بجلسة تدريبية أو سباق على مضمار أصغر وأكثر ريفية.")</f>
        <v>إن البيئة الطبيعية الهادئة وحقيقة أنهم بمفردهم توحي بجلسة تدريبية أو سباق على مضمار أصغر وأكثر ريفية.</v>
      </c>
    </row>
    <row r="185" spans="1:13" ht="22.5" customHeight="1" x14ac:dyDescent="0.25">
      <c r="A185" s="4"/>
      <c r="B185" s="4"/>
      <c r="C185" s="4"/>
      <c r="D185" s="4"/>
      <c r="E185" s="4"/>
      <c r="I185" s="4" t="s">
        <v>23</v>
      </c>
      <c r="J185" s="3" t="str">
        <f ca="1">IFERROR(__xludf.DUMMYFUNCTION("GOOGLETRANSLATE(B185,""en"",""ar"")"),"ما هي مشية الحصان في هذه الصورة؟")</f>
        <v>ما هي مشية الحصان في هذه الصورة؟</v>
      </c>
      <c r="K185" s="3" t="str">
        <f ca="1">IFERROR(__xludf.DUMMYFUNCTION("GOOGLETRANSLATE(C185,""en"",""ar"")"),"أ) المشي، ب) الهرولة، ج) العدو أو الركض السريع، د) الثبات")</f>
        <v>أ) المشي، ب) الهرولة، ج) العدو أو الركض السريع، د) الثبات</v>
      </c>
      <c r="L185" s="3" t="str">
        <f ca="1">IFERROR(__xludf.DUMMYFUNCTION("GOOGLETRANSLATE(D185,""en"",""ar"")"),"ج) العدو أو الركض")</f>
        <v>ج) العدو أو الركض</v>
      </c>
      <c r="M185" s="3" t="str">
        <f ca="1">IFERROR(__xludf.DUMMYFUNCTION("GOOGLETRANSLATE(E185,""en"",""ar"")"),"يكون الحصان في مشية سريعة، بثلاث أو أربع ضربات، مع لحظة تعليق تكون فيها جميع الحوافر مرفوعة عن الأرض.")</f>
        <v>يكون الحصان في مشية سريعة، بثلاث أو أربع ضربات، مع لحظة تعليق تكون فيها جميع الحوافر مرفوعة عن الأرض.</v>
      </c>
    </row>
    <row r="186" spans="1:13" ht="22.5" customHeight="1" x14ac:dyDescent="0.25">
      <c r="A186" s="4"/>
      <c r="B186" s="4"/>
      <c r="C186" s="4"/>
      <c r="D186" s="4"/>
      <c r="E186" s="4"/>
      <c r="I186" s="4" t="s">
        <v>23</v>
      </c>
      <c r="J186" s="3" t="str">
        <f ca="1">IFERROR(__xludf.DUMMYFUNCTION("GOOGLETRANSLATE(B186,""en"",""ar"")"),"ما هو اللون الأساسي لقميص الفارس؟")</f>
        <v>ما هو اللون الأساسي لقميص الفارس؟</v>
      </c>
      <c r="K186" s="3" t="str">
        <f ca="1">IFERROR(__xludf.DUMMYFUNCTION("GOOGLETRANSLATE(C186,""en"",""ar"")"),"أ) أزرق، ب) أخضر، ج) أصفر، د) أحمر")</f>
        <v>أ) أزرق، ب) أخضر، ج) أصفر، د) أحمر</v>
      </c>
      <c r="L186" s="3" t="str">
        <f ca="1">IFERROR(__xludf.DUMMYFUNCTION("GOOGLETRANSLATE(D186,""en"",""ar"")"),"د) أحمر")</f>
        <v>د) أحمر</v>
      </c>
      <c r="M186" s="3" t="str">
        <f ca="1">IFERROR(__xludf.DUMMYFUNCTION("GOOGLETRANSLATE(E186,""en"",""ar"")"),"يرتدي الفارس قميصاً أحمر اللون بنقوش سوداء على الكتفين والأكمام.")</f>
        <v>يرتدي الفارس قميصاً أحمر اللون بنقوش سوداء على الكتفين والأكمام.</v>
      </c>
    </row>
    <row r="187" spans="1:13" ht="22.5" customHeight="1" x14ac:dyDescent="0.25">
      <c r="A187" s="4"/>
      <c r="B187" s="4"/>
      <c r="C187" s="4"/>
      <c r="D187" s="4"/>
      <c r="E187" s="4"/>
      <c r="I187" s="4" t="s">
        <v>23</v>
      </c>
      <c r="J187" s="3" t="str">
        <f ca="1">IFERROR(__xludf.DUMMYFUNCTION("GOOGLETRANSLATE(B187,""en"",""ar"")"),"ما هي الوظيفة الرئيسية لخوذة ونظارات الفارس؟")</f>
        <v>ما هي الوظيفة الرئيسية لخوذة ونظارات الفارس؟</v>
      </c>
      <c r="K187" s="3" t="str">
        <f ca="1">IFERROR(__xludf.DUMMYFUNCTION("GOOGLETRANSLATE(C187,""en"",""ar"")"),"أ) الموضة والأناقة، ب) السلامة والحماية، ج) للتواصل عبر الراديو، د) لحجب جميع الأصوات")</f>
        <v>أ) الموضة والأناقة، ب) السلامة والحماية، ج) للتواصل عبر الراديو، د) لحجب جميع الأصوات</v>
      </c>
      <c r="L187" s="3" t="str">
        <f ca="1">IFERROR(__xludf.DUMMYFUNCTION("GOOGLETRANSLATE(D187,""en"",""ar"")"),"ب) السلامة والحماية")</f>
        <v>ب) السلامة والحماية</v>
      </c>
      <c r="M187" s="3" t="str">
        <f ca="1">IFERROR(__xludf.DUMMYFUNCTION("GOOGLETRANSLATE(E187,""en"",""ar"")"),"تحمي الخوذة الرأس في حالة السقوط، بينما تحمي النظارات أو النظارات الواقية العينين من الحطام والرياح. 🕶️")</f>
        <v>تحمي الخوذة الرأس في حالة السقوط، بينما تحمي النظارات أو النظارات الواقية العينين من الحطام والرياح. 🕶️</v>
      </c>
    </row>
    <row r="188" spans="1:13" ht="22.5" customHeight="1" x14ac:dyDescent="0.25">
      <c r="A188" s="4"/>
      <c r="B188" s="4"/>
      <c r="C188" s="4"/>
      <c r="D188" s="4"/>
      <c r="E188" s="4"/>
      <c r="I188" s="4" t="s">
        <v>23</v>
      </c>
      <c r="J188" s="3" t="str">
        <f ca="1">IFERROR(__xludf.DUMMYFUNCTION("GOOGLETRANSLATE(B188,""en"",""ar"")"),"ما هو السلالة التي يتميز بها المظهر الجسدي للحصان، بأرجله الطويلة وجسمه النحيل والعضلي؟")</f>
        <v>ما هو السلالة التي يتميز بها المظهر الجسدي للحصان، بأرجله الطويلة وجسمه النحيل والعضلي؟</v>
      </c>
      <c r="K188" s="3" t="str">
        <f ca="1">IFERROR(__xludf.DUMMYFUNCTION("GOOGLETRANSLATE(C188,""en"",""ar"")"),"أ) شاير (حصان جر)، ب) مهر شتلاند، ج) ثوروبريد، د) أبالوزا")</f>
        <v>أ) شاير (حصان جر)، ب) مهر شتلاند، ج) ثوروبريد، د) أبالوزا</v>
      </c>
      <c r="L188" s="3" t="str">
        <f ca="1">IFERROR(__xludf.DUMMYFUNCTION("GOOGLETRANSLATE(D188,""en"",""ar"")"),"ج) الخيول الأصيلة")</f>
        <v>ج) الخيول الأصيلة</v>
      </c>
      <c r="M188" s="3" t="str">
        <f ca="1">IFERROR(__xludf.DUMMYFUNCTION("GOOGLETRANSLATE(E188,""en"",""ar"")"),"الخيول الأصيلة هي السلالة المستخدمة بشكل أساسي في سباقات الخيل، وتشتهر بسرعتها وخفة حركتها وقدرتها على التحمل.")</f>
        <v>الخيول الأصيلة هي السلالة المستخدمة بشكل أساسي في سباقات الخيل، وتشتهر بسرعتها وخفة حركتها وقدرتها على التحمل.</v>
      </c>
    </row>
    <row r="189" spans="1:13" ht="22.5" customHeight="1" x14ac:dyDescent="0.25">
      <c r="A189" s="4"/>
      <c r="B189" s="4"/>
      <c r="C189" s="4"/>
      <c r="D189" s="4"/>
      <c r="E189" s="4"/>
      <c r="I189" s="4" t="s">
        <v>23</v>
      </c>
      <c r="J189" s="3" t="str">
        <f ca="1">IFERROR(__xludf.DUMMYFUNCTION("GOOGLETRANSLATE(B189,""en"",""ar"")"),"أذنا الحصان ملتفتان قليلاً إلى الخلف، مما يشير إلى أنه من المحتمل...")</f>
        <v>أذنا الحصان ملتفتان قليلاً إلى الخلف، مما يشير إلى أنه من المحتمل...</v>
      </c>
      <c r="K189" s="3" t="str">
        <f ca="1">IFERROR(__xludf.DUMMYFUNCTION("GOOGLETRANSLATE(C189,""en"",""ar"")"),"أ) خائف من شيء ما في الأمام، ب) متجاهلاً الفارس، ج) منصتاً لإشارات الفارس، د) على وشك النوم")</f>
        <v>أ) خائف من شيء ما في الأمام، ب) متجاهلاً الفارس، ج) منصتاً لإشارات الفارس، د) على وشك النوم</v>
      </c>
      <c r="L189" s="3" t="str">
        <f ca="1">IFERROR(__xludf.DUMMYFUNCTION("GOOGLETRANSLATE(D189,""en"",""ar"")"),"ج) الاستماع إلى إشارات الفارس")</f>
        <v>ج) الاستماع إلى إشارات الفارس</v>
      </c>
      <c r="M189" s="3" t="str">
        <f ca="1">IFERROR(__xludf.DUMMYFUNCTION("GOOGLETRANSLATE(E189,""en"",""ar"")"),"غالباً ما تدير الخيول آذانها للخلف لتستمع إلى صوت فارسها أو تغيرات وزنه.")</f>
        <v>غالباً ما تدير الخيول آذانها للخلف لتستمع إلى صوت فارسها أو تغيرات وزنه.</v>
      </c>
    </row>
    <row r="190" spans="1:13" ht="22.5" customHeight="1" x14ac:dyDescent="0.25">
      <c r="A190" s="4"/>
      <c r="B190" s="4"/>
      <c r="C190" s="4"/>
      <c r="D190" s="4"/>
      <c r="E190" s="4"/>
      <c r="I190" s="4" t="s">
        <v>23</v>
      </c>
      <c r="J190" s="3" t="str">
        <f ca="1">IFERROR(__xludf.DUMMYFUNCTION("GOOGLETRANSLATE(B190,""en"",""ar"")"),"ما الغرض من السور الأبيض الموجود في الخلفية؟")</f>
        <v>ما الغرض من السور الأبيض الموجود في الخلفية؟</v>
      </c>
      <c r="K190" s="3" t="str">
        <f ca="1">IFERROR(__xludf.DUMMYFUNCTION("GOOGLETRANSLATE(C190,""en"",""ar"")"),"أ) سياج يستند عليه المتفرجون، ب) حاجز يقفز فوقه الحصان، ج) الحد الداخلي لمضمار السباق، د) عمود ربط الخيول")</f>
        <v>أ) سياج يستند عليه المتفرجون، ب) حاجز يقفز فوقه الحصان، ج) الحد الداخلي لمضمار السباق، د) عمود ربط الخيول</v>
      </c>
      <c r="L190" s="3" t="str">
        <f ca="1">IFERROR(__xludf.DUMMYFUNCTION("GOOGLETRANSLATE(D190,""en"",""ar"")"),"ج) الحدود الداخلية لمضمار السباق")</f>
        <v>ج) الحدود الداخلية لمضمار السباق</v>
      </c>
      <c r="M190" s="3" t="str">
        <f ca="1">IFERROR(__xludf.DUMMYFUNCTION("GOOGLETRANSLATE(E190,""en"",""ar"")"),"يمثل هذا الحاجز الحافة الرسمية للملعب.")</f>
        <v>يمثل هذا الحاجز الحافة الرسمية للملعب.</v>
      </c>
    </row>
    <row r="191" spans="1:13" ht="22.5" customHeight="1" x14ac:dyDescent="0.25">
      <c r="A191" s="4"/>
      <c r="B191" s="4"/>
      <c r="C191" s="4"/>
      <c r="D191" s="4"/>
      <c r="E191" s="4"/>
      <c r="I191" s="4" t="s">
        <v>23</v>
      </c>
      <c r="J191" s="3" t="str">
        <f ca="1">IFERROR(__xludf.DUMMYFUNCTION("GOOGLETRANSLATE(B191,""en"",""ar"")"),"الانطباع العام للصورة هو...")</f>
        <v>الانطباع العام للصورة هو...</v>
      </c>
      <c r="K191" s="3" t="str">
        <f ca="1">IFERROR(__xludf.DUMMYFUNCTION("GOOGLETRANSLATE(C191,""en"",""ar"")"),"أ) منافسة شديدة ومزدحمة، ب) حركة رشيقة ورياضية في بيئة هادئة، ج) موقف خطير خارج عن السيطرة، د) جولة ركوب خيل بطيئة ومريحة")</f>
        <v>أ) منافسة شديدة ومزدحمة، ب) حركة رشيقة ورياضية في بيئة هادئة، ج) موقف خطير خارج عن السيطرة، د) جولة ركوب خيل بطيئة ومريحة</v>
      </c>
      <c r="L191" s="3" t="str">
        <f ca="1">IFERROR(__xludf.DUMMYFUNCTION("GOOGLETRANSLATE(D191,""en"",""ar"")"),"ب) حركة رشيقة ورياضية في بيئة هادئة")</f>
        <v>ب) حركة رشيقة ورياضية في بيئة هادئة</v>
      </c>
      <c r="M191" s="3" t="str">
        <f ca="1">IFERROR(__xludf.DUMMYFUNCTION("GOOGLETRANSLATE(E191,""en"",""ar"")"),"تجسد الصورة جمال حصان السباق أثناء حركته على خلفية طبيعية هادئة.")</f>
        <v>تجسد الصورة جمال حصان السباق أثناء حركته على خلفية طبيعية هادئة.</v>
      </c>
    </row>
    <row r="192" spans="1:13" ht="22.5" customHeight="1" x14ac:dyDescent="0.25">
      <c r="A192" s="4"/>
      <c r="B192" s="4"/>
      <c r="C192" s="4"/>
      <c r="D192" s="4"/>
      <c r="E192" s="4"/>
      <c r="I192" s="4" t="s">
        <v>24</v>
      </c>
      <c r="J192" s="3" t="str">
        <f ca="1">IFERROR(__xludf.DUMMYFUNCTION("GOOGLETRANSLATE(B192,""en"",""ar"")"),"ما نوع رياضة الفروسية الغربية التي تصورها هذه الصورة؟")</f>
        <v>ما نوع رياضة الفروسية الغربية التي تصورها هذه الصورة؟</v>
      </c>
      <c r="K192" s="3" t="str">
        <f ca="1">IFERROR(__xludf.DUMMYFUNCTION("GOOGLETRANSLATE(C192,""en"",""ar"")"),"أ) سباق الخيل، ب) سباق الترويض الجماعي، ج) سباق البراميل، د) الترويض")</f>
        <v>أ) سباق الخيل، ب) سباق الترويض الجماعي، ج) سباق البراميل، د) الترويض</v>
      </c>
      <c r="L192" s="3" t="str">
        <f ca="1">IFERROR(__xludf.DUMMYFUNCTION("GOOGLETRANSLATE(D192,""en"",""ar"")"),"ج) سباق البراميل")</f>
        <v>ج) سباق البراميل</v>
      </c>
      <c r="M192" s="3" t="str">
        <f ca="1">IFERROR(__xludf.DUMMYFUNCTION("GOOGLETRANSLATE(E192,""en"",""ar"")"),"سباق البراميل هو حدثٌ في رياضة الروديو يُحسب فيه الوقت، حيث يحاول الفارس وحصانه إكمال مسارٍ دائري حول البراميل بأسرع وقت. ويُعدّ الانعطاف الحاد والملابس من أهمّ العلامات الدالة على ذلك.")</f>
        <v>سباق البراميل هو حدثٌ في رياضة الروديو يُحسب فيه الوقت، حيث يحاول الفارس وحصانه إكمال مسارٍ دائري حول البراميل بأسرع وقت. ويُعدّ الانعطاف الحاد والملابس من أهمّ العلامات الدالة على ذلك.</v>
      </c>
    </row>
    <row r="193" spans="1:13" ht="22.5" customHeight="1" x14ac:dyDescent="0.25">
      <c r="A193" s="4"/>
      <c r="B193" s="4"/>
      <c r="C193" s="4"/>
      <c r="D193" s="4"/>
      <c r="E193" s="4"/>
      <c r="I193" s="4" t="s">
        <v>24</v>
      </c>
      <c r="J193" s="3" t="str">
        <f ca="1">IFERROR(__xludf.DUMMYFUNCTION("GOOGLETRANSLATE(B193,""en"",""ar"")"),"ما هو الهدف الرئيسي للفارس في هذا الحدث؟")</f>
        <v>ما هو الهدف الرئيسي للفارس في هذا الحدث؟</v>
      </c>
      <c r="K193" s="3" t="str">
        <f ca="1">IFERROR(__xludf.DUMMYFUNCTION("GOOGLETRANSLATE(C193,""en"",""ar"")"),"أ) للحصول على أفضل أسلوب، ب) للتسابق مع الخيول الأخرى حتى خط النهاية، ج) لإكمال نمط معين بأسرع ما يمكن دون إسقاط البراميل، د) للبقاء على ظهر الحصان لمدة 8 ثوانٍ")</f>
        <v>أ) للحصول على أفضل أسلوب، ب) للتسابق مع الخيول الأخرى حتى خط النهاية، ج) لإكمال نمط معين بأسرع ما يمكن دون إسقاط البراميل، د) للبقاء على ظهر الحصان لمدة 8 ثوانٍ</v>
      </c>
      <c r="L193" s="3" t="str">
        <f ca="1">IFERROR(__xludf.DUMMYFUNCTION("GOOGLETRANSLATE(D193,""en"",""ar"")"),"ج) إكمال نمط معين بأسرع وقت ممكن دون إسقاط البراميل")</f>
        <v>ج) إكمال نمط معين بأسرع وقت ممكن دون إسقاط البراميل</v>
      </c>
      <c r="M193" s="3" t="str">
        <f ca="1">IFERROR(__xludf.DUMMYFUNCTION("GOOGLETRANSLATE(E193,""en"",""ar"")"),"يتم تحديد الفائز بناءً على أسرع وقت يتم فيه اجتياز نمط البراميل.")</f>
        <v>يتم تحديد الفائز بناءً على أسرع وقت يتم فيه اجتياز نمط البراميل.</v>
      </c>
    </row>
    <row r="194" spans="1:13" ht="22.5" customHeight="1" x14ac:dyDescent="0.25">
      <c r="A194" s="4"/>
      <c r="B194" s="4"/>
      <c r="C194" s="4"/>
      <c r="D194" s="4"/>
      <c r="E194" s="4"/>
      <c r="I194" s="4" t="s">
        <v>24</v>
      </c>
      <c r="J194" s="3" t="str">
        <f ca="1">IFERROR(__xludf.DUMMYFUNCTION("GOOGLETRANSLATE(B194,""en"",""ar"")"),"ما نوع السطح الذي يركض عليه الحصان؟")</f>
        <v>ما نوع السطح الذي يركض عليه الحصان؟</v>
      </c>
      <c r="K194" s="3" t="str">
        <f ca="1">IFERROR(__xludf.DUMMYFUNCTION("GOOGLETRANSLATE(C194,""en"",""ar"")"),"أ) عشب جاف، ب) رصيف، ج) طين عميق أو أرض رطبة جداً، د) جليد")</f>
        <v>أ) عشب جاف، ب) رصيف، ج) طين عميق أو أرض رطبة جداً، د) جليد</v>
      </c>
      <c r="L194" s="3" t="str">
        <f ca="1">IFERROR(__xludf.DUMMYFUNCTION("GOOGLETRANSLATE(D194,""en"",""ar"")"),"ج) الطين العميق أو التربة الرطبة جداً")</f>
        <v>ج) الطين العميق أو التربة الرطبة جداً</v>
      </c>
      <c r="M194" s="3" t="str">
        <f ca="1">IFERROR(__xludf.DUMMYFUNCTION("GOOGLETRANSLATE(E194,""en"",""ar"")"),"تُظهر الرذاذات الكبيرة وكتل التراب التي تقذفها حوافر الحصان أن أرضية الحلبة مشبعة بالماء.")</f>
        <v>تُظهر الرذاذات الكبيرة وكتل التراب التي تقذفها حوافر الحصان أن أرضية الحلبة مشبعة بالماء.</v>
      </c>
    </row>
    <row r="195" spans="1:13" ht="22.5" customHeight="1" x14ac:dyDescent="0.25">
      <c r="A195" s="4"/>
      <c r="B195" s="4"/>
      <c r="C195" s="4"/>
      <c r="D195" s="4"/>
      <c r="E195" s="4"/>
      <c r="I195" s="4" t="s">
        <v>24</v>
      </c>
      <c r="J195" s="3" t="str">
        <f ca="1">IFERROR(__xludf.DUMMYFUNCTION("GOOGLETRANSLATE(B195,""en"",""ar"")"),"ما نوع السرج الذي يستخدمه الفارس؟")</f>
        <v>ما نوع السرج الذي يستخدمه الفارس؟</v>
      </c>
      <c r="K195" s="3" t="str">
        <f ca="1">IFERROR(__xludf.DUMMYFUNCTION("GOOGLETRANSLATE(C195,""en"",""ar"")"),"أ) سرج سباق خفيف الوزن، ب) سرج إنجليزي متعدد الأغراض، ج) سرج سباق براميل غربي، د) بدون سرج (ركوب بدون سرج)")</f>
        <v>أ) سرج سباق خفيف الوزن، ب) سرج إنجليزي متعدد الأغراض، ج) سرج سباق براميل غربي، د) بدون سرج (ركوب بدون سرج)</v>
      </c>
      <c r="L195" s="3" t="str">
        <f ca="1">IFERROR(__xludf.DUMMYFUNCTION("GOOGLETRANSLATE(D195,""en"",""ar"")"),"ج) سرج سباق البراميل الغربي")</f>
        <v>ج) سرج سباق البراميل الغربي</v>
      </c>
      <c r="M195" s="3" t="str">
        <f ca="1">IFERROR(__xludf.DUMMYFUNCTION("GOOGLETRANSLATE(E195,""en"",""ar"")"),"إنها تستخدم سرجًا غربيًا، والذي يوفر الثبات والدعم اللازمين للانعطافات عالية السرعة.")</f>
        <v>إنها تستخدم سرجًا غربيًا، والذي يوفر الثبات والدعم اللازمين للانعطافات عالية السرعة.</v>
      </c>
    </row>
    <row r="196" spans="1:13" ht="22.5" customHeight="1" x14ac:dyDescent="0.25">
      <c r="A196" s="4"/>
      <c r="B196" s="4"/>
      <c r="C196" s="4"/>
      <c r="D196" s="4"/>
      <c r="E196" s="4"/>
      <c r="I196" s="4" t="s">
        <v>24</v>
      </c>
      <c r="J196" s="3" t="str">
        <f ca="1">IFERROR(__xludf.DUMMYFUNCTION("GOOGLETRANSLATE(B196,""en"",""ar"")"),"يميل جسم الحصان بشدة نحو المنعطف، مما يدل على...")</f>
        <v>يميل جسم الحصان بشدة نحو المنعطف، مما يدل على...</v>
      </c>
      <c r="K196" s="3" t="str">
        <f ca="1">IFERROR(__xludf.DUMMYFUNCTION("GOOGLETRANSLATE(C196,""en"",""ar"")"),"أ) الكسل، ب) خفة الحركة والتوازن، ج) الخوف من الوحل، د) نية التوقف")</f>
        <v>أ) الكسل، ب) خفة الحركة والتوازن، ج) الخوف من الوحل، د) نية التوقف</v>
      </c>
      <c r="L196" s="3" t="str">
        <f ca="1">IFERROR(__xludf.DUMMYFUNCTION("GOOGLETRANSLATE(D196,""en"",""ar"")"),"ب) خفة الحركة والتوازن")</f>
        <v>ب) خفة الحركة والتوازن</v>
      </c>
      <c r="M196" s="3" t="str">
        <f ca="1">IFERROR(__xludf.DUMMYFUNCTION("GOOGLETRANSLATE(E196,""en"",""ar"")"),"يجب أن تتمتع خيول سباق البراميل بلياقة بدنية وتوازن استثنائيين للحفاظ على السرعة أثناء القيام بانعطافات حادة وضيقة.")</f>
        <v>يجب أن تتمتع خيول سباق البراميل بلياقة بدنية وتوازن استثنائيين للحفاظ على السرعة أثناء القيام بانعطافات حادة وضيقة.</v>
      </c>
    </row>
    <row r="197" spans="1:13" ht="22.5" customHeight="1" x14ac:dyDescent="0.25">
      <c r="A197" s="4"/>
      <c r="B197" s="4"/>
      <c r="C197" s="4"/>
      <c r="D197" s="4"/>
      <c r="E197" s="4"/>
      <c r="I197" s="4" t="s">
        <v>24</v>
      </c>
      <c r="J197" s="3" t="str">
        <f ca="1">IFERROR(__xludf.DUMMYFUNCTION("GOOGLETRANSLATE(B197,""en"",""ar"")"),"ماذا تفعل الفارسة بيدها اليسرى؟")</f>
        <v>ماذا تفعل الفارسة بيدها اليسرى؟</v>
      </c>
      <c r="K197" s="3" t="str">
        <f ca="1">IFERROR(__xludf.DUMMYFUNCTION("GOOGLETRANSLATE(C197,""en"",""ar"")"),"أ) تمسك بالحبل، ب) تلوح للحشد، ج) تمسك بقرن السرج لتحقيق التوازن، د) تنظر إلى ساعتها")</f>
        <v>أ) تمسك بالحبل، ب) تلوح للحشد، ج) تمسك بقرن السرج لتحقيق التوازن، د) تنظر إلى ساعتها</v>
      </c>
      <c r="L197" s="3" t="str">
        <f ca="1">IFERROR(__xludf.DUMMYFUNCTION("GOOGLETRANSLATE(D197,""en"",""ar"")"),"ج) التمسك بقرن السرج لتحقيق الثبات")</f>
        <v>ج) التمسك بقرن السرج لتحقيق الثبات</v>
      </c>
      <c r="M197" s="3" t="str">
        <f ca="1">IFERROR(__xludf.DUMMYFUNCTION("GOOGLETRANSLATE(E197,""en"",""ar"")"),"غالباً ما يمسك الفرسان بمقبض السرج أثناء الانعطاف للمساعدة في الحفاظ على توازنهم والبقاء آمنين في السرج.")</f>
        <v>غالباً ما يمسك الفرسان بمقبض السرج أثناء الانعطاف للمساعدة في الحفاظ على توازنهم والبقاء آمنين في السرج.</v>
      </c>
    </row>
    <row r="198" spans="1:13" ht="22.5" customHeight="1" x14ac:dyDescent="0.25">
      <c r="A198" s="4"/>
      <c r="B198" s="4"/>
      <c r="C198" s="4"/>
      <c r="D198" s="4"/>
      <c r="E198" s="4"/>
      <c r="I198" s="4" t="s">
        <v>24</v>
      </c>
      <c r="J198" s="3" t="str">
        <f ca="1">IFERROR(__xludf.DUMMYFUNCTION("GOOGLETRANSLATE(B198,""en"",""ar"")"),"ما نوع الحصان الذي يُفضل استخدامه عادةً في هذه الرياضة؟")</f>
        <v>ما نوع الحصان الذي يُفضل استخدامه عادةً في هذه الرياضة؟</v>
      </c>
      <c r="K198" s="3" t="str">
        <f ca="1">IFERROR(__xludf.DUMMYFUNCTION("GOOGLETRANSLATE(C198,""en"",""ar"")"),"أ) خيول جرّ كبيرة وثقيلة، ب) مهور صغيرة، ج) خيول سريعة ورشيقة وقوية مثل خيول الكوارتر، د) خيول تحمل لمسافات طويلة مثل الخيول العربية")</f>
        <v>أ) خيول جرّ كبيرة وثقيلة، ب) مهور صغيرة، ج) خيول سريعة ورشيقة وقوية مثل خيول الكوارتر، د) خيول تحمل لمسافات طويلة مثل الخيول العربية</v>
      </c>
      <c r="L198" s="3" t="str">
        <f ca="1">IFERROR(__xludf.DUMMYFUNCTION("GOOGLETRANSLATE(D198,""en"",""ar"")"),"ج) الخيول السريعة والرشيقة والقوية مثل خيول الكوارتر")</f>
        <v>ج) الخيول السريعة والرشيقة والقوية مثل خيول الكوارتر</v>
      </c>
      <c r="M198" s="3" t="str">
        <f ca="1">IFERROR(__xludf.DUMMYFUNCTION("GOOGLETRANSLATE(E198,""en"",""ar"")"),"يُعتبر حصان الكوارتر الأمريكي السلالة المهيمنة في سباقات البراميل نظراً لسرعته الفائقة وخفة حركته الشبيهة بالقطط.")</f>
        <v>يُعتبر حصان الكوارتر الأمريكي السلالة المهيمنة في سباقات البراميل نظراً لسرعته الفائقة وخفة حركته الشبيهة بالقطط.</v>
      </c>
    </row>
    <row r="199" spans="1:13" ht="22.5" customHeight="1" x14ac:dyDescent="0.25">
      <c r="A199" s="4"/>
      <c r="B199" s="4"/>
      <c r="C199" s="4"/>
      <c r="D199" s="4"/>
      <c r="E199" s="4"/>
      <c r="I199" s="4" t="s">
        <v>24</v>
      </c>
      <c r="J199" s="3" t="str">
        <f ca="1">IFERROR(__xludf.DUMMYFUNCTION("GOOGLETRANSLATE(B199,""en"",""ar"")"),"الهيكل الأحمر في الخلفية هو...")</f>
        <v>الهيكل الأحمر في الخلفية هو...</v>
      </c>
      <c r="K199" s="3" t="str">
        <f ca="1">IFERROR(__xludf.DUMMYFUNCTION("GOOGLETRANSLATE(C199,""en"",""ar"")"),"أ) الحظيرة أو الإسطبلات، ب) بوابة الانطلاق، ج) مدرج المتفرجين، د) مكتب الحكم")</f>
        <v>أ) الحظيرة أو الإسطبلات، ب) بوابة الانطلاق، ج) مدرج المتفرجين، د) مكتب الحكم</v>
      </c>
      <c r="L199" s="3" t="str">
        <f ca="1">IFERROR(__xludf.DUMMYFUNCTION("GOOGLETRANSLATE(D199,""en"",""ar"")"),"ج) مدرج المتفرجين")</f>
        <v>ج) مدرج المتفرجين</v>
      </c>
      <c r="M199" s="3" t="str">
        <f ca="1">IFERROR(__xludf.DUMMYFUNCTION("GOOGLETRANSLATE(E199,""en"",""ar"")"),"هذه منطقة جلوس مخصصة للأشخاص الذين يشاهدون فعالية الروديو.")</f>
        <v>هذه منطقة جلوس مخصصة للأشخاص الذين يشاهدون فعالية الروديو.</v>
      </c>
    </row>
    <row r="200" spans="1:13" ht="22.5" customHeight="1" x14ac:dyDescent="0.25">
      <c r="A200" s="4"/>
      <c r="B200" s="4"/>
      <c r="C200" s="4"/>
      <c r="D200" s="4"/>
      <c r="E200" s="4"/>
      <c r="I200" s="4" t="s">
        <v>24</v>
      </c>
      <c r="J200" s="3" t="str">
        <f ca="1">IFERROR(__xludf.DUMMYFUNCTION("GOOGLETRANSLATE(B200,""en"",""ar"")"),"لا يرتدي الراكب خوذة، بل يرتدي...")</f>
        <v>لا يرتدي الراكب خوذة، بل يرتدي...</v>
      </c>
      <c r="K200" s="3" t="str">
        <f ca="1">IFERROR(__xludf.DUMMYFUNCTION("GOOGLETRANSLATE(C200,""en"",""ar"")"),"أ) قبعة صوفية، ب) قبعة رعاة البقر، ج) تاج، د) عصابة رأس")</f>
        <v>أ) قبعة صوفية، ب) قبعة رعاة البقر، ج) تاج، د) عصابة رأس</v>
      </c>
      <c r="L200" s="3" t="str">
        <f ca="1">IFERROR(__xludf.DUMMYFUNCTION("GOOGLETRANSLATE(D200,""en"",""ar"")"),"ب) قبعة رعاة البقر")</f>
        <v>ب) قبعة رعاة البقر</v>
      </c>
      <c r="M200" s="3" t="str">
        <f ca="1">IFERROR(__xludf.DUMMYFUNCTION("GOOGLETRANSLATE(E200,""en"",""ar"")"),"تعتبر قبعة رعاة البقر زياً تقليدياً لمعظم فعاليات الروديو، على الرغم من أن استخدام الخوذة أصبح أكثر شيوعاً لأسباب تتعلق بالسلامة.")</f>
        <v>تعتبر قبعة رعاة البقر زياً تقليدياً لمعظم فعاليات الروديو، على الرغم من أن استخدام الخوذة أصبح أكثر شيوعاً لأسباب تتعلق بالسلامة.</v>
      </c>
    </row>
    <row r="201" spans="1:13" ht="22.5" customHeight="1" x14ac:dyDescent="0.25">
      <c r="A201" s="4"/>
      <c r="B201" s="4"/>
      <c r="C201" s="4"/>
      <c r="D201" s="4"/>
      <c r="E201" s="4"/>
      <c r="I201" s="4" t="s">
        <v>24</v>
      </c>
      <c r="J201" s="3" t="str">
        <f ca="1">IFERROR(__xludf.DUMMYFUNCTION("GOOGLETRANSLATE(B201,""en"",""ar"")"),"يشير تناثر الطين من حافر الحصان الأمامي إلى...")</f>
        <v>يشير تناثر الطين من حافر الحصان الأمامي إلى...</v>
      </c>
      <c r="K201" s="3" t="str">
        <f ca="1">IFERROR(__xludf.DUMMYFUNCTION("GOOGLETRANSLATE(C201,""en"",""ar"")"),"أ) يتحرك الحصان ببطء شديد، ب) يتحرك الحصان بسرعة وقوة كبيرتين، ج) تعثر الحصان، د) بدأ المطر للتو")</f>
        <v>أ) يتحرك الحصان ببطء شديد، ب) يتحرك الحصان بسرعة وقوة كبيرتين، ج) تعثر الحصان، د) بدأ المطر للتو</v>
      </c>
      <c r="L201" s="3" t="str">
        <f ca="1">IFERROR(__xludf.DUMMYFUNCTION("GOOGLETRANSLATE(D201,""en"",""ar"")"),"ب) يتحرك الحصان بسرعة وقوة كبيرتين")</f>
        <v>ب) يتحرك الحصان بسرعة وقوة كبيرتين</v>
      </c>
      <c r="M201" s="3" t="str">
        <f ca="1">IFERROR(__xludf.DUMMYFUNCTION("GOOGLETRANSLATE(E201,""en"",""ar"")"),"ينتج عن ضرب الحافر للأرض المبتلة بقوة وسرعة كبيرتين رذاذ بهذا الحجم.")</f>
        <v>ينتج عن ضرب الحافر للأرض المبتلة بقوة وسرعة كبيرتين رذاذ بهذا الحجم.</v>
      </c>
    </row>
    <row r="202" spans="1:13" ht="22.5" customHeight="1" x14ac:dyDescent="0.25">
      <c r="A202" s="4"/>
      <c r="B202" s="4"/>
      <c r="C202" s="4"/>
      <c r="D202" s="4"/>
      <c r="E202" s="4"/>
      <c r="I202" s="4" t="s">
        <v>25</v>
      </c>
      <c r="J202" s="3" t="str">
        <f ca="1">IFERROR(__xludf.DUMMYFUNCTION("GOOGLETRANSLATE(B202,""en"",""ar"")"),"ما هو نوع سباق الخيل المحدد الذي يظهر في هذه الصورة؟")</f>
        <v>ما هو نوع سباق الخيل المحدد الذي يظهر في هذه الصورة؟</v>
      </c>
      <c r="K202" s="3" t="str">
        <f ca="1">IFERROR(__xludf.DUMMYFUNCTION("GOOGLETRANSLATE(C202,""en"",""ar"")"),"أ) سباق الحواجز، ب) سباق الخيول الأصيلة، ج) سباق الخيول مع العربات، د) سباق القدرة")</f>
        <v>أ) سباق الحواجز، ب) سباق الخيول الأصيلة، ج) سباق الخيول مع العربات، د) سباق القدرة</v>
      </c>
      <c r="L202" s="3" t="str">
        <f ca="1">IFERROR(__xludf.DUMMYFUNCTION("GOOGLETRANSLATE(D202,""en"",""ar"")"),"ج) سباق الخيول")</f>
        <v>ج) سباق الخيول</v>
      </c>
      <c r="M202" s="3" t="str">
        <f ca="1">IFERROR(__xludf.DUMMYFUNCTION("GOOGLETRANSLATE(E202,""en"",""ar"")"),"في سباقات الخيول، يقوم حصان بسحب سائق في عربة ذات عجلتين، تُعرف باسم ""العربة ذات العجلات"".")</f>
        <v>في سباقات الخيول، يقوم حصان بسحب سائق في عربة ذات عجلتين، تُعرف باسم "العربة ذات العجلات".</v>
      </c>
    </row>
    <row r="203" spans="1:13" ht="22.5" customHeight="1" x14ac:dyDescent="0.25">
      <c r="A203" s="4"/>
      <c r="B203" s="4"/>
      <c r="C203" s="4"/>
      <c r="D203" s="4"/>
      <c r="E203" s="4"/>
      <c r="I203" s="4" t="s">
        <v>25</v>
      </c>
      <c r="J203" s="3" t="str">
        <f ca="1">IFERROR(__xludf.DUMMYFUNCTION("GOOGLETRANSLATE(B203,""en"",""ar"")"),"ما اسم العربة ذات العجلتين التي يركبها الشخص؟")</f>
        <v>ما اسم العربة ذات العجلتين التي يركبها الشخص؟</v>
      </c>
      <c r="K203" s="3" t="str">
        <f ca="1">IFERROR(__xludf.DUMMYFUNCTION("GOOGLETRANSLATE(C203,""en"",""ar"")"),"أ) عربة تجرها الخيول، ب) عربة تجرها الخيول، ج) عربة تجرها الخيول، د) عربة تجرها الخيول")</f>
        <v>أ) عربة تجرها الخيول، ب) عربة تجرها الخيول، ج) عربة تجرها الخيول، د) عربة تجرها الخيول</v>
      </c>
      <c r="L203" s="3" t="str">
        <f ca="1">IFERROR(__xludf.DUMMYFUNCTION("GOOGLETRANSLATE(D203,""en"",""ar"")"),"د) عربة متجهمة")</f>
        <v>د) عربة متجهمة</v>
      </c>
      <c r="M203" s="3" t="str">
        <f ca="1">IFERROR(__xludf.DUMMYFUNCTION("GOOGLETRANSLATE(E203,""en"",""ar"")"),"العربة ذات العجلتين هي عربة خفيفة الوزن تستخدم خصيصاً لسباقات الخيول.")</f>
        <v>العربة ذات العجلتين هي عربة خفيفة الوزن تستخدم خصيصاً لسباقات الخيول.</v>
      </c>
    </row>
    <row r="204" spans="1:13" ht="22.5" customHeight="1" x14ac:dyDescent="0.25">
      <c r="A204" s="4"/>
      <c r="B204" s="4"/>
      <c r="C204" s="4"/>
      <c r="D204" s="4"/>
      <c r="E204" s="4"/>
      <c r="I204" s="4" t="s">
        <v>25</v>
      </c>
      <c r="J204" s="3" t="str">
        <f ca="1">IFERROR(__xludf.DUMMYFUNCTION("GOOGLETRANSLATE(B204,""en"",""ar"")"),"ما هو اسم الشخص الذي يقود الحصان في هذه الرياضة؟")</f>
        <v>ما هو اسم الشخص الذي يقود الحصان في هذه الرياضة؟</v>
      </c>
      <c r="K204" s="3" t="str">
        <f ca="1">IFERROR(__xludf.DUMMYFUNCTION("GOOGLETRANSLATE(C204,""en"",""ar"")"),"أ) فارس، ب) سائق، ج) فارس، د) مدرب")</f>
        <v>أ) فارس، ب) سائق، ج) فارس، د) مدرب</v>
      </c>
      <c r="L204" s="3" t="str">
        <f ca="1">IFERROR(__xludf.DUMMYFUNCTION("GOOGLETRANSLATE(D204,""en"",""ar"")"),"ب) سائق")</f>
        <v>ب) سائق</v>
      </c>
      <c r="M204" s="3" t="str">
        <f ca="1">IFERROR(__xludf.DUMMYFUNCTION("GOOGLETRANSLATE(E204,""en"",""ar"")"),"في سباقات الخيول، يُشار إلى الشخص الموجود في العربة باسم السائق، وليس الفارس.")</f>
        <v>في سباقات الخيول، يُشار إلى الشخص الموجود في العربة باسم السائق، وليس الفارس.</v>
      </c>
    </row>
    <row r="205" spans="1:13" ht="22.5" customHeight="1" x14ac:dyDescent="0.25">
      <c r="A205" s="4"/>
      <c r="B205" s="4"/>
      <c r="C205" s="4"/>
      <c r="D205" s="4"/>
      <c r="E205" s="4"/>
      <c r="I205" s="4" t="s">
        <v>25</v>
      </c>
      <c r="J205" s="3" t="str">
        <f ca="1">IFERROR(__xludf.DUMMYFUNCTION("GOOGLETRANSLATE(B205,""en"",""ar"")"),"الحصان لا يركض. ما هي الخطوة الثنائية المحددة المطلوبة في هذا النوع من السباقات؟")</f>
        <v>الحصان لا يركض. ما هي الخطوة الثنائية المحددة المطلوبة في هذا النوع من السباقات؟</v>
      </c>
      <c r="K205" s="3" t="str">
        <f ca="1">IFERROR(__xludf.DUMMYFUNCTION("GOOGLETRANSLATE(C205,""en"",""ar"")"),"أ) المشي أو العدو، ب) الهرولة أو الخطو، ج) القفز، د) الانزلاق")</f>
        <v>أ) المشي أو العدو، ب) الهرولة أو الخطو، ج) القفز، د) الانزلاق</v>
      </c>
      <c r="L205" s="3" t="str">
        <f ca="1">IFERROR(__xludf.DUMMYFUNCTION("GOOGLETRANSLATE(D205,""en"",""ar"")"),"ب) الهرولة أو الخطو")</f>
        <v>ب) الهرولة أو الخطو</v>
      </c>
      <c r="M205" s="3" t="str">
        <f ca="1">IFERROR(__xludf.DUMMYFUNCTION("GOOGLETRANSLATE(E205,""en"",""ar"")"),"تتنافس خيول سباق الخيول في الهرولة (حيث تتحرك الأرجل القطرية معًا) أو في السرعة (حيث تتحرك الأرجل من نفس الجانب معًا)، وليس في العدو.")</f>
        <v>تتنافس خيول سباق الخيول في الهرولة (حيث تتحرك الأرجل القطرية معًا) أو في السرعة (حيث تتحرك الأرجل من نفس الجانب معًا)، وليس في العدو.</v>
      </c>
    </row>
    <row r="206" spans="1:13" ht="22.5" customHeight="1" x14ac:dyDescent="0.25">
      <c r="A206" s="4"/>
      <c r="B206" s="4"/>
      <c r="C206" s="4"/>
      <c r="D206" s="4"/>
      <c r="E206" s="4"/>
      <c r="I206" s="4" t="s">
        <v>25</v>
      </c>
      <c r="J206" s="3" t="str">
        <f ca="1">IFERROR(__xludf.DUMMYFUNCTION("GOOGLETRANSLATE(B206,""en"",""ar"")"),"ما هو الرقم الموجود على وسادة السرج الحمراء؟")</f>
        <v>ما هو الرقم الموجود على وسادة السرج الحمراء؟</v>
      </c>
      <c r="K206" s="3" t="str">
        <f ca="1">IFERROR(__xludf.DUMMYFUNCTION("GOOGLETRANSLATE(C206,""en"",""ar"")"),"أ) 1، ب) 7، ج) 11، د) 14")</f>
        <v>أ) 1، ب) 7، ج) 11، د) 14</v>
      </c>
      <c r="L206" s="3" t="str">
        <f ca="1">IFERROR(__xludf.DUMMYFUNCTION("GOOGLETRANSLATE(D206,""en"",""ar"")"),"ج) 11")</f>
        <v>ج) 11</v>
      </c>
      <c r="M206" s="3" t="str">
        <f ca="1">IFERROR(__xludf.DUMMYFUNCTION("GOOGLETRANSLATE(E206,""en"",""ar"")"),"يظهر الرقم 11 بوضوح على الوسادة الحمراء التي توضع على ظهر الحصان.")</f>
        <v>يظهر الرقم 11 بوضوح على الوسادة الحمراء التي توضع على ظهر الحصان.</v>
      </c>
    </row>
    <row r="207" spans="1:13" ht="22.5" customHeight="1" x14ac:dyDescent="0.25">
      <c r="A207" s="4"/>
      <c r="B207" s="4"/>
      <c r="C207" s="4"/>
      <c r="D207" s="4"/>
      <c r="E207" s="4"/>
      <c r="I207" s="4" t="s">
        <v>25</v>
      </c>
      <c r="J207" s="3" t="str">
        <f ca="1">IFERROR(__xludf.DUMMYFUNCTION("GOOGLETRANSLATE(B207,""en"",""ar"")"),"تشير الخلفية الضبابية والتركيز الحاد على الموضوع إلى التقنية الفوتوغرافية المستخدمة.")</f>
        <v>تشير الخلفية الضبابية والتركيز الحاد على الموضوع إلى التقنية الفوتوغرافية المستخدمة.</v>
      </c>
      <c r="K207" s="3" t="str">
        <f ca="1">IFERROR(__xludf.DUMMYFUNCTION("GOOGLETRANSLATE(C207,""en"",""ar"")"),"أ) التعريض الطويل، ب) التحريك البانورامي، ج) عدسة عين السمكة، د) عصا السيلفي")</f>
        <v>أ) التعريض الطويل، ب) التحريك البانورامي، ج) عدسة عين السمكة، د) عصا السيلفي</v>
      </c>
      <c r="L207" s="3" t="str">
        <f ca="1">IFERROR(__xludf.DUMMYFUNCTION("GOOGLETRANSLATE(D207,""en"",""ar"")"),"ب) التحريك الأفقي")</f>
        <v>ب) التحريك الأفقي</v>
      </c>
      <c r="M207" s="3" t="str">
        <f ca="1">IFERROR(__xludf.DUMMYFUNCTION("GOOGLETRANSLATE(E207,""en"",""ar"")"),"تتضمن تقنية التتبع تحريك الكاميرا مع جسم متحرك، مما يخلق صورة واضحة للجسم على خلفية ضبابية، مؤكداً على السرعة. 📸")</f>
        <v>تتضمن تقنية التتبع تحريك الكاميرا مع جسم متحرك، مما يخلق صورة واضحة للجسم على خلفية ضبابية، مؤكداً على السرعة. 📸</v>
      </c>
    </row>
    <row r="208" spans="1:13" ht="22.5" customHeight="1" x14ac:dyDescent="0.25">
      <c r="A208" s="4"/>
      <c r="B208" s="4"/>
      <c r="C208" s="4"/>
      <c r="D208" s="4"/>
      <c r="E208" s="4"/>
      <c r="I208" s="4" t="s">
        <v>25</v>
      </c>
      <c r="J208" s="3" t="str">
        <f ca="1">IFERROR(__xludf.DUMMYFUNCTION("GOOGLETRANSLATE(B208,""en"",""ar"")"),"ما هي قطعة معدات السلامة التي يرتديها السائق على رأسه؟")</f>
        <v>ما هي قطعة معدات السلامة التي يرتديها السائق على رأسه؟</v>
      </c>
      <c r="K208" s="3" t="str">
        <f ca="1">IFERROR(__xludf.DUMMYFUNCTION("GOOGLETRANSLATE(C208,""en"",""ar"")"),"أ) قبعة رعاة البقر، ب) قبعة بيسبول، ج) خوذة معتمدة، د) قبعة صوفية")</f>
        <v>أ) قبعة رعاة البقر، ب) قبعة بيسبول، ج) خوذة معتمدة، د) قبعة صوفية</v>
      </c>
      <c r="L208" s="3" t="str">
        <f ca="1">IFERROR(__xludf.DUMMYFUNCTION("GOOGLETRANSLATE(D208,""en"",""ar"")"),"ج) خوذة معتمدة")</f>
        <v>ج) خوذة معتمدة</v>
      </c>
      <c r="M208" s="3" t="str">
        <f ca="1">IFERROR(__xludf.DUMMYFUNCTION("GOOGLETRANSLATE(E208,""en"",""ar"")"),"يُطلب من السائقين ارتداء خوذات الأمان للحماية من إصابات الرأس في حالة وقوع حادث.")</f>
        <v>يُطلب من السائقين ارتداء خوذات الأمان للحماية من إصابات الرأس في حالة وقوع حادث.</v>
      </c>
    </row>
    <row r="209" spans="1:13" ht="22.5" customHeight="1" x14ac:dyDescent="0.25">
      <c r="A209" s="4"/>
      <c r="B209" s="4"/>
      <c r="C209" s="4"/>
      <c r="D209" s="4"/>
      <c r="E209" s="4"/>
      <c r="I209" s="4" t="s">
        <v>25</v>
      </c>
      <c r="J209" s="3" t="str">
        <f ca="1">IFERROR(__xludf.DUMMYFUNCTION("GOOGLETRANSLATE(B209,""en"",""ar"")"),"من المرجح أن يكون سلالة الحصان من سلالة ستاندردبريد، المعروفة بكفاءتها في...")</f>
        <v>من المرجح أن يكون سلالة الحصان من سلالة ستاندردبريد، المعروفة بكفاءتها في...</v>
      </c>
      <c r="K209" s="3" t="str">
        <f ca="1">IFERROR(__xludf.DUMMYFUNCTION("GOOGLETRANSLATE(C209,""en"",""ar"")"),"أ) القفز فوق الأسوار العالية، ب) رعي الماشية، ج) سباق الخيول، د) أداء رياضة الترويض")</f>
        <v>أ) القفز فوق الأسوار العالية، ب) رعي الماشية، ج) سباق الخيول، د) أداء رياضة الترويض</v>
      </c>
      <c r="L209" s="3" t="str">
        <f ca="1">IFERROR(__xludf.DUMMYFUNCTION("GOOGLETRANSLATE(D209,""en"",""ar"")"),"ج) سباق الخيول")</f>
        <v>ج) سباق الخيول</v>
      </c>
      <c r="M209" s="3" t="str">
        <f ca="1">IFERROR(__xludf.DUMMYFUNCTION("GOOGLETRANSLATE(E209,""en"",""ar"")"),"بينما تهيمن الخيول الأصيلة على سباقات الخيل المسطحة، فإن الخيول الأصيلة القياسية هي السلالة التي تم تطويرها واستخدامها خصيصًا لسرعتها في الهرولة والوتيرة.")</f>
        <v>بينما تهيمن الخيول الأصيلة على سباقات الخيل المسطحة، فإن الخيول الأصيلة القياسية هي السلالة التي تم تطويرها واستخدامها خصيصًا لسرعتها في الهرولة والوتيرة.</v>
      </c>
    </row>
    <row r="210" spans="1:13" ht="22.5" customHeight="1" x14ac:dyDescent="0.25">
      <c r="A210" s="4"/>
      <c r="B210" s="4"/>
      <c r="C210" s="4"/>
      <c r="D210" s="4"/>
      <c r="E210" s="4"/>
      <c r="I210" s="4" t="s">
        <v>25</v>
      </c>
      <c r="J210" s="3" t="str">
        <f ca="1">IFERROR(__xludf.DUMMYFUNCTION("GOOGLETRANSLATE(B210,""en"",""ar"")"),"ما الغرض من اللجام الطويل الذي يمسكه السائق؟")</f>
        <v>ما الغرض من اللجام الطويل الذي يمسكه السائق؟</v>
      </c>
      <c r="K210" s="3" t="str">
        <f ca="1">IFERROR(__xludf.DUMMYFUNCTION("GOOGLETRANSLATE(C210,""en"",""ar"")"),"أ) لضرب الحصان لزيادة سرعته، ب) للزينة، ج) للتحكم في سرعة الحصان واتجاهه، د) لربط الحصان بعد السباق")</f>
        <v>أ) لضرب الحصان لزيادة سرعته، ب) للزينة، ج) للتحكم في سرعة الحصان واتجاهه، د) لربط الحصان بعد السباق</v>
      </c>
      <c r="L210" s="3" t="str">
        <f ca="1">IFERROR(__xludf.DUMMYFUNCTION("GOOGLETRANSLATE(D210,""en"",""ar"")"),"ج) للتحكم في سرعة الحصان واتجاهه")</f>
        <v>ج) للتحكم في سرعة الحصان واتجاهه</v>
      </c>
      <c r="M210" s="3" t="str">
        <f ca="1">IFERROR(__xludf.DUMMYFUNCTION("GOOGLETRANSLATE(E210,""en"",""ar"")"),"يستخدم السائق اللجام، الذي يتصل باللجام الموجود في فم الحصان، لتوصيل الإشارات الخاصة بالتوجيه والسرعة.")</f>
        <v>يستخدم السائق اللجام، الذي يتصل باللجام الموجود في فم الحصان، لتوصيل الإشارات الخاصة بالتوجيه والسرعة.</v>
      </c>
    </row>
    <row r="211" spans="1:13" ht="22.5" customHeight="1" x14ac:dyDescent="0.25">
      <c r="A211" s="4"/>
      <c r="B211" s="4"/>
      <c r="C211" s="4"/>
      <c r="D211" s="4"/>
      <c r="E211" s="4"/>
      <c r="I211" s="4" t="s">
        <v>25</v>
      </c>
      <c r="J211" s="3" t="str">
        <f ca="1">IFERROR(__xludf.DUMMYFUNCTION("GOOGLETRANSLATE(B211,""en"",""ar"")"),"يُعبّر ضبابية الحركة في أرجل الحصان وعجلات العربة بفعالية عن...")</f>
        <v>يُعبّر ضبابية الحركة في أرجل الحصان وعجلات العربة بفعالية عن...</v>
      </c>
      <c r="K211" s="3" t="str">
        <f ca="1">IFERROR(__xludf.DUMMYFUNCTION("GOOGLETRANSLATE(C211,""en"",""ar"")"),"أ) الحصان متعب، ب) إحساس بالسرعة القصوى، ج) السباق على وشك البدء، د) الصورة غير واضحة")</f>
        <v>أ) الحصان متعب، ب) إحساس بالسرعة القصوى، ج) السباق على وشك البدء، د) الصورة غير واضحة</v>
      </c>
      <c r="L211" s="3" t="str">
        <f ca="1">IFERROR(__xludf.DUMMYFUNCTION("GOOGLETRANSLATE(D211,""en"",""ar"")"),"ب) الشعور بالسرعة القصوى")</f>
        <v>ب) الشعور بالسرعة القصوى</v>
      </c>
      <c r="M211" s="3" t="str">
        <f ca="1">IFERROR(__xludf.DUMMYFUNCTION("GOOGLETRANSLATE(E211,""en"",""ar"")"),"يُعدّ هذا التشويش إشارة بصرية تُجسّد الحركة السريعة للحصان والعربة.")</f>
        <v>يُعدّ هذا التشويش إشارة بصرية تُجسّد الحركة السريعة للحصان والعربة.</v>
      </c>
    </row>
    <row r="212" spans="1:13" ht="22.5" customHeight="1" x14ac:dyDescent="0.25">
      <c r="A212" s="4"/>
      <c r="B212" s="4"/>
      <c r="C212" s="4"/>
      <c r="D212" s="4"/>
      <c r="E212" s="4"/>
      <c r="I212" s="4" t="s">
        <v>26</v>
      </c>
      <c r="J212" s="3" t="str">
        <f ca="1">IFERROR(__xludf.DUMMYFUNCTION("GOOGLETRANSLATE(B212,""en"",""ar"")"),"يشير الضوء في الصورة، بتوهجه الذهبي الدافئ وظلاله الطويلة، إلى وقت من اليوم تجري فيه السباقات؟")</f>
        <v>يشير الضوء في الصورة، بتوهجه الذهبي الدافئ وظلاله الطويلة، إلى وقت من اليوم تجري فيه السباقات؟</v>
      </c>
      <c r="K212" s="3" t="str">
        <f ca="1">IFERROR(__xludf.DUMMYFUNCTION("GOOGLETRANSLATE(C212,""en"",""ar"")"),"أ) منتصف النهار، ب) منتصف الليل، ج) أواخر فترة ما بعد الظهر أو غروب الشمس، د) فجر الصباح الباكر")</f>
        <v>أ) منتصف النهار، ب) منتصف الليل، ج) أواخر فترة ما بعد الظهر أو غروب الشمس، د) فجر الصباح الباكر</v>
      </c>
      <c r="L212" s="3" t="str">
        <f ca="1">IFERROR(__xludf.DUMMYFUNCTION("GOOGLETRANSLATE(D212,""en"",""ar"")"),"ج) أواخر فترة ما بعد الظهر أو وقت الغروب")</f>
        <v>ج) أواخر فترة ما بعد الظهر أو وقت الغروب</v>
      </c>
      <c r="M212" s="3" t="str">
        <f ca="1">IFERROR(__xludf.DUMMYFUNCTION("GOOGLETRANSLATE(E212,""en"",""ar"")"),"يُطلق على هذا النوع من الإضاءة الدافئة والخلابة اسم ""الساعة الذهبية""، والتي تحدث بعد شروق الشمس بقليل أو قبل غروبها. 🌇")</f>
        <v>يُطلق على هذا النوع من الإضاءة الدافئة والخلابة اسم "الساعة الذهبية"، والتي تحدث بعد شروق الشمس بقليل أو قبل غروبها. 🌇</v>
      </c>
    </row>
    <row r="213" spans="1:13" ht="22.5" customHeight="1" x14ac:dyDescent="0.25">
      <c r="A213" s="4"/>
      <c r="B213" s="4"/>
      <c r="C213" s="4"/>
      <c r="D213" s="4"/>
      <c r="E213" s="4"/>
      <c r="I213" s="4" t="s">
        <v>26</v>
      </c>
      <c r="J213" s="3" t="str">
        <f ca="1">IFERROR(__xludf.DUMMYFUNCTION("GOOGLETRANSLATE(B213,""en"",""ar"")"),"ما هو سطح مضمار السباق الذي تجري عليه الخيول؟")</f>
        <v>ما هو سطح مضمار السباق الذي تجري عليه الخيول؟</v>
      </c>
      <c r="K213" s="3" t="str">
        <f ca="1">IFERROR(__xludf.DUMMYFUNCTION("GOOGLETRANSLATE(C213,""en"",""ar"")"),"أ) العشب (الأرض العشبية)، ب) الثلج، ج) التراب أو الرمل، د) الأسفلت")</f>
        <v>أ) العشب (الأرض العشبية)، ب) الثلج، ج) التراب أو الرمل، د) الأسفلت</v>
      </c>
      <c r="L213" s="3" t="str">
        <f ca="1">IFERROR(__xludf.DUMMYFUNCTION("GOOGLETRANSLATE(D213,""en"",""ar"")"),"ج) التراب أو الرمل")</f>
        <v>ج) التراب أو الرمل</v>
      </c>
      <c r="M213" s="3" t="str">
        <f ca="1">IFERROR(__xludf.DUMMYFUNCTION("GOOGLETRANSLATE(E213,""en"",""ar"")"),"يشير لون وملمس المسار، بالإضافة إلى الكمية الكبيرة من المواد المتطايرة، إلى سطح ترابي أو رملي.")</f>
        <v>يشير لون وملمس المسار، بالإضافة إلى الكمية الكبيرة من المواد المتطايرة، إلى سطح ترابي أو رملي.</v>
      </c>
    </row>
    <row r="214" spans="1:13" ht="22.5" customHeight="1" x14ac:dyDescent="0.25">
      <c r="A214" s="4"/>
      <c r="B214" s="4"/>
      <c r="C214" s="4"/>
      <c r="D214" s="4"/>
      <c r="E214" s="4"/>
      <c r="I214" s="4" t="s">
        <v>26</v>
      </c>
      <c r="J214" s="3" t="str">
        <f ca="1">IFERROR(__xludf.DUMMYFUNCTION("GOOGLETRANSLATE(B214,""en"",""ar"")"),"ما الذي يسبب تناثر الأوساخ بكثافة حول الخيول الأمامية؟")</f>
        <v>ما الذي يسبب تناثر الأوساخ بكثافة حول الخيول الأمامية؟</v>
      </c>
      <c r="K214" s="3" t="str">
        <f ca="1">IFERROR(__xludf.DUMMYFUNCTION("GOOGLETRANSLATE(C214,""en"",""ar"")"),"أ) الرياح، ب) هطول المطر، ج) حوافر الخيول القوية التي تغرز في المضمار، د) مركبة تسير أمامهم")</f>
        <v>أ) الرياح، ب) هطول المطر، ج) حوافر الخيول القوية التي تغرز في المضمار، د) مركبة تسير أمامهم</v>
      </c>
      <c r="L214" s="3" t="str">
        <f ca="1">IFERROR(__xludf.DUMMYFUNCTION("GOOGLETRANSLATE(D214,""en"",""ar"")"),"ج) حوافر الخيول القوية التي تغرز في المسار")</f>
        <v>ج) حوافر الخيول القوية التي تغرز في المسار</v>
      </c>
      <c r="M214" s="3" t="str">
        <f ca="1">IFERROR(__xludf.DUMMYFUNCTION("GOOGLETRANSLATE(E214,""en"",""ar"")"),"عند العدو بأقصى سرعة، تقوم حوافر الخيول بإزاحة كمية كبيرة من الأوساخ، مما يخلق رذاذًا كثيفًا.")</f>
        <v>عند العدو بأقصى سرعة، تقوم حوافر الخيول بإزاحة كمية كبيرة من الأوساخ، مما يخلق رذاذًا كثيفًا.</v>
      </c>
    </row>
    <row r="215" spans="1:13" ht="22.5" customHeight="1" x14ac:dyDescent="0.25">
      <c r="A215" s="4"/>
      <c r="B215" s="4"/>
      <c r="C215" s="4"/>
      <c r="D215" s="4"/>
      <c r="E215" s="4"/>
      <c r="I215" s="4" t="s">
        <v>26</v>
      </c>
      <c r="J215" s="3" t="str">
        <f ca="1">IFERROR(__xludf.DUMMYFUNCTION("GOOGLETRANSLATE(B215,""en"",""ar"")"),"ما هي أسرع مشية للحصان، كما يظهرها جميع المتنافسين في هذه الصورة؟")</f>
        <v>ما هي أسرع مشية للحصان، كما يظهرها جميع المتنافسين في هذه الصورة؟</v>
      </c>
      <c r="K215" s="3" t="str">
        <f ca="1">IFERROR(__xludf.DUMMYFUNCTION("GOOGLETRANSLATE(C215,""en"",""ar"")"),"أ) الهرولة، ب) العدو، ج) العدو السريع، د) المشي")</f>
        <v>أ) الهرولة، ب) العدو، ج) العدو السريع، د) المشي</v>
      </c>
      <c r="L215" s="3" t="str">
        <f ca="1">IFERROR(__xludf.DUMMYFUNCTION("GOOGLETRANSLATE(D215,""en"",""ar"")"),"ج) العدو")</f>
        <v>ج) العدو</v>
      </c>
      <c r="M215" s="3" t="str">
        <f ca="1">IFERROR(__xludf.DUMMYFUNCTION("GOOGLETRANSLATE(E215,""en"",""ar"")"),"العدو هو أسرع مشية طبيعية للحصان، وهي المشية المستخدمة في سباقات الخيول الأصيلة.")</f>
        <v>العدو هو أسرع مشية طبيعية للحصان، وهي المشية المستخدمة في سباقات الخيول الأصيلة.</v>
      </c>
    </row>
    <row r="216" spans="1:13" ht="22.5" customHeight="1" x14ac:dyDescent="0.25">
      <c r="A216" s="4"/>
      <c r="B216" s="4"/>
      <c r="C216" s="4"/>
      <c r="D216" s="4"/>
      <c r="E216" s="4"/>
      <c r="I216" s="4" t="s">
        <v>26</v>
      </c>
      <c r="J216" s="3" t="str">
        <f ca="1">IFERROR(__xludf.DUMMYFUNCTION("GOOGLETRANSLATE(B216,""en"",""ar"")"),"ما هو السبب الرئيسي لوضعية الفرسان المنحنية للأمام، والتي تُعتبر وضعية ديناميكية هوائية؟")</f>
        <v>ما هو السبب الرئيسي لوضعية الفرسان المنحنية للأمام، والتي تُعتبر وضعية ديناميكية هوائية؟</v>
      </c>
      <c r="K216" s="3" t="str">
        <f ca="1">IFERROR(__xludf.DUMMYFUNCTION("GOOGLETRANSLATE(C216,""en"",""ar"")"),"أ) لأنه أكثر راحة، ب) لتقليل مقاومة الرياح والسماح بسرعة أكبر، ج) لرؤية الأرض مباشرة أمام الحصان، د) لضرب الحصان بالسوط بسهولة أكبر")</f>
        <v>أ) لأنه أكثر راحة، ب) لتقليل مقاومة الرياح والسماح بسرعة أكبر، ج) لرؤية الأرض مباشرة أمام الحصان، د) لضرب الحصان بالسوط بسهولة أكبر</v>
      </c>
      <c r="L216" s="3" t="str">
        <f ca="1">IFERROR(__xludf.DUMMYFUNCTION("GOOGLETRANSLATE(D216,""en"",""ar"")"),"ب) لتقليل مقاومة الرياح والسماح بسرعة أكبر")</f>
        <v>ب) لتقليل مقاومة الرياح والسماح بسرعة أكبر</v>
      </c>
      <c r="M216" s="3" t="str">
        <f ca="1">IFERROR(__xludf.DUMMYFUNCTION("GOOGLETRANSLATE(E216,""en"",""ar"")"),"هذا الوضع، الذي يسمى ""انحناء القرد""، يقلل من مقاومة الهواء ويساعد الحصان على الجري بشكل أسرع.")</f>
        <v>هذا الوضع، الذي يسمى "انحناء القرد"، يقلل من مقاومة الهواء ويساعد الحصان على الجري بشكل أسرع.</v>
      </c>
    </row>
    <row r="217" spans="1:13" ht="22.5" customHeight="1" x14ac:dyDescent="0.25">
      <c r="A217" s="4"/>
      <c r="B217" s="4"/>
      <c r="C217" s="4"/>
      <c r="D217" s="4"/>
      <c r="E217" s="4"/>
      <c r="I217" s="4" t="s">
        <v>26</v>
      </c>
      <c r="J217" s="3" t="str">
        <f ca="1">IFERROR(__xludf.DUMMYFUNCTION("GOOGLETRANSLATE(B217,""en"",""ar"")"),"يمكن وصف الحالة المزاجية العامة للصورة على أفضل وجه بأنها...")</f>
        <v>يمكن وصف الحالة المزاجية العامة للصورة على أفضل وجه بأنها...</v>
      </c>
      <c r="K217" s="3" t="str">
        <f ca="1">IFERROR(__xludf.DUMMYFUNCTION("GOOGLETRANSLATE(C217,""en"",""ar"")"),"أ) هادئ وساكن، ب) فكاهي وسخيف، ج) قوي ومؤثر ومثير، د) بارد وجاف")</f>
        <v>أ) هادئ وساكن، ب) فكاهي وسخيف، ج) قوي ومؤثر ومثير، د) بارد وجاف</v>
      </c>
      <c r="L217" s="3" t="str">
        <f ca="1">IFERROR(__xludf.DUMMYFUNCTION("GOOGLETRANSLATE(D217,""en"",""ar"")"),"ج) مكثف، قوي، ومثير")</f>
        <v>ج) مكثف، قوي، ومثير</v>
      </c>
      <c r="M217" s="3" t="str">
        <f ca="1">IFERROR(__xludf.DUMMYFUNCTION("GOOGLETRANSLATE(E217,""en"",""ar"")"),"تخلق الزاوية المنخفضة والغبار المتطاير والخيول القوية جواً ديناميكياً ومكثفاً للغاية.")</f>
        <v>تخلق الزاوية المنخفضة والغبار المتطاير والخيول القوية جواً ديناميكياً ومكثفاً للغاية.</v>
      </c>
    </row>
    <row r="218" spans="1:13" ht="22.5" customHeight="1" x14ac:dyDescent="0.25">
      <c r="A218" s="4"/>
      <c r="B218" s="4"/>
      <c r="C218" s="4"/>
      <c r="D218" s="4"/>
      <c r="E218" s="4"/>
      <c r="I218" s="4" t="s">
        <v>26</v>
      </c>
      <c r="J218" s="3" t="str">
        <f ca="1">IFERROR(__xludf.DUMMYFUNCTION("GOOGLETRANSLATE(B218,""en"",""ar"")"),"ما هي قطعة المعدات التي يرتديها الفرسان على رؤوسهم للحماية؟")</f>
        <v>ما هي قطعة المعدات التي يرتديها الفرسان على رؤوسهم للحماية؟</v>
      </c>
      <c r="K218" s="3" t="str">
        <f ca="1">IFERROR(__xludf.DUMMYFUNCTION("GOOGLETRANSLATE(C218,""en"",""ar"")"),"أ) نظارات واقية، ب) خوذات، ج) واقيات للوجه، د) كل من أ و ب")</f>
        <v>أ) نظارات واقية، ب) خوذات، ج) واقيات للوجه، د) كل من أ و ب</v>
      </c>
      <c r="L218" s="3" t="str">
        <f ca="1">IFERROR(__xludf.DUMMYFUNCTION("GOOGLETRANSLATE(D218,""en"",""ar"")"),"د) كل من أ و ب")</f>
        <v>د) كل من أ و ب</v>
      </c>
      <c r="M218" s="3" t="str">
        <f ca="1">IFERROR(__xludf.DUMMYFUNCTION("GOOGLETRANSLATE(E218,""en"",""ar"")"),"يرتدي الفرسان خوذات معتمدة للحماية من الصدمات ونظارات واقية لحماية أعينهم من الغبار المتطاير.")</f>
        <v>يرتدي الفرسان خوذات معتمدة للحماية من الصدمات ونظارات واقية لحماية أعينهم من الغبار المتطاير.</v>
      </c>
    </row>
    <row r="219" spans="1:13" ht="22.5" customHeight="1" x14ac:dyDescent="0.25">
      <c r="A219" s="4"/>
      <c r="B219" s="4"/>
      <c r="C219" s="4"/>
      <c r="D219" s="4"/>
      <c r="E219" s="4"/>
      <c r="I219" s="4" t="s">
        <v>26</v>
      </c>
      <c r="J219" s="3" t="str">
        <f ca="1">IFERROR(__xludf.DUMMYFUNCTION("GOOGLETRANSLATE(B219,""en"",""ar"")"),"ما هو نوع الخيول التي تشارك في هذا النوع من السباقات بشكل شبه حصري؟")</f>
        <v>ما هو نوع الخيول التي تشارك في هذا النوع من السباقات بشكل شبه حصري؟</v>
      </c>
      <c r="K219" s="3" t="str">
        <f ca="1">IFERROR(__xludf.DUMMYFUNCTION("GOOGLETRANSLATE(C219,""en"",""ar"")"),"أ) حصان الكوارتر الأمريكي، ب) الحصان العربي، ج) حصان كلايدزديل، د) الحصان الأصيل")</f>
        <v>أ) حصان الكوارتر الأمريكي، ب) الحصان العربي، ج) حصان كلايدزديل، د) الحصان الأصيل</v>
      </c>
      <c r="L219" s="3" t="str">
        <f ca="1">IFERROR(__xludf.DUMMYFUNCTION("GOOGLETRANSLATE(D219,""en"",""ar"")"),"د) الخيول الأصيلة")</f>
        <v>د) الخيول الأصيلة</v>
      </c>
      <c r="M219" s="3" t="str">
        <f ca="1">IFERROR(__xludf.DUMMYFUNCTION("GOOGLETRANSLATE(E219,""en"",""ar"")"),"لقد تم تربية الخيول الأصيلة على وجه التحديد لقرون من أجل سرعتها وقدرتها على التحمل وخفة حركتها، مما يجعلها السلالة الأفضل لسباقات الخيل على المضمار المسطح.")</f>
        <v>لقد تم تربية الخيول الأصيلة على وجه التحديد لقرون من أجل سرعتها وقدرتها على التحمل وخفة حركتها، مما يجعلها السلالة الأفضل لسباقات الخيل على المضمار المسطح.</v>
      </c>
    </row>
    <row r="220" spans="1:13" ht="22.5" customHeight="1" x14ac:dyDescent="0.25">
      <c r="A220" s="4"/>
      <c r="B220" s="4"/>
      <c r="C220" s="4"/>
      <c r="D220" s="4"/>
      <c r="E220" s="4"/>
      <c r="I220" s="4" t="s">
        <v>26</v>
      </c>
      <c r="J220" s="3" t="str">
        <f ca="1">IFERROR(__xludf.DUMMYFUNCTION("GOOGLETRANSLATE(B220,""en"",""ar"")"),"يُستخدم الحاجز الأبيض الظاهر على الجانب الأيمن من المسار لـ...")</f>
        <v>يُستخدم الحاجز الأبيض الظاهر على الجانب الأيمن من المسار لـ...</v>
      </c>
      <c r="K220" s="3" t="str">
        <f ca="1">IFERROR(__xludf.DUMMYFUNCTION("GOOGLETRANSLATE(C220,""en"",""ar"")"),"أ) فصل المتفرجين عن الخيول، ب) تحديد الحدود الرسمية للمسار، ج) العمل كخط نهاية، د) كل من أ و ب")</f>
        <v>أ) فصل المتفرجين عن الخيول، ب) تحديد الحدود الرسمية للمسار، ج) العمل كخط نهاية، د) كل من أ و ب</v>
      </c>
      <c r="L220" s="3" t="str">
        <f ca="1">IFERROR(__xludf.DUMMYFUNCTION("GOOGLETRANSLATE(D220,""en"",""ar"")"),"د) كل من أ و ب")</f>
        <v>د) كل من أ و ب</v>
      </c>
      <c r="M220" s="3" t="str">
        <f ca="1">IFERROR(__xludf.DUMMYFUNCTION("GOOGLETRANSLATE(E220,""en"",""ar"")"),"يوفر الحاجز حاجز أمان للجمهور، كما أنه يحدد الحافة الرسمية لمضمار السباق.")</f>
        <v>يوفر الحاجز حاجز أمان للجمهور، كما أنه يحدد الحافة الرسمية لمضمار السباق.</v>
      </c>
    </row>
    <row r="221" spans="1:13" ht="22.5" customHeight="1" x14ac:dyDescent="0.25">
      <c r="A221" s="4"/>
      <c r="B221" s="4"/>
      <c r="C221" s="4"/>
      <c r="D221" s="4"/>
      <c r="E221" s="4"/>
      <c r="I221" s="4" t="s">
        <v>26</v>
      </c>
      <c r="J221" s="3" t="str">
        <f ca="1">IFERROR(__xludf.DUMMYFUNCTION("GOOGLETRANSLATE(B221,""en"",""ar"")"),"زاوية الكاميرا المنخفضة تجعل الخيول تبدو...")</f>
        <v>زاوية الكاميرا المنخفضة تجعل الخيول تبدو...</v>
      </c>
      <c r="K221" s="3" t="str">
        <f ca="1">IFERROR(__xludf.DUMMYFUNCTION("GOOGLETRANSLATE(C221,""en"",""ar"")"),"أ) أصغر وأبعد، ب) أبطأ وأكثر رشاقة، ج) أكبر وأقوى وأكثر هيبة، د) غير مهم للمشهد")</f>
        <v>أ) أصغر وأبعد، ب) أبطأ وأكثر رشاقة، ج) أكبر وأقوى وأكثر هيبة، د) غير مهم للمشهد</v>
      </c>
      <c r="L221" s="3" t="str">
        <f ca="1">IFERROR(__xludf.DUMMYFUNCTION("GOOGLETRANSLATE(D221,""en"",""ar"")"),"ج) أكبر حجماً، وأكثر قوة، وأكثر هيبة")</f>
        <v>ج) أكبر حجماً، وأكثر قوة، وأكثر هيبة</v>
      </c>
      <c r="M221" s="3" t="str">
        <f ca="1">IFERROR(__xludf.DUMMYFUNCTION("GOOGLETRANSLATE(E221,""en"",""ar"")"),"يُعد التصوير من منظور منخفض أسلوبًا شائعًا لجعل الموضوع يبدو أكثر هيمنة وبطولة.")</f>
        <v>يُعد التصوير من منظور منخفض أسلوبًا شائعًا لجعل الموضوع يبدو أكثر هيمنة وبطولة.</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1000"/>
  <sheetViews>
    <sheetView tabSelected="1" workbookViewId="0">
      <pane ySplit="1" topLeftCell="A2" activePane="bottomLeft" state="frozen"/>
      <selection pane="bottomLeft" activeCell="N9" sqref="N9"/>
    </sheetView>
  </sheetViews>
  <sheetFormatPr defaultColWidth="12.6640625" defaultRowHeight="15.75" customHeight="1" x14ac:dyDescent="0.25"/>
  <sheetData>
    <row r="1" spans="1:33" ht="22.5" customHeight="1" x14ac:dyDescent="0.25">
      <c r="A1" s="1"/>
      <c r="B1" s="1"/>
      <c r="C1" s="1"/>
      <c r="D1" s="1"/>
      <c r="E1" s="1"/>
      <c r="F1" s="4"/>
      <c r="G1" s="4"/>
      <c r="H1" s="1" t="s">
        <v>0</v>
      </c>
      <c r="I1" s="4" t="s">
        <v>112</v>
      </c>
      <c r="J1" s="1" t="s">
        <v>2</v>
      </c>
      <c r="K1" s="1" t="s">
        <v>3</v>
      </c>
      <c r="L1" s="1" t="s">
        <v>4</v>
      </c>
      <c r="M1" s="4"/>
      <c r="N1" s="4"/>
      <c r="O1" s="4"/>
      <c r="P1" s="4"/>
      <c r="Q1" s="4"/>
      <c r="R1" s="4"/>
      <c r="S1" s="4"/>
      <c r="T1" s="4"/>
      <c r="U1" s="4"/>
      <c r="V1" s="4"/>
      <c r="W1" s="4"/>
      <c r="X1" s="4"/>
      <c r="Y1" s="4"/>
      <c r="Z1" s="4"/>
      <c r="AA1" s="4"/>
      <c r="AB1" s="4"/>
      <c r="AC1" s="4"/>
      <c r="AD1" s="4"/>
      <c r="AE1" s="4"/>
      <c r="AF1" s="4"/>
      <c r="AG1" s="4"/>
    </row>
    <row r="2" spans="1:33" ht="22.5" customHeight="1" x14ac:dyDescent="0.25">
      <c r="A2" s="2"/>
      <c r="B2" s="2"/>
      <c r="C2" s="2"/>
      <c r="D2" s="2"/>
      <c r="E2" s="2"/>
      <c r="F2" s="4"/>
      <c r="G2" s="4"/>
      <c r="H2" s="4" t="s">
        <v>27</v>
      </c>
      <c r="I2" s="4" t="str">
        <f ca="1">IFERROR(__xludf.DUMMYFUNCTION("GOOGLETRANSLATE(B2,""en"",""ar"")"),"ما هو الحيوان الذي يمثل محور التركيز الرئيسي للرياضة المصورة في هذه الصور؟")</f>
        <v>ما هو الحيوان الذي يمثل محور التركيز الرئيسي للرياضة المصورة في هذه الصور؟</v>
      </c>
      <c r="J2" s="4" t="str">
        <f ca="1">IFERROR(__xludf.DUMMYFUNCTION("GOOGLETRANSLATE(C2,""en"",""ar"")"),"أ) الخيول، ب) الحمير، ج) الجمال، د) الثيران")</f>
        <v>أ) الخيول، ب) الحمير، ج) الجمال، د) الثيران</v>
      </c>
      <c r="K2" s="4" t="str">
        <f ca="1">IFERROR(__xludf.DUMMYFUNCTION("GOOGLETRANSLATE(D2,""en"",""ar"")"),"ج) الجمال")</f>
        <v>ج) الجمال</v>
      </c>
      <c r="L2" s="4" t="str">
        <f ca="1">IFERROR(__xludf.DUMMYFUNCTION("GOOGLETRANSLATE(E2,""en"",""ar"")"),"تُظهر اللوحات الثلاث جميعها الجمال العربية (ذات السنام الواحد)، وهي الحيوانات المستخدمة في هذا الشكل التقليدي من السباقات.")</f>
        <v>تُظهر اللوحات الثلاث جميعها الجمال العربية (ذات السنام الواحد)، وهي الحيوانات المستخدمة في هذا الشكل التقليدي من السباقات.</v>
      </c>
      <c r="M2" s="4"/>
      <c r="N2" s="4"/>
      <c r="O2" s="4"/>
      <c r="P2" s="4"/>
      <c r="Q2" s="4"/>
      <c r="R2" s="4"/>
      <c r="S2" s="4"/>
      <c r="T2" s="4"/>
      <c r="U2" s="4"/>
      <c r="V2" s="4"/>
      <c r="W2" s="4"/>
      <c r="X2" s="4"/>
      <c r="Y2" s="4"/>
      <c r="Z2" s="4"/>
      <c r="AA2" s="4"/>
      <c r="AB2" s="4"/>
      <c r="AC2" s="4"/>
      <c r="AD2" s="4"/>
      <c r="AE2" s="4"/>
      <c r="AF2" s="4"/>
      <c r="AG2" s="4"/>
    </row>
    <row r="3" spans="1:33" ht="22.5" customHeight="1" x14ac:dyDescent="0.25">
      <c r="A3" s="2"/>
      <c r="B3" s="2"/>
      <c r="C3" s="2"/>
      <c r="D3" s="2"/>
      <c r="E3" s="2"/>
      <c r="F3" s="4"/>
      <c r="G3" s="4"/>
      <c r="H3" s="4" t="s">
        <v>27</v>
      </c>
      <c r="I3" s="4" t="str">
        <f ca="1">IFERROR(__xludf.DUMMYFUNCTION("GOOGLETRANSLATE(B3,""en"",""ar"")"),"تُظهر اللوحة اليسرى، التي تُظهر رجالاً يسقطون في الغبار، أن بداية السباق يمكن أن تكون...")</f>
        <v>تُظهر اللوحة اليسرى، التي تُظهر رجالاً يسقطون في الغبار، أن بداية السباق يمكن أن تكون...</v>
      </c>
      <c r="J3" s="4" t="str">
        <f ca="1">IFERROR(__xludf.DUMMYFUNCTION("GOOGLETRANSLATE(C3,""en"",""ar"")"),"أ) بطيء ومنظم، ب) هادئ وساكن، ج) فوضوي وخطير، د) صف واحد")</f>
        <v>أ) بطيء ومنظم، ب) هادئ وساكن، ج) فوضوي وخطير، د) صف واحد</v>
      </c>
      <c r="K3" s="4" t="str">
        <f ca="1">IFERROR(__xludf.DUMMYFUNCTION("GOOGLETRANSLATE(D3,""en"",""ar"")"),"ج) فوضوي وخطير")</f>
        <v>ج) فوضوي وخطير</v>
      </c>
      <c r="L3" s="4" t="str">
        <f ca="1">IFERROR(__xludf.DUMMYFUNCTION("GOOGLETRANSLATE(E3,""en"",""ar"")"),"تجسد الصورة الصراع البدني الشديد والمخاطرة التي ينطوي عليها الأمر، خاصة في بداية سباق يضم العديد من المشاركين.")</f>
        <v>تجسد الصورة الصراع البدني الشديد والمخاطرة التي ينطوي عليها الأمر، خاصة في بداية سباق يضم العديد من المشاركين.</v>
      </c>
      <c r="M3" s="4"/>
      <c r="N3" s="4"/>
      <c r="O3" s="4"/>
      <c r="P3" s="4"/>
      <c r="Q3" s="4"/>
      <c r="R3" s="4"/>
      <c r="S3" s="4"/>
      <c r="T3" s="4"/>
      <c r="U3" s="4"/>
      <c r="V3" s="4"/>
      <c r="W3" s="4"/>
      <c r="X3" s="4"/>
      <c r="Y3" s="4"/>
      <c r="Z3" s="4"/>
      <c r="AA3" s="4"/>
      <c r="AB3" s="4"/>
      <c r="AC3" s="4"/>
      <c r="AD3" s="4"/>
      <c r="AE3" s="4"/>
      <c r="AF3" s="4"/>
      <c r="AG3" s="4"/>
    </row>
    <row r="4" spans="1:33" ht="22.5" customHeight="1" x14ac:dyDescent="0.25">
      <c r="A4" s="2"/>
      <c r="B4" s="2"/>
      <c r="C4" s="2"/>
      <c r="D4" s="2"/>
      <c r="E4" s="2"/>
      <c r="F4" s="4"/>
      <c r="G4" s="4"/>
      <c r="H4" s="4" t="s">
        <v>27</v>
      </c>
      <c r="I4" s="4" t="str">
        <f ca="1">IFERROR(__xludf.DUMMYFUNCTION("GOOGLETRANSLATE(B4,""en"",""ar"")"),"ما هو دور الرجال الذين يظهرون وهم يتصارعون مع الجمال في اللوحة السفلية اليمنى؟")</f>
        <v>ما هو دور الرجال الذين يظهرون وهم يتصارعون مع الجمال في اللوحة السفلية اليمنى؟</v>
      </c>
      <c r="J4" s="4" t="str">
        <f ca="1">IFERROR(__xludf.DUMMYFUNCTION("GOOGLETRANSLATE(C4,""en"",""ar"")"),"أ) إنهم فرسان يحاولون امتطاء الجمال، ب) إنهم متفرجون يعيقون السباق، ج) إنهم مدربون يحاولون السيطرة على الجمال قبل البداية، د) إنهم أطباء بيطريون يفحصون الإصابات")</f>
        <v>أ) إنهم فرسان يحاولون امتطاء الجمال، ب) إنهم متفرجون يعيقون السباق، ج) إنهم مدربون يحاولون السيطرة على الجمال قبل البداية، د) إنهم أطباء بيطريون يفحصون الإصابات</v>
      </c>
      <c r="K4" s="4" t="str">
        <f ca="1">IFERROR(__xludf.DUMMYFUNCTION("GOOGLETRANSLATE(D4,""en"",""ar"")"),"ج) إنهم مدربون يحاولون السيطرة على الجمال قبل البداية")</f>
        <v>ج) إنهم مدربون يحاولون السيطرة على الجمال قبل البداية</v>
      </c>
      <c r="L4" s="4" t="str">
        <f ca="1">IFERROR(__xludf.DUMMYFUNCTION("GOOGLETRANSLATE(E4,""en"",""ar"")"),"يُعدّ المدربون ضروريين لإدارة الحيوانات الكبيرة والقوية، وتوجيهها إلى خط البداية والحفاظ على هدوئها.")</f>
        <v>يُعدّ المدربون ضروريين لإدارة الحيوانات الكبيرة والقوية، وتوجيهها إلى خط البداية والحفاظ على هدوئها.</v>
      </c>
      <c r="M4" s="4"/>
      <c r="N4" s="4"/>
      <c r="O4" s="4"/>
      <c r="P4" s="4"/>
      <c r="Q4" s="4"/>
      <c r="R4" s="4"/>
      <c r="S4" s="4"/>
      <c r="T4" s="4"/>
      <c r="U4" s="4"/>
      <c r="V4" s="4"/>
      <c r="W4" s="4"/>
      <c r="X4" s="4"/>
      <c r="Y4" s="4"/>
      <c r="Z4" s="4"/>
      <c r="AA4" s="4"/>
      <c r="AB4" s="4"/>
      <c r="AC4" s="4"/>
      <c r="AD4" s="4"/>
      <c r="AE4" s="4"/>
      <c r="AF4" s="4"/>
      <c r="AG4" s="4"/>
    </row>
    <row r="5" spans="1:33" ht="22.5" customHeight="1" x14ac:dyDescent="0.25">
      <c r="A5" s="2"/>
      <c r="B5" s="2"/>
      <c r="C5" s="2"/>
      <c r="D5" s="2"/>
      <c r="E5" s="2"/>
      <c r="F5" s="4"/>
      <c r="G5" s="4"/>
      <c r="H5" s="4" t="s">
        <v>27</v>
      </c>
      <c r="I5" s="4" t="str">
        <f ca="1">IFERROR(__xludf.DUMMYFUNCTION("GOOGLETRANSLATE(B5,""en"",""ar"")"),"في اللوحة العلوية اليمنى، ماذا يمثل الرقم ""19"" الموجود على جانب الجمل؟")</f>
        <v>في اللوحة العلوية اليمنى، ماذا يمثل الرقم "19" الموجود على جانب الجمل؟</v>
      </c>
      <c r="J5" s="4" t="str">
        <f ca="1">IFERROR(__xludf.DUMMYFUNCTION("GOOGLETRANSLATE(C5,""en"",""ar"")"),"أ) عمر الجمل، ب) رقم الحظ للمالك، ج) رقم الجمل المخصص للسباق، د) الحد الأقصى للسرعة بالكيلومترات في الساعة")</f>
        <v>أ) عمر الجمل، ب) رقم الحظ للمالك، ج) رقم الجمل المخصص للسباق، د) الحد الأقصى للسرعة بالكيلومترات في الساعة</v>
      </c>
      <c r="K5" s="4" t="str">
        <f ca="1">IFERROR(__xludf.DUMMYFUNCTION("GOOGLETRANSLATE(D5,""en"",""ar"")"),"ج) الرقم المخصص للجمل في السباق")</f>
        <v>ج) الرقم المخصص للجمل في السباق</v>
      </c>
      <c r="L5" s="4" t="str">
        <f ca="1">IFERROR(__xludf.DUMMYFUNCTION("GOOGLETRANSLATE(E5,""en"",""ar"")"),"تمامًا كما هو الحال في سباقات الخيل، تُستخدم الأرقام لتحديد كل جمل متنافس للحكام والمراهنين.")</f>
        <v>تمامًا كما هو الحال في سباقات الخيل، تُستخدم الأرقام لتحديد كل جمل متنافس للحكام والمراهنين.</v>
      </c>
      <c r="M5" s="4"/>
      <c r="N5" s="4"/>
      <c r="O5" s="4"/>
      <c r="P5" s="4"/>
      <c r="Q5" s="4"/>
      <c r="R5" s="4"/>
      <c r="S5" s="4"/>
      <c r="T5" s="4"/>
      <c r="U5" s="4"/>
      <c r="V5" s="4"/>
      <c r="W5" s="4"/>
      <c r="X5" s="4"/>
      <c r="Y5" s="4"/>
      <c r="Z5" s="4"/>
      <c r="AA5" s="4"/>
      <c r="AB5" s="4"/>
      <c r="AC5" s="4"/>
      <c r="AD5" s="4"/>
      <c r="AE5" s="4"/>
      <c r="AF5" s="4"/>
      <c r="AG5" s="4"/>
    </row>
    <row r="6" spans="1:33" ht="22.5" customHeight="1" x14ac:dyDescent="0.25">
      <c r="A6" s="2"/>
      <c r="B6" s="2"/>
      <c r="C6" s="2"/>
      <c r="D6" s="2"/>
      <c r="E6" s="2"/>
      <c r="F6" s="4"/>
      <c r="G6" s="4"/>
      <c r="H6" s="4" t="s">
        <v>27</v>
      </c>
      <c r="I6" s="4" t="str">
        <f ca="1">IFERROR(__xludf.DUMMYFUNCTION("GOOGLETRANSLATE(B6,""en"",""ar"")"),"ما وظيفة المعدات الملونة الموجودة على ظهور الجمال؟")</f>
        <v>ما وظيفة المعدات الملونة الموجودة على ظهور الجمال؟</v>
      </c>
      <c r="J6" s="4" t="str">
        <f ca="1">IFERROR(__xludf.DUMMYFUNCTION("GOOGLETRANSLATE(C6,""en"",""ar"")"),"أ) مقعد للراكب، ب) سرج للفارس، ج) مظلة للتباطؤ، د) مكان لتخزين الأمتعة")</f>
        <v>أ) مقعد للراكب، ب) سرج للفارس، ج) مظلة للتباطؤ، د) مكان لتخزين الأمتعة</v>
      </c>
      <c r="K6" s="4" t="str">
        <f ca="1">IFERROR(__xludf.DUMMYFUNCTION("GOOGLETRANSLATE(D6,""en"",""ar"")"),"ب) سرج للفارس")</f>
        <v>ب) سرج للفارس</v>
      </c>
      <c r="L6" s="4" t="str">
        <f ca="1">IFERROR(__xludf.DUMMYFUNCTION("GOOGLETRANSLATE(E6,""en"",""ar"")"),"هذا هو سرج السباق، وهو مصمم ليكون خفيف الوزن ويتسع إما لفارس بشري أو آلي.")</f>
        <v>هذا هو سرج السباق، وهو مصمم ليكون خفيف الوزن ويتسع إما لفارس بشري أو آلي.</v>
      </c>
      <c r="M6" s="4"/>
      <c r="N6" s="4"/>
      <c r="O6" s="4"/>
      <c r="P6" s="4"/>
      <c r="Q6" s="4"/>
      <c r="R6" s="4"/>
      <c r="S6" s="4"/>
      <c r="T6" s="4"/>
      <c r="U6" s="4"/>
      <c r="V6" s="4"/>
      <c r="W6" s="4"/>
      <c r="X6" s="4"/>
      <c r="Y6" s="4"/>
      <c r="Z6" s="4"/>
      <c r="AA6" s="4"/>
      <c r="AB6" s="4"/>
      <c r="AC6" s="4"/>
      <c r="AD6" s="4"/>
      <c r="AE6" s="4"/>
      <c r="AF6" s="4"/>
      <c r="AG6" s="4"/>
    </row>
    <row r="7" spans="1:33" ht="22.5" customHeight="1" x14ac:dyDescent="0.25">
      <c r="A7" s="2"/>
      <c r="B7" s="2"/>
      <c r="C7" s="2"/>
      <c r="D7" s="2"/>
      <c r="E7" s="2"/>
      <c r="F7" s="4"/>
      <c r="G7" s="4"/>
      <c r="H7" s="4" t="s">
        <v>27</v>
      </c>
      <c r="I7" s="4" t="str">
        <f ca="1">IFERROR(__xludf.DUMMYFUNCTION("GOOGLETRANSLATE(B7,""en"",""ar"")"),"ما هي المنطقة التي تُعتبر فيها الملابس التي يرتديها الأشخاص في الصور، مثل أغطية الرأس (الكوفية)، تقليدية؟")</f>
        <v>ما هي المنطقة التي تُعتبر فيها الملابس التي يرتديها الأشخاص في الصور، مثل أغطية الرأس (الكوفية)، تقليدية؟</v>
      </c>
      <c r="J7" s="4" t="str">
        <f ca="1">IFERROR(__xludf.DUMMYFUNCTION("GOOGLETRANSLATE(C7,""en"",""ar"")"),"أ) أمريكا الشمالية، ب) شبه الجزيرة العربية والشرق الأوسط، ج) شرق آسيا، د) الدول الاسكندنافية")</f>
        <v>أ) أمريكا الشمالية، ب) شبه الجزيرة العربية والشرق الأوسط، ج) شرق آسيا، د) الدول الاسكندنافية</v>
      </c>
      <c r="K7" s="4" t="str">
        <f ca="1">IFERROR(__xludf.DUMMYFUNCTION("GOOGLETRANSLATE(D7,""en"",""ar"")"),"ب) شبه الجزيرة العربية والشرق الأوسط")</f>
        <v>ب) شبه الجزيرة العربية والشرق الأوسط</v>
      </c>
      <c r="L7" s="4" t="str">
        <f ca="1">IFERROR(__xludf.DUMMYFUNCTION("GOOGLETRANSLATE(E7,""en"",""ar"")"),"تتميز أنماط الملابس بأنها مماثلة لتلك الموجودة في دول مثل المملكة العربية السعودية والإمارات العربية المتحدة وقطر وسلطنة عمان حيث تعتبر سباقات الهجن رياضة رئيسية.")</f>
        <v>تتميز أنماط الملابس بأنها مماثلة لتلك الموجودة في دول مثل المملكة العربية السعودية والإمارات العربية المتحدة وقطر وسلطنة عمان حيث تعتبر سباقات الهجن رياضة رئيسية.</v>
      </c>
      <c r="M7" s="4"/>
      <c r="N7" s="4"/>
      <c r="O7" s="4"/>
      <c r="P7" s="4"/>
      <c r="Q7" s="4"/>
      <c r="R7" s="4"/>
      <c r="S7" s="4"/>
      <c r="T7" s="4"/>
      <c r="U7" s="4"/>
      <c r="V7" s="4"/>
      <c r="W7" s="4"/>
      <c r="X7" s="4"/>
      <c r="Y7" s="4"/>
      <c r="Z7" s="4"/>
      <c r="AA7" s="4"/>
      <c r="AB7" s="4"/>
      <c r="AC7" s="4"/>
      <c r="AD7" s="4"/>
      <c r="AE7" s="4"/>
      <c r="AF7" s="4"/>
      <c r="AG7" s="4"/>
    </row>
    <row r="8" spans="1:33" ht="22.5" customHeight="1" x14ac:dyDescent="0.25">
      <c r="A8" s="2"/>
      <c r="B8" s="2"/>
      <c r="C8" s="2"/>
      <c r="D8" s="2"/>
      <c r="E8" s="2"/>
      <c r="F8" s="4"/>
      <c r="G8" s="4"/>
      <c r="H8" s="4" t="s">
        <v>27</v>
      </c>
      <c r="I8" s="4" t="str">
        <f ca="1">IFERROR(__xludf.DUMMYFUNCTION("GOOGLETRANSLATE(B8,""en"",""ar"")"),"تشير سحابة الغبار في الألواح الثلاثة إلى أن سطح السباق...")</f>
        <v>تشير سحابة الغبار في الألواح الثلاثة إلى أن سطح السباق...</v>
      </c>
      <c r="J8" s="4" t="str">
        <f ca="1">IFERROR(__xludf.DUMMYFUNCTION("GOOGLETRANSLATE(C8,""en"",""ar"")"),"أ) العشب (الأرض العشبية)، ب) الطين، ج) الرمل أو التراب، د) الرصيف")</f>
        <v>أ) العشب (الأرض العشبية)، ب) الطين، ج) الرمل أو التراب، د) الرصيف</v>
      </c>
      <c r="K8" s="4" t="str">
        <f ca="1">IFERROR(__xludf.DUMMYFUNCTION("GOOGLETRANSLATE(D8,""en"",""ar"")"),"ج) الرمل أو التراب")</f>
        <v>ج) الرمل أو التراب</v>
      </c>
      <c r="L8" s="4" t="str">
        <f ca="1">IFERROR(__xludf.DUMMYFUNCTION("GOOGLETRANSLATE(E8,""en"",""ar"")"),"تُقام سباقات الهجن تقليدياً على مسارات صحراوية رملية.")</f>
        <v>تُقام سباقات الهجن تقليدياً على مسارات صحراوية رملية.</v>
      </c>
      <c r="M8" s="4"/>
      <c r="N8" s="4"/>
      <c r="O8" s="4"/>
      <c r="P8" s="4"/>
      <c r="Q8" s="4"/>
      <c r="R8" s="4"/>
      <c r="S8" s="4"/>
      <c r="T8" s="4"/>
      <c r="U8" s="4"/>
      <c r="V8" s="4"/>
      <c r="W8" s="4"/>
      <c r="X8" s="4"/>
      <c r="Y8" s="4"/>
      <c r="Z8" s="4"/>
      <c r="AA8" s="4"/>
      <c r="AB8" s="4"/>
      <c r="AC8" s="4"/>
      <c r="AD8" s="4"/>
      <c r="AE8" s="4"/>
      <c r="AF8" s="4"/>
      <c r="AG8" s="4"/>
    </row>
    <row r="9" spans="1:33" ht="22.5" customHeight="1" x14ac:dyDescent="0.25">
      <c r="A9" s="2"/>
      <c r="B9" s="2"/>
      <c r="C9" s="2"/>
      <c r="D9" s="2"/>
      <c r="E9" s="2"/>
      <c r="F9" s="4"/>
      <c r="G9" s="4"/>
      <c r="H9" s="4" t="s">
        <v>27</v>
      </c>
      <c r="I9" s="4" t="str">
        <f ca="1">IFERROR(__xludf.DUMMYFUNCTION("GOOGLETRANSLATE(B9,""en"",""ar"")"),"وضعية الجمال في اللوحة العلوية اليمنى (窶排) وهي تركض بخطوات واسعة (窶琶s) هي نسختها من...")</f>
        <v>وضعية الجمال في اللوحة العلوية اليمنى (窶排) وهي تركض بخطوات واسعة (窶琶s) هي نسختها من...</v>
      </c>
      <c r="J9" s="4" t="str">
        <f ca="1">IFERROR(__xludf.DUMMYFUNCTION("GOOGLETRANSLATE(C9,""en"",""ar"")"),"أ) المشي، ب) الهرولة، ج) العدو، د) الزحف")</f>
        <v>أ) المشي، ب) الهرولة، ج) العدو، د) الزحف</v>
      </c>
      <c r="K9" s="4" t="str">
        <f ca="1">IFERROR(__xludf.DUMMYFUNCTION("GOOGLETRANSLATE(D9,""en"",""ar"")"),"ج) العدو")</f>
        <v>ج) العدو</v>
      </c>
      <c r="L9" s="4" t="str">
        <f ca="1">IFERROR(__xludf.DUMMYFUNCTION("GOOGLETRANSLATE(E9,""en"",""ar"")"),"على الرغم من أن مشيتهم فريدة من نوعها، إلا أن هذه هي أسرع سرعة للجمل، وهي تعادل سرعة عدو الحصان.")</f>
        <v>على الرغم من أن مشيتهم فريدة من نوعها، إلا أن هذه هي أسرع سرعة للجمل، وهي تعادل سرعة عدو الحصان.</v>
      </c>
      <c r="M9" s="4"/>
      <c r="N9" s="4"/>
      <c r="O9" s="4"/>
      <c r="P9" s="4"/>
      <c r="Q9" s="4"/>
      <c r="R9" s="4"/>
      <c r="S9" s="4"/>
      <c r="T9" s="4"/>
      <c r="U9" s="4"/>
      <c r="V9" s="4"/>
      <c r="W9" s="4"/>
      <c r="X9" s="4"/>
      <c r="Y9" s="4"/>
      <c r="Z9" s="4"/>
      <c r="AA9" s="4"/>
      <c r="AB9" s="4"/>
      <c r="AC9" s="4"/>
      <c r="AD9" s="4"/>
      <c r="AE9" s="4"/>
      <c r="AF9" s="4"/>
      <c r="AG9" s="4"/>
    </row>
    <row r="10" spans="1:33" ht="22.5" customHeight="1" x14ac:dyDescent="0.25">
      <c r="A10" s="2"/>
      <c r="B10" s="2"/>
      <c r="C10" s="2"/>
      <c r="D10" s="2"/>
      <c r="E10" s="2"/>
      <c r="F10" s="4"/>
      <c r="G10" s="4"/>
      <c r="H10" s="4" t="s">
        <v>27</v>
      </c>
      <c r="I10" s="4" t="str">
        <f ca="1">IFERROR(__xludf.DUMMYFUNCTION("GOOGLETRANSLATE(B10,""en"",""ar"")"),"الرجل الذي يرتدي غطاء الرأس الأخضر (اللوحة اليسرى) يرتديه بطريقة تغطي وجهه أيضاً، على الأرجح للحماية من...")</f>
        <v>الرجل الذي يرتدي غطاء الرأس الأخضر (اللوحة اليسرى) يرتديه بطريقة تغطي وجهه أيضاً، على الأرجح للحماية من...</v>
      </c>
      <c r="J10" s="4" t="str">
        <f ca="1">IFERROR(__xludf.DUMMYFUNCTION("GOOGLETRANSLATE(C10,""en"",""ar"")"),"أ) البرد، ب) الشمس والرمال المتطايرة، ج) المطر، د) الأضواء الساطعة")</f>
        <v>أ) البرد، ب) الشمس والرمال المتطايرة، ج) المطر، د) الأضواء الساطعة</v>
      </c>
      <c r="K10" s="4" t="str">
        <f ca="1">IFERROR(__xludf.DUMMYFUNCTION("GOOGLETRANSLATE(D10,""en"",""ar"")"),"ب) الشمس والرمال المتطايرة")</f>
        <v>ب) الشمس والرمال المتطايرة</v>
      </c>
      <c r="L10" s="4" t="str">
        <f ca="1">IFERROR(__xludf.DUMMYFUNCTION("GOOGLETRANSLATE(E10,""en"",""ar"")"),"يوفر تغطية الوجه الحماية من أشعة الشمس الصحراوية الحارقة والرمال المتطايرة أثناء السباق.")</f>
        <v>يوفر تغطية الوجه الحماية من أشعة الشمس الصحراوية الحارقة والرمال المتطايرة أثناء السباق.</v>
      </c>
      <c r="M10" s="4"/>
      <c r="N10" s="4"/>
      <c r="O10" s="4"/>
      <c r="P10" s="4"/>
      <c r="Q10" s="4"/>
      <c r="R10" s="4"/>
      <c r="S10" s="4"/>
      <c r="T10" s="4"/>
      <c r="U10" s="4"/>
      <c r="V10" s="4"/>
      <c r="W10" s="4"/>
      <c r="X10" s="4"/>
      <c r="Y10" s="4"/>
      <c r="Z10" s="4"/>
      <c r="AA10" s="4"/>
      <c r="AB10" s="4"/>
      <c r="AC10" s="4"/>
      <c r="AD10" s="4"/>
      <c r="AE10" s="4"/>
      <c r="AF10" s="4"/>
      <c r="AG10" s="4"/>
    </row>
    <row r="11" spans="1:33" ht="22.5" customHeight="1" x14ac:dyDescent="0.25">
      <c r="A11" s="2"/>
      <c r="B11" s="2"/>
      <c r="C11" s="2"/>
      <c r="D11" s="2"/>
      <c r="E11" s="2"/>
      <c r="F11" s="4"/>
      <c r="G11" s="4"/>
      <c r="H11" s="4" t="s">
        <v>27</v>
      </c>
      <c r="I11" s="4" t="str">
        <f ca="1">IFERROR(__xludf.DUMMYFUNCTION("GOOGLETRANSLATE(B11,""en"",""ar"")"),"يُظهر المشهد العام في هذه الصورة المجمعة أن سباق الهجن رياضة...")</f>
        <v>يُظهر المشهد العام في هذه الصورة المجمعة أن سباق الهجن رياضة...</v>
      </c>
      <c r="J11" s="4" t="str">
        <f ca="1">IFERROR(__xludf.DUMMYFUNCTION("GOOGLETRANSLATE(C11,""en"",""ar"")"),"أ) دقة هادئة، ب) حركة بطيئة ومتأنية، ج) طاقة وقوة بدنية مكثفة، د) منافسة فردية")</f>
        <v>أ) دقة هادئة، ب) حركة بطيئة ومتأنية، ج) طاقة وقوة بدنية مكثفة، د) منافسة فردية</v>
      </c>
      <c r="K11" s="4" t="str">
        <f ca="1">IFERROR(__xludf.DUMMYFUNCTION("GOOGLETRANSLATE(D11,""en"",""ar"")"),"ج) طاقة وقوة بدنية مكثفة")</f>
        <v>ج) طاقة وقوة بدنية مكثفة</v>
      </c>
      <c r="L11" s="4" t="str">
        <f ca="1">IFERROR(__xludf.DUMMYFUNCTION("GOOGLETRANSLATE(E11,""en"",""ar"")"),"تتضافر الصور لتُظهر سرعة وخطر وقوة كل من الحيوانات والأشخاص المعنيين.")</f>
        <v>تتضافر الصور لتُظهر سرعة وخطر وقوة كل من الحيوانات والأشخاص المعنيين.</v>
      </c>
      <c r="M11" s="4"/>
      <c r="N11" s="4"/>
      <c r="O11" s="4"/>
      <c r="P11" s="4"/>
      <c r="Q11" s="4"/>
      <c r="R11" s="4"/>
      <c r="S11" s="4"/>
      <c r="T11" s="4"/>
      <c r="U11" s="4"/>
      <c r="V11" s="4"/>
      <c r="W11" s="4"/>
      <c r="X11" s="4"/>
      <c r="Y11" s="4"/>
      <c r="Z11" s="4"/>
      <c r="AA11" s="4"/>
      <c r="AB11" s="4"/>
      <c r="AC11" s="4"/>
      <c r="AD11" s="4"/>
      <c r="AE11" s="4"/>
      <c r="AF11" s="4"/>
      <c r="AG11" s="4"/>
    </row>
    <row r="12" spans="1:33" ht="22.5" customHeight="1" x14ac:dyDescent="0.25">
      <c r="A12" s="2"/>
      <c r="B12" s="2"/>
      <c r="C12" s="2"/>
      <c r="D12" s="2"/>
      <c r="E12" s="2"/>
      <c r="F12" s="4"/>
      <c r="G12" s="4"/>
      <c r="H12" s="4" t="s">
        <v>28</v>
      </c>
      <c r="I12" s="4" t="str">
        <f ca="1">IFERROR(__xludf.DUMMYFUNCTION("GOOGLETRANSLATE(B12,""en"",""ar"")"),"ما هو مكان إقامة سباق الجمال هذا؟")</f>
        <v>ما هو مكان إقامة سباق الجمال هذا؟</v>
      </c>
      <c r="J12" s="4" t="str">
        <f ca="1">IFERROR(__xludf.DUMMYFUNCTION("GOOGLETRANSLATE(C12,""en"",""ar"")"),"أ) غابة كثيفة، ب) مدينة حديثة، ج) منظر صحراوي مفتوح، د) ممر جبلي ثلجي")</f>
        <v>أ) غابة كثيفة، ب) مدينة حديثة، ج) منظر صحراوي مفتوح، د) ممر جبلي ثلجي</v>
      </c>
      <c r="K12" s="4" t="str">
        <f ca="1">IFERROR(__xludf.DUMMYFUNCTION("GOOGLETRANSLATE(D12,""en"",""ar"")"),"ج) منظر طبيعي صحراوي مفتوح")</f>
        <v>ج) منظر طبيعي صحراوي مفتوح</v>
      </c>
      <c r="L12" s="4" t="str">
        <f ca="1">IFERROR(__xludf.DUMMYFUNCTION("GOOGLETRANSLATE(E12,""en"",""ar"")"),"تتميز التضاريس الشاسعة والقاحلة والمسار المغبر ببيئة صحراوية حيث تقام هذه السباقات تقليدياً.")</f>
        <v>تتميز التضاريس الشاسعة والقاحلة والمسار المغبر ببيئة صحراوية حيث تقام هذه السباقات تقليدياً.</v>
      </c>
      <c r="M12" s="4"/>
      <c r="N12" s="4"/>
      <c r="O12" s="4"/>
      <c r="P12" s="4"/>
      <c r="Q12" s="4"/>
      <c r="R12" s="4"/>
      <c r="S12" s="4"/>
      <c r="T12" s="4"/>
      <c r="U12" s="4"/>
      <c r="V12" s="4"/>
      <c r="W12" s="4"/>
      <c r="X12" s="4"/>
      <c r="Y12" s="4"/>
      <c r="Z12" s="4"/>
      <c r="AA12" s="4"/>
      <c r="AB12" s="4"/>
      <c r="AC12" s="4"/>
      <c r="AD12" s="4"/>
      <c r="AE12" s="4"/>
      <c r="AF12" s="4"/>
      <c r="AG12" s="4"/>
    </row>
    <row r="13" spans="1:33" ht="22.5" customHeight="1" x14ac:dyDescent="0.25">
      <c r="A13" s="2"/>
      <c r="B13" s="2"/>
      <c r="C13" s="2"/>
      <c r="D13" s="2"/>
      <c r="E13" s="2"/>
      <c r="F13" s="4"/>
      <c r="G13" s="4"/>
      <c r="H13" s="4" t="s">
        <v>28</v>
      </c>
      <c r="I13" s="4" t="str">
        <f ca="1">IFERROR(__xludf.DUMMYFUNCTION("GOOGLETRANSLATE(B13,""en"",""ar"")"),"ما الذي يحمله الدراجون في أيديهم؟")</f>
        <v>ما الذي يحمله الدراجون في أيديهم؟</v>
      </c>
      <c r="J13" s="4" t="str">
        <f ca="1">IFERROR(__xludf.DUMMYFUNCTION("GOOGLETRANSLATE(C13,""en"",""ar"")"),"أ) الحبال، ب) العصي الطويلة والرفيعة أو المحاصيل، ج) زجاجات المياه، د) المناظير")</f>
        <v>أ) الحبال، ب) العصي الطويلة والرفيعة أو المحاصيل، ج) زجاجات المياه، د) المناظير</v>
      </c>
      <c r="K13" s="4" t="str">
        <f ca="1">IFERROR(__xludf.DUMMYFUNCTION("GOOGLETRANSLATE(D13,""en"",""ar"")"),"ب) أعواد أو محاصيل طويلة ورفيعة")</f>
        <v>ب) أعواد أو محاصيل طويلة ورفيعة</v>
      </c>
      <c r="L13" s="4" t="str">
        <f ca="1">IFERROR(__xludf.DUMMYFUNCTION("GOOGLETRANSLATE(E13,""en"",""ar"")"),"يحمل الفرسان عصياً طويلة ومرنة تُستخدم لتوجيه الجمل وتشجيعه على الجري بشكل أسرع.")</f>
        <v>يحمل الفرسان عصياً طويلة ومرنة تُستخدم لتوجيه الجمل وتشجيعه على الجري بشكل أسرع.</v>
      </c>
      <c r="M13" s="4"/>
      <c r="N13" s="4"/>
      <c r="O13" s="4"/>
      <c r="P13" s="4"/>
      <c r="Q13" s="4"/>
      <c r="R13" s="4"/>
      <c r="S13" s="4"/>
      <c r="T13" s="4"/>
      <c r="U13" s="4"/>
      <c r="V13" s="4"/>
      <c r="W13" s="4"/>
      <c r="X13" s="4"/>
      <c r="Y13" s="4"/>
      <c r="Z13" s="4"/>
      <c r="AA13" s="4"/>
      <c r="AB13" s="4"/>
      <c r="AC13" s="4"/>
      <c r="AD13" s="4"/>
      <c r="AE13" s="4"/>
      <c r="AF13" s="4"/>
      <c r="AG13" s="4"/>
    </row>
    <row r="14" spans="1:33" ht="22.5" customHeight="1" x14ac:dyDescent="0.25">
      <c r="A14" s="2"/>
      <c r="B14" s="2"/>
      <c r="C14" s="2"/>
      <c r="D14" s="2"/>
      <c r="E14" s="2"/>
      <c r="F14" s="4"/>
      <c r="G14" s="4"/>
      <c r="H14" s="4" t="s">
        <v>28</v>
      </c>
      <c r="I14" s="4" t="str">
        <f ca="1">IFERROR(__xludf.DUMMYFUNCTION("GOOGLETRANSLATE(B14,""en"",""ar"")"),"ما نوع التأثير الذي يخلقه إضاءة المشهد، مع انخفاض الشمس في السماء، على راكبي الدراجات في المقدمة؟")</f>
        <v>ما نوع التأثير الذي يخلقه إضاءة المشهد، مع انخفاض الشمس في السماء، على راكبي الدراجات في المقدمة؟</v>
      </c>
      <c r="J14" s="4" t="str">
        <f ca="1">IFERROR(__xludf.DUMMYFUNCTION("GOOGLETRANSLATE(C14,""en"",""ar"")"),"أ) صورة شخصية واضحة وحادة، ب) تأثير الظل، ج) تأثير ليلي داكن، د) تأثير باهت ومشرق")</f>
        <v>أ) صورة شخصية واضحة وحادة، ب) تأثير الظل، ج) تأثير ليلي داكن، د) تأثير باهت ومشرق</v>
      </c>
      <c r="K14" s="4" t="str">
        <f ca="1">IFERROR(__xludf.DUMMYFUNCTION("GOOGLETRANSLATE(D14,""en"",""ar"")"),"ب) تأثير الظل")</f>
        <v>ب) تأثير الظل</v>
      </c>
      <c r="L14" s="4" t="str">
        <f ca="1">IFERROR(__xludf.DUMMYFUNCTION("GOOGLETRANSLATE(E14,""en"",""ar"")"),"تظهر صور الفرسان والجمال مضاءة من الخلف بفعل الشمس المنخفضة، مما يجعل أشكالهم داكنة في مقابل السماء الساطعة.")</f>
        <v>تظهر صور الفرسان والجمال مضاءة من الخلف بفعل الشمس المنخفضة، مما يجعل أشكالهم داكنة في مقابل السماء الساطعة.</v>
      </c>
      <c r="M14" s="4"/>
      <c r="N14" s="4"/>
      <c r="O14" s="4"/>
      <c r="P14" s="4"/>
      <c r="Q14" s="4"/>
      <c r="R14" s="4"/>
      <c r="S14" s="4"/>
      <c r="T14" s="4"/>
      <c r="U14" s="4"/>
      <c r="V14" s="4"/>
      <c r="W14" s="4"/>
      <c r="X14" s="4"/>
      <c r="Y14" s="4"/>
      <c r="Z14" s="4"/>
      <c r="AA14" s="4"/>
      <c r="AB14" s="4"/>
      <c r="AC14" s="4"/>
      <c r="AD14" s="4"/>
      <c r="AE14" s="4"/>
      <c r="AF14" s="4"/>
      <c r="AG14" s="4"/>
    </row>
    <row r="15" spans="1:33" ht="22.5" customHeight="1" x14ac:dyDescent="0.25">
      <c r="A15" s="2"/>
      <c r="B15" s="2"/>
      <c r="C15" s="2"/>
      <c r="D15" s="2"/>
      <c r="E15" s="2"/>
      <c r="F15" s="4"/>
      <c r="G15" s="4"/>
      <c r="H15" s="4" t="s">
        <v>28</v>
      </c>
      <c r="I15" s="4" t="str">
        <f ca="1">IFERROR(__xludf.DUMMYFUNCTION("GOOGLETRANSLATE(B15,""en"",""ar"")"),"ما الذي ينتج عن حركة مجموعة كبيرة من الجمال؟")</f>
        <v>ما الذي ينتج عن حركة مجموعة كبيرة من الجمال؟</v>
      </c>
      <c r="J15" s="4" t="str">
        <f ca="1">IFERROR(__xludf.DUMMYFUNCTION("GOOGLETRANSLATE(C15,""en"",""ar"")"),"أ) ظل كبير، ب) سحابة من الغبار، ج) أثر مائي، د) موسيقى صاخبة")</f>
        <v>أ) ظل كبير، ب) سحابة من الغبار، ج) أثر مائي، د) موسيقى صاخبة</v>
      </c>
      <c r="K15" s="4" t="str">
        <f ca="1">IFERROR(__xludf.DUMMYFUNCTION("GOOGLETRANSLATE(D15,""en"",""ar"")"),"ب) سحابة من الغبار")</f>
        <v>ب) سحابة من الغبار</v>
      </c>
      <c r="L15" s="4" t="str">
        <f ca="1">IFERROR(__xludf.DUMMYFUNCTION("GOOGLETRANSLATE(E15,""en"",""ar"")"),"تثير عشرات الجمال التي تركض كمية كبيرة من الغبار من أرض الصحراء الجافة.")</f>
        <v>تثير عشرات الجمال التي تركض كمية كبيرة من الغبار من أرض الصحراء الجافة.</v>
      </c>
      <c r="M15" s="4"/>
      <c r="N15" s="4"/>
      <c r="O15" s="4"/>
      <c r="P15" s="4"/>
      <c r="Q15" s="4"/>
      <c r="R15" s="4"/>
      <c r="S15" s="4"/>
      <c r="T15" s="4"/>
      <c r="U15" s="4"/>
      <c r="V15" s="4"/>
      <c r="W15" s="4"/>
      <c r="X15" s="4"/>
      <c r="Y15" s="4"/>
      <c r="Z15" s="4"/>
      <c r="AA15" s="4"/>
      <c r="AB15" s="4"/>
      <c r="AC15" s="4"/>
      <c r="AD15" s="4"/>
      <c r="AE15" s="4"/>
      <c r="AF15" s="4"/>
      <c r="AG15" s="4"/>
    </row>
    <row r="16" spans="1:33" ht="22.5" customHeight="1" x14ac:dyDescent="0.25">
      <c r="A16" s="2"/>
      <c r="B16" s="2"/>
      <c r="C16" s="2"/>
      <c r="D16" s="2"/>
      <c r="E16" s="2"/>
      <c r="F16" s="4"/>
      <c r="G16" s="4"/>
      <c r="H16" s="4" t="s">
        <v>28</v>
      </c>
      <c r="I16" s="4" t="str">
        <f ca="1">IFERROR(__xludf.DUMMYFUNCTION("GOOGLETRANSLATE(B16,""en"",""ar"")"),"يشير العدد الكبير من المشاركين إلى أن هذا...")</f>
        <v>يشير العدد الكبير من المشاركين إلى أن هذا...</v>
      </c>
      <c r="J16" s="4" t="str">
        <f ca="1">IFERROR(__xludf.DUMMYFUNCTION("GOOGLETRANSLATE(C16,""en"",""ar"")"),"أ) جلسة تدريب فردية، ب) سباق أو مهرجان تقليدي كبير، ج) نزهة عادية، د) حدث صغير خاص")</f>
        <v>أ) جلسة تدريب فردية، ب) سباق أو مهرجان تقليدي كبير، ج) نزهة عادية، د) حدث صغير خاص</v>
      </c>
      <c r="K16" s="4" t="str">
        <f ca="1">IFERROR(__xludf.DUMMYFUNCTION("GOOGLETRANSLATE(D16,""en"",""ar"")"),"ب) سباق أو مهرجان تقليدي رئيسي")</f>
        <v>ب) سباق أو مهرجان تقليدي رئيسي</v>
      </c>
      <c r="L16" s="4" t="str">
        <f ca="1">IFERROR(__xludf.DUMMYFUNCTION("GOOGLETRANSLATE(E16,""en"",""ar"")"),"يشير موكب بهذا الحجم إلى حدث ثقافي أو رياضي هام وحظي بحضور كبير.")</f>
        <v>يشير موكب بهذا الحجم إلى حدث ثقافي أو رياضي هام وحظي بحضور كبير.</v>
      </c>
      <c r="M16" s="4"/>
      <c r="N16" s="4"/>
      <c r="O16" s="4"/>
      <c r="P16" s="4"/>
      <c r="Q16" s="4"/>
      <c r="R16" s="4"/>
      <c r="S16" s="4"/>
      <c r="T16" s="4"/>
      <c r="U16" s="4"/>
      <c r="V16" s="4"/>
      <c r="W16" s="4"/>
      <c r="X16" s="4"/>
      <c r="Y16" s="4"/>
      <c r="Z16" s="4"/>
      <c r="AA16" s="4"/>
      <c r="AB16" s="4"/>
      <c r="AC16" s="4"/>
      <c r="AD16" s="4"/>
      <c r="AE16" s="4"/>
      <c r="AF16" s="4"/>
      <c r="AG16" s="4"/>
    </row>
    <row r="17" spans="1:33" ht="22.5" customHeight="1" x14ac:dyDescent="0.25">
      <c r="A17" s="2"/>
      <c r="B17" s="2"/>
      <c r="C17" s="2"/>
      <c r="D17" s="2"/>
      <c r="E17" s="2"/>
      <c r="F17" s="4"/>
      <c r="G17" s="4"/>
      <c r="H17" s="4" t="s">
        <v>28</v>
      </c>
      <c r="I17" s="4" t="str">
        <f ca="1">IFERROR(__xludf.DUMMYFUNCTION("GOOGLETRANSLATE(B17,""en"",""ar"")"),"ما هي وسيلة النقل الأساسية الموضحة؟")</f>
        <v>ما هي وسيلة النقل الأساسية الموضحة؟</v>
      </c>
      <c r="J17" s="4" t="str">
        <f ca="1">IFERROR(__xludf.DUMMYFUNCTION("GOOGLETRANSLATE(C17,""en"",""ar"")"),"أ) السيارات، ب) الدراجات الهوائية، ج) ركوب الجمال، د) المشي")</f>
        <v>أ) السيارات، ب) الدراجات الهوائية، ج) ركوب الجمال، د) المشي</v>
      </c>
      <c r="K17" s="4" t="str">
        <f ca="1">IFERROR(__xludf.DUMMYFUNCTION("GOOGLETRANSLATE(D17,""en"",""ar"")"),"ج) ركوب الجمال")</f>
        <v>ج) ركوب الجمال</v>
      </c>
      <c r="L17" s="4" t="str">
        <f ca="1">IFERROR(__xludf.DUMMYFUNCTION("GOOGLETRANSLATE(E17,""en"",""ar"")"),"يركب جميع المشاركين الجمال العربية.")</f>
        <v>يركب جميع المشاركين الجمال العربية.</v>
      </c>
      <c r="M17" s="4"/>
      <c r="N17" s="4"/>
      <c r="O17" s="4"/>
      <c r="P17" s="4"/>
      <c r="Q17" s="4"/>
      <c r="R17" s="4"/>
      <c r="S17" s="4"/>
      <c r="T17" s="4"/>
      <c r="U17" s="4"/>
      <c r="V17" s="4"/>
      <c r="W17" s="4"/>
      <c r="X17" s="4"/>
      <c r="Y17" s="4"/>
      <c r="Z17" s="4"/>
      <c r="AA17" s="4"/>
      <c r="AB17" s="4"/>
      <c r="AC17" s="4"/>
      <c r="AD17" s="4"/>
      <c r="AE17" s="4"/>
      <c r="AF17" s="4"/>
      <c r="AG17" s="4"/>
    </row>
    <row r="18" spans="1:33" ht="22.5" customHeight="1" x14ac:dyDescent="0.25">
      <c r="A18" s="2"/>
      <c r="B18" s="2"/>
      <c r="C18" s="2"/>
      <c r="D18" s="2"/>
      <c r="E18" s="2"/>
      <c r="F18" s="4"/>
      <c r="G18" s="4"/>
      <c r="H18" s="4" t="s">
        <v>28</v>
      </c>
      <c r="I18" s="4" t="str">
        <f ca="1">IFERROR(__xludf.DUMMYFUNCTION("GOOGLETRANSLATE(B18,""en"",""ar"")"),"ما نوع المناخ الذي يناسبه الزي التقليدي الذي يرتديه الفرسان؟")</f>
        <v>ما نوع المناخ الذي يناسبه الزي التقليدي الذي يرتديه الفرسان؟</v>
      </c>
      <c r="J18" s="4" t="str">
        <f ca="1">IFERROR(__xludf.DUMMYFUNCTION("GOOGLETRANSLATE(C18,""en"",""ar"")"),"أ) مناخ قطبي بارد، ب) مناخ حار جاف، ج) مناخ استوائي رطب، د) مناخ معتدل معتدل")</f>
        <v>أ) مناخ قطبي بارد، ب) مناخ حار جاف، ج) مناخ استوائي رطب، د) مناخ معتدل معتدل</v>
      </c>
      <c r="K18" s="4" t="str">
        <f ca="1">IFERROR(__xludf.DUMMYFUNCTION("GOOGLETRANSLATE(D18,""en"",""ar"")"),"ب) مناخ حار وجاف")</f>
        <v>ب) مناخ حار وجاف</v>
      </c>
      <c r="L18" s="4" t="str">
        <f ca="1">IFERROR(__xludf.DUMMYFUNCTION("GOOGLETRANSLATE(E18,""en"",""ar"")"),"توفر الأردية الفضفاضة ذات اللون الفاتح الحماية من الشمس مع السماح بتدوير الهواء.")</f>
        <v>توفر الأردية الفضفاضة ذات اللون الفاتح الحماية من الشمس مع السماح بتدوير الهواء.</v>
      </c>
      <c r="M18" s="4"/>
      <c r="N18" s="4"/>
      <c r="O18" s="4"/>
      <c r="P18" s="4"/>
      <c r="Q18" s="4"/>
      <c r="R18" s="4"/>
      <c r="S18" s="4"/>
      <c r="T18" s="4"/>
      <c r="U18" s="4"/>
      <c r="V18" s="4"/>
      <c r="W18" s="4"/>
      <c r="X18" s="4"/>
      <c r="Y18" s="4"/>
      <c r="Z18" s="4"/>
      <c r="AA18" s="4"/>
      <c r="AB18" s="4"/>
      <c r="AC18" s="4"/>
      <c r="AD18" s="4"/>
      <c r="AE18" s="4"/>
      <c r="AF18" s="4"/>
      <c r="AG18" s="4"/>
    </row>
    <row r="19" spans="1:33" ht="22.5" customHeight="1" x14ac:dyDescent="0.25">
      <c r="A19" s="2"/>
      <c r="B19" s="2"/>
      <c r="C19" s="2"/>
      <c r="D19" s="2"/>
      <c r="E19" s="2"/>
      <c r="F19" s="4"/>
      <c r="G19" s="4"/>
      <c r="H19" s="4" t="s">
        <v>28</v>
      </c>
      <c r="I19" s="4" t="str">
        <f ca="1">IFERROR(__xludf.DUMMYFUNCTION("GOOGLETRANSLATE(B19,""en"",""ar"")"),"يمكن وصف الحالة المزاجية العامة للصورة على أفضل وجه بأنها...")</f>
        <v>يمكن وصف الحالة المزاجية العامة للصورة على أفضل وجه بأنها...</v>
      </c>
      <c r="J19" s="4" t="str">
        <f ca="1">IFERROR(__xludf.DUMMYFUNCTION("GOOGLETRANSLATE(C19,""en"",""ar"")"),"أ) حديث ومستقبلي، ب) ملحمي وخالد، ج) صغير ومحدود، د) حزين وكئيب")</f>
        <v>أ) حديث ومستقبلي، ب) ملحمي وخالد، ج) صغير ومحدود، د) حزين وكئيب</v>
      </c>
      <c r="K19" s="4" t="str">
        <f ca="1">IFERROR(__xludf.DUMMYFUNCTION("GOOGLETRANSLATE(D19,""en"",""ar"")"),"ب) ملحمي وخالد")</f>
        <v>ب) ملحمي وخالد</v>
      </c>
      <c r="L19" s="4" t="str">
        <f ca="1">IFERROR(__xludf.DUMMYFUNCTION("GOOGLETRANSLATE(E19,""en"",""ar"")"),"إن الجمع بين المناظر الطبيعية الصحراوية الشاسعة، والمجموعة الكبيرة، والزي التقليدي يضفي على المشهد طابعاً تاريخياً وعظيماً.")</f>
        <v>إن الجمع بين المناظر الطبيعية الصحراوية الشاسعة، والمجموعة الكبيرة، والزي التقليدي يضفي على المشهد طابعاً تاريخياً وعظيماً.</v>
      </c>
      <c r="M19" s="4"/>
      <c r="N19" s="4"/>
      <c r="O19" s="4"/>
      <c r="P19" s="4"/>
      <c r="Q19" s="4"/>
      <c r="R19" s="4"/>
      <c r="S19" s="4"/>
      <c r="T19" s="4"/>
      <c r="U19" s="4"/>
      <c r="V19" s="4"/>
      <c r="W19" s="4"/>
      <c r="X19" s="4"/>
      <c r="Y19" s="4"/>
      <c r="Z19" s="4"/>
      <c r="AA19" s="4"/>
      <c r="AB19" s="4"/>
      <c r="AC19" s="4"/>
      <c r="AD19" s="4"/>
      <c r="AE19" s="4"/>
      <c r="AF19" s="4"/>
      <c r="AG19" s="4"/>
    </row>
    <row r="20" spans="1:33" ht="22.5" customHeight="1" x14ac:dyDescent="0.25">
      <c r="A20" s="2"/>
      <c r="B20" s="2"/>
      <c r="C20" s="2"/>
      <c r="D20" s="2"/>
      <c r="E20" s="2"/>
      <c r="F20" s="4"/>
      <c r="G20" s="4"/>
      <c r="H20" s="4" t="s">
        <v>28</v>
      </c>
      <c r="I20" s="4" t="str">
        <f ca="1">IFERROR(__xludf.DUMMYFUNCTION("GOOGLETRANSLATE(B20,""en"",""ar"")"),"كيف يقود الفرسان جمالهم؟")</f>
        <v>كيف يقود الفرسان جمالهم؟</v>
      </c>
      <c r="J20" s="4" t="str">
        <f ca="1">IFERROR(__xludf.DUMMYFUNCTION("GOOGLETRANSLATE(C20,""en"",""ar"")"),"أ) باستخدام لجام ولجام معقدين، ب) باستخدام لجام أو حبل بسيط متصل باللجام، ج) باستخدام الأوامر الصوتية فقط، د) باستخدام عجلة قيادة")</f>
        <v>أ) باستخدام لجام ولجام معقدين، ب) باستخدام لجام أو حبل بسيط متصل باللجام، ج) باستخدام الأوامر الصوتية فقط، د) باستخدام عجلة قيادة</v>
      </c>
      <c r="K20" s="4" t="str">
        <f ca="1">IFERROR(__xludf.DUMMYFUNCTION("GOOGLETRANSLATE(D20,""en"",""ar"")"),"ب) باستخدام لجام أو حبل بسيط متصل برأس اللجام")</f>
        <v>ب) باستخدام لجام أو حبل بسيط متصل برأس اللجام</v>
      </c>
      <c r="L20" s="4" t="str">
        <f ca="1">IFERROR(__xludf.DUMMYFUNCTION("GOOGLETRANSLATE(E20,""en"",""ar"")"),"تستخدم سباقات الهجن نظامًا أبسط بكثير للتحكم في الرأس مقارنة بسباقات الخيول، وغالبًا ما يكون مجرد حبل متصل بلجام يشبه اللجام.")</f>
        <v>تستخدم سباقات الهجن نظامًا أبسط بكثير للتحكم في الرأس مقارنة بسباقات الخيول، وغالبًا ما يكون مجرد حبل متصل بلجام يشبه اللجام.</v>
      </c>
      <c r="M20" s="4"/>
      <c r="N20" s="4"/>
      <c r="O20" s="4"/>
      <c r="P20" s="4"/>
      <c r="Q20" s="4"/>
      <c r="R20" s="4"/>
      <c r="S20" s="4"/>
      <c r="T20" s="4"/>
      <c r="U20" s="4"/>
      <c r="V20" s="4"/>
      <c r="W20" s="4"/>
      <c r="X20" s="4"/>
      <c r="Y20" s="4"/>
      <c r="Z20" s="4"/>
      <c r="AA20" s="4"/>
      <c r="AB20" s="4"/>
      <c r="AC20" s="4"/>
      <c r="AD20" s="4"/>
      <c r="AE20" s="4"/>
      <c r="AF20" s="4"/>
      <c r="AG20" s="4"/>
    </row>
    <row r="21" spans="1:33" ht="22.5" customHeight="1" x14ac:dyDescent="0.25">
      <c r="A21" s="2"/>
      <c r="B21" s="2"/>
      <c r="C21" s="2"/>
      <c r="D21" s="2"/>
      <c r="E21" s="2"/>
      <c r="F21" s="4"/>
      <c r="G21" s="4"/>
      <c r="H21" s="4" t="s">
        <v>28</v>
      </c>
      <c r="I21" s="4" t="str">
        <f ca="1">IFERROR(__xludf.DUMMYFUNCTION("GOOGLETRANSLATE(B21,""en"",""ar"")"),"تجسد الصورة رياضة متجذرة بعمق في المنطقة...")</f>
        <v>تجسد الصورة رياضة متجذرة بعمق في المنطقة...</v>
      </c>
      <c r="J21" s="4" t="str">
        <f ca="1">IFERROR(__xludf.DUMMYFUNCTION("GOOGLETRANSLATE(C21,""en"",""ar"")"),"أ) التاريخ الصناعي، ب) التقاليد البحرية، ج) التراث الثقافي، د) الحركات الفنية")</f>
        <v>أ) التاريخ الصناعي، ب) التقاليد البحرية، ج) التراث الثقافي، د) الحركات الفنية</v>
      </c>
      <c r="K21" s="4" t="str">
        <f ca="1">IFERROR(__xludf.DUMMYFUNCTION("GOOGLETRANSLATE(D21,""en"",""ar"")"),"ج) التراث الثقافي")</f>
        <v>ج) التراث الثقافي</v>
      </c>
      <c r="L21" s="4" t="str">
        <f ca="1">IFERROR(__xludf.DUMMYFUNCTION("GOOGLETRANSLATE(E21,""en"",""ar"")"),"سباق الهجن رياضة عمرها قرون، وهي جزء مهم من الهوية الثقافية للعديد من المجتمعات الصحراوية.")</f>
        <v>سباق الهجن رياضة عمرها قرون، وهي جزء مهم من الهوية الثقافية للعديد من المجتمعات الصحراوية.</v>
      </c>
      <c r="M21" s="4"/>
      <c r="N21" s="4"/>
      <c r="O21" s="4"/>
      <c r="P21" s="4"/>
      <c r="Q21" s="4"/>
      <c r="R21" s="4"/>
      <c r="S21" s="4"/>
      <c r="T21" s="4"/>
      <c r="U21" s="4"/>
      <c r="V21" s="4"/>
      <c r="W21" s="4"/>
      <c r="X21" s="4"/>
      <c r="Y21" s="4"/>
      <c r="Z21" s="4"/>
      <c r="AA21" s="4"/>
      <c r="AB21" s="4"/>
      <c r="AC21" s="4"/>
      <c r="AD21" s="4"/>
      <c r="AE21" s="4"/>
      <c r="AF21" s="4"/>
      <c r="AG21" s="4"/>
    </row>
    <row r="22" spans="1:33" ht="22.5" customHeight="1" x14ac:dyDescent="0.25">
      <c r="A22" s="2"/>
      <c r="B22" s="2"/>
      <c r="C22" s="2"/>
      <c r="D22" s="2"/>
      <c r="E22" s="2"/>
      <c r="F22" s="4"/>
      <c r="G22" s="4"/>
      <c r="H22" s="4" t="s">
        <v>29</v>
      </c>
      <c r="I22" s="4" t="str">
        <f ca="1">IFERROR(__xludf.DUMMYFUNCTION("GOOGLETRANSLATE(B22,""en"",""ar"")"),"ما هو الجهاز الحديث الذي يُركب على ظهر الجمل في المكان الذي يجلس فيه الفارس عادةً؟")</f>
        <v>ما هو الجهاز الحديث الذي يُركب على ظهر الجمل في المكان الذي يجلس فيه الفارس عادةً؟</v>
      </c>
      <c r="J22" s="4" t="str">
        <f ca="1">IFERROR(__xludf.DUMMYFUNCTION("GOOGLETRANSLATE(C22,""en"",""ar"")"),"أ) جهاز تتبع GPS، ب) روبوت صغير يتم التحكم فيه عن بعد، ج) صندوق تخزين مياه، د) لوحة شمسية")</f>
        <v>أ) جهاز تتبع GPS، ب) روبوت صغير يتم التحكم فيه عن بعد، ج) صندوق تخزين مياه، د) لوحة شمسية</v>
      </c>
      <c r="K22" s="4" t="str">
        <f ca="1">IFERROR(__xludf.DUMMYFUNCTION("GOOGLETRANSLATE(D22,""en"",""ar"")"),"ب) فارس آلي صغير يتم التحكم فيه عن بعد")</f>
        <v>ب) فارس آلي صغير يتم التحكم فيه عن بعد</v>
      </c>
      <c r="L22" s="4" t="str">
        <f ca="1">IFERROR(__xludf.DUMMYFUNCTION("GOOGLETRANSLATE(E22,""en"",""ar"")"),"هذا فارس آلي، يُستخدم الآن على نطاق واسع في سباقات الهجن الاحترافية لتقليل الوزن ولأسباب تتعلق برفاهية الحيوان.")</f>
        <v>هذا فارس آلي، يُستخدم الآن على نطاق واسع في سباقات الهجن الاحترافية لتقليل الوزن ولأسباب تتعلق برفاهية الحيوان.</v>
      </c>
      <c r="M22" s="4"/>
      <c r="N22" s="4"/>
      <c r="O22" s="4"/>
      <c r="P22" s="4"/>
      <c r="Q22" s="4"/>
      <c r="R22" s="4"/>
      <c r="S22" s="4"/>
      <c r="T22" s="4"/>
      <c r="U22" s="4"/>
      <c r="V22" s="4"/>
      <c r="W22" s="4"/>
      <c r="X22" s="4"/>
      <c r="Y22" s="4"/>
      <c r="Z22" s="4"/>
      <c r="AA22" s="4"/>
      <c r="AB22" s="4"/>
      <c r="AC22" s="4"/>
      <c r="AD22" s="4"/>
      <c r="AE22" s="4"/>
      <c r="AF22" s="4"/>
      <c r="AG22" s="4"/>
    </row>
    <row r="23" spans="1:33" ht="22.5" customHeight="1" x14ac:dyDescent="0.25">
      <c r="A23" s="2"/>
      <c r="B23" s="2"/>
      <c r="C23" s="2"/>
      <c r="D23" s="2"/>
      <c r="E23" s="2"/>
      <c r="F23" s="4"/>
      <c r="G23" s="4"/>
      <c r="H23" s="4" t="s">
        <v>29</v>
      </c>
      <c r="I23" s="4" t="str">
        <f ca="1">IFERROR(__xludf.DUMMYFUNCTION("GOOGLETRANSLATE(B23,""en"",""ar"")"),"لماذا تم إدخال هؤلاء الفرسان الآليين إلى هذه الرياضة؟")</f>
        <v>لماذا تم إدخال هؤلاء الفرسان الآليين إلى هذه الرياضة؟</v>
      </c>
      <c r="J23" s="4" t="str">
        <f ca="1">IFERROR(__xludf.DUMMYFUNCTION("GOOGLETRANSLATE(C23,""en"",""ar"")"),"أ) لجعل السباقات أبطأ، ب) لأن البشر كانوا ثقيلين للغاية، ج) لمعالجة ومنع استخدام الأطفال كفرسان، د) لأنهم أرخص من الفرسان البشر")</f>
        <v>أ) لجعل السباقات أبطأ، ب) لأن البشر كانوا ثقيلين للغاية، ج) لمعالجة ومنع استخدام الأطفال كفرسان، د) لأنهم أرخص من الفرسان البشر</v>
      </c>
      <c r="K23" s="4" t="str">
        <f ca="1">IFERROR(__xludf.DUMMYFUNCTION("GOOGLETRANSLATE(D23,""en"",""ar"")"),"ج) معالجة ومنع استخدام الأطفال في سباقات الخيل")</f>
        <v>ج) معالجة ومنع استخدام الأطفال في سباقات الخيل</v>
      </c>
      <c r="L23" s="4" t="str">
        <f ca="1">IFERROR(__xludf.DUMMYFUNCTION("GOOGLETRANSLATE(E23,""en"",""ar"")"),"واجهت هذه الرياضة انتقادات دولية بسبب الاستخدام الخطير للفرسان الصغار ذوي الوزن الخفيف، مما أدى إلى حظرها وتطوير هذه البدائل الآلية.")</f>
        <v>واجهت هذه الرياضة انتقادات دولية بسبب الاستخدام الخطير للفرسان الصغار ذوي الوزن الخفيف، مما أدى إلى حظرها وتطوير هذه البدائل الآلية.</v>
      </c>
      <c r="M23" s="4"/>
      <c r="N23" s="4"/>
      <c r="O23" s="4"/>
      <c r="P23" s="4"/>
      <c r="Q23" s="4"/>
      <c r="R23" s="4"/>
      <c r="S23" s="4"/>
      <c r="T23" s="4"/>
      <c r="U23" s="4"/>
      <c r="V23" s="4"/>
      <c r="W23" s="4"/>
      <c r="X23" s="4"/>
      <c r="Y23" s="4"/>
      <c r="Z23" s="4"/>
      <c r="AA23" s="4"/>
      <c r="AB23" s="4"/>
      <c r="AC23" s="4"/>
      <c r="AD23" s="4"/>
      <c r="AE23" s="4"/>
      <c r="AF23" s="4"/>
      <c r="AG23" s="4"/>
    </row>
    <row r="24" spans="1:33" ht="22.5" customHeight="1" x14ac:dyDescent="0.25">
      <c r="A24" s="2"/>
      <c r="B24" s="2"/>
      <c r="C24" s="2"/>
      <c r="D24" s="2"/>
      <c r="E24" s="2"/>
      <c r="F24" s="4"/>
      <c r="G24" s="4"/>
      <c r="H24" s="4" t="s">
        <v>29</v>
      </c>
      <c r="I24" s="4" t="str">
        <f ca="1">IFERROR(__xludf.DUMMYFUNCTION("GOOGLETRANSLATE(B24,""en"",""ar"")"),"كيف يتم التحكم في الفارس الآلي؟")</f>
        <v>كيف يتم التحكم في الفارس الآلي؟</v>
      </c>
      <c r="J24" s="4" t="str">
        <f ca="1">IFERROR(__xludf.DUMMYFUNCTION("GOOGLETRANSLATE(C24,""en"",""ar"")"),"أ) مُبرمجة مسبقًا، ب) من خلال حركات الجمل، ج) من قِبل المالك أو المدرب الذي يتبعه بسيارة ويستخدم جهاز تحكم عن بُعد، د) من خلال الأوامر الصوتية من الجمهور")</f>
        <v>أ) مُبرمجة مسبقًا، ب) من خلال حركات الجمل، ج) من قِبل المالك أو المدرب الذي يتبعه بسيارة ويستخدم جهاز تحكم عن بُعد، د) من خلال الأوامر الصوتية من الجمهور</v>
      </c>
      <c r="K24" s="4" t="str">
        <f ca="1">IFERROR(__xludf.DUMMYFUNCTION("GOOGLETRANSLATE(D24,""en"",""ar"")"),"ج) بواسطة المالك أو المدرب، الذي يتبع في سيارة ويستخدم جهاز تحكم عن بعد")</f>
        <v>ج) بواسطة المالك أو المدرب، الذي يتبع في سيارة ويستخدم جهاز تحكم عن بعد</v>
      </c>
      <c r="L24" s="4" t="str">
        <f ca="1">IFERROR(__xludf.DUMMYFUNCTION("GOOGLETRANSLATE(E24,""en"",""ar"")"),"يقود المدربون سيارات الدفع الرباعي على طول المضمار، ويستخدمون جهاز تحكم عن بعد لتشغيل السوط الصغير الدوار الخاص بالروبوت.")</f>
        <v>يقود المدربون سيارات الدفع الرباعي على طول المضمار، ويستخدمون جهاز تحكم عن بعد لتشغيل السوط الصغير الدوار الخاص بالروبوت.</v>
      </c>
      <c r="M24" s="4"/>
      <c r="N24" s="4"/>
      <c r="O24" s="4"/>
      <c r="P24" s="4"/>
      <c r="Q24" s="4"/>
      <c r="R24" s="4"/>
      <c r="S24" s="4"/>
      <c r="T24" s="4"/>
      <c r="U24" s="4"/>
      <c r="V24" s="4"/>
      <c r="W24" s="4"/>
      <c r="X24" s="4"/>
      <c r="Y24" s="4"/>
      <c r="Z24" s="4"/>
      <c r="AA24" s="4"/>
      <c r="AB24" s="4"/>
      <c r="AC24" s="4"/>
      <c r="AD24" s="4"/>
      <c r="AE24" s="4"/>
      <c r="AF24" s="4"/>
      <c r="AG24" s="4"/>
    </row>
    <row r="25" spans="1:33" ht="22.5" customHeight="1" x14ac:dyDescent="0.25">
      <c r="A25" s="2"/>
      <c r="B25" s="2"/>
      <c r="C25" s="2"/>
      <c r="D25" s="2"/>
      <c r="E25" s="2"/>
      <c r="F25" s="4"/>
      <c r="G25" s="4"/>
      <c r="H25" s="4" t="s">
        <v>29</v>
      </c>
      <c r="I25" s="4" t="str">
        <f ca="1">IFERROR(__xludf.DUMMYFUNCTION("GOOGLETRANSLATE(B25,""en"",""ar"")"),"ما الغرض من القماش الأحمر والأبيض الملون على الجمل؟")</f>
        <v>ما الغرض من القماش الأحمر والأبيض الملون على الجمل؟</v>
      </c>
      <c r="J25" s="4" t="str">
        <f ca="1">IFERROR(__xludf.DUMMYFUNCTION("GOOGLETRANSLATE(C25,""en"",""ar"")"),"أ) إنها بطانية لتدفئة الجمل، ب) إنها سرج سباق بألوان مالكه، ج) إنها زيٌّ لموكب، د) إنها غطاء للمطر")</f>
        <v>أ) إنها بطانية لتدفئة الجمل، ب) إنها سرج سباق بألوان مالكه، ج) إنها زيٌّ لموكب، د) إنها غطاء للمطر</v>
      </c>
      <c r="K25" s="4" t="str">
        <f ca="1">IFERROR(__xludf.DUMMYFUNCTION("GOOGLETRANSLATE(D25,""en"",""ar"")"),"ب) إنه سرج سباق بألوان المالك")</f>
        <v>ب) إنه سرج سباق بألوان المالك</v>
      </c>
      <c r="L25" s="4" t="str">
        <f ca="1">IFERROR(__xludf.DUMMYFUNCTION("GOOGLETRANSLATE(E25,""en"",""ar"")"),"على غرار الأقمشة الحريرية في سباقات الخيل، يعمل القماش كسرج خفيف الوزن ويعرض الألوان التي تمثل مالك الجمل أو إسطبله.")</f>
        <v>على غرار الأقمشة الحريرية في سباقات الخيل، يعمل القماش كسرج خفيف الوزن ويعرض الألوان التي تمثل مالك الجمل أو إسطبله.</v>
      </c>
      <c r="M25" s="4"/>
      <c r="N25" s="4"/>
      <c r="O25" s="4"/>
      <c r="P25" s="4"/>
      <c r="Q25" s="4"/>
      <c r="R25" s="4"/>
      <c r="S25" s="4"/>
      <c r="T25" s="4"/>
      <c r="U25" s="4"/>
      <c r="V25" s="4"/>
      <c r="W25" s="4"/>
      <c r="X25" s="4"/>
      <c r="Y25" s="4"/>
      <c r="Z25" s="4"/>
      <c r="AA25" s="4"/>
      <c r="AB25" s="4"/>
      <c r="AC25" s="4"/>
      <c r="AD25" s="4"/>
      <c r="AE25" s="4"/>
      <c r="AF25" s="4"/>
      <c r="AG25" s="4"/>
    </row>
    <row r="26" spans="1:33" ht="22.5" customHeight="1" x14ac:dyDescent="0.25">
      <c r="A26" s="2"/>
      <c r="B26" s="2"/>
      <c r="C26" s="2"/>
      <c r="D26" s="2"/>
      <c r="E26" s="2"/>
      <c r="F26" s="4"/>
      <c r="G26" s="4"/>
      <c r="H26" s="4" t="s">
        <v>29</v>
      </c>
      <c r="I26" s="4" t="str">
        <f ca="1">IFERROR(__xludf.DUMMYFUNCTION("GOOGLETRANSLATE(B26,""en"",""ar"")"),"الشخص الموجود على اليمين يمسك الجمل بحبل. هذا الشخص هو...")</f>
        <v>الشخص الموجود على اليمين يمسك الجمل بحبل. هذا الشخص هو...</v>
      </c>
      <c r="J26" s="4" t="str">
        <f ca="1">IFERROR(__xludf.DUMMYFUNCTION("GOOGLETRANSLATE(C26,""en"",""ar"")"),"أ) فارس، ب) متفرج، ج) طبيب بيطري، د) مُدرب أو مُشرف")</f>
        <v>أ) فارس، ب) متفرج، ج) طبيب بيطري، د) مُدرب أو مُشرف</v>
      </c>
      <c r="K26" s="4" t="str">
        <f ca="1">IFERROR(__xludf.DUMMYFUNCTION("GOOGLETRANSLATE(D26,""en"",""ar"")"),"د) المعالج أو المدرب")</f>
        <v>د) المعالج أو المدرب</v>
      </c>
      <c r="L26" s="4" t="str">
        <f ca="1">IFERROR(__xludf.DUMMYFUNCTION("GOOGLETRANSLATE(E26,""en"",""ar"")"),"هذا الشخص هو المسؤول عن تجهيز الجمل وقيادته إلى خط البداية.")</f>
        <v>هذا الشخص هو المسؤول عن تجهيز الجمل وقيادته إلى خط البداية.</v>
      </c>
      <c r="M26" s="4"/>
      <c r="N26" s="4"/>
      <c r="O26" s="4"/>
      <c r="P26" s="4"/>
      <c r="Q26" s="4"/>
      <c r="R26" s="4"/>
      <c r="S26" s="4"/>
      <c r="T26" s="4"/>
      <c r="U26" s="4"/>
      <c r="V26" s="4"/>
      <c r="W26" s="4"/>
      <c r="X26" s="4"/>
      <c r="Y26" s="4"/>
      <c r="Z26" s="4"/>
      <c r="AA26" s="4"/>
      <c r="AB26" s="4"/>
      <c r="AC26" s="4"/>
      <c r="AD26" s="4"/>
      <c r="AE26" s="4"/>
      <c r="AF26" s="4"/>
      <c r="AG26" s="4"/>
    </row>
    <row r="27" spans="1:33" ht="22.5" customHeight="1" x14ac:dyDescent="0.25">
      <c r="A27" s="2"/>
      <c r="B27" s="2"/>
      <c r="C27" s="2"/>
      <c r="D27" s="2"/>
      <c r="E27" s="2"/>
      <c r="F27" s="4"/>
      <c r="G27" s="4"/>
      <c r="H27" s="4" t="s">
        <v>29</v>
      </c>
      <c r="I27" s="4" t="str">
        <f ca="1">IFERROR(__xludf.DUMMYFUNCTION("GOOGLETRANSLATE(B27,""en"",""ar"")"),"يبدو أن المضمار رملي، وهو المضمار المعتاد لسباقات الهجن. والسبب في ذلك هو...")</f>
        <v>يبدو أن المضمار رملي، وهو المضمار المعتاد لسباقات الهجن. والسبب في ذلك هو...</v>
      </c>
      <c r="J27" s="4" t="str">
        <f ca="1">IFERROR(__xludf.DUMMYFUNCTION("GOOGLETRANSLATE(C27,""en"",""ar"")"),"أ) الرمل ناعم على أقدام الجمال المبطنة، ب) هو المادة الوحيدة المتوفرة في الصحراء، ج) يجعل الجمال تركض أبطأ، د) يبدو أفضل على شاشة التلفزيون")</f>
        <v>أ) الرمل ناعم على أقدام الجمال المبطنة، ب) هو المادة الوحيدة المتوفرة في الصحراء، ج) يجعل الجمال تركض أبطأ، د) يبدو أفضل على شاشة التلفزيون</v>
      </c>
      <c r="K27" s="4" t="str">
        <f ca="1">IFERROR(__xludf.DUMMYFUNCTION("GOOGLETRANSLATE(D27,""en"",""ar"")"),"أ) الرمل ناعم على أقدام الجمال المبطنة")</f>
        <v>أ) الرمل ناعم على أقدام الجمال المبطنة</v>
      </c>
      <c r="L27" s="4" t="str">
        <f ca="1">IFERROR(__xludf.DUMMYFUNCTION("GOOGLETRANSLATE(E27,""en"",""ar"")"),"تمتلك الجمال وسادات قدم عريضة وناعمة تتكيف بشكل مثالي للمشي والجري على الرمال، على عكس حوافر الحصان الصلبة.")</f>
        <v>تمتلك الجمال وسادات قدم عريضة وناعمة تتكيف بشكل مثالي للمشي والجري على الرمال، على عكس حوافر الحصان الصلبة.</v>
      </c>
      <c r="M27" s="4"/>
      <c r="N27" s="4"/>
      <c r="O27" s="4"/>
      <c r="P27" s="4"/>
      <c r="Q27" s="4"/>
      <c r="R27" s="4"/>
      <c r="S27" s="4"/>
      <c r="T27" s="4"/>
      <c r="U27" s="4"/>
      <c r="V27" s="4"/>
      <c r="W27" s="4"/>
      <c r="X27" s="4"/>
      <c r="Y27" s="4"/>
      <c r="Z27" s="4"/>
      <c r="AA27" s="4"/>
      <c r="AB27" s="4"/>
      <c r="AC27" s="4"/>
      <c r="AD27" s="4"/>
      <c r="AE27" s="4"/>
      <c r="AF27" s="4"/>
      <c r="AG27" s="4"/>
    </row>
    <row r="28" spans="1:33" ht="22.5" customHeight="1" x14ac:dyDescent="0.25">
      <c r="A28" s="2"/>
      <c r="B28" s="2"/>
      <c r="C28" s="2"/>
      <c r="D28" s="2"/>
      <c r="E28" s="2"/>
      <c r="F28" s="4"/>
      <c r="G28" s="4"/>
      <c r="H28" s="4" t="s">
        <v>29</v>
      </c>
      <c r="I28" s="4" t="str">
        <f ca="1">IFERROR(__xludf.DUMMYFUNCTION("GOOGLETRANSLATE(B28,""en"",""ar"")"),"تُسمى القطعة الموجودة على رأس الجمل بـ...")</f>
        <v>تُسمى القطعة الموجودة على رأس الجمل بـ...</v>
      </c>
      <c r="J28" s="4" t="str">
        <f ca="1">IFERROR(__xludf.DUMMYFUNCTION("GOOGLETRANSLATE(C28,""en"",""ar"")"),"أ) خوذة، ب) كمامة، ج) لجام أو حبل، د) قناع غاز")</f>
        <v>أ) خوذة، ب) كمامة، ج) لجام أو حبل، د) قناع غاز</v>
      </c>
      <c r="K28" s="4" t="str">
        <f ca="1">IFERROR(__xludf.DUMMYFUNCTION("GOOGLETRANSLATE(D28,""en"",""ar"")"),"ج) لجام أو حبل")</f>
        <v>ج) لجام أو حبل</v>
      </c>
      <c r="L28" s="4" t="str">
        <f ca="1">IFERROR(__xludf.DUMMYFUNCTION("GOOGLETRANSLATE(E28,""en"",""ar"")"),"هذا هو غطاء الرأس الذي يتم ربط حبل القيادة أو اللجام به للتحكم.")</f>
        <v>هذا هو غطاء الرأس الذي يتم ربط حبل القيادة أو اللجام به للتحكم.</v>
      </c>
      <c r="M28" s="4"/>
      <c r="N28" s="4"/>
      <c r="O28" s="4"/>
      <c r="P28" s="4"/>
      <c r="Q28" s="4"/>
      <c r="R28" s="4"/>
      <c r="S28" s="4"/>
      <c r="T28" s="4"/>
      <c r="U28" s="4"/>
      <c r="V28" s="4"/>
      <c r="W28" s="4"/>
      <c r="X28" s="4"/>
      <c r="Y28" s="4"/>
      <c r="Z28" s="4"/>
      <c r="AA28" s="4"/>
      <c r="AB28" s="4"/>
      <c r="AC28" s="4"/>
      <c r="AD28" s="4"/>
      <c r="AE28" s="4"/>
      <c r="AF28" s="4"/>
      <c r="AG28" s="4"/>
    </row>
    <row r="29" spans="1:33" ht="22.5" customHeight="1" x14ac:dyDescent="0.25">
      <c r="A29" s="2"/>
      <c r="B29" s="2"/>
      <c r="C29" s="2"/>
      <c r="D29" s="2"/>
      <c r="E29" s="2"/>
      <c r="F29" s="4"/>
      <c r="G29" s="4"/>
      <c r="H29" s="4" t="s">
        <v>29</v>
      </c>
      <c r="I29" s="4" t="str">
        <f ca="1">IFERROR(__xludf.DUMMYFUNCTION("GOOGLETRANSLATE(B29,""en"",""ar"")"),"ما وظيفة الذراع الصغيرة الشبيهة بالسوط الموجودة على الفارس الآلي؟")</f>
        <v>ما وظيفة الذراع الصغيرة الشبيهة بالسوط الموجودة على الفارس الآلي؟</v>
      </c>
      <c r="J29" s="4" t="str">
        <f ca="1">IFERROR(__xludf.DUMMYFUNCTION("GOOGLETRANSLATE(C29,""en"",""ar"")"),"أ) لحمل العلم، ب) لضرب الذباب، ج) لتشجيع الجمل على الجري أسرع، د) لتوجيه الجمل")</f>
        <v>أ) لحمل العلم، ب) لضرب الذباب، ج) لتشجيع الجمل على الجري أسرع، د) لتوجيه الجمل</v>
      </c>
      <c r="K29" s="4" t="str">
        <f ca="1">IFERROR(__xludf.DUMMYFUNCTION("GOOGLETRANSLATE(D29,""en"",""ar"")"),"ج) لتشجيع الجمل على الجري بشكل أسرع")</f>
        <v>ج) لتشجيع الجمل على الجري بشكل أسرع</v>
      </c>
      <c r="L29" s="4" t="str">
        <f ca="1">IFERROR(__xludf.DUMMYFUNCTION("GOOGLETRANSLATE(E29,""en"",""ar"")"),"يقوم الذراع الذي يتم التحكم فيه عن بعد بتدوير سوط صغير يضرب الجمل، محاكياً إشارات الفارس البشري.")</f>
        <v>يقوم الذراع الذي يتم التحكم فيه عن بعد بتدوير سوط صغير يضرب الجمل، محاكياً إشارات الفارس البشري.</v>
      </c>
      <c r="M29" s="4"/>
      <c r="N29" s="4"/>
      <c r="O29" s="4"/>
      <c r="P29" s="4"/>
      <c r="Q29" s="4"/>
      <c r="R29" s="4"/>
      <c r="S29" s="4"/>
      <c r="T29" s="4"/>
      <c r="U29" s="4"/>
      <c r="V29" s="4"/>
      <c r="W29" s="4"/>
      <c r="X29" s="4"/>
      <c r="Y29" s="4"/>
      <c r="Z29" s="4"/>
      <c r="AA29" s="4"/>
      <c r="AB29" s="4"/>
      <c r="AC29" s="4"/>
      <c r="AD29" s="4"/>
      <c r="AE29" s="4"/>
      <c r="AF29" s="4"/>
      <c r="AG29" s="4"/>
    </row>
    <row r="30" spans="1:33" ht="22.5" customHeight="1" x14ac:dyDescent="0.25">
      <c r="A30" s="2"/>
      <c r="B30" s="2"/>
      <c r="C30" s="2"/>
      <c r="D30" s="2"/>
      <c r="E30" s="2"/>
      <c r="F30" s="4"/>
      <c r="G30" s="4"/>
      <c r="H30" s="4" t="s">
        <v>29</v>
      </c>
      <c r="I30" s="4" t="str">
        <f ca="1">IFERROR(__xludf.DUMMYFUNCTION("GOOGLETRANSLATE(B30,""en"",""ar"")"),"تُعد أرجل الجمل الطويلة وجسمه النحيل من العلامات التي تدل على أنه قد تم تربيته من أجل...")</f>
        <v>تُعد أرجل الجمل الطويلة وجسمه النحيل من العلامات التي تدل على أنه قد تم تربيته من أجل...</v>
      </c>
      <c r="J30" s="4" t="str">
        <f ca="1">IFERROR(__xludf.DUMMYFUNCTION("GOOGLETRANSLATE(C30,""en"",""ar"")"),"أ) حمل الأحمال الثقيلة، ب) إنتاج الحليب، ج) السرعة والقدرة على التحمل، د) صوفها")</f>
        <v>أ) حمل الأحمال الثقيلة، ب) إنتاج الحليب، ج) السرعة والقدرة على التحمل، د) صوفها</v>
      </c>
      <c r="K30" s="4" t="str">
        <f ca="1">IFERROR(__xludf.DUMMYFUNCTION("GOOGLETRANSLATE(D30,""en"",""ar"")"),"ج) السرعة والتحمل")</f>
        <v>ج) السرعة والتحمل</v>
      </c>
      <c r="L30" s="4" t="str">
        <f ca="1">IFERROR(__xludf.DUMMYFUNCTION("GOOGLETRANSLATE(E30,""en"",""ar"")"),"تُعتبر جمال السباق نوعًا محددًا، يتم تربيته بشكل انتقائي على مدى أجيال للحصول على الصفات الرياضية اللازمة للفوز بالسباقات.")</f>
        <v>تُعتبر جمال السباق نوعًا محددًا، يتم تربيته بشكل انتقائي على مدى أجيال للحصول على الصفات الرياضية اللازمة للفوز بالسباقات.</v>
      </c>
      <c r="M30" s="4"/>
      <c r="N30" s="4"/>
      <c r="O30" s="4"/>
      <c r="P30" s="4"/>
      <c r="Q30" s="4"/>
      <c r="R30" s="4"/>
      <c r="S30" s="4"/>
      <c r="T30" s="4"/>
      <c r="U30" s="4"/>
      <c r="V30" s="4"/>
      <c r="W30" s="4"/>
      <c r="X30" s="4"/>
      <c r="Y30" s="4"/>
      <c r="Z30" s="4"/>
      <c r="AA30" s="4"/>
      <c r="AB30" s="4"/>
      <c r="AC30" s="4"/>
      <c r="AD30" s="4"/>
      <c r="AE30" s="4"/>
      <c r="AF30" s="4"/>
      <c r="AG30" s="4"/>
    </row>
    <row r="31" spans="1:33" ht="22.5" customHeight="1" x14ac:dyDescent="0.25">
      <c r="A31" s="2"/>
      <c r="B31" s="2"/>
      <c r="C31" s="2"/>
      <c r="D31" s="2"/>
      <c r="E31" s="2"/>
      <c r="F31" s="4"/>
      <c r="G31" s="4"/>
      <c r="H31" s="4" t="s">
        <v>29</v>
      </c>
      <c r="I31" s="4" t="str">
        <f ca="1">IFERROR(__xludf.DUMMYFUNCTION("GOOGLETRANSLATE(B31,""en"",""ar"")"),"متى تم التقاط الصورة على الأرجح؟")</f>
        <v>متى تم التقاط الصورة على الأرجح؟</v>
      </c>
      <c r="J31" s="4" t="str">
        <f ca="1">IFERROR(__xludf.DUMMYFUNCTION("GOOGLETRANSLATE(C31,""en"",""ar"")"),"أ) خلال حرارة منتصف النهار، ب) في منتصف الليل، ج) في الصباح الباكر أو في وقت متأخر من بعد الظهر، د) أثناء عاصفة رملية")</f>
        <v>أ) خلال حرارة منتصف النهار، ب) في منتصف الليل، ج) في الصباح الباكر أو في وقت متأخر من بعد الظهر، د) أثناء عاصفة رملية</v>
      </c>
      <c r="K31" s="4" t="str">
        <f ca="1">IFERROR(__xludf.DUMMYFUNCTION("GOOGLETRANSLATE(D31,""en"",""ar"")"),"ج) في الصباح الباكر أو في وقت متأخر من بعد الظهر")</f>
        <v>ج) في الصباح الباكر أو في وقت متأخر من بعد الظهر</v>
      </c>
      <c r="L31" s="4" t="str">
        <f ca="1">IFERROR(__xludf.DUMMYFUNCTION("GOOGLETRANSLATE(E31,""en"",""ar"")"),"تُقام السباقات والتدريبات عادةً خلال الأوقات الأكثر برودة من اليوم. ويشير الضوء الدافئ المائل إلى الصباح أو المساء.")</f>
        <v>تُقام السباقات والتدريبات عادةً خلال الأوقات الأكثر برودة من اليوم. ويشير الضوء الدافئ المائل إلى الصباح أو المساء.</v>
      </c>
      <c r="M31" s="4"/>
      <c r="N31" s="4"/>
      <c r="O31" s="4"/>
      <c r="P31" s="4"/>
      <c r="Q31" s="4"/>
      <c r="R31" s="4"/>
      <c r="S31" s="4"/>
      <c r="T31" s="4"/>
      <c r="U31" s="4"/>
      <c r="V31" s="4"/>
      <c r="W31" s="4"/>
      <c r="X31" s="4"/>
      <c r="Y31" s="4"/>
      <c r="Z31" s="4"/>
      <c r="AA31" s="4"/>
      <c r="AB31" s="4"/>
      <c r="AC31" s="4"/>
      <c r="AD31" s="4"/>
      <c r="AE31" s="4"/>
      <c r="AF31" s="4"/>
      <c r="AG31" s="4"/>
    </row>
    <row r="32" spans="1:33" ht="22.5" customHeight="1" x14ac:dyDescent="0.25">
      <c r="A32" s="2"/>
      <c r="B32" s="2"/>
      <c r="C32" s="2"/>
      <c r="D32" s="2"/>
      <c r="E32" s="2"/>
      <c r="F32" s="4"/>
      <c r="G32" s="4"/>
      <c r="H32" s="4" t="s">
        <v>30</v>
      </c>
      <c r="I32" s="4" t="str">
        <f ca="1">IFERROR(__xludf.DUMMYFUNCTION("GOOGLETRANSLATE(B32,""en"",""ar"")"),"ما هو الهدف الرئيسي لهذه اللقطة الحركية؟")</f>
        <v>ما هو الهدف الرئيسي لهذه اللقطة الحركية؟</v>
      </c>
      <c r="J32" s="4" t="str">
        <f ca="1">IFERROR(__xludf.DUMMYFUNCTION("GOOGLETRANSLATE(C32,""en"",""ar"")"),"أ) الحشد الكبير في الخلفية، ب) منظر الصحراء، ج) الفارس والجمل في خضم السباق، د) الجمال الأخرى التي تتبعهم")</f>
        <v>أ) الحشد الكبير في الخلفية، ب) منظر الصحراء، ج) الفارس والجمل في خضم السباق، د) الجمال الأخرى التي تتبعهم</v>
      </c>
      <c r="K32" s="4" t="str">
        <f ca="1">IFERROR(__xludf.DUMMYFUNCTION("GOOGLETRANSLATE(D32,""en"",""ar"")"),"ج) الفارس والجمل في خضم السباق")</f>
        <v>ج) الفارس والجمل في خضم السباق</v>
      </c>
      <c r="L32" s="4" t="str">
        <f ca="1">IFERROR(__xludf.DUMMYFUNCTION("GOOGLETRANSLATE(E32,""en"",""ar"")"),"تركز الكاميرا بشكل دقيق على المتنافس الرئيسي، لتُظهر مدى حدة المنافسة الرياضية.")</f>
        <v>تركز الكاميرا بشكل دقيق على المتنافس الرئيسي، لتُظهر مدى حدة المنافسة الرياضية.</v>
      </c>
      <c r="M32" s="4"/>
      <c r="N32" s="4"/>
      <c r="O32" s="4"/>
      <c r="P32" s="4"/>
      <c r="Q32" s="4"/>
      <c r="R32" s="4"/>
      <c r="S32" s="4"/>
      <c r="T32" s="4"/>
      <c r="U32" s="4"/>
      <c r="V32" s="4"/>
      <c r="W32" s="4"/>
      <c r="X32" s="4"/>
      <c r="Y32" s="4"/>
      <c r="Z32" s="4"/>
      <c r="AA32" s="4"/>
      <c r="AB32" s="4"/>
      <c r="AC32" s="4"/>
      <c r="AD32" s="4"/>
      <c r="AE32" s="4"/>
      <c r="AF32" s="4"/>
      <c r="AG32" s="4"/>
    </row>
    <row r="33" spans="1:33" ht="22.5" customHeight="1" x14ac:dyDescent="0.25">
      <c r="A33" s="2"/>
      <c r="B33" s="2"/>
      <c r="C33" s="2"/>
      <c r="D33" s="2"/>
      <c r="E33" s="2"/>
      <c r="F33" s="4"/>
      <c r="G33" s="4"/>
      <c r="H33" s="4" t="s">
        <v>30</v>
      </c>
      <c r="I33" s="4" t="str">
        <f ca="1">IFERROR(__xludf.DUMMYFUNCTION("GOOGLETRANSLATE(B33,""en"",""ar"")"),"ماذا يرتدي الفارس على رأسه؟")</f>
        <v>ماذا يرتدي الفارس على رأسه؟</v>
      </c>
      <c r="J33" s="4" t="str">
        <f ca="1">IFERROR(__xludf.DUMMYFUNCTION("GOOGLETRANSLATE(C33,""en"",""ar"")"),"أ) خوذة، ب) غترة أو كوفية تقليدية، ج) قبعة بيسبول، د) قبعة صوفية")</f>
        <v>أ) خوذة، ب) غترة أو كوفية تقليدية، ج) قبعة بيسبول، د) قبعة صوفية</v>
      </c>
      <c r="K33" s="4" t="str">
        <f ca="1">IFERROR(__xludf.DUMMYFUNCTION("GOOGLETRANSLATE(D33,""en"",""ar"")"),"ب) غترة أو كوفية تقليدية")</f>
        <v>ب) غترة أو كوفية تقليدية</v>
      </c>
      <c r="L33" s="4" t="str">
        <f ca="1">IFERROR(__xludf.DUMMYFUNCTION("GOOGLETRANSLATE(E33,""en"",""ar"")"),"ترتدي الراكبة غطاء رأس تقليديًا بنقوش شائعة في شبه الجزيرة العربية.")</f>
        <v>ترتدي الراكبة غطاء رأس تقليديًا بنقوش شائعة في شبه الجزيرة العربية.</v>
      </c>
      <c r="M33" s="4"/>
      <c r="N33" s="4"/>
      <c r="O33" s="4"/>
      <c r="P33" s="4"/>
      <c r="Q33" s="4"/>
      <c r="R33" s="4"/>
      <c r="S33" s="4"/>
      <c r="T33" s="4"/>
      <c r="U33" s="4"/>
      <c r="V33" s="4"/>
      <c r="W33" s="4"/>
      <c r="X33" s="4"/>
      <c r="Y33" s="4"/>
      <c r="Z33" s="4"/>
      <c r="AA33" s="4"/>
      <c r="AB33" s="4"/>
      <c r="AC33" s="4"/>
      <c r="AD33" s="4"/>
      <c r="AE33" s="4"/>
      <c r="AF33" s="4"/>
      <c r="AG33" s="4"/>
    </row>
    <row r="34" spans="1:33" ht="22.5" customHeight="1" x14ac:dyDescent="0.25">
      <c r="A34" s="2"/>
      <c r="B34" s="2"/>
      <c r="C34" s="2"/>
      <c r="D34" s="2"/>
      <c r="E34" s="2"/>
      <c r="F34" s="4"/>
      <c r="G34" s="4"/>
      <c r="H34" s="4" t="s">
        <v>30</v>
      </c>
      <c r="I34" s="4" t="str">
        <f ca="1">IFERROR(__xludf.DUMMYFUNCTION("GOOGLETRANSLATE(B34,""en"",""ar"")"),"تشير مشية الجمل، مع مد ساقيه بالكامل، إلى أنه يتحرك بسرعة...")</f>
        <v>تشير مشية الجمل، مع مد ساقيه بالكامل، إلى أنه يتحرك بسرعة...</v>
      </c>
      <c r="J34" s="4" t="str">
        <f ca="1">IFERROR(__xludf.DUMMYFUNCTION("GOOGLETRANSLATE(C34,""en"",""ar"")"),"أ) المشي البطيء، ب) السكون، ج) أقصى سرعة له، د) سرعة المشي")</f>
        <v>أ) المشي البطيء، ب) السكون، ج) أقصى سرعة له، د) سرعة المشي</v>
      </c>
      <c r="K34" s="4" t="str">
        <f ca="1">IFERROR(__xludf.DUMMYFUNCTION("GOOGLETRANSLATE(D34,""en"",""ar"")"),"ج) سرعتها القصوى")</f>
        <v>ج) سرعتها القصوى</v>
      </c>
      <c r="L34" s="4" t="str">
        <f ca="1">IFERROR(__xludf.DUMMYFUNCTION("GOOGLETRANSLATE(E34,""en"",""ar"")"),"هذا هو شكل العدو الكامل عند الجمل، حيث يمد جسمه ليغطي أكبر مساحة ممكنة مع كل خطوة.")</f>
        <v>هذا هو شكل العدو الكامل عند الجمل، حيث يمد جسمه ليغطي أكبر مساحة ممكنة مع كل خطوة.</v>
      </c>
      <c r="M34" s="4"/>
      <c r="N34" s="4"/>
      <c r="O34" s="4"/>
      <c r="P34" s="4"/>
      <c r="Q34" s="4"/>
      <c r="R34" s="4"/>
      <c r="S34" s="4"/>
      <c r="T34" s="4"/>
      <c r="U34" s="4"/>
      <c r="V34" s="4"/>
      <c r="W34" s="4"/>
      <c r="X34" s="4"/>
      <c r="Y34" s="4"/>
      <c r="Z34" s="4"/>
      <c r="AA34" s="4"/>
      <c r="AB34" s="4"/>
      <c r="AC34" s="4"/>
      <c r="AD34" s="4"/>
      <c r="AE34" s="4"/>
      <c r="AF34" s="4"/>
      <c r="AG34" s="4"/>
    </row>
    <row r="35" spans="1:33" ht="22.5" customHeight="1" x14ac:dyDescent="0.25">
      <c r="A35" s="2"/>
      <c r="B35" s="2"/>
      <c r="C35" s="2"/>
      <c r="D35" s="2"/>
      <c r="E35" s="2"/>
      <c r="F35" s="4"/>
      <c r="G35" s="4"/>
      <c r="H35" s="4" t="s">
        <v>30</v>
      </c>
      <c r="I35" s="4" t="str">
        <f ca="1">IFERROR(__xludf.DUMMYFUNCTION("GOOGLETRANSLATE(B35,""en"",""ar"")"),"ما الذي يحمله الفارس في يده اليمنى؟")</f>
        <v>ما الذي يحمله الفارس في يده اليمنى؟</v>
      </c>
      <c r="J35" s="4" t="str">
        <f ca="1">IFERROR(__xludf.DUMMYFUNCTION("GOOGLETRANSLATE(C35,""en"",""ar"")"),"أ) لجام، ب) زجاجة ماء صغيرة، ج) هاتف محمول، د) سوط أو عصا ركوب")</f>
        <v>أ) لجام، ب) زجاجة ماء صغيرة، ج) هاتف محمول، د) سوط أو عصا ركوب</v>
      </c>
      <c r="K35" s="4" t="str">
        <f ca="1">IFERROR(__xludf.DUMMYFUNCTION("GOOGLETRANSLATE(D35,""en"",""ar"")"),"د) سوط أو عصا ركوب")</f>
        <v>د) سوط أو عصا ركوب</v>
      </c>
      <c r="L35" s="4" t="str">
        <f ca="1">IFERROR(__xludf.DUMMYFUNCTION("GOOGLETRANSLATE(E35,""en"",""ar"")"),"إنه يحمل عصا صغيرة ومرنة تستخدم لتشجيع الجمل.")</f>
        <v>إنه يحمل عصا صغيرة ومرنة تستخدم لتشجيع الجمل.</v>
      </c>
      <c r="M35" s="4"/>
      <c r="N35" s="4"/>
      <c r="O35" s="4"/>
      <c r="P35" s="4"/>
      <c r="Q35" s="4"/>
      <c r="R35" s="4"/>
      <c r="S35" s="4"/>
      <c r="T35" s="4"/>
      <c r="U35" s="4"/>
      <c r="V35" s="4"/>
      <c r="W35" s="4"/>
      <c r="X35" s="4"/>
      <c r="Y35" s="4"/>
      <c r="Z35" s="4"/>
      <c r="AA35" s="4"/>
      <c r="AB35" s="4"/>
      <c r="AC35" s="4"/>
      <c r="AD35" s="4"/>
      <c r="AE35" s="4"/>
      <c r="AF35" s="4"/>
      <c r="AG35" s="4"/>
    </row>
    <row r="36" spans="1:33" ht="22.5" customHeight="1" x14ac:dyDescent="0.25">
      <c r="A36" s="2"/>
      <c r="B36" s="2"/>
      <c r="C36" s="2"/>
      <c r="D36" s="2"/>
      <c r="E36" s="2"/>
      <c r="F36" s="4"/>
      <c r="G36" s="4"/>
      <c r="H36" s="4" t="s">
        <v>30</v>
      </c>
      <c r="I36" s="4" t="str">
        <f ca="1">IFERROR(__xludf.DUMMYFUNCTION("GOOGLETRANSLATE(B36,""en"",""ar"")"),"الأشكال الضبابية في الخلفية هي...")</f>
        <v>الأشكال الضبابية في الخلفية هي...</v>
      </c>
      <c r="J36" s="4" t="str">
        <f ca="1">IFERROR(__xludf.DUMMYFUNCTION("GOOGLETRANSLATE(C36,""en"",""ar"")"),"أ) المتفرجون على الهامش، ب) المتنافسون الآخرون في السباق، ج) المباني في المدينة، د) سراب")</f>
        <v>أ) المتفرجون على الهامش، ب) المتنافسون الآخرون في السباق، ج) المباني في المدينة، د) سراب</v>
      </c>
      <c r="K36" s="4" t="str">
        <f ca="1">IFERROR(__xludf.DUMMYFUNCTION("GOOGLETRANSLATE(D36,""en"",""ar"")"),"ب) المنافسون الآخرون في السباق")</f>
        <v>ب) المنافسون الآخرون في السباق</v>
      </c>
      <c r="L36" s="4" t="str">
        <f ca="1">IFERROR(__xludf.DUMMYFUNCTION("GOOGLETRANSLATE(E36,""en"",""ar"")"),"الأشكال غير الواضحة هي جمال وفرسان آخرون يتبعون الجمال القائدة.")</f>
        <v>الأشكال غير الواضحة هي جمال وفرسان آخرون يتبعون الجمال القائدة.</v>
      </c>
      <c r="M36" s="4"/>
      <c r="N36" s="4"/>
      <c r="O36" s="4"/>
      <c r="P36" s="4"/>
      <c r="Q36" s="4"/>
      <c r="R36" s="4"/>
      <c r="S36" s="4"/>
      <c r="T36" s="4"/>
      <c r="U36" s="4"/>
      <c r="V36" s="4"/>
      <c r="W36" s="4"/>
      <c r="X36" s="4"/>
      <c r="Y36" s="4"/>
      <c r="Z36" s="4"/>
      <c r="AA36" s="4"/>
      <c r="AB36" s="4"/>
      <c r="AC36" s="4"/>
      <c r="AD36" s="4"/>
      <c r="AE36" s="4"/>
      <c r="AF36" s="4"/>
      <c r="AG36" s="4"/>
    </row>
    <row r="37" spans="1:33" ht="22.5" customHeight="1" x14ac:dyDescent="0.25">
      <c r="A37" s="2"/>
      <c r="B37" s="2"/>
      <c r="C37" s="2"/>
      <c r="D37" s="2"/>
      <c r="E37" s="2"/>
      <c r="F37" s="4"/>
      <c r="G37" s="4"/>
      <c r="H37" s="4" t="s">
        <v>30</v>
      </c>
      <c r="I37" s="4" t="str">
        <f ca="1">IFERROR(__xludf.DUMMYFUNCTION("GOOGLETRANSLATE(B37,""en"",""ar"")"),"يُظهر التعبير على وجه الفارس...")</f>
        <v>يُظهر التعبير على وجه الفارس...</v>
      </c>
      <c r="J37" s="4" t="str">
        <f ca="1">IFERROR(__xludf.DUMMYFUNCTION("GOOGLETRANSLATE(C37,""en"",""ar"")"),"أ) الملل، ب) الخوف، ج) التركيز الشديد، د) النعاس")</f>
        <v>أ) الملل، ب) الخوف، ج) التركيز الشديد، د) النعاس</v>
      </c>
      <c r="K37" s="4" t="str">
        <f ca="1">IFERROR(__xludf.DUMMYFUNCTION("GOOGLETRANSLATE(D37,""en"",""ar"")"),"ج) تركيز شديد")</f>
        <v>ج) تركيز شديد</v>
      </c>
      <c r="L37" s="4" t="str">
        <f ca="1">IFERROR(__xludf.DUMMYFUNCTION("GOOGLETRANSLATE(E37,""en"",""ar"")"),"كانت نظراته مثبتة للأمام وتعبير وجهه جاد، مما يدل على تركيزه الكامل على السباق.")</f>
        <v>كانت نظراته مثبتة للأمام وتعبير وجهه جاد، مما يدل على تركيزه الكامل على السباق.</v>
      </c>
      <c r="M37" s="4"/>
      <c r="N37" s="4"/>
      <c r="O37" s="4"/>
      <c r="P37" s="4"/>
      <c r="Q37" s="4"/>
      <c r="R37" s="4"/>
      <c r="S37" s="4"/>
      <c r="T37" s="4"/>
      <c r="U37" s="4"/>
      <c r="V37" s="4"/>
      <c r="W37" s="4"/>
      <c r="X37" s="4"/>
      <c r="Y37" s="4"/>
      <c r="Z37" s="4"/>
      <c r="AA37" s="4"/>
      <c r="AB37" s="4"/>
      <c r="AC37" s="4"/>
      <c r="AD37" s="4"/>
      <c r="AE37" s="4"/>
      <c r="AF37" s="4"/>
      <c r="AG37" s="4"/>
    </row>
    <row r="38" spans="1:33" ht="22.5" customHeight="1" x14ac:dyDescent="0.25">
      <c r="A38" s="2"/>
      <c r="B38" s="2"/>
      <c r="C38" s="2"/>
      <c r="D38" s="2"/>
      <c r="E38" s="2"/>
      <c r="F38" s="4"/>
      <c r="G38" s="4"/>
      <c r="H38" s="4" t="s">
        <v>30</v>
      </c>
      <c r="I38" s="4" t="str">
        <f ca="1">IFERROR(__xludf.DUMMYFUNCTION("GOOGLETRANSLATE(B38,""en"",""ar"")"),"ما الذي تُثيره أقدام الجمل؟")</f>
        <v>ما الذي تُثيره أقدام الجمل؟</v>
      </c>
      <c r="J38" s="4" t="str">
        <f ca="1">IFERROR(__xludf.DUMMYFUNCTION("GOOGLETRANSLATE(C38,""en"",""ar"")"),"أ) الماء، ب) الثلج، ج) الرمل والغبار، د) العشب")</f>
        <v>أ) الماء، ب) الثلج، ج) الرمل والغبار، د) العشب</v>
      </c>
      <c r="K38" s="4" t="str">
        <f ca="1">IFERROR(__xludf.DUMMYFUNCTION("GOOGLETRANSLATE(D38,""en"",""ar"")"),"ج) الرمل والغبار")</f>
        <v>ج) الرمل والغبار</v>
      </c>
      <c r="L38" s="4" t="str">
        <f ca="1">IFERROR(__xludf.DUMMYFUNCTION("GOOGLETRANSLATE(E38,""en"",""ar"")"),"تُحدث حركة الجمال على المسار الجاف سحابة من الرمال الناعمة والغبار.")</f>
        <v>تُحدث حركة الجمال على المسار الجاف سحابة من الرمال الناعمة والغبار.</v>
      </c>
      <c r="M38" s="4"/>
      <c r="N38" s="4"/>
      <c r="O38" s="4"/>
      <c r="P38" s="4"/>
      <c r="Q38" s="4"/>
      <c r="R38" s="4"/>
      <c r="S38" s="4"/>
      <c r="T38" s="4"/>
      <c r="U38" s="4"/>
      <c r="V38" s="4"/>
      <c r="W38" s="4"/>
      <c r="X38" s="4"/>
      <c r="Y38" s="4"/>
      <c r="Z38" s="4"/>
      <c r="AA38" s="4"/>
      <c r="AB38" s="4"/>
      <c r="AC38" s="4"/>
      <c r="AD38" s="4"/>
      <c r="AE38" s="4"/>
      <c r="AF38" s="4"/>
      <c r="AG38" s="4"/>
    </row>
    <row r="39" spans="1:33" ht="22.5" customHeight="1" x14ac:dyDescent="0.25">
      <c r="A39" s="2"/>
      <c r="B39" s="2"/>
      <c r="C39" s="2"/>
      <c r="D39" s="2"/>
      <c r="E39" s="2"/>
      <c r="F39" s="4"/>
      <c r="G39" s="4"/>
      <c r="H39" s="4" t="s">
        <v>30</v>
      </c>
      <c r="I39" s="4" t="str">
        <f ca="1">IFERROR(__xludf.DUMMYFUNCTION("GOOGLETRANSLATE(B39,""en"",""ar"")"),"ما هو الغرض المحتمل من الجهاز الموجود على معصم الفارس؟")</f>
        <v>ما هو الغرض المحتمل من الجهاز الموجود على معصم الفارس؟</v>
      </c>
      <c r="J39" s="4" t="str">
        <f ca="1">IFERROR(__xludf.DUMMYFUNCTION("GOOGLETRANSLATE(C39,""en"",""ar"")"),"أ) إنه سوار للزينة، ب) إنها ساعة لتوقيت السباق، ج) قد يكون جهاز تحكم عن بعد لجهاز صدمات كهربائية (محظور الآن)، د) إنه جهاز مراقبة معدل ضربات القلب")</f>
        <v>أ) إنه سوار للزينة، ب) إنها ساعة لتوقيت السباق، ج) قد يكون جهاز تحكم عن بعد لجهاز صدمات كهربائية (محظور الآن)، د) إنه جهاز مراقبة معدل ضربات القلب</v>
      </c>
      <c r="K39" s="4" t="str">
        <f ca="1">IFERROR(__xludf.DUMMYFUNCTION("GOOGLETRANSLATE(D39,""en"",""ar"")"),"ج) قد يكون جهاز تحكم عن بعد للتحكم في جهاز صدمات كهربائية (محظور الآن).")</f>
        <v>ج) قد يكون جهاز تحكم عن بعد للتحكم في جهاز صدمات كهربائية (محظور الآن).</v>
      </c>
      <c r="L39" s="4" t="str">
        <f ca="1">IFERROR(__xludf.DUMMYFUNCTION("GOOGLETRANSLATE(E39,""en"",""ar"")"),"في الماضي، كان بعض الفرسان يستخدمون أجهزة يتم التحكم فيها عن بعد لتوجيه الصدمات. هذه الممارسة غير قانونية الآن في معظم السباقات الرسمية.")</f>
        <v>في الماضي، كان بعض الفرسان يستخدمون أجهزة يتم التحكم فيها عن بعد لتوجيه الصدمات. هذه الممارسة غير قانونية الآن في معظم السباقات الرسمية.</v>
      </c>
      <c r="M39" s="4"/>
      <c r="N39" s="4"/>
      <c r="O39" s="4"/>
      <c r="P39" s="4"/>
      <c r="Q39" s="4"/>
      <c r="R39" s="4"/>
      <c r="S39" s="4"/>
      <c r="T39" s="4"/>
      <c r="U39" s="4"/>
      <c r="V39" s="4"/>
      <c r="W39" s="4"/>
      <c r="X39" s="4"/>
      <c r="Y39" s="4"/>
      <c r="Z39" s="4"/>
      <c r="AA39" s="4"/>
      <c r="AB39" s="4"/>
      <c r="AC39" s="4"/>
      <c r="AD39" s="4"/>
      <c r="AE39" s="4"/>
      <c r="AF39" s="4"/>
      <c r="AG39" s="4"/>
    </row>
    <row r="40" spans="1:33" ht="22.5" customHeight="1" x14ac:dyDescent="0.25">
      <c r="A40" s="2"/>
      <c r="B40" s="2"/>
      <c r="C40" s="2"/>
      <c r="D40" s="2"/>
      <c r="E40" s="2"/>
      <c r="F40" s="4"/>
      <c r="G40" s="4"/>
      <c r="H40" s="4" t="s">
        <v>30</v>
      </c>
      <c r="I40" s="4" t="str">
        <f ca="1">IFERROR(__xludf.DUMMYFUNCTION("GOOGLETRANSLATE(B40,""en"",""ar"")"),"إن الطريقة التي يجلس بها الفارس عالياً على سنام الجمل هي أسلوب ركوب يتطلب...")</f>
        <v>إن الطريقة التي يجلس بها الفارس عالياً على سنام الجمل هي أسلوب ركوب يتطلب...</v>
      </c>
      <c r="J40" s="4" t="str">
        <f ca="1">IFERROR(__xludf.DUMMYFUNCTION("GOOGLETRANSLATE(C40,""en"",""ar"")"),"أ) سرج ثقيل جداً، ب) توازن وقوة كبيران، ج) لا مهارة على الإطلاق، د) حزام الأمان")</f>
        <v>أ) سرج ثقيل جداً، ب) توازن وقوة كبيران، ج) لا مهارة على الإطلاق، د) حزام الأمان</v>
      </c>
      <c r="K40" s="4" t="str">
        <f ca="1">IFERROR(__xludf.DUMMYFUNCTION("GOOGLETRANSLATE(D40,""en"",""ar"")"),"ب) توازن وقوة كبيران")</f>
        <v>ب) توازن وقوة كبيران</v>
      </c>
      <c r="L40" s="4" t="str">
        <f ca="1">IFERROR(__xludf.DUMMYFUNCTION("GOOGLETRANSLATE(E40,""en"",""ar"")"),"يتطلب البقاء على ظهر الجمل بسرعة عالية قوة أساسية كبيرة ومركز ثقل منخفض.")</f>
        <v>يتطلب البقاء على ظهر الجمل بسرعة عالية قوة أساسية كبيرة ومركز ثقل منخفض.</v>
      </c>
      <c r="M40" s="4"/>
      <c r="N40" s="4"/>
      <c r="O40" s="4"/>
      <c r="P40" s="4"/>
      <c r="Q40" s="4"/>
      <c r="R40" s="4"/>
      <c r="S40" s="4"/>
      <c r="T40" s="4"/>
      <c r="U40" s="4"/>
      <c r="V40" s="4"/>
      <c r="W40" s="4"/>
      <c r="X40" s="4"/>
      <c r="Y40" s="4"/>
      <c r="Z40" s="4"/>
      <c r="AA40" s="4"/>
      <c r="AB40" s="4"/>
      <c r="AC40" s="4"/>
      <c r="AD40" s="4"/>
      <c r="AE40" s="4"/>
      <c r="AF40" s="4"/>
      <c r="AG40" s="4"/>
    </row>
    <row r="41" spans="1:33" ht="22.5" customHeight="1" x14ac:dyDescent="0.25">
      <c r="A41" s="2"/>
      <c r="B41" s="2"/>
      <c r="C41" s="2"/>
      <c r="D41" s="2"/>
      <c r="E41" s="2"/>
      <c r="F41" s="4"/>
      <c r="G41" s="4"/>
      <c r="H41" s="4" t="s">
        <v>30</v>
      </c>
      <c r="I41" s="4" t="str">
        <f ca="1">IFERROR(__xludf.DUMMYFUNCTION("GOOGLETRANSLATE(B41,""en"",""ar"")"),"يُبرز اقتصاص الصورة الدقيق وتركيزها على جهد المتسابق هذه الرياضة باعتبارها...")</f>
        <v>يُبرز اقتصاص الصورة الدقيق وتركيزها على جهد المتسابق هذه الرياضة باعتبارها...</v>
      </c>
      <c r="J41" s="4" t="str">
        <f ca="1">IFERROR(__xludf.DUMMYFUNCTION("GOOGLETRANSLATE(C41,""en"",""ar"")"),"أ) هواية مريحة، ب) اختبار للقدرات الرياضية للإنسان والحيوان، ج) موكب بسيط، د) حدث احتفالي بحت")</f>
        <v>أ) هواية مريحة، ب) اختبار للقدرات الرياضية للإنسان والحيوان، ج) موكب بسيط، د) حدث احتفالي بحت</v>
      </c>
      <c r="K41" s="4" t="str">
        <f ca="1">IFERROR(__xludf.DUMMYFUNCTION("GOOGLETRANSLATE(D41,""en"",""ar"")"),"ب) اختبار القدرات الرياضية للإنسان والحيوان")</f>
        <v>ب) اختبار القدرات الرياضية للإنسان والحيوان</v>
      </c>
      <c r="L41" s="4" t="str">
        <f ca="1">IFERROR(__xludf.DUMMYFUNCTION("GOOGLETRANSLATE(E41,""en"",""ar"")"),"تؤكد الصورة على المتطلبات البدنية والطبيعة التنافسية لسباق الهجن.")</f>
        <v>تؤكد الصورة على المتطلبات البدنية والطبيعة التنافسية لسباق الهجن.</v>
      </c>
      <c r="M41" s="4"/>
      <c r="N41" s="4"/>
      <c r="O41" s="4"/>
      <c r="P41" s="4"/>
      <c r="Q41" s="4"/>
      <c r="R41" s="4"/>
      <c r="S41" s="4"/>
      <c r="T41" s="4"/>
      <c r="U41" s="4"/>
      <c r="V41" s="4"/>
      <c r="W41" s="4"/>
      <c r="X41" s="4"/>
      <c r="Y41" s="4"/>
      <c r="Z41" s="4"/>
      <c r="AA41" s="4"/>
      <c r="AB41" s="4"/>
      <c r="AC41" s="4"/>
      <c r="AD41" s="4"/>
      <c r="AE41" s="4"/>
      <c r="AF41" s="4"/>
      <c r="AG41" s="4"/>
    </row>
    <row r="42" spans="1:33" ht="22.5" customHeight="1" x14ac:dyDescent="0.25">
      <c r="A42" s="2"/>
      <c r="B42" s="2"/>
      <c r="C42" s="2"/>
      <c r="D42" s="2"/>
      <c r="E42" s="2"/>
      <c r="F42" s="4"/>
      <c r="G42" s="4"/>
      <c r="H42" s="4" t="s">
        <v>31</v>
      </c>
      <c r="I42" s="4" t="str">
        <f ca="1">IFERROR(__xludf.DUMMYFUNCTION("GOOGLETRANSLATE(B42,""en"",""ar"")"),"ما هي التقنية الفوتوغرافية المستخدمة لإنشاء تأثير الضبابية في هذه الصورة؟")</f>
        <v>ما هي التقنية الفوتوغرافية المستخدمة لإنشاء تأثير الضبابية في هذه الصورة؟</v>
      </c>
      <c r="J42" s="4" t="str">
        <f ca="1">IFERROR(__xludf.DUMMYFUNCTION("GOOGLETRANSLATE(C42,""en"",""ar"")"),"أ) عدسة عين السمكة، ب) سرعة غالق بطيئة مع تحريك الكاميرا أفقيًا، ج) مرشح أبيض وأسود، د) تعريض ضوئي طويل على حامل ثلاثي القوائم")</f>
        <v>أ) عدسة عين السمكة، ب) سرعة غالق بطيئة مع تحريك الكاميرا أفقيًا، ج) مرشح أبيض وأسود، د) تعريض ضوئي طويل على حامل ثلاثي القوائم</v>
      </c>
      <c r="K42" s="4" t="str">
        <f ca="1">IFERROR(__xludf.DUMMYFUNCTION("GOOGLETRANSLATE(D42,""en"",""ar"")"),"ب) سرعة غالق بطيئة مع تحريك الكاميرا أفقيًا")</f>
        <v>ب) سرعة غالق بطيئة مع تحريك الكاميرا أفقيًا</v>
      </c>
      <c r="L42" s="4" t="str">
        <f ca="1">IFERROR(__xludf.DUMMYFUNCTION("GOOGLETRANSLATE(E42,""en"",""ar"")"),"قام المصور بتحريك الكاميرا لمتابعة الهدف الرئيسي، مما حافظ على وضوح الجمل نسبياً مع تشويش الخلفية لإظهار الحركة.")</f>
        <v>قام المصور بتحريك الكاميرا لمتابعة الهدف الرئيسي، مما حافظ على وضوح الجمل نسبياً مع تشويش الخلفية لإظهار الحركة.</v>
      </c>
      <c r="M42" s="4"/>
      <c r="N42" s="4"/>
      <c r="O42" s="4"/>
      <c r="P42" s="4"/>
      <c r="Q42" s="4"/>
      <c r="R42" s="4"/>
      <c r="S42" s="4"/>
      <c r="T42" s="4"/>
      <c r="U42" s="4"/>
      <c r="V42" s="4"/>
      <c r="W42" s="4"/>
      <c r="X42" s="4"/>
      <c r="Y42" s="4"/>
      <c r="Z42" s="4"/>
      <c r="AA42" s="4"/>
      <c r="AB42" s="4"/>
      <c r="AC42" s="4"/>
      <c r="AD42" s="4"/>
      <c r="AE42" s="4"/>
      <c r="AF42" s="4"/>
      <c r="AG42" s="4"/>
    </row>
    <row r="43" spans="1:33" ht="22.5" customHeight="1" x14ac:dyDescent="0.25">
      <c r="A43" s="2"/>
      <c r="B43" s="2"/>
      <c r="C43" s="2"/>
      <c r="D43" s="2"/>
      <c r="E43" s="2"/>
      <c r="F43" s="4"/>
      <c r="G43" s="4"/>
      <c r="H43" s="4" t="s">
        <v>31</v>
      </c>
      <c r="I43" s="4" t="str">
        <f ca="1">IFERROR(__xludf.DUMMYFUNCTION("GOOGLETRANSLATE(B43,""en"",""ar"")"),"ما الذي ينقله تأثير ضبابية الحركة هذا بشكل فعال؟")</f>
        <v>ما الذي ينقله تأثير ضبابية الحركة هذا بشكل فعال؟</v>
      </c>
      <c r="J43" s="4" t="str">
        <f ca="1">IFERROR(__xludf.DUMMYFUNCTION("GOOGLETRANSLATE(C43,""en"",""ar"")"),"أ) الشعور بالسكون، ب) حرارة الصحراء، ج) السرعة العالية للسباق، د) لون الرمال")</f>
        <v>أ) الشعور بالسكون، ب) حرارة الصحراء، ج) السرعة العالية للسباق، د) لون الرمال</v>
      </c>
      <c r="K43" s="4" t="str">
        <f ca="1">IFERROR(__xludf.DUMMYFUNCTION("GOOGLETRANSLATE(D43,""en"",""ar"")"),"ج) السرعة العالية للسباق")</f>
        <v>ج) السرعة العالية للسباق</v>
      </c>
      <c r="L43" s="4" t="str">
        <f ca="1">IFERROR(__xludf.DUMMYFUNCTION("GOOGLETRANSLATE(E43,""en"",""ar"")"),"يُعد تشويش الخلفية أسلوبًا بصريًا كلاسيكيًا لتوضيح أن الموضوع يتحرك بسرعة كبيرة.")</f>
        <v>يُعد تشويش الخلفية أسلوبًا بصريًا كلاسيكيًا لتوضيح أن الموضوع يتحرك بسرعة كبيرة.</v>
      </c>
      <c r="M43" s="4"/>
      <c r="N43" s="4"/>
      <c r="O43" s="4"/>
      <c r="P43" s="4"/>
      <c r="Q43" s="4"/>
      <c r="R43" s="4"/>
      <c r="S43" s="4"/>
      <c r="T43" s="4"/>
      <c r="U43" s="4"/>
      <c r="V43" s="4"/>
      <c r="W43" s="4"/>
      <c r="X43" s="4"/>
      <c r="Y43" s="4"/>
      <c r="Z43" s="4"/>
      <c r="AA43" s="4"/>
      <c r="AB43" s="4"/>
      <c r="AC43" s="4"/>
      <c r="AD43" s="4"/>
      <c r="AE43" s="4"/>
      <c r="AF43" s="4"/>
      <c r="AG43" s="4"/>
    </row>
    <row r="44" spans="1:33" ht="22.5" customHeight="1" x14ac:dyDescent="0.25">
      <c r="A44" s="2"/>
      <c r="B44" s="2"/>
      <c r="C44" s="2"/>
      <c r="D44" s="2"/>
      <c r="E44" s="2"/>
      <c r="F44" s="4"/>
      <c r="G44" s="4"/>
      <c r="H44" s="4" t="s">
        <v>31</v>
      </c>
      <c r="I44" s="4" t="str">
        <f ca="1">IFERROR(__xludf.DUMMYFUNCTION("GOOGLETRANSLATE(B44,""en"",""ar"")"),"ماذا يرتدي الفارس في المقدمة؟")</f>
        <v>ماذا يرتدي الفارس في المقدمة؟</v>
      </c>
      <c r="J44" s="4" t="str">
        <f ca="1">IFERROR(__xludf.DUMMYFUNCTION("GOOGLETRANSLATE(C44,""en"",""ar"")"),"أ) خوذة سباق حديثة وملابس حريرية، ب) رداء أبيض تقليدي (ثوب) وغطاء رأس (غترة وعقال)، ج) زي رعاة بقر على الطراز الغربي، د) معطف شتوي ثقيل")</f>
        <v>أ) خوذة سباق حديثة وملابس حريرية، ب) رداء أبيض تقليدي (ثوب) وغطاء رأس (غترة وعقال)، ج) زي رعاة بقر على الطراز الغربي، د) معطف شتوي ثقيل</v>
      </c>
      <c r="K44" s="4" t="str">
        <f ca="1">IFERROR(__xludf.DUMMYFUNCTION("GOOGLETRANSLATE(D44,""en"",""ar"")"),"ب) الثوب الأبيض التقليدي وغطاء الرأس (الغترة والعقال)")</f>
        <v>ب) الثوب الأبيض التقليدي وغطاء الرأس (الغترة والعقال)</v>
      </c>
      <c r="L44" s="4" t="str">
        <f ca="1">IFERROR(__xludf.DUMMYFUNCTION("GOOGLETRANSLATE(E44,""en"",""ar"")"),"يرتدي الفارس زياً عربياً تقليدياً.")</f>
        <v>يرتدي الفارس زياً عربياً تقليدياً.</v>
      </c>
      <c r="M44" s="4"/>
      <c r="N44" s="4"/>
      <c r="O44" s="4"/>
      <c r="P44" s="4"/>
      <c r="Q44" s="4"/>
      <c r="R44" s="4"/>
      <c r="S44" s="4"/>
      <c r="T44" s="4"/>
      <c r="U44" s="4"/>
      <c r="V44" s="4"/>
      <c r="W44" s="4"/>
      <c r="X44" s="4"/>
      <c r="Y44" s="4"/>
      <c r="Z44" s="4"/>
      <c r="AA44" s="4"/>
      <c r="AB44" s="4"/>
      <c r="AC44" s="4"/>
      <c r="AD44" s="4"/>
      <c r="AE44" s="4"/>
      <c r="AF44" s="4"/>
      <c r="AG44" s="4"/>
    </row>
    <row r="45" spans="1:33" ht="22.5" customHeight="1" x14ac:dyDescent="0.25">
      <c r="A45" s="2"/>
      <c r="B45" s="2"/>
      <c r="C45" s="2"/>
      <c r="D45" s="2"/>
      <c r="E45" s="2"/>
      <c r="F45" s="4"/>
      <c r="G45" s="4"/>
      <c r="H45" s="4" t="s">
        <v>31</v>
      </c>
      <c r="I45" s="4" t="str">
        <f ca="1">IFERROR(__xludf.DUMMYFUNCTION("GOOGLETRANSLATE(B45,""en"",""ar"")"),"ماذا تمثل الأشكال غير الواضحة في الخلفية؟")</f>
        <v>ماذا تمثل الأشكال غير الواضحة في الخلفية؟</v>
      </c>
      <c r="J45" s="4" t="str">
        <f ca="1">IFERROR(__xludf.DUMMYFUNCTION("GOOGLETRANSLATE(C45,""en"",""ar"")"),"أ) متفرجون واقفون بلا حراك، ب) جمال وفرسان آخرون في السباق، ج) صف من الأشجار، د) مبانٍ على طول المضمار")</f>
        <v>أ) متفرجون واقفون بلا حراك، ب) جمال وفرسان آخرون في السباق، ج) صف من الأشجار، د) مبانٍ على طول المضمار</v>
      </c>
      <c r="K45" s="4" t="str">
        <f ca="1">IFERROR(__xludf.DUMMYFUNCTION("GOOGLETRANSLATE(D45,""en"",""ar"")"),"ب) الجمال والفرسان الآخرون في السباق")</f>
        <v>ب) الجمال والفرسان الآخرون في السباق</v>
      </c>
      <c r="L45" s="4" t="str">
        <f ca="1">IFERROR(__xludf.DUMMYFUNCTION("GOOGLETRANSLATE(E45,""en"",""ar"")"),"الأشكال الضبابية خلف الموضوع الرئيسي هي بقية مضمار السباق.")</f>
        <v>الأشكال الضبابية خلف الموضوع الرئيسي هي بقية مضمار السباق.</v>
      </c>
      <c r="M45" s="4"/>
      <c r="N45" s="4"/>
      <c r="O45" s="4"/>
      <c r="P45" s="4"/>
      <c r="Q45" s="4"/>
      <c r="R45" s="4"/>
      <c r="S45" s="4"/>
      <c r="T45" s="4"/>
      <c r="U45" s="4"/>
      <c r="V45" s="4"/>
      <c r="W45" s="4"/>
      <c r="X45" s="4"/>
      <c r="Y45" s="4"/>
      <c r="Z45" s="4"/>
      <c r="AA45" s="4"/>
      <c r="AB45" s="4"/>
      <c r="AC45" s="4"/>
      <c r="AD45" s="4"/>
      <c r="AE45" s="4"/>
      <c r="AF45" s="4"/>
      <c r="AG45" s="4"/>
    </row>
    <row r="46" spans="1:33" ht="22.5" customHeight="1" x14ac:dyDescent="0.25">
      <c r="A46" s="2"/>
      <c r="B46" s="2"/>
      <c r="C46" s="2"/>
      <c r="D46" s="2"/>
      <c r="E46" s="2"/>
      <c r="F46" s="4"/>
      <c r="G46" s="4"/>
      <c r="H46" s="4" t="s">
        <v>31</v>
      </c>
      <c r="I46" s="4" t="str">
        <f ca="1">IFERROR(__xludf.DUMMYFUNCTION("GOOGLETRANSLATE(B46,""en"",""ar"")"),"يميل الفارس إلى الأمام ممسكًا بحبل واحد. تساعد هذه الوضعية على...")</f>
        <v>يميل الفارس إلى الأمام ممسكًا بحبل واحد. تساعد هذه الوضعية على...</v>
      </c>
      <c r="J46" s="4" t="str">
        <f ca="1">IFERROR(__xludf.DUMMYFUNCTION("GOOGLETRANSLATE(C46,""en"",""ar"")"),"أ) إبطاء سرعة الجمل، ب) تحسين الديناميكا الهوائية والتحكم، ج) أخذ قيلولة أثناء السباق، د) التلويح للجمهور")</f>
        <v>أ) إبطاء سرعة الجمل، ب) تحسين الديناميكا الهوائية والتحكم، ج) أخذ قيلولة أثناء السباق، د) التلويح للجمهور</v>
      </c>
      <c r="K46" s="4" t="str">
        <f ca="1">IFERROR(__xludf.DUMMYFUNCTION("GOOGLETRANSLATE(D46,""en"",""ar"")"),"ب) تحسين الديناميكا الهوائية والتحكم")</f>
        <v>ب) تحسين الديناميكا الهوائية والتحكم</v>
      </c>
      <c r="L46" s="4" t="str">
        <f ca="1">IFERROR(__xludf.DUMMYFUNCTION("GOOGLETRANSLATE(E46,""en"",""ar"")"),"يساعد الميل مع حركة الجمل على التوازن ويقلل من مقاومة الرياح.")</f>
        <v>يساعد الميل مع حركة الجمل على التوازن ويقلل من مقاومة الرياح.</v>
      </c>
      <c r="M46" s="4"/>
      <c r="N46" s="4"/>
      <c r="O46" s="4"/>
      <c r="P46" s="4"/>
      <c r="Q46" s="4"/>
      <c r="R46" s="4"/>
      <c r="S46" s="4"/>
      <c r="T46" s="4"/>
      <c r="U46" s="4"/>
      <c r="V46" s="4"/>
      <c r="W46" s="4"/>
      <c r="X46" s="4"/>
      <c r="Y46" s="4"/>
      <c r="Z46" s="4"/>
      <c r="AA46" s="4"/>
      <c r="AB46" s="4"/>
      <c r="AC46" s="4"/>
      <c r="AD46" s="4"/>
      <c r="AE46" s="4"/>
      <c r="AF46" s="4"/>
      <c r="AG46" s="4"/>
    </row>
    <row r="47" spans="1:33" ht="22.5" customHeight="1" x14ac:dyDescent="0.25">
      <c r="A47" s="2"/>
      <c r="B47" s="2"/>
      <c r="C47" s="2"/>
      <c r="D47" s="2"/>
      <c r="E47" s="2"/>
      <c r="F47" s="4"/>
      <c r="G47" s="4"/>
      <c r="H47" s="4" t="s">
        <v>31</v>
      </c>
      <c r="I47" s="4" t="str">
        <f ca="1">IFERROR(__xludf.DUMMYFUNCTION("GOOGLETRANSLATE(B47,""en"",""ar"")"),"مكان إقامة السباق هو...")</f>
        <v>مكان إقامة السباق هو...</v>
      </c>
      <c r="J47" s="4" t="str">
        <f ca="1">IFERROR(__xludf.DUMMYFUNCTION("GOOGLETRANSLATE(C47,""en"",""ar"")"),"أ) حقل عشبي، ب) مسار صحراوي رملي، ج) سهل ثلجي، د) طريق معبد")</f>
        <v>أ) حقل عشبي، ب) مسار صحراوي رملي، ج) سهل ثلجي، د) طريق معبد</v>
      </c>
      <c r="K47" s="4" t="str">
        <f ca="1">IFERROR(__xludf.DUMMYFUNCTION("GOOGLETRANSLATE(D47,""en"",""ar"")"),"ب) مسار صحراوي رملي")</f>
        <v>ب) مسار صحراوي رملي</v>
      </c>
      <c r="L47" s="4" t="str">
        <f ca="1">IFERROR(__xludf.DUMMYFUNCTION("GOOGLETRANSLATE(E47,""en"",""ar"")"),"يشير لون وملمس الأرض، بالإضافة إلى الغبار، إلى بيئة صحراوية.")</f>
        <v>يشير لون وملمس الأرض، بالإضافة إلى الغبار، إلى بيئة صحراوية.</v>
      </c>
      <c r="M47" s="4"/>
      <c r="N47" s="4"/>
      <c r="O47" s="4"/>
      <c r="P47" s="4"/>
      <c r="Q47" s="4"/>
      <c r="R47" s="4"/>
      <c r="S47" s="4"/>
      <c r="T47" s="4"/>
      <c r="U47" s="4"/>
      <c r="V47" s="4"/>
      <c r="W47" s="4"/>
      <c r="X47" s="4"/>
      <c r="Y47" s="4"/>
      <c r="Z47" s="4"/>
      <c r="AA47" s="4"/>
      <c r="AB47" s="4"/>
      <c r="AC47" s="4"/>
      <c r="AD47" s="4"/>
      <c r="AE47" s="4"/>
      <c r="AF47" s="4"/>
      <c r="AG47" s="4"/>
    </row>
    <row r="48" spans="1:33" ht="22.5" customHeight="1" x14ac:dyDescent="0.25">
      <c r="A48" s="2"/>
      <c r="B48" s="2"/>
      <c r="C48" s="2"/>
      <c r="D48" s="2"/>
      <c r="E48" s="2"/>
      <c r="F48" s="4"/>
      <c r="G48" s="4"/>
      <c r="H48" s="4" t="s">
        <v>31</v>
      </c>
      <c r="I48" s="4" t="str">
        <f ca="1">IFERROR(__xludf.DUMMYFUNCTION("GOOGLETRANSLATE(B48,""en"",""ar"")"),"ما هو الجزء الأكثر وضوحاً في الجمل القائد؟")</f>
        <v>ما هو الجزء الأكثر وضوحاً في الجمل القائد؟</v>
      </c>
      <c r="J48" s="4" t="str">
        <f ca="1">IFERROR(__xludf.DUMMYFUNCTION("GOOGLETRANSLATE(C48,""en"",""ar"")"),"أ) ساقيه الخلفيتين، ب) ذيله، ج) رأسه، د) سنامه")</f>
        <v>أ) ساقيه الخلفيتين، ب) ذيله، ج) رأسه، د) سنامه</v>
      </c>
      <c r="K48" s="4" t="str">
        <f ca="1">IFERROR(__xludf.DUMMYFUNCTION("GOOGLETRANSLATE(D48,""en"",""ar"")"),"ج) رأسه")</f>
        <v>ج) رأسه</v>
      </c>
      <c r="L48" s="4" t="str">
        <f ca="1">IFERROR(__xludf.DUMMYFUNCTION("GOOGLETRANSLATE(E48,""en"",""ar"")"),"ركز المصور بشكل حاد على رأس الجمل، مما جعله نقطة ارتكاز الصورة.")</f>
        <v>ركز المصور بشكل حاد على رأس الجمل، مما جعله نقطة ارتكاز الصورة.</v>
      </c>
      <c r="M48" s="4"/>
      <c r="N48" s="4"/>
      <c r="O48" s="4"/>
      <c r="P48" s="4"/>
      <c r="Q48" s="4"/>
      <c r="R48" s="4"/>
      <c r="S48" s="4"/>
      <c r="T48" s="4"/>
      <c r="U48" s="4"/>
      <c r="V48" s="4"/>
      <c r="W48" s="4"/>
      <c r="X48" s="4"/>
      <c r="Y48" s="4"/>
      <c r="Z48" s="4"/>
      <c r="AA48" s="4"/>
      <c r="AB48" s="4"/>
      <c r="AC48" s="4"/>
      <c r="AD48" s="4"/>
      <c r="AE48" s="4"/>
      <c r="AF48" s="4"/>
      <c r="AG48" s="4"/>
    </row>
    <row r="49" spans="1:33" ht="22.5" customHeight="1" x14ac:dyDescent="0.25">
      <c r="A49" s="2"/>
      <c r="B49" s="2"/>
      <c r="C49" s="2"/>
      <c r="D49" s="2"/>
      <c r="E49" s="2"/>
      <c r="F49" s="4"/>
      <c r="G49" s="4"/>
      <c r="H49" s="4" t="s">
        <v>31</v>
      </c>
      <c r="I49" s="4" t="str">
        <f ca="1">IFERROR(__xludf.DUMMYFUNCTION("GOOGLETRANSLATE(B49,""en"",""ar"")"),"السرج الموجود على الجمل القائد هو...")</f>
        <v>السرج الموجود على الجمل القائد هو...</v>
      </c>
      <c r="J49" s="4" t="str">
        <f ca="1">IFERROR(__xludf.DUMMYFUNCTION("GOOGLETRANSLATE(C49,""en"",""ar"")"),"أ) سرج كبير وثقيل متعدد الاستخدامات، ب) سرج سباق صغير مزخرف، ج) سرج قفز على الطراز الإنجليزي، د) غير مرئي")</f>
        <v>أ) سرج كبير وثقيل متعدد الاستخدامات، ب) سرج سباق صغير مزخرف، ج) سرج قفز على الطراز الإنجليزي، د) غير مرئي</v>
      </c>
      <c r="K49" s="4" t="str">
        <f ca="1">IFERROR(__xludf.DUMMYFUNCTION("GOOGLETRANSLATE(D49,""en"",""ar"")"),"ب) سرج سباق صغير مزخرف")</f>
        <v>ب) سرج سباق صغير مزخرف</v>
      </c>
      <c r="L49" s="4" t="str">
        <f ca="1">IFERROR(__xludf.DUMMYFUNCTION("GOOGLETRANSLATE(E49,""en"",""ar"")"),"يظهر سرج صغير وملون، مصمم ليكون خفيف الوزن للسباقات.")</f>
        <v>يظهر سرج صغير وملون، مصمم ليكون خفيف الوزن للسباقات.</v>
      </c>
      <c r="M49" s="4"/>
      <c r="N49" s="4"/>
      <c r="O49" s="4"/>
      <c r="P49" s="4"/>
      <c r="Q49" s="4"/>
      <c r="R49" s="4"/>
      <c r="S49" s="4"/>
      <c r="T49" s="4"/>
      <c r="U49" s="4"/>
      <c r="V49" s="4"/>
      <c r="W49" s="4"/>
      <c r="X49" s="4"/>
      <c r="Y49" s="4"/>
      <c r="Z49" s="4"/>
      <c r="AA49" s="4"/>
      <c r="AB49" s="4"/>
      <c r="AC49" s="4"/>
      <c r="AD49" s="4"/>
      <c r="AE49" s="4"/>
      <c r="AF49" s="4"/>
      <c r="AG49" s="4"/>
    </row>
    <row r="50" spans="1:33" ht="22.5" customHeight="1" x14ac:dyDescent="0.25">
      <c r="A50" s="2"/>
      <c r="B50" s="2"/>
      <c r="C50" s="2"/>
      <c r="D50" s="2"/>
      <c r="E50" s="2"/>
      <c r="F50" s="4"/>
      <c r="G50" s="4"/>
      <c r="H50" s="4" t="s">
        <v>31</v>
      </c>
      <c r="I50" s="4" t="str">
        <f ca="1">IFERROR(__xludf.DUMMYFUNCTION("GOOGLETRANSLATE(B50,""en"",""ar"")"),"يُستخدم تأثير التظليل (الحواف الداكنة) في الصورة لـ...")</f>
        <v>يُستخدم تأثير التظليل (الحواف الداكنة) في الصورة لـ...</v>
      </c>
      <c r="J50" s="4" t="str">
        <f ca="1">IFERROR(__xludf.DUMMYFUNCTION("GOOGLETRANSLATE(C50,""en"",""ar"")"),"أ) اجعل الصورة أكثر سطوعًا، ب) أظهر وقت اليوم، ج) اجذب انتباه المشاهد إلى مركز الحدث، د) صحح توازن الألوان")</f>
        <v>أ) اجعل الصورة أكثر سطوعًا، ب) أظهر وقت اليوم، ج) اجذب انتباه المشاهد إلى مركز الحدث، د) صحح توازن الألوان</v>
      </c>
      <c r="K50" s="4" t="str">
        <f ca="1">IFERROR(__xludf.DUMMYFUNCTION("GOOGLETRANSLATE(D50,""en"",""ar"")"),"ج) لفت انتباه المشاهد إلى مركز الحدث")</f>
        <v>ج) لفت انتباه المشاهد إلى مركز الحدث</v>
      </c>
      <c r="L50" s="4" t="str">
        <f ca="1">IFERROR(__xludf.DUMMYFUNCTION("GOOGLETRANSLATE(E50,""en"",""ar"")"),"إن تعتيم زوايا الإطار هو خيار فني يؤكد على الموضوع الرئيسي.")</f>
        <v>إن تعتيم زوايا الإطار هو خيار فني يؤكد على الموضوع الرئيسي.</v>
      </c>
      <c r="M50" s="4"/>
      <c r="N50" s="4"/>
      <c r="O50" s="4"/>
      <c r="P50" s="4"/>
      <c r="Q50" s="4"/>
      <c r="R50" s="4"/>
      <c r="S50" s="4"/>
      <c r="T50" s="4"/>
      <c r="U50" s="4"/>
      <c r="V50" s="4"/>
      <c r="W50" s="4"/>
      <c r="X50" s="4"/>
      <c r="Y50" s="4"/>
      <c r="Z50" s="4"/>
      <c r="AA50" s="4"/>
      <c r="AB50" s="4"/>
      <c r="AC50" s="4"/>
      <c r="AD50" s="4"/>
      <c r="AE50" s="4"/>
      <c r="AF50" s="4"/>
      <c r="AG50" s="4"/>
    </row>
    <row r="51" spans="1:33" ht="22.5" customHeight="1" x14ac:dyDescent="0.25">
      <c r="A51" s="2"/>
      <c r="B51" s="2"/>
      <c r="C51" s="2"/>
      <c r="D51" s="2"/>
      <c r="E51" s="2"/>
      <c r="F51" s="4"/>
      <c r="G51" s="4"/>
      <c r="H51" s="4" t="s">
        <v>31</v>
      </c>
      <c r="I51" s="4" t="str">
        <f ca="1">IFERROR(__xludf.DUMMYFUNCTION("GOOGLETRANSLATE(B51,""en"",""ar"")"),"تُصوّر هذه الصورة سباقات الهجن كـ...")</f>
        <v>تُصوّر هذه الصورة سباقات الهجن كـ...</v>
      </c>
      <c r="J51" s="4" t="str">
        <f ca="1">IFERROR(__xludf.DUMMYFUNCTION("GOOGLETRANSLATE(C51,""en"",""ar"")"),"أ) حدث بطيء وممل، ب) رياضة فوضوية وغير منظمة، ج) عرض فني أنيق، د) تقليد سريع الوتيرة وديناميكي")</f>
        <v>أ) حدث بطيء وممل، ب) رياضة فوضوية وغير منظمة، ج) عرض فني أنيق، د) تقليد سريع الوتيرة وديناميكي</v>
      </c>
      <c r="K51" s="4" t="str">
        <f ca="1">IFERROR(__xludf.DUMMYFUNCTION("GOOGLETRANSLATE(D51,""en"",""ar"")"),"د) تقليد سريع الخطى وديناميكي")</f>
        <v>د) تقليد سريع الخطى وديناميكي</v>
      </c>
      <c r="L51" s="4" t="str">
        <f ca="1">IFERROR(__xludf.DUMMYFUNCTION("GOOGLETRANSLATE(E51,""en"",""ar"")"),"يتم تقديم مزيج السرعة والأزياء الثقافية وبيئة الصحراء بطريقة ديناميكية ومثيرة بصريًا.")</f>
        <v>يتم تقديم مزيج السرعة والأزياء الثقافية وبيئة الصحراء بطريقة ديناميكية ومثيرة بصريًا.</v>
      </c>
      <c r="M51" s="4"/>
      <c r="N51" s="4"/>
      <c r="O51" s="4"/>
      <c r="P51" s="4"/>
      <c r="Q51" s="4"/>
      <c r="R51" s="4"/>
      <c r="S51" s="4"/>
      <c r="T51" s="4"/>
      <c r="U51" s="4"/>
      <c r="V51" s="4"/>
      <c r="W51" s="4"/>
      <c r="X51" s="4"/>
      <c r="Y51" s="4"/>
      <c r="Z51" s="4"/>
      <c r="AA51" s="4"/>
      <c r="AB51" s="4"/>
      <c r="AC51" s="4"/>
      <c r="AD51" s="4"/>
      <c r="AE51" s="4"/>
      <c r="AF51" s="4"/>
      <c r="AG51" s="4"/>
    </row>
    <row r="52" spans="1:33" ht="22.5" customHeight="1" x14ac:dyDescent="0.25">
      <c r="A52" s="2"/>
      <c r="B52" s="2"/>
      <c r="C52" s="2"/>
      <c r="D52" s="2"/>
      <c r="E52" s="2"/>
      <c r="F52" s="4"/>
      <c r="G52" s="4"/>
      <c r="H52" s="4" t="s">
        <v>32</v>
      </c>
      <c r="I52" s="4" t="str">
        <f ca="1">IFERROR(__xludf.DUMMYFUNCTION("GOOGLETRANSLATE(B52,""en"",""ar"")"),"ماذا تُظهر هذه الصورة مجموعة كبيرة منه؟")</f>
        <v>ماذا تُظهر هذه الصورة مجموعة كبيرة منه؟</v>
      </c>
      <c r="J52" s="4" t="str">
        <f ca="1">IFERROR(__xludf.DUMMYFUNCTION("GOOGLETRANSLATE(C52,""en"",""ar"")"),"أ) خيول وفرسان، ب) جمال وفرسان، ج) قطيع من الجمال البرية، د) وحدة سلاح فرسان عسكرية")</f>
        <v>أ) خيول وفرسان، ب) جمال وفرسان، ج) قطيع من الجمال البرية، د) وحدة سلاح فرسان عسكرية</v>
      </c>
      <c r="K52" s="4" t="str">
        <f ca="1">IFERROR(__xludf.DUMMYFUNCTION("GOOGLETRANSLATE(D52,""en"",""ar"")"),"ب) الجمال والفرسان")</f>
        <v>ب) الجمال والفرسان</v>
      </c>
      <c r="L52" s="4" t="str">
        <f ca="1">IFERROR(__xludf.DUMMYFUNCTION("GOOGLETRANSLATE(E52,""en"",""ar"")"),"هذا عدد كبير جداً من المتنافسين المشاركين في سباق الهجن.")</f>
        <v>هذا عدد كبير جداً من المتنافسين المشاركين في سباق الهجن.</v>
      </c>
      <c r="M52" s="4"/>
      <c r="N52" s="4"/>
      <c r="O52" s="4"/>
      <c r="P52" s="4"/>
      <c r="Q52" s="4"/>
      <c r="R52" s="4"/>
      <c r="S52" s="4"/>
      <c r="T52" s="4"/>
      <c r="U52" s="4"/>
      <c r="V52" s="4"/>
      <c r="W52" s="4"/>
      <c r="X52" s="4"/>
      <c r="Y52" s="4"/>
      <c r="Z52" s="4"/>
      <c r="AA52" s="4"/>
      <c r="AB52" s="4"/>
      <c r="AC52" s="4"/>
      <c r="AD52" s="4"/>
      <c r="AE52" s="4"/>
      <c r="AF52" s="4"/>
      <c r="AG52" s="4"/>
    </row>
    <row r="53" spans="1:33" ht="22.5" customHeight="1" x14ac:dyDescent="0.25">
      <c r="A53" s="2"/>
      <c r="B53" s="2"/>
      <c r="C53" s="2"/>
      <c r="D53" s="2"/>
      <c r="E53" s="2"/>
      <c r="F53" s="4"/>
      <c r="G53" s="4"/>
      <c r="H53" s="4" t="s">
        <v>32</v>
      </c>
      <c r="I53" s="4" t="str">
        <f ca="1">IFERROR(__xludf.DUMMYFUNCTION("GOOGLETRANSLATE(B53,""en"",""ar"")"),"من أي زاوية التُقطت الصورة؟")</f>
        <v>من أي زاوية التُقطت الصورة؟</v>
      </c>
      <c r="J53" s="4" t="str">
        <f ca="1">IFERROR(__xludf.DUMMYFUNCTION("GOOGLETRANSLATE(C53,""en"",""ar"")"),"أ) من الأعلى مباشرة، ب) من مكان قريب جدًا من الحدث، ج) من مسافة بعيدة، د) من منظور أحد الفرسان")</f>
        <v>أ) من الأعلى مباشرة، ب) من مكان قريب جدًا من الحدث، ج) من مسافة بعيدة، د) من منظور أحد الفرسان</v>
      </c>
      <c r="K53" s="4" t="str">
        <f ca="1">IFERROR(__xludf.DUMMYFUNCTION("GOOGLETRANSLATE(D53,""en"",""ar"")"),"ج) من مسافة بعيدة")</f>
        <v>ج) من مسافة بعيدة</v>
      </c>
      <c r="L53" s="4" t="str">
        <f ca="1">IFERROR(__xludf.DUMMYFUNCTION("GOOGLETRANSLATE(E53,""en"",""ar"")"),"هذه لقطة واسعة على نمط المناظر الطبيعية، تلتقط النطاق الكامل للسباق من مسافة بعيدة.")</f>
        <v>هذه لقطة واسعة على نمط المناظر الطبيعية، تلتقط النطاق الكامل للسباق من مسافة بعيدة.</v>
      </c>
      <c r="M53" s="4"/>
      <c r="N53" s="4"/>
      <c r="O53" s="4"/>
      <c r="P53" s="4"/>
      <c r="Q53" s="4"/>
      <c r="R53" s="4"/>
      <c r="S53" s="4"/>
      <c r="T53" s="4"/>
      <c r="U53" s="4"/>
      <c r="V53" s="4"/>
      <c r="W53" s="4"/>
      <c r="X53" s="4"/>
      <c r="Y53" s="4"/>
      <c r="Z53" s="4"/>
      <c r="AA53" s="4"/>
      <c r="AB53" s="4"/>
      <c r="AC53" s="4"/>
      <c r="AD53" s="4"/>
      <c r="AE53" s="4"/>
      <c r="AF53" s="4"/>
      <c r="AG53" s="4"/>
    </row>
    <row r="54" spans="1:33" ht="22.5" customHeight="1" x14ac:dyDescent="0.25">
      <c r="A54" s="2"/>
      <c r="B54" s="2"/>
      <c r="C54" s="2"/>
      <c r="D54" s="2"/>
      <c r="E54" s="2"/>
      <c r="F54" s="4"/>
      <c r="G54" s="4"/>
      <c r="H54" s="4" t="s">
        <v>32</v>
      </c>
      <c r="I54" s="4" t="str">
        <f ca="1">IFERROR(__xludf.DUMMYFUNCTION("GOOGLETRANSLATE(B54,""en"",""ar"")"),"ما هي أبرز سمات هذا المشهد الطبيعي؟")</f>
        <v>ما هي أبرز سمات هذا المشهد الطبيعي؟</v>
      </c>
      <c r="J54" s="4" t="str">
        <f ca="1">IFERROR(__xludf.DUMMYFUNCTION("GOOGLETRANSLATE(C54,""en"",""ar"")"),"أ) إنها غابة كثيفة، ب) إنها سهل صحراوي شاسع قاحل، ج) إنها مدينة مكتظة بالسكان، د) إنها مسطح مائي كبير")</f>
        <v>أ) إنها غابة كثيفة، ب) إنها سهل صحراوي شاسع قاحل، ج) إنها مدينة مكتظة بالسكان، د) إنها مسطح مائي كبير</v>
      </c>
      <c r="K54" s="4" t="str">
        <f ca="1">IFERROR(__xludf.DUMMYFUNCTION("GOOGLETRANSLATE(D54,""en"",""ar"")"),"ب) إنها سهل صحراوي شاسع وجاف")</f>
        <v>ب) إنها سهل صحراوي شاسع وجاف</v>
      </c>
      <c r="L54" s="4" t="str">
        <f ca="1">IFERROR(__xludf.DUMMYFUNCTION("GOOGLETRANSLATE(E54,""en"",""ar"")"),"الأرض مسطحة وجافة وقليلة الغطاء النباتي، وهو أمر نموذجي لمثل هذه الأحداث.")</f>
        <v>الأرض مسطحة وجافة وقليلة الغطاء النباتي، وهو أمر نموذجي لمثل هذه الأحداث.</v>
      </c>
      <c r="M54" s="4"/>
      <c r="N54" s="4"/>
      <c r="O54" s="4"/>
      <c r="P54" s="4"/>
      <c r="Q54" s="4"/>
      <c r="R54" s="4"/>
      <c r="S54" s="4"/>
      <c r="T54" s="4"/>
      <c r="U54" s="4"/>
      <c r="V54" s="4"/>
      <c r="W54" s="4"/>
      <c r="X54" s="4"/>
      <c r="Y54" s="4"/>
      <c r="Z54" s="4"/>
      <c r="AA54" s="4"/>
      <c r="AB54" s="4"/>
      <c r="AC54" s="4"/>
      <c r="AD54" s="4"/>
      <c r="AE54" s="4"/>
      <c r="AF54" s="4"/>
      <c r="AG54" s="4"/>
    </row>
    <row r="55" spans="1:33" ht="22.5" customHeight="1" x14ac:dyDescent="0.25">
      <c r="A55" s="2"/>
      <c r="B55" s="2"/>
      <c r="C55" s="2"/>
      <c r="D55" s="2"/>
      <c r="E55" s="2"/>
      <c r="F55" s="4"/>
      <c r="G55" s="4"/>
      <c r="H55" s="4" t="s">
        <v>32</v>
      </c>
      <c r="I55" s="4" t="str">
        <f ca="1">IFERROR(__xludf.DUMMYFUNCTION("GOOGLETRANSLATE(B55,""en"",""ar"")"),"ما الذي تثيره الجمال أثناء ركضها؟")</f>
        <v>ما الذي تثيره الجمال أثناء ركضها؟</v>
      </c>
      <c r="J55" s="4" t="str">
        <f ca="1">IFERROR(__xludf.DUMMYFUNCTION("GOOGLETRANSLATE(C55,""en"",""ar"")"),"أ) الماء، ب) الثلج، ج) سحابة غبار كبيرة، د) لا شيء")</f>
        <v>أ) الماء، ب) الثلج، ج) سحابة غبار كبيرة، د) لا شيء</v>
      </c>
      <c r="K55" s="4" t="str">
        <f ca="1">IFERROR(__xludf.DUMMYFUNCTION("GOOGLETRANSLATE(D55,""en"",""ar"")"),"ج) سحابة كبيرة من الغبار")</f>
        <v>ج) سحابة كبيرة من الغبار</v>
      </c>
      <c r="L55" s="4" t="str">
        <f ca="1">IFERROR(__xludf.DUMMYFUNCTION("GOOGLETRANSLATE(E55,""en"",""ar"")"),"إن حركة هذا العدد الكبير من الحيوانات عبر الأرض الجافة تخلق أثراً مرئياً من الغبار خلفها.")</f>
        <v>إن حركة هذا العدد الكبير من الحيوانات عبر الأرض الجافة تخلق أثراً مرئياً من الغبار خلفها.</v>
      </c>
      <c r="M55" s="4"/>
      <c r="N55" s="4"/>
      <c r="O55" s="4"/>
      <c r="P55" s="4"/>
      <c r="Q55" s="4"/>
      <c r="R55" s="4"/>
      <c r="S55" s="4"/>
      <c r="T55" s="4"/>
      <c r="U55" s="4"/>
      <c r="V55" s="4"/>
      <c r="W55" s="4"/>
      <c r="X55" s="4"/>
      <c r="Y55" s="4"/>
      <c r="Z55" s="4"/>
      <c r="AA55" s="4"/>
      <c r="AB55" s="4"/>
      <c r="AC55" s="4"/>
      <c r="AD55" s="4"/>
      <c r="AE55" s="4"/>
      <c r="AF55" s="4"/>
      <c r="AG55" s="4"/>
    </row>
    <row r="56" spans="1:33" ht="22.5" customHeight="1" x14ac:dyDescent="0.25">
      <c r="A56" s="2"/>
      <c r="B56" s="2"/>
      <c r="C56" s="2"/>
      <c r="D56" s="2"/>
      <c r="E56" s="2"/>
      <c r="F56" s="4"/>
      <c r="G56" s="4"/>
      <c r="H56" s="4" t="s">
        <v>32</v>
      </c>
      <c r="I56" s="4" t="str">
        <f ca="1">IFERROR(__xludf.DUMMYFUNCTION("GOOGLETRANSLATE(B56,""en"",""ar"")"),"الطريقة التي ينتشر بها الفرسان عبر الأفق توحي بـ...")</f>
        <v>الطريقة التي ينتشر بها الفرسان عبر الأفق توحي بـ...</v>
      </c>
      <c r="J56" s="4" t="str">
        <f ca="1">IFERROR(__xludf.DUMMYFUNCTION("GOOGLETRANSLATE(C56,""en"",""ar"")"),"أ) السباق عبارة عن موكب أحادي الصف، ب) لا يوجد مسار واضح، ويختار المتسابقون طريقهم بأنفسهم، ج) السباق قد بدأ للتو، د) السباق قد انتهى بالفعل")</f>
        <v>أ) السباق عبارة عن موكب أحادي الصف، ب) لا يوجد مسار واضح، ويختار المتسابقون طريقهم بأنفسهم، ج) السباق قد بدأ للتو، د) السباق قد انتهى بالفعل</v>
      </c>
      <c r="K56" s="4" t="str">
        <f ca="1">IFERROR(__xludf.DUMMYFUNCTION("GOOGLETRANSLATE(D56,""en"",""ar"")"),"ب) لا يوجد مسار واضح، ويختار الدراجون طريقهم الخاص")</f>
        <v>ب) لا يوجد مسار واضح، ويختار الدراجون طريقهم الخاص</v>
      </c>
      <c r="L56" s="4" t="str">
        <f ca="1">IFERROR(__xludf.DUMMYFUNCTION("GOOGLETRANSLATE(E56,""en"",""ar"")"),"في بعض سباقات الصحراء التقليدية طويلة المدى، لا يوجد مسار حديث ذو حواجز، وينتشر المتسابقون على مساحة واسعة.")</f>
        <v>في بعض سباقات الصحراء التقليدية طويلة المدى، لا يوجد مسار حديث ذو حواجز، وينتشر المتسابقون على مساحة واسعة.</v>
      </c>
      <c r="M56" s="4"/>
      <c r="N56" s="4"/>
      <c r="O56" s="4"/>
      <c r="P56" s="4"/>
      <c r="Q56" s="4"/>
      <c r="R56" s="4"/>
      <c r="S56" s="4"/>
      <c r="T56" s="4"/>
      <c r="U56" s="4"/>
      <c r="V56" s="4"/>
      <c r="W56" s="4"/>
      <c r="X56" s="4"/>
      <c r="Y56" s="4"/>
      <c r="Z56" s="4"/>
      <c r="AA56" s="4"/>
      <c r="AB56" s="4"/>
      <c r="AC56" s="4"/>
      <c r="AD56" s="4"/>
      <c r="AE56" s="4"/>
      <c r="AF56" s="4"/>
      <c r="AG56" s="4"/>
    </row>
    <row r="57" spans="1:33" ht="22.5" customHeight="1" x14ac:dyDescent="0.25">
      <c r="A57" s="2"/>
      <c r="B57" s="2"/>
      <c r="C57" s="2"/>
      <c r="D57" s="2"/>
      <c r="E57" s="2"/>
      <c r="F57" s="4"/>
      <c r="G57" s="4"/>
      <c r="H57" s="4" t="s">
        <v>32</v>
      </c>
      <c r="I57" s="4" t="str">
        <f ca="1">IFERROR(__xludf.DUMMYFUNCTION("GOOGLETRANSLATE(B57,""en"",""ar"")"),"ما الذي يحمله العديد من الدراجين في الهواء؟")</f>
        <v>ما الذي يحمله العديد من الدراجين في الهواء؟</v>
      </c>
      <c r="J57" s="4" t="str">
        <f ca="1">IFERROR(__xludf.DUMMYFUNCTION("GOOGLETRANSLATE(C57,""en"",""ar"")"),"أ) الأعلام، ب) الهواتف المحمولة، ج) عصي ​​الركوب، د) المشاعل")</f>
        <v>أ) الأعلام، ب) الهواتف المحمولة، ج) عصي ​​الركوب، د) المشاعل</v>
      </c>
      <c r="K57" s="4" t="str">
        <f ca="1">IFERROR(__xludf.DUMMYFUNCTION("GOOGLETRANSLATE(D57,""en"",""ar"")"),"ج) سياط الركوب أو العصي")</f>
        <v>ج) سياط الركوب أو العصي</v>
      </c>
      <c r="L57" s="4" t="str">
        <f ca="1">IFERROR(__xludf.DUMMYFUNCTION("GOOGLETRANSLATE(E57,""en"",""ar"")"),"يمكن رؤية العديد من الفرسان وهم يرفعون عصيهم عالياً وهم يحثون جمالهم على المضي قدماً.")</f>
        <v>يمكن رؤية العديد من الفرسان وهم يرفعون عصيهم عالياً وهم يحثون جمالهم على المضي قدماً.</v>
      </c>
      <c r="M57" s="4"/>
      <c r="N57" s="4"/>
      <c r="O57" s="4"/>
      <c r="P57" s="4"/>
      <c r="Q57" s="4"/>
      <c r="R57" s="4"/>
      <c r="S57" s="4"/>
      <c r="T57" s="4"/>
      <c r="U57" s="4"/>
      <c r="V57" s="4"/>
      <c r="W57" s="4"/>
      <c r="X57" s="4"/>
      <c r="Y57" s="4"/>
      <c r="Z57" s="4"/>
      <c r="AA57" s="4"/>
      <c r="AB57" s="4"/>
      <c r="AC57" s="4"/>
      <c r="AD57" s="4"/>
      <c r="AE57" s="4"/>
      <c r="AF57" s="4"/>
      <c r="AG57" s="4"/>
    </row>
    <row r="58" spans="1:33" ht="22.5" customHeight="1" x14ac:dyDescent="0.25">
      <c r="A58" s="2"/>
      <c r="B58" s="2"/>
      <c r="C58" s="2"/>
      <c r="D58" s="2"/>
      <c r="E58" s="2"/>
      <c r="F58" s="4"/>
      <c r="G58" s="4"/>
      <c r="H58" s="4" t="s">
        <v>32</v>
      </c>
      <c r="I58" s="4" t="str">
        <f ca="1">IFERROR(__xludf.DUMMYFUNCTION("GOOGLETRANSLATE(B58,""en"",""ar"")"),"تؤكد هذه الصورة على...")</f>
        <v>تؤكد هذه الصورة على...</v>
      </c>
      <c r="J58" s="4" t="str">
        <f ca="1">IFERROR(__xludf.DUMMYFUNCTION("GOOGLETRANSLATE(C58,""en"",""ar"")"),"أ) سرعة جمل واحد، ب) الطبيعة الحميمة والبسيطة لهذه الرياضة، ج) الحجم الملحمي للسباق، د) التكنولوجيا الحديثة المستخدمة في السباقات")</f>
        <v>أ) سرعة جمل واحد، ب) الطبيعة الحميمة والبسيطة لهذه الرياضة، ج) الحجم الملحمي للسباق، د) التكنولوجيا الحديثة المستخدمة في السباقات</v>
      </c>
      <c r="K58" s="4" t="str">
        <f ca="1">IFERROR(__xludf.DUMMYFUNCTION("GOOGLETRANSLATE(D58,""en"",""ar"")"),"ج) الحجم الملحمي للسباق")</f>
        <v>ج) الحجم الملحمي للسباق</v>
      </c>
      <c r="L58" s="4" t="str">
        <f ca="1">IFERROR(__xludf.DUMMYFUNCTION("GOOGLETRANSLATE(E58,""en"",""ar"")"),"تُظهر اللقطة الواسعة التي تضم عشرات المتنافسين الحجم الهائل والمثير للإعجاب لهذا الحدث.")</f>
        <v>تُظهر اللقطة الواسعة التي تضم عشرات المتنافسين الحجم الهائل والمثير للإعجاب لهذا الحدث.</v>
      </c>
      <c r="M58" s="4"/>
      <c r="N58" s="4"/>
      <c r="O58" s="4"/>
      <c r="P58" s="4"/>
      <c r="Q58" s="4"/>
      <c r="R58" s="4"/>
      <c r="S58" s="4"/>
      <c r="T58" s="4"/>
      <c r="U58" s="4"/>
      <c r="V58" s="4"/>
      <c r="W58" s="4"/>
      <c r="X58" s="4"/>
      <c r="Y58" s="4"/>
      <c r="Z58" s="4"/>
      <c r="AA58" s="4"/>
      <c r="AB58" s="4"/>
      <c r="AC58" s="4"/>
      <c r="AD58" s="4"/>
      <c r="AE58" s="4"/>
      <c r="AF58" s="4"/>
      <c r="AG58" s="4"/>
    </row>
    <row r="59" spans="1:33" ht="22.5" customHeight="1" x14ac:dyDescent="0.25">
      <c r="A59" s="2"/>
      <c r="B59" s="2"/>
      <c r="C59" s="2"/>
      <c r="D59" s="2"/>
      <c r="E59" s="2"/>
      <c r="F59" s="4"/>
      <c r="G59" s="4"/>
      <c r="H59" s="4" t="s">
        <v>32</v>
      </c>
      <c r="I59" s="4" t="str">
        <f ca="1">IFERROR(__xludf.DUMMYFUNCTION("GOOGLETRANSLATE(B59,""en"",""ar"")"),"تشير الإضاءة إلى أن السباق جارٍ...")</f>
        <v>تشير الإضاءة إلى أن السباق جارٍ...</v>
      </c>
      <c r="J59" s="4" t="str">
        <f ca="1">IFERROR(__xludf.DUMMYFUNCTION("GOOGLETRANSLATE(C59,""en"",""ar"")"),"أ) في الليل، ب) خلال ساعات النهار الأكثر برودة (الصباح أو المساء)، ج) في منتصف النهار تحت أشعة الشمس الحارقة، د) أثناء عاصفة مطرية")</f>
        <v>أ) في الليل، ب) خلال ساعات النهار الأكثر برودة (الصباح أو المساء)، ج) في منتصف النهار تحت أشعة الشمس الحارقة، د) أثناء عاصفة مطرية</v>
      </c>
      <c r="K59" s="4" t="str">
        <f ca="1">IFERROR(__xludf.DUMMYFUNCTION("GOOGLETRANSLATE(D59,""en"",""ar"")"),"ب) خلال الساعات الأكثر برودة من اليوم (الصباح أو المساء)")</f>
        <v>ب) خلال الساعات الأكثر برودة من اليوم (الصباح أو المساء)</v>
      </c>
      <c r="L59" s="4" t="str">
        <f ca="1">IFERROR(__xludf.DUMMYFUNCTION("GOOGLETRANSLATE(E59,""en"",""ar"")"),"إن الضوء الخافت والضبابي ليس هو الوهج القاسي في منتصف النهار، مما يجعله وقتًا أكثر ملاءمة للسباق في الصحراء.")</f>
        <v>إن الضوء الخافت والضبابي ليس هو الوهج القاسي في منتصف النهار، مما يجعله وقتًا أكثر ملاءمة للسباق في الصحراء.</v>
      </c>
      <c r="M59" s="4"/>
      <c r="N59" s="4"/>
      <c r="O59" s="4"/>
      <c r="P59" s="4"/>
      <c r="Q59" s="4"/>
      <c r="R59" s="4"/>
      <c r="S59" s="4"/>
      <c r="T59" s="4"/>
      <c r="U59" s="4"/>
      <c r="V59" s="4"/>
      <c r="W59" s="4"/>
      <c r="X59" s="4"/>
      <c r="Y59" s="4"/>
      <c r="Z59" s="4"/>
      <c r="AA59" s="4"/>
      <c r="AB59" s="4"/>
      <c r="AC59" s="4"/>
      <c r="AD59" s="4"/>
      <c r="AE59" s="4"/>
      <c r="AF59" s="4"/>
      <c r="AG59" s="4"/>
    </row>
    <row r="60" spans="1:33" ht="22.5" customHeight="1" x14ac:dyDescent="0.25">
      <c r="A60" s="2"/>
      <c r="B60" s="2"/>
      <c r="C60" s="2"/>
      <c r="D60" s="2"/>
      <c r="E60" s="2"/>
      <c r="F60" s="4"/>
      <c r="G60" s="4"/>
      <c r="H60" s="4" t="s">
        <v>32</v>
      </c>
      <c r="I60" s="4" t="str">
        <f ca="1">IFERROR(__xludf.DUMMYFUNCTION("GOOGLETRANSLATE(B60,""en"",""ar"")"),"ماذا يُطلق على مجموعة الجمال؟")</f>
        <v>ماذا يُطلق على مجموعة الجمال؟</v>
      </c>
      <c r="J60" s="4" t="str">
        <f ca="1">IFERROR(__xludf.DUMMYFUNCTION("GOOGLETRANSLATE(C60,""en"",""ar"")"),"أ) قطيع، ب) سرب، ج) مجموعة، د) قافلة أو قطار")</f>
        <v>أ) قطيع، ب) سرب، ج) مجموعة، د) قافلة أو قطار</v>
      </c>
      <c r="K60" s="4" t="str">
        <f ca="1">IFERROR(__xludf.DUMMYFUNCTION("GOOGLETRANSLATE(D60,""en"",""ar"")"),"د) قافلة أو قطار")</f>
        <v>د) قافلة أو قطار</v>
      </c>
      <c r="L60" s="4" t="str">
        <f ca="1">IFERROR(__xludf.DUMMYFUNCTION("GOOGLETRANSLATE(E60,""en"",""ar"")"),"بينما يُستخدم مصطلح ""قطيع"" أيضاً، فإن مجموعة من الجمال، وخاصة عندما تتحرك معاً، تُسمى تقليدياً قافلة أو قطاراً.")</f>
        <v>بينما يُستخدم مصطلح "قطيع" أيضاً، فإن مجموعة من الجمال، وخاصة عندما تتحرك معاً، تُسمى تقليدياً قافلة أو قطاراً.</v>
      </c>
      <c r="M60" s="4"/>
      <c r="N60" s="4"/>
      <c r="O60" s="4"/>
      <c r="P60" s="4"/>
      <c r="Q60" s="4"/>
      <c r="R60" s="4"/>
      <c r="S60" s="4"/>
      <c r="T60" s="4"/>
      <c r="U60" s="4"/>
      <c r="V60" s="4"/>
      <c r="W60" s="4"/>
      <c r="X60" s="4"/>
      <c r="Y60" s="4"/>
      <c r="Z60" s="4"/>
      <c r="AA60" s="4"/>
      <c r="AB60" s="4"/>
      <c r="AC60" s="4"/>
      <c r="AD60" s="4"/>
      <c r="AE60" s="4"/>
      <c r="AF60" s="4"/>
      <c r="AG60" s="4"/>
    </row>
    <row r="61" spans="1:33" ht="22.5" customHeight="1" x14ac:dyDescent="0.25">
      <c r="A61" s="2"/>
      <c r="B61" s="2"/>
      <c r="C61" s="2"/>
      <c r="D61" s="2"/>
      <c r="E61" s="2"/>
      <c r="F61" s="4"/>
      <c r="G61" s="4"/>
      <c r="H61" s="4" t="s">
        <v>32</v>
      </c>
      <c r="I61" s="4" t="str">
        <f ca="1">IFERROR(__xludf.DUMMYFUNCTION("GOOGLETRANSLATE(B61,""en"",""ar"")"),"من المحتمل أن تكون آثار الإطارات في المقدمة قد صنعتها...")</f>
        <v>من المحتمل أن تكون آثار الإطارات في المقدمة قد صنعتها...</v>
      </c>
      <c r="J61" s="4" t="str">
        <f ca="1">IFERROR(__xludf.DUMMYFUNCTION("GOOGLETRANSLATE(C61,""en"",""ar"")"),"أ) الجمال، ب) مركبات الدعم للسباق، ج) العربات القديمة، د) الدراجات الهوائية")</f>
        <v>أ) الجمال، ب) مركبات الدعم للسباق، ج) العربات القديمة، د) الدراجات الهوائية</v>
      </c>
      <c r="K61" s="4" t="str">
        <f ca="1">IFERROR(__xludf.DUMMYFUNCTION("GOOGLETRANSLATE(D61,""en"",""ar"")"),"ب) مركبات الدعم للسباق")</f>
        <v>ب) مركبات الدعم للسباق</v>
      </c>
      <c r="L61" s="4" t="str">
        <f ca="1">IFERROR(__xludf.DUMMYFUNCTION("GOOGLETRANSLATE(E61,""en"",""ar"")"),"في العديد من سباقات الصحراء الحديثة، يتبع المدربون والمسؤولون المتسابقين في سيارات الدفع الرباعي.")</f>
        <v>في العديد من سباقات الصحراء الحديثة، يتبع المدربون والمسؤولون المتسابقين في سيارات الدفع الرباعي.</v>
      </c>
      <c r="M61" s="4"/>
      <c r="N61" s="4"/>
      <c r="O61" s="4"/>
      <c r="P61" s="4"/>
      <c r="Q61" s="4"/>
      <c r="R61" s="4"/>
      <c r="S61" s="4"/>
      <c r="T61" s="4"/>
      <c r="U61" s="4"/>
      <c r="V61" s="4"/>
      <c r="W61" s="4"/>
      <c r="X61" s="4"/>
      <c r="Y61" s="4"/>
      <c r="Z61" s="4"/>
      <c r="AA61" s="4"/>
      <c r="AB61" s="4"/>
      <c r="AC61" s="4"/>
      <c r="AD61" s="4"/>
      <c r="AE61" s="4"/>
      <c r="AF61" s="4"/>
      <c r="AG61" s="4"/>
    </row>
    <row r="62" spans="1:33" ht="22.5" customHeight="1" x14ac:dyDescent="0.25">
      <c r="A62" s="2"/>
      <c r="B62" s="2"/>
      <c r="C62" s="2"/>
      <c r="D62" s="2"/>
      <c r="E62" s="2"/>
      <c r="F62" s="4"/>
      <c r="G62" s="4"/>
      <c r="H62" s="4" t="s">
        <v>33</v>
      </c>
      <c r="I62" s="4" t="str">
        <f ca="1">IFERROR(__xludf.DUMMYFUNCTION("GOOGLETRANSLATE(B62,""en"",""ar"")"),"ما نوع المكان الذي سيقام فيه هذا السباق؟")</f>
        <v>ما نوع المكان الذي سيقام فيه هذا السباق؟</v>
      </c>
      <c r="J62" s="4" t="str">
        <f ca="1">IFERROR(__xludf.DUMMYFUNCTION("GOOGLETRANSLATE(C62,""en"",""ar"")"),"أ) صحراء مفتوحة غير مُعلّمة، ب) مضمار سباق حديث مُصمّم خصيصاً لهذا الغرض، ج) طريق سريع عام، د) مسار غابي")</f>
        <v>أ) صحراء مفتوحة غير مُعلّمة، ب) مضمار سباق حديث مُصمّم خصيصاً لهذا الغرض، ج) طريق سريع عام، د) مسار غابي</v>
      </c>
      <c r="K62" s="4" t="str">
        <f ca="1">IFERROR(__xludf.DUMMYFUNCTION("GOOGLETRANSLATE(D62,""en"",""ar"")"),"ب) مضمار سباق حديث مصمم خصيصاً لهذا الغرض")</f>
        <v>ب) مضمار سباق حديث مصمم خصيصاً لهذا الغرض</v>
      </c>
      <c r="L62" s="4" t="str">
        <f ca="1">IFERROR(__xludf.DUMMYFUNCTION("GOOGLETRANSLATE(E62,""en"",""ar"")"),"تُظهر الصورة بوضوح مسارًا رمليًا مُعتنى به جيدًا مع منطقة خضراء داخلية، وسياج، وعلامات مسافة أو أعمدة إنارة.")</f>
        <v>تُظهر الصورة بوضوح مسارًا رمليًا مُعتنى به جيدًا مع منطقة خضراء داخلية، وسياج، وعلامات مسافة أو أعمدة إنارة.</v>
      </c>
      <c r="M62" s="4"/>
      <c r="N62" s="4"/>
      <c r="O62" s="4"/>
      <c r="P62" s="4"/>
      <c r="Q62" s="4"/>
      <c r="R62" s="4"/>
      <c r="S62" s="4"/>
      <c r="T62" s="4"/>
      <c r="U62" s="4"/>
      <c r="V62" s="4"/>
      <c r="W62" s="4"/>
      <c r="X62" s="4"/>
      <c r="Y62" s="4"/>
      <c r="Z62" s="4"/>
      <c r="AA62" s="4"/>
      <c r="AB62" s="4"/>
      <c r="AC62" s="4"/>
      <c r="AD62" s="4"/>
      <c r="AE62" s="4"/>
      <c r="AF62" s="4"/>
      <c r="AG62" s="4"/>
    </row>
    <row r="63" spans="1:33" ht="22.5" customHeight="1" x14ac:dyDescent="0.25">
      <c r="A63" s="2"/>
      <c r="B63" s="2"/>
      <c r="C63" s="2"/>
      <c r="D63" s="2"/>
      <c r="E63" s="2"/>
      <c r="F63" s="4"/>
      <c r="G63" s="4"/>
      <c r="H63" s="4" t="s">
        <v>33</v>
      </c>
      <c r="I63" s="4" t="str">
        <f ca="1">IFERROR(__xludf.DUMMYFUNCTION("GOOGLETRANSLATE(B63,""en"",""ar"")"),"ما الذي يُركّب على ظهر كل جمل؟")</f>
        <v>ما الذي يُركّب على ظهر كل جمل؟</v>
      </c>
      <c r="J63" s="4" t="str">
        <f ca="1">IFERROR(__xludf.DUMMYFUNCTION("GOOGLETRANSLATE(C63,""en"",""ar"")"),"أ) فارس طفل بشري، ب) فارس آلي صغير يتم التحكم فيه عن بعد، ج) سلة لحمل البضائع، د) علم كبير")</f>
        <v>أ) فارس طفل بشري، ب) فارس آلي صغير يتم التحكم فيه عن بعد، ج) سلة لحمل البضائع، د) علم كبير</v>
      </c>
      <c r="K63" s="4" t="str">
        <f ca="1">IFERROR(__xludf.DUMMYFUNCTION("GOOGLETRANSLATE(D63,""en"",""ar"")"),"ب) فارس آلي صغير يتم التحكم فيه عن بعد")</f>
        <v>ب) فارس آلي صغير يتم التحكم فيه عن بعد</v>
      </c>
      <c r="L63" s="4" t="str">
        <f ca="1">IFERROR(__xludf.DUMMYFUNCTION("GOOGLETRANSLATE(E63,""en"",""ar"")"),"الأجهزة الصغيرة ذات الشكل الصندوقي والأذرع الشبيهة بالسياط هي روبوتات فرسان حديثة.")</f>
        <v>الأجهزة الصغيرة ذات الشكل الصندوقي والأذرع الشبيهة بالسياط هي روبوتات فرسان حديثة.</v>
      </c>
      <c r="M63" s="4"/>
      <c r="N63" s="4"/>
      <c r="O63" s="4"/>
      <c r="P63" s="4"/>
      <c r="Q63" s="4"/>
      <c r="R63" s="4"/>
      <c r="S63" s="4"/>
      <c r="T63" s="4"/>
      <c r="U63" s="4"/>
      <c r="V63" s="4"/>
      <c r="W63" s="4"/>
      <c r="X63" s="4"/>
      <c r="Y63" s="4"/>
      <c r="Z63" s="4"/>
      <c r="AA63" s="4"/>
      <c r="AB63" s="4"/>
      <c r="AC63" s="4"/>
      <c r="AD63" s="4"/>
      <c r="AE63" s="4"/>
      <c r="AF63" s="4"/>
      <c r="AG63" s="4"/>
    </row>
    <row r="64" spans="1:33" ht="22.5" customHeight="1" x14ac:dyDescent="0.25">
      <c r="A64" s="2"/>
      <c r="B64" s="2"/>
      <c r="C64" s="2"/>
      <c r="D64" s="2"/>
      <c r="E64" s="2"/>
      <c r="F64" s="4"/>
      <c r="G64" s="4"/>
      <c r="H64" s="4" t="s">
        <v>33</v>
      </c>
      <c r="I64" s="4" t="str">
        <f ca="1">IFERROR(__xludf.DUMMYFUNCTION("GOOGLETRANSLATE(B64,""en"",""ar"")"),"لماذا لا يوجد فرسان بشريون على هذه الجمال؟")</f>
        <v>لماذا لا يوجد فرسان بشريون على هذه الجمال؟</v>
      </c>
      <c r="J64" s="4" t="str">
        <f ca="1">IFERROR(__xludf.DUMMYFUNCTION("GOOGLETRANSLATE(C64,""en"",""ar"")"),"أ) الجمال أسرع من البشر، ب) هذا سباق تدريبي للجمال فقط، ج) الفرسان الآليون أخف وزنًا، واستخدامهم يتجنب الممارسة المحظورة المتمثلة في استخدام فرسان أطفال، د) السباق مخصص للروبوتات التي يتم التحكم فيها عن بُعد، وليس للجمال.")</f>
        <v>أ) الجمال أسرع من البشر، ب) هذا سباق تدريبي للجمال فقط، ج) الفرسان الآليون أخف وزنًا، واستخدامهم يتجنب الممارسة المحظورة المتمثلة في استخدام فرسان أطفال، د) السباق مخصص للروبوتات التي يتم التحكم فيها عن بُعد، وليس للجمال.</v>
      </c>
      <c r="K64" s="4" t="str">
        <f ca="1">IFERROR(__xludf.DUMMYFUNCTION("GOOGLETRANSLATE(D64,""en"",""ar"")"),"ج) إن فرسان الروبوت أخف وزناً، واستخدامهم يتجنب الممارسة المحظورة المتمثلة في استخدام فرسان الأطفال.")</f>
        <v>ج) إن فرسان الروبوت أخف وزناً، واستخدامهم يتجنب الممارسة المحظورة المتمثلة في استخدام فرسان الأطفال.</v>
      </c>
      <c r="L64" s="4" t="str">
        <f ca="1">IFERROR(__xludf.DUMMYFUNCTION("GOOGLETRANSLATE(E64,""en"",""ar"")"),"لقد اعتمدت الرياضة الاحترافية هذه التقنية لأسباب تتعلق بالأداء (وزن أقل) ولأسباب أخلاقية.")</f>
        <v>لقد اعتمدت الرياضة الاحترافية هذه التقنية لأسباب تتعلق بالأداء (وزن أقل) ولأسباب أخلاقية.</v>
      </c>
      <c r="M64" s="4"/>
      <c r="N64" s="4"/>
      <c r="O64" s="4"/>
      <c r="P64" s="4"/>
      <c r="Q64" s="4"/>
      <c r="R64" s="4"/>
      <c r="S64" s="4"/>
      <c r="T64" s="4"/>
      <c r="U64" s="4"/>
      <c r="V64" s="4"/>
      <c r="W64" s="4"/>
      <c r="X64" s="4"/>
      <c r="Y64" s="4"/>
      <c r="Z64" s="4"/>
      <c r="AA64" s="4"/>
      <c r="AB64" s="4"/>
      <c r="AC64" s="4"/>
      <c r="AD64" s="4"/>
      <c r="AE64" s="4"/>
      <c r="AF64" s="4"/>
      <c r="AG64" s="4"/>
    </row>
    <row r="65" spans="1:33" ht="22.5" customHeight="1" x14ac:dyDescent="0.25">
      <c r="A65" s="2"/>
      <c r="B65" s="2"/>
      <c r="C65" s="2"/>
      <c r="D65" s="2"/>
      <c r="E65" s="2"/>
      <c r="F65" s="4"/>
      <c r="G65" s="4"/>
      <c r="H65" s="4" t="s">
        <v>33</v>
      </c>
      <c r="I65" s="4" t="str">
        <f ca="1">IFERROR(__xludf.DUMMYFUNCTION("GOOGLETRANSLATE(B65,""en"",""ar"")"),"ما وظيفة الأشياء ذات الألوان الزاهية (الوردي والأخضر) الموجودة على الجمال؟")</f>
        <v>ما وظيفة الأشياء ذات الألوان الزاهية (الوردي والأخضر) الموجودة على الجمال؟</v>
      </c>
      <c r="J65" s="4" t="str">
        <f ca="1">IFERROR(__xludf.DUMMYFUNCTION("GOOGLETRANSLATE(C65,""en"",""ar"")"),"أ) إنها سترات نجاة، ب) إنها أزياء زينة لموكب استعراضي، ج) إنها سروج سباق و""أقمشة"" تمثل المالك، د) إنها أوزان لموازنة سرعة الجمال")</f>
        <v>أ) إنها سترات نجاة، ب) إنها أزياء زينة لموكب استعراضي، ج) إنها سروج سباق و"أقمشة" تمثل المالك، د) إنها أوزان لموازنة سرعة الجمال</v>
      </c>
      <c r="K65" s="4" t="str">
        <f ca="1">IFERROR(__xludf.DUMMYFUNCTION("GOOGLETRANSLATE(D65,""en"",""ar"")"),"ج) إنها سروج السباق و""الأقمشة"" التي تمثل المالك")</f>
        <v>ج) إنها سروج السباق و"الأقمشة" التي تمثل المالك</v>
      </c>
      <c r="L65" s="4" t="str">
        <f ca="1">IFERROR(__xludf.DUMMYFUNCTION("GOOGLETRANSLATE(E65,""en"",""ar"")"),"تُستخدم الألوان لتحديد مالك أو إسطبل كل جمل، على غرار سباقات الخيل.")</f>
        <v>تُستخدم الألوان لتحديد مالك أو إسطبل كل جمل، على غرار سباقات الخيل.</v>
      </c>
      <c r="M65" s="4"/>
      <c r="N65" s="4"/>
      <c r="O65" s="4"/>
      <c r="P65" s="4"/>
      <c r="Q65" s="4"/>
      <c r="R65" s="4"/>
      <c r="S65" s="4"/>
      <c r="T65" s="4"/>
      <c r="U65" s="4"/>
      <c r="V65" s="4"/>
      <c r="W65" s="4"/>
      <c r="X65" s="4"/>
      <c r="Y65" s="4"/>
      <c r="Z65" s="4"/>
      <c r="AA65" s="4"/>
      <c r="AB65" s="4"/>
      <c r="AC65" s="4"/>
      <c r="AD65" s="4"/>
      <c r="AE65" s="4"/>
      <c r="AF65" s="4"/>
      <c r="AG65" s="4"/>
    </row>
    <row r="66" spans="1:33" ht="22.5" customHeight="1" x14ac:dyDescent="0.25">
      <c r="A66" s="2"/>
      <c r="B66" s="2"/>
      <c r="C66" s="2"/>
      <c r="D66" s="2"/>
      <c r="E66" s="2"/>
      <c r="F66" s="4"/>
      <c r="G66" s="4"/>
      <c r="H66" s="4" t="s">
        <v>33</v>
      </c>
      <c r="I66" s="4" t="str">
        <f ca="1">IFERROR(__xludf.DUMMYFUNCTION("GOOGLETRANSLATE(B66,""en"",""ar"")"),"تتميز مشية الجمل أثناء الجري بـ...")</f>
        <v>تتميز مشية الجمل أثناء الجري بـ...</v>
      </c>
      <c r="J66" s="4" t="str">
        <f ca="1">IFERROR(__xludf.DUMMYFUNCTION("GOOGLETRANSLATE(C66,""en"",""ar"")"),"أ) تحرك الساقين اليسرى للأمام في نفس الوقت، ثم الساقين اليمنى، ب) حركة قطرية للساقين، مثل هرولة الحصان، ج) خطوات صغيرة متقطعة، د) ملامسة الأقدام الأربعة للأرض في وقت واحد")</f>
        <v>أ) تحرك الساقين اليسرى للأمام في نفس الوقت، ثم الساقين اليمنى، ب) حركة قطرية للساقين، مثل هرولة الحصان، ج) خطوات صغيرة متقطعة، د) ملامسة الأقدام الأربعة للأرض في وقت واحد</v>
      </c>
      <c r="K66" s="4" t="str">
        <f ca="1">IFERROR(__xludf.DUMMYFUNCTION("GOOGLETRANSLATE(D66,""en"",""ar"")"),"أ) تحريك كلتا الساقين اليسرى للأمام في نفس الوقت، ثم تحريك كلتا الساقين اليمنى")</f>
        <v>أ) تحريك كلتا الساقين اليسرى للأمام في نفس الوقت، ثم تحريك كلتا الساقين اليمنى</v>
      </c>
      <c r="L66" s="4" t="str">
        <f ca="1">IFERROR(__xludf.DUMMYFUNCTION("GOOGLETRANSLATE(E66,""en"",""ar"")"),"تجري الجمال بخطى ""متناسقة""، حيث تتحرك كلتا الساقين على نفس الجانب معًا، مما يمنحها حركتها المتأرجحة المميزة.")</f>
        <v>تجري الجمال بخطى "متناسقة"، حيث تتحرك كلتا الساقين على نفس الجانب معًا، مما يمنحها حركتها المتأرجحة المميزة.</v>
      </c>
      <c r="M66" s="4"/>
      <c r="N66" s="4"/>
      <c r="O66" s="4"/>
      <c r="P66" s="4"/>
      <c r="Q66" s="4"/>
      <c r="R66" s="4"/>
      <c r="S66" s="4"/>
      <c r="T66" s="4"/>
      <c r="U66" s="4"/>
      <c r="V66" s="4"/>
      <c r="W66" s="4"/>
      <c r="X66" s="4"/>
      <c r="Y66" s="4"/>
      <c r="Z66" s="4"/>
      <c r="AA66" s="4"/>
      <c r="AB66" s="4"/>
      <c r="AC66" s="4"/>
      <c r="AD66" s="4"/>
      <c r="AE66" s="4"/>
      <c r="AF66" s="4"/>
      <c r="AG66" s="4"/>
    </row>
    <row r="67" spans="1:33" ht="22.5" customHeight="1" x14ac:dyDescent="0.25">
      <c r="A67" s="2"/>
      <c r="B67" s="2"/>
      <c r="C67" s="2"/>
      <c r="D67" s="2"/>
      <c r="E67" s="2"/>
      <c r="F67" s="4"/>
      <c r="G67" s="4"/>
      <c r="H67" s="4" t="s">
        <v>33</v>
      </c>
      <c r="I67" s="4" t="str">
        <f ca="1">IFERROR(__xludf.DUMMYFUNCTION("GOOGLETRANSLATE(B67,""en"",""ar"")"),"ما هي تلك الأعمدة الطويلة التي تصطف على جانبي المسار؟")</f>
        <v>ما هي تلك الأعمدة الطويلة التي تصطف على جانبي المسار؟</v>
      </c>
      <c r="J67" s="4" t="str">
        <f ca="1">IFERROR(__xludf.DUMMYFUNCTION("GOOGLETRANSLATE(C67,""en"",""ar"")"),"أ) الأشجار، ب) أبراج الهواتف المحمولة، ج) أضواء سباقات السيارات الليلية، د) أعمدة الأعلام")</f>
        <v>أ) الأشجار، ب) أبراج الهواتف المحمولة، ج) أضواء سباقات السيارات الليلية، د) أعمدة الأعلام</v>
      </c>
      <c r="K67" s="4" t="str">
        <f ca="1">IFERROR(__xludf.DUMMYFUNCTION("GOOGLETRANSLATE(D67,""en"",""ar"")"),"ج) أضواء لسباقات الليل")</f>
        <v>ج) أضواء لسباقات الليل</v>
      </c>
      <c r="L67" s="4" t="str">
        <f ca="1">IFERROR(__xludf.DUMMYFUNCTION("GOOGLETRANSLATE(E67,""en"",""ar"")"),"الأعمدة الطويلة المتباعدة بانتظام والمزودة بوحدات إضاءة في الأعلى مخصصة لإضاءة المسار بعد حلول الظلام.")</f>
        <v>الأعمدة الطويلة المتباعدة بانتظام والمزودة بوحدات إضاءة في الأعلى مخصصة لإضاءة المسار بعد حلول الظلام.</v>
      </c>
      <c r="M67" s="4"/>
      <c r="N67" s="4"/>
      <c r="O67" s="4"/>
      <c r="P67" s="4"/>
      <c r="Q67" s="4"/>
      <c r="R67" s="4"/>
      <c r="S67" s="4"/>
      <c r="T67" s="4"/>
      <c r="U67" s="4"/>
      <c r="V67" s="4"/>
      <c r="W67" s="4"/>
      <c r="X67" s="4"/>
      <c r="Y67" s="4"/>
      <c r="Z67" s="4"/>
      <c r="AA67" s="4"/>
      <c r="AB67" s="4"/>
      <c r="AC67" s="4"/>
      <c r="AD67" s="4"/>
      <c r="AE67" s="4"/>
      <c r="AF67" s="4"/>
      <c r="AG67" s="4"/>
    </row>
    <row r="68" spans="1:33" ht="22.5" customHeight="1" x14ac:dyDescent="0.25">
      <c r="A68" s="2"/>
      <c r="B68" s="2"/>
      <c r="C68" s="2"/>
      <c r="D68" s="2"/>
      <c r="E68" s="2"/>
      <c r="F68" s="4"/>
      <c r="G68" s="4"/>
      <c r="H68" s="4" t="s">
        <v>33</v>
      </c>
      <c r="I68" s="4" t="str">
        <f ca="1">IFERROR(__xludf.DUMMYFUNCTION("GOOGLETRANSLATE(B68,""en"",""ar"")"),"الجمل الموجود على اليمين فمه مفتوح على مصراعيه، وهذا دليل على...")</f>
        <v>الجمل الموجود على اليمين فمه مفتوح على مصراعيه، وهذا دليل على...</v>
      </c>
      <c r="J68" s="4" t="str">
        <f ca="1">IFERROR(__xludf.DUMMYFUNCTION("GOOGLETRANSLATE(C68,""en"",""ar"")"),"أ) الجوع، ب) التثاؤب بسبب التعب، ج) بذل مجهود بدني مكثف، د) العدوانية تجاه الجمل الآخر")</f>
        <v>أ) الجوع، ب) التثاؤب بسبب التعب، ج) بذل مجهود بدني مكثف، د) العدوانية تجاه الجمل الآخر</v>
      </c>
      <c r="K68" s="4" t="str">
        <f ca="1">IFERROR(__xludf.DUMMYFUNCTION("GOOGLETRANSLATE(D68,""en"",""ar"")"),"ج) بذل جهد بدني مكثف")</f>
        <v>ج) بذل جهد بدني مكثف</v>
      </c>
      <c r="L68" s="4" t="str">
        <f ca="1">IFERROR(__xludf.DUMMYFUNCTION("GOOGLETRANSLATE(E68,""en"",""ar"")"),"على غرار حيوانات السباق الأخرى، يساعد الفم المفتوح على زيادة كمية الهواء الداخلة إلى الجسم أثناء الجري بأقصى سرعة.")</f>
        <v>على غرار حيوانات السباق الأخرى، يساعد الفم المفتوح على زيادة كمية الهواء الداخلة إلى الجسم أثناء الجري بأقصى سرعة.</v>
      </c>
      <c r="M68" s="4"/>
      <c r="N68" s="4"/>
      <c r="O68" s="4"/>
      <c r="P68" s="4"/>
      <c r="Q68" s="4"/>
      <c r="R68" s="4"/>
      <c r="S68" s="4"/>
      <c r="T68" s="4"/>
      <c r="U68" s="4"/>
      <c r="V68" s="4"/>
      <c r="W68" s="4"/>
      <c r="X68" s="4"/>
      <c r="Y68" s="4"/>
      <c r="Z68" s="4"/>
      <c r="AA68" s="4"/>
      <c r="AB68" s="4"/>
      <c r="AC68" s="4"/>
      <c r="AD68" s="4"/>
      <c r="AE68" s="4"/>
      <c r="AF68" s="4"/>
      <c r="AG68" s="4"/>
    </row>
    <row r="69" spans="1:33" ht="22.5" customHeight="1" x14ac:dyDescent="0.25">
      <c r="A69" s="2"/>
      <c r="B69" s="2"/>
      <c r="C69" s="2"/>
      <c r="D69" s="2"/>
      <c r="E69" s="2"/>
      <c r="F69" s="4"/>
      <c r="G69" s="4"/>
      <c r="H69" s="4" t="s">
        <v>33</v>
      </c>
      <c r="I69" s="4" t="str">
        <f ca="1">IFERROR(__xludf.DUMMYFUNCTION("GOOGLETRANSLATE(B69,""en"",""ar"")"),"يُعد سطح المسار الرملي مثالياً للإبل لأن...")</f>
        <v>يُعد سطح المسار الرملي مثالياً للإبل لأن...</v>
      </c>
      <c r="J69" s="4" t="str">
        <f ca="1">IFERROR(__xludf.DUMMYFUNCTION("GOOGLETRANSLATE(C69,""en"",""ar"")"),"أ) يجعلها تركض بشكل أبطأ وأكثر أمانًا، ب) أقدامها العريضة المبطنة متكيفة معها بشكل طبيعي، ج) يسهل تنظيفها، د) لا تتبلل أبدًا")</f>
        <v>أ) يجعلها تركض بشكل أبطأ وأكثر أمانًا، ب) أقدامها العريضة المبطنة متكيفة معها بشكل طبيعي، ج) يسهل تنظيفها، د) لا تتبلل أبدًا</v>
      </c>
      <c r="K69" s="4" t="str">
        <f ca="1">IFERROR(__xludf.DUMMYFUNCTION("GOOGLETRANSLATE(D69,""en"",""ar"")"),"ب) أقدامهم العريضة والمبطنة متكيفة بشكل طبيعي مع ذلك")</f>
        <v>ب) أقدامهم العريضة والمبطنة متكيفة بشكل طبيعي مع ذلك</v>
      </c>
      <c r="L69" s="4" t="str">
        <f ca="1">IFERROR(__xludf.DUMMYFUNCTION("GOOGLETRANSLATE(E69,""en"",""ar"")"),"على عكس الحوافر، فإن أقدام الجمل مصممة لتنتشر وتوفر قوة جر على الرمال.")</f>
        <v>على عكس الحوافر، فإن أقدام الجمل مصممة لتنتشر وتوفر قوة جر على الرمال.</v>
      </c>
      <c r="M69" s="4"/>
      <c r="N69" s="4"/>
      <c r="O69" s="4"/>
      <c r="P69" s="4"/>
      <c r="Q69" s="4"/>
      <c r="R69" s="4"/>
      <c r="S69" s="4"/>
      <c r="T69" s="4"/>
      <c r="U69" s="4"/>
      <c r="V69" s="4"/>
      <c r="W69" s="4"/>
      <c r="X69" s="4"/>
      <c r="Y69" s="4"/>
      <c r="Z69" s="4"/>
      <c r="AA69" s="4"/>
      <c r="AB69" s="4"/>
      <c r="AC69" s="4"/>
      <c r="AD69" s="4"/>
      <c r="AE69" s="4"/>
      <c r="AF69" s="4"/>
      <c r="AG69" s="4"/>
    </row>
    <row r="70" spans="1:33" ht="22.5" customHeight="1" x14ac:dyDescent="0.25">
      <c r="A70" s="2"/>
      <c r="B70" s="2"/>
      <c r="C70" s="2"/>
      <c r="D70" s="2"/>
      <c r="E70" s="2"/>
      <c r="F70" s="4"/>
      <c r="G70" s="4"/>
      <c r="H70" s="4" t="s">
        <v>33</v>
      </c>
      <c r="I70" s="4" t="str">
        <f ca="1">IFERROR(__xludf.DUMMYFUNCTION("GOOGLETRANSLATE(B70,""en"",""ar"")"),"ما الذي يساعد عمق المجال الضحل (الخلفية الضبابية) على إبرازه؟")</f>
        <v>ما الذي يساعد عمق المجال الضحل (الخلفية الضبابية) على إبرازه؟</v>
      </c>
      <c r="J70" s="4" t="str">
        <f ca="1">IFERROR(__xludf.DUMMYFUNCTION("GOOGLETRANSLATE(C70,""en"",""ar"")"),"أ) موقع مضمار السباق، ب) المتفرجون في الحشد، ج) سرعة وحركة الجملين في المقدمة، د) الأحوال الجوية")</f>
        <v>أ) موقع مضمار السباق، ب) المتفرجون في الحشد، ج) سرعة وحركة الجملين في المقدمة، د) الأحوال الجوية</v>
      </c>
      <c r="K70" s="4" t="str">
        <f ca="1">IFERROR(__xludf.DUMMYFUNCTION("GOOGLETRANSLATE(D70,""en"",""ar"")"),"ج) سرعة وحركة الجملين في المقدمة")</f>
        <v>ج) سرعة وحركة الجملين في المقدمة</v>
      </c>
      <c r="L70" s="4" t="str">
        <f ca="1">IFERROR(__xludf.DUMMYFUNCTION("GOOGLETRANSLATE(E70,""en"",""ar"")"),"من خلال تشويش الخلفية، يجعل المصور العناصر الرئيسية تبرز ويخلق إحساسًا أكبر بالحركة.")</f>
        <v>من خلال تشويش الخلفية، يجعل المصور العناصر الرئيسية تبرز ويخلق إحساسًا أكبر بالحركة.</v>
      </c>
      <c r="M70" s="4"/>
      <c r="N70" s="4"/>
      <c r="O70" s="4"/>
      <c r="P70" s="4"/>
      <c r="Q70" s="4"/>
      <c r="R70" s="4"/>
      <c r="S70" s="4"/>
      <c r="T70" s="4"/>
      <c r="U70" s="4"/>
      <c r="V70" s="4"/>
      <c r="W70" s="4"/>
      <c r="X70" s="4"/>
      <c r="Y70" s="4"/>
      <c r="Z70" s="4"/>
      <c r="AA70" s="4"/>
      <c r="AB70" s="4"/>
      <c r="AC70" s="4"/>
      <c r="AD70" s="4"/>
      <c r="AE70" s="4"/>
      <c r="AF70" s="4"/>
      <c r="AG70" s="4"/>
    </row>
    <row r="71" spans="1:33" ht="22.5" customHeight="1" x14ac:dyDescent="0.25">
      <c r="A71" s="2"/>
      <c r="B71" s="2"/>
      <c r="C71" s="2"/>
      <c r="D71" s="2"/>
      <c r="E71" s="2"/>
      <c r="F71" s="4"/>
      <c r="G71" s="4"/>
      <c r="H71" s="4" t="s">
        <v>33</v>
      </c>
      <c r="I71" s="4" t="str">
        <f ca="1">IFERROR(__xludf.DUMMYFUNCTION("GOOGLETRANSLATE(B71,""en"",""ar"")"),"إن حقيقة أن هذه الجمال تركض دون راكبين بشريين مباشرين تدل على أمر هام...")</f>
        <v>إن حقيقة أن هذه الجمال تركض دون راكبين بشريين مباشرين تدل على أمر هام...</v>
      </c>
      <c r="J71" s="4" t="str">
        <f ca="1">IFERROR(__xludf.DUMMYFUNCTION("GOOGLETRANSLATE(C71,""en"",""ar"")"),"أ) انخفاض شعبية الرياضة، ب) تحديث رياضة تقليدية، ج) نقص الفرسان المدربين، د) خطر على الجمهور")</f>
        <v>أ) انخفاض شعبية الرياضة، ب) تحديث رياضة تقليدية، ج) نقص الفرسان المدربين، د) خطر على الجمهور</v>
      </c>
      <c r="K71" s="4" t="str">
        <f ca="1">IFERROR(__xludf.DUMMYFUNCTION("GOOGLETRANSLATE(D71,""en"",""ar"")"),"ب) تحديث رياضة تقليدية")</f>
        <v>ب) تحديث رياضة تقليدية</v>
      </c>
      <c r="L71" s="4" t="str">
        <f ca="1">IFERROR(__xludf.DUMMYFUNCTION("GOOGLETRANSLATE(E71,""en"",""ar"")"),"إن استخدام حلبات السباق الحديثة والتكنولوجيا الروبوتية إلى جانب الحيوانات التقليدية يوضح كيف تطورت هذه الرياضة.")</f>
        <v>إن استخدام حلبات السباق الحديثة والتكنولوجيا الروبوتية إلى جانب الحيوانات التقليدية يوضح كيف تطورت هذه الرياضة.</v>
      </c>
      <c r="M71" s="4"/>
      <c r="N71" s="4"/>
      <c r="O71" s="4"/>
      <c r="P71" s="4"/>
      <c r="Q71" s="4"/>
      <c r="R71" s="4"/>
      <c r="S71" s="4"/>
      <c r="T71" s="4"/>
      <c r="U71" s="4"/>
      <c r="V71" s="4"/>
      <c r="W71" s="4"/>
      <c r="X71" s="4"/>
      <c r="Y71" s="4"/>
      <c r="Z71" s="4"/>
      <c r="AA71" s="4"/>
      <c r="AB71" s="4"/>
      <c r="AC71" s="4"/>
      <c r="AD71" s="4"/>
      <c r="AE71" s="4"/>
      <c r="AF71" s="4"/>
      <c r="AG71" s="4"/>
    </row>
    <row r="72" spans="1:33" ht="22.5" customHeight="1" x14ac:dyDescent="0.25">
      <c r="A72" s="2"/>
      <c r="B72" s="2"/>
      <c r="C72" s="2"/>
      <c r="D72" s="2"/>
      <c r="E72" s="2"/>
      <c r="F72" s="4"/>
      <c r="G72" s="4"/>
      <c r="H72" s="4" t="s">
        <v>34</v>
      </c>
      <c r="I72" s="4" t="str">
        <f ca="1">IFERROR(__xludf.DUMMYFUNCTION("GOOGLETRANSLATE(B72,""en"",""ar"")"),"ماذا ترتدي الجمال في هذه الصورة؟")</f>
        <v>ماذا ترتدي الجمال في هذه الصورة؟</v>
      </c>
      <c r="J72" s="4" t="str">
        <f ca="1">IFERROR(__xludf.DUMMYFUNCTION("GOOGLETRANSLATE(C72,""en"",""ar"")"),"أ) معاطف شتوية ثقيلة، ب) سترات نجاة، ج) بطانيات وأقنعة وجه مزخرفة، د) دروع للمعركة")</f>
        <v>أ) معاطف شتوية ثقيلة، ب) سترات نجاة، ج) بطانيات وأقنعة وجه مزخرفة، د) دروع للمعركة</v>
      </c>
      <c r="K72" s="4" t="str">
        <f ca="1">IFERROR(__xludf.DUMMYFUNCTION("GOOGLETRANSLATE(D72,""en"",""ar"")"),"ج) البطانيات المزخرفة وأقنعة الوجه")</f>
        <v>ج) البطانيات المزخرفة وأقنعة الوجه</v>
      </c>
      <c r="L72" s="4" t="str">
        <f ca="1">IFERROR(__xludf.DUMMYFUNCTION("GOOGLETRANSLATE(E72,""en"",""ar"")"),"تُزين الجمال بأغطية مزخرفة ومنقوشة وأغطية رأس متناسقة، على الأرجح قبل أو بعد السباق.")</f>
        <v>تُزين الجمال بأغطية مزخرفة ومنقوشة وأغطية رأس متناسقة، على الأرجح قبل أو بعد السباق.</v>
      </c>
      <c r="M72" s="4"/>
      <c r="N72" s="4"/>
      <c r="O72" s="4"/>
      <c r="P72" s="4"/>
      <c r="Q72" s="4"/>
      <c r="R72" s="4"/>
      <c r="S72" s="4"/>
      <c r="T72" s="4"/>
      <c r="U72" s="4"/>
      <c r="V72" s="4"/>
      <c r="W72" s="4"/>
      <c r="X72" s="4"/>
      <c r="Y72" s="4"/>
      <c r="Z72" s="4"/>
      <c r="AA72" s="4"/>
      <c r="AB72" s="4"/>
      <c r="AC72" s="4"/>
      <c r="AD72" s="4"/>
      <c r="AE72" s="4"/>
      <c r="AF72" s="4"/>
      <c r="AG72" s="4"/>
    </row>
    <row r="73" spans="1:33" ht="22.5" customHeight="1" x14ac:dyDescent="0.25">
      <c r="A73" s="2"/>
      <c r="B73" s="2"/>
      <c r="C73" s="2"/>
      <c r="D73" s="2"/>
      <c r="E73" s="2"/>
      <c r="F73" s="4"/>
      <c r="G73" s="4"/>
      <c r="H73" s="4" t="s">
        <v>34</v>
      </c>
      <c r="I73" s="4" t="str">
        <f ca="1">IFERROR(__xludf.DUMMYFUNCTION("GOOGLETRANSLATE(B73,""en"",""ar"")"),"ما هو الغرض المحتمل من هذا الزي؟")</f>
        <v>ما هو الغرض المحتمل من هذا الزي؟</v>
      </c>
      <c r="J73" s="4" t="str">
        <f ca="1">IFERROR(__xludf.DUMMYFUNCTION("GOOGLETRANSLATE(C73,""en"",""ar"")"),"أ) لتدفئتها في المناخ البارد، ب) كزي احتفالي أو لعرض ألوان المالك، ج) لحمايتها من المطر، د) لاستخدامها كمظلة")</f>
        <v>أ) لتدفئتها في المناخ البارد، ب) كزي احتفالي أو لعرض ألوان المالك، ج) لحمايتها من المطر، د) لاستخدامها كمظلة</v>
      </c>
      <c r="K73" s="4" t="str">
        <f ca="1">IFERROR(__xludf.DUMMYFUNCTION("GOOGLETRANSLATE(D73,""en"",""ar"")"),"ب) الزي الاحتفالي أو لعرض ألوان المالك")</f>
        <v>ب) الزي الاحتفالي أو لعرض ألوان المالك</v>
      </c>
      <c r="L73" s="4" t="str">
        <f ca="1">IFERROR(__xludf.DUMMYFUNCTION("GOOGLETRANSLATE(E73,""en"",""ar"")"),"يُستخدم هذا النوع من الزينة المتقنة غالبًا في المواكب والعروض التقديمية، أو لتمثيل إسطبل أو مالك معين.")</f>
        <v>يُستخدم هذا النوع من الزينة المتقنة غالبًا في المواكب والعروض التقديمية، أو لتمثيل إسطبل أو مالك معين.</v>
      </c>
      <c r="M73" s="4"/>
      <c r="N73" s="4"/>
      <c r="O73" s="4"/>
      <c r="P73" s="4"/>
      <c r="Q73" s="4"/>
      <c r="R73" s="4"/>
      <c r="S73" s="4"/>
      <c r="T73" s="4"/>
      <c r="U73" s="4"/>
      <c r="V73" s="4"/>
      <c r="W73" s="4"/>
      <c r="X73" s="4"/>
      <c r="Y73" s="4"/>
      <c r="Z73" s="4"/>
      <c r="AA73" s="4"/>
      <c r="AB73" s="4"/>
      <c r="AC73" s="4"/>
      <c r="AD73" s="4"/>
      <c r="AE73" s="4"/>
      <c r="AF73" s="4"/>
      <c r="AG73" s="4"/>
    </row>
    <row r="74" spans="1:33" ht="22.5" customHeight="1" x14ac:dyDescent="0.25">
      <c r="A74" s="2"/>
      <c r="B74" s="2"/>
      <c r="C74" s="2"/>
      <c r="D74" s="2"/>
      <c r="E74" s="2"/>
      <c r="F74" s="4"/>
      <c r="G74" s="4"/>
      <c r="H74" s="4" t="s">
        <v>34</v>
      </c>
      <c r="I74" s="4" t="str">
        <f ca="1">IFERROR(__xludf.DUMMYFUNCTION("GOOGLETRANSLATE(B74,""en"",""ar"")"),"ما هو المكان الذي التُقطت فيه هذه الصورة؟")</f>
        <v>ما هو المكان الذي التُقطت فيه هذه الصورة؟</v>
      </c>
      <c r="J74" s="4" t="str">
        <f ca="1">IFERROR(__xludf.DUMMYFUNCTION("GOOGLETRANSLATE(C74,""en"",""ar"")"),"أ) واحة صحراوية، ب) مضمار سباق رسمي، ج) شارع عام، د) مسار جبلي")</f>
        <v>أ) واحة صحراوية، ب) مضمار سباق رسمي، ج) شارع عام، د) مسار جبلي</v>
      </c>
      <c r="K74" s="4" t="str">
        <f ca="1">IFERROR(__xludf.DUMMYFUNCTION("GOOGLETRANSLATE(D74,""en"",""ar"")"),"ب) مضمار سباق رسمي")</f>
        <v>ب) مضمار سباق رسمي</v>
      </c>
      <c r="L74" s="4" t="str">
        <f ca="1">IFERROR(__xludf.DUMMYFUNCTION("GOOGLETRANSLATE(E74,""en"",""ar"")"),"يظهر سياج ومسار رملي مُهذّب، مما يدل على وجود مكان مخصص لسباقات السيارات الاحترافية.")</f>
        <v>يظهر سياج ومسار رملي مُهذّب، مما يدل على وجود مكان مخصص لسباقات السيارات الاحترافية.</v>
      </c>
      <c r="M74" s="4"/>
      <c r="N74" s="4"/>
      <c r="O74" s="4"/>
      <c r="P74" s="4"/>
      <c r="Q74" s="4"/>
      <c r="R74" s="4"/>
      <c r="S74" s="4"/>
      <c r="T74" s="4"/>
      <c r="U74" s="4"/>
      <c r="V74" s="4"/>
      <c r="W74" s="4"/>
      <c r="X74" s="4"/>
      <c r="Y74" s="4"/>
      <c r="Z74" s="4"/>
      <c r="AA74" s="4"/>
      <c r="AB74" s="4"/>
      <c r="AC74" s="4"/>
      <c r="AD74" s="4"/>
      <c r="AE74" s="4"/>
      <c r="AF74" s="4"/>
      <c r="AG74" s="4"/>
    </row>
    <row r="75" spans="1:33" ht="22.5" customHeight="1" x14ac:dyDescent="0.25">
      <c r="A75" s="2"/>
      <c r="B75" s="2"/>
      <c r="C75" s="2"/>
      <c r="D75" s="2"/>
      <c r="E75" s="2"/>
      <c r="F75" s="4"/>
      <c r="G75" s="4"/>
      <c r="H75" s="4" t="s">
        <v>34</v>
      </c>
      <c r="I75" s="4" t="str">
        <f ca="1">IFERROR(__xludf.DUMMYFUNCTION("GOOGLETRANSLATE(B75,""en"",""ar"")"),"الجمال تنظر مباشرة نحو الكاميرا. وهذا يشير إلى أنها على الأرجح...")</f>
        <v>الجمال تنظر مباشرة نحو الكاميرا. وهذا يشير إلى أنها على الأرجح...</v>
      </c>
      <c r="J75" s="4" t="str">
        <f ca="1">IFERROR(__xludf.DUMMYFUNCTION("GOOGLETRANSLATE(C75,""en"",""ar"")"),"أ) في منتصف سباق عالي السرعة، ب) يمشي أو يقف، ربما في موكب، ج) نائم، د) يهرب من الكاميرا")</f>
        <v>أ) في منتصف سباق عالي السرعة، ب) يمشي أو يقف، ربما في موكب، ج) نائم، د) يهرب من الكاميرا</v>
      </c>
      <c r="K75" s="4" t="str">
        <f ca="1">IFERROR(__xludf.DUMMYFUNCTION("GOOGLETRANSLATE(D75,""en"",""ar"")"),"ب) المشي أو الوقوف، ربما في موكب")</f>
        <v>ب) المشي أو الوقوف، ربما في موكب</v>
      </c>
      <c r="L75" s="4" t="str">
        <f ca="1">IFERROR(__xludf.DUMMYFUNCTION("GOOGLETRANSLATE(E75,""en"",""ar"")"),"يوحي هدوؤهم وتشكيلهم المنظم بأنهم لا يركضون بأقصى سرعة. قد تكون هذه جولة استعراضية.")</f>
        <v>يوحي هدوؤهم وتشكيلهم المنظم بأنهم لا يركضون بأقصى سرعة. قد تكون هذه جولة استعراضية.</v>
      </c>
      <c r="M75" s="4"/>
      <c r="N75" s="4"/>
      <c r="O75" s="4"/>
      <c r="P75" s="4"/>
      <c r="Q75" s="4"/>
      <c r="R75" s="4"/>
      <c r="S75" s="4"/>
      <c r="T75" s="4"/>
      <c r="U75" s="4"/>
      <c r="V75" s="4"/>
      <c r="W75" s="4"/>
      <c r="X75" s="4"/>
      <c r="Y75" s="4"/>
      <c r="Z75" s="4"/>
      <c r="AA75" s="4"/>
      <c r="AB75" s="4"/>
      <c r="AC75" s="4"/>
      <c r="AD75" s="4"/>
      <c r="AE75" s="4"/>
      <c r="AF75" s="4"/>
      <c r="AG75" s="4"/>
    </row>
    <row r="76" spans="1:33" ht="22.5" customHeight="1" x14ac:dyDescent="0.25">
      <c r="A76" s="2"/>
      <c r="B76" s="2"/>
      <c r="C76" s="2"/>
      <c r="D76" s="2"/>
      <c r="E76" s="2"/>
      <c r="F76" s="4"/>
      <c r="G76" s="4"/>
      <c r="H76" s="4" t="s">
        <v>34</v>
      </c>
      <c r="I76" s="4" t="str">
        <f ca="1">IFERROR(__xludf.DUMMYFUNCTION("GOOGLETRANSLATE(B76,""en"",""ar"")"),"ما الذي يميز طريقة تغطية أفواه الجمال؟")</f>
        <v>ما الذي يميز طريقة تغطية أفواه الجمال؟</v>
      </c>
      <c r="J76" s="4" t="str">
        <f ca="1">IFERROR(__xludf.DUMMYFUNCTION("GOOGLETRANSLATE(C76,""en"",""ar"")"),"أ) يرتدون كمامات لمنع العض، ب) يتم إطعامهم، ج) يرتدون شرابات زينة، د) أفواههم غير مغطاة")</f>
        <v>أ) يرتدون كمامات لمنع العض، ب) يتم إطعامهم، ج) يرتدون شرابات زينة، د) أفواههم غير مغطاة</v>
      </c>
      <c r="K76" s="4" t="str">
        <f ca="1">IFERROR(__xludf.DUMMYFUNCTION("GOOGLETRANSLATE(D76,""en"",""ar"")"),"أ) إنهم يرتدون كمامات لمنع العض")</f>
        <v>أ) إنهم يرتدون كمامات لمنع العض</v>
      </c>
      <c r="L76" s="4" t="str">
        <f ca="1">IFERROR(__xludf.DUMMYFUNCTION("GOOGLETRANSLATE(E76,""en"",""ar"")"),"تتضمن المعدات الموجودة على أنوفها مكونًا للكمامة، وهو إجراء سلامة شائع عند تجمع العديد من الحيوانات معًا.")</f>
        <v>تتضمن المعدات الموجودة على أنوفها مكونًا للكمامة، وهو إجراء سلامة شائع عند تجمع العديد من الحيوانات معًا.</v>
      </c>
      <c r="M76" s="4"/>
      <c r="N76" s="4"/>
      <c r="O76" s="4"/>
      <c r="P76" s="4"/>
      <c r="Q76" s="4"/>
      <c r="R76" s="4"/>
      <c r="S76" s="4"/>
      <c r="T76" s="4"/>
      <c r="U76" s="4"/>
      <c r="V76" s="4"/>
      <c r="W76" s="4"/>
      <c r="X76" s="4"/>
      <c r="Y76" s="4"/>
      <c r="Z76" s="4"/>
      <c r="AA76" s="4"/>
      <c r="AB76" s="4"/>
      <c r="AC76" s="4"/>
      <c r="AD76" s="4"/>
      <c r="AE76" s="4"/>
      <c r="AF76" s="4"/>
      <c r="AG76" s="4"/>
    </row>
    <row r="77" spans="1:33" ht="22.5" customHeight="1" x14ac:dyDescent="0.25">
      <c r="A77" s="2"/>
      <c r="B77" s="2"/>
      <c r="C77" s="2"/>
      <c r="D77" s="2"/>
      <c r="E77" s="2"/>
      <c r="F77" s="4"/>
      <c r="G77" s="4"/>
      <c r="H77" s="4" t="s">
        <v>34</v>
      </c>
      <c r="I77" s="4" t="str">
        <f ca="1">IFERROR(__xludf.DUMMYFUNCTION("GOOGLETRANSLATE(B77,""en"",""ar"")"),"كم عدد الجمال التي تظهر بوضوح في المقدمة؟")</f>
        <v>كم عدد الجمال التي تظهر بوضوح في المقدمة؟</v>
      </c>
      <c r="J77" s="4" t="str">
        <f ca="1">IFERROR(__xludf.DUMMYFUNCTION("GOOGLETRANSLATE(C77,""en"",""ar"")"),"أ) اثنان، ب) ثلاثة، ج) أربعة، د) خمسة")</f>
        <v>أ) اثنان، ب) ثلاثة، ج) أربعة، د) خمسة</v>
      </c>
      <c r="K77" s="4" t="str">
        <f ca="1">IFERROR(__xludf.DUMMYFUNCTION("GOOGLETRANSLATE(D77,""en"",""ar"")"),"ج) أربعة")</f>
        <v>ج) أربعة</v>
      </c>
      <c r="L77" s="4" t="str">
        <f ca="1">IFERROR(__xludf.DUMMYFUNCTION("GOOGLETRANSLATE(E77,""en"",""ar"")"),"هناك أربعة جمال تسير باتجاه الكاميرا كمجموعة رئيسية.")</f>
        <v>هناك أربعة جمال تسير باتجاه الكاميرا كمجموعة رئيسية.</v>
      </c>
      <c r="M77" s="4"/>
      <c r="N77" s="4"/>
      <c r="O77" s="4"/>
      <c r="P77" s="4"/>
      <c r="Q77" s="4"/>
      <c r="R77" s="4"/>
      <c r="S77" s="4"/>
      <c r="T77" s="4"/>
      <c r="U77" s="4"/>
      <c r="V77" s="4"/>
      <c r="W77" s="4"/>
      <c r="X77" s="4"/>
      <c r="Y77" s="4"/>
      <c r="Z77" s="4"/>
      <c r="AA77" s="4"/>
      <c r="AB77" s="4"/>
      <c r="AC77" s="4"/>
      <c r="AD77" s="4"/>
      <c r="AE77" s="4"/>
      <c r="AF77" s="4"/>
      <c r="AG77" s="4"/>
    </row>
    <row r="78" spans="1:33" ht="22.5" customHeight="1" x14ac:dyDescent="0.25">
      <c r="A78" s="2"/>
      <c r="B78" s="2"/>
      <c r="C78" s="2"/>
      <c r="D78" s="2"/>
      <c r="E78" s="2"/>
      <c r="F78" s="4"/>
      <c r="G78" s="4"/>
      <c r="H78" s="4" t="s">
        <v>34</v>
      </c>
      <c r="I78" s="4" t="str">
        <f ca="1">IFERROR(__xludf.DUMMYFUNCTION("GOOGLETRANSLATE(B78,""en"",""ar"")"),"يشير ضوء الشمس الساطع والظلال الحادة إلى أن الصورة قد التقطت...")</f>
        <v>يشير ضوء الشمس الساطع والظلال الحادة إلى أن الصورة قد التقطت...</v>
      </c>
      <c r="J78" s="4" t="str">
        <f ca="1">IFERROR(__xludf.DUMMYFUNCTION("GOOGLETRANSLATE(C78,""en"",""ar"")"),"أ) في الليل، ب) في يوم غائم، ج) خلال يوم مشمس، د) في الداخل")</f>
        <v>أ) في الليل، ب) في يوم غائم، ج) خلال يوم مشمس، د) في الداخل</v>
      </c>
      <c r="K78" s="4" t="str">
        <f ca="1">IFERROR(__xludf.DUMMYFUNCTION("GOOGLETRANSLATE(D78,""en"",""ar"")"),"ج) خلال يوم مشمس ساطع")</f>
        <v>ج) خلال يوم مشمس ساطع</v>
      </c>
      <c r="L78" s="4" t="str">
        <f ca="1">IFERROR(__xludf.DUMMYFUNCTION("GOOGLETRANSLATE(E78,""en"",""ar"")"),"الإضاءة قاسية وساطعة، مما يخلق ظلالاً واضحة على الأرض.")</f>
        <v>الإضاءة قاسية وساطعة، مما يخلق ظلالاً واضحة على الأرض.</v>
      </c>
      <c r="M78" s="4"/>
      <c r="N78" s="4"/>
      <c r="O78" s="4"/>
      <c r="P78" s="4"/>
      <c r="Q78" s="4"/>
      <c r="R78" s="4"/>
      <c r="S78" s="4"/>
      <c r="T78" s="4"/>
      <c r="U78" s="4"/>
      <c r="V78" s="4"/>
      <c r="W78" s="4"/>
      <c r="X78" s="4"/>
      <c r="Y78" s="4"/>
      <c r="Z78" s="4"/>
      <c r="AA78" s="4"/>
      <c r="AB78" s="4"/>
      <c r="AC78" s="4"/>
      <c r="AD78" s="4"/>
      <c r="AE78" s="4"/>
      <c r="AF78" s="4"/>
      <c r="AG78" s="4"/>
    </row>
    <row r="79" spans="1:33" ht="22.5" customHeight="1" x14ac:dyDescent="0.25">
      <c r="A79" s="2"/>
      <c r="B79" s="2"/>
      <c r="C79" s="2"/>
      <c r="D79" s="2"/>
      <c r="E79" s="2"/>
      <c r="F79" s="4"/>
      <c r="G79" s="4"/>
      <c r="H79" s="4" t="s">
        <v>34</v>
      </c>
      <c r="I79" s="4" t="str">
        <f ca="1">IFERROR(__xludf.DUMMYFUNCTION("GOOGLETRANSLATE(B79,""en"",""ar"")"),"يبدو أن المبنى الظاهر في الخلفية جزء من...")</f>
        <v>يبدو أن المبنى الظاهر في الخلفية جزء من...</v>
      </c>
      <c r="J79" s="4" t="str">
        <f ca="1">IFERROR(__xludf.DUMMYFUNCTION("GOOGLETRANSLATE(C79,""en"",""ar"")"),"أ) مدرجات أو مرافق مضمار السباق، ب) مركز تسوق قريب، ج) أطلال أثرية، د) منزل خاص")</f>
        <v>أ) مدرجات أو مرافق مضمار السباق، ب) مركز تسوق قريب، ج) أطلال أثرية، د) منزل خاص</v>
      </c>
      <c r="K79" s="4" t="str">
        <f ca="1">IFERROR(__xludf.DUMMYFUNCTION("GOOGLETRANSLATE(D79,""en"",""ar"")"),"أ) مدرجات أو مرافق مضمار السباق")</f>
        <v>أ) مدرجات أو مرافق مضمار السباق</v>
      </c>
      <c r="L79" s="4" t="str">
        <f ca="1">IFERROR(__xludf.DUMMYFUNCTION("GOOGLETRANSLATE(E79,""en"",""ar"")"),"يتوافق التصميم المعماري مع المرافق الكبيرة والحديثة الموجودة في مضامير سباق الهجن الرئيسية.")</f>
        <v>يتوافق التصميم المعماري مع المرافق الكبيرة والحديثة الموجودة في مضامير سباق الهجن الرئيسية.</v>
      </c>
      <c r="M79" s="4"/>
      <c r="N79" s="4"/>
      <c r="O79" s="4"/>
      <c r="P79" s="4"/>
      <c r="Q79" s="4"/>
      <c r="R79" s="4"/>
      <c r="S79" s="4"/>
      <c r="T79" s="4"/>
      <c r="U79" s="4"/>
      <c r="V79" s="4"/>
      <c r="W79" s="4"/>
      <c r="X79" s="4"/>
      <c r="Y79" s="4"/>
      <c r="Z79" s="4"/>
      <c r="AA79" s="4"/>
      <c r="AB79" s="4"/>
      <c r="AC79" s="4"/>
      <c r="AD79" s="4"/>
      <c r="AE79" s="4"/>
      <c r="AF79" s="4"/>
      <c r="AG79" s="4"/>
    </row>
    <row r="80" spans="1:33" ht="22.5" customHeight="1" x14ac:dyDescent="0.25">
      <c r="A80" s="2"/>
      <c r="B80" s="2"/>
      <c r="C80" s="2"/>
      <c r="D80" s="2"/>
      <c r="E80" s="2"/>
      <c r="F80" s="4"/>
      <c r="G80" s="4"/>
      <c r="H80" s="4" t="s">
        <v>34</v>
      </c>
      <c r="I80" s="4" t="str">
        <f ca="1">IFERROR(__xludf.DUMMYFUNCTION("GOOGLETRANSLATE(B80,""en"",""ar"")"),"الجو العام لهذه الصورة هو...")</f>
        <v>الجو العام لهذه الصورة هو...</v>
      </c>
      <c r="J80" s="4" t="str">
        <f ca="1">IFERROR(__xludf.DUMMYFUNCTION("GOOGLETRANSLATE(C80,""en"",""ar"")"),"أ) فوضوي وخطير، ب) سريع الخطى ومكثف، ج) منظم واحتفالي، د) حزين وكئيب")</f>
        <v>أ) فوضوي وخطير، ب) سريع الخطى ومكثف، ج) منظم واحتفالي، د) حزين وكئيب</v>
      </c>
      <c r="K80" s="4" t="str">
        <f ca="1">IFERROR(__xludf.DUMMYFUNCTION("GOOGLETRANSLATE(D80,""en"",""ar"")"),"ج) منظم واحتفالي")</f>
        <v>ج) منظم واحتفالي</v>
      </c>
      <c r="L80" s="4" t="str">
        <f ca="1">IFERROR(__xludf.DUMMYFUNCTION("GOOGLETRANSLATE(E80,""en"",""ar"")"),"تضفي الجمال المزينة وموكبها الهادئ والمنظم على الصورة طابعاً رسمياً واحتفالياً.")</f>
        <v>تضفي الجمال المزينة وموكبها الهادئ والمنظم على الصورة طابعاً رسمياً واحتفالياً.</v>
      </c>
      <c r="M80" s="4"/>
      <c r="N80" s="4"/>
      <c r="O80" s="4"/>
      <c r="P80" s="4"/>
      <c r="Q80" s="4"/>
      <c r="R80" s="4"/>
      <c r="S80" s="4"/>
      <c r="T80" s="4"/>
      <c r="U80" s="4"/>
      <c r="V80" s="4"/>
      <c r="W80" s="4"/>
      <c r="X80" s="4"/>
      <c r="Y80" s="4"/>
      <c r="Z80" s="4"/>
      <c r="AA80" s="4"/>
      <c r="AB80" s="4"/>
      <c r="AC80" s="4"/>
      <c r="AD80" s="4"/>
      <c r="AE80" s="4"/>
      <c r="AF80" s="4"/>
      <c r="AG80" s="4"/>
    </row>
    <row r="81" spans="1:33" ht="22.5" customHeight="1" x14ac:dyDescent="0.25">
      <c r="A81" s="2"/>
      <c r="B81" s="2"/>
      <c r="C81" s="2"/>
      <c r="D81" s="2"/>
      <c r="E81" s="2"/>
      <c r="F81" s="4"/>
      <c r="G81" s="4"/>
      <c r="H81" s="4" t="s">
        <v>34</v>
      </c>
      <c r="I81" s="4" t="str">
        <f ca="1">IFERROR(__xludf.DUMMYFUNCTION("GOOGLETRANSLATE(B81,""en"",""ar"")"),"تُعدّ المادة ذات النقوش الزرقاء والبيضاء مثالاً على...")</f>
        <v>تُعدّ المادة ذات النقوش الزرقاء والبيضاء مثالاً على...</v>
      </c>
      <c r="J81" s="4" t="str">
        <f ca="1">IFERROR(__xludf.DUMMYFUNCTION("GOOGLETRANSLATE(C81,""en"",""ar"")"),"أ) جلد الجمل الطبيعي، ب) فن النسيج التقليدي، ج) التمويه، د) طباعة رقمية حديثة")</f>
        <v>أ) جلد الجمل الطبيعي، ب) فن النسيج التقليدي، ج) التمويه، د) طباعة رقمية حديثة</v>
      </c>
      <c r="K81" s="4" t="str">
        <f ca="1">IFERROR(__xludf.DUMMYFUNCTION("GOOGLETRANSLATE(D81,""en"",""ar"")"),"ب) فن النسيج التقليدي")</f>
        <v>ب) فن النسيج التقليدي</v>
      </c>
      <c r="L81" s="4" t="str">
        <f ca="1">IFERROR(__xludf.DUMMYFUNCTION("GOOGLETRANSLATE(E81,""en"",""ar"")"),"تُعدّ الأنماط الهندسية المعقدة سمة مميزة للأقمشة والتصاميم التقليدية في المنطقة.")</f>
        <v>تُعدّ الأنماط الهندسية المعقدة سمة مميزة للأقمشة والتصاميم التقليدية في المنطقة.</v>
      </c>
      <c r="M81" s="4"/>
      <c r="N81" s="4"/>
      <c r="O81" s="4"/>
      <c r="P81" s="4"/>
      <c r="Q81" s="4"/>
      <c r="R81" s="4"/>
      <c r="S81" s="4"/>
      <c r="T81" s="4"/>
      <c r="U81" s="4"/>
      <c r="V81" s="4"/>
      <c r="W81" s="4"/>
      <c r="X81" s="4"/>
      <c r="Y81" s="4"/>
      <c r="Z81" s="4"/>
      <c r="AA81" s="4"/>
      <c r="AB81" s="4"/>
      <c r="AC81" s="4"/>
      <c r="AD81" s="4"/>
      <c r="AE81" s="4"/>
      <c r="AF81" s="4"/>
      <c r="AG81" s="4"/>
    </row>
    <row r="82" spans="1:33" ht="22.5" customHeight="1" x14ac:dyDescent="0.25">
      <c r="A82" s="2"/>
      <c r="B82" s="2"/>
      <c r="C82" s="2"/>
      <c r="D82" s="2"/>
      <c r="E82" s="2"/>
      <c r="F82" s="4"/>
      <c r="G82" s="4"/>
      <c r="H82" s="4" t="s">
        <v>35</v>
      </c>
      <c r="I82" s="4" t="str">
        <f ca="1">IFERROR(__xludf.DUMMYFUNCTION("GOOGLETRANSLATE(B82,""en"",""ar"")"),"ما هي وضعية الفارس أثناء ركوب الخيل؟")</f>
        <v>ما هي وضعية الفارس أثناء ركوب الخيل؟</v>
      </c>
      <c r="J82" s="4" t="str">
        <f ca="1">IFERROR(__xludf.DUMMYFUNCTION("GOOGLETRANSLATE(C82,""en"",""ar"")"),"أ) يجلس منتصبًا على السرج، ب) يجلس حافي القدمين عاليًا على ظهر الجمل، خلف السنام، ج) يستلقي على رقبة الجمل، د) يقف في الركاب")</f>
        <v>أ) يجلس منتصبًا على السرج، ب) يجلس حافي القدمين عاليًا على ظهر الجمل، خلف السنام، ج) يستلقي على رقبة الجمل، د) يقف في الركاب</v>
      </c>
      <c r="K82" s="4" t="str">
        <f ca="1">IFERROR(__xludf.DUMMYFUNCTION("GOOGLETRANSLATE(D82,""en"",""ar"")"),"ب) يجلس حافي القدمين عالياً على ظهر الجمل، خلف السنام")</f>
        <v>ب) يجلس حافي القدمين عالياً على ظهر الجمل، خلف السنام</v>
      </c>
      <c r="L82" s="4" t="str">
        <f ca="1">IFERROR(__xludf.DUMMYFUNCTION("GOOGLETRANSLATE(E82,""en"",""ar"")"),"يتطلب أسلوب الركوب التقليدي هذا توازناً مذهلاً ويختلف تماماً عن ركوب الخيل.")</f>
        <v>يتطلب أسلوب الركوب التقليدي هذا توازناً مذهلاً ويختلف تماماً عن ركوب الخيل.</v>
      </c>
      <c r="M82" s="4"/>
      <c r="N82" s="4"/>
      <c r="O82" s="4"/>
      <c r="P82" s="4"/>
      <c r="Q82" s="4"/>
      <c r="R82" s="4"/>
      <c r="S82" s="4"/>
      <c r="T82" s="4"/>
      <c r="U82" s="4"/>
      <c r="V82" s="4"/>
      <c r="W82" s="4"/>
      <c r="X82" s="4"/>
      <c r="Y82" s="4"/>
      <c r="Z82" s="4"/>
      <c r="AA82" s="4"/>
      <c r="AB82" s="4"/>
      <c r="AC82" s="4"/>
      <c r="AD82" s="4"/>
      <c r="AE82" s="4"/>
      <c r="AF82" s="4"/>
      <c r="AG82" s="4"/>
    </row>
    <row r="83" spans="1:33" ht="22.5" customHeight="1" x14ac:dyDescent="0.25">
      <c r="A83" s="2"/>
      <c r="B83" s="2"/>
      <c r="C83" s="2"/>
      <c r="D83" s="2"/>
      <c r="E83" s="2"/>
      <c r="F83" s="4"/>
      <c r="G83" s="4"/>
      <c r="H83" s="4" t="s">
        <v>35</v>
      </c>
      <c r="I83" s="4" t="str">
        <f ca="1">IFERROR(__xludf.DUMMYFUNCTION("GOOGLETRANSLATE(B83,""en"",""ar"")"),"ما الذي يستخدمه الفارس لتشجيع الجمل؟")</f>
        <v>ما الذي يستخدمه الفارس لتشجيع الجمل؟</v>
      </c>
      <c r="J83" s="4" t="str">
        <f ca="1">IFERROR(__xludf.DUMMYFUNCTION("GOOGLETRANSLATE(C83,""en"",""ar"")"),"أ) لجام طويل، ب) عصا أو سوط طويل ورفيع، ج) صوته فقط، د) جهاز تحكم عن بعد")</f>
        <v>أ) لجام طويل، ب) عصا أو سوط طويل ورفيع، ج) صوته فقط، د) جهاز تحكم عن بعد</v>
      </c>
      <c r="K83" s="4" t="str">
        <f ca="1">IFERROR(__xludf.DUMMYFUNCTION("GOOGLETRANSLATE(D83,""en"",""ar"")"),"ب) عصا طويلة ورفيعة أو محصول")</f>
        <v>ب) عصا طويلة ورفيعة أو محصول</v>
      </c>
      <c r="L83" s="4" t="str">
        <f ca="1">IFERROR(__xludf.DUMMYFUNCTION("GOOGLETRANSLATE(E83,""en"",""ar"")"),"إنه يحمل عصا رفيعة، وهي أداة تقليدية لتوجيه الجمل وطلب المزيد من السرعة.")</f>
        <v>إنه يحمل عصا رفيعة، وهي أداة تقليدية لتوجيه الجمل وطلب المزيد من السرعة.</v>
      </c>
      <c r="M83" s="4"/>
      <c r="N83" s="4"/>
      <c r="O83" s="4"/>
      <c r="P83" s="4"/>
      <c r="Q83" s="4"/>
      <c r="R83" s="4"/>
      <c r="S83" s="4"/>
      <c r="T83" s="4"/>
      <c r="U83" s="4"/>
      <c r="V83" s="4"/>
      <c r="W83" s="4"/>
      <c r="X83" s="4"/>
      <c r="Y83" s="4"/>
      <c r="Z83" s="4"/>
      <c r="AA83" s="4"/>
      <c r="AB83" s="4"/>
      <c r="AC83" s="4"/>
      <c r="AD83" s="4"/>
      <c r="AE83" s="4"/>
      <c r="AF83" s="4"/>
      <c r="AG83" s="4"/>
    </row>
    <row r="84" spans="1:33" ht="22.5" customHeight="1" x14ac:dyDescent="0.25">
      <c r="A84" s="2"/>
      <c r="B84" s="2"/>
      <c r="C84" s="2"/>
      <c r="D84" s="2"/>
      <c r="E84" s="2"/>
      <c r="F84" s="4"/>
      <c r="G84" s="4"/>
      <c r="H84" s="4" t="s">
        <v>35</v>
      </c>
      <c r="I84" s="4" t="str">
        <f ca="1">IFERROR(__xludf.DUMMYFUNCTION("GOOGLETRANSLATE(B84,""en"",""ar"")"),"ما هي بيئة السباق؟")</f>
        <v>ما هي بيئة السباق؟</v>
      </c>
      <c r="J84" s="4" t="str">
        <f ca="1">IFERROR(__xludf.DUMMYFUNCTION("GOOGLETRANSLATE(C84,""en"",""ar"")"),"أ) مرج عشبي، ب) صحراء رملية ذات غطاء نباتي متفرق، ج) غابة كثيفة، د) شارع في المدينة")</f>
        <v>أ) مرج عشبي، ب) صحراء رملية ذات غطاء نباتي متفرق، ج) غابة كثيفة، د) شارع في المدينة</v>
      </c>
      <c r="K84" s="4" t="str">
        <f ca="1">IFERROR(__xludf.DUMMYFUNCTION("GOOGLETRANSLATE(D84,""en"",""ar"")"),"ب) صحراء رملية ذات غطاء نباتي متفرق")</f>
        <v>ب) صحراء رملية ذات غطاء نباتي متفرق</v>
      </c>
      <c r="L84" s="4" t="str">
        <f ca="1">IFERROR(__xludf.DUMMYFUNCTION("GOOGLETRANSLATE(E84,""en"",""ar"")"),"المشهد عبارة عن منظر طبيعي صحراوي كلاسيكي يتكون من رمال وتلال منخفضة وشجيرات متناثرة.")</f>
        <v>المشهد عبارة عن منظر طبيعي صحراوي كلاسيكي يتكون من رمال وتلال منخفضة وشجيرات متناثرة.</v>
      </c>
      <c r="M84" s="4"/>
      <c r="N84" s="4"/>
      <c r="O84" s="4"/>
      <c r="P84" s="4"/>
      <c r="Q84" s="4"/>
      <c r="R84" s="4"/>
      <c r="S84" s="4"/>
      <c r="T84" s="4"/>
      <c r="U84" s="4"/>
      <c r="V84" s="4"/>
      <c r="W84" s="4"/>
      <c r="X84" s="4"/>
      <c r="Y84" s="4"/>
      <c r="Z84" s="4"/>
      <c r="AA84" s="4"/>
      <c r="AB84" s="4"/>
      <c r="AC84" s="4"/>
      <c r="AD84" s="4"/>
      <c r="AE84" s="4"/>
      <c r="AF84" s="4"/>
      <c r="AG84" s="4"/>
    </row>
    <row r="85" spans="1:33" ht="22.5" customHeight="1" x14ac:dyDescent="0.25">
      <c r="A85" s="2"/>
      <c r="B85" s="2"/>
      <c r="C85" s="2"/>
      <c r="D85" s="2"/>
      <c r="E85" s="2"/>
      <c r="F85" s="4"/>
      <c r="G85" s="4"/>
      <c r="H85" s="4" t="s">
        <v>35</v>
      </c>
      <c r="I85" s="4" t="str">
        <f ca="1">IFERROR(__xludf.DUMMYFUNCTION("GOOGLETRANSLATE(B85,""en"",""ar"")"),"من أي زاوية التُقطت الصورة؟")</f>
        <v>من أي زاوية التُقطت الصورة؟</v>
      </c>
      <c r="J85" s="4" t="str">
        <f ca="1">IFERROR(__xludf.DUMMYFUNCTION("GOOGLETRANSLATE(C85,""en"",""ar"")"),"أ) زاوية علوية، منظر لأسفل، ب) زاوية منخفضة، منظر لأعلى، ج) منظر جانبي مباشر، د) من مسافة بعيدة جدًا")</f>
        <v>أ) زاوية علوية، منظر لأسفل، ب) زاوية منخفضة، منظر لأعلى، ج) منظر جانبي مباشر، د) من مسافة بعيدة جدًا</v>
      </c>
      <c r="K85" s="4" t="str">
        <f ca="1">IFERROR(__xludf.DUMMYFUNCTION("GOOGLETRANSLATE(D85,""en"",""ar"")"),"ب) زاوية منخفضة، مع النظر إلى أعلى")</f>
        <v>ب) زاوية منخفضة، مع النظر إلى أعلى</v>
      </c>
      <c r="L85" s="4" t="str">
        <f ca="1">IFERROR(__xludf.DUMMYFUNCTION("GOOGLETRANSLATE(E85,""en"",""ar"")"),"تم وضع الكاميرا على مستوى منخفض من الأرض، مما يجعل الجمل وراكبه يبدوان أكثر بطولية وحيوية.")</f>
        <v>تم وضع الكاميرا على مستوى منخفض من الأرض، مما يجعل الجمل وراكبه يبدوان أكثر بطولية وحيوية.</v>
      </c>
      <c r="M85" s="4"/>
      <c r="N85" s="4"/>
      <c r="O85" s="4"/>
      <c r="P85" s="4"/>
      <c r="Q85" s="4"/>
      <c r="R85" s="4"/>
      <c r="S85" s="4"/>
      <c r="T85" s="4"/>
      <c r="U85" s="4"/>
      <c r="V85" s="4"/>
      <c r="W85" s="4"/>
      <c r="X85" s="4"/>
      <c r="Y85" s="4"/>
      <c r="Z85" s="4"/>
      <c r="AA85" s="4"/>
      <c r="AB85" s="4"/>
      <c r="AC85" s="4"/>
      <c r="AD85" s="4"/>
      <c r="AE85" s="4"/>
      <c r="AF85" s="4"/>
      <c r="AG85" s="4"/>
    </row>
    <row r="86" spans="1:33" ht="22.5" customHeight="1" x14ac:dyDescent="0.25">
      <c r="A86" s="2"/>
      <c r="B86" s="2"/>
      <c r="C86" s="2"/>
      <c r="D86" s="2"/>
      <c r="E86" s="2"/>
      <c r="F86" s="4"/>
      <c r="G86" s="4"/>
      <c r="H86" s="4" t="s">
        <v>35</v>
      </c>
      <c r="I86" s="4" t="str">
        <f ca="1">IFERROR(__xludf.DUMMYFUNCTION("GOOGLETRANSLATE(B86,""en"",""ar"")"),"يشير الغبار الذي يثيره قدم الجمل إلى...")</f>
        <v>يشير الغبار الذي يثيره قدم الجمل إلى...</v>
      </c>
      <c r="J86" s="4" t="str">
        <f ca="1">IFERROR(__xludf.DUMMYFUNCTION("GOOGLETRANSLATE(C86,""en"",""ar"")"),"أ) الجمل واقفٌ بلا حراك، ب) الأرض مبتلة، ج) الجمل يتحرك بسرعة وقوة، د) الجمل قد سقط للتو")</f>
        <v>أ) الجمل واقفٌ بلا حراك، ب) الأرض مبتلة، ج) الجمل يتحرك بسرعة وقوة، د) الجمل قد سقط للتو</v>
      </c>
      <c r="K86" s="4" t="str">
        <f ca="1">IFERROR(__xludf.DUMMYFUNCTION("GOOGLETRANSLATE(D86,""en"",""ar"")"),"ج) يتحرك الجمل بسرعة وقوة")</f>
        <v>ج) يتحرك الجمل بسرعة وقوة</v>
      </c>
      <c r="L86" s="4" t="str">
        <f ca="1">IFERROR(__xludf.DUMMYFUNCTION("GOOGLETRANSLATE(E86,""en"",""ar"")"),"إن نفخة الرمل هي نتيجة مباشرة لضرب القدم للأرض أثناء المشي السريع.")</f>
        <v>إن نفخة الرمل هي نتيجة مباشرة لضرب القدم للأرض أثناء المشي السريع.</v>
      </c>
      <c r="M86" s="4"/>
      <c r="N86" s="4"/>
      <c r="O86" s="4"/>
      <c r="P86" s="4"/>
      <c r="Q86" s="4"/>
      <c r="R86" s="4"/>
      <c r="S86" s="4"/>
      <c r="T86" s="4"/>
      <c r="U86" s="4"/>
      <c r="V86" s="4"/>
      <c r="W86" s="4"/>
      <c r="X86" s="4"/>
      <c r="Y86" s="4"/>
      <c r="Z86" s="4"/>
      <c r="AA86" s="4"/>
      <c r="AB86" s="4"/>
      <c r="AC86" s="4"/>
      <c r="AD86" s="4"/>
      <c r="AE86" s="4"/>
      <c r="AF86" s="4"/>
      <c r="AG86" s="4"/>
    </row>
    <row r="87" spans="1:33" ht="22.5" customHeight="1" x14ac:dyDescent="0.25">
      <c r="A87" s="2"/>
      <c r="B87" s="2"/>
      <c r="C87" s="2"/>
      <c r="D87" s="2"/>
      <c r="E87" s="2"/>
      <c r="F87" s="4"/>
      <c r="G87" s="4"/>
      <c r="H87" s="4" t="s">
        <v>35</v>
      </c>
      <c r="I87" s="4" t="str">
        <f ca="1">IFERROR(__xludf.DUMMYFUNCTION("GOOGLETRANSLATE(B87,""en"",""ar"")"),"يساعد عمق المجال الضحل (الخلفية الضبابية) على...")</f>
        <v>يساعد عمق المجال الضحل (الخلفية الضبابية) على...</v>
      </c>
      <c r="J87" s="4" t="str">
        <f ca="1">IFERROR(__xludf.DUMMYFUNCTION("GOOGLETRANSLATE(C87,""en"",""ar"")"),"أ) إظهار تفاصيل المشهد الطبيعي، ب) جعل الجمل والراكب الرئيسيين محور التركيز، ج) جعل السباق يبدو أبطأ، د) إخفاء المتسابقين الآخرين")</f>
        <v>أ) إظهار تفاصيل المشهد الطبيعي، ب) جعل الجمل والراكب الرئيسيين محور التركيز، ج) جعل السباق يبدو أبطأ، د) إخفاء المتسابقين الآخرين</v>
      </c>
      <c r="K87" s="4" t="str">
        <f ca="1">IFERROR(__xludf.DUMMYFUNCTION("GOOGLETRANSLATE(D87,""en"",""ar"")"),"ب) اجعل الجمل القائد وفارسه محور التركيز الرئيسي")</f>
        <v>ب) اجعل الجمل القائد وفارسه محور التركيز الرئيسي</v>
      </c>
      <c r="L87" s="4" t="str">
        <f ca="1">IFERROR(__xludf.DUMMYFUNCTION("GOOGLETRANSLATE(E87,""en"",""ar"")"),"من خلال طمس العناصر الأقل أهمية، يوجه المصور عين المشاهد إلى الموضوع الرئيسي.")</f>
        <v>من خلال طمس العناصر الأقل أهمية، يوجه المصور عين المشاهد إلى الموضوع الرئيسي.</v>
      </c>
      <c r="M87" s="4"/>
      <c r="N87" s="4"/>
      <c r="O87" s="4"/>
      <c r="P87" s="4"/>
      <c r="Q87" s="4"/>
      <c r="R87" s="4"/>
      <c r="S87" s="4"/>
      <c r="T87" s="4"/>
      <c r="U87" s="4"/>
      <c r="V87" s="4"/>
      <c r="W87" s="4"/>
      <c r="X87" s="4"/>
      <c r="Y87" s="4"/>
      <c r="Z87" s="4"/>
      <c r="AA87" s="4"/>
      <c r="AB87" s="4"/>
      <c r="AC87" s="4"/>
      <c r="AD87" s="4"/>
      <c r="AE87" s="4"/>
      <c r="AF87" s="4"/>
      <c r="AG87" s="4"/>
    </row>
    <row r="88" spans="1:33" ht="22.5" customHeight="1" x14ac:dyDescent="0.25">
      <c r="A88" s="2"/>
      <c r="B88" s="2"/>
      <c r="C88" s="2"/>
      <c r="D88" s="2"/>
      <c r="E88" s="2"/>
      <c r="F88" s="4"/>
      <c r="G88" s="4"/>
      <c r="H88" s="4" t="s">
        <v>35</v>
      </c>
      <c r="I88" s="4" t="str">
        <f ca="1">IFERROR(__xludf.DUMMYFUNCTION("GOOGLETRANSLATE(B88,""en"",""ar"")"),"أما الدراجون الآخرون في الخلفية فيشيرون إلى أن هذا...")</f>
        <v>أما الدراجون الآخرون في الخلفية فيشيرون إلى أن هذا...</v>
      </c>
      <c r="J88" s="4" t="str">
        <f ca="1">IFERROR(__xludf.DUMMYFUNCTION("GOOGLETRANSLATE(C88,""en"",""ar"")"),"أ) رحلة فردية، ب) سباق تنافسي، ج) شخص يرعى الإبل، د) جلسة تصوير مع عارضة أزياء واحدة")</f>
        <v>أ) رحلة فردية، ب) سباق تنافسي، ج) شخص يرعى الإبل، د) جلسة تصوير مع عارضة أزياء واحدة</v>
      </c>
      <c r="K88" s="4" t="str">
        <f ca="1">IFERROR(__xludf.DUMMYFUNCTION("GOOGLETRANSLATE(D88,""en"",""ar"")"),"ب) سباق تنافسي")</f>
        <v>ب) سباق تنافسي</v>
      </c>
      <c r="L88" s="4" t="str">
        <f ca="1">IFERROR(__xludf.DUMMYFUNCTION("GOOGLETRANSLATE(E88,""en"",""ar"")"),"يؤكد وجود منافسين آخرين أن هذا سباق وليس مجرد شخص واحد يركب بمفرده.")</f>
        <v>يؤكد وجود منافسين آخرين أن هذا سباق وليس مجرد شخص واحد يركب بمفرده.</v>
      </c>
      <c r="M88" s="4"/>
      <c r="N88" s="4"/>
      <c r="O88" s="4"/>
      <c r="P88" s="4"/>
      <c r="Q88" s="4"/>
      <c r="R88" s="4"/>
      <c r="S88" s="4"/>
      <c r="T88" s="4"/>
      <c r="U88" s="4"/>
      <c r="V88" s="4"/>
      <c r="W88" s="4"/>
      <c r="X88" s="4"/>
      <c r="Y88" s="4"/>
      <c r="Z88" s="4"/>
      <c r="AA88" s="4"/>
      <c r="AB88" s="4"/>
      <c r="AC88" s="4"/>
      <c r="AD88" s="4"/>
      <c r="AE88" s="4"/>
      <c r="AF88" s="4"/>
      <c r="AG88" s="4"/>
    </row>
    <row r="89" spans="1:33" ht="22.5" customHeight="1" x14ac:dyDescent="0.25">
      <c r="A89" s="2"/>
      <c r="B89" s="2"/>
      <c r="C89" s="2"/>
      <c r="D89" s="2"/>
      <c r="E89" s="2"/>
      <c r="F89" s="4"/>
      <c r="G89" s="4"/>
      <c r="H89" s="4" t="s">
        <v>35</v>
      </c>
      <c r="I89" s="4" t="str">
        <f ca="1">IFERROR(__xludf.DUMMYFUNCTION("GOOGLETRANSLATE(B89,""en"",""ar"")"),"يبدو أن الوقت من اليوم هو...")</f>
        <v>يبدو أن الوقت من اليوم هو...</v>
      </c>
      <c r="J89" s="4" t="str">
        <f ca="1">IFERROR(__xludf.DUMMYFUNCTION("GOOGLETRANSLATE(C89,""en"",""ar"")"),"أ) منتصف النهار، ب) أواخر فترة ما بعد الظهر أو أوائل المساء، ج) منتصف الليل، د) الصباح الباكر قبل شروق الشمس")</f>
        <v>أ) منتصف النهار، ب) أواخر فترة ما بعد الظهر أو أوائل المساء، ج) منتصف الليل، د) الصباح الباكر قبل شروق الشمس</v>
      </c>
      <c r="K89" s="4" t="str">
        <f ca="1">IFERROR(__xludf.DUMMYFUNCTION("GOOGLETRANSLATE(D89,""en"",""ar"")"),"ب) أواخر فترة ما بعد الظهر أو أوائل المساء")</f>
        <v>ب) أواخر فترة ما بعد الظهر أو أوائل المساء</v>
      </c>
      <c r="L89" s="4" t="str">
        <f ca="1">IFERROR(__xludf.DUMMYFUNCTION("GOOGLETRANSLATE(E89,""en"",""ar"")"),"يتميز الضوء الدافئ والناعم والظلال الطويلة بكون الشمس منخفضة في السماء.")</f>
        <v>يتميز الضوء الدافئ والناعم والظلال الطويلة بكون الشمس منخفضة في السماء.</v>
      </c>
      <c r="M89" s="4"/>
      <c r="N89" s="4"/>
      <c r="O89" s="4"/>
      <c r="P89" s="4"/>
      <c r="Q89" s="4"/>
      <c r="R89" s="4"/>
      <c r="S89" s="4"/>
      <c r="T89" s="4"/>
      <c r="U89" s="4"/>
      <c r="V89" s="4"/>
      <c r="W89" s="4"/>
      <c r="X89" s="4"/>
      <c r="Y89" s="4"/>
      <c r="Z89" s="4"/>
      <c r="AA89" s="4"/>
      <c r="AB89" s="4"/>
      <c r="AC89" s="4"/>
      <c r="AD89" s="4"/>
      <c r="AE89" s="4"/>
      <c r="AF89" s="4"/>
      <c r="AG89" s="4"/>
    </row>
    <row r="90" spans="1:33" ht="22.5" customHeight="1" x14ac:dyDescent="0.25">
      <c r="A90" s="2"/>
      <c r="B90" s="2"/>
      <c r="C90" s="2"/>
      <c r="D90" s="2"/>
      <c r="E90" s="2"/>
      <c r="F90" s="4"/>
      <c r="G90" s="4"/>
      <c r="H90" s="4" t="s">
        <v>35</v>
      </c>
      <c r="I90" s="4" t="str">
        <f ca="1">IFERROR(__xludf.DUMMYFUNCTION("GOOGLETRANSLATE(B90,""en"",""ar"")"),"ما نوع السرج الذي يستخدمه الفارس؟")</f>
        <v>ما نوع السرج الذي يستخدمه الفارس؟</v>
      </c>
      <c r="J90" s="4" t="str">
        <f ca="1">IFERROR(__xludf.DUMMYFUNCTION("GOOGLETRANSLATE(C90,""en"",""ar"")"),"أ) سرج حديث عالي التقنية، ب) سرج سباق تقليدي خفيف الوزن، ج) سرج متين لحمل البضائع، د) لا يوجد سرج ظاهر")</f>
        <v>أ) سرج حديث عالي التقنية، ب) سرج سباق تقليدي خفيف الوزن، ج) سرج متين لحمل البضائع، د) لا يوجد سرج ظاهر</v>
      </c>
      <c r="K90" s="4" t="str">
        <f ca="1">IFERROR(__xludf.DUMMYFUNCTION("GOOGLETRANSLATE(D90,""en"",""ar"")"),"ب) سرج سباق تقليدي خفيف الوزن")</f>
        <v>ب) سرج سباق تقليدي خفيف الوزن</v>
      </c>
      <c r="L90" s="4" t="str">
        <f ca="1">IFERROR(__xludf.DUMMYFUNCTION("GOOGLETRANSLATE(E90,""en"",""ar"")"),"يظهر سرج أحمر صغير مزخرف أسفل الفارس، مصمم خصيصاً للسباقات.")</f>
        <v>يظهر سرج أحمر صغير مزخرف أسفل الفارس، مصمم خصيصاً للسباقات.</v>
      </c>
      <c r="M90" s="4"/>
      <c r="N90" s="4"/>
      <c r="O90" s="4"/>
      <c r="P90" s="4"/>
      <c r="Q90" s="4"/>
      <c r="R90" s="4"/>
      <c r="S90" s="4"/>
      <c r="T90" s="4"/>
      <c r="U90" s="4"/>
      <c r="V90" s="4"/>
      <c r="W90" s="4"/>
      <c r="X90" s="4"/>
      <c r="Y90" s="4"/>
      <c r="Z90" s="4"/>
      <c r="AA90" s="4"/>
      <c r="AB90" s="4"/>
      <c r="AC90" s="4"/>
      <c r="AD90" s="4"/>
      <c r="AE90" s="4"/>
      <c r="AF90" s="4"/>
      <c r="AG90" s="4"/>
    </row>
    <row r="91" spans="1:33" ht="22.5" customHeight="1" x14ac:dyDescent="0.25">
      <c r="A91" s="2"/>
      <c r="B91" s="2"/>
      <c r="C91" s="2"/>
      <c r="D91" s="2"/>
      <c r="E91" s="2"/>
      <c r="F91" s="4"/>
      <c r="G91" s="4"/>
      <c r="H91" s="4" t="s">
        <v>35</v>
      </c>
      <c r="I91" s="4" t="str">
        <f ca="1">IFERROR(__xludf.DUMMYFUNCTION("GOOGLETRANSLATE(B91,""en"",""ar"")"),"تجسد هذه الصورة جوهر سباقات الهجن كـ...")</f>
        <v>تجسد هذه الصورة جوهر سباقات الهجن كـ...</v>
      </c>
      <c r="J91" s="4" t="str">
        <f ca="1">IFERROR(__xludf.DUMMYFUNCTION("GOOGLETRANSLATE(C91,""en"",""ar"")"),"أ) رياضة حديثة تعتمد على التكنولوجيا، ب) حدث احتفالي بحت، ج) مطاردة صحراوية تقليدية ورياضية، د) نشاط بطيء ومريح")</f>
        <v>أ) رياضة حديثة تعتمد على التكنولوجيا، ب) حدث احتفالي بحت، ج) مطاردة صحراوية تقليدية ورياضية، د) نشاط بطيء ومريح</v>
      </c>
      <c r="K91" s="4" t="str">
        <f ca="1">IFERROR(__xludf.DUMMYFUNCTION("GOOGLETRANSLATE(D91,""en"",""ar"")"),"ج) مطاردة صحراوية تقليدية ورياضية")</f>
        <v>ج) مطاردة صحراوية تقليدية ورياضية</v>
      </c>
      <c r="L91" s="4" t="str">
        <f ca="1">IFERROR(__xludf.DUMMYFUNCTION("GOOGLETRANSLATE(E91,""en"",""ar"")"),"تُبرز الصورة مهارة الفارس، وقوة الحيوان، وارتباطهما ببيئة الصحراء.")</f>
        <v>تُبرز الصورة مهارة الفارس، وقوة الحيوان، وارتباطهما ببيئة الصحراء.</v>
      </c>
      <c r="M91" s="4"/>
      <c r="N91" s="4"/>
      <c r="O91" s="4"/>
      <c r="P91" s="4"/>
      <c r="Q91" s="4"/>
      <c r="R91" s="4"/>
      <c r="S91" s="4"/>
      <c r="T91" s="4"/>
      <c r="U91" s="4"/>
      <c r="V91" s="4"/>
      <c r="W91" s="4"/>
      <c r="X91" s="4"/>
      <c r="Y91" s="4"/>
      <c r="Z91" s="4"/>
      <c r="AA91" s="4"/>
      <c r="AB91" s="4"/>
      <c r="AC91" s="4"/>
      <c r="AD91" s="4"/>
      <c r="AE91" s="4"/>
      <c r="AF91" s="4"/>
      <c r="AG91" s="4"/>
    </row>
    <row r="92" spans="1:33" ht="22.5" customHeight="1" x14ac:dyDescent="0.25">
      <c r="A92" s="2"/>
      <c r="B92" s="2"/>
      <c r="C92" s="2"/>
      <c r="D92" s="2"/>
      <c r="E92" s="2"/>
      <c r="F92" s="4"/>
      <c r="G92" s="4"/>
      <c r="H92" s="4" t="s">
        <v>36</v>
      </c>
      <c r="I92" s="4" t="str">
        <f ca="1">IFERROR(__xludf.DUMMYFUNCTION("GOOGLETRANSLATE(B92,""en"",""ar"")"),"ما الحدث الذي يظهر في الصورة؟")</f>
        <v>ما الحدث الذي يظهر في الصورة؟</v>
      </c>
      <c r="J92" s="4" t="str">
        <f ca="1">IFERROR(__xludf.DUMMYFUNCTION("GOOGLETRANSLATE(C92,""en"",""ar"")"),"أ) نهاية سباق، ب) بداية سباق، ج) جمال ترعى في حقل، د) مزاد جمال")</f>
        <v>أ) نهاية سباق، ب) بداية سباق، ج) جمال ترعى في حقل، د) مزاد جمال</v>
      </c>
      <c r="K92" s="4" t="str">
        <f ca="1">IFERROR(__xludf.DUMMYFUNCTION("GOOGLETRANSLATE(D92,""en"",""ar"")"),"ب) بداية السباق")</f>
        <v>ب) بداية السباق</v>
      </c>
      <c r="L92" s="4" t="str">
        <f ca="1">IFERROR(__xludf.DUMMYFUNCTION("GOOGLETRANSLATE(E92,""en"",""ar"")"),"إن المجموعة الكبيرة والمتراصة من الجمال التي تندفع للأمام معاً هي سمة مميزة للبداية الفوضوية للسباق.")</f>
        <v>إن المجموعة الكبيرة والمتراصة من الجمال التي تندفع للأمام معاً هي سمة مميزة للبداية الفوضوية للسباق.</v>
      </c>
      <c r="M92" s="4"/>
      <c r="N92" s="4"/>
      <c r="O92" s="4"/>
      <c r="P92" s="4"/>
      <c r="Q92" s="4"/>
      <c r="R92" s="4"/>
      <c r="S92" s="4"/>
      <c r="T92" s="4"/>
      <c r="U92" s="4"/>
      <c r="V92" s="4"/>
      <c r="W92" s="4"/>
      <c r="X92" s="4"/>
      <c r="Y92" s="4"/>
      <c r="Z92" s="4"/>
      <c r="AA92" s="4"/>
      <c r="AB92" s="4"/>
      <c r="AC92" s="4"/>
      <c r="AD92" s="4"/>
      <c r="AE92" s="4"/>
      <c r="AF92" s="4"/>
      <c r="AG92" s="4"/>
    </row>
    <row r="93" spans="1:33" ht="22.5" customHeight="1" x14ac:dyDescent="0.25">
      <c r="A93" s="2"/>
      <c r="B93" s="2"/>
      <c r="C93" s="2"/>
      <c r="D93" s="2"/>
      <c r="E93" s="2"/>
      <c r="F93" s="4"/>
      <c r="G93" s="4"/>
      <c r="H93" s="4" t="s">
        <v>36</v>
      </c>
      <c r="I93" s="4" t="str">
        <f ca="1">IFERROR(__xludf.DUMMYFUNCTION("GOOGLETRANSLATE(B93,""en"",""ar"")"),"يشير العدد الكبير من الجمال المشاركة إلى أن هذا...")</f>
        <v>يشير العدد الكبير من الجمال المشاركة إلى أن هذا...</v>
      </c>
      <c r="J93" s="4" t="str">
        <f ca="1">IFERROR(__xludf.DUMMYFUNCTION("GOOGLETRANSLATE(C93,""en"",""ar"")"),"أ) سباق صغير وغير رسمي، ب) حدث سباق كبير يحظى بحضور جماهيري كبير، ج) تمرين تدريبي لعدد قليل من الجمال، د) فحص بيطري")</f>
        <v>أ) سباق صغير وغير رسمي، ب) حدث سباق كبير يحظى بحضور جماهيري كبير، ج) تمرين تدريبي لعدد قليل من الجمال، د) فحص بيطري</v>
      </c>
      <c r="K93" s="4" t="str">
        <f ca="1">IFERROR(__xludf.DUMMYFUNCTION("GOOGLETRANSLATE(D93,""en"",""ar"")"),"ب) حدث سباق رئيسي يحظى بحضور جماهيري كبير")</f>
        <v>ب) حدث سباق رئيسي يحظى بحضور جماهيري كبير</v>
      </c>
      <c r="L93" s="4" t="str">
        <f ca="1">IFERROR(__xludf.DUMMYFUNCTION("GOOGLETRANSLATE(E93,""en"",""ar"")"),"يُعدّ ""حقل"" بهذا الحجم نموذجياً لسباق مهم وتنافسي.")</f>
        <v>يُعدّ "حقل" بهذا الحجم نموذجياً لسباق مهم وتنافسي.</v>
      </c>
      <c r="M93" s="4"/>
      <c r="N93" s="4"/>
      <c r="O93" s="4"/>
      <c r="P93" s="4"/>
      <c r="Q93" s="4"/>
      <c r="R93" s="4"/>
      <c r="S93" s="4"/>
      <c r="T93" s="4"/>
      <c r="U93" s="4"/>
      <c r="V93" s="4"/>
      <c r="W93" s="4"/>
      <c r="X93" s="4"/>
      <c r="Y93" s="4"/>
      <c r="Z93" s="4"/>
      <c r="AA93" s="4"/>
      <c r="AB93" s="4"/>
      <c r="AC93" s="4"/>
      <c r="AD93" s="4"/>
      <c r="AE93" s="4"/>
      <c r="AF93" s="4"/>
      <c r="AG93" s="4"/>
    </row>
    <row r="94" spans="1:33" ht="22.5" customHeight="1" x14ac:dyDescent="0.25">
      <c r="A94" s="2"/>
      <c r="B94" s="2"/>
      <c r="C94" s="2"/>
      <c r="D94" s="2"/>
      <c r="E94" s="2"/>
      <c r="F94" s="4"/>
      <c r="G94" s="4"/>
      <c r="H94" s="4" t="s">
        <v>36</v>
      </c>
      <c r="I94" s="4" t="str">
        <f ca="1">IFERROR(__xludf.DUMMYFUNCTION("GOOGLETRANSLATE(B94,""en"",""ar"")"),"ما الذي يُركب على ظهور معظم الجمال؟")</f>
        <v>ما الذي يُركب على ظهور معظم الجمال؟</v>
      </c>
      <c r="J94" s="4" t="str">
        <f ca="1">IFERROR(__xludf.DUMMYFUNCTION("GOOGLETRANSLATE(C94,""en"",""ar"")"),"أ) فرسان بشريون، ب) سلال من المؤن، ج) فرسان آليون صغار يرتدون ألوانًا حريرية زاهية، د) لا شيء")</f>
        <v>أ) فرسان بشريون، ب) سلال من المؤن، ج) فرسان آليون صغار يرتدون ألوانًا حريرية زاهية، د) لا شيء</v>
      </c>
      <c r="K94" s="4" t="str">
        <f ca="1">IFERROR(__xludf.DUMMYFUNCTION("GOOGLETRANSLATE(D94,""en"",""ar"")"),"ج) فرسان آليون صغار يرتدون أقمشة حريرية ملونة")</f>
        <v>ج) فرسان آليون صغار يرتدون أقمشة حريرية ملونة</v>
      </c>
      <c r="L94" s="4" t="str">
        <f ca="1">IFERROR(__xludf.DUMMYFUNCTION("GOOGLETRANSLATE(E94,""en"",""ar"")"),"معظم الجمال مجهزة بفرسان آليين صغار وحديثين، لكل منهم لون مختلف يمثل المالك.")</f>
        <v>معظم الجمال مجهزة بفرسان آليين صغار وحديثين، لكل منهم لون مختلف يمثل المالك.</v>
      </c>
      <c r="M94" s="4"/>
      <c r="N94" s="4"/>
      <c r="O94" s="4"/>
      <c r="P94" s="4"/>
      <c r="Q94" s="4"/>
      <c r="R94" s="4"/>
      <c r="S94" s="4"/>
      <c r="T94" s="4"/>
      <c r="U94" s="4"/>
      <c r="V94" s="4"/>
      <c r="W94" s="4"/>
      <c r="X94" s="4"/>
      <c r="Y94" s="4"/>
      <c r="Z94" s="4"/>
      <c r="AA94" s="4"/>
      <c r="AB94" s="4"/>
      <c r="AC94" s="4"/>
      <c r="AD94" s="4"/>
      <c r="AE94" s="4"/>
      <c r="AF94" s="4"/>
      <c r="AG94" s="4"/>
    </row>
    <row r="95" spans="1:33" ht="22.5" customHeight="1" x14ac:dyDescent="0.25">
      <c r="A95" s="2"/>
      <c r="B95" s="2"/>
      <c r="C95" s="2"/>
      <c r="D95" s="2"/>
      <c r="E95" s="2"/>
      <c r="F95" s="4"/>
      <c r="G95" s="4"/>
      <c r="H95" s="4" t="s">
        <v>36</v>
      </c>
      <c r="I95" s="4" t="str">
        <f ca="1">IFERROR(__xludf.DUMMYFUNCTION("GOOGLETRANSLATE(B95,""en"",""ar"")"),"سطح السباق عبارة عن مضمار مُجهز مصنوع من ماذا؟")</f>
        <v>سطح السباق عبارة عن مضمار مُجهز مصنوع من ماذا؟</v>
      </c>
      <c r="J95" s="4" t="str">
        <f ca="1">IFERROR(__xludf.DUMMYFUNCTION("GOOGLETRANSLATE(C95,""en"",""ar"")"),"أ) عشب أخضر، ب) أسفلت، ج) رمل أو تراب، د) نشارة خشب")</f>
        <v>أ) عشب أخضر، ب) أسفلت، ج) رمل أو تراب، د) نشارة خشب</v>
      </c>
      <c r="K95" s="4" t="str">
        <f ca="1">IFERROR(__xludf.DUMMYFUNCTION("GOOGLETRANSLATE(D95,""en"",""ar"")"),"ج) الرمل أو التراب")</f>
        <v>ج) الرمل أو التراب</v>
      </c>
      <c r="L95" s="4" t="str">
        <f ca="1">IFERROR(__xludf.DUMMYFUNCTION("GOOGLETRANSLATE(E95,""en"",""ar"")"),"يدل اللون البني الفاتح والملمس الترابي على أنه مضمار رملي رسمي مصمم لسباقات الهجن.")</f>
        <v>يدل اللون البني الفاتح والملمس الترابي على أنه مضمار رملي رسمي مصمم لسباقات الهجن.</v>
      </c>
      <c r="M95" s="4"/>
      <c r="N95" s="4"/>
      <c r="O95" s="4"/>
      <c r="P95" s="4"/>
      <c r="Q95" s="4"/>
      <c r="R95" s="4"/>
      <c r="S95" s="4"/>
      <c r="T95" s="4"/>
      <c r="U95" s="4"/>
      <c r="V95" s="4"/>
      <c r="W95" s="4"/>
      <c r="X95" s="4"/>
      <c r="Y95" s="4"/>
      <c r="Z95" s="4"/>
      <c r="AA95" s="4"/>
      <c r="AB95" s="4"/>
      <c r="AC95" s="4"/>
      <c r="AD95" s="4"/>
      <c r="AE95" s="4"/>
      <c r="AF95" s="4"/>
      <c r="AG95" s="4"/>
    </row>
    <row r="96" spans="1:33" ht="22.5" customHeight="1" x14ac:dyDescent="0.25">
      <c r="A96" s="2"/>
      <c r="B96" s="2"/>
      <c r="C96" s="2"/>
      <c r="D96" s="2"/>
      <c r="E96" s="2"/>
      <c r="F96" s="4"/>
      <c r="G96" s="4"/>
      <c r="H96" s="4" t="s">
        <v>36</v>
      </c>
      <c r="I96" s="4" t="str">
        <f ca="1">IFERROR(__xludf.DUMMYFUNCTION("GOOGLETRANSLATE(B96,""en"",""ar"")"),"ما هو السلوك العام للإبل عند بداية السباق؟")</f>
        <v>ما هو السلوك العام للإبل عند بداية السباق؟</v>
      </c>
      <c r="J96" s="4" t="str">
        <f ca="1">IFERROR(__xludf.DUMMYFUNCTION("GOOGLETRANSLATE(C96,""en"",""ar"")"),"أ) هادئون ومنظمون، ب) جميعهم يسيرون ببطء، ج) نشيطون وفوضويون ومندفعون للأمام، د) يرفضون الركض")</f>
        <v>أ) هادئون ومنظمون، ب) جميعهم يسيرون ببطء، ج) نشيطون وفوضويون ومندفعون للأمام، د) يرفضون الركض</v>
      </c>
      <c r="K96" s="4" t="str">
        <f ca="1">IFERROR(__xludf.DUMMYFUNCTION("GOOGLETRANSLATE(D96,""en"",""ar"")"),"ج) نشيط، وفوضوي، ومندفع للأمام")</f>
        <v>ج) نشيط، وفوضوي، ومندفع للأمام</v>
      </c>
      <c r="L96" s="4" t="str">
        <f ca="1">IFERROR(__xludf.DUMMYFUNCTION("GOOGLETRANSLATE(E96,""en"",""ar"")"),"البداية عبارة عن اندفاعة من الطاقة، حيث تحاول جميع الجمال الحصول على موقع جيد، مما يخلق مشهداً فوضوياً.")</f>
        <v>البداية عبارة عن اندفاعة من الطاقة، حيث تحاول جميع الجمال الحصول على موقع جيد، مما يخلق مشهداً فوضوياً.</v>
      </c>
      <c r="M96" s="4"/>
      <c r="N96" s="4"/>
      <c r="O96" s="4"/>
      <c r="P96" s="4"/>
      <c r="Q96" s="4"/>
      <c r="R96" s="4"/>
      <c r="S96" s="4"/>
      <c r="T96" s="4"/>
      <c r="U96" s="4"/>
      <c r="V96" s="4"/>
      <c r="W96" s="4"/>
      <c r="X96" s="4"/>
      <c r="Y96" s="4"/>
      <c r="Z96" s="4"/>
      <c r="AA96" s="4"/>
      <c r="AB96" s="4"/>
      <c r="AC96" s="4"/>
      <c r="AD96" s="4"/>
      <c r="AE96" s="4"/>
      <c r="AF96" s="4"/>
      <c r="AG96" s="4"/>
    </row>
    <row r="97" spans="1:33" ht="22.5" customHeight="1" x14ac:dyDescent="0.25">
      <c r="A97" s="2"/>
      <c r="B97" s="2"/>
      <c r="C97" s="2"/>
      <c r="D97" s="2"/>
      <c r="E97" s="2"/>
      <c r="F97" s="4"/>
      <c r="G97" s="4"/>
      <c r="H97" s="4" t="s">
        <v>36</v>
      </c>
      <c r="I97" s="4" t="str">
        <f ca="1">IFERROR(__xludf.DUMMYFUNCTION("GOOGLETRANSLATE(B97,""en"",""ar"")"),"تُستخدم السروج وأغطية الروبوت ذات الألوان المختلفة لـ...")</f>
        <v>تُستخدم السروج وأغطية الروبوت ذات الألوان المختلفة لـ...</v>
      </c>
      <c r="J97" s="4" t="str">
        <f ca="1">IFERROR(__xludf.DUMMYFUNCTION("GOOGLETRANSLATE(C97,""en"",""ar"")"),"أ) الحفاظ على برودة الإبل، ب) تحديد الملاك والإسطبلات المختلفة، ج) زيادة وزن الإبل، د) مساعدة الإبل على الجري بشكل أسرع")</f>
        <v>أ) الحفاظ على برودة الإبل، ب) تحديد الملاك والإسطبلات المختلفة، ج) زيادة وزن الإبل، د) مساعدة الإبل على الجري بشكل أسرع</v>
      </c>
      <c r="K97" s="4" t="str">
        <f ca="1">IFERROR(__xludf.DUMMYFUNCTION("GOOGLETRANSLATE(D97,""en"",""ar"")"),"ب) حدد الملاك والإسطبلات المختلفة")</f>
        <v>ب) حدد الملاك والإسطبلات المختلفة</v>
      </c>
      <c r="L97" s="4" t="str">
        <f ca="1">IFERROR(__xludf.DUMMYFUNCTION("GOOGLETRANSLATE(E97,""en"",""ar"")"),"هذه هي ""ألوان السباق"" أو ""الأقمشة الحريرية"" التي تميز جمل أحد المتسابقين عن الآخر.")</f>
        <v>هذه هي "ألوان السباق" أو "الأقمشة الحريرية" التي تميز جمل أحد المتسابقين عن الآخر.</v>
      </c>
      <c r="M97" s="4"/>
      <c r="N97" s="4"/>
      <c r="O97" s="4"/>
      <c r="P97" s="4"/>
      <c r="Q97" s="4"/>
      <c r="R97" s="4"/>
      <c r="S97" s="4"/>
      <c r="T97" s="4"/>
      <c r="U97" s="4"/>
      <c r="V97" s="4"/>
      <c r="W97" s="4"/>
      <c r="X97" s="4"/>
      <c r="Y97" s="4"/>
      <c r="Z97" s="4"/>
      <c r="AA97" s="4"/>
      <c r="AB97" s="4"/>
      <c r="AC97" s="4"/>
      <c r="AD97" s="4"/>
      <c r="AE97" s="4"/>
      <c r="AF97" s="4"/>
      <c r="AG97" s="4"/>
    </row>
    <row r="98" spans="1:33" ht="22.5" customHeight="1" x14ac:dyDescent="0.25">
      <c r="A98" s="2"/>
      <c r="B98" s="2"/>
      <c r="C98" s="2"/>
      <c r="D98" s="2"/>
      <c r="E98" s="2"/>
      <c r="F98" s="4"/>
      <c r="G98" s="4"/>
      <c r="H98" s="4" t="s">
        <v>36</v>
      </c>
      <c r="I98" s="4" t="str">
        <f ca="1">IFERROR(__xludf.DUMMYFUNCTION("GOOGLETRANSLATE(B98,""en"",""ar"")"),"يشير السياج أو الحاجز الموجود على الجانب الأيسر من الصورة إلى أن هذا...")</f>
        <v>يشير السياج أو الحاجز الموجود على الجانب الأيسر من الصورة إلى أن هذا...</v>
      </c>
      <c r="J98" s="4" t="str">
        <f ca="1">IFERROR(__xludf.DUMMYFUNCTION("GOOGLETRANSLATE(C98,""en"",""ar"")"),"أ) مسار صحراوي مفتوح، ب) مضمار سباق مسوّر رسميًا، ج) حديقة عامة، د) مزرعة خاصة")</f>
        <v>أ) مسار صحراوي مفتوح، ب) مضمار سباق مسوّر رسميًا، ج) حديقة عامة، د) مزرعة خاصة</v>
      </c>
      <c r="K98" s="4" t="str">
        <f ca="1">IFERROR(__xludf.DUMMYFUNCTION("GOOGLETRANSLATE(D98,""en"",""ar"")"),"ب) مضمار سباق مغلق رسميًا")</f>
        <v>ب) مضمار سباق مغلق رسميًا</v>
      </c>
      <c r="L98" s="4" t="str">
        <f ca="1">IFERROR(__xludf.DUMMYFUNCTION("GOOGLETRANSLATE(E98,""en"",""ar"")"),"إن وجود حاجز يدل على أن هذا مكان حديث مصمم خصيصاً لهذه الرياضة.")</f>
        <v>إن وجود حاجز يدل على أن هذا مكان حديث مصمم خصيصاً لهذه الرياضة.</v>
      </c>
      <c r="M98" s="4"/>
      <c r="N98" s="4"/>
      <c r="O98" s="4"/>
      <c r="P98" s="4"/>
      <c r="Q98" s="4"/>
      <c r="R98" s="4"/>
      <c r="S98" s="4"/>
      <c r="T98" s="4"/>
      <c r="U98" s="4"/>
      <c r="V98" s="4"/>
      <c r="W98" s="4"/>
      <c r="X98" s="4"/>
      <c r="Y98" s="4"/>
      <c r="Z98" s="4"/>
      <c r="AA98" s="4"/>
      <c r="AB98" s="4"/>
      <c r="AC98" s="4"/>
      <c r="AD98" s="4"/>
      <c r="AE98" s="4"/>
      <c r="AF98" s="4"/>
      <c r="AG98" s="4"/>
    </row>
    <row r="99" spans="1:33" ht="22.5" customHeight="1" x14ac:dyDescent="0.25">
      <c r="A99" s="2"/>
      <c r="B99" s="2"/>
      <c r="C99" s="2"/>
      <c r="D99" s="2"/>
      <c r="E99" s="2"/>
      <c r="F99" s="4"/>
      <c r="G99" s="4"/>
      <c r="H99" s="4" t="s">
        <v>36</v>
      </c>
      <c r="I99" s="4" t="str">
        <f ca="1">IFERROR(__xludf.DUMMYFUNCTION("GOOGLETRANSLATE(B99,""en"",""ar"")"),"ماذا يفعل الجمل ذو السرج الأصفر في المقدمة؟")</f>
        <v>ماذا يفعل الجمل ذو السرج الأصفر في المقدمة؟</v>
      </c>
      <c r="J99" s="4" t="str">
        <f ca="1">IFERROR(__xludf.DUMMYFUNCTION("GOOGLETRANSLATE(C99,""en"",""ar"")"),"أ) إنه متقدم في السباق، ب) لقد توقف عن الجري، ج) إنه يعض جملاً آخر، د) إنه قريب من مقدمة المجموعة")</f>
        <v>أ) إنه متقدم في السباق، ب) لقد توقف عن الجري، ج) إنه يعض جملاً آخر، د) إنه قريب من مقدمة المجموعة</v>
      </c>
      <c r="K99" s="4" t="str">
        <f ca="1">IFERROR(__xludf.DUMMYFUNCTION("GOOGLETRANSLATE(D99,""en"",""ar"")"),"أ) إنها تتصدر السباق")</f>
        <v>أ) إنها تتصدر السباق</v>
      </c>
      <c r="L99" s="4" t="str">
        <f ca="1">IFERROR(__xludf.DUMMYFUNCTION("GOOGLETRANSLATE(E99,""en"",""ar"")"),"في هذه اللحظة، يبدو أن الجمل ذو الحرير الأصفر واللجام الأخضر والأبيض متقدم قليلاً على الآخرين.")</f>
        <v>في هذه اللحظة، يبدو أن الجمل ذو الحرير الأصفر واللجام الأخضر والأبيض متقدم قليلاً على الآخرين.</v>
      </c>
      <c r="M99" s="4"/>
      <c r="N99" s="4"/>
      <c r="O99" s="4"/>
      <c r="P99" s="4"/>
      <c r="Q99" s="4"/>
      <c r="R99" s="4"/>
      <c r="S99" s="4"/>
      <c r="T99" s="4"/>
      <c r="U99" s="4"/>
      <c r="V99" s="4"/>
      <c r="W99" s="4"/>
      <c r="X99" s="4"/>
      <c r="Y99" s="4"/>
      <c r="Z99" s="4"/>
      <c r="AA99" s="4"/>
      <c r="AB99" s="4"/>
      <c r="AC99" s="4"/>
      <c r="AD99" s="4"/>
      <c r="AE99" s="4"/>
      <c r="AF99" s="4"/>
      <c r="AG99" s="4"/>
    </row>
    <row r="100" spans="1:33" ht="22.5" customHeight="1" x14ac:dyDescent="0.25">
      <c r="A100" s="2"/>
      <c r="B100" s="2"/>
      <c r="C100" s="2"/>
      <c r="D100" s="2"/>
      <c r="E100" s="2"/>
      <c r="F100" s="4"/>
      <c r="G100" s="4"/>
      <c r="H100" s="4" t="s">
        <v>36</v>
      </c>
      <c r="I100" s="4" t="str">
        <f ca="1">IFERROR(__xludf.DUMMYFUNCTION("GOOGLETRANSLATE(B100,""en"",""ar"")"),"من المرجح أن العلم الظاهر في الزاوية العلوية اليمنى يمثل...")</f>
        <v>من المرجح أن العلم الظاهر في الزاوية العلوية اليمنى يمثل...</v>
      </c>
      <c r="J100" s="4" t="str">
        <f ca="1">IFERROR(__xludf.DUMMYFUNCTION("GOOGLETRANSLATE(C100,""en"",""ar"")"),"أ) تحذير جوي، ب) الدولة أو الإمارة التي يُقام فيها السباق، ج) خط البداية/النهاية، د) راعٍ مؤسسي")</f>
        <v>أ) تحذير جوي، ب) الدولة أو الإمارة التي يُقام فيها السباق، ج) خط البداية/النهاية، د) راعٍ مؤسسي</v>
      </c>
      <c r="K100" s="4" t="str">
        <f ca="1">IFERROR(__xludf.DUMMYFUNCTION("GOOGLETRANSLATE(D100,""en"",""ar"")"),"ب) الدولة أو الإمارة التي يُقام فيها السباق")</f>
        <v>ب) الدولة أو الإمارة التي يُقام فيها السباق</v>
      </c>
      <c r="L100" s="4" t="str">
        <f ca="1">IFERROR(__xludf.DUMMYFUNCTION("GOOGLETRANSLATE(E100,""en"",""ar"")"),"تُرفع أعلام الدولة أو الولاية المضيفة (مثل الإمارات العربية المتحدة أو قطر أو المملكة العربية السعودية) بشكل شائع في الأحداث الرياضية الكبرى.")</f>
        <v>تُرفع أعلام الدولة أو الولاية المضيفة (مثل الإمارات العربية المتحدة أو قطر أو المملكة العربية السعودية) بشكل شائع في الأحداث الرياضية الكبرى.</v>
      </c>
      <c r="M100" s="4"/>
      <c r="N100" s="4"/>
      <c r="O100" s="4"/>
      <c r="P100" s="4"/>
      <c r="Q100" s="4"/>
      <c r="R100" s="4"/>
      <c r="S100" s="4"/>
      <c r="T100" s="4"/>
      <c r="U100" s="4"/>
      <c r="V100" s="4"/>
      <c r="W100" s="4"/>
      <c r="X100" s="4"/>
      <c r="Y100" s="4"/>
      <c r="Z100" s="4"/>
      <c r="AA100" s="4"/>
      <c r="AB100" s="4"/>
      <c r="AC100" s="4"/>
      <c r="AD100" s="4"/>
      <c r="AE100" s="4"/>
      <c r="AF100" s="4"/>
      <c r="AG100" s="4"/>
    </row>
    <row r="101" spans="1:33" ht="22.5" customHeight="1" x14ac:dyDescent="0.25">
      <c r="A101" s="2"/>
      <c r="B101" s="2"/>
      <c r="C101" s="2"/>
      <c r="D101" s="2"/>
      <c r="E101" s="2"/>
      <c r="F101" s="4"/>
      <c r="G101" s="4"/>
      <c r="H101" s="4" t="s">
        <v>36</v>
      </c>
      <c r="I101" s="4" t="str">
        <f ca="1">IFERROR(__xludf.DUMMYFUNCTION("GOOGLETRANSLATE(B101,""en"",""ar"")"),"تُظهر هذه الصورة مزيجًا من...")</f>
        <v>تُظهر هذه الصورة مزيجًا من...</v>
      </c>
      <c r="J101" s="4" t="str">
        <f ca="1">IFERROR(__xludf.DUMMYFUNCTION("GOOGLETRANSLATE(C101,""en"",""ar"")"),"أ) التكنولوجيا القديمة والحديثة، ب) أنواع الحيوانات المختلفة، ج) الرياضات الصيفية والشتوية، د) الأنشطة البرية والمائية")</f>
        <v>أ) التكنولوجيا القديمة والحديثة، ب) أنواع الحيوانات المختلفة، ج) الرياضات الصيفية والشتوية، د) الأنشطة البرية والمائية</v>
      </c>
      <c r="K101" s="4" t="str">
        <f ca="1">IFERROR(__xludf.DUMMYFUNCTION("GOOGLETRANSLATE(D101,""en"",""ar"")"),"أ) التكنولوجيا القديمة والجديدة")</f>
        <v>أ) التكنولوجيا القديمة والجديدة</v>
      </c>
      <c r="L101" s="4" t="str">
        <f ca="1">IFERROR(__xludf.DUMMYFUNCTION("GOOGLETRANSLATE(E101,""en"",""ar"")"),"يُعرض في هذا الفيديو رياضة سباق الهجن القديمة باستخدام التكنولوجيا الحديثة مثل الفرسان الآليين على مضمار سباق رسمي.")</f>
        <v>يُعرض في هذا الفيديو رياضة سباق الهجن القديمة باستخدام التكنولوجيا الحديثة مثل الفرسان الآليين على مضمار سباق رسمي.</v>
      </c>
      <c r="M101" s="4"/>
      <c r="N101" s="4"/>
      <c r="O101" s="4"/>
      <c r="P101" s="4"/>
      <c r="Q101" s="4"/>
      <c r="R101" s="4"/>
      <c r="S101" s="4"/>
      <c r="T101" s="4"/>
      <c r="U101" s="4"/>
      <c r="V101" s="4"/>
      <c r="W101" s="4"/>
      <c r="X101" s="4"/>
      <c r="Y101" s="4"/>
      <c r="Z101" s="4"/>
      <c r="AA101" s="4"/>
      <c r="AB101" s="4"/>
      <c r="AC101" s="4"/>
      <c r="AD101" s="4"/>
      <c r="AE101" s="4"/>
      <c r="AF101" s="4"/>
      <c r="AG101" s="4"/>
    </row>
    <row r="102" spans="1:33" ht="22.5" customHeight="1" x14ac:dyDescent="0.25">
      <c r="A102" s="2"/>
      <c r="B102" s="2"/>
      <c r="C102" s="2"/>
      <c r="D102" s="2"/>
      <c r="E102" s="2"/>
      <c r="F102" s="4"/>
      <c r="G102" s="4"/>
      <c r="H102" s="4" t="s">
        <v>37</v>
      </c>
      <c r="I102" s="4" t="str">
        <f ca="1">IFERROR(__xludf.DUMMYFUNCTION("GOOGLETRANSLATE(B102,""en"",""ar"")"),"ما هو الوقت من اليوم الذي توحي به الإضاءة الخافتة والألوان في السماء؟")</f>
        <v>ما هو الوقت من اليوم الذي توحي به الإضاءة الخافتة والألوان في السماء؟</v>
      </c>
      <c r="J102" s="4" t="str">
        <f ca="1">IFERROR(__xludf.DUMMYFUNCTION("GOOGLETRANSLATE(C102,""en"",""ar"")"),"أ) منتصف النهار، ب) الفجر أو الغسق، ج) منتصف الليل، د) كسوف الشمس")</f>
        <v>أ) منتصف النهار، ب) الفجر أو الغسق، ج) منتصف الليل، د) كسوف الشمس</v>
      </c>
      <c r="K102" s="4" t="str">
        <f ca="1">IFERROR(__xludf.DUMMYFUNCTION("GOOGLETRANSLATE(D102,""en"",""ar"")"),"ب) الفجر أو الغسق")</f>
        <v>ب) الفجر أو الغسق</v>
      </c>
      <c r="L102" s="4" t="str">
        <f ca="1">IFERROR(__xludf.DUMMYFUNCTION("GOOGLETRANSLATE(E102,""en"",""ar"")"),"يتميز الضوء اللطيف غير المباشر والألوان الهادئة بالفترات التي تسبق شروق الشمس مباشرة أو التي تلي غروبها.")</f>
        <v>يتميز الضوء اللطيف غير المباشر والألوان الهادئة بالفترات التي تسبق شروق الشمس مباشرة أو التي تلي غروبها.</v>
      </c>
      <c r="M102" s="4"/>
      <c r="N102" s="4"/>
      <c r="O102" s="4"/>
      <c r="P102" s="4"/>
      <c r="Q102" s="4"/>
      <c r="R102" s="4"/>
      <c r="S102" s="4"/>
      <c r="T102" s="4"/>
      <c r="U102" s="4"/>
      <c r="V102" s="4"/>
      <c r="W102" s="4"/>
      <c r="X102" s="4"/>
      <c r="Y102" s="4"/>
      <c r="Z102" s="4"/>
      <c r="AA102" s="4"/>
      <c r="AB102" s="4"/>
      <c r="AC102" s="4"/>
      <c r="AD102" s="4"/>
      <c r="AE102" s="4"/>
      <c r="AF102" s="4"/>
      <c r="AG102" s="4"/>
    </row>
    <row r="103" spans="1:33" ht="22.5" customHeight="1" x14ac:dyDescent="0.25">
      <c r="A103" s="2"/>
      <c r="B103" s="2"/>
      <c r="C103" s="2"/>
      <c r="D103" s="2"/>
      <c r="E103" s="2"/>
      <c r="F103" s="4"/>
      <c r="G103" s="4"/>
      <c r="H103" s="4" t="s">
        <v>37</v>
      </c>
      <c r="I103" s="4" t="str">
        <f ca="1">IFERROR(__xludf.DUMMYFUNCTION("GOOGLETRANSLATE(B103,""en"",""ar"")"),"ما هو الفرق الأهم بين ""راكبي"" الجملين؟")</f>
        <v>ما هو الفرق الأهم بين "راكبي" الجملين؟</v>
      </c>
      <c r="J103" s="4" t="str">
        <f ca="1">IFERROR(__xludf.DUMMYFUNCTION("GOOGLETRANSLATE(C103,""en"",""ar"")"),"أ) أحدهما يرتدي قبعة، والآخر لا يرتديها، ب) أحدهما فارس بشري، والآخر فارس آلي صغير، ج) أحدهما ينظر للأمام، والآخر ينظر للخلف، د) أحدهما يحمل بطانية، والآخر لا يحملها")</f>
        <v>أ) أحدهما يرتدي قبعة، والآخر لا يرتديها، ب) أحدهما فارس بشري، والآخر فارس آلي صغير، ج) أحدهما ينظر للأمام، والآخر ينظر للخلف، د) أحدهما يحمل بطانية، والآخر لا يحملها</v>
      </c>
      <c r="K103" s="4" t="str">
        <f ca="1">IFERROR(__xludf.DUMMYFUNCTION("GOOGLETRANSLATE(D103,""en"",""ar"")"),"ب) أحدهما فارس بشري، والآخر فارس آلي صغير")</f>
        <v>ب) أحدهما فارس بشري، والآخر فارس آلي صغير</v>
      </c>
      <c r="L103" s="4" t="str">
        <f ca="1">IFERROR(__xludf.DUMMYFUNCTION("GOOGLETRANSLATE(E103,""en"",""ar"")"),"الجمل الموجود على اليسار عليه راكب بشري، بينما الجمل الموجود على اليمين مزود بفارس آلي حديث يتم التحكم فيه عن بعد.")</f>
        <v>الجمل الموجود على اليسار عليه راكب بشري، بينما الجمل الموجود على اليمين مزود بفارس آلي حديث يتم التحكم فيه عن بعد.</v>
      </c>
      <c r="M103" s="4"/>
      <c r="N103" s="4"/>
      <c r="O103" s="4"/>
      <c r="P103" s="4"/>
      <c r="Q103" s="4"/>
      <c r="R103" s="4"/>
      <c r="S103" s="4"/>
      <c r="T103" s="4"/>
      <c r="U103" s="4"/>
      <c r="V103" s="4"/>
      <c r="W103" s="4"/>
      <c r="X103" s="4"/>
      <c r="Y103" s="4"/>
      <c r="Z103" s="4"/>
      <c r="AA103" s="4"/>
      <c r="AB103" s="4"/>
      <c r="AC103" s="4"/>
      <c r="AD103" s="4"/>
      <c r="AE103" s="4"/>
      <c r="AF103" s="4"/>
      <c r="AG103" s="4"/>
    </row>
    <row r="104" spans="1:33" ht="22.5" customHeight="1" x14ac:dyDescent="0.25">
      <c r="A104" s="2"/>
      <c r="B104" s="2"/>
      <c r="C104" s="2"/>
      <c r="D104" s="2"/>
      <c r="E104" s="2"/>
      <c r="F104" s="4"/>
      <c r="G104" s="4"/>
      <c r="H104" s="4" t="s">
        <v>37</v>
      </c>
      <c r="I104" s="4" t="str">
        <f ca="1">IFERROR(__xludf.DUMMYFUNCTION("GOOGLETRANSLATE(B104,""en"",""ar"")"),"ما الغرض من الأغطية المزخرفة على الجمال؟")</f>
        <v>ما الغرض من الأغطية المزخرفة على الجمال؟</v>
      </c>
      <c r="J104" s="4" t="str">
        <f ca="1">IFERROR(__xludf.DUMMYFUNCTION("GOOGLETRANSLATE(C104,""en"",""ar"")"),"أ) هي للزينة فقط، ب) لتوفير الدفء أو حماية الحيوان من السرج، ج) للعمل كمظلة، د) لإخفاء هوية الجمل")</f>
        <v>أ) هي للزينة فقط، ب) لتوفير الدفء أو حماية الحيوان من السرج، ج) للعمل كمظلة، د) لإخفاء هوية الجمل</v>
      </c>
      <c r="K104" s="4" t="str">
        <f ca="1">IFERROR(__xludf.DUMMYFUNCTION("GOOGLETRANSLATE(D104,""en"",""ar"")"),"ب) لتوفير الدفء أو حماية الحيوان من السرج")</f>
        <v>ب) لتوفير الدفء أو حماية الحيوان من السرج</v>
      </c>
      <c r="L104" s="4" t="str">
        <f ca="1">IFERROR(__xludf.DUMMYFUNCTION("GOOGLETRANSLATE(E104,""en"",""ar"")"),"يمكن استخدام البطانيات للحفاظ على دفء عضلات الجمل في المساء/الصباح البارد في الصحراء، كما أنها توفر حشوة تحت السرج.")</f>
        <v>يمكن استخدام البطانيات للحفاظ على دفء عضلات الجمل في المساء/الصباح البارد في الصحراء، كما أنها توفر حشوة تحت السرج.</v>
      </c>
      <c r="M104" s="4"/>
      <c r="N104" s="4"/>
      <c r="O104" s="4"/>
      <c r="P104" s="4"/>
      <c r="Q104" s="4"/>
      <c r="R104" s="4"/>
      <c r="S104" s="4"/>
      <c r="T104" s="4"/>
      <c r="U104" s="4"/>
      <c r="V104" s="4"/>
      <c r="W104" s="4"/>
      <c r="X104" s="4"/>
      <c r="Y104" s="4"/>
      <c r="Z104" s="4"/>
      <c r="AA104" s="4"/>
      <c r="AB104" s="4"/>
      <c r="AC104" s="4"/>
      <c r="AD104" s="4"/>
      <c r="AE104" s="4"/>
      <c r="AF104" s="4"/>
      <c r="AG104" s="4"/>
    </row>
    <row r="105" spans="1:33" ht="22.5" customHeight="1" x14ac:dyDescent="0.25">
      <c r="A105" s="2"/>
      <c r="B105" s="2"/>
      <c r="C105" s="2"/>
      <c r="D105" s="2"/>
      <c r="E105" s="2"/>
      <c r="F105" s="4"/>
      <c r="G105" s="4"/>
      <c r="H105" s="4" t="s">
        <v>37</v>
      </c>
      <c r="I105" s="4" t="str">
        <f ca="1">IFERROR(__xludf.DUMMYFUNCTION("GOOGLETRANSLATE(B105,""en"",""ar"")"),"ماذا يرمز إليه الرقم ""2"" الموجود على هوائي الفارس الآلي؟")</f>
        <v>ماذا يرمز إليه الرقم "2" الموجود على هوائي الفارس الآلي؟</v>
      </c>
      <c r="J105" s="4" t="str">
        <f ca="1">IFERROR(__xludf.DUMMYFUNCTION("GOOGLETRANSLATE(C105,""en"",""ar"")"),"أ) عمر الجمل، ب) رقم الجمل المخصص للسباق، ج) رقم طراز الروبوت، د) عدد السباقات التي فاز بها الجمل")</f>
        <v>أ) عمر الجمل، ب) رقم الجمل المخصص للسباق، ج) رقم طراز الروبوت، د) عدد السباقات التي فاز بها الجمل</v>
      </c>
      <c r="K105" s="4" t="str">
        <f ca="1">IFERROR(__xludf.DUMMYFUNCTION("GOOGLETRANSLATE(D105,""en"",""ar"")"),"ب) الرقم المخصص للجمل في السباق")</f>
        <v>ب) الرقم المخصص للجمل في السباق</v>
      </c>
      <c r="L105" s="4" t="str">
        <f ca="1">IFERROR(__xludf.DUMMYFUNCTION("GOOGLETRANSLATE(E105,""en"",""ar"")"),"يُستخدم هذا الرقم لتحديد الجمل المحدد أثناء المسابقة.")</f>
        <v>يُستخدم هذا الرقم لتحديد الجمل المحدد أثناء المسابقة.</v>
      </c>
      <c r="M105" s="4"/>
      <c r="N105" s="4"/>
      <c r="O105" s="4"/>
      <c r="P105" s="4"/>
      <c r="Q105" s="4"/>
      <c r="R105" s="4"/>
      <c r="S105" s="4"/>
      <c r="T105" s="4"/>
      <c r="U105" s="4"/>
      <c r="V105" s="4"/>
      <c r="W105" s="4"/>
      <c r="X105" s="4"/>
      <c r="Y105" s="4"/>
      <c r="Z105" s="4"/>
      <c r="AA105" s="4"/>
      <c r="AB105" s="4"/>
      <c r="AC105" s="4"/>
      <c r="AD105" s="4"/>
      <c r="AE105" s="4"/>
      <c r="AF105" s="4"/>
      <c r="AG105" s="4"/>
    </row>
    <row r="106" spans="1:33" ht="22.5" customHeight="1" x14ac:dyDescent="0.25">
      <c r="A106" s="2"/>
      <c r="B106" s="2"/>
      <c r="C106" s="2"/>
      <c r="D106" s="2"/>
      <c r="E106" s="2"/>
      <c r="F106" s="4"/>
      <c r="G106" s="4"/>
      <c r="H106" s="4" t="s">
        <v>37</v>
      </c>
      <c r="I106" s="4" t="str">
        <f ca="1">IFERROR(__xludf.DUMMYFUNCTION("GOOGLETRANSLATE(B106,""en"",""ar"")"),"ما هو الجو العام لهذا المشهد؟")</f>
        <v>ما هو الجو العام لهذا المشهد؟</v>
      </c>
      <c r="J106" s="4" t="str">
        <f ca="1">IFERROR(__xludf.DUMMYFUNCTION("GOOGLETRANSLATE(C106,""en"",""ar"")"),"أ) صاخب، فوضوي، وسريع الوتيرة، ب) هادئ، ساكن، ومُهيئ، ج) متوتر وخطير، د) بهيج واحتفالي")</f>
        <v>أ) صاخب، فوضوي، وسريع الوتيرة، ب) هادئ، ساكن، ومُهيئ، ج) متوتر وخطير، د) بهيج واحتفالي</v>
      </c>
      <c r="K106" s="4" t="str">
        <f ca="1">IFERROR(__xludf.DUMMYFUNCTION("GOOGLETRANSLATE(D106,""en"",""ar"")"),"ب) هادئ، ساكن، ومستعد")</f>
        <v>ب) هادئ، ساكن، ومستعد</v>
      </c>
      <c r="L106" s="4" t="str">
        <f ca="1">IFERROR(__xludf.DUMMYFUNCTION("GOOGLETRANSLATE(E106,""en"",""ar"")"),"تتميز الصورة بجو من السكون والهدوء، مما يوحي بلحظة راحة أو استعداد قبل أو بعد السباق، وليس أثناء السباق.")</f>
        <v>تتميز الصورة بجو من السكون والهدوء، مما يوحي بلحظة راحة أو استعداد قبل أو بعد السباق، وليس أثناء السباق.</v>
      </c>
      <c r="M106" s="4"/>
      <c r="N106" s="4"/>
      <c r="O106" s="4"/>
      <c r="P106" s="4"/>
      <c r="Q106" s="4"/>
      <c r="R106" s="4"/>
      <c r="S106" s="4"/>
      <c r="T106" s="4"/>
      <c r="U106" s="4"/>
      <c r="V106" s="4"/>
      <c r="W106" s="4"/>
      <c r="X106" s="4"/>
      <c r="Y106" s="4"/>
      <c r="Z106" s="4"/>
      <c r="AA106" s="4"/>
      <c r="AB106" s="4"/>
      <c r="AC106" s="4"/>
      <c r="AD106" s="4"/>
      <c r="AE106" s="4"/>
      <c r="AF106" s="4"/>
      <c r="AG106" s="4"/>
    </row>
    <row r="107" spans="1:33" ht="22.5" customHeight="1" x14ac:dyDescent="0.25">
      <c r="A107" s="2"/>
      <c r="B107" s="2"/>
      <c r="C107" s="2"/>
      <c r="D107" s="2"/>
      <c r="E107" s="2"/>
      <c r="F107" s="4"/>
      <c r="G107" s="4"/>
      <c r="H107" s="4" t="s">
        <v>37</v>
      </c>
      <c r="I107" s="4" t="str">
        <f ca="1">IFERROR(__xludf.DUMMYFUNCTION("GOOGLETRANSLATE(B107,""en"",""ar"")"),"الجسم الرقيق والمرن البارز من الروبوت الفارس هو...")</f>
        <v>الجسم الرقيق والمرن البارز من الروبوت الفارس هو...</v>
      </c>
      <c r="J107" s="4" t="str">
        <f ca="1">IFERROR(__xludf.DUMMYFUNCTION("GOOGLETRANSLATE(C107,""en"",""ar"")"),"أ) هوائي راديو، ب) سوط صغير أو هوائي صغير، ج) سارية علم، د) حامل كاميرا")</f>
        <v>أ) هوائي راديو، ب) سوط صغير أو هوائي صغير، ج) سارية علم، د) حامل كاميرا</v>
      </c>
      <c r="K107" s="4" t="str">
        <f ca="1">IFERROR(__xludf.DUMMYFUNCTION("GOOGLETRANSLATE(D107,""en"",""ar"")"),"ب) سوط صغير أو عصا")</f>
        <v>ب) سوط صغير أو عصا</v>
      </c>
      <c r="L107" s="4" t="str">
        <f ca="1">IFERROR(__xludf.DUMMYFUNCTION("GOOGLETRANSLATE(E107,""en"",""ar"")"),"تم تجهيز الفارس الآلي بسوط صغير يتم التحكم فيه عن بعد يدور لتشجيع الجمل.")</f>
        <v>تم تجهيز الفارس الآلي بسوط صغير يتم التحكم فيه عن بعد يدور لتشجيع الجمل.</v>
      </c>
      <c r="M107" s="4"/>
      <c r="N107" s="4"/>
      <c r="O107" s="4"/>
      <c r="P107" s="4"/>
      <c r="Q107" s="4"/>
      <c r="R107" s="4"/>
      <c r="S107" s="4"/>
      <c r="T107" s="4"/>
      <c r="U107" s="4"/>
      <c r="V107" s="4"/>
      <c r="W107" s="4"/>
      <c r="X107" s="4"/>
      <c r="Y107" s="4"/>
      <c r="Z107" s="4"/>
      <c r="AA107" s="4"/>
      <c r="AB107" s="4"/>
      <c r="AC107" s="4"/>
      <c r="AD107" s="4"/>
      <c r="AE107" s="4"/>
      <c r="AF107" s="4"/>
      <c r="AG107" s="4"/>
    </row>
    <row r="108" spans="1:33" ht="22.5" customHeight="1" x14ac:dyDescent="0.25">
      <c r="A108" s="2"/>
      <c r="B108" s="2"/>
      <c r="C108" s="2"/>
      <c r="D108" s="2"/>
      <c r="E108" s="2"/>
      <c r="F108" s="4"/>
      <c r="G108" s="4"/>
      <c r="H108" s="4" t="s">
        <v>37</v>
      </c>
      <c r="I108" s="4" t="str">
        <f ca="1">IFERROR(__xludf.DUMMYFUNCTION("GOOGLETRANSLATE(B108,""en"",""ar"")"),"أين ينظر الفارس البشري؟")</f>
        <v>أين ينظر الفارس البشري؟</v>
      </c>
      <c r="J108" s="4" t="str">
        <f ca="1">IFERROR(__xludf.DUMMYFUNCTION("GOOGLETRANSLATE(C108,""en"",""ar"")"),"أ) مباشرة إلى الكاميرا، ب) إلى السماء، ج) إلى البعيد، د) إلى أسفل نحو جمله")</f>
        <v>أ) مباشرة إلى الكاميرا، ب) إلى السماء، ج) إلى البعيد، د) إلى أسفل نحو جمله</v>
      </c>
      <c r="K108" s="4" t="str">
        <f ca="1">IFERROR(__xludf.DUMMYFUNCTION("GOOGLETRANSLATE(D108,""en"",""ar"")"),"ج) في الأفق البعيد")</f>
        <v>ج) في الأفق البعيد</v>
      </c>
      <c r="L108" s="4" t="str">
        <f ca="1">IFERROR(__xludf.DUMMYFUNCTION("GOOGLETRANSLATE(E108,""en"",""ar"")"),"تتجه نظراته بعيدًا عن الكاميرا، ناظرًا إلى المناظر الطبيعية.")</f>
        <v>تتجه نظراته بعيدًا عن الكاميرا، ناظرًا إلى المناظر الطبيعية.</v>
      </c>
      <c r="M108" s="4"/>
      <c r="N108" s="4"/>
      <c r="O108" s="4"/>
      <c r="P108" s="4"/>
      <c r="Q108" s="4"/>
      <c r="R108" s="4"/>
      <c r="S108" s="4"/>
      <c r="T108" s="4"/>
      <c r="U108" s="4"/>
      <c r="V108" s="4"/>
      <c r="W108" s="4"/>
      <c r="X108" s="4"/>
      <c r="Y108" s="4"/>
      <c r="Z108" s="4"/>
      <c r="AA108" s="4"/>
      <c r="AB108" s="4"/>
      <c r="AC108" s="4"/>
      <c r="AD108" s="4"/>
      <c r="AE108" s="4"/>
      <c r="AF108" s="4"/>
      <c r="AG108" s="4"/>
    </row>
    <row r="109" spans="1:33" ht="22.5" customHeight="1" x14ac:dyDescent="0.25">
      <c r="A109" s="2"/>
      <c r="B109" s="2"/>
      <c r="C109" s="2"/>
      <c r="D109" s="2"/>
      <c r="E109" s="2"/>
      <c r="F109" s="4"/>
      <c r="G109" s="4"/>
      <c r="H109" s="4" t="s">
        <v>37</v>
      </c>
      <c r="I109" s="4" t="str">
        <f ca="1">IFERROR(__xludf.DUMMYFUNCTION("GOOGLETRANSLATE(B109,""en"",""ar"")"),"أين توضع السروج على كلا الجملين؟")</f>
        <v>أين توضع السروج على كلا الجملين؟</v>
      </c>
      <c r="J109" s="4" t="str">
        <f ca="1">IFERROR(__xludf.DUMMYFUNCTION("GOOGLETRANSLATE(C109,""en"",""ar"")"),"أ) على رقبة الجمل، ب) مباشرة فوق السنام، ج) خلف سنام الجمل، د) أمام سنام الجمل")</f>
        <v>أ) على رقبة الجمل، ب) مباشرة فوق السنام، ج) خلف سنام الجمل، د) أمام سنام الجمل</v>
      </c>
      <c r="K109" s="4" t="str">
        <f ca="1">IFERROR(__xludf.DUMMYFUNCTION("GOOGLETRANSLATE(D109,""en"",""ar"")"),"ج) خلف سنام الجمل")</f>
        <v>ج) خلف سنام الجمل</v>
      </c>
      <c r="L109" s="4" t="str">
        <f ca="1">IFERROR(__xludf.DUMMYFUNCTION("GOOGLETRANSLATE(E109,""en"",""ar"")"),"يتم وضع سروج السباق على ظهر الجمل، خلف السنام مباشرة، وهو وضع الركوب التقليدي.")</f>
        <v>يتم وضع سروج السباق على ظهر الجمل، خلف السنام مباشرة، وهو وضع الركوب التقليدي.</v>
      </c>
      <c r="M109" s="4"/>
      <c r="N109" s="4"/>
      <c r="O109" s="4"/>
      <c r="P109" s="4"/>
      <c r="Q109" s="4"/>
      <c r="R109" s="4"/>
      <c r="S109" s="4"/>
      <c r="T109" s="4"/>
      <c r="U109" s="4"/>
      <c r="V109" s="4"/>
      <c r="W109" s="4"/>
      <c r="X109" s="4"/>
      <c r="Y109" s="4"/>
      <c r="Z109" s="4"/>
      <c r="AA109" s="4"/>
      <c r="AB109" s="4"/>
      <c r="AC109" s="4"/>
      <c r="AD109" s="4"/>
      <c r="AE109" s="4"/>
      <c r="AF109" s="4"/>
      <c r="AG109" s="4"/>
    </row>
    <row r="110" spans="1:33" ht="22.5" customHeight="1" x14ac:dyDescent="0.25">
      <c r="A110" s="2"/>
      <c r="B110" s="2"/>
      <c r="C110" s="2"/>
      <c r="D110" s="2"/>
      <c r="E110" s="2"/>
      <c r="F110" s="4"/>
      <c r="G110" s="4"/>
      <c r="H110" s="4" t="s">
        <v>37</v>
      </c>
      <c r="I110" s="4" t="str">
        <f ca="1">IFERROR(__xludf.DUMMYFUNCTION("GOOGLETRANSLATE(B110,""en"",""ar"")"),"يبدو أن الإعداد هو...")</f>
        <v>يبدو أن الإعداد هو...</v>
      </c>
      <c r="J110" s="4" t="str">
        <f ca="1">IFERROR(__xludf.DUMMYFUNCTION("GOOGLETRANSLATE(C110,""en"",""ar"")"),"أ) مضمار سباق حديث ومضاء جيدًا، ب) منطقة صحراوية نائية وغير مطورة، ج) غابة كثيفة، د) شارع مزدحم في المدينة")</f>
        <v>أ) مضمار سباق حديث ومضاء جيدًا، ب) منطقة صحراوية نائية وغير مطورة، ج) غابة كثيفة، د) شارع مزدحم في المدينة</v>
      </c>
      <c r="K110" s="4" t="str">
        <f ca="1">IFERROR(__xludf.DUMMYFUNCTION("GOOGLETRANSLATE(D110,""en"",""ar"")"),"ب) منطقة صحراوية نائية وغير مطورة")</f>
        <v>ب) منطقة صحراوية نائية وغير مطورة</v>
      </c>
      <c r="L110" s="4" t="str">
        <f ca="1">IFERROR(__xludf.DUMMYFUNCTION("GOOGLETRANSLATE(E110,""en"",""ar"")"),"الأرض طبيعية، تتكون من رمال وتراب غير مستوية، مع وجود هياكل بسيطة في الخلفية البعيدة.")</f>
        <v>الأرض طبيعية، تتكون من رمال وتراب غير مستوية، مع وجود هياكل بسيطة في الخلفية البعيدة.</v>
      </c>
      <c r="M110" s="4"/>
      <c r="N110" s="4"/>
      <c r="O110" s="4"/>
      <c r="P110" s="4"/>
      <c r="Q110" s="4"/>
      <c r="R110" s="4"/>
      <c r="S110" s="4"/>
      <c r="T110" s="4"/>
      <c r="U110" s="4"/>
      <c r="V110" s="4"/>
      <c r="W110" s="4"/>
      <c r="X110" s="4"/>
      <c r="Y110" s="4"/>
      <c r="Z110" s="4"/>
      <c r="AA110" s="4"/>
      <c r="AB110" s="4"/>
      <c r="AC110" s="4"/>
      <c r="AD110" s="4"/>
      <c r="AE110" s="4"/>
      <c r="AF110" s="4"/>
      <c r="AG110" s="4"/>
    </row>
    <row r="111" spans="1:33" ht="22.5" customHeight="1" x14ac:dyDescent="0.25">
      <c r="A111" s="2"/>
      <c r="B111" s="2"/>
      <c r="C111" s="2"/>
      <c r="D111" s="2"/>
      <c r="E111" s="2"/>
      <c r="F111" s="4"/>
      <c r="G111" s="4"/>
      <c r="H111" s="4" t="s">
        <v>37</v>
      </c>
      <c r="I111" s="4" t="str">
        <f ca="1">IFERROR(__xludf.DUMMYFUNCTION("GOOGLETRANSLATE(B111,""en"",""ar"")"),"تُظهر هذه الصورة مزيجًا من...")</f>
        <v>تُظهر هذه الصورة مزيجًا من...</v>
      </c>
      <c r="J111" s="4" t="str">
        <f ca="1">IFERROR(__xludf.DUMMYFUNCTION("GOOGLETRANSLATE(C111,""en"",""ar"")"),"أ) أنواع الحيوانات المختلفة، ب) الرياضات الصيفية والشتوية، ج) الأساليب التقليدية والحديثة لسباق الهجن، د) السفر البري والبحري")</f>
        <v>أ) أنواع الحيوانات المختلفة، ب) الرياضات الصيفية والشتوية، ج) الأساليب التقليدية والحديثة لسباق الهجن، د) السفر البري والبحري</v>
      </c>
      <c r="K111" s="4" t="str">
        <f ca="1">IFERROR(__xludf.DUMMYFUNCTION("GOOGLETRANSLATE(D111,""en"",""ar"")"),"ج) الأساليب التقليدية والحديثة لسباق الهجن")</f>
        <v>ج) الأساليب التقليدية والحديثة لسباق الهجن</v>
      </c>
      <c r="L111" s="4" t="str">
        <f ca="1">IFERROR(__xludf.DUMMYFUNCTION("GOOGLETRANSLATE(E111,""en"",""ar"")"),"يضم المشهد فارسًا بشريًا تقليديًا وفارسًا آليًا حديثًا، مما يمثل تطور هذه الرياضة.")</f>
        <v>يضم المشهد فارسًا بشريًا تقليديًا وفارسًا آليًا حديثًا، مما يمثل تطور هذه الرياضة.</v>
      </c>
      <c r="M111" s="4"/>
      <c r="N111" s="4"/>
      <c r="O111" s="4"/>
      <c r="P111" s="4"/>
      <c r="Q111" s="4"/>
      <c r="R111" s="4"/>
      <c r="S111" s="4"/>
      <c r="T111" s="4"/>
      <c r="U111" s="4"/>
      <c r="V111" s="4"/>
      <c r="W111" s="4"/>
      <c r="X111" s="4"/>
      <c r="Y111" s="4"/>
      <c r="Z111" s="4"/>
      <c r="AA111" s="4"/>
      <c r="AB111" s="4"/>
      <c r="AC111" s="4"/>
      <c r="AD111" s="4"/>
      <c r="AE111" s="4"/>
      <c r="AF111" s="4"/>
      <c r="AG111" s="4"/>
    </row>
    <row r="112" spans="1:33" ht="22.5" customHeight="1" x14ac:dyDescent="0.25">
      <c r="A112" s="2"/>
      <c r="B112" s="2"/>
      <c r="C112" s="2"/>
      <c r="D112" s="2"/>
      <c r="E112" s="2"/>
      <c r="F112" s="4"/>
      <c r="G112" s="4"/>
      <c r="H112" s="4" t="s">
        <v>38</v>
      </c>
      <c r="I112" s="4" t="str">
        <f ca="1">IFERROR(__xludf.DUMMYFUNCTION("GOOGLETRANSLATE(B112,""en"",""ar"")"),"ما هو المزاج العام لمشهد السباق هذا؟")</f>
        <v>ما هو المزاج العام لمشهد السباق هذا؟</v>
      </c>
      <c r="J112" s="4" t="str">
        <f ca="1">IFERROR(__xludf.DUMMYFUNCTION("GOOGLETRANSLATE(C112,""en"",""ar"")"),"أ) هادئ وساكن، ب) بطيء ومنظم، ج) مكثف وفوضوي ومليء بالحركة، د) مهيب وهادئ")</f>
        <v>أ) هادئ وساكن، ب) بطيء ومنظم، ج) مكثف وفوضوي ومليء بالحركة، د) مهيب وهادئ</v>
      </c>
      <c r="K112" s="4" t="str">
        <f ca="1">IFERROR(__xludf.DUMMYFUNCTION("GOOGLETRANSLATE(D112,""en"",""ar"")"),"ج) مكثفة، وفوضوية، ومليئة بالحركة")</f>
        <v>ج) مكثفة، وفوضوية، ومليئة بالحركة</v>
      </c>
      <c r="L112" s="4" t="str">
        <f ca="1">IFERROR(__xludf.DUMMYFUNCTION("GOOGLETRANSLATE(E112,""en"",""ar"")"),"تُظهر الصورة ذروة السباق، حيث يصرخ المتسابقون، وترتفع المحاصيل في الهواء، وتجري مجموعة كبيرة من الجمال بأقصى سرعة.")</f>
        <v>تُظهر الصورة ذروة السباق، حيث يصرخ المتسابقون، وترتفع المحاصيل في الهواء، وتجري مجموعة كبيرة من الجمال بأقصى سرعة.</v>
      </c>
      <c r="M112" s="4"/>
      <c r="N112" s="4"/>
      <c r="O112" s="4"/>
      <c r="P112" s="4"/>
      <c r="Q112" s="4"/>
      <c r="R112" s="4"/>
      <c r="S112" s="4"/>
      <c r="T112" s="4"/>
      <c r="U112" s="4"/>
      <c r="V112" s="4"/>
      <c r="W112" s="4"/>
      <c r="X112" s="4"/>
      <c r="Y112" s="4"/>
      <c r="Z112" s="4"/>
      <c r="AA112" s="4"/>
      <c r="AB112" s="4"/>
      <c r="AC112" s="4"/>
      <c r="AD112" s="4"/>
      <c r="AE112" s="4"/>
      <c r="AF112" s="4"/>
      <c r="AG112" s="4"/>
    </row>
    <row r="113" spans="1:33" ht="22.5" customHeight="1" x14ac:dyDescent="0.25">
      <c r="A113" s="2"/>
      <c r="B113" s="2"/>
      <c r="C113" s="2"/>
      <c r="D113" s="2"/>
      <c r="E113" s="2"/>
      <c r="F113" s="4"/>
      <c r="G113" s="4"/>
      <c r="H113" s="4" t="s">
        <v>38</v>
      </c>
      <c r="I113" s="4" t="str">
        <f ca="1">IFERROR(__xludf.DUMMYFUNCTION("GOOGLETRANSLATE(B113,""en"",""ar"")"),"ماذا يرتدي العديد من الدراجين على رؤوسهم؟")</f>
        <v>ماذا يرتدي العديد من الدراجين على رؤوسهم؟</v>
      </c>
      <c r="J113" s="4" t="str">
        <f ca="1">IFERROR(__xludf.DUMMYFUNCTION("GOOGLETRANSLATE(C113,""en"",""ar"")"),"أ) أغطية الرأس التقليدية (الغترة)، ب) لا شيء، ج) قبعات رعاة البقر، د) خوذات الأمان الحديثة")</f>
        <v>أ) أغطية الرأس التقليدية (الغترة)، ب) لا شيء، ج) قبعات رعاة البقر، د) خوذات الأمان الحديثة</v>
      </c>
      <c r="K113" s="4" t="str">
        <f ca="1">IFERROR(__xludf.DUMMYFUNCTION("GOOGLETRANSLATE(D113,""en"",""ar"")"),"د) خوذات الأمان الحديثة")</f>
        <v>د) خوذات الأمان الحديثة</v>
      </c>
      <c r="L113" s="4" t="str">
        <f ca="1">IFERROR(__xludf.DUMMYFUNCTION("GOOGLETRANSLATE(E113,""en"",""ar"")"),"يرتدي العديد من الفرسان خوذات ملونة وحديثة للحماية، وهو أمر شائع في السباقات الاحترافية.")</f>
        <v>يرتدي العديد من الفرسان خوذات ملونة وحديثة للحماية، وهو أمر شائع في السباقات الاحترافية.</v>
      </c>
      <c r="M113" s="4"/>
      <c r="N113" s="4"/>
      <c r="O113" s="4"/>
      <c r="P113" s="4"/>
      <c r="Q113" s="4"/>
      <c r="R113" s="4"/>
      <c r="S113" s="4"/>
      <c r="T113" s="4"/>
      <c r="U113" s="4"/>
      <c r="V113" s="4"/>
      <c r="W113" s="4"/>
      <c r="X113" s="4"/>
      <c r="Y113" s="4"/>
      <c r="Z113" s="4"/>
      <c r="AA113" s="4"/>
      <c r="AB113" s="4"/>
      <c r="AC113" s="4"/>
      <c r="AD113" s="4"/>
      <c r="AE113" s="4"/>
      <c r="AF113" s="4"/>
      <c r="AG113" s="4"/>
    </row>
    <row r="114" spans="1:33" ht="22.5" customHeight="1" x14ac:dyDescent="0.25">
      <c r="A114" s="2"/>
      <c r="B114" s="2"/>
      <c r="C114" s="2"/>
      <c r="D114" s="2"/>
      <c r="E114" s="2"/>
      <c r="F114" s="4"/>
      <c r="G114" s="4"/>
      <c r="H114" s="4" t="s">
        <v>38</v>
      </c>
      <c r="I114" s="4" t="str">
        <f ca="1">IFERROR(__xludf.DUMMYFUNCTION("GOOGLETRANSLATE(B114,""en"",""ar"")"),"ما الذي يحمله الفرسان في الهواء؟")</f>
        <v>ما الذي يحمله الفرسان في الهواء؟</v>
      </c>
      <c r="J114" s="4" t="str">
        <f ca="1">IFERROR(__xludf.DUMMYFUNCTION("GOOGLETRANSLATE(C114,""en"",""ar"")"),"أ) الحبال، ب) الأعلام، ج) العصي أو السياط الطويلة والرفيعة، د) المشاعل")</f>
        <v>أ) الحبال، ب) الأعلام، ج) العصي أو السياط الطويلة والرفيعة، د) المشاعل</v>
      </c>
      <c r="K114" s="4" t="str">
        <f ca="1">IFERROR(__xludf.DUMMYFUNCTION("GOOGLETRANSLATE(D114,""en"",""ar"")"),"ج) سياط ركوب طويلة ورفيعة أو عصي")</f>
        <v>ج) سياط ركوب طويلة ورفيعة أو عصي</v>
      </c>
      <c r="L114" s="4" t="str">
        <f ca="1">IFERROR(__xludf.DUMMYFUNCTION("GOOGLETRANSLATE(E114,""en"",""ar"")"),"جميع الفرسان تقريباً يلوحون بعصيهم، ويستخدمونها لحث جمالهم على المضي قدماً.")</f>
        <v>جميع الفرسان تقريباً يلوحون بعصيهم، ويستخدمونها لحث جمالهم على المضي قدماً.</v>
      </c>
      <c r="M114" s="4"/>
      <c r="N114" s="4"/>
      <c r="O114" s="4"/>
      <c r="P114" s="4"/>
      <c r="Q114" s="4"/>
      <c r="R114" s="4"/>
      <c r="S114" s="4"/>
      <c r="T114" s="4"/>
      <c r="U114" s="4"/>
      <c r="V114" s="4"/>
      <c r="W114" s="4"/>
      <c r="X114" s="4"/>
      <c r="Y114" s="4"/>
      <c r="Z114" s="4"/>
      <c r="AA114" s="4"/>
      <c r="AB114" s="4"/>
      <c r="AC114" s="4"/>
      <c r="AD114" s="4"/>
      <c r="AE114" s="4"/>
      <c r="AF114" s="4"/>
      <c r="AG114" s="4"/>
    </row>
    <row r="115" spans="1:33" ht="22.5" customHeight="1" x14ac:dyDescent="0.25">
      <c r="A115" s="2"/>
      <c r="B115" s="2"/>
      <c r="C115" s="2"/>
      <c r="D115" s="2"/>
      <c r="E115" s="2"/>
      <c r="F115" s="4"/>
      <c r="G115" s="4"/>
      <c r="H115" s="4" t="s">
        <v>38</v>
      </c>
      <c r="I115" s="4" t="str">
        <f ca="1">IFERROR(__xludf.DUMMYFUNCTION("GOOGLETRANSLATE(B115,""en"",""ar"")"),"ما هو الجسم الصغير المرئي في السماء في الزاوية العلوية اليمنى؟")</f>
        <v>ما هو الجسم الصغير المرئي في السماء في الزاوية العلوية اليمنى؟</v>
      </c>
      <c r="J115" s="4" t="str">
        <f ca="1">IFERROR(__xludf.DUMMYFUNCTION("GOOGLETRANSLATE(C115,""en"",""ar"")"),"أ) طائر، ب) مروحية، ج) طائرة بدون طيار، د) طائرة")</f>
        <v>أ) طائر، ب) مروحية، ج) طائرة بدون طيار، د) طائرة</v>
      </c>
      <c r="K115" s="4" t="str">
        <f ca="1">IFERROR(__xludf.DUMMYFUNCTION("GOOGLETRANSLATE(D115,""en"",""ar"")"),"ج) طائرة بدون طيار")</f>
        <v>ج) طائرة بدون طيار</v>
      </c>
      <c r="L115" s="4" t="str">
        <f ca="1">IFERROR(__xludf.DUMMYFUNCTION("GOOGLETRANSLATE(E115,""en"",""ar"")"),"تظهر طائرة مسيّرة صغيرة رباعية المراوح، يُرجّح أنها تُستخدم لتصوير السباق من منظور جوي. 🚁")</f>
        <v>تظهر طائرة مسيّرة صغيرة رباعية المراوح، يُرجّح أنها تُستخدم لتصوير السباق من منظور جوي. 🚁</v>
      </c>
      <c r="M115" s="4"/>
      <c r="N115" s="4"/>
      <c r="O115" s="4"/>
      <c r="P115" s="4"/>
      <c r="Q115" s="4"/>
      <c r="R115" s="4"/>
      <c r="S115" s="4"/>
      <c r="T115" s="4"/>
      <c r="U115" s="4"/>
      <c r="V115" s="4"/>
      <c r="W115" s="4"/>
      <c r="X115" s="4"/>
      <c r="Y115" s="4"/>
      <c r="Z115" s="4"/>
      <c r="AA115" s="4"/>
      <c r="AB115" s="4"/>
      <c r="AC115" s="4"/>
      <c r="AD115" s="4"/>
      <c r="AE115" s="4"/>
      <c r="AF115" s="4"/>
      <c r="AG115" s="4"/>
    </row>
    <row r="116" spans="1:33" ht="22.5" customHeight="1" x14ac:dyDescent="0.25">
      <c r="A116" s="2"/>
      <c r="B116" s="2"/>
      <c r="C116" s="2"/>
      <c r="D116" s="2"/>
      <c r="E116" s="2"/>
      <c r="F116" s="4"/>
      <c r="G116" s="4"/>
      <c r="H116" s="4" t="s">
        <v>38</v>
      </c>
      <c r="I116" s="4" t="str">
        <f ca="1">IFERROR(__xludf.DUMMYFUNCTION("GOOGLETRANSLATE(B116,""en"",""ar"")"),"تشير سحابة الغبار الكبيرة إلى أن سطح السباق...")</f>
        <v>تشير سحابة الغبار الكبيرة إلى أن سطح السباق...</v>
      </c>
      <c r="J116" s="4" t="str">
        <f ca="1">IFERROR(__xludf.DUMMYFUNCTION("GOOGLETRANSLATE(C116,""en"",""ar"")"),"أ) رطبة وموحلة، ب) معبدة بالإسفلت، ج) عشبية، د) جافة ورملية")</f>
        <v>أ) رطبة وموحلة، ب) معبدة بالإسفلت، ج) عشبية، د) جافة ورملية</v>
      </c>
      <c r="K116" s="4" t="str">
        <f ca="1">IFERROR(__xludf.DUMMYFUNCTION("GOOGLETRANSLATE(D116,""en"",""ar"")"),"د) جاف ورملي")</f>
        <v>د) جاف ورملي</v>
      </c>
      <c r="L116" s="4" t="str">
        <f ca="1">IFERROR(__xludf.DUMMYFUNCTION("GOOGLETRANSLATE(E116,""en"",""ar"")"),"يتسبب مسار الصحراء القاحل في إثارة الكثير من الغبار نتيجة لحركة الجمال.")</f>
        <v>يتسبب مسار الصحراء القاحل في إثارة الكثير من الغبار نتيجة لحركة الجمال.</v>
      </c>
      <c r="M116" s="4"/>
      <c r="N116" s="4"/>
      <c r="O116" s="4"/>
      <c r="P116" s="4"/>
      <c r="Q116" s="4"/>
      <c r="R116" s="4"/>
      <c r="S116" s="4"/>
      <c r="T116" s="4"/>
      <c r="U116" s="4"/>
      <c r="V116" s="4"/>
      <c r="W116" s="4"/>
      <c r="X116" s="4"/>
      <c r="Y116" s="4"/>
      <c r="Z116" s="4"/>
      <c r="AA116" s="4"/>
      <c r="AB116" s="4"/>
      <c r="AC116" s="4"/>
      <c r="AD116" s="4"/>
      <c r="AE116" s="4"/>
      <c r="AF116" s="4"/>
      <c r="AG116" s="4"/>
    </row>
    <row r="117" spans="1:33" ht="22.5" customHeight="1" x14ac:dyDescent="0.25">
      <c r="A117" s="2"/>
      <c r="B117" s="2"/>
      <c r="C117" s="2"/>
      <c r="D117" s="2"/>
      <c r="E117" s="2"/>
      <c r="F117" s="4"/>
      <c r="G117" s="4"/>
      <c r="H117" s="4" t="s">
        <v>38</v>
      </c>
      <c r="I117" s="4" t="str">
        <f ca="1">IFERROR(__xludf.DUMMYFUNCTION("GOOGLETRANSLATE(B117,""en"",""ar"")"),"ماذا يفعل الراكب ذو غطاء الرأس الأحمر؟")</f>
        <v>ماذا يفعل الراكب ذو غطاء الرأس الأحمر؟</v>
      </c>
      <c r="J117" s="4" t="str">
        <f ca="1">IFERROR(__xludf.DUMMYFUNCTION("GOOGLETRANSLATE(C117,""en"",""ar"")"),"أ) يصرخ ويرفع محصوله، ب) متمسكاً بكلتا يديه، ج) ينظر خلفه، د) يشرب الماء")</f>
        <v>أ) يصرخ ويرفع محصوله، ب) متمسكاً بكلتا يديه، ج) ينظر خلفه، د) يشرب الماء</v>
      </c>
      <c r="K117" s="4" t="str">
        <f ca="1">IFERROR(__xludf.DUMMYFUNCTION("GOOGLETRANSLATE(D117,""en"",""ar"")"),"أ) يصرخ ويرفع محصوله")</f>
        <v>أ) يصرخ ويرفع محصوله</v>
      </c>
      <c r="L117" s="4" t="str">
        <f ca="1">IFERROR(__xludf.DUMMYFUNCTION("GOOGLETRANSLATE(E117,""en"",""ar"")"),"إنه في وضعية ركوب نشطة للغاية وصاخبة، يدفع جمله إلى الأمام بأقصى جهد.")</f>
        <v>إنه في وضعية ركوب نشطة للغاية وصاخبة، يدفع جمله إلى الأمام بأقصى جهد.</v>
      </c>
      <c r="M117" s="4"/>
      <c r="N117" s="4"/>
      <c r="O117" s="4"/>
      <c r="P117" s="4"/>
      <c r="Q117" s="4"/>
      <c r="R117" s="4"/>
      <c r="S117" s="4"/>
      <c r="T117" s="4"/>
      <c r="U117" s="4"/>
      <c r="V117" s="4"/>
      <c r="W117" s="4"/>
      <c r="X117" s="4"/>
      <c r="Y117" s="4"/>
      <c r="Z117" s="4"/>
      <c r="AA117" s="4"/>
      <c r="AB117" s="4"/>
      <c r="AC117" s="4"/>
      <c r="AD117" s="4"/>
      <c r="AE117" s="4"/>
      <c r="AF117" s="4"/>
      <c r="AG117" s="4"/>
    </row>
    <row r="118" spans="1:33" ht="22.5" customHeight="1" x14ac:dyDescent="0.25">
      <c r="A118" s="2"/>
      <c r="B118" s="2"/>
      <c r="C118" s="2"/>
      <c r="D118" s="2"/>
      <c r="E118" s="2"/>
      <c r="F118" s="4"/>
      <c r="G118" s="4"/>
      <c r="H118" s="4" t="s">
        <v>38</v>
      </c>
      <c r="I118" s="4" t="str">
        <f ca="1">IFERROR(__xludf.DUMMYFUNCTION("GOOGLETRANSLATE(B118,""en"",""ar"")"),"يمكن وصف المشهد الطبيعي في الخلفية بأنه...")</f>
        <v>يمكن وصف المشهد الطبيعي في الخلفية بأنه...</v>
      </c>
      <c r="J118" s="4" t="str">
        <f ca="1">IFERROR(__xludf.DUMMYFUNCTION("GOOGLETRANSLATE(C118,""en"",""ar"")"),"أ) غابة كثيفة، ب) صحراء شاسعة ذات تضاريس جبلية، ج) منظر مدينة حضرية، د) ساحل محيطي")</f>
        <v>أ) غابة كثيفة، ب) صحراء شاسعة ذات تضاريس جبلية، ج) منظر مدينة حضرية، د) ساحل محيطي</v>
      </c>
      <c r="K118" s="4" t="str">
        <f ca="1">IFERROR(__xludf.DUMMYFUNCTION("GOOGLETRANSLATE(D118,""en"",""ar"")"),"ب) صحراء شاسعة وتلالية")</f>
        <v>ب) صحراء شاسعة وتلالية</v>
      </c>
      <c r="L118" s="4" t="str">
        <f ca="1">IFERROR(__xludf.DUMMYFUNCTION("GOOGLETRANSLATE(E118,""en"",""ar"")"),"تظهر الخلفية تلالاً متموجة وجافة تمتد حتى الأفق.")</f>
        <v>تظهر الخلفية تلالاً متموجة وجافة تمتد حتى الأفق.</v>
      </c>
      <c r="M118" s="4"/>
      <c r="N118" s="4"/>
      <c r="O118" s="4"/>
      <c r="P118" s="4"/>
      <c r="Q118" s="4"/>
      <c r="R118" s="4"/>
      <c r="S118" s="4"/>
      <c r="T118" s="4"/>
      <c r="U118" s="4"/>
      <c r="V118" s="4"/>
      <c r="W118" s="4"/>
      <c r="X118" s="4"/>
      <c r="Y118" s="4"/>
      <c r="Z118" s="4"/>
      <c r="AA118" s="4"/>
      <c r="AB118" s="4"/>
      <c r="AC118" s="4"/>
      <c r="AD118" s="4"/>
      <c r="AE118" s="4"/>
      <c r="AF118" s="4"/>
      <c r="AG118" s="4"/>
    </row>
    <row r="119" spans="1:33" ht="22.5" customHeight="1" x14ac:dyDescent="0.25">
      <c r="A119" s="2"/>
      <c r="B119" s="2"/>
      <c r="C119" s="2"/>
      <c r="D119" s="2"/>
      <c r="E119" s="2"/>
      <c r="F119" s="4"/>
      <c r="G119" s="4"/>
      <c r="H119" s="4" t="s">
        <v>38</v>
      </c>
      <c r="I119" s="4" t="str">
        <f ca="1">IFERROR(__xludf.DUMMYFUNCTION("GOOGLETRANSLATE(B119,""en"",""ar"")"),"ما الغرض المحتمل من استخدام العلمين الموجودين على الجانب الأيمن من المضمار؟")</f>
        <v>ما الغرض المحتمل من استخدام العلمين الموجودين على الجانب الأيمن من المضمار؟</v>
      </c>
      <c r="J119" s="4" t="str">
        <f ca="1">IFERROR(__xludf.DUMMYFUNCTION("GOOGLETRANSLATE(C119,""en"",""ar"")"),"أ) للإشارة إلى بداية السباق، ب) لتحديد حدود المسار أو نقطة تحول فيه، ج) كأعلام وطنية للزينة، د) للإعلان عن المنتجات")</f>
        <v>أ) للإشارة إلى بداية السباق، ب) لتحديد حدود المسار أو نقطة تحول فيه، ج) كأعلام وطنية للزينة، د) للإعلان عن المنتجات</v>
      </c>
      <c r="K119" s="4" t="str">
        <f ca="1">IFERROR(__xludf.DUMMYFUNCTION("GOOGLETRANSLATE(D119,""en"",""ar"")"),"ب) لتحديد حدود المسار أو نقطة تحول فيه")</f>
        <v>ب) لتحديد حدود المسار أو نقطة تحول فيه</v>
      </c>
      <c r="L119" s="4" t="str">
        <f ca="1">IFERROR(__xludf.DUMMYFUNCTION("GOOGLETRANSLATE(E119,""en"",""ar"")"),"تُستخدم الأعلام غالبًا في سباقات الصحراء لتحديد المسار حيث قد لا يكون هناك حاجز مادي.")</f>
        <v>تُستخدم الأعلام غالبًا في سباقات الصحراء لتحديد المسار حيث قد لا يكون هناك حاجز مادي.</v>
      </c>
      <c r="M119" s="4"/>
      <c r="N119" s="4"/>
      <c r="O119" s="4"/>
      <c r="P119" s="4"/>
      <c r="Q119" s="4"/>
      <c r="R119" s="4"/>
      <c r="S119" s="4"/>
      <c r="T119" s="4"/>
      <c r="U119" s="4"/>
      <c r="V119" s="4"/>
      <c r="W119" s="4"/>
      <c r="X119" s="4"/>
      <c r="Y119" s="4"/>
      <c r="Z119" s="4"/>
      <c r="AA119" s="4"/>
      <c r="AB119" s="4"/>
      <c r="AC119" s="4"/>
      <c r="AD119" s="4"/>
      <c r="AE119" s="4"/>
      <c r="AF119" s="4"/>
      <c r="AG119" s="4"/>
    </row>
    <row r="120" spans="1:33" ht="22.5" customHeight="1" x14ac:dyDescent="0.25">
      <c r="A120" s="2"/>
      <c r="B120" s="2"/>
      <c r="C120" s="2"/>
      <c r="D120" s="2"/>
      <c r="E120" s="2"/>
      <c r="F120" s="4"/>
      <c r="G120" s="4"/>
      <c r="H120" s="4" t="s">
        <v>38</v>
      </c>
      <c r="I120" s="4" t="str">
        <f ca="1">IFERROR(__xludf.DUMMYFUNCTION("GOOGLETRANSLATE(B120,""en"",""ar"")"),"إن طريقة جلوس الفرسان على الجمال هي أسلوب يتطلب...")</f>
        <v>إن طريقة جلوس الفرسان على الجمال هي أسلوب يتطلب...</v>
      </c>
      <c r="J120" s="4" t="str">
        <f ca="1">IFERROR(__xludf.DUMMYFUNCTION("GOOGLETRANSLATE(C120,""en"",""ar"")"),"أ) سرج كبير وثقيل جداً، ب) توازن ولياقة بدنية استثنائيان، ج) مهارة قليلة أو معدومة، د) حزام الأمان")</f>
        <v>أ) سرج كبير وثقيل جداً، ب) توازن ولياقة بدنية استثنائيان، ج) مهارة قليلة أو معدومة، د) حزام الأمان</v>
      </c>
      <c r="K120" s="4" t="str">
        <f ca="1">IFERROR(__xludf.DUMMYFUNCTION("GOOGLETRANSLATE(D120,""en"",""ar"")"),"ب) توازن ولياقة بدنية استثنائيان")</f>
        <v>ب) توازن ولياقة بدنية استثنائيان</v>
      </c>
      <c r="L120" s="4" t="str">
        <f ca="1">IFERROR(__xludf.DUMMYFUNCTION("GOOGLETRANSLATE(E120,""en"",""ar"")"),"إن البقاء على ظهر الجمل أثناء العدو السريع، وخاصة مع مركز ثقل مرتفع كهذا، يمثل تحديًا بدنيًا كبيرًا.")</f>
        <v>إن البقاء على ظهر الجمل أثناء العدو السريع، وخاصة مع مركز ثقل مرتفع كهذا، يمثل تحديًا بدنيًا كبيرًا.</v>
      </c>
      <c r="M120" s="4"/>
      <c r="N120" s="4"/>
      <c r="O120" s="4"/>
      <c r="P120" s="4"/>
      <c r="Q120" s="4"/>
      <c r="R120" s="4"/>
      <c r="S120" s="4"/>
      <c r="T120" s="4"/>
      <c r="U120" s="4"/>
      <c r="V120" s="4"/>
      <c r="W120" s="4"/>
      <c r="X120" s="4"/>
      <c r="Y120" s="4"/>
      <c r="Z120" s="4"/>
      <c r="AA120" s="4"/>
      <c r="AB120" s="4"/>
      <c r="AC120" s="4"/>
      <c r="AD120" s="4"/>
      <c r="AE120" s="4"/>
      <c r="AF120" s="4"/>
      <c r="AG120" s="4"/>
    </row>
    <row r="121" spans="1:33" ht="22.5" customHeight="1" x14ac:dyDescent="0.25">
      <c r="A121" s="2"/>
      <c r="B121" s="2"/>
      <c r="C121" s="2"/>
      <c r="D121" s="2"/>
      <c r="E121" s="2"/>
      <c r="F121" s="4"/>
      <c r="G121" s="4"/>
      <c r="H121" s="4" t="s">
        <v>38</v>
      </c>
      <c r="I121" s="4" t="str">
        <f ca="1">IFERROR(__xludf.DUMMYFUNCTION("GOOGLETRANSLATE(B121,""en"",""ar"")"),"تُظهر هذه الصورة أن سباق الهجن يمكن أن يكون...")</f>
        <v>تُظهر هذه الصورة أن سباق الهجن يمكن أن يكون...</v>
      </c>
      <c r="J121" s="4" t="str">
        <f ca="1">IFERROR(__xludf.DUMMYFUNCTION("GOOGLETRANSLATE(C121,""en"",""ar"")"),"أ) رياضة فردية، ب) رياضة تضم عددًا كبيرًا جدًا من المتنافسين، ج) رياضة بطيئة واستراتيجية للغاية، د) رياضة لا تتطلب أي معدات")</f>
        <v>أ) رياضة فردية، ب) رياضة تضم عددًا كبيرًا جدًا من المتنافسين، ج) رياضة بطيئة واستراتيجية للغاية، د) رياضة لا تتطلب أي معدات</v>
      </c>
      <c r="K121" s="4" t="str">
        <f ca="1">IFERROR(__xludf.DUMMYFUNCTION("GOOGLETRANSLATE(D121,""en"",""ar"")"),"ب) رياضة تضم عددًا كبيرًا جدًا من المتنافسين")</f>
        <v>ب) رياضة تضم عددًا كبيرًا جدًا من المتنافسين</v>
      </c>
      <c r="L121" s="4" t="str">
        <f ca="1">IFERROR(__xludf.DUMMYFUNCTION("GOOGLETRANSLATE(E121,""en"",""ar"")"),"إن ""ساحة"" هذا السباق واسعة، حيث يتنافس العشرات من الجمال والفرسان في وقت واحد.")</f>
        <v>إن "ساحة" هذا السباق واسعة، حيث يتنافس العشرات من الجمال والفرسان في وقت واحد.</v>
      </c>
      <c r="M121" s="4"/>
      <c r="N121" s="4"/>
      <c r="O121" s="4"/>
      <c r="P121" s="4"/>
      <c r="Q121" s="4"/>
      <c r="R121" s="4"/>
      <c r="S121" s="4"/>
      <c r="T121" s="4"/>
      <c r="U121" s="4"/>
      <c r="V121" s="4"/>
      <c r="W121" s="4"/>
      <c r="X121" s="4"/>
      <c r="Y121" s="4"/>
      <c r="Z121" s="4"/>
      <c r="AA121" s="4"/>
      <c r="AB121" s="4"/>
      <c r="AC121" s="4"/>
      <c r="AD121" s="4"/>
      <c r="AE121" s="4"/>
      <c r="AF121" s="4"/>
      <c r="AG121" s="4"/>
    </row>
    <row r="122" spans="1:33" ht="22.5" customHeight="1" x14ac:dyDescent="0.25">
      <c r="A122" s="2"/>
      <c r="B122" s="2"/>
      <c r="C122" s="2"/>
      <c r="D122" s="2"/>
      <c r="E122" s="2"/>
      <c r="F122" s="4"/>
      <c r="G122" s="4"/>
      <c r="H122" s="4" t="s">
        <v>39</v>
      </c>
      <c r="I122" s="4" t="str">
        <f ca="1">IFERROR(__xludf.DUMMYFUNCTION("GOOGLETRANSLATE(B122,""en"",""ar"")"),"في أي نوع من البيئة يُقام هذا السباق؟")</f>
        <v>في أي نوع من البيئة يُقام هذا السباق؟</v>
      </c>
      <c r="J122" s="4" t="str">
        <f ca="1">IFERROR(__xludf.DUMMYFUNCTION("GOOGLETRANSLATE(C122,""en"",""ar"")"),"أ) مسار صحراوي تقليدي غير مُعلّم، ب) مضمار سباق حديث رسمي ذو مسارات وإشارات ضوئية، ج) شارع عام، د) مسار غابي")</f>
        <v>أ) مسار صحراوي تقليدي غير مُعلّم، ب) مضمار سباق حديث رسمي ذو مسارات وإشارات ضوئية، ج) شارع عام، د) مسار غابي</v>
      </c>
      <c r="K122" s="4" t="str">
        <f ca="1">IFERROR(__xludf.DUMMYFUNCTION("GOOGLETRANSLATE(D122,""en"",""ar"")"),"ب) مضمار سباق حديث ورسمي مزود بمسارات وأضواء")</f>
        <v>ب) مضمار سباق حديث ورسمي مزود بمسارات وأضواء</v>
      </c>
      <c r="L122" s="4" t="str">
        <f ca="1">IFERROR(__xludf.DUMMYFUNCTION("GOOGLETRANSLATE(E122,""en"",""ar"")"),"تُظهر الصورة مسارًا واضح المعالم، وحواجز، وأضواء ملعب عالية، مما يدل على مكان احترافي وحديث.")</f>
        <v>تُظهر الصورة مسارًا واضح المعالم، وحواجز، وأضواء ملعب عالية، مما يدل على مكان احترافي وحديث.</v>
      </c>
      <c r="M122" s="4"/>
      <c r="N122" s="4"/>
      <c r="O122" s="4"/>
      <c r="P122" s="4"/>
      <c r="Q122" s="4"/>
      <c r="R122" s="4"/>
      <c r="S122" s="4"/>
      <c r="T122" s="4"/>
      <c r="U122" s="4"/>
      <c r="V122" s="4"/>
      <c r="W122" s="4"/>
      <c r="X122" s="4"/>
      <c r="Y122" s="4"/>
      <c r="Z122" s="4"/>
      <c r="AA122" s="4"/>
      <c r="AB122" s="4"/>
      <c r="AC122" s="4"/>
      <c r="AD122" s="4"/>
      <c r="AE122" s="4"/>
      <c r="AF122" s="4"/>
      <c r="AG122" s="4"/>
    </row>
    <row r="123" spans="1:33" ht="22.5" customHeight="1" x14ac:dyDescent="0.25">
      <c r="A123" s="2"/>
      <c r="B123" s="2"/>
      <c r="C123" s="2"/>
      <c r="D123" s="2"/>
      <c r="E123" s="2"/>
      <c r="F123" s="4"/>
      <c r="G123" s="4"/>
      <c r="H123" s="4" t="s">
        <v>39</v>
      </c>
      <c r="I123" s="4" t="str">
        <f ca="1">IFERROR(__xludf.DUMMYFUNCTION("GOOGLETRANSLATE(B123,""en"",""ar"")"),"ما هي الأشياء التي تصطف على جانبي المسار في الخلفية؟")</f>
        <v>ما هي الأشياء التي تصطف على جانبي المسار في الخلفية؟</v>
      </c>
      <c r="J123" s="4" t="str">
        <f ca="1">IFERROR(__xludf.DUMMYFUNCTION("GOOGLETRANSLATE(C123,""en"",""ar"")"),"أ) الأشجار، ب) الخيام، ج) أعلام الدول المختلفة، د) سيارات المتفرجين")</f>
        <v>أ) الأشجار، ب) الخيام، ج) أعلام الدول المختلفة، د) سيارات المتفرجين</v>
      </c>
      <c r="K123" s="4" t="str">
        <f ca="1">IFERROR(__xludf.DUMMYFUNCTION("GOOGLETRANSLATE(D123,""en"",""ar"")"),"ج) أعلام الدول المختلفة")</f>
        <v>ج) أعلام الدول المختلفة</v>
      </c>
      <c r="L123" s="4" t="str">
        <f ca="1">IFERROR(__xludf.DUMMYFUNCTION("GOOGLETRANSLATE(E123,""en"",""ar"")"),"تُعرض أعلام عديدة، من بينها ما يبدو أنه علم الإمارات العربية المتحدة، مما يشير إلى حدث دولي أو وطني. 🇦🇪")</f>
        <v>تُعرض أعلام عديدة، من بينها ما يبدو أنه علم الإمارات العربية المتحدة، مما يشير إلى حدث دولي أو وطني. 🇦🇪</v>
      </c>
      <c r="M123" s="4"/>
      <c r="N123" s="4"/>
      <c r="O123" s="4"/>
      <c r="P123" s="4"/>
      <c r="Q123" s="4"/>
      <c r="R123" s="4"/>
      <c r="S123" s="4"/>
      <c r="T123" s="4"/>
      <c r="U123" s="4"/>
      <c r="V123" s="4"/>
      <c r="W123" s="4"/>
      <c r="X123" s="4"/>
      <c r="Y123" s="4"/>
      <c r="Z123" s="4"/>
      <c r="AA123" s="4"/>
      <c r="AB123" s="4"/>
      <c r="AC123" s="4"/>
      <c r="AD123" s="4"/>
      <c r="AE123" s="4"/>
      <c r="AF123" s="4"/>
      <c r="AG123" s="4"/>
    </row>
    <row r="124" spans="1:33" ht="22.5" customHeight="1" x14ac:dyDescent="0.25">
      <c r="A124" s="2"/>
      <c r="B124" s="2"/>
      <c r="C124" s="2"/>
      <c r="D124" s="2"/>
      <c r="E124" s="2"/>
      <c r="F124" s="4"/>
      <c r="G124" s="4"/>
      <c r="H124" s="4" t="s">
        <v>39</v>
      </c>
      <c r="I124" s="4" t="str">
        <f ca="1">IFERROR(__xludf.DUMMYFUNCTION("GOOGLETRANSLATE(B124,""en"",""ar"")"),"ماذا يفعل الفارسان الرئيسيان؟")</f>
        <v>ماذا يفعل الفارسان الرئيسيان؟</v>
      </c>
      <c r="J124" s="4" t="str">
        <f ca="1">IFERROR(__xludf.DUMMYFUNCTION("GOOGLETRANSLATE(C124,""en"",""ar"")"),"أ) إنهم نائمون، ب) إنهم يحتفلون ويصرخون بحماس، ج) إنهم يقودون جمالهم بهدوء، د) إنهم يحاولون التوقف")</f>
        <v>أ) إنهم نائمون، ب) إنهم يحتفلون ويصرخون بحماس، ج) إنهم يقودون جمالهم بهدوء، د) إنهم يحاولون التوقف</v>
      </c>
      <c r="K124" s="4" t="str">
        <f ca="1">IFERROR(__xludf.DUMMYFUNCTION("GOOGLETRANSLATE(D124,""en"",""ar"")"),"ب) إنهم يحتفلون ويصرخون بحماس")</f>
        <v>ب) إنهم يحتفلون ويصرخون بحماس</v>
      </c>
      <c r="L124" s="4" t="str">
        <f ca="1">IFERROR(__xludf.DUMMYFUNCTION("GOOGLETRANSLATE(E124,""en"",""ar"")"),"أذرعهم مرفوعة وتعبيراتهم حيوية، مما يدل على إثارة السباق.")</f>
        <v>أذرعهم مرفوعة وتعبيراتهم حيوية، مما يدل على إثارة السباق.</v>
      </c>
      <c r="M124" s="4"/>
      <c r="N124" s="4"/>
      <c r="O124" s="4"/>
      <c r="P124" s="4"/>
      <c r="Q124" s="4"/>
      <c r="R124" s="4"/>
      <c r="S124" s="4"/>
      <c r="T124" s="4"/>
      <c r="U124" s="4"/>
      <c r="V124" s="4"/>
      <c r="W124" s="4"/>
      <c r="X124" s="4"/>
      <c r="Y124" s="4"/>
      <c r="Z124" s="4"/>
      <c r="AA124" s="4"/>
      <c r="AB124" s="4"/>
      <c r="AC124" s="4"/>
      <c r="AD124" s="4"/>
      <c r="AE124" s="4"/>
      <c r="AF124" s="4"/>
      <c r="AG124" s="4"/>
    </row>
    <row r="125" spans="1:33" ht="22.5" customHeight="1" x14ac:dyDescent="0.25">
      <c r="A125" s="2"/>
      <c r="B125" s="2"/>
      <c r="C125" s="2"/>
      <c r="D125" s="2"/>
      <c r="E125" s="2"/>
      <c r="F125" s="4"/>
      <c r="G125" s="4"/>
      <c r="H125" s="4" t="s">
        <v>39</v>
      </c>
      <c r="I125" s="4" t="str">
        <f ca="1">IFERROR(__xludf.DUMMYFUNCTION("GOOGLETRANSLATE(B125,""en"",""ar"")"),"تجري الجمال في مجموعة متقاربة، مما يشير إلى...")</f>
        <v>تجري الجمال في مجموعة متقاربة، مما يشير إلى...</v>
      </c>
      <c r="J125" s="4" t="str">
        <f ca="1">IFERROR(__xludf.DUMMYFUNCTION("GOOGLETRANSLATE(C125,""en"",""ar"")"),"أ) السباق على وشك الانتهاء، ب) السباق تنافسي للغاية، ج) الجمال كلها أصدقاء، د) إنها جولة استعراضية بطيئة")</f>
        <v>أ) السباق على وشك الانتهاء، ب) السباق تنافسي للغاية، ج) الجمال كلها أصدقاء، د) إنها جولة استعراضية بطيئة</v>
      </c>
      <c r="K125" s="4" t="str">
        <f ca="1">IFERROR(__xludf.DUMMYFUNCTION("GOOGLETRANSLATE(D125,""en"",""ar"")"),"ب) السباق تنافسي للغاية")</f>
        <v>ب) السباق تنافسي للغاية</v>
      </c>
      <c r="L125" s="4" t="str">
        <f ca="1">IFERROR(__xludf.DUMMYFUNCTION("GOOGLETRANSLATE(E125,""en"",""ar"")"),"تتجمع الجمال بشكل وثيق، وهذا دليل على سباق تنافسي لا يتقدم فيه أي حيوان بشكل واضح.")</f>
        <v>تتجمع الجمال بشكل وثيق، وهذا دليل على سباق تنافسي لا يتقدم فيه أي حيوان بشكل واضح.</v>
      </c>
      <c r="M125" s="4"/>
      <c r="N125" s="4"/>
      <c r="O125" s="4"/>
      <c r="P125" s="4"/>
      <c r="Q125" s="4"/>
      <c r="R125" s="4"/>
      <c r="S125" s="4"/>
      <c r="T125" s="4"/>
      <c r="U125" s="4"/>
      <c r="V125" s="4"/>
      <c r="W125" s="4"/>
      <c r="X125" s="4"/>
      <c r="Y125" s="4"/>
      <c r="Z125" s="4"/>
      <c r="AA125" s="4"/>
      <c r="AB125" s="4"/>
      <c r="AC125" s="4"/>
      <c r="AD125" s="4"/>
      <c r="AE125" s="4"/>
      <c r="AF125" s="4"/>
      <c r="AG125" s="4"/>
    </row>
    <row r="126" spans="1:33" ht="22.5" customHeight="1" x14ac:dyDescent="0.25">
      <c r="A126" s="2"/>
      <c r="B126" s="2"/>
      <c r="C126" s="2"/>
      <c r="D126" s="2"/>
      <c r="E126" s="2"/>
      <c r="F126" s="4"/>
      <c r="G126" s="4"/>
      <c r="H126" s="4" t="s">
        <v>39</v>
      </c>
      <c r="I126" s="4" t="str">
        <f ca="1">IFERROR(__xludf.DUMMYFUNCTION("GOOGLETRANSLATE(B126,""en"",""ar"")"),"ما نوع السروج التي تُجهز بها الجمال؟")</f>
        <v>ما نوع السروج التي تُجهز بها الجمال؟</v>
      </c>
      <c r="J126" s="4" t="str">
        <f ca="1">IFERROR(__xludf.DUMMYFUNCTION("GOOGLETRANSLATE(C126,""en"",""ar"")"),"أ) سروج ترفيهية كبيرة وتقليدية، ب) سروج سباق صغيرة وخفيفة الوزن، ج) سروج حمل متينة، د) لا سروج على الإطلاق")</f>
        <v>أ) سروج ترفيهية كبيرة وتقليدية، ب) سروج سباق صغيرة وخفيفة الوزن، ج) سروج حمل متينة، د) لا سروج على الإطلاق</v>
      </c>
      <c r="K126" s="4" t="str">
        <f ca="1">IFERROR(__xludf.DUMMYFUNCTION("GOOGLETRANSLATE(D126,""en"",""ar"")"),"ب) سروج سباق صغيرة وخفيفة الوزن")</f>
        <v>ب) سروج سباق صغيرة وخفيفة الوزن</v>
      </c>
      <c r="L126" s="4" t="str">
        <f ca="1">IFERROR(__xludf.DUMMYFUNCTION("GOOGLETRANSLATE(E126,""en"",""ar"")"),"إنهم يستخدمون سروجًا بسيطة مصممة لتكون خفيفة قدر الإمكان لتحقيق أقصى سرعة.")</f>
        <v>إنهم يستخدمون سروجًا بسيطة مصممة لتكون خفيفة قدر الإمكان لتحقيق أقصى سرعة.</v>
      </c>
      <c r="M126" s="4"/>
      <c r="N126" s="4"/>
      <c r="O126" s="4"/>
      <c r="P126" s="4"/>
      <c r="Q126" s="4"/>
      <c r="R126" s="4"/>
      <c r="S126" s="4"/>
      <c r="T126" s="4"/>
      <c r="U126" s="4"/>
      <c r="V126" s="4"/>
      <c r="W126" s="4"/>
      <c r="X126" s="4"/>
      <c r="Y126" s="4"/>
      <c r="Z126" s="4"/>
      <c r="AA126" s="4"/>
      <c r="AB126" s="4"/>
      <c r="AC126" s="4"/>
      <c r="AD126" s="4"/>
      <c r="AE126" s="4"/>
      <c r="AF126" s="4"/>
      <c r="AG126" s="4"/>
    </row>
    <row r="127" spans="1:33" ht="22.5" customHeight="1" x14ac:dyDescent="0.25">
      <c r="A127" s="2"/>
      <c r="B127" s="2"/>
      <c r="C127" s="2"/>
      <c r="D127" s="2"/>
      <c r="E127" s="2"/>
      <c r="F127" s="4"/>
      <c r="G127" s="4"/>
      <c r="H127" s="4" t="s">
        <v>39</v>
      </c>
      <c r="I127" s="4" t="str">
        <f ca="1">IFERROR(__xludf.DUMMYFUNCTION("GOOGLETRANSLATE(B127,""en"",""ar"")"),"ماذا يحمل الفارس الذي يرتدي قميصاً منقوشاً في يده المرفوعة؟")</f>
        <v>ماذا يحمل الفارس الذي يرتدي قميصاً منقوشاً في يده المرفوعة؟</v>
      </c>
      <c r="J127" s="4" t="str">
        <f ca="1">IFERROR(__xludf.DUMMYFUNCTION("GOOGLETRANSLATE(C127,""en"",""ar"")"),"أ) علم، ب) سوط ركوب أبيض، ج) هاتف محمول، د) لجام")</f>
        <v>أ) علم، ب) سوط ركوب أبيض، ج) هاتف محمول، د) لجام</v>
      </c>
      <c r="K127" s="4" t="str">
        <f ca="1">IFERROR(__xludf.DUMMYFUNCTION("GOOGLETRANSLATE(D127,""en"",""ar"")"),"ب) سوط ركوب أبيض")</f>
        <v>ب) سوط ركوب أبيض</v>
      </c>
      <c r="L127" s="4" t="str">
        <f ca="1">IFERROR(__xludf.DUMMYFUNCTION("GOOGLETRANSLATE(E127,""en"",""ar"")"),"إنه يحمل عصا بيضاء مرنة تستخدم لتشجيع الجمل.")</f>
        <v>إنه يحمل عصا بيضاء مرنة تستخدم لتشجيع الجمل.</v>
      </c>
      <c r="M127" s="4"/>
      <c r="N127" s="4"/>
      <c r="O127" s="4"/>
      <c r="P127" s="4"/>
      <c r="Q127" s="4"/>
      <c r="R127" s="4"/>
      <c r="S127" s="4"/>
      <c r="T127" s="4"/>
      <c r="U127" s="4"/>
      <c r="V127" s="4"/>
      <c r="W127" s="4"/>
      <c r="X127" s="4"/>
      <c r="Y127" s="4"/>
      <c r="Z127" s="4"/>
      <c r="AA127" s="4"/>
      <c r="AB127" s="4"/>
      <c r="AC127" s="4"/>
      <c r="AD127" s="4"/>
      <c r="AE127" s="4"/>
      <c r="AF127" s="4"/>
      <c r="AG127" s="4"/>
    </row>
    <row r="128" spans="1:33" ht="22.5" customHeight="1" x14ac:dyDescent="0.25">
      <c r="A128" s="2"/>
      <c r="B128" s="2"/>
      <c r="C128" s="2"/>
      <c r="D128" s="2"/>
      <c r="E128" s="2"/>
      <c r="F128" s="4"/>
      <c r="G128" s="4"/>
      <c r="H128" s="4" t="s">
        <v>39</v>
      </c>
      <c r="I128" s="4" t="str">
        <f ca="1">IFERROR(__xludf.DUMMYFUNCTION("GOOGLETRANSLATE(B128,""en"",""ar"")"),"ماذا يوحي وجود هذا العدد الكبير من الأعلام الوطنية بشأن الحدث؟")</f>
        <v>ماذا يوحي وجود هذا العدد الكبير من الأعلام الوطنية بشأن الحدث؟</v>
      </c>
      <c r="J128" s="4" t="str">
        <f ca="1">IFERROR(__xludf.DUMMYFUNCTION("GOOGLETRANSLATE(C128,""en"",""ar"")"),"أ) هو تجمع محلي صغير، ب) هو حدث كبير ذو أهمية وطنية أو دولية، ج) هو تجمع سياسي، د) هو إعادة تمثيل تاريخي")</f>
        <v>أ) هو تجمع محلي صغير، ب) هو حدث كبير ذو أهمية وطنية أو دولية، ج) هو تجمع سياسي، د) هو إعادة تمثيل تاريخي</v>
      </c>
      <c r="K128" s="4" t="str">
        <f ca="1">IFERROR(__xludf.DUMMYFUNCTION("GOOGLETRANSLATE(D128,""en"",""ar"")"),"ب) إنه حدث رئيسي ذو أهمية وطنية أو دولية")</f>
        <v>ب) إنه حدث رئيسي ذو أهمية وطنية أو دولية</v>
      </c>
      <c r="L128" s="4" t="str">
        <f ca="1">IFERROR(__xludf.DUMMYFUNCTION("GOOGLETRANSLATE(E128,""en"",""ar"")"),"غالباً ما تُعرض الأعلام الوطنية في الأحداث الرياضية الكبرى تكريماً للمشاركين والدولة المضيفة.")</f>
        <v>غالباً ما تُعرض الأعلام الوطنية في الأحداث الرياضية الكبرى تكريماً للمشاركين والدولة المضيفة.</v>
      </c>
      <c r="M128" s="4"/>
      <c r="N128" s="4"/>
      <c r="O128" s="4"/>
      <c r="P128" s="4"/>
      <c r="Q128" s="4"/>
      <c r="R128" s="4"/>
      <c r="S128" s="4"/>
      <c r="T128" s="4"/>
      <c r="U128" s="4"/>
      <c r="V128" s="4"/>
      <c r="W128" s="4"/>
      <c r="X128" s="4"/>
      <c r="Y128" s="4"/>
      <c r="Z128" s="4"/>
      <c r="AA128" s="4"/>
      <c r="AB128" s="4"/>
      <c r="AC128" s="4"/>
      <c r="AD128" s="4"/>
      <c r="AE128" s="4"/>
      <c r="AF128" s="4"/>
      <c r="AG128" s="4"/>
    </row>
    <row r="129" spans="1:33" ht="22.5" customHeight="1" x14ac:dyDescent="0.25">
      <c r="A129" s="2"/>
      <c r="B129" s="2"/>
      <c r="C129" s="2"/>
      <c r="D129" s="2"/>
      <c r="E129" s="2"/>
      <c r="F129" s="4"/>
      <c r="G129" s="4"/>
      <c r="H129" s="4" t="s">
        <v>39</v>
      </c>
      <c r="I129" s="4" t="str">
        <f ca="1">IFERROR(__xludf.DUMMYFUNCTION("GOOGLETRANSLATE(B129,""en"",""ar"")"),"إن مشية الجمل، أو طريقة حركته، هي نوع من...")</f>
        <v>إن مشية الجمل، أو طريقة حركته، هي نوع من...</v>
      </c>
      <c r="J129" s="4" t="str">
        <f ca="1">IFERROR(__xludf.DUMMYFUNCTION("GOOGLETRANSLATE(C129,""en"",""ar"")"),"أ) الهرولة، ب) المشي، ج) العدو، د) الزحف")</f>
        <v>أ) الهرولة، ب) المشي، ج) العدو، د) الزحف</v>
      </c>
      <c r="K129" s="4" t="str">
        <f ca="1">IFERROR(__xludf.DUMMYFUNCTION("GOOGLETRANSLATE(D129,""en"",""ar"")"),"ج) العدو")</f>
        <v>ج) العدو</v>
      </c>
      <c r="L129" s="4" t="str">
        <f ca="1">IFERROR(__xludf.DUMMYFUNCTION("GOOGLETRANSLATE(E129,""en"",""ar"")"),"هذه هي أسرع مشية للجمل، وتستخدم في السباقات.")</f>
        <v>هذه هي أسرع مشية للجمل، وتستخدم في السباقات.</v>
      </c>
      <c r="M129" s="4"/>
      <c r="N129" s="4"/>
      <c r="O129" s="4"/>
      <c r="P129" s="4"/>
      <c r="Q129" s="4"/>
      <c r="R129" s="4"/>
      <c r="S129" s="4"/>
      <c r="T129" s="4"/>
      <c r="U129" s="4"/>
      <c r="V129" s="4"/>
      <c r="W129" s="4"/>
      <c r="X129" s="4"/>
      <c r="Y129" s="4"/>
      <c r="Z129" s="4"/>
      <c r="AA129" s="4"/>
      <c r="AB129" s="4"/>
      <c r="AC129" s="4"/>
      <c r="AD129" s="4"/>
      <c r="AE129" s="4"/>
      <c r="AF129" s="4"/>
      <c r="AG129" s="4"/>
    </row>
    <row r="130" spans="1:33" ht="22.5" customHeight="1" x14ac:dyDescent="0.25">
      <c r="A130" s="2"/>
      <c r="B130" s="2"/>
      <c r="C130" s="2"/>
      <c r="D130" s="2"/>
      <c r="E130" s="2"/>
      <c r="F130" s="4"/>
      <c r="G130" s="4"/>
      <c r="H130" s="4" t="s">
        <v>39</v>
      </c>
      <c r="I130" s="4" t="str">
        <f ca="1">IFERROR(__xludf.DUMMYFUNCTION("GOOGLETRANSLATE(B130,""en"",""ar"")"),"يبدو أن سطح المسار في حالة جيدة...")</f>
        <v>يبدو أن سطح المسار في حالة جيدة...</v>
      </c>
      <c r="J130" s="4" t="str">
        <f ca="1">IFERROR(__xludf.DUMMYFUNCTION("GOOGLETRANSLATE(C130,""en"",""ar"")"),"أ) مسار عشبي، ب) حقل موحل، ج) مسار رملي، د) طريق معبد")</f>
        <v>أ) مسار عشبي، ب) حقل موحل، ج) مسار رملي، د) طريق معبد</v>
      </c>
      <c r="K130" s="4" t="str">
        <f ca="1">IFERROR(__xludf.DUMMYFUNCTION("GOOGLETRANSLATE(D130,""en"",""ar"")"),"ج) مسار رملي")</f>
        <v>ج) مسار رملي</v>
      </c>
      <c r="L130" s="4" t="str">
        <f ca="1">IFERROR(__xludf.DUMMYFUNCTION("GOOGLETRANSLATE(E130,""en"",""ar"")"),"يتميز السطح البني الفاتح والمتساوي بأنه سمة مميزة لمضمار رملي احترافي لسباقات الهجن.")</f>
        <v>يتميز السطح البني الفاتح والمتساوي بأنه سمة مميزة لمضمار رملي احترافي لسباقات الهجن.</v>
      </c>
      <c r="M130" s="4"/>
      <c r="N130" s="4"/>
      <c r="O130" s="4"/>
      <c r="P130" s="4"/>
      <c r="Q130" s="4"/>
      <c r="R130" s="4"/>
      <c r="S130" s="4"/>
      <c r="T130" s="4"/>
      <c r="U130" s="4"/>
      <c r="V130" s="4"/>
      <c r="W130" s="4"/>
      <c r="X130" s="4"/>
      <c r="Y130" s="4"/>
      <c r="Z130" s="4"/>
      <c r="AA130" s="4"/>
      <c r="AB130" s="4"/>
      <c r="AC130" s="4"/>
      <c r="AD130" s="4"/>
      <c r="AE130" s="4"/>
      <c r="AF130" s="4"/>
      <c r="AG130" s="4"/>
    </row>
    <row r="131" spans="1:33" ht="22.5" customHeight="1" x14ac:dyDescent="0.25">
      <c r="A131" s="2"/>
      <c r="B131" s="2"/>
      <c r="C131" s="2"/>
      <c r="D131" s="2"/>
      <c r="E131" s="2"/>
      <c r="F131" s="4"/>
      <c r="G131" s="4"/>
      <c r="H131" s="4" t="s">
        <v>39</v>
      </c>
      <c r="I131" s="4" t="str">
        <f ca="1">IFERROR(__xludf.DUMMYFUNCTION("GOOGLETRANSLATE(B131,""en"",""ar"")"),"تُظهر هذه الصورة مزيجًا من...")</f>
        <v>تُظهر هذه الصورة مزيجًا من...</v>
      </c>
      <c r="J131" s="4" t="str">
        <f ca="1">IFERROR(__xludf.DUMMYFUNCTION("GOOGLETRANSLATE(C131,""en"",""ar"")"),"أ) التقاليد القديمة والعروض الحديثة، ب) أنواع مختلفة من الحيوانات تتسابق معًا، ج) الرياضات الصيفية والشتوية، د) الفرسان المحترفون والهواة")</f>
        <v>أ) التقاليد القديمة والعروض الحديثة، ب) أنواع مختلفة من الحيوانات تتسابق معًا، ج) الرياضات الصيفية والشتوية، د) الفرسان المحترفون والهواة</v>
      </c>
      <c r="K131" s="4" t="str">
        <f ca="1">IFERROR(__xludf.DUMMYFUNCTION("GOOGLETRANSLATE(D131,""en"",""ar"")"),"أ) التقاليد القديمة والعرض الحديث")</f>
        <v>أ) التقاليد القديمة والعرض الحديث</v>
      </c>
      <c r="L131" s="4" t="str">
        <f ca="1">IFERROR(__xludf.DUMMYFUNCTION("GOOGLETRANSLATE(E131,""en"",""ar"")"),"تُقام رياضة سباق الهجن التقليدية في ملعب كبير وحديث، مما يخلق حدثاً مذهلاً.")</f>
        <v>تُقام رياضة سباق الهجن التقليدية في ملعب كبير وحديث، مما يخلق حدثاً مذهلاً.</v>
      </c>
      <c r="M131" s="4"/>
      <c r="N131" s="4"/>
      <c r="O131" s="4"/>
      <c r="P131" s="4"/>
      <c r="Q131" s="4"/>
      <c r="R131" s="4"/>
      <c r="S131" s="4"/>
      <c r="T131" s="4"/>
      <c r="U131" s="4"/>
      <c r="V131" s="4"/>
      <c r="W131" s="4"/>
      <c r="X131" s="4"/>
      <c r="Y131" s="4"/>
      <c r="Z131" s="4"/>
      <c r="AA131" s="4"/>
      <c r="AB131" s="4"/>
      <c r="AC131" s="4"/>
      <c r="AD131" s="4"/>
      <c r="AE131" s="4"/>
      <c r="AF131" s="4"/>
      <c r="AG131" s="4"/>
    </row>
    <row r="132" spans="1:33" ht="22.5" customHeight="1" x14ac:dyDescent="0.25">
      <c r="A132" s="2"/>
      <c r="B132" s="2"/>
      <c r="C132" s="2"/>
      <c r="D132" s="2"/>
      <c r="E132" s="2"/>
      <c r="F132" s="4"/>
      <c r="G132" s="4"/>
      <c r="H132" s="4" t="s">
        <v>40</v>
      </c>
      <c r="I132" s="4" t="str">
        <f ca="1">IFERROR(__xludf.DUMMYFUNCTION("GOOGLETRANSLATE(B132,""en"",""ar"")"),"ماذا تفعل الجمال في المقدمة؟")</f>
        <v>ماذا تفعل الجمال في المقدمة؟</v>
      </c>
      <c r="J132" s="4" t="str">
        <f ca="1">IFERROR(__xludf.DUMMYFUNCTION("GOOGLETRANSLATE(C132,""en"",""ar"")"),"أ) إنهم يركضون بأقصى سرعة، ب) إنهم واقفون، ج) إنهم يستريحون على الرمال، د) إنهم يشربون الماء")</f>
        <v>أ) إنهم يركضون بأقصى سرعة، ب) إنهم واقفون، ج) إنهم يستريحون على الرمال، د) إنهم يشربون الماء</v>
      </c>
      <c r="K132" s="4" t="str">
        <f ca="1">IFERROR(__xludf.DUMMYFUNCTION("GOOGLETRANSLATE(D132,""en"",""ar"")"),"ج) إنهم يستريحون على الرمال")</f>
        <v>ج) إنهم يستريحون على الرمال</v>
      </c>
      <c r="L132" s="4" t="str">
        <f ca="1">IFERROR(__xludf.DUMMYFUNCTION("GOOGLETRANSLATE(E132,""en"",""ar"")"),"تتخذ الجمال وضعية راحة تسمى ""كوشينغ""، حيث تطوي أرجلها تحت أجسامها.")</f>
        <v>تتخذ الجمال وضعية راحة تسمى "كوشينغ"، حيث تطوي أرجلها تحت أجسامها.</v>
      </c>
      <c r="M132" s="4"/>
      <c r="N132" s="4"/>
      <c r="O132" s="4"/>
      <c r="P132" s="4"/>
      <c r="Q132" s="4"/>
      <c r="R132" s="4"/>
      <c r="S132" s="4"/>
      <c r="T132" s="4"/>
      <c r="U132" s="4"/>
      <c r="V132" s="4"/>
      <c r="W132" s="4"/>
      <c r="X132" s="4"/>
      <c r="Y132" s="4"/>
      <c r="Z132" s="4"/>
      <c r="AA132" s="4"/>
      <c r="AB132" s="4"/>
      <c r="AC132" s="4"/>
      <c r="AD132" s="4"/>
      <c r="AE132" s="4"/>
      <c r="AF132" s="4"/>
      <c r="AG132" s="4"/>
    </row>
    <row r="133" spans="1:33" ht="22.5" customHeight="1" x14ac:dyDescent="0.25">
      <c r="A133" s="2"/>
      <c r="B133" s="2"/>
      <c r="C133" s="2"/>
      <c r="D133" s="2"/>
      <c r="E133" s="2"/>
      <c r="F133" s="4"/>
      <c r="G133" s="4"/>
      <c r="H133" s="4" t="s">
        <v>40</v>
      </c>
      <c r="I133" s="4" t="str">
        <f ca="1">IFERROR(__xludf.DUMMYFUNCTION("GOOGLETRANSLATE(B133,""en"",""ar"")"),"ما الغرض من البطانيات المخططة على الجمال؟")</f>
        <v>ما الغرض من البطانيات المخططة على الجمال؟</v>
      </c>
      <c r="J133" s="4" t="str">
        <f ca="1">IFERROR(__xludf.DUMMYFUNCTION("GOOGLETRANSLATE(C133,""en"",""ar"")"),"أ) لتكون بمثابة مظلة هبوط، ب) لتدفئة الجمال أو التعرف عليها، ج) لاستخدامها كخيمة لاحقًا، د) هي جزء من مسابقة أزياء تنكرية")</f>
        <v>أ) لتكون بمثابة مظلة هبوط، ب) لتدفئة الجمال أو التعرف عليها، ج) لاستخدامها كخيمة لاحقًا، د) هي جزء من مسابقة أزياء تنكرية</v>
      </c>
      <c r="K133" s="4" t="str">
        <f ca="1">IFERROR(__xludf.DUMMYFUNCTION("GOOGLETRANSLATE(D133,""en"",""ar"")"),"ب) للحفاظ على دفء الجمال أو التعرف عليها")</f>
        <v>ب) للحفاظ على دفء الجمال أو التعرف عليها</v>
      </c>
      <c r="L133" s="4" t="str">
        <f ca="1">IFERROR(__xludf.DUMMYFUNCTION("GOOGLETRANSLATE(E133,""en"",""ar"")"),"يمكن للبطانيات أن تحافظ على دفء عضلات الجمال في هواء الصحراء البارد، كما أنها بمثابة ألوان المالك للتعرف عليها.")</f>
        <v>يمكن للبطانيات أن تحافظ على دفء عضلات الجمال في هواء الصحراء البارد، كما أنها بمثابة ألوان المالك للتعرف عليها.</v>
      </c>
      <c r="M133" s="4"/>
      <c r="N133" s="4"/>
      <c r="O133" s="4"/>
      <c r="P133" s="4"/>
      <c r="Q133" s="4"/>
      <c r="R133" s="4"/>
      <c r="S133" s="4"/>
      <c r="T133" s="4"/>
      <c r="U133" s="4"/>
      <c r="V133" s="4"/>
      <c r="W133" s="4"/>
      <c r="X133" s="4"/>
      <c r="Y133" s="4"/>
      <c r="Z133" s="4"/>
      <c r="AA133" s="4"/>
      <c r="AB133" s="4"/>
      <c r="AC133" s="4"/>
      <c r="AD133" s="4"/>
      <c r="AE133" s="4"/>
      <c r="AF133" s="4"/>
      <c r="AG133" s="4"/>
    </row>
    <row r="134" spans="1:33" ht="22.5" customHeight="1" x14ac:dyDescent="0.25">
      <c r="A134" s="2"/>
      <c r="B134" s="2"/>
      <c r="C134" s="2"/>
      <c r="D134" s="2"/>
      <c r="E134" s="2"/>
      <c r="F134" s="4"/>
      <c r="G134" s="4"/>
      <c r="H134" s="4" t="s">
        <v>40</v>
      </c>
      <c r="I134" s="4" t="str">
        <f ca="1">IFERROR(__xludf.DUMMYFUNCTION("GOOGLETRANSLATE(B134,""en"",""ar"")"),"ما هو البناء الموجود خلف الجمال المستريحة مباشرة؟")</f>
        <v>ما هو البناء الموجود خلف الجمال المستريحة مباشرة؟</v>
      </c>
      <c r="J134" s="4" t="str">
        <f ca="1">IFERROR(__xludf.DUMMYFUNCTION("GOOGLETRANSLATE(C134,""en"",""ar"")"),"أ) جدار صلب، ب) خيمة كبيرة، ج) سياج شبكي، د) صف من الأشجار")</f>
        <v>أ) جدار صلب، ب) خيمة كبيرة، ج) سياج شبكي، د) صف من الأشجار</v>
      </c>
      <c r="K134" s="4" t="str">
        <f ca="1">IFERROR(__xludf.DUMMYFUNCTION("GOOGLETRANSLATE(D134,""en"",""ar"")"),"ج) سياج شبكي")</f>
        <v>ج) سياج شبكي</v>
      </c>
      <c r="L134" s="4" t="str">
        <f ca="1">IFERROR(__xludf.DUMMYFUNCTION("GOOGLETRANSLATE(E134,""en"",""ar"")"),"يفصل سياج شبكي طويل هذه المنطقة عن جزء آخر من المضمار أو المكان.")</f>
        <v>يفصل سياج شبكي طويل هذه المنطقة عن جزء آخر من المضمار أو المكان.</v>
      </c>
      <c r="M134" s="4"/>
      <c r="N134" s="4"/>
      <c r="O134" s="4"/>
      <c r="P134" s="4"/>
      <c r="Q134" s="4"/>
      <c r="R134" s="4"/>
      <c r="S134" s="4"/>
      <c r="T134" s="4"/>
      <c r="U134" s="4"/>
      <c r="V134" s="4"/>
      <c r="W134" s="4"/>
      <c r="X134" s="4"/>
      <c r="Y134" s="4"/>
      <c r="Z134" s="4"/>
      <c r="AA134" s="4"/>
      <c r="AB134" s="4"/>
      <c r="AC134" s="4"/>
      <c r="AD134" s="4"/>
      <c r="AE134" s="4"/>
      <c r="AF134" s="4"/>
      <c r="AG134" s="4"/>
    </row>
    <row r="135" spans="1:33" ht="22.5" customHeight="1" x14ac:dyDescent="0.25">
      <c r="A135" s="2"/>
      <c r="B135" s="2"/>
      <c r="C135" s="2"/>
      <c r="D135" s="2"/>
      <c r="E135" s="2"/>
      <c r="F135" s="4"/>
      <c r="G135" s="4"/>
      <c r="H135" s="4" t="s">
        <v>40</v>
      </c>
      <c r="I135" s="4" t="str">
        <f ca="1">IFERROR(__xludf.DUMMYFUNCTION("GOOGLETRANSLATE(B135,""en"",""ar"")"),"ما هو مكان وزمان هذا المشهد؟")</f>
        <v>ما هو مكان وزمان هذا المشهد؟</v>
      </c>
      <c r="J135" s="4" t="str">
        <f ca="1">IFERROR(__xludf.DUMMYFUNCTION("GOOGLETRANSLATE(C135,""en"",""ar"")"),"أ) صحراء مفتوحة، ب) منطقة انتظار أو حظيرة في مضمار سباق، ج) حديقة حيوانات عامة، د) مركز نقل")</f>
        <v>أ) صحراء مفتوحة، ب) منطقة انتظار أو حظيرة في مضمار سباق، ج) حديقة حيوانات عامة، د) مركز نقل</v>
      </c>
      <c r="K135" s="4" t="str">
        <f ca="1">IFERROR(__xludf.DUMMYFUNCTION("GOOGLETRANSLATE(D135,""en"",""ar"")"),"ب) حظيرة أو منطقة انتظار في مضمار السباق")</f>
        <v>ب) حظيرة أو منطقة انتظار في مضمار السباق</v>
      </c>
      <c r="L135" s="4" t="str">
        <f ca="1">IFERROR(__xludf.DUMMYFUNCTION("GOOGLETRANSLATE(E135,""en"",""ar"")"),"هذه منطقة خلف الكواليس حيث تنتظر الجمال ويتم تجهيزها قبل سباقها.")</f>
        <v>هذه منطقة خلف الكواليس حيث تنتظر الجمال ويتم تجهيزها قبل سباقها.</v>
      </c>
      <c r="M135" s="4"/>
      <c r="N135" s="4"/>
      <c r="O135" s="4"/>
      <c r="P135" s="4"/>
      <c r="Q135" s="4"/>
      <c r="R135" s="4"/>
      <c r="S135" s="4"/>
      <c r="T135" s="4"/>
      <c r="U135" s="4"/>
      <c r="V135" s="4"/>
      <c r="W135" s="4"/>
      <c r="X135" s="4"/>
      <c r="Y135" s="4"/>
      <c r="Z135" s="4"/>
      <c r="AA135" s="4"/>
      <c r="AB135" s="4"/>
      <c r="AC135" s="4"/>
      <c r="AD135" s="4"/>
      <c r="AE135" s="4"/>
      <c r="AF135" s="4"/>
      <c r="AG135" s="4"/>
    </row>
    <row r="136" spans="1:33" ht="22.5" customHeight="1" x14ac:dyDescent="0.25">
      <c r="A136" s="2"/>
      <c r="B136" s="2"/>
      <c r="C136" s="2"/>
      <c r="D136" s="2"/>
      <c r="E136" s="2"/>
      <c r="F136" s="4"/>
      <c r="G136" s="4"/>
      <c r="H136" s="4" t="s">
        <v>40</v>
      </c>
      <c r="I136" s="4" t="str">
        <f ca="1">IFERROR(__xludf.DUMMYFUNCTION("GOOGLETRANSLATE(B136,""en"",""ar"")"),"ماذا يفعل الشخص الذي يرتدي الرداء الأبيض في الخلفية؟")</f>
        <v>ماذا يفعل الشخص الذي يرتدي الرداء الأبيض في الخلفية؟</v>
      </c>
      <c r="J136" s="4" t="str">
        <f ca="1">IFERROR(__xludf.DUMMYFUNCTION("GOOGLETRANSLATE(C136,""en"",""ar"")"),"أ) إنه يتسابق مع جمل، ب) إنه يقود جملاً، ج) إنه نائم، د) إنه يبيع تذكارات")</f>
        <v>أ) إنه يتسابق مع جمل، ب) إنه يقود جملاً، ج) إنه نائم، د) إنه يبيع تذكارات</v>
      </c>
      <c r="K136" s="4" t="str">
        <f ca="1">IFERROR(__xludf.DUMMYFUNCTION("GOOGLETRANSLATE(D136,""en"",""ar"")"),"ب) إنه يقود جملاً")</f>
        <v>ب) إنه يقود جملاً</v>
      </c>
      <c r="L136" s="4" t="str">
        <f ca="1">IFERROR(__xludf.DUMMYFUNCTION("GOOGLETRANSLATE(E136,""en"",""ar"")"),"إنه واقف ويبدو أنه يتعامل مع أحد الجمال في الخلفية.")</f>
        <v>إنه واقف ويبدو أنه يتعامل مع أحد الجمال في الخلفية.</v>
      </c>
      <c r="M136" s="4"/>
      <c r="N136" s="4"/>
      <c r="O136" s="4"/>
      <c r="P136" s="4"/>
      <c r="Q136" s="4"/>
      <c r="R136" s="4"/>
      <c r="S136" s="4"/>
      <c r="T136" s="4"/>
      <c r="U136" s="4"/>
      <c r="V136" s="4"/>
      <c r="W136" s="4"/>
      <c r="X136" s="4"/>
      <c r="Y136" s="4"/>
      <c r="Z136" s="4"/>
      <c r="AA136" s="4"/>
      <c r="AB136" s="4"/>
      <c r="AC136" s="4"/>
      <c r="AD136" s="4"/>
      <c r="AE136" s="4"/>
      <c r="AF136" s="4"/>
      <c r="AG136" s="4"/>
    </row>
    <row r="137" spans="1:33" ht="22.5" customHeight="1" x14ac:dyDescent="0.25">
      <c r="A137" s="2"/>
      <c r="B137" s="2"/>
      <c r="C137" s="2"/>
      <c r="D137" s="2"/>
      <c r="E137" s="2"/>
      <c r="F137" s="4"/>
      <c r="G137" s="4"/>
      <c r="H137" s="4" t="s">
        <v>40</v>
      </c>
      <c r="I137" s="4" t="str">
        <f ca="1">IFERROR(__xludf.DUMMYFUNCTION("GOOGLETRANSLATE(B137,""en"",""ar"")"),"توضع السروج على الجمال...")</f>
        <v>توضع السروج على الجمال...</v>
      </c>
      <c r="J137" s="4" t="str">
        <f ca="1">IFERROR(__xludf.DUMMYFUNCTION("GOOGLETRANSLATE(C137,""en"",""ar"")"),"أ) على رقابهم، ب) أمام السنام، ج) خلف السنام، د) إنهم لا يرتدون سروجًا")</f>
        <v>أ) على رقابهم، ب) أمام السنام، ج) خلف السنام، د) إنهم لا يرتدون سروجًا</v>
      </c>
      <c r="K137" s="4" t="str">
        <f ca="1">IFERROR(__xludf.DUMMYFUNCTION("GOOGLETRANSLATE(D137,""en"",""ar"")"),"ج) خلف الحدبة")</f>
        <v>ج) خلف الحدبة</v>
      </c>
      <c r="L137" s="4" t="str">
        <f ca="1">IFERROR(__xludf.DUMMYFUNCTION("GOOGLETRANSLATE(E137,""en"",""ar"")"),"توضع سروج السباق على ظهر الجمل في المنخفض خلف السنام الوحيد مباشرة.")</f>
        <v>توضع سروج السباق على ظهر الجمل في المنخفض خلف السنام الوحيد مباشرة.</v>
      </c>
      <c r="M137" s="4"/>
      <c r="N137" s="4"/>
      <c r="O137" s="4"/>
      <c r="P137" s="4"/>
      <c r="Q137" s="4"/>
      <c r="R137" s="4"/>
      <c r="S137" s="4"/>
      <c r="T137" s="4"/>
      <c r="U137" s="4"/>
      <c r="V137" s="4"/>
      <c r="W137" s="4"/>
      <c r="X137" s="4"/>
      <c r="Y137" s="4"/>
      <c r="Z137" s="4"/>
      <c r="AA137" s="4"/>
      <c r="AB137" s="4"/>
      <c r="AC137" s="4"/>
      <c r="AD137" s="4"/>
      <c r="AE137" s="4"/>
      <c r="AF137" s="4"/>
      <c r="AG137" s="4"/>
    </row>
    <row r="138" spans="1:33" ht="22.5" customHeight="1" x14ac:dyDescent="0.25">
      <c r="A138" s="2"/>
      <c r="B138" s="2"/>
      <c r="C138" s="2"/>
      <c r="D138" s="2"/>
      <c r="E138" s="2"/>
      <c r="F138" s="4"/>
      <c r="G138" s="4"/>
      <c r="H138" s="4" t="s">
        <v>40</v>
      </c>
      <c r="I138" s="4" t="str">
        <f ca="1">IFERROR(__xludf.DUMMYFUNCTION("GOOGLETRANSLATE(B138,""en"",""ar"")"),"يشير ضوء الشمس الساطع والمباشر إلى أن الصورة قد التقطت...")</f>
        <v>يشير ضوء الشمس الساطع والمباشر إلى أن الصورة قد التقطت...</v>
      </c>
      <c r="J138" s="4" t="str">
        <f ca="1">IFERROR(__xludf.DUMMYFUNCTION("GOOGLETRANSLATE(C138,""en"",""ar"")"),"أ) في الليل، ب) في منتصف يوم مشمس، ج) في ضباب كثيف، د) أثناء عاصفة مطرية")</f>
        <v>أ) في الليل، ب) في منتصف يوم مشمس، ج) في ضباب كثيف، د) أثناء عاصفة مطرية</v>
      </c>
      <c r="K138" s="4" t="str">
        <f ca="1">IFERROR(__xludf.DUMMYFUNCTION("GOOGLETRANSLATE(D138,""en"",""ar"")"),"ب) خلال منتصف يوم مشمس")</f>
        <v>ب) خلال منتصف يوم مشمس</v>
      </c>
      <c r="L138" s="4" t="str">
        <f ca="1">IFERROR(__xludf.DUMMYFUNCTION("GOOGLETRANSLATE(E138,""en"",""ar"")"),"يُعد الضوء الساطع والظلال الحادة والقصيرة من سمات شمس منتصف النهار.")</f>
        <v>يُعد الضوء الساطع والظلال الحادة والقصيرة من سمات شمس منتصف النهار.</v>
      </c>
      <c r="M138" s="4"/>
      <c r="N138" s="4"/>
      <c r="O138" s="4"/>
      <c r="P138" s="4"/>
      <c r="Q138" s="4"/>
      <c r="R138" s="4"/>
      <c r="S138" s="4"/>
      <c r="T138" s="4"/>
      <c r="U138" s="4"/>
      <c r="V138" s="4"/>
      <c r="W138" s="4"/>
      <c r="X138" s="4"/>
      <c r="Y138" s="4"/>
      <c r="Z138" s="4"/>
      <c r="AA138" s="4"/>
      <c r="AB138" s="4"/>
      <c r="AC138" s="4"/>
      <c r="AD138" s="4"/>
      <c r="AE138" s="4"/>
      <c r="AF138" s="4"/>
      <c r="AG138" s="4"/>
    </row>
    <row r="139" spans="1:33" ht="22.5" customHeight="1" x14ac:dyDescent="0.25">
      <c r="A139" s="2"/>
      <c r="B139" s="2"/>
      <c r="C139" s="2"/>
      <c r="D139" s="2"/>
      <c r="E139" s="2"/>
      <c r="F139" s="4"/>
      <c r="G139" s="4"/>
      <c r="H139" s="4" t="s">
        <v>40</v>
      </c>
      <c r="I139" s="4" t="str">
        <f ca="1">IFERROR(__xludf.DUMMYFUNCTION("GOOGLETRANSLATE(B139,""en"",""ar"")"),"الجمل في المقدمة رأسه ملتفت نحو...")</f>
        <v>الجمل في المقدمة رأسه ملتفت نحو...</v>
      </c>
      <c r="J139" s="4" t="str">
        <f ca="1">IFERROR(__xludf.DUMMYFUNCTION("GOOGLETRANSLATE(C139,""en"",""ar"")"),"أ) الكاميرا، ب) الجمل المجاور لها، ج) السماء، د) الأرض")</f>
        <v>أ) الكاميرا، ب) الجمل المجاور لها، ج) السماء، د) الأرض</v>
      </c>
      <c r="K139" s="4" t="str">
        <f ca="1">IFERROR(__xludf.DUMMYFUNCTION("GOOGLETRANSLATE(D139,""en"",""ar"")"),"ب) الجمل المجاور له")</f>
        <v>ب) الجمل المجاور له</v>
      </c>
      <c r="L139" s="4" t="str">
        <f ca="1">IFERROR(__xludf.DUMMYFUNCTION("GOOGLETRANSLATE(E139,""en"",""ar"")"),"رأسه مائل نحو الجمل الموجود على يساره.")</f>
        <v>رأسه مائل نحو الجمل الموجود على يساره.</v>
      </c>
      <c r="M139" s="4"/>
      <c r="N139" s="4"/>
      <c r="O139" s="4"/>
      <c r="P139" s="4"/>
      <c r="Q139" s="4"/>
      <c r="R139" s="4"/>
      <c r="S139" s="4"/>
      <c r="T139" s="4"/>
      <c r="U139" s="4"/>
      <c r="V139" s="4"/>
      <c r="W139" s="4"/>
      <c r="X139" s="4"/>
      <c r="Y139" s="4"/>
      <c r="Z139" s="4"/>
      <c r="AA139" s="4"/>
      <c r="AB139" s="4"/>
      <c r="AC139" s="4"/>
      <c r="AD139" s="4"/>
      <c r="AE139" s="4"/>
      <c r="AF139" s="4"/>
      <c r="AG139" s="4"/>
    </row>
    <row r="140" spans="1:33" ht="22.5" customHeight="1" x14ac:dyDescent="0.25">
      <c r="A140" s="2"/>
      <c r="B140" s="2"/>
      <c r="C140" s="2"/>
      <c r="D140" s="2"/>
      <c r="E140" s="2"/>
      <c r="F140" s="4"/>
      <c r="G140" s="4"/>
      <c r="H140" s="4" t="s">
        <v>40</v>
      </c>
      <c r="I140" s="4" t="str">
        <f ca="1">IFERROR(__xludf.DUMMYFUNCTION("GOOGLETRANSLATE(B140,""en"",""ar"")"),"تشبه الأغطية المزخرفة على الجمال في مظهرها...")</f>
        <v>تشبه الأغطية المزخرفة على الجمال في مظهرها...</v>
      </c>
      <c r="J140" s="4" t="str">
        <f ca="1">IFERROR(__xludf.DUMMYFUNCTION("GOOGLETRANSLATE(C140,""en"",""ar"")"),"أ) طبعات الحيوانات، ب) التمويه، ج) الترتان أو المربعات، د) النقاط")</f>
        <v>أ) طبعات الحيوانات، ب) التمويه، ج) الترتان أو المربعات، د) النقاط</v>
      </c>
      <c r="K140" s="4" t="str">
        <f ca="1">IFERROR(__xludf.DUMMYFUNCTION("GOOGLETRANSLATE(D140,""en"",""ar"")"),"ج) الترتان أو المربعات")</f>
        <v>ج) الترتان أو المربعات</v>
      </c>
      <c r="L140" s="4" t="str">
        <f ca="1">IFERROR(__xludf.DUMMYFUNCTION("GOOGLETRANSLATE(E140,""en"",""ar"")"),"تتميز البطانيات بنقوش مربعة ومخططة تشبه النقوش الاسكتلندية التقليدية أو المخططة.")</f>
        <v>تتميز البطانيات بنقوش مربعة ومخططة تشبه النقوش الاسكتلندية التقليدية أو المخططة.</v>
      </c>
      <c r="M140" s="4"/>
      <c r="N140" s="4"/>
      <c r="O140" s="4"/>
      <c r="P140" s="4"/>
      <c r="Q140" s="4"/>
      <c r="R140" s="4"/>
      <c r="S140" s="4"/>
      <c r="T140" s="4"/>
      <c r="U140" s="4"/>
      <c r="V140" s="4"/>
      <c r="W140" s="4"/>
      <c r="X140" s="4"/>
      <c r="Y140" s="4"/>
      <c r="Z140" s="4"/>
      <c r="AA140" s="4"/>
      <c r="AB140" s="4"/>
      <c r="AC140" s="4"/>
      <c r="AD140" s="4"/>
      <c r="AE140" s="4"/>
      <c r="AF140" s="4"/>
      <c r="AG140" s="4"/>
    </row>
    <row r="141" spans="1:33" ht="22.5" customHeight="1" x14ac:dyDescent="0.25">
      <c r="A141" s="2"/>
      <c r="B141" s="2"/>
      <c r="C141" s="2"/>
      <c r="D141" s="2"/>
      <c r="E141" s="2"/>
      <c r="F141" s="4"/>
      <c r="G141" s="4"/>
      <c r="H141" s="4" t="s">
        <v>40</v>
      </c>
      <c r="I141" s="4" t="str">
        <f ca="1">IFERROR(__xludf.DUMMYFUNCTION("GOOGLETRANSLATE(B141,""en"",""ar"")"),"يمثل هذا المشهد لحظة من...")</f>
        <v>يمثل هذا المشهد لحظة من...</v>
      </c>
      <c r="J141" s="4" t="str">
        <f ca="1">IFERROR(__xludf.DUMMYFUNCTION("GOOGLETRANSLATE(C141,""en"",""ar"")"),"أ) حركة سريعة، ب) هدوء ما قبل السباق، ج) خطر شديد، د) حزن عميق")</f>
        <v>أ) حركة سريعة، ب) هدوء ما قبل السباق، ج) خطر شديد، د) حزن عميق</v>
      </c>
      <c r="K141" s="4" t="str">
        <f ca="1">IFERROR(__xludf.DUMMYFUNCTION("GOOGLETRANSLATE(D141,""en"",""ar"")"),"ب) الهدوء قبل السباق")</f>
        <v>ب) الهدوء قبل السباق</v>
      </c>
      <c r="L141" s="4" t="str">
        <f ca="1">IFERROR(__xludf.DUMMYFUNCTION("GOOGLETRANSLATE(E141,""en"",""ar"")"),"هذه لحظة هادئة تحضيرية، تتناقض مع الطاقة العالية للسباق نفسه.")</f>
        <v>هذه لحظة هادئة تحضيرية، تتناقض مع الطاقة العالية للسباق نفسه.</v>
      </c>
      <c r="M141" s="4"/>
      <c r="N141" s="4"/>
      <c r="O141" s="4"/>
      <c r="P141" s="4"/>
      <c r="Q141" s="4"/>
      <c r="R141" s="4"/>
      <c r="S141" s="4"/>
      <c r="T141" s="4"/>
      <c r="U141" s="4"/>
      <c r="V141" s="4"/>
      <c r="W141" s="4"/>
      <c r="X141" s="4"/>
      <c r="Y141" s="4"/>
      <c r="Z141" s="4"/>
      <c r="AA141" s="4"/>
      <c r="AB141" s="4"/>
      <c r="AC141" s="4"/>
      <c r="AD141" s="4"/>
      <c r="AE141" s="4"/>
      <c r="AF141" s="4"/>
      <c r="AG141" s="4"/>
    </row>
    <row r="142" spans="1:33" ht="22.5" customHeight="1" x14ac:dyDescent="0.25">
      <c r="A142" s="2"/>
      <c r="B142" s="2"/>
      <c r="C142" s="2"/>
      <c r="D142" s="2"/>
      <c r="E142" s="2"/>
      <c r="F142" s="4"/>
      <c r="G142" s="4"/>
      <c r="H142" s="4" t="s">
        <v>41</v>
      </c>
      <c r="I142" s="4" t="str">
        <f ca="1">IFERROR(__xludf.DUMMYFUNCTION("GOOGLETRANSLATE(B142,""en"",""ar"")"),"هذه الصورة لقطة مقرّبة لأي جزء من الجمل؟")</f>
        <v>هذه الصورة لقطة مقرّبة لأي جزء من الجمل؟</v>
      </c>
      <c r="J142" s="4" t="str">
        <f ca="1">IFERROR(__xludf.DUMMYFUNCTION("GOOGLETRANSLATE(C142,""en"",""ar"")"),"أ) قدميه، ب) ذيله، ج) رأسه وعنقه، د) سنامه")</f>
        <v>أ) قدميه، ب) ذيله، ج) رأسه وعنقه، د) سنامه</v>
      </c>
      <c r="K142" s="4" t="str">
        <f ca="1">IFERROR(__xludf.DUMMYFUNCTION("GOOGLETRANSLATE(D142,""en"",""ar"")"),"ج) رأسه وعنقه")</f>
        <v>ج) رأسه وعنقه</v>
      </c>
      <c r="L142" s="4" t="str">
        <f ca="1">IFERROR(__xludf.DUMMYFUNCTION("GOOGLETRANSLATE(E142,""en"",""ar"")"),"الصورة عبارة عن عرض جانبي مفصل لرأس جمل.")</f>
        <v>الصورة عبارة عن عرض جانبي مفصل لرأس جمل.</v>
      </c>
      <c r="M142" s="4"/>
      <c r="N142" s="4"/>
      <c r="O142" s="4"/>
      <c r="P142" s="4"/>
      <c r="Q142" s="4"/>
      <c r="R142" s="4"/>
      <c r="S142" s="4"/>
      <c r="T142" s="4"/>
      <c r="U142" s="4"/>
      <c r="V142" s="4"/>
      <c r="W142" s="4"/>
      <c r="X142" s="4"/>
      <c r="Y142" s="4"/>
      <c r="Z142" s="4"/>
      <c r="AA142" s="4"/>
      <c r="AB142" s="4"/>
      <c r="AC142" s="4"/>
      <c r="AD142" s="4"/>
      <c r="AE142" s="4"/>
      <c r="AF142" s="4"/>
      <c r="AG142" s="4"/>
    </row>
    <row r="143" spans="1:33" ht="22.5" customHeight="1" x14ac:dyDescent="0.25">
      <c r="A143" s="2"/>
      <c r="B143" s="2"/>
      <c r="C143" s="2"/>
      <c r="D143" s="2"/>
      <c r="E143" s="2"/>
      <c r="F143" s="4"/>
      <c r="G143" s="4"/>
      <c r="H143" s="4" t="s">
        <v>41</v>
      </c>
      <c r="I143" s="4" t="str">
        <f ca="1">IFERROR(__xludf.DUMMYFUNCTION("GOOGLETRANSLATE(B143,""en"",""ar"")"),"ما اسم القطعة الموجودة على رأس الجمل؟")</f>
        <v>ما اسم القطعة الموجودة على رأس الجمل؟</v>
      </c>
      <c r="J143" s="4" t="str">
        <f ca="1">IFERROR(__xludf.DUMMYFUNCTION("GOOGLETRANSLATE(C143,""en"",""ar"")"),"أ) خوذة، ب) قناع غاز، ج) لجام أو لجام رأس، د) تاج")</f>
        <v>أ) خوذة، ب) قناع غاز، ج) لجام أو لجام رأس، د) تاج</v>
      </c>
      <c r="K143" s="4" t="str">
        <f ca="1">IFERROR(__xludf.DUMMYFUNCTION("GOOGLETRANSLATE(D143,""en"",""ar"")"),"ج) لجام أو لجام رأس")</f>
        <v>ج) لجام أو لجام رأس</v>
      </c>
      <c r="L143" s="4" t="str">
        <f ca="1">IFERROR(__xludf.DUMMYFUNCTION("GOOGLETRANSLATE(E143,""en"",""ar"")"),"هذا هو غطاء الرأس المستخدم لقيادة الجمل وتوفير بعض التحكم، ويتكون من أحزمة وحبل قيادة.")</f>
        <v>هذا هو غطاء الرأس المستخدم لقيادة الجمل وتوفير بعض التحكم، ويتكون من أحزمة وحبل قيادة.</v>
      </c>
      <c r="M143" s="4"/>
      <c r="N143" s="4"/>
      <c r="O143" s="4"/>
      <c r="P143" s="4"/>
      <c r="Q143" s="4"/>
      <c r="R143" s="4"/>
      <c r="S143" s="4"/>
      <c r="T143" s="4"/>
      <c r="U143" s="4"/>
      <c r="V143" s="4"/>
      <c r="W143" s="4"/>
      <c r="X143" s="4"/>
      <c r="Y143" s="4"/>
      <c r="Z143" s="4"/>
      <c r="AA143" s="4"/>
      <c r="AB143" s="4"/>
      <c r="AC143" s="4"/>
      <c r="AD143" s="4"/>
      <c r="AE143" s="4"/>
      <c r="AF143" s="4"/>
      <c r="AG143" s="4"/>
    </row>
    <row r="144" spans="1:33" ht="22.5" customHeight="1" x14ac:dyDescent="0.25">
      <c r="A144" s="2"/>
      <c r="B144" s="2"/>
      <c r="C144" s="2"/>
      <c r="D144" s="2"/>
      <c r="E144" s="2"/>
      <c r="F144" s="4"/>
      <c r="G144" s="4"/>
      <c r="H144" s="4" t="s">
        <v>41</v>
      </c>
      <c r="I144" s="4" t="str">
        <f ca="1">IFERROR(__xludf.DUMMYFUNCTION("GOOGLETRANSLATE(B144,""en"",""ar"")"),"بماذا يرتبط الجمل؟")</f>
        <v>بماذا يرتبط الجمل؟</v>
      </c>
      <c r="J144" s="4" t="str">
        <f ca="1">IFERROR(__xludf.DUMMYFUNCTION("GOOGLETRANSLATE(C144,""en"",""ar"")"),"أ) شجرة، ب) سيارة، ج) عمود سياج أو سكة ربط، د) جمل آخر")</f>
        <v>أ) شجرة، ب) سيارة، ج) عمود سياج أو سكة ربط، د) جمل آخر</v>
      </c>
      <c r="K144" s="4" t="str">
        <f ca="1">IFERROR(__xludf.DUMMYFUNCTION("GOOGLETRANSLATE(D144,""en"",""ar"")"),"ج) عمود سياج أو قضيب ربط")</f>
        <v>ج) عمود سياج أو قضيب ربط</v>
      </c>
      <c r="L144" s="4" t="str">
        <f ca="1">IFERROR(__xludf.DUMMYFUNCTION("GOOGLETRANSLATE(E144,""en"",""ar"")"),"الجمل مربوط بحبل وردي إلى سياج سميك وناعم، على الأرجح في حظيرة أو منطقة انتظار.")</f>
        <v>الجمل مربوط بحبل وردي إلى سياج سميك وناعم، على الأرجح في حظيرة أو منطقة انتظار.</v>
      </c>
      <c r="M144" s="4"/>
      <c r="N144" s="4"/>
      <c r="O144" s="4"/>
      <c r="P144" s="4"/>
      <c r="Q144" s="4"/>
      <c r="R144" s="4"/>
      <c r="S144" s="4"/>
      <c r="T144" s="4"/>
      <c r="U144" s="4"/>
      <c r="V144" s="4"/>
      <c r="W144" s="4"/>
      <c r="X144" s="4"/>
      <c r="Y144" s="4"/>
      <c r="Z144" s="4"/>
      <c r="AA144" s="4"/>
      <c r="AB144" s="4"/>
      <c r="AC144" s="4"/>
      <c r="AD144" s="4"/>
      <c r="AE144" s="4"/>
      <c r="AF144" s="4"/>
      <c r="AG144" s="4"/>
    </row>
    <row r="145" spans="1:33" ht="22.5" customHeight="1" x14ac:dyDescent="0.25">
      <c r="A145" s="2"/>
      <c r="B145" s="2"/>
      <c r="C145" s="2"/>
      <c r="D145" s="2"/>
      <c r="E145" s="2"/>
      <c r="F145" s="4"/>
      <c r="G145" s="4"/>
      <c r="H145" s="4" t="s">
        <v>41</v>
      </c>
      <c r="I145" s="4" t="str">
        <f ca="1">IFERROR(__xludf.DUMMYFUNCTION("GOOGLETRANSLATE(B145,""en"",""ar"")"),"ما هو ملمس فرو الجمل على رقبته؟")</f>
        <v>ما هو ملمس فرو الجمل على رقبته؟</v>
      </c>
      <c r="J145" s="4" t="str">
        <f ca="1">IFERROR(__xludf.DUMMYFUNCTION("GOOGLETRANSLATE(C145,""en"",""ar"")"),"أ) ناعم وأملس، ب) طويل وكثيف، ج) مغطى بالبقع، د) غير موجود")</f>
        <v>أ) ناعم وأملس، ب) طويل وكثيف، ج) مغطى بالبقع، د) غير موجود</v>
      </c>
      <c r="K145" s="4" t="str">
        <f ca="1">IFERROR(__xludf.DUMMYFUNCTION("GOOGLETRANSLATE(D145,""en"",""ar"")"),"ب) طويل وأشعث")</f>
        <v>ب) طويل وأشعث</v>
      </c>
      <c r="L145" s="4" t="str">
        <f ca="1">IFERROR(__xludf.DUMMYFUNCTION("GOOGLETRANSLATE(E145,""en"",""ar"")"),"إن الفراء الموجود على الجانب السفلي من رقبة الجمل أطول وأكثر كثافة بشكل ملحوظ من الشعر الموجود على وجهه.")</f>
        <v>إن الفراء الموجود على الجانب السفلي من رقبة الجمل أطول وأكثر كثافة بشكل ملحوظ من الشعر الموجود على وجهه.</v>
      </c>
      <c r="M145" s="4"/>
      <c r="N145" s="4"/>
      <c r="O145" s="4"/>
      <c r="P145" s="4"/>
      <c r="Q145" s="4"/>
      <c r="R145" s="4"/>
      <c r="S145" s="4"/>
      <c r="T145" s="4"/>
      <c r="U145" s="4"/>
      <c r="V145" s="4"/>
      <c r="W145" s="4"/>
      <c r="X145" s="4"/>
      <c r="Y145" s="4"/>
      <c r="Z145" s="4"/>
      <c r="AA145" s="4"/>
      <c r="AB145" s="4"/>
      <c r="AC145" s="4"/>
      <c r="AD145" s="4"/>
      <c r="AE145" s="4"/>
      <c r="AF145" s="4"/>
      <c r="AG145" s="4"/>
    </row>
    <row r="146" spans="1:33" ht="22.5" customHeight="1" x14ac:dyDescent="0.25">
      <c r="A146" s="2"/>
      <c r="B146" s="2"/>
      <c r="C146" s="2"/>
      <c r="D146" s="2"/>
      <c r="E146" s="2"/>
      <c r="F146" s="4"/>
      <c r="G146" s="4"/>
      <c r="H146" s="4" t="s">
        <v>41</v>
      </c>
      <c r="I146" s="4" t="str">
        <f ca="1">IFERROR(__xludf.DUMMYFUNCTION("GOOGLETRANSLATE(B146,""en"",""ar"")"),"عين الجمل الكبيرة مهيأة للحياة الصحراوية، مع...")</f>
        <v>عين الجمل الكبيرة مهيأة للحياة الصحراوية، مع...</v>
      </c>
      <c r="J146" s="4" t="str">
        <f ca="1">IFERROR(__xludf.DUMMYFUNCTION("GOOGLETRANSLATE(C146,""en"",""ar"")"),"أ) القدرة على الرؤية في الظلام الدامس، ب) صف مزدوج من الرموش الطويلة لمنع دخول الرمال، ج) القدرة على تغيير اللون، د) ضعف البصر")</f>
        <v>أ) القدرة على الرؤية في الظلام الدامس، ب) صف مزدوج من الرموش الطويلة لمنع دخول الرمال، ج) القدرة على تغيير اللون، د) ضعف البصر</v>
      </c>
      <c r="K146" s="4" t="str">
        <f ca="1">IFERROR(__xludf.DUMMYFUNCTION("GOOGLETRANSLATE(D146,""en"",""ar"")"),"ب) صف مزدوج من الرموش الطويلة لمنع دخول الرمل")</f>
        <v>ب) صف مزدوج من الرموش الطويلة لمنع دخول الرمل</v>
      </c>
      <c r="L146" s="4" t="str">
        <f ca="1">IFERROR(__xludf.DUMMYFUNCTION("GOOGLETRANSLATE(E146,""en"",""ar"")"),"تمتلك الجمال رموشاً طويلة وكثيفة جداً، بالإضافة إلى جفن ثالث شفاف، لحماية عيونها من الرمال المتطايرة. 👁️")</f>
        <v>تمتلك الجمال رموشاً طويلة وكثيفة جداً، بالإضافة إلى جفن ثالث شفاف، لحماية عيونها من الرمال المتطايرة. 👁️</v>
      </c>
      <c r="M146" s="4"/>
      <c r="N146" s="4"/>
      <c r="O146" s="4"/>
      <c r="P146" s="4"/>
      <c r="Q146" s="4"/>
      <c r="R146" s="4"/>
      <c r="S146" s="4"/>
      <c r="T146" s="4"/>
      <c r="U146" s="4"/>
      <c r="V146" s="4"/>
      <c r="W146" s="4"/>
      <c r="X146" s="4"/>
      <c r="Y146" s="4"/>
      <c r="Z146" s="4"/>
      <c r="AA146" s="4"/>
      <c r="AB146" s="4"/>
      <c r="AC146" s="4"/>
      <c r="AD146" s="4"/>
      <c r="AE146" s="4"/>
      <c r="AF146" s="4"/>
      <c r="AG146" s="4"/>
    </row>
    <row r="147" spans="1:33" ht="22.5" customHeight="1" x14ac:dyDescent="0.25">
      <c r="A147" s="2"/>
      <c r="B147" s="2"/>
      <c r="C147" s="2"/>
      <c r="D147" s="2"/>
      <c r="E147" s="2"/>
      <c r="F147" s="4"/>
      <c r="G147" s="4"/>
      <c r="H147" s="4" t="s">
        <v>41</v>
      </c>
      <c r="I147" s="4" t="str">
        <f ca="1">IFERROR(__xludf.DUMMYFUNCTION("GOOGLETRANSLATE(B147,""en"",""ar"")"),"ما فائدة السلسلة الموجودة أسفل ذقن الجمل؟")</f>
        <v>ما فائدة السلسلة الموجودة أسفل ذقن الجمل؟</v>
      </c>
      <c r="J147" s="4" t="str">
        <f ca="1">IFERROR(__xludf.DUMMYFUNCTION("GOOGLETRANSLATE(C147,""en"",""ar"")"),"أ) إنها قلادة زينة، ب) توفر تحكمًا إضافيًا للمُعالج، ج) إنها ميكروفون لسماع تنفس الجمل، د) تحمل بطاقة اسم")</f>
        <v>أ) إنها قلادة زينة، ب) توفر تحكمًا إضافيًا للمُعالج، ج) إنها ميكروفون لسماع تنفس الجمل، د) تحمل بطاقة اسم</v>
      </c>
      <c r="K147" s="4" t="str">
        <f ca="1">IFERROR(__xludf.DUMMYFUNCTION("GOOGLETRANSLATE(D147,""en"",""ar"")"),"ب) يوفر تحكمًا إضافيًا للمُعالج")</f>
        <v>ب) يوفر تحكمًا إضافيًا للمُعالج</v>
      </c>
      <c r="L147" s="4" t="str">
        <f ca="1">IFERROR(__xludf.DUMMYFUNCTION("GOOGLETRANSLATE(E147,""en"",""ar"")"),"تُطبّق سلسلة الذقن الموجودة على اللجام ضغطًا عند سحب حبل القيادة، مما يمنح المُدرب مزيدًا من القوة للتحكم في حيوان قوي.")</f>
        <v>تُطبّق سلسلة الذقن الموجودة على اللجام ضغطًا عند سحب حبل القيادة، مما يمنح المُدرب مزيدًا من القوة للتحكم في حيوان قوي.</v>
      </c>
      <c r="M147" s="4"/>
      <c r="N147" s="4"/>
      <c r="O147" s="4"/>
      <c r="P147" s="4"/>
      <c r="Q147" s="4"/>
      <c r="R147" s="4"/>
      <c r="S147" s="4"/>
      <c r="T147" s="4"/>
      <c r="U147" s="4"/>
      <c r="V147" s="4"/>
      <c r="W147" s="4"/>
      <c r="X147" s="4"/>
      <c r="Y147" s="4"/>
      <c r="Z147" s="4"/>
      <c r="AA147" s="4"/>
      <c r="AB147" s="4"/>
      <c r="AC147" s="4"/>
      <c r="AD147" s="4"/>
      <c r="AE147" s="4"/>
      <c r="AF147" s="4"/>
      <c r="AG147" s="4"/>
    </row>
    <row r="148" spans="1:33" ht="22.5" customHeight="1" x14ac:dyDescent="0.25">
      <c r="A148" s="2"/>
      <c r="B148" s="2"/>
      <c r="C148" s="2"/>
      <c r="D148" s="2"/>
      <c r="E148" s="2"/>
      <c r="F148" s="4"/>
      <c r="G148" s="4"/>
      <c r="H148" s="4" t="s">
        <v>41</v>
      </c>
      <c r="I148" s="4" t="str">
        <f ca="1">IFERROR(__xludf.DUMMYFUNCTION("GOOGLETRANSLATE(B148,""en"",""ar"")"),"ما هو التعبير العام عن الجمل؟")</f>
        <v>ما هو التعبير العام عن الجمل؟</v>
      </c>
      <c r="J148" s="4" t="str">
        <f ca="1">IFERROR(__xludf.DUMMYFUNCTION("GOOGLETRANSLATE(C148,""en"",""ar"")"),"أ) غاضب وعدواني، ب) نعسان وملول، ج) هادئ ومتيقظ، د) خائف ومذعور")</f>
        <v>أ) غاضب وعدواني، ب) نعسان وملول، ج) هادئ ومتيقظ، د) خائف ومذعور</v>
      </c>
      <c r="K148" s="4" t="str">
        <f ca="1">IFERROR(__xludf.DUMMYFUNCTION("GOOGLETRANSLATE(D148,""en"",""ar"")"),"ج) هادئ ومتيقظ")</f>
        <v>ج) هادئ ومتيقظ</v>
      </c>
      <c r="L148" s="4" t="str">
        <f ca="1">IFERROR(__xludf.DUMMYFUNCTION("GOOGLETRANSLATE(E148,""en"",""ar"")"),"يبدو الجمل هادئاً، وأذناه متجهتان للأمام ونظرته ثابتة.")</f>
        <v>يبدو الجمل هادئاً، وأذناه متجهتان للأمام ونظرته ثابتة.</v>
      </c>
      <c r="M148" s="4"/>
      <c r="N148" s="4"/>
      <c r="O148" s="4"/>
      <c r="P148" s="4"/>
      <c r="Q148" s="4"/>
      <c r="R148" s="4"/>
      <c r="S148" s="4"/>
      <c r="T148" s="4"/>
      <c r="U148" s="4"/>
      <c r="V148" s="4"/>
      <c r="W148" s="4"/>
      <c r="X148" s="4"/>
      <c r="Y148" s="4"/>
      <c r="Z148" s="4"/>
      <c r="AA148" s="4"/>
      <c r="AB148" s="4"/>
      <c r="AC148" s="4"/>
      <c r="AD148" s="4"/>
      <c r="AE148" s="4"/>
      <c r="AF148" s="4"/>
      <c r="AG148" s="4"/>
    </row>
    <row r="149" spans="1:33" ht="22.5" customHeight="1" x14ac:dyDescent="0.25">
      <c r="A149" s="2"/>
      <c r="B149" s="2"/>
      <c r="C149" s="2"/>
      <c r="D149" s="2"/>
      <c r="E149" s="2"/>
      <c r="F149" s="4"/>
      <c r="G149" s="4"/>
      <c r="H149" s="4" t="s">
        <v>41</v>
      </c>
      <c r="I149" s="4" t="str">
        <f ca="1">IFERROR(__xludf.DUMMYFUNCTION("GOOGLETRANSLATE(B149,""en"",""ar"")"),"يبدو أن البنية الموجودة في الخلفية...")</f>
        <v>يبدو أن البنية الموجودة في الخلفية...</v>
      </c>
      <c r="J149" s="4" t="str">
        <f ca="1">IFERROR(__xludf.DUMMYFUNCTION("GOOGLETRANSLATE(C149,""en"",""ar"")"),"أ) مبنى حديث، ب) سلسلة جبال، ج) سياج حظيرة أو مضمار سباق، د) مسطح مائي كبير")</f>
        <v>أ) مبنى حديث، ب) سلسلة جبال، ج) سياج حظيرة أو مضمار سباق، د) مسطح مائي كبير</v>
      </c>
      <c r="K149" s="4" t="str">
        <f ca="1">IFERROR(__xludf.DUMMYFUNCTION("GOOGLETRANSLATE(D149,""en"",""ar"")"),"ج) سياج حظيرة أو مضمار سباق")</f>
        <v>ج) سياج حظيرة أو مضمار سباق</v>
      </c>
      <c r="L149" s="4" t="str">
        <f ca="1">IFERROR(__xludf.DUMMYFUNCTION("GOOGLETRANSLATE(E149,""en"",""ar"")"),"يظهر سياج عالٍ في الخلفية، وهو ما يتوافق مع مكان مخصص لسباقات السيارات الاحترافية.")</f>
        <v>يظهر سياج عالٍ في الخلفية، وهو ما يتوافق مع مكان مخصص لسباقات السيارات الاحترافية.</v>
      </c>
      <c r="M149" s="4"/>
      <c r="N149" s="4"/>
      <c r="O149" s="4"/>
      <c r="P149" s="4"/>
      <c r="Q149" s="4"/>
      <c r="R149" s="4"/>
      <c r="S149" s="4"/>
      <c r="T149" s="4"/>
      <c r="U149" s="4"/>
      <c r="V149" s="4"/>
      <c r="W149" s="4"/>
      <c r="X149" s="4"/>
      <c r="Y149" s="4"/>
      <c r="Z149" s="4"/>
      <c r="AA149" s="4"/>
      <c r="AB149" s="4"/>
      <c r="AC149" s="4"/>
      <c r="AD149" s="4"/>
      <c r="AE149" s="4"/>
      <c r="AF149" s="4"/>
      <c r="AG149" s="4"/>
    </row>
    <row r="150" spans="1:33" ht="22.5" customHeight="1" x14ac:dyDescent="0.25">
      <c r="A150" s="2"/>
      <c r="B150" s="2"/>
      <c r="C150" s="2"/>
      <c r="D150" s="2"/>
      <c r="E150" s="2"/>
      <c r="F150" s="4"/>
      <c r="G150" s="4"/>
      <c r="H150" s="4" t="s">
        <v>41</v>
      </c>
      <c r="I150" s="4" t="str">
        <f ca="1">IFERROR(__xludf.DUMMYFUNCTION("GOOGLETRANSLATE(B150,""en"",""ar"")"),"بأي نوع من العقدة يتم ربط الحبل الوردي؟")</f>
        <v>بأي نوع من العقدة يتم ربط الحبل الوردي؟</v>
      </c>
      <c r="J150" s="4" t="str">
        <f ca="1">IFERROR(__xludf.DUMMYFUNCTION("GOOGLETRANSLATE(C150,""en"",""ar"")"),"أ) عقدة رباط الحذاء، ب) عقدة بحرية معقدة، ج) عقدة سريعة الفك، د) عقدة دائمة")</f>
        <v>أ) عقدة رباط الحذاء، ب) عقدة بحرية معقدة، ج) عقدة سريعة الفك، د) عقدة دائمة</v>
      </c>
      <c r="K150" s="4" t="str">
        <f ca="1">IFERROR(__xludf.DUMMYFUNCTION("GOOGLETRANSLATE(D150,""en"",""ar"")"),"ج) عقدة سريعة الفك")</f>
        <v>ج) عقدة سريعة الفك</v>
      </c>
      <c r="L150" s="4" t="str">
        <f ca="1">IFERROR(__xludf.DUMMYFUNCTION("GOOGLETRANSLATE(E150,""en"",""ar"")"),"يُستخدم هذا النوع من العقد بشكل شائع مع الحيوانات الكبيرة لأنه يثبت بإحكام ولكن يمكن فكه بسرعة بسحبة واحدة، وهو أمر مهم للسلامة.")</f>
        <v>يُستخدم هذا النوع من العقد بشكل شائع مع الحيوانات الكبيرة لأنه يثبت بإحكام ولكن يمكن فكه بسرعة بسحبة واحدة، وهو أمر مهم للسلامة.</v>
      </c>
      <c r="M150" s="4"/>
      <c r="N150" s="4"/>
      <c r="O150" s="4"/>
      <c r="P150" s="4"/>
      <c r="Q150" s="4"/>
      <c r="R150" s="4"/>
      <c r="S150" s="4"/>
      <c r="T150" s="4"/>
      <c r="U150" s="4"/>
      <c r="V150" s="4"/>
      <c r="W150" s="4"/>
      <c r="X150" s="4"/>
      <c r="Y150" s="4"/>
      <c r="Z150" s="4"/>
      <c r="AA150" s="4"/>
      <c r="AB150" s="4"/>
      <c r="AC150" s="4"/>
      <c r="AD150" s="4"/>
      <c r="AE150" s="4"/>
      <c r="AF150" s="4"/>
      <c r="AG150" s="4"/>
    </row>
    <row r="151" spans="1:33" ht="22.5" customHeight="1" x14ac:dyDescent="0.25">
      <c r="A151" s="2"/>
      <c r="B151" s="2"/>
      <c r="C151" s="2"/>
      <c r="D151" s="2"/>
      <c r="E151" s="2"/>
      <c r="F151" s="4"/>
      <c r="G151" s="4"/>
      <c r="H151" s="4" t="s">
        <v>41</v>
      </c>
      <c r="I151" s="4" t="str">
        <f ca="1">IFERROR(__xludf.DUMMYFUNCTION("GOOGLETRANSLATE(B151,""en"",""ar"")"),"تُبرز هذه الصورة...")</f>
        <v>تُبرز هذه الصورة...</v>
      </c>
      <c r="J151" s="4" t="str">
        <f ca="1">IFERROR(__xludf.DUMMYFUNCTION("GOOGLETRANSLATE(C151,""en"",""ar"")"),"أ) سرعة السباق، ب) خطورة الرياضة، ج) جمال وخصائص حيوان السباق، د) حجم الجمهور")</f>
        <v>أ) سرعة السباق، ب) خطورة الرياضة، ج) جمال وخصائص حيوان السباق، د) حجم الجمهور</v>
      </c>
      <c r="K151" s="4" t="str">
        <f ca="1">IFERROR(__xludf.DUMMYFUNCTION("GOOGLETRANSLATE(D151,""en"",""ar"")"),"ج) جمال وخصائص حيوان السباق")</f>
        <v>ج) جمال وخصائص حيوان السباق</v>
      </c>
      <c r="L151" s="4" t="str">
        <f ca="1">IFERROR(__xludf.DUMMYFUNCTION("GOOGLETRANSLATE(E151,""en"",""ar"")"),"من خلال التركيز عن كثب على رأس الجمل، يؤكد المصور على التشريح الفريد والهدوء الذي يتمتع به هذا المخلوق.")</f>
        <v>من خلال التركيز عن كثب على رأس الجمل، يؤكد المصور على التشريح الفريد والهدوء الذي يتمتع به هذا المخلوق.</v>
      </c>
      <c r="M151" s="4"/>
      <c r="N151" s="4"/>
      <c r="O151" s="4"/>
      <c r="P151" s="4"/>
      <c r="Q151" s="4"/>
      <c r="R151" s="4"/>
      <c r="S151" s="4"/>
      <c r="T151" s="4"/>
      <c r="U151" s="4"/>
      <c r="V151" s="4"/>
      <c r="W151" s="4"/>
      <c r="X151" s="4"/>
      <c r="Y151" s="4"/>
      <c r="Z151" s="4"/>
      <c r="AA151" s="4"/>
      <c r="AB151" s="4"/>
      <c r="AC151" s="4"/>
      <c r="AD151" s="4"/>
      <c r="AE151" s="4"/>
      <c r="AF151" s="4"/>
      <c r="AG151" s="4"/>
    </row>
    <row r="152" spans="1:33" ht="22.5" customHeight="1" x14ac:dyDescent="0.25">
      <c r="A152" s="2"/>
      <c r="B152" s="2"/>
      <c r="C152" s="2"/>
      <c r="D152" s="2"/>
      <c r="E152" s="2"/>
      <c r="F152" s="4"/>
      <c r="G152" s="4"/>
      <c r="H152" s="4" t="s">
        <v>42</v>
      </c>
      <c r="I152" s="4" t="str">
        <f ca="1">IFERROR(__xludf.DUMMYFUNCTION("GOOGLETRANSLATE(B152,""en"",""ar"")"),"ما هو التأثير البصري الأكثر لفتاً للنظر في هذه الصورة؟")</f>
        <v>ما هو التأثير البصري الأكثر لفتاً للنظر في هذه الصورة؟</v>
      </c>
      <c r="J152" s="4" t="str">
        <f ca="1">IFERROR(__xludf.DUMMYFUNCTION("GOOGLETRANSLATE(C152,""en"",""ar"")"),"أ) الألوان الزاهية والنابضة بالحياة، ب) التفاصيل الدقيقة والواضحة، ج) الجو الضبابي المغبر والظلال، د) منظر مدينة حديثة")</f>
        <v>أ) الألوان الزاهية والنابضة بالحياة، ب) التفاصيل الدقيقة والواضحة، ج) الجو الضبابي المغبر والظلال، د) منظر مدينة حديثة</v>
      </c>
      <c r="K152" s="4" t="str">
        <f ca="1">IFERROR(__xludf.DUMMYFUNCTION("GOOGLETRANSLATE(D152,""en"",""ar"")"),"ج) الجو المغبر والضبابي والظلال")</f>
        <v>ج) الجو المغبر والضبابي والظلال</v>
      </c>
      <c r="L152" s="4" t="str">
        <f ca="1">IFERROR(__xludf.DUMMYFUNCTION("GOOGLETRANSLATE(E152,""en"",""ar"")"),"تتميز الصورة بالغبار الكثيف والضباب، حيث يظهر الفرسان والجمال كأشكال داكنة مقابل السماء الساطعة الباهتة.")</f>
        <v>تتميز الصورة بالغبار الكثيف والضباب، حيث يظهر الفرسان والجمال كأشكال داكنة مقابل السماء الساطعة الباهتة.</v>
      </c>
      <c r="M152" s="4"/>
      <c r="N152" s="4"/>
      <c r="O152" s="4"/>
      <c r="P152" s="4"/>
      <c r="Q152" s="4"/>
      <c r="R152" s="4"/>
      <c r="S152" s="4"/>
      <c r="T152" s="4"/>
      <c r="U152" s="4"/>
      <c r="V152" s="4"/>
      <c r="W152" s="4"/>
      <c r="X152" s="4"/>
      <c r="Y152" s="4"/>
      <c r="Z152" s="4"/>
      <c r="AA152" s="4"/>
      <c r="AB152" s="4"/>
      <c r="AC152" s="4"/>
      <c r="AD152" s="4"/>
      <c r="AE152" s="4"/>
      <c r="AF152" s="4"/>
      <c r="AG152" s="4"/>
    </row>
    <row r="153" spans="1:33" ht="22.5" customHeight="1" x14ac:dyDescent="0.25">
      <c r="A153" s="2"/>
      <c r="B153" s="2"/>
      <c r="C153" s="2"/>
      <c r="D153" s="2"/>
      <c r="E153" s="2"/>
      <c r="F153" s="4"/>
      <c r="G153" s="4"/>
      <c r="H153" s="4" t="s">
        <v>42</v>
      </c>
      <c r="I153" s="4" t="str">
        <f ca="1">IFERROR(__xludf.DUMMYFUNCTION("GOOGLETRANSLATE(B153,""en"",""ar"")"),"كيف يتم خلق هذا التأثير الجوي؟")</f>
        <v>كيف يتم خلق هذا التأثير الجوي؟</v>
      </c>
      <c r="J153" s="4" t="str">
        <f ca="1">IFERROR(__xludf.DUMMYFUNCTION("GOOGLETRANSLATE(C153,""en"",""ar"")"),"أ) عن طريق عاصفة مطرية غزيرة، ب) باستخدام مرشح أبيض وأسود، ج) بالتصوير باتجاه الشمس (إضاءة خلفية) من خلال الغبار، د) بالتقاط الصورة في منتصف الليل")</f>
        <v>أ) عن طريق عاصفة مطرية غزيرة، ب) باستخدام مرشح أبيض وأسود، ج) بالتصوير باتجاه الشمس (إضاءة خلفية) من خلال الغبار، د) بالتقاط الصورة في منتصف الليل</v>
      </c>
      <c r="K153" s="4" t="str">
        <f ca="1">IFERROR(__xludf.DUMMYFUNCTION("GOOGLETRANSLATE(D153,""en"",""ar"")"),"ج) عن طريق التصوير باتجاه الشمس (الإضاءة الخلفية) من خلال الغبار")</f>
        <v>ج) عن طريق التصوير باتجاه الشمس (الإضاءة الخلفية) من خلال الغبار</v>
      </c>
      <c r="L153" s="4" t="str">
        <f ca="1">IFERROR(__xludf.DUMMYFUNCTION("GOOGLETRANSLATE(E153,""en"",""ar"")"),"يؤدي الضوء الخلفي الناتج عن الشمس المنخفضة، بالإضافة إلى الغبار الموجود في الهواء، إلى تشتيت الضوء، مما يخلق مظهراً ضبابياً وظلالياً.")</f>
        <v>يؤدي الضوء الخلفي الناتج عن الشمس المنخفضة، بالإضافة إلى الغبار الموجود في الهواء، إلى تشتيت الضوء، مما يخلق مظهراً ضبابياً وظلالياً.</v>
      </c>
      <c r="M153" s="4"/>
      <c r="N153" s="4"/>
      <c r="O153" s="4"/>
      <c r="P153" s="4"/>
      <c r="Q153" s="4"/>
      <c r="R153" s="4"/>
      <c r="S153" s="4"/>
      <c r="T153" s="4"/>
      <c r="U153" s="4"/>
      <c r="V153" s="4"/>
      <c r="W153" s="4"/>
      <c r="X153" s="4"/>
      <c r="Y153" s="4"/>
      <c r="Z153" s="4"/>
      <c r="AA153" s="4"/>
      <c r="AB153" s="4"/>
      <c r="AC153" s="4"/>
      <c r="AD153" s="4"/>
      <c r="AE153" s="4"/>
      <c r="AF153" s="4"/>
      <c r="AG153" s="4"/>
    </row>
    <row r="154" spans="1:33" ht="22.5" customHeight="1" x14ac:dyDescent="0.25">
      <c r="A154" s="2"/>
      <c r="B154" s="2"/>
      <c r="C154" s="2"/>
      <c r="D154" s="2"/>
      <c r="E154" s="2"/>
      <c r="F154" s="4"/>
      <c r="G154" s="4"/>
      <c r="H154" s="4" t="s">
        <v>42</v>
      </c>
      <c r="I154" s="4" t="str">
        <f ca="1">IFERROR(__xludf.DUMMYFUNCTION("GOOGLETRANSLATE(B154,""en"",""ar"")"),"ماذا يحمل الفرسان؟")</f>
        <v>ماذا يحمل الفرسان؟</v>
      </c>
      <c r="J154" s="4" t="str">
        <f ca="1">IFERROR(__xludf.DUMMYFUNCTION("GOOGLETRANSLATE(C154,""en"",""ar"")"),"أ) الأعلام، ب) الحبال، ج) العصي الطويلة الرفيعة، د) المشاعل")</f>
        <v>أ) الأعلام، ب) الحبال، ج) العصي الطويلة الرفيعة، د) المشاعل</v>
      </c>
      <c r="K154" s="4" t="str">
        <f ca="1">IFERROR(__xludf.DUMMYFUNCTION("GOOGLETRANSLATE(D154,""en"",""ar"")"),"ج) أعواد طويلة ورفيعة")</f>
        <v>ج) أعواد طويلة ورفيعة</v>
      </c>
      <c r="L154" s="4" t="str">
        <f ca="1">IFERROR(__xludf.DUMMYFUNCTION("GOOGLETRANSLATE(E154,""en"",""ar"")"),"يحمل الفرسان عصي السباق التقليدية أو العصي، التي يستخدمونها لتوجيه وتشجيع جمالهم.")</f>
        <v>يحمل الفرسان عصي السباق التقليدية أو العصي، التي يستخدمونها لتوجيه وتشجيع جمالهم.</v>
      </c>
      <c r="M154" s="4"/>
      <c r="N154" s="4"/>
      <c r="O154" s="4"/>
      <c r="P154" s="4"/>
      <c r="Q154" s="4"/>
      <c r="R154" s="4"/>
      <c r="S154" s="4"/>
      <c r="T154" s="4"/>
      <c r="U154" s="4"/>
      <c r="V154" s="4"/>
      <c r="W154" s="4"/>
      <c r="X154" s="4"/>
      <c r="Y154" s="4"/>
      <c r="Z154" s="4"/>
      <c r="AA154" s="4"/>
      <c r="AB154" s="4"/>
      <c r="AC154" s="4"/>
      <c r="AD154" s="4"/>
      <c r="AE154" s="4"/>
      <c r="AF154" s="4"/>
      <c r="AG154" s="4"/>
    </row>
    <row r="155" spans="1:33" ht="22.5" customHeight="1" x14ac:dyDescent="0.25">
      <c r="A155" s="2"/>
      <c r="B155" s="2"/>
      <c r="C155" s="2"/>
      <c r="D155" s="2"/>
      <c r="E155" s="2"/>
      <c r="F155" s="4"/>
      <c r="G155" s="4"/>
      <c r="H155" s="4" t="s">
        <v>42</v>
      </c>
      <c r="I155" s="4" t="str">
        <f ca="1">IFERROR(__xludf.DUMMYFUNCTION("GOOGLETRANSLATE(B155,""en"",""ar"")"),"ما هي وضعية ركوب الخيل الفريدة للفارس الموجود في المنتصف؟")</f>
        <v>ما هي وضعية ركوب الخيل الفريدة للفارس الموجود في المنتصف؟</v>
      </c>
      <c r="J155" s="4" t="str">
        <f ca="1">IFERROR(__xludf.DUMMYFUNCTION("GOOGLETRANSLATE(C155,""en"",""ar"")"),"أ) يجلس جانبًا، ب) يقف على ظهر الجمل، ج) يباعد بين قدميه للحفاظ على توازنه، د) يستلقي")</f>
        <v>أ) يجلس جانبًا، ب) يقف على ظهر الجمل، ج) يباعد بين قدميه للحفاظ على توازنه، د) يستلقي</v>
      </c>
      <c r="K155" s="4" t="str">
        <f ca="1">IFERROR(__xludf.DUMMYFUNCTION("GOOGLETRANSLATE(D155,""en"",""ar"")"),"ج) يباعد بين قدميه للحفاظ على توازنه")</f>
        <v>ج) يباعد بين قدميه للحفاظ على توازنه</v>
      </c>
      <c r="L155" s="4" t="str">
        <f ca="1">IFERROR(__xludf.DUMMYFUNCTION("GOOGLETRANSLATE(E155,""en"",""ar"")"),"اتخذ هذا الفارس وضعية واسعة الساقين، تكاد تكون واقفة، للحفاظ على توازنه على الجمل الجاري، مما يدل على مهارة مذهلة.")</f>
        <v>اتخذ هذا الفارس وضعية واسعة الساقين، تكاد تكون واقفة، للحفاظ على توازنه على الجمل الجاري، مما يدل على مهارة مذهلة.</v>
      </c>
      <c r="M155" s="4"/>
      <c r="N155" s="4"/>
      <c r="O155" s="4"/>
      <c r="P155" s="4"/>
      <c r="Q155" s="4"/>
      <c r="R155" s="4"/>
      <c r="S155" s="4"/>
      <c r="T155" s="4"/>
      <c r="U155" s="4"/>
      <c r="V155" s="4"/>
      <c r="W155" s="4"/>
      <c r="X155" s="4"/>
      <c r="Y155" s="4"/>
      <c r="Z155" s="4"/>
      <c r="AA155" s="4"/>
      <c r="AB155" s="4"/>
      <c r="AC155" s="4"/>
      <c r="AD155" s="4"/>
      <c r="AE155" s="4"/>
      <c r="AF155" s="4"/>
      <c r="AG155" s="4"/>
    </row>
    <row r="156" spans="1:33" ht="22.5" customHeight="1" x14ac:dyDescent="0.25">
      <c r="A156" s="2"/>
      <c r="B156" s="2"/>
      <c r="C156" s="2"/>
      <c r="D156" s="2"/>
      <c r="E156" s="2"/>
      <c r="F156" s="4"/>
      <c r="G156" s="4"/>
      <c r="H156" s="4" t="s">
        <v>42</v>
      </c>
      <c r="I156" s="4" t="str">
        <f ca="1">IFERROR(__xludf.DUMMYFUNCTION("GOOGLETRANSLATE(B156,""en"",""ar"")"),"يشير العدد الكبير من المشاركين إلى أن هذا...")</f>
        <v>يشير العدد الكبير من المشاركين إلى أن هذا...</v>
      </c>
      <c r="J156" s="4" t="str">
        <f ca="1">IFERROR(__xludf.DUMMYFUNCTION("GOOGLETRANSLATE(C156,""en"",""ar"")"),"أ) مجموعة تدريب صغيرة، ب) سباق تقليدي رئيسي، ج) نزهة عائلية، د) دورية عسكرية")</f>
        <v>أ) مجموعة تدريب صغيرة، ب) سباق تقليدي رئيسي، ج) نزهة عائلية، د) دورية عسكرية</v>
      </c>
      <c r="K156" s="4" t="str">
        <f ca="1">IFERROR(__xludf.DUMMYFUNCTION("GOOGLETRANSLATE(D156,""en"",""ar"")"),"ب) عرق تقليدي رئيسي")</f>
        <v>ب) عرق تقليدي رئيسي</v>
      </c>
      <c r="L156" s="4" t="str">
        <f ca="1">IFERROR(__xludf.DUMMYFUNCTION("GOOGLETRANSLATE(E156,""en"",""ar"")"),"يصور المشهد سباقاً تقليدياً واسع النطاق أقيم في بيئة صحراوية طبيعية.")</f>
        <v>يصور المشهد سباقاً تقليدياً واسع النطاق أقيم في بيئة صحراوية طبيعية.</v>
      </c>
      <c r="M156" s="4"/>
      <c r="N156" s="4"/>
      <c r="O156" s="4"/>
      <c r="P156" s="4"/>
      <c r="Q156" s="4"/>
      <c r="R156" s="4"/>
      <c r="S156" s="4"/>
      <c r="T156" s="4"/>
      <c r="U156" s="4"/>
      <c r="V156" s="4"/>
      <c r="W156" s="4"/>
      <c r="X156" s="4"/>
      <c r="Y156" s="4"/>
      <c r="Z156" s="4"/>
      <c r="AA156" s="4"/>
      <c r="AB156" s="4"/>
      <c r="AC156" s="4"/>
      <c r="AD156" s="4"/>
      <c r="AE156" s="4"/>
      <c r="AF156" s="4"/>
      <c r="AG156" s="4"/>
    </row>
    <row r="157" spans="1:33" ht="22.5" customHeight="1" x14ac:dyDescent="0.25">
      <c r="A157" s="2"/>
      <c r="B157" s="2"/>
      <c r="C157" s="2"/>
      <c r="D157" s="2"/>
      <c r="E157" s="2"/>
      <c r="F157" s="4"/>
      <c r="G157" s="4"/>
      <c r="H157" s="4" t="s">
        <v>42</v>
      </c>
      <c r="I157" s="4" t="str">
        <f ca="1">IFERROR(__xludf.DUMMYFUNCTION("GOOGLETRANSLATE(B157,""en"",""ar"")"),"كيف تبدو التضاريس؟")</f>
        <v>كيف تبدو التضاريس؟</v>
      </c>
      <c r="J157" s="4" t="str">
        <f ca="1">IFERROR(__xludf.DUMMYFUNCTION("GOOGLETRANSLATE(C157,""en"",""ar"")"),"أ) صخرية وجبلية، ب) مسطحة ورملية، ج) مغطاة بغابة كثيفة، د) مستنقعية ورطبة")</f>
        <v>أ) صخرية وجبلية، ب) مسطحة ورملية، ج) مغطاة بغابة كثيفة، د) مستنقعية ورطبة</v>
      </c>
      <c r="K157" s="4" t="str">
        <f ca="1">IFERROR(__xludf.DUMMYFUNCTION("GOOGLETRANSLATE(D157,""en"",""ar"")"),"ب) مسطح ورملي")</f>
        <v>ب) مسطح ورملي</v>
      </c>
      <c r="L157" s="4" t="str">
        <f ca="1">IFERROR(__xludf.DUMMYFUNCTION("GOOGLETRANSLATE(E157,""en"",""ar"")"),"يقام السباق على سهل واسع ومسطح من الرمال أو الأرض الجافة.")</f>
        <v>يقام السباق على سهل واسع ومسطح من الرمال أو الأرض الجافة.</v>
      </c>
      <c r="M157" s="4"/>
      <c r="N157" s="4"/>
      <c r="O157" s="4"/>
      <c r="P157" s="4"/>
      <c r="Q157" s="4"/>
      <c r="R157" s="4"/>
      <c r="S157" s="4"/>
      <c r="T157" s="4"/>
      <c r="U157" s="4"/>
      <c r="V157" s="4"/>
      <c r="W157" s="4"/>
      <c r="X157" s="4"/>
      <c r="Y157" s="4"/>
      <c r="Z157" s="4"/>
      <c r="AA157" s="4"/>
      <c r="AB157" s="4"/>
      <c r="AC157" s="4"/>
      <c r="AD157" s="4"/>
      <c r="AE157" s="4"/>
      <c r="AF157" s="4"/>
      <c r="AG157" s="4"/>
    </row>
    <row r="158" spans="1:33" ht="22.5" customHeight="1" x14ac:dyDescent="0.25">
      <c r="A158" s="2"/>
      <c r="B158" s="2"/>
      <c r="C158" s="2"/>
      <c r="D158" s="2"/>
      <c r="E158" s="2"/>
      <c r="F158" s="4"/>
      <c r="G158" s="4"/>
      <c r="H158" s="4" t="s">
        <v>42</v>
      </c>
      <c r="I158" s="4" t="str">
        <f ca="1">IFERROR(__xludf.DUMMYFUNCTION("GOOGLETRANSLATE(B158,""en"",""ar"")"),"النبرة العامة للصورة هي...")</f>
        <v>النبرة العامة للصورة هي...</v>
      </c>
      <c r="J158" s="4" t="str">
        <f ca="1">IFERROR(__xludf.DUMMYFUNCTION("GOOGLETRANSLATE(C158,""en"",""ar"")"),"أ) عصري ونظيف، ب) قديم وملحمي، ج) بارد وكئيب، د) مرح وخفيف الظل")</f>
        <v>أ) عصري ونظيف، ب) قديم وملحمي، ج) بارد وكئيب، د) مرح وخفيف الظل</v>
      </c>
      <c r="K158" s="4" t="str">
        <f ca="1">IFERROR(__xludf.DUMMYFUNCTION("GOOGLETRANSLATE(D158,""en"",""ar"")"),"ب) قديم وملحمي")</f>
        <v>ب) قديم وملحمي</v>
      </c>
      <c r="L158" s="4" t="str">
        <f ca="1">IFERROR(__xludf.DUMMYFUNCTION("GOOGLETRANSLATE(E158,""en"",""ar"")"),"إن الجودة الخالدة للصور الظلية، وبيئة الصحراء، والطبيعة التقليدية للرياضة، تضفي على الصورة طابعاً ملحمياً، يكاد يكون تاريخياً.")</f>
        <v>إن الجودة الخالدة للصور الظلية، وبيئة الصحراء، والطبيعة التقليدية للرياضة، تضفي على الصورة طابعاً ملحمياً، يكاد يكون تاريخياً.</v>
      </c>
      <c r="M158" s="4"/>
      <c r="N158" s="4"/>
      <c r="O158" s="4"/>
      <c r="P158" s="4"/>
      <c r="Q158" s="4"/>
      <c r="R158" s="4"/>
      <c r="S158" s="4"/>
      <c r="T158" s="4"/>
      <c r="U158" s="4"/>
      <c r="V158" s="4"/>
      <c r="W158" s="4"/>
      <c r="X158" s="4"/>
      <c r="Y158" s="4"/>
      <c r="Z158" s="4"/>
      <c r="AA158" s="4"/>
      <c r="AB158" s="4"/>
      <c r="AC158" s="4"/>
      <c r="AD158" s="4"/>
      <c r="AE158" s="4"/>
      <c r="AF158" s="4"/>
      <c r="AG158" s="4"/>
    </row>
    <row r="159" spans="1:33" ht="22.5" customHeight="1" x14ac:dyDescent="0.25">
      <c r="A159" s="2"/>
      <c r="B159" s="2"/>
      <c r="C159" s="2"/>
      <c r="D159" s="2"/>
      <c r="E159" s="2"/>
      <c r="F159" s="4"/>
      <c r="G159" s="4"/>
      <c r="H159" s="4" t="s">
        <v>42</v>
      </c>
      <c r="I159" s="4" t="str">
        <f ca="1">IFERROR(__xludf.DUMMYFUNCTION("GOOGLETRANSLATE(B159,""en"",""ar"")"),"يظهر الفرسان كأشكال داكنة على خلفية ساطعة. ما اسم هذا التأثير؟")</f>
        <v>يظهر الفرسان كأشكال داكنة على خلفية ساطعة. ما اسم هذا التأثير؟</v>
      </c>
      <c r="J159" s="4" t="str">
        <f ca="1">IFERROR(__xludf.DUMMYFUNCTION("GOOGLETRANSLATE(C159,""en"",""ar"")"),"أ) صورة شخصية، ب) منظر طبيعي، ج) صورة ظلية، د) صورة مقرّبة")</f>
        <v>أ) صورة شخصية، ب) منظر طبيعي، ج) صورة ظلية، د) صورة مقرّبة</v>
      </c>
      <c r="K159" s="4" t="str">
        <f ca="1">IFERROR(__xludf.DUMMYFUNCTION("GOOGLETRANSLATE(D159,""en"",""ar"")"),"ج) صورة ظلية")</f>
        <v>ج) صورة ظلية</v>
      </c>
      <c r="L159" s="4" t="str">
        <f ca="1">IFERROR(__xludf.DUMMYFUNCTION("GOOGLETRANSLATE(E159,""en"",""ar"")"),"الظل هو الشكل الداكن والخطوط العريضة لشخص أو شيء ما، والذي يظهر على خلفية أكثر إشراقًا.")</f>
        <v>الظل هو الشكل الداكن والخطوط العريضة لشخص أو شيء ما، والذي يظهر على خلفية أكثر إشراقًا.</v>
      </c>
      <c r="M159" s="4"/>
      <c r="N159" s="4"/>
      <c r="O159" s="4"/>
      <c r="P159" s="4"/>
      <c r="Q159" s="4"/>
      <c r="R159" s="4"/>
      <c r="S159" s="4"/>
      <c r="T159" s="4"/>
      <c r="U159" s="4"/>
      <c r="V159" s="4"/>
      <c r="W159" s="4"/>
      <c r="X159" s="4"/>
      <c r="Y159" s="4"/>
      <c r="Z159" s="4"/>
      <c r="AA159" s="4"/>
      <c r="AB159" s="4"/>
      <c r="AC159" s="4"/>
      <c r="AD159" s="4"/>
      <c r="AE159" s="4"/>
      <c r="AF159" s="4"/>
      <c r="AG159" s="4"/>
    </row>
    <row r="160" spans="1:33" ht="22.5" customHeight="1" x14ac:dyDescent="0.25">
      <c r="A160" s="2"/>
      <c r="B160" s="2"/>
      <c r="C160" s="2"/>
      <c r="D160" s="2"/>
      <c r="E160" s="2"/>
      <c r="F160" s="4"/>
      <c r="G160" s="4"/>
      <c r="H160" s="4" t="s">
        <v>42</v>
      </c>
      <c r="I160" s="4" t="str">
        <f ca="1">IFERROR(__xludf.DUMMYFUNCTION("GOOGLETRANSLATE(B160,""en"",""ar"")"),"يبدو أن هذا السباق سيُقام في...")</f>
        <v>يبدو أن هذا السباق سيُقام في...</v>
      </c>
      <c r="J160" s="4" t="str">
        <f ca="1">IFERROR(__xludf.DUMMYFUNCTION("GOOGLETRANSLATE(C160,""en"",""ar"")"),"أ) ملعب حديث مغلق، ب) بيئة صحراوية طبيعية مفتوحة، ج) حظيرة دائرية صغيرة، د) حديقة في الضواحي")</f>
        <v>أ) ملعب حديث مغلق، ب) بيئة صحراوية طبيعية مفتوحة، ج) حظيرة دائرية صغيرة، د) حديقة في الضواحي</v>
      </c>
      <c r="K160" s="4" t="str">
        <f ca="1">IFERROR(__xludf.DUMMYFUNCTION("GOOGLETRANSLATE(D160,""en"",""ar"")"),"ب) بيئة صحراوية طبيعية مفتوحة")</f>
        <v>ب) بيئة صحراوية طبيعية مفتوحة</v>
      </c>
      <c r="L160" s="4" t="str">
        <f ca="1">IFERROR(__xludf.DUMMYFUNCTION("GOOGLETRANSLATE(E160,""en"",""ar"")"),"لا توجد حواجز أو هياكل حديثة، مما يشير إلى أسلوب سباق تقليدي عبر البلاد.")</f>
        <v>لا توجد حواجز أو هياكل حديثة، مما يشير إلى أسلوب سباق تقليدي عبر البلاد.</v>
      </c>
      <c r="M160" s="4"/>
      <c r="N160" s="4"/>
      <c r="O160" s="4"/>
      <c r="P160" s="4"/>
      <c r="Q160" s="4"/>
      <c r="R160" s="4"/>
      <c r="S160" s="4"/>
      <c r="T160" s="4"/>
      <c r="U160" s="4"/>
      <c r="V160" s="4"/>
      <c r="W160" s="4"/>
      <c r="X160" s="4"/>
      <c r="Y160" s="4"/>
      <c r="Z160" s="4"/>
      <c r="AA160" s="4"/>
      <c r="AB160" s="4"/>
      <c r="AC160" s="4"/>
      <c r="AD160" s="4"/>
      <c r="AE160" s="4"/>
      <c r="AF160" s="4"/>
      <c r="AG160" s="4"/>
    </row>
    <row r="161" spans="1:33" ht="22.5" customHeight="1" x14ac:dyDescent="0.25">
      <c r="A161" s="2"/>
      <c r="B161" s="2"/>
      <c r="C161" s="2"/>
      <c r="D161" s="2"/>
      <c r="E161" s="2"/>
      <c r="F161" s="4"/>
      <c r="G161" s="4"/>
      <c r="H161" s="4" t="s">
        <v>42</v>
      </c>
      <c r="I161" s="4" t="str">
        <f ca="1">IFERROR(__xludf.DUMMYFUNCTION("GOOGLETRANSLATE(B161,""en"",""ar"")"),"تُجسّد الصورة إحساسًا بـ...")</f>
        <v>تُجسّد الصورة إحساسًا بـ...</v>
      </c>
      <c r="J161" s="4" t="str">
        <f ca="1">IFERROR(__xludf.DUMMYFUNCTION("GOOGLETRANSLATE(C161,""en"",""ar"")"),"أ) سكون تام، ب) حركة إيقاعية قوية، ج) منافسة فردية، د) التكنولوجيا الحديثة")</f>
        <v>أ) سكون تام، ب) حركة إيقاعية قوية، ج) منافسة فردية، د) التكنولوجيا الحديثة</v>
      </c>
      <c r="K161" s="4" t="str">
        <f ca="1">IFERROR(__xludf.DUMMYFUNCTION("GOOGLETRANSLATE(D161,""en"",""ar"")"),"ب) حركة إيقاعية وقوية")</f>
        <v>ب) حركة إيقاعية وقوية</v>
      </c>
      <c r="L161" s="4" t="str">
        <f ca="1">IFERROR(__xludf.DUMMYFUNCTION("GOOGLETRANSLATE(E161,""en"",""ar"")"),"حتى وإن بدت مجرد ظلال، فإن الحركة المنسقة للعديد من الجمال والفرسان تخلق إحساساً قوياً بالتقدم المدوّي.")</f>
        <v>حتى وإن بدت مجرد ظلال، فإن الحركة المنسقة للعديد من الجمال والفرسان تخلق إحساساً قوياً بالتقدم المدوّي.</v>
      </c>
      <c r="M161" s="4"/>
      <c r="N161" s="4"/>
      <c r="O161" s="4"/>
      <c r="P161" s="4"/>
      <c r="Q161" s="4"/>
      <c r="R161" s="4"/>
      <c r="S161" s="4"/>
      <c r="T161" s="4"/>
      <c r="U161" s="4"/>
      <c r="V161" s="4"/>
      <c r="W161" s="4"/>
      <c r="X161" s="4"/>
      <c r="Y161" s="4"/>
      <c r="Z161" s="4"/>
      <c r="AA161" s="4"/>
      <c r="AB161" s="4"/>
      <c r="AC161" s="4"/>
      <c r="AD161" s="4"/>
      <c r="AE161" s="4"/>
      <c r="AF161" s="4"/>
      <c r="AG161" s="4"/>
    </row>
    <row r="162" spans="1:33" ht="22.5" customHeight="1" x14ac:dyDescent="0.25">
      <c r="A162" s="2"/>
      <c r="B162" s="2"/>
      <c r="C162" s="2"/>
      <c r="D162" s="2"/>
      <c r="E162" s="2"/>
      <c r="F162" s="4"/>
      <c r="G162" s="4"/>
      <c r="H162" s="4" t="s">
        <v>43</v>
      </c>
      <c r="I162" s="4" t="str">
        <f ca="1">IFERROR(__xludf.DUMMYFUNCTION("GOOGLETRANSLATE(B162,""en"",""ar"")"),"ما هي المرحلة من السباق التي يُرجح أن تُصوّرها هذه الصورة؟")</f>
        <v>ما هي المرحلة من السباق التي يُرجح أن تُصوّرها هذه الصورة؟</v>
      </c>
      <c r="J162" s="4" t="str">
        <f ca="1">IFERROR(__xludf.DUMMYFUNCTION("GOOGLETRANSLATE(C162,""en"",""ar"")"),"أ) خط النهاية، ب) خط البداية، ج) لفة التهدئة، د) حفل توزيع الجوائز")</f>
        <v>أ) خط النهاية، ب) خط البداية، ج) لفة التهدئة، د) حفل توزيع الجوائز</v>
      </c>
      <c r="K162" s="4" t="str">
        <f ca="1">IFERROR(__xludf.DUMMYFUNCTION("GOOGLETRANSLATE(D162,""en"",""ar"")"),"ب) البداية")</f>
        <v>ب) البداية</v>
      </c>
      <c r="L162" s="4" t="str">
        <f ca="1">IFERROR(__xludf.DUMMYFUNCTION("GOOGLETRANSLATE(E162,""en"",""ar"")"),"تندفع الجمال إلى الأمام من صف تحت هيكل يشبه البوابة، وهو ما يميز بداية السباق.")</f>
        <v>تندفع الجمال إلى الأمام من صف تحت هيكل يشبه البوابة، وهو ما يميز بداية السباق.</v>
      </c>
      <c r="M162" s="4"/>
      <c r="N162" s="4"/>
      <c r="O162" s="4"/>
      <c r="P162" s="4"/>
      <c r="Q162" s="4"/>
      <c r="R162" s="4"/>
      <c r="S162" s="4"/>
      <c r="T162" s="4"/>
      <c r="U162" s="4"/>
      <c r="V162" s="4"/>
      <c r="W162" s="4"/>
      <c r="X162" s="4"/>
      <c r="Y162" s="4"/>
      <c r="Z162" s="4"/>
      <c r="AA162" s="4"/>
      <c r="AB162" s="4"/>
      <c r="AC162" s="4"/>
      <c r="AD162" s="4"/>
      <c r="AE162" s="4"/>
      <c r="AF162" s="4"/>
      <c r="AG162" s="4"/>
    </row>
    <row r="163" spans="1:33" ht="22.5" customHeight="1" x14ac:dyDescent="0.25">
      <c r="A163" s="2"/>
      <c r="B163" s="2"/>
      <c r="C163" s="2"/>
      <c r="D163" s="2"/>
      <c r="E163" s="2"/>
      <c r="F163" s="4"/>
      <c r="G163" s="4"/>
      <c r="H163" s="4" t="s">
        <v>43</v>
      </c>
      <c r="I163" s="4" t="str">
        <f ca="1">IFERROR(__xludf.DUMMYFUNCTION("GOOGLETRANSLATE(B163,""en"",""ar"")"),"ما هو البناء الضخم الذي تخرج منه الجمال مسرعة؟")</f>
        <v>ما هو البناء الضخم الذي تخرج منه الجمال مسرعة؟</v>
      </c>
      <c r="J163" s="4" t="str">
        <f ca="1">IFERROR(__xludf.DUMMYFUNCTION("GOOGLETRANSLATE(C163,""en"",""ar"")"),"أ) جسر، ب) لافتة خط النهاية، ج) نوع من بوابات البداية، د) خيمة")</f>
        <v>أ) جسر، ب) لافتة خط النهاية، ج) نوع من بوابات البداية، د) خيمة</v>
      </c>
      <c r="K163" s="4" t="str">
        <f ca="1">IFERROR(__xludf.DUMMYFUNCTION("GOOGLETRANSLATE(D163,""en"",""ar"")"),"ج) نوع من بوابات البداية")</f>
        <v>ج) نوع من بوابات البداية</v>
      </c>
      <c r="L163" s="4" t="str">
        <f ca="1">IFERROR(__xludf.DUMMYFUNCTION("GOOGLETRANSLATE(E163,""en"",""ar"")"),"يبدو أن هذا شكل من أشكال بوابة البداية أو لافتة تشير إلى البداية الرسمية للسباق.")</f>
        <v>يبدو أن هذا شكل من أشكال بوابة البداية أو لافتة تشير إلى البداية الرسمية للسباق.</v>
      </c>
      <c r="M163" s="4"/>
      <c r="N163" s="4"/>
      <c r="O163" s="4"/>
      <c r="P163" s="4"/>
      <c r="Q163" s="4"/>
      <c r="R163" s="4"/>
      <c r="S163" s="4"/>
      <c r="T163" s="4"/>
      <c r="U163" s="4"/>
      <c r="V163" s="4"/>
      <c r="W163" s="4"/>
      <c r="X163" s="4"/>
      <c r="Y163" s="4"/>
      <c r="Z163" s="4"/>
      <c r="AA163" s="4"/>
      <c r="AB163" s="4"/>
      <c r="AC163" s="4"/>
      <c r="AD163" s="4"/>
      <c r="AE163" s="4"/>
      <c r="AF163" s="4"/>
      <c r="AG163" s="4"/>
    </row>
    <row r="164" spans="1:33" ht="22.5" customHeight="1" x14ac:dyDescent="0.25">
      <c r="A164" s="2"/>
      <c r="B164" s="2"/>
      <c r="C164" s="2"/>
      <c r="D164" s="2"/>
      <c r="E164" s="2"/>
      <c r="F164" s="4"/>
      <c r="G164" s="4"/>
      <c r="H164" s="4" t="s">
        <v>43</v>
      </c>
      <c r="I164" s="4" t="str">
        <f ca="1">IFERROR(__xludf.DUMMYFUNCTION("GOOGLETRANSLATE(B164,""en"",""ar"")"),"اوصف لى  الطقس؟")</f>
        <v>اوصف لى  الطقس؟</v>
      </c>
      <c r="J164" s="4" t="str">
        <f ca="1">IFERROR(__xludf.DUMMYFUNCTION("GOOGLETRANSLATE(C164,""en"",""ar"")"),"أ) يوم مشمس صافٍ، ب) ليلة مظلمة ممطرة، ج) يوم غائم ذو أجواء درامية، د) عاصفة ثلجية")</f>
        <v>أ) يوم مشمس صافٍ، ب) ليلة مظلمة ممطرة، ج) يوم غائم ذو أجواء درامية، د) عاصفة ثلجية</v>
      </c>
      <c r="K164" s="4" t="str">
        <f ca="1">IFERROR(__xludf.DUMMYFUNCTION("GOOGLETRANSLATE(D164,""en"",""ar"")"),"ج) يوم غائم ذو أجواء درامية")</f>
        <v>ج) يوم غائم ذو أجواء درامية</v>
      </c>
      <c r="L164" s="4" t="str">
        <f ca="1">IFERROR(__xludf.DUMMYFUNCTION("GOOGLETRANSLATE(E164,""en"",""ar"")"),"السماء مليئة بالغيوم الكثيفة ذات الملمس المميز، مما يخلق خلفية درامية للسباق.")</f>
        <v>السماء مليئة بالغيوم الكثيفة ذات الملمس المميز، مما يخلق خلفية درامية للسباق.</v>
      </c>
      <c r="M164" s="4"/>
      <c r="N164" s="4"/>
      <c r="O164" s="4"/>
      <c r="P164" s="4"/>
      <c r="Q164" s="4"/>
      <c r="R164" s="4"/>
      <c r="S164" s="4"/>
      <c r="T164" s="4"/>
      <c r="U164" s="4"/>
      <c r="V164" s="4"/>
      <c r="W164" s="4"/>
      <c r="X164" s="4"/>
      <c r="Y164" s="4"/>
      <c r="Z164" s="4"/>
      <c r="AA164" s="4"/>
      <c r="AB164" s="4"/>
      <c r="AC164" s="4"/>
      <c r="AD164" s="4"/>
      <c r="AE164" s="4"/>
      <c r="AF164" s="4"/>
      <c r="AG164" s="4"/>
    </row>
    <row r="165" spans="1:33" ht="22.5" customHeight="1" x14ac:dyDescent="0.25">
      <c r="A165" s="2"/>
      <c r="B165" s="2"/>
      <c r="C165" s="2"/>
      <c r="D165" s="2"/>
      <c r="E165" s="2"/>
      <c r="F165" s="4"/>
      <c r="G165" s="4"/>
      <c r="H165" s="4" t="s">
        <v>43</v>
      </c>
      <c r="I165" s="4" t="str">
        <f ca="1">IFERROR(__xludf.DUMMYFUNCTION("GOOGLETRANSLATE(B165,""en"",""ar"")"),"ما الذي يُركب على ظهور الجمال؟")</f>
        <v>ما الذي يُركب على ظهور الجمال؟</v>
      </c>
      <c r="J165" s="4" t="str">
        <f ca="1">IFERROR(__xludf.DUMMYFUNCTION("GOOGLETRANSLATE(C165,""en"",""ar"")"),"أ) فرسان بشريون، ب) سلال كبيرة، ج) فرسان آليون صغار، د) لا شيء")</f>
        <v>أ) فرسان بشريون، ب) سلال كبيرة، ج) فرسان آليون صغار، د) لا شيء</v>
      </c>
      <c r="K165" s="4" t="str">
        <f ca="1">IFERROR(__xludf.DUMMYFUNCTION("GOOGLETRANSLATE(D165,""en"",""ar"")"),"ج) فرسان آليون صغار")</f>
        <v>ج) فرسان آليون صغار</v>
      </c>
      <c r="L165" s="4" t="str">
        <f ca="1">IFERROR(__xludf.DUMMYFUNCTION("GOOGLETRANSLATE(E165,""en"",""ar"")"),"الأجهزة الصغيرة الملونة الموجودة على ظهور الجمال هي روبوتات حديثة يتم التحكم فيها عن بعد.")</f>
        <v>الأجهزة الصغيرة الملونة الموجودة على ظهور الجمال هي روبوتات حديثة يتم التحكم فيها عن بعد.</v>
      </c>
      <c r="M165" s="4"/>
      <c r="N165" s="4"/>
      <c r="O165" s="4"/>
      <c r="P165" s="4"/>
      <c r="Q165" s="4"/>
      <c r="R165" s="4"/>
      <c r="S165" s="4"/>
      <c r="T165" s="4"/>
      <c r="U165" s="4"/>
      <c r="V165" s="4"/>
      <c r="W165" s="4"/>
      <c r="X165" s="4"/>
      <c r="Y165" s="4"/>
      <c r="Z165" s="4"/>
      <c r="AA165" s="4"/>
      <c r="AB165" s="4"/>
      <c r="AC165" s="4"/>
      <c r="AD165" s="4"/>
      <c r="AE165" s="4"/>
      <c r="AF165" s="4"/>
      <c r="AG165" s="4"/>
    </row>
    <row r="166" spans="1:33" ht="22.5" customHeight="1" x14ac:dyDescent="0.25">
      <c r="A166" s="2"/>
      <c r="B166" s="2"/>
      <c r="C166" s="2"/>
      <c r="D166" s="2"/>
      <c r="E166" s="2"/>
      <c r="F166" s="4"/>
      <c r="G166" s="4"/>
      <c r="H166" s="4" t="s">
        <v>43</v>
      </c>
      <c r="I166" s="4" t="str">
        <f ca="1">IFERROR(__xludf.DUMMYFUNCTION("GOOGLETRANSLATE(B166,""en"",""ar"")"),"ما أنواع المركبات الظاهرة في الخلفية؟")</f>
        <v>ما أنواع المركبات الظاهرة في الخلفية؟</v>
      </c>
      <c r="J166" s="4" t="str">
        <f ca="1">IFERROR(__xludf.DUMMYFUNCTION("GOOGLETRANSLATE(C166,""en"",""ar"")"),"أ) الدراجات النارية، ب) القوارب، ج) سيارات الدفع الرباعي أو الشاحنات البيضاء، د) الحافلات")</f>
        <v>أ) الدراجات النارية، ب) القوارب، ج) سيارات الدفع الرباعي أو الشاحنات البيضاء، د) الحافلات</v>
      </c>
      <c r="K166" s="4" t="str">
        <f ca="1">IFERROR(__xludf.DUMMYFUNCTION("GOOGLETRANSLATE(D166,""en"",""ar"")"),"ج) سيارات الدفع الرباعي أو الشاحنات البيضاء")</f>
        <v>ج) سيارات الدفع الرباعي أو الشاحنات البيضاء</v>
      </c>
      <c r="L166" s="4" t="str">
        <f ca="1">IFERROR(__xludf.DUMMYFUNCTION("GOOGLETRANSLATE(E166,""en"",""ar"")"),"يظهر صف من سيارات الدفع الرباعي البيضاء على اليمين. هذه سيارات دعم يستخدمها المدربون لمتابعة السباق والتحكم في الفرسان الآليين.")</f>
        <v>يظهر صف من سيارات الدفع الرباعي البيضاء على اليمين. هذه سيارات دعم يستخدمها المدربون لمتابعة السباق والتحكم في الفرسان الآليين.</v>
      </c>
      <c r="M166" s="4"/>
      <c r="N166" s="4"/>
      <c r="O166" s="4"/>
      <c r="P166" s="4"/>
      <c r="Q166" s="4"/>
      <c r="R166" s="4"/>
      <c r="S166" s="4"/>
      <c r="T166" s="4"/>
      <c r="U166" s="4"/>
      <c r="V166" s="4"/>
      <c r="W166" s="4"/>
      <c r="X166" s="4"/>
      <c r="Y166" s="4"/>
      <c r="Z166" s="4"/>
      <c r="AA166" s="4"/>
      <c r="AB166" s="4"/>
      <c r="AC166" s="4"/>
      <c r="AD166" s="4"/>
      <c r="AE166" s="4"/>
      <c r="AF166" s="4"/>
      <c r="AG166" s="4"/>
    </row>
    <row r="167" spans="1:33" ht="22.5" customHeight="1" x14ac:dyDescent="0.25">
      <c r="A167" s="2"/>
      <c r="B167" s="2"/>
      <c r="C167" s="2"/>
      <c r="D167" s="2"/>
      <c r="E167" s="2"/>
      <c r="F167" s="4"/>
      <c r="G167" s="4"/>
      <c r="H167" s="4" t="s">
        <v>43</v>
      </c>
      <c r="I167" s="4" t="str">
        <f ca="1">IFERROR(__xludf.DUMMYFUNCTION("GOOGLETRANSLATE(B167,""en"",""ar"")"),"من أي زاوية تم التقاط الصورة؟")</f>
        <v>من أي زاوية تم التقاط الصورة؟</v>
      </c>
      <c r="J167" s="4" t="str">
        <f ca="1">IFERROR(__xludf.DUMMYFUNCTION("GOOGLETRANSLATE(C167,""en"",""ar"")"),"أ) زاوية عالية من الأعلى، ب) زاوية منخفضة من جانب المضمار، ج) من خلف الجمال مباشرة، د) من خط النهاية")</f>
        <v>أ) زاوية عالية من الأعلى، ب) زاوية منخفضة من جانب المضمار، ج) من خلف الجمال مباشرة، د) من خط النهاية</v>
      </c>
      <c r="K167" s="4" t="str">
        <f ca="1">IFERROR(__xludf.DUMMYFUNCTION("GOOGLETRANSLATE(D167,""en"",""ar"")"),"ب) زاوية منخفضة من جانب المسار")</f>
        <v>ب) زاوية منخفضة من جانب المسار</v>
      </c>
      <c r="L167" s="4" t="str">
        <f ca="1">IFERROR(__xludf.DUMMYFUNCTION("GOOGLETRANSLATE(E167,""en"",""ar"")"),"تم وضع الكاميرا على مستوى منخفض من الأرض، مما يجعل الجمال الجارية تبدو أكثر ديناميكية وقوة.")</f>
        <v>تم وضع الكاميرا على مستوى منخفض من الأرض، مما يجعل الجمال الجارية تبدو أكثر ديناميكية وقوة.</v>
      </c>
      <c r="M167" s="4"/>
      <c r="N167" s="4"/>
      <c r="O167" s="4"/>
      <c r="P167" s="4"/>
      <c r="Q167" s="4"/>
      <c r="R167" s="4"/>
      <c r="S167" s="4"/>
      <c r="T167" s="4"/>
      <c r="U167" s="4"/>
      <c r="V167" s="4"/>
      <c r="W167" s="4"/>
      <c r="X167" s="4"/>
      <c r="Y167" s="4"/>
      <c r="Z167" s="4"/>
      <c r="AA167" s="4"/>
      <c r="AB167" s="4"/>
      <c r="AC167" s="4"/>
      <c r="AD167" s="4"/>
      <c r="AE167" s="4"/>
      <c r="AF167" s="4"/>
      <c r="AG167" s="4"/>
    </row>
    <row r="168" spans="1:33" ht="22.5" customHeight="1" x14ac:dyDescent="0.25">
      <c r="A168" s="2"/>
      <c r="B168" s="2"/>
      <c r="C168" s="2"/>
      <c r="D168" s="2"/>
      <c r="E168" s="2"/>
      <c r="F168" s="4"/>
      <c r="G168" s="4"/>
      <c r="H168" s="4" t="s">
        <v>43</v>
      </c>
      <c r="I168" s="4" t="str">
        <f ca="1">IFERROR(__xludf.DUMMYFUNCTION("GOOGLETRANSLATE(B168,""en"",""ar"")"),"الجمل الموجود في أقصى اليمين يتقدم قليلاً. ما لون سرجه؟")</f>
        <v>الجمل الموجود في أقصى اليمين يتقدم قليلاً. ما لون سرجه؟</v>
      </c>
      <c r="J168" s="4" t="str">
        <f ca="1">IFERROR(__xludf.DUMMYFUNCTION("GOOGLETRANSLATE(C168,""en"",""ar"")"),"أ) أحمر، ب) أزرق، ج) أصفر، د) أسود")</f>
        <v>أ) أحمر، ب) أزرق، ج) أصفر، د) أسود</v>
      </c>
      <c r="K168" s="4" t="str">
        <f ca="1">IFERROR(__xludf.DUMMYFUNCTION("GOOGLETRANSLATE(D168,""en"",""ar"")"),"ج) أصفر")</f>
        <v>ج) أصفر</v>
      </c>
      <c r="L168" s="4" t="str">
        <f ca="1">IFERROR(__xludf.DUMMYFUNCTION("GOOGLETRANSLATE(E168,""en"",""ar"")"),"الجمل القائد مزود بسرج أصفر وما يبدو أنه فارس آلي مغطى باللون الأصفر.")</f>
        <v>الجمل القائد مزود بسرج أصفر وما يبدو أنه فارس آلي مغطى باللون الأصفر.</v>
      </c>
      <c r="M168" s="4"/>
      <c r="N168" s="4"/>
      <c r="O168" s="4"/>
      <c r="P168" s="4"/>
      <c r="Q168" s="4"/>
      <c r="R168" s="4"/>
      <c r="S168" s="4"/>
      <c r="T168" s="4"/>
      <c r="U168" s="4"/>
      <c r="V168" s="4"/>
      <c r="W168" s="4"/>
      <c r="X168" s="4"/>
      <c r="Y168" s="4"/>
      <c r="Z168" s="4"/>
      <c r="AA168" s="4"/>
      <c r="AB168" s="4"/>
      <c r="AC168" s="4"/>
      <c r="AD168" s="4"/>
      <c r="AE168" s="4"/>
      <c r="AF168" s="4"/>
      <c r="AG168" s="4"/>
    </row>
    <row r="169" spans="1:33" ht="22.5" customHeight="1" x14ac:dyDescent="0.25">
      <c r="A169" s="2"/>
      <c r="B169" s="2"/>
      <c r="C169" s="2"/>
      <c r="D169" s="2"/>
      <c r="E169" s="2"/>
      <c r="F169" s="4"/>
      <c r="G169" s="4"/>
      <c r="H169" s="4" t="s">
        <v>43</v>
      </c>
      <c r="I169" s="4" t="str">
        <f ca="1">IFERROR(__xludf.DUMMYFUNCTION("GOOGLETRANSLATE(B169,""en"",""ar"")"),"سطح المسار هو...")</f>
        <v>سطح المسار هو...</v>
      </c>
      <c r="J169" s="4" t="str">
        <f ca="1">IFERROR(__xludf.DUMMYFUNCTION("GOOGLETRANSLATE(C169,""en"",""ar"")"),"أ) عشب أخضر، ب) طين رطب، ج) رمل جاف أو تراب، د) أسفلت معبد")</f>
        <v>أ) عشب أخضر، ب) طين رطب، ج) رمل جاف أو تراب، د) أسفلت معبد</v>
      </c>
      <c r="K169" s="4" t="str">
        <f ca="1">IFERROR(__xludf.DUMMYFUNCTION("GOOGLETRANSLATE(D169,""en"",""ar"")"),"ج) الرمل الجاف أو التراب")</f>
        <v>ج) الرمل الجاف أو التراب</v>
      </c>
      <c r="L169" s="4" t="str">
        <f ca="1">IFERROR(__xludf.DUMMYFUNCTION("GOOGLETRANSLATE(E169,""en"",""ar"")"),"الأرض عبارة عن تربة رملية فاتحة اللون، وهي سمة مميزة لأماكن سباقات الهجن.")</f>
        <v>الأرض عبارة عن تربة رملية فاتحة اللون، وهي سمة مميزة لأماكن سباقات الهجن.</v>
      </c>
      <c r="M169" s="4"/>
      <c r="N169" s="4"/>
      <c r="O169" s="4"/>
      <c r="P169" s="4"/>
      <c r="Q169" s="4"/>
      <c r="R169" s="4"/>
      <c r="S169" s="4"/>
      <c r="T169" s="4"/>
      <c r="U169" s="4"/>
      <c r="V169" s="4"/>
      <c r="W169" s="4"/>
      <c r="X169" s="4"/>
      <c r="Y169" s="4"/>
      <c r="Z169" s="4"/>
      <c r="AA169" s="4"/>
      <c r="AB169" s="4"/>
      <c r="AC169" s="4"/>
      <c r="AD169" s="4"/>
      <c r="AE169" s="4"/>
      <c r="AF169" s="4"/>
      <c r="AG169" s="4"/>
    </row>
    <row r="170" spans="1:33" ht="22.5" customHeight="1" x14ac:dyDescent="0.25">
      <c r="A170" s="2"/>
      <c r="B170" s="2"/>
      <c r="C170" s="2"/>
      <c r="D170" s="2"/>
      <c r="E170" s="2"/>
      <c r="F170" s="4"/>
      <c r="G170" s="4"/>
      <c r="H170" s="4" t="s">
        <v>43</v>
      </c>
      <c r="I170" s="4" t="str">
        <f ca="1">IFERROR(__xludf.DUMMYFUNCTION("GOOGLETRANSLATE(B170,""en"",""ar"")"),"يساهم كل من السماء الدرامية والزاوية المنخفضة في جعل المشهد يبدو...")</f>
        <v>يساهم كل من السماء الدرامية والزاوية المنخفضة في جعل المشهد يبدو...</v>
      </c>
      <c r="J170" s="4" t="str">
        <f ca="1">IFERROR(__xludf.DUMMYFUNCTION("GOOGLETRANSLATE(C170,""en"",""ar"")"),"أ) ممل وثابت، ب) هادئ وسلمي، ج) ملحمي ومليء بالإثارة، د) حزين ووحيد")</f>
        <v>أ) ممل وثابت، ب) هادئ وسلمي، ج) ملحمي ومليء بالإثارة، د) حزين ووحيد</v>
      </c>
      <c r="K170" s="4" t="str">
        <f ca="1">IFERROR(__xludf.DUMMYFUNCTION("GOOGLETRANSLATE(D170,""en"",""ar"")"),"ج) ملحمي ومليء بالإثارة")</f>
        <v>ج) ملحمي ومليء بالإثارة</v>
      </c>
      <c r="L170" s="4" t="str">
        <f ca="1">IFERROR(__xludf.DUMMYFUNCTION("GOOGLETRANSLATE(E170,""en"",""ar"")"),"يخلق التكوين والطقس إحساساً بالدراما العالية والحركة المثيرة.")</f>
        <v>يخلق التكوين والطقس إحساساً بالدراما العالية والحركة المثيرة.</v>
      </c>
      <c r="M170" s="4"/>
      <c r="N170" s="4"/>
      <c r="O170" s="4"/>
      <c r="P170" s="4"/>
      <c r="Q170" s="4"/>
      <c r="R170" s="4"/>
      <c r="S170" s="4"/>
      <c r="T170" s="4"/>
      <c r="U170" s="4"/>
      <c r="V170" s="4"/>
      <c r="W170" s="4"/>
      <c r="X170" s="4"/>
      <c r="Y170" s="4"/>
      <c r="Z170" s="4"/>
      <c r="AA170" s="4"/>
      <c r="AB170" s="4"/>
      <c r="AC170" s="4"/>
      <c r="AD170" s="4"/>
      <c r="AE170" s="4"/>
      <c r="AF170" s="4"/>
      <c r="AG170" s="4"/>
    </row>
    <row r="171" spans="1:33" ht="22.5" customHeight="1" x14ac:dyDescent="0.25">
      <c r="A171" s="2"/>
      <c r="B171" s="2"/>
      <c r="C171" s="2"/>
      <c r="D171" s="2"/>
      <c r="E171" s="2"/>
      <c r="F171" s="4"/>
      <c r="G171" s="4"/>
      <c r="H171" s="4" t="s">
        <v>43</v>
      </c>
      <c r="I171" s="4" t="str">
        <f ca="1">IFERROR(__xludf.DUMMYFUNCTION("GOOGLETRANSLATE(B171,""en"",""ar"")"),"إن طريقة انحناء الجمال إلى الأمام مع مد أعناقها تدل على أنها...")</f>
        <v>إن طريقة انحناء الجمال إلى الأمام مع مد أعناقها تدل على أنها...</v>
      </c>
      <c r="J171" s="4" t="str">
        <f ca="1">IFERROR(__xludf.DUMMYFUNCTION("GOOGLETRANSLATE(C171,""en"",""ar"")"),"أ) محاولة التوقف، ب) التسارع إلى أقصى سرعة، ج) الهرولة ببطء، د) البحث عن الطعام")</f>
        <v>أ) محاولة التوقف، ب) التسارع إلى أقصى سرعة، ج) الهرولة ببطء، د) البحث عن الطعام</v>
      </c>
      <c r="K171" s="4" t="str">
        <f ca="1">IFERROR(__xludf.DUMMYFUNCTION("GOOGLETRANSLATE(D171,""en"",""ar"")"),"ب) التسارع إلى أقصى سرعة")</f>
        <v>ب) التسارع إلى أقصى سرعة</v>
      </c>
      <c r="L171" s="4" t="str">
        <f ca="1">IFERROR(__xludf.DUMMYFUNCTION("GOOGLETRANSLATE(E171,""en"",""ar"")"),"هذه الوضعية مميزة للجمل الذي ينطلق بقوة من البداية ويدفع للأمام للحصول على السرعة.")</f>
        <v>هذه الوضعية مميزة للجمل الذي ينطلق بقوة من البداية ويدفع للأمام للحصول على السرعة.</v>
      </c>
      <c r="M171" s="4"/>
      <c r="N171" s="4"/>
      <c r="O171" s="4"/>
      <c r="P171" s="4"/>
      <c r="Q171" s="4"/>
      <c r="R171" s="4"/>
      <c r="S171" s="4"/>
      <c r="T171" s="4"/>
      <c r="U171" s="4"/>
      <c r="V171" s="4"/>
      <c r="W171" s="4"/>
      <c r="X171" s="4"/>
      <c r="Y171" s="4"/>
      <c r="Z171" s="4"/>
      <c r="AA171" s="4"/>
      <c r="AB171" s="4"/>
      <c r="AC171" s="4"/>
      <c r="AD171" s="4"/>
      <c r="AE171" s="4"/>
      <c r="AF171" s="4"/>
      <c r="AG171" s="4"/>
    </row>
    <row r="172" spans="1:33" ht="22.5" customHeight="1" x14ac:dyDescent="0.25">
      <c r="A172" s="2"/>
      <c r="B172" s="2"/>
      <c r="C172" s="2"/>
      <c r="D172" s="2"/>
      <c r="E172" s="2"/>
      <c r="F172" s="4"/>
      <c r="G172" s="4"/>
      <c r="H172" s="4" t="s">
        <v>44</v>
      </c>
      <c r="I172" s="4" t="str">
        <f ca="1">IFERROR(__xludf.DUMMYFUNCTION("GOOGLETRANSLATE(B172,""en"",""ar"")"),"ما هي أبرز سمة فنية على الجانب الأيمن من الصورة؟")</f>
        <v>ما هي أبرز سمة فنية على الجانب الأيمن من الصورة؟</v>
      </c>
      <c r="J172" s="4" t="str">
        <f ca="1">IFERROR(__xludf.DUMMYFUNCTION("GOOGLETRANSLATE(C172,""en"",""ar"")"),"أ) جدارية مرسومة، ب) انعكاس في نافذة، ج) ظل الجمال على قماش أخضر، د) مجموعة من الجمال الحقيقية واقفة بلا حراك")</f>
        <v>أ) جدارية مرسومة، ب) انعكاس في نافذة، ج) ظل الجمال على قماش أخضر، د) مجموعة من الجمال الحقيقية واقفة بلا حراك</v>
      </c>
      <c r="K172" s="4" t="str">
        <f ca="1">IFERROR(__xludf.DUMMYFUNCTION("GOOGLETRANSLATE(D172,""en"",""ar"")"),"ج) ظل الجمال الملقى على قماش مشمع أخضر")</f>
        <v>ج) ظل الجمال الملقى على قماش مشمع أخضر</v>
      </c>
      <c r="L172" s="4" t="str">
        <f ca="1">IFERROR(__xludf.DUMMYFUNCTION("GOOGLETRANSLATE(E172,""en"",""ar"")"),"تُلقي شمس العصر المتأخرة بظلال داكنة وواضحة لجملين على الحاجز الأخضر الشفاف.")</f>
        <v>تُلقي شمس العصر المتأخرة بظلال داكنة وواضحة لجملين على الحاجز الأخضر الشفاف.</v>
      </c>
      <c r="M172" s="4"/>
      <c r="N172" s="4"/>
      <c r="O172" s="4"/>
      <c r="P172" s="4"/>
      <c r="Q172" s="4"/>
      <c r="R172" s="4"/>
      <c r="S172" s="4"/>
      <c r="T172" s="4"/>
      <c r="U172" s="4"/>
      <c r="V172" s="4"/>
      <c r="W172" s="4"/>
      <c r="X172" s="4"/>
      <c r="Y172" s="4"/>
      <c r="Z172" s="4"/>
      <c r="AA172" s="4"/>
      <c r="AB172" s="4"/>
      <c r="AC172" s="4"/>
      <c r="AD172" s="4"/>
      <c r="AE172" s="4"/>
      <c r="AF172" s="4"/>
      <c r="AG172" s="4"/>
    </row>
    <row r="173" spans="1:33" ht="22.5" customHeight="1" x14ac:dyDescent="0.25">
      <c r="A173" s="2"/>
      <c r="B173" s="2"/>
      <c r="C173" s="2"/>
      <c r="D173" s="2"/>
      <c r="E173" s="2"/>
      <c r="F173" s="4"/>
      <c r="G173" s="4"/>
      <c r="H173" s="4" t="s">
        <v>44</v>
      </c>
      <c r="I173" s="4" t="str">
        <f ca="1">IFERROR(__xludf.DUMMYFUNCTION("GOOGLETRANSLATE(B173,""en"",""ar"")"),"ماذا يدل عليه الظل الطويل الممتد بشأن وقت اليوم؟")</f>
        <v>ماذا يدل عليه الظل الطويل الممتد بشأن وقت اليوم؟</v>
      </c>
      <c r="J173" s="4" t="str">
        <f ca="1">IFERROR(__xludf.DUMMYFUNCTION("GOOGLETRANSLATE(C173,""en"",""ar"")"),"أ) إنه منتصف النهار، ب) إنه وقت متأخر من بعد الظهر أو الصباح الباكر، ج) إنه منتصف الليل، د) إنه فصل الشتاء")</f>
        <v>أ) إنه منتصف النهار، ب) إنه وقت متأخر من بعد الظهر أو الصباح الباكر، ج) إنه منتصف الليل، د) إنه فصل الشتاء</v>
      </c>
      <c r="K173" s="4" t="str">
        <f ca="1">IFERROR(__xludf.DUMMYFUNCTION("GOOGLETRANSLATE(D173,""en"",""ar"")"),"ب) إنه وقت متأخر من بعد الظهر أو الصباح الباكر")</f>
        <v>ب) إنه وقت متأخر من بعد الظهر أو الصباح الباكر</v>
      </c>
      <c r="L173" s="4" t="str">
        <f ca="1">IFERROR(__xludf.DUMMYFUNCTION("GOOGLETRANSLATE(E173,""en"",""ar"")"),"تتشكل الظلال الطويلة عندما تكون الشمس منخفضة في السماء، سواء عند شروقها أو غروبها.")</f>
        <v>تتشكل الظلال الطويلة عندما تكون الشمس منخفضة في السماء، سواء عند شروقها أو غروبها.</v>
      </c>
      <c r="M173" s="4"/>
      <c r="N173" s="4"/>
      <c r="O173" s="4"/>
      <c r="P173" s="4"/>
      <c r="Q173" s="4"/>
      <c r="R173" s="4"/>
      <c r="S173" s="4"/>
      <c r="T173" s="4"/>
      <c r="U173" s="4"/>
      <c r="V173" s="4"/>
      <c r="W173" s="4"/>
      <c r="X173" s="4"/>
      <c r="Y173" s="4"/>
      <c r="Z173" s="4"/>
      <c r="AA173" s="4"/>
      <c r="AB173" s="4"/>
      <c r="AC173" s="4"/>
      <c r="AD173" s="4"/>
      <c r="AE173" s="4"/>
      <c r="AF173" s="4"/>
      <c r="AG173" s="4"/>
    </row>
    <row r="174" spans="1:33" ht="22.5" customHeight="1" x14ac:dyDescent="0.25">
      <c r="A174" s="2"/>
      <c r="B174" s="2"/>
      <c r="C174" s="2"/>
      <c r="D174" s="2"/>
      <c r="E174" s="2"/>
      <c r="F174" s="4"/>
      <c r="G174" s="4"/>
      <c r="H174" s="4" t="s">
        <v>44</v>
      </c>
      <c r="I174" s="4" t="str">
        <f ca="1">IFERROR(__xludf.DUMMYFUNCTION("GOOGLETRANSLATE(B174,""en"",""ar"")"),"ماذا يفعل الناس والجمال على اليسار؟")</f>
        <v>ماذا يفعل الناس والجمال على اليسار؟</v>
      </c>
      <c r="J174" s="4" t="str">
        <f ca="1">IFERROR(__xludf.DUMMYFUNCTION("GOOGLETRANSLATE(C174,""en"",""ar"")"),"أ) هم في منتصف سباق عالي السرعة، ب) هم يشكلون موكبًا أو يسيرون إلى خط البداية، ج) هم يستريحون وينامون، د) يتم بيعهم في مزاد علني")</f>
        <v>أ) هم في منتصف سباق عالي السرعة، ب) هم يشكلون موكبًا أو يسيرون إلى خط البداية، ج) هم يستريحون وينامون، د) يتم بيعهم في مزاد علني</v>
      </c>
      <c r="K174" s="4" t="str">
        <f ca="1">IFERROR(__xludf.DUMMYFUNCTION("GOOGLETRANSLATE(D174,""en"",""ar"")"),"ب) إنهم يشكلون موكباً أو يسيرون إلى نقطة البداية")</f>
        <v>ب) إنهم يشكلون موكباً أو يسيرون إلى نقطة البداية</v>
      </c>
      <c r="L174" s="4" t="str">
        <f ca="1">IFERROR(__xludf.DUMMYFUNCTION("GOOGLETRANSLATE(E174,""en"",""ar"")"),"إنهم يتحركون بخطى منتظمة، بخطى المشي، وليس بأقصى سرعة سباق.")</f>
        <v>إنهم يتحركون بخطى منتظمة، بخطى المشي، وليس بأقصى سرعة سباق.</v>
      </c>
      <c r="M174" s="4"/>
      <c r="N174" s="4"/>
      <c r="O174" s="4"/>
      <c r="P174" s="4"/>
      <c r="Q174" s="4"/>
      <c r="R174" s="4"/>
      <c r="S174" s="4"/>
      <c r="T174" s="4"/>
      <c r="U174" s="4"/>
      <c r="V174" s="4"/>
      <c r="W174" s="4"/>
      <c r="X174" s="4"/>
      <c r="Y174" s="4"/>
      <c r="Z174" s="4"/>
      <c r="AA174" s="4"/>
      <c r="AB174" s="4"/>
      <c r="AC174" s="4"/>
      <c r="AD174" s="4"/>
      <c r="AE174" s="4"/>
      <c r="AF174" s="4"/>
      <c r="AG174" s="4"/>
    </row>
    <row r="175" spans="1:33" ht="22.5" customHeight="1" x14ac:dyDescent="0.25">
      <c r="A175" s="2"/>
      <c r="B175" s="2"/>
      <c r="C175" s="2"/>
      <c r="D175" s="2"/>
      <c r="E175" s="2"/>
      <c r="F175" s="4"/>
      <c r="G175" s="4"/>
      <c r="H175" s="4" t="s">
        <v>44</v>
      </c>
      <c r="I175" s="4" t="str">
        <f ca="1">IFERROR(__xludf.DUMMYFUNCTION("GOOGLETRANSLATE(B175,""en"",""ar"")"),"من المرجح أن يكون الحاجز الأخضر...")</f>
        <v>من المرجح أن يكون الحاجز الأخضر...</v>
      </c>
      <c r="J175" s="4" t="str">
        <f ca="1">IFERROR(__xludf.DUMMYFUNCTION("GOOGLETRANSLATE(C175,""en"",""ar"")"),"أ) جدار خرساني صلب، ب) سياج أو حاجز مؤقت، ج) مبنى كبير، د) سياج نباتي طبيعي")</f>
        <v>أ) جدار خرساني صلب، ب) سياج أو حاجز مؤقت، ج) مبنى كبير، د) سياج نباتي طبيعي</v>
      </c>
      <c r="K175" s="4" t="str">
        <f ca="1">IFERROR(__xludf.DUMMYFUNCTION("GOOGLETRANSLATE(D175,""en"",""ar"")"),"ب) سياج أو حاجز مؤقت")</f>
        <v>ب) سياج أو حاجز مؤقت</v>
      </c>
      <c r="L175" s="4" t="str">
        <f ca="1">IFERROR(__xludf.DUMMYFUNCTION("GOOGLETRANSLATE(E175,""en"",""ar"")"),"يبدو أن المادة عبارة عن قماش أو شبكة مشدودة على إطار بسيط، تعمل كحاجز بصري مؤقت أو سياج.")</f>
        <v>يبدو أن المادة عبارة عن قماش أو شبكة مشدودة على إطار بسيط، تعمل كحاجز بصري مؤقت أو سياج.</v>
      </c>
      <c r="M175" s="4"/>
      <c r="N175" s="4"/>
      <c r="O175" s="4"/>
      <c r="P175" s="4"/>
      <c r="Q175" s="4"/>
      <c r="R175" s="4"/>
      <c r="S175" s="4"/>
      <c r="T175" s="4"/>
      <c r="U175" s="4"/>
      <c r="V175" s="4"/>
      <c r="W175" s="4"/>
      <c r="X175" s="4"/>
      <c r="Y175" s="4"/>
      <c r="Z175" s="4"/>
      <c r="AA175" s="4"/>
      <c r="AB175" s="4"/>
      <c r="AC175" s="4"/>
      <c r="AD175" s="4"/>
      <c r="AE175" s="4"/>
      <c r="AF175" s="4"/>
      <c r="AG175" s="4"/>
    </row>
    <row r="176" spans="1:33" ht="22.5" customHeight="1" x14ac:dyDescent="0.25">
      <c r="A176" s="2"/>
      <c r="B176" s="2"/>
      <c r="C176" s="2"/>
      <c r="D176" s="2"/>
      <c r="E176" s="2"/>
      <c r="F176" s="4"/>
      <c r="G176" s="4"/>
      <c r="H176" s="4" t="s">
        <v>44</v>
      </c>
      <c r="I176" s="4" t="str">
        <f ca="1">IFERROR(__xludf.DUMMYFUNCTION("GOOGLETRANSLATE(B176,""en"",""ar"")"),"كم عدد الجمال في المجموعة التي تسير على اليسار؟")</f>
        <v>كم عدد الجمال في المجموعة التي تسير على اليسار؟</v>
      </c>
      <c r="J176" s="4" t="str">
        <f ca="1">IFERROR(__xludf.DUMMYFUNCTION("GOOGLETRANSLATE(C176,""en"",""ar"")"),"أ) واحد، ب) اثنان، ج) ثلاثة، د) أربعة على الأقل")</f>
        <v>أ) واحد، ب) اثنان، ج) ثلاثة، د) أربعة على الأقل</v>
      </c>
      <c r="K176" s="4" t="str">
        <f ca="1">IFERROR(__xludf.DUMMYFUNCTION("GOOGLETRANSLATE(D176,""en"",""ar"")"),"د) أربعة على الأقل")</f>
        <v>د) أربعة على الأقل</v>
      </c>
      <c r="L176" s="4" t="str">
        <f ca="1">IFERROR(__xludf.DUMMYFUNCTION("GOOGLETRANSLATE(E176,""en"",""ar"")"),"يظهر في الصف ما لا يقل عن أربعة جمال وفرسانها.")</f>
        <v>يظهر في الصف ما لا يقل عن أربعة جمال وفرسانها.</v>
      </c>
      <c r="M176" s="4"/>
      <c r="N176" s="4"/>
      <c r="O176" s="4"/>
      <c r="P176" s="4"/>
      <c r="Q176" s="4"/>
      <c r="R176" s="4"/>
      <c r="S176" s="4"/>
      <c r="T176" s="4"/>
      <c r="U176" s="4"/>
      <c r="V176" s="4"/>
      <c r="W176" s="4"/>
      <c r="X176" s="4"/>
      <c r="Y176" s="4"/>
      <c r="Z176" s="4"/>
      <c r="AA176" s="4"/>
      <c r="AB176" s="4"/>
      <c r="AC176" s="4"/>
      <c r="AD176" s="4"/>
      <c r="AE176" s="4"/>
      <c r="AF176" s="4"/>
      <c r="AG176" s="4"/>
    </row>
    <row r="177" spans="1:33" ht="22.5" customHeight="1" x14ac:dyDescent="0.25">
      <c r="A177" s="2"/>
      <c r="B177" s="2"/>
      <c r="C177" s="2"/>
      <c r="D177" s="2"/>
      <c r="E177" s="2"/>
      <c r="F177" s="4"/>
      <c r="G177" s="4"/>
      <c r="H177" s="4" t="s">
        <v>44</v>
      </c>
      <c r="I177" s="4" t="str">
        <f ca="1">IFERROR(__xludf.DUMMYFUNCTION("GOOGLETRANSLATE(B177,""en"",""ar"")"),"ما هو مستوى الإضاءة العام للمشهد؟")</f>
        <v>ما هو مستوى الإضاءة العام للمشهد؟</v>
      </c>
      <c r="J177" s="4" t="str">
        <f ca="1">IFERROR(__xludf.DUMMYFUNCTION("GOOGLETRANSLATE(C177,""en"",""ar"")"),"أ) مظلم وعاصف، ب) ساطع وقاسٍ، ج) دافئ وذهبي، د) بارد وأزرق")</f>
        <v>أ) مظلم وعاصف، ب) ساطع وقاسٍ، ج) دافئ وذهبي، د) بارد وأزرق</v>
      </c>
      <c r="K177" s="4" t="str">
        <f ca="1">IFERROR(__xludf.DUMMYFUNCTION("GOOGLETRANSLATE(D177,""en"",""ar"")"),"ج) دافئ وذهبي")</f>
        <v>ج) دافئ وذهبي</v>
      </c>
      <c r="L177" s="4" t="str">
        <f ca="1">IFERROR(__xludf.DUMMYFUNCTION("GOOGLETRANSLATE(E177,""en"",""ar"")"),"يتميز الضوء بلون دافئ مميز لـ ""الساعة الذهبية"" التي تسبق غروب الشمس مباشرة.")</f>
        <v>يتميز الضوء بلون دافئ مميز لـ "الساعة الذهبية" التي تسبق غروب الشمس مباشرة.</v>
      </c>
      <c r="M177" s="4"/>
      <c r="N177" s="4"/>
      <c r="O177" s="4"/>
      <c r="P177" s="4"/>
      <c r="Q177" s="4"/>
      <c r="R177" s="4"/>
      <c r="S177" s="4"/>
      <c r="T177" s="4"/>
      <c r="U177" s="4"/>
      <c r="V177" s="4"/>
      <c r="W177" s="4"/>
      <c r="X177" s="4"/>
      <c r="Y177" s="4"/>
      <c r="Z177" s="4"/>
      <c r="AA177" s="4"/>
      <c r="AB177" s="4"/>
      <c r="AC177" s="4"/>
      <c r="AD177" s="4"/>
      <c r="AE177" s="4"/>
      <c r="AF177" s="4"/>
      <c r="AG177" s="4"/>
    </row>
    <row r="178" spans="1:33" ht="22.5" customHeight="1" x14ac:dyDescent="0.25">
      <c r="A178" s="2"/>
      <c r="B178" s="2"/>
      <c r="C178" s="2"/>
      <c r="D178" s="2"/>
      <c r="E178" s="2"/>
      <c r="F178" s="4"/>
      <c r="G178" s="4"/>
      <c r="H178" s="4" t="s">
        <v>44</v>
      </c>
      <c r="I178" s="4" t="str">
        <f ca="1">IFERROR(__xludf.DUMMYFUNCTION("GOOGLETRANSLATE(B178,""en"",""ar"")"),"ما الغرض من الأغطية المزخرفة على الجمال؟")</f>
        <v>ما الغرض من الأغطية المزخرفة على الجمال؟</v>
      </c>
      <c r="J178" s="4" t="str">
        <f ca="1">IFERROR(__xludf.DUMMYFUNCTION("GOOGLETRANSLATE(C178,""en"",""ar"")"),"أ) لإخفاء الجمال، ب) هي للزينة وتمثل إسطبل المالك، ج) هي معاطف مطر، د) هي للبيع")</f>
        <v>أ) لإخفاء الجمال، ب) هي للزينة وتمثل إسطبل المالك، ج) هي معاطف مطر، د) هي للبيع</v>
      </c>
      <c r="K178" s="4" t="str">
        <f ca="1">IFERROR(__xludf.DUMMYFUNCTION("GOOGLETRANSLATE(D178,""en"",""ar"")"),"ب) إنها عناصر زخرفية وتمثل إسطبل المالك")</f>
        <v>ب) إنها عناصر زخرفية وتمثل إسطبل المالك</v>
      </c>
      <c r="L178" s="4" t="str">
        <f ca="1">IFERROR(__xludf.DUMMYFUNCTION("GOOGLETRANSLATE(E178,""en"",""ar"")"),"تُستخدم هذه البطانيات لتمييز الجمال، وغالبًا ما تكون بألوان أو أنماط يختارها المالك.")</f>
        <v>تُستخدم هذه البطانيات لتمييز الجمال، وغالبًا ما تكون بألوان أو أنماط يختارها المالك.</v>
      </c>
      <c r="M178" s="4"/>
      <c r="N178" s="4"/>
      <c r="O178" s="4"/>
      <c r="P178" s="4"/>
      <c r="Q178" s="4"/>
      <c r="R178" s="4"/>
      <c r="S178" s="4"/>
      <c r="T178" s="4"/>
      <c r="U178" s="4"/>
      <c r="V178" s="4"/>
      <c r="W178" s="4"/>
      <c r="X178" s="4"/>
      <c r="Y178" s="4"/>
      <c r="Z178" s="4"/>
      <c r="AA178" s="4"/>
      <c r="AB178" s="4"/>
      <c r="AC178" s="4"/>
      <c r="AD178" s="4"/>
      <c r="AE178" s="4"/>
      <c r="AF178" s="4"/>
      <c r="AG178" s="4"/>
    </row>
    <row r="179" spans="1:33" ht="22.5" customHeight="1" x14ac:dyDescent="0.25">
      <c r="A179" s="2"/>
      <c r="B179" s="2"/>
      <c r="C179" s="2"/>
      <c r="D179" s="2"/>
      <c r="E179" s="2"/>
      <c r="F179" s="4"/>
      <c r="G179" s="4"/>
      <c r="H179" s="4" t="s">
        <v>44</v>
      </c>
      <c r="I179" s="4" t="str">
        <f ca="1">IFERROR(__xludf.DUMMYFUNCTION("GOOGLETRANSLATE(B179,""en"",""ar"")"),"تُحدث الصورة تباينًا قويًا بين...")</f>
        <v>تُحدث الصورة تباينًا قويًا بين...</v>
      </c>
      <c r="J179" s="4" t="str">
        <f ca="1">IFERROR(__xludf.DUMMYFUNCTION("GOOGLETRANSLATE(C179,""en"",""ar"")"),"أ) الجمال الحقيقية وظلالها، ب) النور والظلام، ج) السكون والحركة، د) جميع ما سبق")</f>
        <v>أ) الجمال الحقيقية وظلالها، ب) النور والظلام، ج) السكون والحركة، د) جميع ما سبق</v>
      </c>
      <c r="K179" s="4" t="str">
        <f ca="1">IFERROR(__xludf.DUMMYFUNCTION("GOOGLETRANSLATE(D179,""en"",""ar"")"),"د) جميع ما سبق")</f>
        <v>د) جميع ما سبق</v>
      </c>
      <c r="L179" s="4" t="str">
        <f ca="1">IFERROR(__xludf.DUMMYFUNCTION("GOOGLETRANSLATE(E179,""en"",""ar"")"),"تتلاعب الصورة بالتناقض بين الجمال المادية وظلالها الزائلة، والضوء الساطع والظلال الداكنة، وسرعة المشي مقابل اللحظة المتجمدة.")</f>
        <v>تتلاعب الصورة بالتناقض بين الجمال المادية وظلالها الزائلة، والضوء الساطع والظلال الداكنة، وسرعة المشي مقابل اللحظة المتجمدة.</v>
      </c>
      <c r="M179" s="4"/>
      <c r="N179" s="4"/>
      <c r="O179" s="4"/>
      <c r="P179" s="4"/>
      <c r="Q179" s="4"/>
      <c r="R179" s="4"/>
      <c r="S179" s="4"/>
      <c r="T179" s="4"/>
      <c r="U179" s="4"/>
      <c r="V179" s="4"/>
      <c r="W179" s="4"/>
      <c r="X179" s="4"/>
      <c r="Y179" s="4"/>
      <c r="Z179" s="4"/>
      <c r="AA179" s="4"/>
      <c r="AB179" s="4"/>
      <c r="AC179" s="4"/>
      <c r="AD179" s="4"/>
      <c r="AE179" s="4"/>
      <c r="AF179" s="4"/>
      <c r="AG179" s="4"/>
    </row>
    <row r="180" spans="1:33" ht="22.5" customHeight="1" x14ac:dyDescent="0.25">
      <c r="A180" s="2"/>
      <c r="B180" s="2"/>
      <c r="C180" s="2"/>
      <c r="D180" s="2"/>
      <c r="E180" s="2"/>
      <c r="F180" s="4"/>
      <c r="G180" s="4"/>
      <c r="H180" s="4" t="s">
        <v>44</v>
      </c>
      <c r="I180" s="4" t="str">
        <f ca="1">IFERROR(__xludf.DUMMYFUNCTION("GOOGLETRANSLATE(B180,""en"",""ar"")"),"ماذا يرتدي الفارس في المقدمة على رأسه؟")</f>
        <v>ماذا يرتدي الفارس في المقدمة على رأسه؟</v>
      </c>
      <c r="J180" s="4" t="str">
        <f ca="1">IFERROR(__xludf.DUMMYFUNCTION("GOOGLETRANSLATE(C180,""en"",""ar"")"),"أ) خوذة حديثة، ب) غطاء رأس تقليدي، ج) قبعة بيسبول، د) قبعة شتوية")</f>
        <v>أ) خوذة حديثة، ب) غطاء رأس تقليدي، ج) قبعة بيسبول، د) قبعة شتوية</v>
      </c>
      <c r="K180" s="4" t="str">
        <f ca="1">IFERROR(__xludf.DUMMYFUNCTION("GOOGLETRANSLATE(D180,""en"",""ar"")"),"ب) غطاء رأس تقليدي")</f>
        <v>ب) غطاء رأس تقليدي</v>
      </c>
      <c r="L180" s="4" t="str">
        <f ca="1">IFERROR(__xludf.DUMMYFUNCTION("GOOGLETRANSLATE(E180,""en"",""ar"")"),"وهو يرتدي غطاء رأس بنقوش حمراء وبيضاء، من المحتمل أن يكون غترة.")</f>
        <v>وهو يرتدي غطاء رأس بنقوش حمراء وبيضاء، من المحتمل أن يكون غترة.</v>
      </c>
      <c r="M180" s="4"/>
      <c r="N180" s="4"/>
      <c r="O180" s="4"/>
      <c r="P180" s="4"/>
      <c r="Q180" s="4"/>
      <c r="R180" s="4"/>
      <c r="S180" s="4"/>
      <c r="T180" s="4"/>
      <c r="U180" s="4"/>
      <c r="V180" s="4"/>
      <c r="W180" s="4"/>
      <c r="X180" s="4"/>
      <c r="Y180" s="4"/>
      <c r="Z180" s="4"/>
      <c r="AA180" s="4"/>
      <c r="AB180" s="4"/>
      <c r="AC180" s="4"/>
      <c r="AD180" s="4"/>
      <c r="AE180" s="4"/>
      <c r="AF180" s="4"/>
      <c r="AG180" s="4"/>
    </row>
    <row r="181" spans="1:33" ht="22.5" customHeight="1" x14ac:dyDescent="0.25">
      <c r="A181" s="2"/>
      <c r="B181" s="2"/>
      <c r="C181" s="2"/>
      <c r="D181" s="2"/>
      <c r="E181" s="2"/>
      <c r="F181" s="4"/>
      <c r="G181" s="4"/>
      <c r="H181" s="4" t="s">
        <v>44</v>
      </c>
      <c r="I181" s="4" t="str">
        <f ca="1">IFERROR(__xludf.DUMMYFUNCTION("GOOGLETRANSLATE(B181,""en"",""ar"")"),"تُعد هذه الصورة مثالاً جيداً على كيفية استخدام أي عنصر في التكوين؟")</f>
        <v>تُعد هذه الصورة مثالاً جيداً على كيفية استخدام أي عنصر في التكوين؟</v>
      </c>
      <c r="J181" s="4" t="str">
        <f ca="1">IFERROR(__xludf.DUMMYFUNCTION("GOOGLETRANSLATE(C181,""en"",""ar"")"),"أ) نظرية الألوان، ب) التناظر، ج) الظل والضوء، د) الملمس")</f>
        <v>أ) نظرية الألوان، ب) التناظر، ج) الظل والضوء، د) الملمس</v>
      </c>
      <c r="K181" s="4" t="str">
        <f ca="1">IFERROR(__xludf.DUMMYFUNCTION("GOOGLETRANSLATE(D181,""en"",""ar"")"),"ج) الظل والضوء")</f>
        <v>ج) الظل والضوء</v>
      </c>
      <c r="L181" s="4" t="str">
        <f ca="1">IFERROR(__xludf.DUMMYFUNCTION("GOOGLETRANSLATE(E181,""en"",""ar"")"),"استخدم المصور ببراعة الظلال الطويلة والضوء الدافئ لخلق تكوين فني وجذاب بصرياً.")</f>
        <v>استخدم المصور ببراعة الظلال الطويلة والضوء الدافئ لخلق تكوين فني وجذاب بصرياً.</v>
      </c>
      <c r="M181" s="4"/>
      <c r="N181" s="4"/>
      <c r="O181" s="4"/>
      <c r="P181" s="4"/>
      <c r="Q181" s="4"/>
      <c r="R181" s="4"/>
      <c r="S181" s="4"/>
      <c r="T181" s="4"/>
      <c r="U181" s="4"/>
      <c r="V181" s="4"/>
      <c r="W181" s="4"/>
      <c r="X181" s="4"/>
      <c r="Y181" s="4"/>
      <c r="Z181" s="4"/>
      <c r="AA181" s="4"/>
      <c r="AB181" s="4"/>
      <c r="AC181" s="4"/>
      <c r="AD181" s="4"/>
      <c r="AE181" s="4"/>
      <c r="AF181" s="4"/>
      <c r="AG181" s="4"/>
    </row>
    <row r="182" spans="1:33" ht="22.5" customHeight="1" x14ac:dyDescent="0.25">
      <c r="A182" s="2"/>
      <c r="B182" s="2"/>
      <c r="C182" s="2"/>
      <c r="D182" s="2"/>
      <c r="E182" s="2"/>
      <c r="F182" s="4"/>
      <c r="G182" s="4"/>
      <c r="H182" s="4" t="s">
        <v>45</v>
      </c>
      <c r="I182" s="4" t="str">
        <f ca="1">IFERROR(__xludf.DUMMYFUNCTION("GOOGLETRANSLATE(B182,""en"",""ar"")"),"ماذا يفعل الشخص الموجود في الصورة؟")</f>
        <v>ماذا يفعل الشخص الموجود في الصورة؟</v>
      </c>
      <c r="J182" s="4" t="str">
        <f ca="1">IFERROR(__xludf.DUMMYFUNCTION("GOOGLETRANSLATE(C182,""en"",""ar"")"),"أ) التنافس في سباق عالي السرعة، ب) قيادة مجموعة من الجمال، ج) شراء أو بيع الجمال، د) بناء سياج")</f>
        <v>أ) التنافس في سباق عالي السرعة، ب) قيادة مجموعة من الجمال، ج) شراء أو بيع الجمال، د) بناء سياج</v>
      </c>
      <c r="K182" s="4" t="str">
        <f ca="1">IFERROR(__xludf.DUMMYFUNCTION("GOOGLETRANSLATE(D182,""en"",""ar"")"),"ب) قيادة مجموعة من الجمال")</f>
        <v>ب) قيادة مجموعة من الجمال</v>
      </c>
      <c r="L182" s="4" t="str">
        <f ca="1">IFERROR(__xludf.DUMMYFUNCTION("GOOGLETRANSLATE(E182,""en"",""ar"")"),"إنه يمتطي جملاً واحداً بينما يقود ثلاثة جمل أخرى، على الأرجح كجزء من تمرين تدريبي أو لنقلها من مكان إلى آخر.")</f>
        <v>إنه يمتطي جملاً واحداً بينما يقود ثلاثة جمل أخرى، على الأرجح كجزء من تمرين تدريبي أو لنقلها من مكان إلى آخر.</v>
      </c>
      <c r="M182" s="4"/>
      <c r="N182" s="4"/>
      <c r="O182" s="4"/>
      <c r="P182" s="4"/>
      <c r="Q182" s="4"/>
      <c r="R182" s="4"/>
      <c r="S182" s="4"/>
      <c r="T182" s="4"/>
      <c r="U182" s="4"/>
      <c r="V182" s="4"/>
      <c r="W182" s="4"/>
      <c r="X182" s="4"/>
      <c r="Y182" s="4"/>
      <c r="Z182" s="4"/>
      <c r="AA182" s="4"/>
      <c r="AB182" s="4"/>
      <c r="AC182" s="4"/>
      <c r="AD182" s="4"/>
      <c r="AE182" s="4"/>
      <c r="AF182" s="4"/>
      <c r="AG182" s="4"/>
    </row>
    <row r="183" spans="1:33" ht="22.5" customHeight="1" x14ac:dyDescent="0.25">
      <c r="A183" s="2"/>
      <c r="B183" s="2"/>
      <c r="C183" s="2"/>
      <c r="D183" s="2"/>
      <c r="E183" s="2"/>
      <c r="F183" s="4"/>
      <c r="G183" s="4"/>
      <c r="H183" s="4" t="s">
        <v>45</v>
      </c>
      <c r="I183" s="4" t="str">
        <f ca="1">IFERROR(__xludf.DUMMYFUNCTION("GOOGLETRANSLATE(B183,""en"",""ar"")"),"كم عدد الجمال في هذه المجموعة إجمالاً؟")</f>
        <v>كم عدد الجمال في هذه المجموعة إجمالاً؟</v>
      </c>
      <c r="J183" s="4" t="str">
        <f ca="1">IFERROR(__xludf.DUMMYFUNCTION("GOOGLETRANSLATE(C183,""en"",""ar"")"),"أ) اثنان، ب) ثلاثة، ج) أربعة، د) خمسة")</f>
        <v>أ) اثنان، ب) ثلاثة، ج) أربعة، د) خمسة</v>
      </c>
      <c r="K183" s="4" t="str">
        <f ca="1">IFERROR(__xludf.DUMMYFUNCTION("GOOGLETRANSLATE(D183,""en"",""ar"")"),"ج) أربعة")</f>
        <v>ج) أربعة</v>
      </c>
      <c r="L183" s="4" t="str">
        <f ca="1">IFERROR(__xludf.DUMMYFUNCTION("GOOGLETRANSLATE(E183,""en"",""ar"")"),"هناك جمل واحد يتم ركوبه وثلاثة جمل أخرى يتم قيادتها بجانبه.")</f>
        <v>هناك جمل واحد يتم ركوبه وثلاثة جمل أخرى يتم قيادتها بجانبه.</v>
      </c>
      <c r="M183" s="4"/>
      <c r="N183" s="4"/>
      <c r="O183" s="4"/>
      <c r="P183" s="4"/>
      <c r="Q183" s="4"/>
      <c r="R183" s="4"/>
      <c r="S183" s="4"/>
      <c r="T183" s="4"/>
      <c r="U183" s="4"/>
      <c r="V183" s="4"/>
      <c r="W183" s="4"/>
      <c r="X183" s="4"/>
      <c r="Y183" s="4"/>
      <c r="Z183" s="4"/>
      <c r="AA183" s="4"/>
      <c r="AB183" s="4"/>
      <c r="AC183" s="4"/>
      <c r="AD183" s="4"/>
      <c r="AE183" s="4"/>
      <c r="AF183" s="4"/>
      <c r="AG183" s="4"/>
    </row>
    <row r="184" spans="1:33" ht="22.5" customHeight="1" x14ac:dyDescent="0.25">
      <c r="A184" s="2"/>
      <c r="B184" s="2"/>
      <c r="C184" s="2"/>
      <c r="D184" s="2"/>
      <c r="E184" s="2"/>
      <c r="F184" s="4"/>
      <c r="G184" s="4"/>
      <c r="H184" s="4" t="s">
        <v>45</v>
      </c>
      <c r="I184" s="4" t="str">
        <f ca="1">IFERROR(__xludf.DUMMYFUNCTION("GOOGLETRANSLATE(B184,""en"",""ar"")"),"ما الذي يظهر في خلفية المشهد؟")</f>
        <v>ما الذي يظهر في خلفية المشهد؟</v>
      </c>
      <c r="J184" s="4" t="str">
        <f ca="1">IFERROR(__xludf.DUMMYFUNCTION("GOOGLETRANSLATE(C184,""en"",""ar"")"),"أ) مسطح مائي كبير، ب) جدار حديث وأعمدة كهرباء، ج) غابة كثيفة، د) سلسلة جبال")</f>
        <v>أ) مسطح مائي كبير، ب) جدار حديث وأعمدة كهرباء، ج) غابة كثيفة، د) سلسلة جبال</v>
      </c>
      <c r="K184" s="4" t="str">
        <f ca="1">IFERROR(__xludf.DUMMYFUNCTION("GOOGLETRANSLATE(D184,""en"",""ar"")"),"ب) جدار حديث وأعمدة كهرباء")</f>
        <v>ب) جدار حديث وأعمدة كهرباء</v>
      </c>
      <c r="L184" s="4" t="str">
        <f ca="1">IFERROR(__xludf.DUMMYFUNCTION("GOOGLETRANSLATE(E184,""en"",""ar"")"),"يظهر جدار خرساني مزخرف وخطوط كهرباء ومبانٍ، مما يشير إلى أن هذا المكان قريب من منطقة حضرية.")</f>
        <v>يظهر جدار خرساني مزخرف وخطوط كهرباء ومبانٍ، مما يشير إلى أن هذا المكان قريب من منطقة حضرية.</v>
      </c>
      <c r="M184" s="4"/>
      <c r="N184" s="4"/>
      <c r="O184" s="4"/>
      <c r="P184" s="4"/>
      <c r="Q184" s="4"/>
      <c r="R184" s="4"/>
      <c r="S184" s="4"/>
      <c r="T184" s="4"/>
      <c r="U184" s="4"/>
      <c r="V184" s="4"/>
      <c r="W184" s="4"/>
      <c r="X184" s="4"/>
      <c r="Y184" s="4"/>
      <c r="Z184" s="4"/>
      <c r="AA184" s="4"/>
      <c r="AB184" s="4"/>
      <c r="AC184" s="4"/>
      <c r="AD184" s="4"/>
      <c r="AE184" s="4"/>
      <c r="AF184" s="4"/>
      <c r="AG184" s="4"/>
    </row>
    <row r="185" spans="1:33" ht="22.5" customHeight="1" x14ac:dyDescent="0.25">
      <c r="A185" s="2"/>
      <c r="B185" s="2"/>
      <c r="C185" s="2"/>
      <c r="D185" s="2"/>
      <c r="E185" s="2"/>
      <c r="F185" s="4"/>
      <c r="G185" s="4"/>
      <c r="H185" s="4" t="s">
        <v>45</v>
      </c>
      <c r="I185" s="4" t="str">
        <f ca="1">IFERROR(__xludf.DUMMYFUNCTION("GOOGLETRANSLATE(B185,""en"",""ar"")"),"بماذا تُقاد الجمال؟")</f>
        <v>بماذا تُقاد الجمال؟</v>
      </c>
      <c r="J185" s="4" t="str">
        <f ca="1">IFERROR(__xludf.DUMMYFUNCTION("GOOGLETRANSLATE(C185,""en"",""ar"")"),"أ) حبل واحد يربطهم جميعًا، ب) حبال قيادة فردية متصلة بأطواقهم، ج) لا يتم قيادتهم، بل يتبعون، د) الأوامر الصوتية فقط")</f>
        <v>أ) حبل واحد يربطهم جميعًا، ب) حبال قيادة فردية متصلة بأطواقهم، ج) لا يتم قيادتهم، بل يتبعون، د) الأوامر الصوتية فقط</v>
      </c>
      <c r="K185" s="4" t="str">
        <f ca="1">IFERROR(__xludf.DUMMYFUNCTION("GOOGLETRANSLATE(D185,""en"",""ar"")"),"ب) حبال قيادة فردية متصلة بأطواقها")</f>
        <v>ب) حبال قيادة فردية متصلة بأطواقها</v>
      </c>
      <c r="L185" s="4" t="str">
        <f ca="1">IFERROR(__xludf.DUMMYFUNCTION("GOOGLETRANSLATE(E185,""en"",""ar"")"),"يمسك الفارس بعدة حبال، كل منها متصل بلجام أحد الجمال.")</f>
        <v>يمسك الفارس بعدة حبال، كل منها متصل بلجام أحد الجمال.</v>
      </c>
      <c r="M185" s="4"/>
      <c r="N185" s="4"/>
      <c r="O185" s="4"/>
      <c r="P185" s="4"/>
      <c r="Q185" s="4"/>
      <c r="R185" s="4"/>
      <c r="S185" s="4"/>
      <c r="T185" s="4"/>
      <c r="U185" s="4"/>
      <c r="V185" s="4"/>
      <c r="W185" s="4"/>
      <c r="X185" s="4"/>
      <c r="Y185" s="4"/>
      <c r="Z185" s="4"/>
      <c r="AA185" s="4"/>
      <c r="AB185" s="4"/>
      <c r="AC185" s="4"/>
      <c r="AD185" s="4"/>
      <c r="AE185" s="4"/>
      <c r="AF185" s="4"/>
      <c r="AG185" s="4"/>
    </row>
    <row r="186" spans="1:33" ht="22.5" customHeight="1" x14ac:dyDescent="0.25">
      <c r="A186" s="2"/>
      <c r="B186" s="2"/>
      <c r="C186" s="2"/>
      <c r="D186" s="2"/>
      <c r="E186" s="2"/>
      <c r="F186" s="4"/>
      <c r="G186" s="4"/>
      <c r="H186" s="4" t="s">
        <v>45</v>
      </c>
      <c r="I186" s="4" t="str">
        <f ca="1">IFERROR(__xludf.DUMMYFUNCTION("GOOGLETRANSLATE(B186,""en"",""ar"")"),"ما الغرض من الأغطية الموضوعة على ظهور الجمال؟")</f>
        <v>ما الغرض من الأغطية الموضوعة على ظهور الجمال؟</v>
      </c>
      <c r="J186" s="4" t="str">
        <f ca="1">IFERROR(__xludf.DUMMYFUNCTION("GOOGLETRANSLATE(C186,""en"",""ar"")"),"أ) لاستخدامها كخيام، ب) لحماية ظهورها من السروج الصغيرة، ج) هي معروضة للبيع، د) للاختباء من الحيوانات المفترسة")</f>
        <v>أ) لاستخدامها كخيام، ب) لحماية ظهورها من السروج الصغيرة، ج) هي معروضة للبيع، د) للاختباء من الحيوانات المفترسة</v>
      </c>
      <c r="K186" s="4" t="str">
        <f ca="1">IFERROR(__xludf.DUMMYFUNCTION("GOOGLETRANSLATE(D186,""en"",""ar"")"),"ب) لحماية ظهورهم من السروج الصغيرة")</f>
        <v>ب) لحماية ظهورهم من السروج الصغيرة</v>
      </c>
      <c r="L186" s="4" t="str">
        <f ca="1">IFERROR(__xludf.DUMMYFUNCTION("GOOGLETRANSLATE(E186,""en"",""ar"")"),"هذه عبارة عن وسادات أو بطانيات للسرج توفر التبطين وتمنع سروج السباق الخفيفة من احتكاك جلد الجمل.")</f>
        <v>هذه عبارة عن وسادات أو بطانيات للسرج توفر التبطين وتمنع سروج السباق الخفيفة من احتكاك جلد الجمل.</v>
      </c>
      <c r="M186" s="4"/>
      <c r="N186" s="4"/>
      <c r="O186" s="4"/>
      <c r="P186" s="4"/>
      <c r="Q186" s="4"/>
      <c r="R186" s="4"/>
      <c r="S186" s="4"/>
      <c r="T186" s="4"/>
      <c r="U186" s="4"/>
      <c r="V186" s="4"/>
      <c r="W186" s="4"/>
      <c r="X186" s="4"/>
      <c r="Y186" s="4"/>
      <c r="Z186" s="4"/>
      <c r="AA186" s="4"/>
      <c r="AB186" s="4"/>
      <c r="AC186" s="4"/>
      <c r="AD186" s="4"/>
      <c r="AE186" s="4"/>
      <c r="AF186" s="4"/>
      <c r="AG186" s="4"/>
    </row>
    <row r="187" spans="1:33" ht="22.5" customHeight="1" x14ac:dyDescent="0.25">
      <c r="A187" s="2"/>
      <c r="B187" s="2"/>
      <c r="C187" s="2"/>
      <c r="D187" s="2"/>
      <c r="E187" s="2"/>
      <c r="F187" s="4"/>
      <c r="G187" s="4"/>
      <c r="H187" s="4" t="s">
        <v>45</v>
      </c>
      <c r="I187" s="4" t="str">
        <f ca="1">IFERROR(__xludf.DUMMYFUNCTION("GOOGLETRANSLATE(B187,""en"",""ar"")"),"ماذا يرتدي الفارس على رأسه؟")</f>
        <v>ماذا يرتدي الفارس على رأسه؟</v>
      </c>
      <c r="J187" s="4" t="str">
        <f ca="1">IFERROR(__xludf.DUMMYFUNCTION("GOOGLETRANSLATE(C187,""en"",""ar"")"),"أ) خوذة، ب) قبعة رعاة البقر، ج) غطاء رأس تقليدي بنقوش (غترة/كوفية)، د) قبعة صوفية")</f>
        <v>أ) خوذة، ب) قبعة رعاة البقر، ج) غطاء رأس تقليدي بنقوش (غترة/كوفية)، د) قبعة صوفية</v>
      </c>
      <c r="K187" s="4" t="str">
        <f ca="1">IFERROR(__xludf.DUMMYFUNCTION("GOOGLETRANSLATE(D187,""en"",""ar"")"),"ج) غطاء رأس تقليدي منقوش (الغترة/الكوفية)")</f>
        <v>ج) غطاء رأس تقليدي منقوش (الغترة/الكوفية)</v>
      </c>
      <c r="L187" s="4" t="str">
        <f ca="1">IFERROR(__xludf.DUMMYFUNCTION("GOOGLETRANSLATE(E187,""en"",""ar"")"),"وهو يرتدي غطاء رأس أحمر وأبيض بنقشة مربعات.")</f>
        <v>وهو يرتدي غطاء رأس أحمر وأبيض بنقشة مربعات.</v>
      </c>
      <c r="M187" s="4"/>
      <c r="N187" s="4"/>
      <c r="O187" s="4"/>
      <c r="P187" s="4"/>
      <c r="Q187" s="4"/>
      <c r="R187" s="4"/>
      <c r="S187" s="4"/>
      <c r="T187" s="4"/>
      <c r="U187" s="4"/>
      <c r="V187" s="4"/>
      <c r="W187" s="4"/>
      <c r="X187" s="4"/>
      <c r="Y187" s="4"/>
      <c r="Z187" s="4"/>
      <c r="AA187" s="4"/>
      <c r="AB187" s="4"/>
      <c r="AC187" s="4"/>
      <c r="AD187" s="4"/>
      <c r="AE187" s="4"/>
      <c r="AF187" s="4"/>
      <c r="AG187" s="4"/>
    </row>
    <row r="188" spans="1:33" ht="22.5" customHeight="1" x14ac:dyDescent="0.25">
      <c r="A188" s="2"/>
      <c r="B188" s="2"/>
      <c r="C188" s="2"/>
      <c r="D188" s="2"/>
      <c r="E188" s="2"/>
      <c r="F188" s="4"/>
      <c r="G188" s="4"/>
      <c r="H188" s="4" t="s">
        <v>45</v>
      </c>
      <c r="I188" s="4" t="str">
        <f ca="1">IFERROR(__xludf.DUMMYFUNCTION("GOOGLETRANSLATE(B188,""en"",""ar"")"),"ما هي مشية الجمال؟")</f>
        <v>ما هي مشية الجمال؟</v>
      </c>
      <c r="J188" s="4" t="str">
        <f ca="1">IFERROR(__xludf.DUMMYFUNCTION("GOOGLETRANSLATE(C188,""en"",""ar"")"),"أ) عدو سريع، ب) مشي بخطى ثابتة، ج) هرولة، د) يقفون بلا حراك")</f>
        <v>أ) عدو سريع، ب) مشي بخطى ثابتة، ج) هرولة، د) يقفون بلا حراك</v>
      </c>
      <c r="K188" s="4" t="str">
        <f ca="1">IFERROR(__xludf.DUMMYFUNCTION("GOOGLETRANSLATE(D188,""en"",""ar"")"),"ب) وتيرة مشي ثابتة")</f>
        <v>ب) وتيرة مشي ثابتة</v>
      </c>
      <c r="L188" s="4" t="str">
        <f ca="1">IFERROR(__xludf.DUMMYFUNCTION("GOOGLETRANSLATE(E188,""en"",""ar"")"),"تتحرك الجمال بخطى هادئة ومتأنية، وليس بسرعة سباق.")</f>
        <v>تتحرك الجمال بخطى هادئة ومتأنية، وليس بسرعة سباق.</v>
      </c>
      <c r="M188" s="4"/>
      <c r="N188" s="4"/>
      <c r="O188" s="4"/>
      <c r="P188" s="4"/>
      <c r="Q188" s="4"/>
      <c r="R188" s="4"/>
      <c r="S188" s="4"/>
      <c r="T188" s="4"/>
      <c r="U188" s="4"/>
      <c r="V188" s="4"/>
      <c r="W188" s="4"/>
      <c r="X188" s="4"/>
      <c r="Y188" s="4"/>
      <c r="Z188" s="4"/>
      <c r="AA188" s="4"/>
      <c r="AB188" s="4"/>
      <c r="AC188" s="4"/>
      <c r="AD188" s="4"/>
      <c r="AE188" s="4"/>
      <c r="AF188" s="4"/>
      <c r="AG188" s="4"/>
    </row>
    <row r="189" spans="1:33" ht="22.5" customHeight="1" x14ac:dyDescent="0.25">
      <c r="A189" s="2"/>
      <c r="B189" s="2"/>
      <c r="C189" s="2"/>
      <c r="D189" s="2"/>
      <c r="E189" s="2"/>
      <c r="F189" s="4"/>
      <c r="G189" s="4"/>
      <c r="H189" s="4" t="s">
        <v>45</v>
      </c>
      <c r="I189" s="4" t="str">
        <f ca="1">IFERROR(__xludf.DUMMYFUNCTION("GOOGLETRANSLATE(B189,""en"",""ar"")"),"من المرجح أن هذا المشهد يصور...")</f>
        <v>من المرجح أن هذا المشهد يصور...</v>
      </c>
      <c r="J189" s="4" t="str">
        <f ca="1">IFERROR(__xludf.DUMMYFUNCTION("GOOGLETRANSLATE(C189,""en"",""ar"")"),"أ) نهاية سباق رئيسي، ب) روتين تدريبي أو رياضي يومي، ج) إعادة تمثيل تاريخي، د) رحلة سفاري لمشاهدة الحياة البرية")</f>
        <v>أ) نهاية سباق رئيسي، ب) روتين تدريبي أو رياضي يومي، ج) إعادة تمثيل تاريخي، د) رحلة سفاري لمشاهدة الحياة البرية</v>
      </c>
      <c r="K189" s="4" t="str">
        <f ca="1">IFERROR(__xludf.DUMMYFUNCTION("GOOGLETRANSLATE(D189,""en"",""ar"")"),"ب) روتين تدريبي أو رياضي يومي")</f>
        <v>ب) روتين تدريبي أو رياضي يومي</v>
      </c>
      <c r="L189" s="4" t="str">
        <f ca="1">IFERROR(__xludf.DUMMYFUNCTION("GOOGLETRANSLATE(E189,""en"",""ar"")"),"إن قيادة مجموعة من الجمال بهذه الطريقة هي طريقة شائعة لتمرينها وبناء قدرتها على التحمل من أجل السباق.")</f>
        <v>إن قيادة مجموعة من الجمال بهذه الطريقة هي طريقة شائعة لتمرينها وبناء قدرتها على التحمل من أجل السباق.</v>
      </c>
      <c r="M189" s="4"/>
      <c r="N189" s="4"/>
      <c r="O189" s="4"/>
      <c r="P189" s="4"/>
      <c r="Q189" s="4"/>
      <c r="R189" s="4"/>
      <c r="S189" s="4"/>
      <c r="T189" s="4"/>
      <c r="U189" s="4"/>
      <c r="V189" s="4"/>
      <c r="W189" s="4"/>
      <c r="X189" s="4"/>
      <c r="Y189" s="4"/>
      <c r="Z189" s="4"/>
      <c r="AA189" s="4"/>
      <c r="AB189" s="4"/>
      <c r="AC189" s="4"/>
      <c r="AD189" s="4"/>
      <c r="AE189" s="4"/>
      <c r="AF189" s="4"/>
      <c r="AG189" s="4"/>
    </row>
    <row r="190" spans="1:33" ht="22.5" customHeight="1" x14ac:dyDescent="0.25">
      <c r="A190" s="2"/>
      <c r="B190" s="2"/>
      <c r="C190" s="2"/>
      <c r="D190" s="2"/>
      <c r="E190" s="2"/>
      <c r="F190" s="4"/>
      <c r="G190" s="4"/>
      <c r="H190" s="4" t="s">
        <v>45</v>
      </c>
      <c r="I190" s="4" t="str">
        <f ca="1">IFERROR(__xludf.DUMMYFUNCTION("GOOGLETRANSLATE(B190,""en"",""ar"")"),"ما لون الجمل الذي يركبه الشخص؟")</f>
        <v>ما لون الجمل الذي يركبه الشخص؟</v>
      </c>
      <c r="J190" s="4" t="str">
        <f ca="1">IFERROR(__xludf.DUMMYFUNCTION("GOOGLETRANSLATE(C190,""en"",""ar"")"),"أ) أسود، ب) منقط، ج) لون فاتح باهت، د) نفس لون الألوان الأخرى")</f>
        <v>أ) أسود، ب) منقط، ج) لون فاتح باهت، د) نفس لون الألوان الأخرى</v>
      </c>
      <c r="K190" s="4" t="str">
        <f ca="1">IFERROR(__xludf.DUMMYFUNCTION("GOOGLETRANSLATE(D190,""en"",""ar"")"),"ج) لون فاتح باهت")</f>
        <v>ج) لون فاتح باهت</v>
      </c>
      <c r="L190" s="4" t="str">
        <f ca="1">IFERROR(__xludf.DUMMYFUNCTION("GOOGLETRANSLATE(E190,""en"",""ar"")"),"الجمل الذي يركبه لونه أفتح بكثير من لون الجمال البنية التي يقودها.")</f>
        <v>الجمل الذي يركبه لونه أفتح بكثير من لون الجمال البنية التي يقودها.</v>
      </c>
      <c r="M190" s="4"/>
      <c r="N190" s="4"/>
      <c r="O190" s="4"/>
      <c r="P190" s="4"/>
      <c r="Q190" s="4"/>
      <c r="R190" s="4"/>
      <c r="S190" s="4"/>
      <c r="T190" s="4"/>
      <c r="U190" s="4"/>
      <c r="V190" s="4"/>
      <c r="W190" s="4"/>
      <c r="X190" s="4"/>
      <c r="Y190" s="4"/>
      <c r="Z190" s="4"/>
      <c r="AA190" s="4"/>
      <c r="AB190" s="4"/>
      <c r="AC190" s="4"/>
      <c r="AD190" s="4"/>
      <c r="AE190" s="4"/>
      <c r="AF190" s="4"/>
      <c r="AG190" s="4"/>
    </row>
    <row r="191" spans="1:33" ht="22.5" customHeight="1" x14ac:dyDescent="0.25">
      <c r="A191" s="2"/>
      <c r="B191" s="2"/>
      <c r="C191" s="2"/>
      <c r="D191" s="2"/>
      <c r="E191" s="2"/>
      <c r="F191" s="4"/>
      <c r="G191" s="4"/>
      <c r="H191" s="4" t="s">
        <v>45</v>
      </c>
      <c r="I191" s="4" t="str">
        <f ca="1">IFERROR(__xludf.DUMMYFUNCTION("GOOGLETRANSLATE(B191,""en"",""ar"")"),"تُظهر الصورة تناقضًا بين النشاط التقليدي لتدريب الجمال و...")</f>
        <v>تُظهر الصورة تناقضًا بين النشاط التقليدي لتدريب الجمال و...</v>
      </c>
      <c r="J191" s="4" t="str">
        <f ca="1">IFERROR(__xludf.DUMMYFUNCTION("GOOGLETRANSLATE(C191,""en"",""ar"")"),"أ) بيئة قديمة، ب) منظر طبيعي غير مطور، ج) خلفية حديثة مطورة، د) منظر مدينة مستقبلي")</f>
        <v>أ) بيئة قديمة، ب) منظر طبيعي غير مطور، ج) خلفية حديثة مطورة، د) منظر مدينة مستقبلي</v>
      </c>
      <c r="K191" s="4" t="str">
        <f ca="1">IFERROR(__xludf.DUMMYFUNCTION("GOOGLETRANSLATE(D191,""en"",""ar"")"),"ج) خلفية حديثة ومتطورة")</f>
        <v>ج) خلفية حديثة ومتطورة</v>
      </c>
      <c r="L191" s="4" t="str">
        <f ca="1">IFERROR(__xludf.DUMMYFUNCTION("GOOGLETRANSLATE(E191,""en"",""ar"")"),"المشهد التقليدي في المقدمة يظهر على خلفية من البنية التحتية الحديثة مثل الجدران وخطوط الكهرباء.")</f>
        <v>المشهد التقليدي في المقدمة يظهر على خلفية من البنية التحتية الحديثة مثل الجدران وخطوط الكهرباء.</v>
      </c>
      <c r="M191" s="4"/>
      <c r="N191" s="4"/>
      <c r="O191" s="4"/>
      <c r="P191" s="4"/>
      <c r="Q191" s="4"/>
      <c r="R191" s="4"/>
      <c r="S191" s="4"/>
      <c r="T191" s="4"/>
      <c r="U191" s="4"/>
      <c r="V191" s="4"/>
      <c r="W191" s="4"/>
      <c r="X191" s="4"/>
      <c r="Y191" s="4"/>
      <c r="Z191" s="4"/>
      <c r="AA191" s="4"/>
      <c r="AB191" s="4"/>
      <c r="AC191" s="4"/>
      <c r="AD191" s="4"/>
      <c r="AE191" s="4"/>
      <c r="AF191" s="4"/>
      <c r="AG191" s="4"/>
    </row>
    <row r="192" spans="1:33" ht="22.5" customHeight="1" x14ac:dyDescent="0.25">
      <c r="A192" s="2"/>
      <c r="B192" s="2"/>
      <c r="C192" s="2"/>
      <c r="D192" s="2"/>
      <c r="E192" s="2"/>
      <c r="F192" s="4"/>
      <c r="G192" s="4"/>
      <c r="H192" s="4" t="s">
        <v>46</v>
      </c>
      <c r="I192" s="4" t="str">
        <f ca="1">IFERROR(__xludf.DUMMYFUNCTION("GOOGLETRANSLATE(B192,""en"",""ar"")"),"من أي زاوية تم التقاط هذه الصورة؟")</f>
        <v>من أي زاوية تم التقاط هذه الصورة؟</v>
      </c>
      <c r="J192" s="4" t="str">
        <f ca="1">IFERROR(__xludf.DUMMYFUNCTION("GOOGLETRANSLATE(C192,""en"",""ar"")"),"أ) من أعلى في طائرة هليكوبتر، ب) من مكان قريب جدًا من الحدث، بجانب المضمار، ج) من خط النهاية، د) من وجهة نظر الفارس")</f>
        <v>أ) من أعلى في طائرة هليكوبتر، ب) من مكان قريب جدًا من الحدث، بجانب المضمار، ج) من خط النهاية، د) من وجهة نظر الفارس</v>
      </c>
      <c r="K192" s="4" t="str">
        <f ca="1">IFERROR(__xludf.DUMMYFUNCTION("GOOGLETRANSLATE(D192,""en"",""ar"")"),"ب) من مسافة قريبة جدًا من الحدث، على طول المسار")</f>
        <v>ب) من مسافة قريبة جدًا من الحدث، على طول المسار</v>
      </c>
      <c r="L192" s="4" t="str">
        <f ca="1">IFERROR(__xludf.DUMMYFUNCTION("GOOGLETRANSLATE(E192,""en"",""ar"")"),"الكاميرا موجودة بجوار السور مباشرة، مما يوفر رؤية غامرة وديناميكية للإبل وهي تركض.")</f>
        <v>الكاميرا موجودة بجوار السور مباشرة، مما يوفر رؤية غامرة وديناميكية للإبل وهي تركض.</v>
      </c>
      <c r="M192" s="4"/>
      <c r="N192" s="4"/>
      <c r="O192" s="4"/>
      <c r="P192" s="4"/>
      <c r="Q192" s="4"/>
      <c r="R192" s="4"/>
      <c r="S192" s="4"/>
      <c r="T192" s="4"/>
      <c r="U192" s="4"/>
      <c r="V192" s="4"/>
      <c r="W192" s="4"/>
      <c r="X192" s="4"/>
      <c r="Y192" s="4"/>
      <c r="Z192" s="4"/>
      <c r="AA192" s="4"/>
      <c r="AB192" s="4"/>
      <c r="AC192" s="4"/>
      <c r="AD192" s="4"/>
      <c r="AE192" s="4"/>
      <c r="AF192" s="4"/>
      <c r="AG192" s="4"/>
    </row>
    <row r="193" spans="1:33" ht="22.5" customHeight="1" x14ac:dyDescent="0.25">
      <c r="A193" s="2"/>
      <c r="B193" s="2"/>
      <c r="C193" s="2"/>
      <c r="D193" s="2"/>
      <c r="E193" s="2"/>
      <c r="F193" s="4"/>
      <c r="G193" s="4"/>
      <c r="H193" s="4" t="s">
        <v>46</v>
      </c>
      <c r="I193" s="4" t="str">
        <f ca="1">IFERROR(__xludf.DUMMYFUNCTION("GOOGLETRANSLATE(B193,""en"",""ar"")"),"ماذا كُتب على رقبة الجمل القائد؟")</f>
        <v>ماذا كُتب على رقبة الجمل القائد؟</v>
      </c>
      <c r="J193" s="4" t="str">
        <f ca="1">IFERROR(__xludf.DUMMYFUNCTION("GOOGLETRANSLATE(C193,""en"",""ar"")"),"أ) اسم المالك، ب) شعار الراعي، ج) الرقم ""3""، د) رسالة تمنيات بالتوفيق")</f>
        <v>أ) اسم المالك، ب) شعار الراعي، ج) الرقم "3"، د) رسالة تمنيات بالتوفيق</v>
      </c>
      <c r="K193" s="4" t="str">
        <f ca="1">IFERROR(__xludf.DUMMYFUNCTION("GOOGLETRANSLATE(D193,""en"",""ar"")"),"ج) الرقم ""3""")</f>
        <v>ج) الرقم "3"</v>
      </c>
      <c r="L193" s="4" t="str">
        <f ca="1">IFERROR(__xludf.DUMMYFUNCTION("GOOGLETRANSLATE(E193,""en"",""ar"")"),"يتم طلاء أو صبغ الرقم 3 (ثلاثة بالأرقام العربية) على رقبة الجمل لغرض التعرف عليه.")</f>
        <v>يتم طلاء أو صبغ الرقم 3 (ثلاثة بالأرقام العربية) على رقبة الجمل لغرض التعرف عليه.</v>
      </c>
      <c r="M193" s="4"/>
      <c r="N193" s="4"/>
      <c r="O193" s="4"/>
      <c r="P193" s="4"/>
      <c r="Q193" s="4"/>
      <c r="R193" s="4"/>
      <c r="S193" s="4"/>
      <c r="T193" s="4"/>
      <c r="U193" s="4"/>
      <c r="V193" s="4"/>
      <c r="W193" s="4"/>
      <c r="X193" s="4"/>
      <c r="Y193" s="4"/>
      <c r="Z193" s="4"/>
      <c r="AA193" s="4"/>
      <c r="AB193" s="4"/>
      <c r="AC193" s="4"/>
      <c r="AD193" s="4"/>
      <c r="AE193" s="4"/>
      <c r="AF193" s="4"/>
      <c r="AG193" s="4"/>
    </row>
    <row r="194" spans="1:33" ht="22.5" customHeight="1" x14ac:dyDescent="0.25">
      <c r="A194" s="2"/>
      <c r="B194" s="2"/>
      <c r="C194" s="2"/>
      <c r="D194" s="2"/>
      <c r="E194" s="2"/>
      <c r="F194" s="4"/>
      <c r="G194" s="4"/>
      <c r="H194" s="4" t="s">
        <v>46</v>
      </c>
      <c r="I194" s="4" t="str">
        <f ca="1">IFERROR(__xludf.DUMMYFUNCTION("GOOGLETRANSLATE(B194,""en"",""ar"")"),"ما الغرض من السور الأبيض الموجود في المقدمة؟")</f>
        <v>ما الغرض من السور الأبيض الموجود في المقدمة؟</v>
      </c>
      <c r="J194" s="4" t="str">
        <f ca="1">IFERROR(__xludf.DUMMYFUNCTION("GOOGLETRANSLATE(C194,""en"",""ar"")"),"أ) هو حاجزٌ تقفز فوقه الجمال، ب) هو السور الداخلي الذي يُحدد حدود المضمار، ج) هو عمود ربط الجمال، د) هو جزء من بوابة البداية")</f>
        <v>أ) هو حاجزٌ تقفز فوقه الجمال، ب) هو السور الداخلي الذي يُحدد حدود المضمار، ج) هو عمود ربط الجمال، د) هو جزء من بوابة البداية</v>
      </c>
      <c r="K194" s="4" t="str">
        <f ca="1">IFERROR(__xludf.DUMMYFUNCTION("GOOGLETRANSLATE(D194,""en"",""ar"")"),"ب) إنه السكة الداخلية، التي تحدد حدود المسار")</f>
        <v>ب) إنه السكة الداخلية، التي تحدد حدود المسار</v>
      </c>
      <c r="L194" s="4" t="str">
        <f ca="1">IFERROR(__xludf.DUMMYFUNCTION("GOOGLETRANSLATE(E194,""en"",""ar"")"),"يحدد هذا الحاجز مسار السباق ويمنع الحيوانات من عبور الملعب الداخلي.")</f>
        <v>يحدد هذا الحاجز مسار السباق ويمنع الحيوانات من عبور الملعب الداخلي.</v>
      </c>
      <c r="M194" s="4"/>
      <c r="N194" s="4"/>
      <c r="O194" s="4"/>
      <c r="P194" s="4"/>
      <c r="Q194" s="4"/>
      <c r="R194" s="4"/>
      <c r="S194" s="4"/>
      <c r="T194" s="4"/>
      <c r="U194" s="4"/>
      <c r="V194" s="4"/>
      <c r="W194" s="4"/>
      <c r="X194" s="4"/>
      <c r="Y194" s="4"/>
      <c r="Z194" s="4"/>
      <c r="AA194" s="4"/>
      <c r="AB194" s="4"/>
      <c r="AC194" s="4"/>
      <c r="AD194" s="4"/>
      <c r="AE194" s="4"/>
      <c r="AF194" s="4"/>
      <c r="AG194" s="4"/>
    </row>
    <row r="195" spans="1:33" ht="22.5" customHeight="1" x14ac:dyDescent="0.25">
      <c r="A195" s="2"/>
      <c r="B195" s="2"/>
      <c r="C195" s="2"/>
      <c r="D195" s="2"/>
      <c r="E195" s="2"/>
      <c r="F195" s="4"/>
      <c r="G195" s="4"/>
      <c r="H195" s="4" t="s">
        <v>46</v>
      </c>
      <c r="I195" s="4" t="str">
        <f ca="1">IFERROR(__xludf.DUMMYFUNCTION("GOOGLETRANSLATE(B195,""en"",""ar"")"),"ما نوع السروج التي ترتديها الجمال؟")</f>
        <v>ما نوع السروج التي ترتديها الجمال؟</v>
      </c>
      <c r="J195" s="4" t="str">
        <f ca="1">IFERROR(__xludf.DUMMYFUNCTION("GOOGLETRANSLATE(C195,""en"",""ar"")"),"أ) سروج كبيرة وثقيلة للراحة، ب) سروج سباق خفيفة الوزن وبسيطة، ج) سروج روديو على الطراز الغربي، د) بدون سروج")</f>
        <v>أ) سروج كبيرة وثقيلة للراحة، ب) سروج سباق خفيفة الوزن وبسيطة، ج) سروج روديو على الطراز الغربي، د) بدون سروج</v>
      </c>
      <c r="K195" s="4" t="str">
        <f ca="1">IFERROR(__xludf.DUMMYFUNCTION("GOOGLETRANSLATE(D195,""en"",""ar"")"),"ب) سروج سباق خفيفة الوزن وبسيطة")</f>
        <v>ب) سروج سباق خفيفة الوزن وبسيطة</v>
      </c>
      <c r="L195" s="4" t="str">
        <f ca="1">IFERROR(__xludf.DUMMYFUNCTION("GOOGLETRANSLATE(E195,""en"",""ar"")"),"السروج صغيرة جدًا وخفيفة لتقليل الوزن الذي يتعين على الجمل حمله.")</f>
        <v>السروج صغيرة جدًا وخفيفة لتقليل الوزن الذي يتعين على الجمل حمله.</v>
      </c>
      <c r="M195" s="4"/>
      <c r="N195" s="4"/>
      <c r="O195" s="4"/>
      <c r="P195" s="4"/>
      <c r="Q195" s="4"/>
      <c r="R195" s="4"/>
      <c r="S195" s="4"/>
      <c r="T195" s="4"/>
      <c r="U195" s="4"/>
      <c r="V195" s="4"/>
      <c r="W195" s="4"/>
      <c r="X195" s="4"/>
      <c r="Y195" s="4"/>
      <c r="Z195" s="4"/>
      <c r="AA195" s="4"/>
      <c r="AB195" s="4"/>
      <c r="AC195" s="4"/>
      <c r="AD195" s="4"/>
      <c r="AE195" s="4"/>
      <c r="AF195" s="4"/>
      <c r="AG195" s="4"/>
    </row>
    <row r="196" spans="1:33" ht="22.5" customHeight="1" x14ac:dyDescent="0.25">
      <c r="A196" s="2"/>
      <c r="B196" s="2"/>
      <c r="C196" s="2"/>
      <c r="D196" s="2"/>
      <c r="E196" s="2"/>
      <c r="F196" s="4"/>
      <c r="G196" s="4"/>
      <c r="H196" s="4" t="s">
        <v>46</v>
      </c>
      <c r="I196" s="4" t="str">
        <f ca="1">IFERROR(__xludf.DUMMYFUNCTION("GOOGLETRANSLATE(B196,""en"",""ar"")"),"تجري الجمال بخطى محددة حيث تتحرك كلتا ساقيها على نفس الجانب معًا. وهذا ما يسمى...")</f>
        <v>تجري الجمال بخطى محددة حيث تتحرك كلتا ساقيها على نفس الجانب معًا. وهذا ما يسمى...</v>
      </c>
      <c r="J196" s="4" t="str">
        <f ca="1">IFERROR(__xludf.DUMMYFUNCTION("GOOGLETRANSLATE(C196,""en"",""ar"")"),"أ) هرولة، ب) عدو سريع، ج) خطوة، د) وثبة")</f>
        <v>أ) هرولة، ب) عدو سريع، ج) خطوة، د) وثبة</v>
      </c>
      <c r="K196" s="4" t="str">
        <f ca="1">IFERROR(__xludf.DUMMYFUNCTION("GOOGLETRANSLATE(D196,""en"",""ar"")"),"ج) خطوة")</f>
        <v>ج) خطوة</v>
      </c>
      <c r="L196" s="4" t="str">
        <f ca="1">IFERROR(__xludf.DUMMYFUNCTION("GOOGLETRANSLATE(E196,""en"",""ar"")"),"إن الحركة المتزامنة للأرجل من نفس الجانب هي مشية متناسقة، مما يمنح الجمال حركتها المتأرجحة المميزة عند الجري.")</f>
        <v>إن الحركة المتزامنة للأرجل من نفس الجانب هي مشية متناسقة، مما يمنح الجمال حركتها المتأرجحة المميزة عند الجري.</v>
      </c>
      <c r="M196" s="4"/>
      <c r="N196" s="4"/>
      <c r="O196" s="4"/>
      <c r="P196" s="4"/>
      <c r="Q196" s="4"/>
      <c r="R196" s="4"/>
      <c r="S196" s="4"/>
      <c r="T196" s="4"/>
      <c r="U196" s="4"/>
      <c r="V196" s="4"/>
      <c r="W196" s="4"/>
      <c r="X196" s="4"/>
      <c r="Y196" s="4"/>
      <c r="Z196" s="4"/>
      <c r="AA196" s="4"/>
      <c r="AB196" s="4"/>
      <c r="AC196" s="4"/>
      <c r="AD196" s="4"/>
      <c r="AE196" s="4"/>
      <c r="AF196" s="4"/>
      <c r="AG196" s="4"/>
    </row>
    <row r="197" spans="1:33" ht="22.5" customHeight="1" x14ac:dyDescent="0.25">
      <c r="A197" s="2"/>
      <c r="B197" s="2"/>
      <c r="C197" s="2"/>
      <c r="D197" s="2"/>
      <c r="E197" s="2"/>
      <c r="F197" s="4"/>
      <c r="G197" s="4"/>
      <c r="H197" s="4" t="s">
        <v>46</v>
      </c>
      <c r="I197" s="4" t="str">
        <f ca="1">IFERROR(__xludf.DUMMYFUNCTION("GOOGLETRANSLATE(B197,""en"",""ar"")"),"من يركب الجمال؟")</f>
        <v>من يركب الجمال؟</v>
      </c>
      <c r="J197" s="4" t="str">
        <f ca="1">IFERROR(__xludf.DUMMYFUNCTION("GOOGLETRANSLATE(C197,""en"",""ar"")"),"أ) فرسان بالغون ذكور، ب) الجمال بلا فرسان، ج) فرسان أطفال، د) من غير الواضح، ولكن من المرجح أن يكون هناك فرسان آليون تحت الأقمشة الحريرية")</f>
        <v>أ) فرسان بالغون ذكور، ب) الجمال بلا فرسان، ج) فرسان أطفال، د) من غير الواضح، ولكن من المرجح أن يكون هناك فرسان آليون تحت الأقمشة الحريرية</v>
      </c>
      <c r="K197" s="4" t="str">
        <f ca="1">IFERROR(__xludf.DUMMYFUNCTION("GOOGLETRANSLATE(D197,""en"",""ar"")"),"د) الأمر غير واضح، ولكن من المرجح أن يكون هناك فرسان آليون تحت الأقمشة الحريرية")</f>
        <v>د) الأمر غير واضح، ولكن من المرجح أن يكون هناك فرسان آليون تحت الأقمشة الحريرية</v>
      </c>
      <c r="L197" s="4" t="str">
        <f ca="1">IFERROR(__xludf.DUMMYFUNCTION("GOOGLETRANSLATE(E197,""en"",""ar"")"),"على الرغم من عدم وضوحها تماماً، إلا أن الأشكال الصغيرة والثابتة الموجودة أسفل أغطية السرج تتوافق مع فرسان الروبوتات الحديثة.")</f>
        <v>على الرغم من عدم وضوحها تماماً، إلا أن الأشكال الصغيرة والثابتة الموجودة أسفل أغطية السرج تتوافق مع فرسان الروبوتات الحديثة.</v>
      </c>
      <c r="M197" s="4"/>
      <c r="N197" s="4"/>
      <c r="O197" s="4"/>
      <c r="P197" s="4"/>
      <c r="Q197" s="4"/>
      <c r="R197" s="4"/>
      <c r="S197" s="4"/>
      <c r="T197" s="4"/>
      <c r="U197" s="4"/>
      <c r="V197" s="4"/>
      <c r="W197" s="4"/>
      <c r="X197" s="4"/>
      <c r="Y197" s="4"/>
      <c r="Z197" s="4"/>
      <c r="AA197" s="4"/>
      <c r="AB197" s="4"/>
      <c r="AC197" s="4"/>
      <c r="AD197" s="4"/>
      <c r="AE197" s="4"/>
      <c r="AF197" s="4"/>
      <c r="AG197" s="4"/>
    </row>
    <row r="198" spans="1:33" ht="22.5" customHeight="1" x14ac:dyDescent="0.25">
      <c r="A198" s="2"/>
      <c r="B198" s="2"/>
      <c r="C198" s="2"/>
      <c r="D198" s="2"/>
      <c r="E198" s="2"/>
      <c r="F198" s="4"/>
      <c r="G198" s="4"/>
      <c r="H198" s="4" t="s">
        <v>46</v>
      </c>
      <c r="I198" s="4" t="str">
        <f ca="1">IFERROR(__xludf.DUMMYFUNCTION("GOOGLETRANSLATE(B198,""en"",""ar"")"),"ما هي التكاليف الإضافية للهيكل؟")</f>
        <v>ما هي التكاليف الإضافية للهيكل؟</v>
      </c>
      <c r="J198" s="4" t="str">
        <f ca="1">IFERROR(__xludf.DUMMYFUNCTION("GOOGLETRANSLATE(C198,""en"",""ar"")"),"أ) جسر علوي للطريق السريع، ب) هيكل خط النهاية، ج) مظلة أو هيكل ظليل، د) سقف المدرج الرئيسي")</f>
        <v>أ) جسر علوي للطريق السريع، ب) هيكل خط النهاية، ج) مظلة أو هيكل ظليل، د) سقف المدرج الرئيسي</v>
      </c>
      <c r="K198" s="4" t="str">
        <f ca="1">IFERROR(__xludf.DUMMYFUNCTION("GOOGLETRANSLATE(D198,""en"",""ar"")"),"ج) مظلة أو هيكل مظلل")</f>
        <v>ج) مظلة أو هيكل مظلل</v>
      </c>
      <c r="L198" s="4" t="str">
        <f ca="1">IFERROR(__xludf.DUMMYFUNCTION("GOOGLETRANSLATE(E198,""en"",""ar"")"),"يبدو أنه إطار لمظلة قماشية، ربما لتوفير الظل أو لحمل الكاميرات على طول المسار.")</f>
        <v>يبدو أنه إطار لمظلة قماشية، ربما لتوفير الظل أو لحمل الكاميرات على طول المسار.</v>
      </c>
      <c r="M198" s="4"/>
      <c r="N198" s="4"/>
      <c r="O198" s="4"/>
      <c r="P198" s="4"/>
      <c r="Q198" s="4"/>
      <c r="R198" s="4"/>
      <c r="S198" s="4"/>
      <c r="T198" s="4"/>
      <c r="U198" s="4"/>
      <c r="V198" s="4"/>
      <c r="W198" s="4"/>
      <c r="X198" s="4"/>
      <c r="Y198" s="4"/>
      <c r="Z198" s="4"/>
      <c r="AA198" s="4"/>
      <c r="AB198" s="4"/>
      <c r="AC198" s="4"/>
      <c r="AD198" s="4"/>
      <c r="AE198" s="4"/>
      <c r="AF198" s="4"/>
      <c r="AG198" s="4"/>
    </row>
    <row r="199" spans="1:33" ht="22.5" customHeight="1" x14ac:dyDescent="0.25">
      <c r="A199" s="2"/>
      <c r="B199" s="2"/>
      <c r="C199" s="2"/>
      <c r="D199" s="2"/>
      <c r="E199" s="2"/>
      <c r="F199" s="4"/>
      <c r="G199" s="4"/>
      <c r="H199" s="4" t="s">
        <v>46</v>
      </c>
      <c r="I199" s="4" t="str">
        <f ca="1">IFERROR(__xludf.DUMMYFUNCTION("GOOGLETRANSLATE(B199,""en"",""ar"")"),"يُعدّ عنق الجمل الطويل تكيفاً يساعده على...")</f>
        <v>يُعدّ عنق الجمل الطويل تكيفاً يساعده على...</v>
      </c>
      <c r="J199" s="4" t="str">
        <f ca="1">IFERROR(__xludf.DUMMYFUNCTION("GOOGLETRANSLATE(C199,""en"",""ar"")"),"أ) الوصول إلى الأغصان العالية للحصول على الطعام، ب) العمل كثقل موازن لتحقيق الاستقرار أثناء الجري، ج) كل من أ و ب، د) لا أ ولا ب")</f>
        <v>أ) الوصول إلى الأغصان العالية للحصول على الطعام، ب) العمل كثقل موازن لتحقيق الاستقرار أثناء الجري، ج) كل من أ و ب، د) لا أ ولا ب</v>
      </c>
      <c r="K199" s="4" t="str">
        <f ca="1">IFERROR(__xludf.DUMMYFUNCTION("GOOGLETRANSLATE(D199,""en"",""ar"")"),"ج) كل من أ و ب")</f>
        <v>ج) كل من أ و ب</v>
      </c>
      <c r="L199" s="4" t="str">
        <f ca="1">IFERROR(__xludf.DUMMYFUNCTION("GOOGLETRANSLATE(E199,""en"",""ar"")"),"بينما تطورت هذه الخاصية لمساعدتهم في البحث عن الطعام، فإن الرقبة الطويلة تلعب أيضاً دوراً حاسماً في الحفاظ على التوازن عند السرعات العالية.")</f>
        <v>بينما تطورت هذه الخاصية لمساعدتهم في البحث عن الطعام، فإن الرقبة الطويلة تلعب أيضاً دوراً حاسماً في الحفاظ على التوازن عند السرعات العالية.</v>
      </c>
      <c r="M199" s="4"/>
      <c r="N199" s="4"/>
      <c r="O199" s="4"/>
      <c r="P199" s="4"/>
      <c r="Q199" s="4"/>
      <c r="R199" s="4"/>
      <c r="S199" s="4"/>
      <c r="T199" s="4"/>
      <c r="U199" s="4"/>
      <c r="V199" s="4"/>
      <c r="W199" s="4"/>
      <c r="X199" s="4"/>
      <c r="Y199" s="4"/>
      <c r="Z199" s="4"/>
      <c r="AA199" s="4"/>
      <c r="AB199" s="4"/>
      <c r="AC199" s="4"/>
      <c r="AD199" s="4"/>
      <c r="AE199" s="4"/>
      <c r="AF199" s="4"/>
      <c r="AG199" s="4"/>
    </row>
    <row r="200" spans="1:33" ht="22.5" customHeight="1" x14ac:dyDescent="0.25">
      <c r="A200" s="2"/>
      <c r="B200" s="2"/>
      <c r="C200" s="2"/>
      <c r="D200" s="2"/>
      <c r="E200" s="2"/>
      <c r="F200" s="4"/>
      <c r="G200" s="4"/>
      <c r="H200" s="4" t="s">
        <v>46</v>
      </c>
      <c r="I200" s="4" t="str">
        <f ca="1">IFERROR(__xludf.DUMMYFUNCTION("GOOGLETRANSLATE(B200,""en"",""ar"")"),"الشخص الذي تظهر ذراعه في المقدمة من المرجح أن يكون...")</f>
        <v>الشخص الذي تظهر ذراعه في المقدمة من المرجح أن يكون...</v>
      </c>
      <c r="J200" s="4" t="str">
        <f ca="1">IFERROR(__xludf.DUMMYFUNCTION("GOOGLETRANSLATE(C200,""en"",""ar"")"),"أ) فارس سقط عن حصانه، ب) متفرج أو مدرب يقف بالقرب من المضمار، ج) متسابق في سباق جري، د) سراب")</f>
        <v>أ) فارس سقط عن حصانه، ب) متفرج أو مدرب يقف بالقرب من المضمار، ج) متسابق في سباق جري، د) سراب</v>
      </c>
      <c r="K200" s="4" t="str">
        <f ca="1">IFERROR(__xludf.DUMMYFUNCTION("GOOGLETRANSLATE(D200,""en"",""ar"")"),"ب) متفرج أو مدرب يقف على مقربة شديدة من المضمار")</f>
        <v>ب) متفرج أو مدرب يقف على مقربة شديدة من المضمار</v>
      </c>
      <c r="L200" s="4" t="str">
        <f ca="1">IFERROR(__xludf.DUMMYFUNCTION("GOOGLETRANSLATE(E200,""en"",""ar"")"),"اليد التي تمسك بالدرابزين تعود لشخص يشاهد السباق من حافة المضمار.")</f>
        <v>اليد التي تمسك بالدرابزين تعود لشخص يشاهد السباق من حافة المضمار.</v>
      </c>
      <c r="M200" s="4"/>
      <c r="N200" s="4"/>
      <c r="O200" s="4"/>
      <c r="P200" s="4"/>
      <c r="Q200" s="4"/>
      <c r="R200" s="4"/>
      <c r="S200" s="4"/>
      <c r="T200" s="4"/>
      <c r="U200" s="4"/>
      <c r="V200" s="4"/>
      <c r="W200" s="4"/>
      <c r="X200" s="4"/>
      <c r="Y200" s="4"/>
      <c r="Z200" s="4"/>
      <c r="AA200" s="4"/>
      <c r="AB200" s="4"/>
      <c r="AC200" s="4"/>
      <c r="AD200" s="4"/>
      <c r="AE200" s="4"/>
      <c r="AF200" s="4"/>
      <c r="AG200" s="4"/>
    </row>
    <row r="201" spans="1:33" ht="22.5" customHeight="1" x14ac:dyDescent="0.25">
      <c r="A201" s="2"/>
      <c r="B201" s="2"/>
      <c r="C201" s="2"/>
      <c r="D201" s="2"/>
      <c r="E201" s="2"/>
      <c r="F201" s="4"/>
      <c r="G201" s="4"/>
      <c r="H201" s="4" t="s">
        <v>46</v>
      </c>
      <c r="I201" s="4" t="str">
        <f ca="1">IFERROR(__xludf.DUMMYFUNCTION("GOOGLETRANSLATE(B201,""en"",""ar"")"),"تمنح الطاقة الفوضوية والمنظور القريب المشاهد إحساسًا بـ...")</f>
        <v>تمنح الطاقة الفوضوية والمنظور القريب المشاهد إحساسًا بـ...</v>
      </c>
      <c r="J201" s="4" t="str">
        <f ca="1">IFERROR(__xludf.DUMMYFUNCTION("GOOGLETRANSLATE(C201,""en"",""ar"")"),"أ) الطبيعة البطيئة والمهيبة للإبل، ب) خطورة وإثارة السباق، ج) عزلة الصحراء الهادئة، د) القواعد الرسمية للمسابقة")</f>
        <v>أ) الطبيعة البطيئة والمهيبة للإبل، ب) خطورة وإثارة السباق، ج) عزلة الصحراء الهادئة، د) القواعد الرسمية للمسابقة</v>
      </c>
      <c r="K201" s="4" t="str">
        <f ca="1">IFERROR(__xludf.DUMMYFUNCTION("GOOGLETRANSLATE(D201,""en"",""ar"")"),"ب) خطورة وإثارة السباق")</f>
        <v>ب) خطورة وإثارة السباق</v>
      </c>
      <c r="L201" s="4" t="str">
        <f ca="1">IFERROR(__xludf.DUMMYFUNCTION("GOOGLETRANSLATE(E201,""en"",""ar"")"),"إن التواجد على هذا القرب من الحيوانات الهادرة يوفر منظورًا غامرًا ومثيرًا.")</f>
        <v>إن التواجد على هذا القرب من الحيوانات الهادرة يوفر منظورًا غامرًا ومثيرًا.</v>
      </c>
      <c r="M201" s="4"/>
      <c r="N201" s="4"/>
      <c r="O201" s="4"/>
      <c r="P201" s="4"/>
      <c r="Q201" s="4"/>
      <c r="R201" s="4"/>
      <c r="S201" s="4"/>
      <c r="T201" s="4"/>
      <c r="U201" s="4"/>
      <c r="V201" s="4"/>
      <c r="W201" s="4"/>
      <c r="X201" s="4"/>
      <c r="Y201" s="4"/>
      <c r="Z201" s="4"/>
      <c r="AA201" s="4"/>
      <c r="AB201" s="4"/>
      <c r="AC201" s="4"/>
      <c r="AD201" s="4"/>
      <c r="AE201" s="4"/>
      <c r="AF201" s="4"/>
      <c r="AG201" s="4"/>
    </row>
    <row r="202" spans="1:33" ht="22.5" customHeight="1" x14ac:dyDescent="0.25">
      <c r="A202" s="2"/>
      <c r="B202" s="2"/>
      <c r="C202" s="2"/>
      <c r="D202" s="2"/>
      <c r="E202" s="2"/>
      <c r="F202" s="4"/>
      <c r="G202" s="4"/>
      <c r="H202" s="4" t="s">
        <v>47</v>
      </c>
      <c r="I202" s="4" t="str">
        <f ca="1">IFERROR(__xludf.DUMMYFUNCTION("GOOGLETRANSLATE(B202,""en"",""ar"")"),"الشعار الموجود على ظهر سترة الشخص مكتوب عليه ""Lone Star Park""، وهو مضمار سباق شهير يقع في أي بلد؟")</f>
        <v>الشعار الموجود على ظهر سترة الشخص مكتوب عليه "Lone Star Park"، وهو مضمار سباق شهير يقع في أي بلد؟</v>
      </c>
      <c r="J202" s="4" t="str">
        <f ca="1">IFERROR(__xludf.DUMMYFUNCTION("GOOGLETRANSLATE(C202,""en"",""ar"")"),"أ) الإمارات العربية المتحدة، ب) مصر، ج) أستراليا، د) الولايات المتحدة")</f>
        <v>أ) الإمارات العربية المتحدة، ب) مصر، ج) أستراليا، د) الولايات المتحدة</v>
      </c>
      <c r="K202" s="4" t="str">
        <f ca="1">IFERROR(__xludf.DUMMYFUNCTION("GOOGLETRANSLATE(D202,""en"",""ar"")"),"د) الولايات المتحدة")</f>
        <v>د) الولايات المتحدة</v>
      </c>
      <c r="L202" s="4" t="str">
        <f ca="1">IFERROR(__xludf.DUMMYFUNCTION("GOOGLETRANSLATE(E202,""en"",""ar"")"),"يُعد منتزه لون ستار مضمارًا معروفًا لسباق الخيل في جراند بريري، تكساس، الولايات المتحدة الأمريكية، والذي يستضيف أحيانًا سباقات جديدة للإبل والنعام.")</f>
        <v>يُعد منتزه لون ستار مضمارًا معروفًا لسباق الخيل في جراند بريري، تكساس، الولايات المتحدة الأمريكية، والذي يستضيف أحيانًا سباقات جديدة للإبل والنعام.</v>
      </c>
      <c r="M202" s="4"/>
      <c r="N202" s="4"/>
      <c r="O202" s="4"/>
      <c r="P202" s="4"/>
      <c r="Q202" s="4"/>
      <c r="R202" s="4"/>
      <c r="S202" s="4"/>
      <c r="T202" s="4"/>
      <c r="U202" s="4"/>
      <c r="V202" s="4"/>
      <c r="W202" s="4"/>
      <c r="X202" s="4"/>
      <c r="Y202" s="4"/>
      <c r="Z202" s="4"/>
      <c r="AA202" s="4"/>
      <c r="AB202" s="4"/>
      <c r="AC202" s="4"/>
      <c r="AD202" s="4"/>
      <c r="AE202" s="4"/>
      <c r="AF202" s="4"/>
      <c r="AG202" s="4"/>
    </row>
    <row r="203" spans="1:33" ht="22.5" customHeight="1" x14ac:dyDescent="0.25">
      <c r="A203" s="2"/>
      <c r="B203" s="2"/>
      <c r="C203" s="2"/>
      <c r="D203" s="2"/>
      <c r="E203" s="2"/>
      <c r="F203" s="4"/>
      <c r="G203" s="4"/>
      <c r="H203" s="4" t="s">
        <v>47</v>
      </c>
      <c r="I203" s="4" t="str">
        <f ca="1">IFERROR(__xludf.DUMMYFUNCTION("GOOGLETRANSLATE(B203,""en"",""ar"")"),"بناءً على الموقع (مضمار سباق الخيل)، ما نوع الحدث الذي يُرجح أن يكون سباق الجمال هذا؟")</f>
        <v>بناءً على الموقع (مضمار سباق الخيل)، ما نوع الحدث الذي يُرجح أن يكون سباق الجمال هذا؟</v>
      </c>
      <c r="J203" s="4" t="str">
        <f ca="1">IFERROR(__xludf.DUMMYFUNCTION("GOOGLETRANSLATE(C203,""en"",""ar"")"),"أ) تجربة أولمبية، ب) مهرجان ديني تقليدي، ج) حدث ترفيهي أو مبتكر، د) بطولة ذات رهانات عالية")</f>
        <v>أ) تجربة أولمبية، ب) مهرجان ديني تقليدي، ج) حدث ترفيهي أو مبتكر، د) بطولة ذات رهانات عالية</v>
      </c>
      <c r="K203" s="4" t="str">
        <f ca="1">IFERROR(__xludf.DUMMYFUNCTION("GOOGLETRANSLATE(D203,""en"",""ar"")"),"ج) حدث جديد أو ترفيهي")</f>
        <v>ج) حدث جديد أو ترفيهي</v>
      </c>
      <c r="L203" s="4" t="str">
        <f ca="1">IFERROR(__xludf.DUMMYFUNCTION("GOOGLETRANSLATE(E203,""en"",""ar"")"),"عادة ما تكون سباقات الهجن التي تقام في مضامير سباق الخيل في الدول الغربية للترفيه بين سباقات الخيل، بدلاً من كونها منافسة جدية وتقليدية.")</f>
        <v>عادة ما تكون سباقات الهجن التي تقام في مضامير سباق الخيل في الدول الغربية للترفيه بين سباقات الخيل، بدلاً من كونها منافسة جدية وتقليدية.</v>
      </c>
      <c r="M203" s="4"/>
      <c r="N203" s="4"/>
      <c r="O203" s="4"/>
      <c r="P203" s="4"/>
      <c r="Q203" s="4"/>
      <c r="R203" s="4"/>
      <c r="S203" s="4"/>
      <c r="T203" s="4"/>
      <c r="U203" s="4"/>
      <c r="V203" s="4"/>
      <c r="W203" s="4"/>
      <c r="X203" s="4"/>
      <c r="Y203" s="4"/>
      <c r="Z203" s="4"/>
      <c r="AA203" s="4"/>
      <c r="AB203" s="4"/>
      <c r="AC203" s="4"/>
      <c r="AD203" s="4"/>
      <c r="AE203" s="4"/>
      <c r="AF203" s="4"/>
      <c r="AG203" s="4"/>
    </row>
    <row r="204" spans="1:33" ht="22.5" customHeight="1" x14ac:dyDescent="0.25">
      <c r="A204" s="2"/>
      <c r="B204" s="2"/>
      <c r="C204" s="2"/>
      <c r="D204" s="2"/>
      <c r="E204" s="2"/>
      <c r="F204" s="4"/>
      <c r="G204" s="4"/>
      <c r="H204" s="4" t="s">
        <v>47</v>
      </c>
      <c r="I204" s="4" t="str">
        <f ca="1">IFERROR(__xludf.DUMMYFUNCTION("GOOGLETRANSLATE(B204,""en"",""ar"")"),"ما هي معدات السلامة الحديثة التي يرتديها الشخص الذي يتعامل مع الجمل؟")</f>
        <v>ما هي معدات السلامة الحديثة التي يرتديها الشخص الذي يتعامل مع الجمل؟</v>
      </c>
      <c r="J204" s="4" t="str">
        <f ca="1">IFERROR(__xludf.DUMMYFUNCTION("GOOGLETRANSLATE(C204,""en"",""ar"")"),"أ) قبعة رعاة البقر، ب) عمامة تقليدية، ج) خوذة ركوب الخيل، د) قبعة بيسبول")</f>
        <v>أ) قبعة رعاة البقر، ب) عمامة تقليدية، ج) خوذة ركوب الخيل، د) قبعة بيسبول</v>
      </c>
      <c r="K204" s="4" t="str">
        <f ca="1">IFERROR(__xludf.DUMMYFUNCTION("GOOGLETRANSLATE(D204,""en"",""ar"")"),"ج) خوذة ركوب الخيل")</f>
        <v>ج) خوذة ركوب الخيل</v>
      </c>
      <c r="L204" s="4" t="str">
        <f ca="1">IFERROR(__xludf.DUMMYFUNCTION("GOOGLETRANSLATE(E204,""en"",""ar"")"),"يرتدي المدرب خوذة فروسية حديثة، وهي من معدات السلامة القياسية المستخدمة في التعامل مع الحيوانات الكبيرة في مضامير السباق الاحترافية.")</f>
        <v>يرتدي المدرب خوذة فروسية حديثة، وهي من معدات السلامة القياسية المستخدمة في التعامل مع الحيوانات الكبيرة في مضامير السباق الاحترافية.</v>
      </c>
      <c r="M204" s="4"/>
      <c r="N204" s="4"/>
      <c r="O204" s="4"/>
      <c r="P204" s="4"/>
      <c r="Q204" s="4"/>
      <c r="R204" s="4"/>
      <c r="S204" s="4"/>
      <c r="T204" s="4"/>
      <c r="U204" s="4"/>
      <c r="V204" s="4"/>
      <c r="W204" s="4"/>
      <c r="X204" s="4"/>
      <c r="Y204" s="4"/>
      <c r="Z204" s="4"/>
      <c r="AA204" s="4"/>
      <c r="AB204" s="4"/>
      <c r="AC204" s="4"/>
      <c r="AD204" s="4"/>
      <c r="AE204" s="4"/>
      <c r="AF204" s="4"/>
      <c r="AG204" s="4"/>
    </row>
    <row r="205" spans="1:33" ht="22.5" customHeight="1" x14ac:dyDescent="0.25">
      <c r="A205" s="2"/>
      <c r="B205" s="2"/>
      <c r="C205" s="2"/>
      <c r="D205" s="2"/>
      <c r="E205" s="2"/>
      <c r="F205" s="4"/>
      <c r="G205" s="4"/>
      <c r="H205" s="4" t="s">
        <v>47</v>
      </c>
      <c r="I205" s="4" t="str">
        <f ca="1">IFERROR(__xludf.DUMMYFUNCTION("GOOGLETRANSLATE(B205,""en"",""ar"")"),"ما هو الغرض من اللوحة الإلكترونية الكبيرة الموجودة في الخلفية؟")</f>
        <v>ما هو الغرض من اللوحة الإلكترونية الكبيرة الموجودة في الخلفية؟</v>
      </c>
      <c r="J205" s="4" t="str">
        <f ca="1">IFERROR(__xludf.DUMMYFUNCTION("GOOGLETRANSLATE(C205,""en"",""ar"")"),"أ) عرض الوقت ودرجة الحرارة، ب) عرض مقاطع فيديو، ج) عرض معلومات السباق مثل الاحتمالات والنتائج، د) الإعلان عن الشركات المحلية")</f>
        <v>أ) عرض الوقت ودرجة الحرارة، ب) عرض مقاطع فيديو، ج) عرض معلومات السباق مثل الاحتمالات والنتائج، د) الإعلان عن الشركات المحلية</v>
      </c>
      <c r="K205" s="4" t="str">
        <f ca="1">IFERROR(__xludf.DUMMYFUNCTION("GOOGLETRANSLATE(D205,""en"",""ar"")"),"ج) عرض معلومات السباق مثل الاحتمالات والنتائج")</f>
        <v>ج) عرض معلومات السباق مثل الاحتمالات والنتائج</v>
      </c>
      <c r="L205" s="4" t="str">
        <f ca="1">IFERROR(__xludf.DUMMYFUNCTION("GOOGLETRANSLATE(E205,""en"",""ar"")"),"هذه لوحة نتائج السباقات، وهي ميزة قياسية في مضامير السباق لتوفير معلومات المراهنات ونتائج السباقات للجمهور.")</f>
        <v>هذه لوحة نتائج السباقات، وهي ميزة قياسية في مضامير السباق لتوفير معلومات المراهنات ونتائج السباقات للجمهور.</v>
      </c>
      <c r="M205" s="4"/>
      <c r="N205" s="4"/>
      <c r="O205" s="4"/>
      <c r="P205" s="4"/>
      <c r="Q205" s="4"/>
      <c r="R205" s="4"/>
      <c r="S205" s="4"/>
      <c r="T205" s="4"/>
      <c r="U205" s="4"/>
      <c r="V205" s="4"/>
      <c r="W205" s="4"/>
      <c r="X205" s="4"/>
      <c r="Y205" s="4"/>
      <c r="Z205" s="4"/>
      <c r="AA205" s="4"/>
      <c r="AB205" s="4"/>
      <c r="AC205" s="4"/>
      <c r="AD205" s="4"/>
      <c r="AE205" s="4"/>
      <c r="AF205" s="4"/>
      <c r="AG205" s="4"/>
    </row>
    <row r="206" spans="1:33" ht="22.5" customHeight="1" x14ac:dyDescent="0.25">
      <c r="A206" s="2"/>
      <c r="B206" s="2"/>
      <c r="C206" s="2"/>
      <c r="D206" s="2"/>
      <c r="E206" s="2"/>
      <c r="F206" s="4"/>
      <c r="G206" s="4"/>
      <c r="H206" s="4" t="s">
        <v>47</v>
      </c>
      <c r="I206" s="4" t="str">
        <f ca="1">IFERROR(__xludf.DUMMYFUNCTION("GOOGLETRANSLATE(B206,""en"",""ar"")"),"الشخص يمسك بجسم طويل ومرن في يده اليمنى. ما هو؟")</f>
        <v>الشخص يمسك بجسم طويل ومرن في يده اليمنى. ما هو؟</v>
      </c>
      <c r="J206" s="4" t="str">
        <f ca="1">IFERROR(__xludf.DUMMYFUNCTION("GOOGLETRANSLATE(C206,""en"",""ar"")"),"أ) حبل قيادة، ب) سوط ركوب الخيل، ج) عصا قياس، د) علم")</f>
        <v>أ) حبل قيادة، ب) سوط ركوب الخيل، ج) عصا قياس، د) علم</v>
      </c>
      <c r="K206" s="4" t="str">
        <f ca="1">IFERROR(__xludf.DUMMYFUNCTION("GOOGLETRANSLATE(D206,""en"",""ar"")"),"ب) سوط أو عصا ركوب الخيل")</f>
        <v>ب) سوط أو عصا ركوب الخيل</v>
      </c>
      <c r="L206" s="4" t="str">
        <f ca="1">IFERROR(__xludf.DUMMYFUNCTION("GOOGLETRANSLATE(E206,""en"",""ar"")"),"هذا سوط ركوب الخيل، والذي يستخدمه الفارس لتشجيع الحيوان أثناء السباق.")</f>
        <v>هذا سوط ركوب الخيل، والذي يستخدمه الفارس لتشجيع الحيوان أثناء السباق.</v>
      </c>
      <c r="M206" s="4"/>
      <c r="N206" s="4"/>
      <c r="O206" s="4"/>
      <c r="P206" s="4"/>
      <c r="Q206" s="4"/>
      <c r="R206" s="4"/>
      <c r="S206" s="4"/>
      <c r="T206" s="4"/>
      <c r="U206" s="4"/>
      <c r="V206" s="4"/>
      <c r="W206" s="4"/>
      <c r="X206" s="4"/>
      <c r="Y206" s="4"/>
      <c r="Z206" s="4"/>
      <c r="AA206" s="4"/>
      <c r="AB206" s="4"/>
      <c r="AC206" s="4"/>
      <c r="AD206" s="4"/>
      <c r="AE206" s="4"/>
      <c r="AF206" s="4"/>
      <c r="AG206" s="4"/>
    </row>
    <row r="207" spans="1:33" ht="22.5" customHeight="1" x14ac:dyDescent="0.25">
      <c r="A207" s="2"/>
      <c r="B207" s="2"/>
      <c r="C207" s="2"/>
      <c r="D207" s="2"/>
      <c r="E207" s="2"/>
      <c r="F207" s="4"/>
      <c r="G207" s="4"/>
      <c r="H207" s="4" t="s">
        <v>47</v>
      </c>
      <c r="I207" s="4" t="str">
        <f ca="1">IFERROR(__xludf.DUMMYFUNCTION("GOOGLETRANSLATE(B207,""en"",""ar"")"),"يتم تثبيت رأس الجمل بواسطة قطعة من المعدات تسمى...")</f>
        <v>يتم تثبيت رأس الجمل بواسطة قطعة من المعدات تسمى...</v>
      </c>
      <c r="J207" s="4" t="str">
        <f ca="1">IFERROR(__xludf.DUMMYFUNCTION("GOOGLETRANSLATE(C207,""en"",""ar"")"),"أ) كمامة، ب) لجام أو حزام رأس، ج) قناع غاز، د) حلقة أنف")</f>
        <v>أ) كمامة، ب) لجام أو حزام رأس، ج) قناع غاز، د) حلقة أنف</v>
      </c>
      <c r="K207" s="4" t="str">
        <f ca="1">IFERROR(__xludf.DUMMYFUNCTION("GOOGLETRANSLATE(D207,""en"",""ar"")"),"ب) لجام أو لجام رأس")</f>
        <v>ب) لجام أو لجام رأس</v>
      </c>
      <c r="L207" s="4" t="str">
        <f ca="1">IFERROR(__xludf.DUMMYFUNCTION("GOOGLETRANSLATE(E207,""en"",""ar"")"),"اللجام هو قطعة من المعدات التي توضع فوق رأس الحيوان، ويتم ربط حبل القيادة بها للتحكم فيه.")</f>
        <v>اللجام هو قطعة من المعدات التي توضع فوق رأس الحيوان، ويتم ربط حبل القيادة بها للتحكم فيه.</v>
      </c>
      <c r="M207" s="4"/>
      <c r="N207" s="4"/>
      <c r="O207" s="4"/>
      <c r="P207" s="4"/>
      <c r="Q207" s="4"/>
      <c r="R207" s="4"/>
      <c r="S207" s="4"/>
      <c r="T207" s="4"/>
      <c r="U207" s="4"/>
      <c r="V207" s="4"/>
      <c r="W207" s="4"/>
      <c r="X207" s="4"/>
      <c r="Y207" s="4"/>
      <c r="Z207" s="4"/>
      <c r="AA207" s="4"/>
      <c r="AB207" s="4"/>
      <c r="AC207" s="4"/>
      <c r="AD207" s="4"/>
      <c r="AE207" s="4"/>
      <c r="AF207" s="4"/>
      <c r="AG207" s="4"/>
    </row>
    <row r="208" spans="1:33" ht="22.5" customHeight="1" x14ac:dyDescent="0.25">
      <c r="A208" s="2"/>
      <c r="B208" s="2"/>
      <c r="C208" s="2"/>
      <c r="D208" s="2"/>
      <c r="E208" s="2"/>
      <c r="F208" s="4"/>
      <c r="G208" s="4"/>
      <c r="H208" s="4" t="s">
        <v>47</v>
      </c>
      <c r="I208" s="4" t="str">
        <f ca="1">IFERROR(__xludf.DUMMYFUNCTION("GOOGLETRANSLATE(B208,""en"",""ar"")"),"ما هو اللون الأساسي لبطانة السرج على الجمل في الخلفية؟")</f>
        <v>ما هو اللون الأساسي لبطانة السرج على الجمل في الخلفية؟</v>
      </c>
      <c r="J208" s="4" t="str">
        <f ca="1">IFERROR(__xludf.DUMMYFUNCTION("GOOGLETRANSLATE(C208,""en"",""ar"")"),"أ) أزرق، ب) أخضر، ج) أحمر، د) أصفر")</f>
        <v>أ) أزرق، ب) أخضر، ج) أحمر، د) أصفر</v>
      </c>
      <c r="K208" s="4" t="str">
        <f ca="1">IFERROR(__xludf.DUMMYFUNCTION("GOOGLETRANSLATE(D208,""en"",""ar"")"),"ج) أحمر")</f>
        <v>ج) أحمر</v>
      </c>
      <c r="L208" s="4" t="str">
        <f ca="1">IFERROR(__xludf.DUMMYFUNCTION("GOOGLETRANSLATE(E208,""en"",""ar"")"),"تظهر وسادة سرج سباق حمراء على الجمل الآخر.")</f>
        <v>تظهر وسادة سرج سباق حمراء على الجمل الآخر.</v>
      </c>
      <c r="M208" s="4"/>
      <c r="N208" s="4"/>
      <c r="O208" s="4"/>
      <c r="P208" s="4"/>
      <c r="Q208" s="4"/>
      <c r="R208" s="4"/>
      <c r="S208" s="4"/>
      <c r="T208" s="4"/>
      <c r="U208" s="4"/>
      <c r="V208" s="4"/>
      <c r="W208" s="4"/>
      <c r="X208" s="4"/>
      <c r="Y208" s="4"/>
      <c r="Z208" s="4"/>
      <c r="AA208" s="4"/>
      <c r="AB208" s="4"/>
      <c r="AC208" s="4"/>
      <c r="AD208" s="4"/>
      <c r="AE208" s="4"/>
      <c r="AF208" s="4"/>
      <c r="AG208" s="4"/>
    </row>
    <row r="209" spans="1:33" ht="22.5" customHeight="1" x14ac:dyDescent="0.25">
      <c r="A209" s="2"/>
      <c r="B209" s="2"/>
      <c r="C209" s="2"/>
      <c r="D209" s="2"/>
      <c r="E209" s="2"/>
      <c r="F209" s="4"/>
      <c r="G209" s="4"/>
      <c r="H209" s="4" t="s">
        <v>47</v>
      </c>
      <c r="I209" s="4" t="str">
        <f ca="1">IFERROR(__xludf.DUMMYFUNCTION("GOOGLETRANSLATE(B209,""en"",""ar"")"),"يشير وجود سياج أخضر مُهذّب جيداً ومسار رسمي إلى أن هذا المكان...")</f>
        <v>يشير وجود سياج أخضر مُهذّب جيداً ومسار رسمي إلى أن هذا المكان...</v>
      </c>
      <c r="J209" s="4" t="str">
        <f ca="1">IFERROR(__xludf.DUMMYFUNCTION("GOOGLETRANSLATE(C209,""en"",""ar"")"),"أ) موقع صحراوي ناءٍ، ب) أرض مهرجان مؤقتة، ج) منشأة سباقات احترافية دائمة، د) مزرعة خاصة")</f>
        <v>أ) موقع صحراوي ناءٍ، ب) أرض مهرجان مؤقتة، ج) منشأة سباقات احترافية دائمة، د) مزرعة خاصة</v>
      </c>
      <c r="K209" s="4" t="str">
        <f ca="1">IFERROR(__xludf.DUMMYFUNCTION("GOOGLETRANSLATE(D209,""en"",""ar"")"),"ج) منشأة سباقات احترافية دائمة")</f>
        <v>ج) منشأة سباقات احترافية دائمة</v>
      </c>
      <c r="L209" s="4" t="str">
        <f ca="1">IFERROR(__xludf.DUMMYFUNCTION("GOOGLETRANSLATE(E209,""en"",""ar"")"),"يُعد منتزه لون ستار مكانًا رئيسيًا لسباق الخيل ويحظى بصيانة جيدة.")</f>
        <v>يُعد منتزه لون ستار مكانًا رئيسيًا لسباق الخيل ويحظى بصيانة جيدة.</v>
      </c>
      <c r="M209" s="4"/>
      <c r="N209" s="4"/>
      <c r="O209" s="4"/>
      <c r="P209" s="4"/>
      <c r="Q209" s="4"/>
      <c r="R209" s="4"/>
      <c r="S209" s="4"/>
      <c r="T209" s="4"/>
      <c r="U209" s="4"/>
      <c r="V209" s="4"/>
      <c r="W209" s="4"/>
      <c r="X209" s="4"/>
      <c r="Y209" s="4"/>
      <c r="Z209" s="4"/>
      <c r="AA209" s="4"/>
      <c r="AB209" s="4"/>
      <c r="AC209" s="4"/>
      <c r="AD209" s="4"/>
      <c r="AE209" s="4"/>
      <c r="AF209" s="4"/>
      <c r="AG209" s="4"/>
    </row>
    <row r="210" spans="1:33" ht="22.5" customHeight="1" x14ac:dyDescent="0.25">
      <c r="A210" s="2"/>
      <c r="B210" s="2"/>
      <c r="C210" s="2"/>
      <c r="D210" s="2"/>
      <c r="E210" s="2"/>
      <c r="F210" s="4"/>
      <c r="G210" s="4"/>
      <c r="H210" s="4" t="s">
        <v>47</v>
      </c>
      <c r="I210" s="4" t="str">
        <f ca="1">IFERROR(__xludf.DUMMYFUNCTION("GOOGLETRANSLATE(B210,""en"",""ar"")"),"المشرف إنسان، ولكن من الذي ""يركب"" الجمال عادةً في هذه السباقات الأمريكية الجديدة؟")</f>
        <v>المشرف إنسان، ولكن من الذي "يركب" الجمال عادةً في هذه السباقات الأمريكية الجديدة؟</v>
      </c>
      <c r="J210" s="4" t="str">
        <f ca="1">IFERROR(__xludf.DUMMYFUNCTION("GOOGLETRANSLATE(C210,""en"",""ar"")"),"أ) فرسان آليون، ب) فرسان جمال محترفون من الشرق الأوسط، ج) فرسان الخيول الموجودون بالفعل في المضمار، د) الجمال التي تجري من تلقاء نفسها")</f>
        <v>أ) فرسان آليون، ب) فرسان جمال محترفون من الشرق الأوسط، ج) فرسان الخيول الموجودون بالفعل في المضمار، د) الجمال التي تجري من تلقاء نفسها</v>
      </c>
      <c r="K210" s="4" t="str">
        <f ca="1">IFERROR(__xludf.DUMMYFUNCTION("GOOGLETRANSLATE(D210,""en"",""ar"")"),"ج) فرسان الخيل الموجودون بالفعل في المضمار")</f>
        <v>ج) فرسان الخيل الموجودون بالفعل في المضمار</v>
      </c>
      <c r="L210" s="4" t="str">
        <f ca="1">IFERROR(__xludf.DUMMYFUNCTION("GOOGLETRANSLATE(E210,""en"",""ar"")"),"في سباقات الترفيه من هذا النوع، غالباً ما يتم الاستعانة بالفرسان المعتادين في المضمار لركوب الجمال، مما يزيد من المتعة وعدم القدرة على التنبؤ.")</f>
        <v>في سباقات الترفيه من هذا النوع، غالباً ما يتم الاستعانة بالفرسان المعتادين في المضمار لركوب الجمال، مما يزيد من المتعة وعدم القدرة على التنبؤ.</v>
      </c>
      <c r="M210" s="4"/>
      <c r="N210" s="4"/>
      <c r="O210" s="4"/>
      <c r="P210" s="4"/>
      <c r="Q210" s="4"/>
      <c r="R210" s="4"/>
      <c r="S210" s="4"/>
      <c r="T210" s="4"/>
      <c r="U210" s="4"/>
      <c r="V210" s="4"/>
      <c r="W210" s="4"/>
      <c r="X210" s="4"/>
      <c r="Y210" s="4"/>
      <c r="Z210" s="4"/>
      <c r="AA210" s="4"/>
      <c r="AB210" s="4"/>
      <c r="AC210" s="4"/>
      <c r="AD210" s="4"/>
      <c r="AE210" s="4"/>
      <c r="AF210" s="4"/>
      <c r="AG210" s="4"/>
    </row>
    <row r="211" spans="1:33" ht="22.5" customHeight="1" x14ac:dyDescent="0.25">
      <c r="A211" s="2"/>
      <c r="B211" s="2"/>
      <c r="C211" s="2"/>
      <c r="D211" s="2"/>
      <c r="E211" s="2"/>
      <c r="F211" s="4"/>
      <c r="G211" s="4"/>
      <c r="H211" s="4" t="s">
        <v>47</v>
      </c>
      <c r="I211" s="4" t="str">
        <f ca="1">IFERROR(__xludf.DUMMYFUNCTION("GOOGLETRANSLATE(B211,""en"",""ar"")"),"تُظهر هذه الصورة أن سباق الهجن...")</f>
        <v>تُظهر هذه الصورة أن سباق الهجن...</v>
      </c>
      <c r="J211" s="4" t="str">
        <f ca="1">IFERROR(__xludf.DUMMYFUNCTION("GOOGLETRANSLATE(C211,""en"",""ar"")"),"أ) يحدث فقط في الصحراء، ب) جزء صغير من ثقافة الترفيه العالمية، ج) رياضة جادة وعالية المخاطر دائمًا، د) تقليد شرق أوسطي حصري")</f>
        <v>أ) يحدث فقط في الصحراء، ب) جزء صغير من ثقافة الترفيه العالمية، ج) رياضة جادة وعالية المخاطر دائمًا، د) تقليد شرق أوسطي حصري</v>
      </c>
      <c r="K211" s="4" t="str">
        <f ca="1">IFERROR(__xludf.DUMMYFUNCTION("GOOGLETRANSLATE(D211,""en"",""ar"")"),"ب) جزء صغير من ثقافة الترفيه العالمية")</f>
        <v>ب) جزء صغير من ثقافة الترفيه العالمية</v>
      </c>
      <c r="L211" s="4" t="str">
        <f ca="1">IFERROR(__xludf.DUMMYFUNCTION("GOOGLETRANSLATE(E211,""en"",""ar"")"),"لقد انتشرت هذه الرياضة خارج جذورها التقليدية، وأصبحت تُستخدم كعنصر جذب ممتع وغريب في الفعاليات حول العالم.")</f>
        <v>لقد انتشرت هذه الرياضة خارج جذورها التقليدية، وأصبحت تُستخدم كعنصر جذب ممتع وغريب في الفعاليات حول العالم.</v>
      </c>
      <c r="M211" s="4"/>
      <c r="N211" s="4"/>
      <c r="O211" s="4"/>
      <c r="P211" s="4"/>
      <c r="Q211" s="4"/>
      <c r="R211" s="4"/>
      <c r="S211" s="4"/>
      <c r="T211" s="4"/>
      <c r="U211" s="4"/>
      <c r="V211" s="4"/>
      <c r="W211" s="4"/>
      <c r="X211" s="4"/>
      <c r="Y211" s="4"/>
      <c r="Z211" s="4"/>
      <c r="AA211" s="4"/>
      <c r="AB211" s="4"/>
      <c r="AC211" s="4"/>
      <c r="AD211" s="4"/>
      <c r="AE211" s="4"/>
      <c r="AF211" s="4"/>
      <c r="AG211" s="4"/>
    </row>
    <row r="212" spans="1:33" ht="22.5" customHeight="1" x14ac:dyDescent="0.25">
      <c r="A212" s="2"/>
      <c r="B212" s="2"/>
      <c r="C212" s="2"/>
      <c r="D212" s="2"/>
      <c r="E212" s="2"/>
      <c r="F212" s="4"/>
      <c r="G212" s="4"/>
      <c r="H212" s="4" t="s">
        <v>48</v>
      </c>
      <c r="I212" s="4" t="str">
        <f ca="1">IFERROR(__xludf.DUMMYFUNCTION("GOOGLETRANSLATE(B212,""en"",""ar"")"),"ما هي أبرز سمة في زي الجمال في هذه الصورة؟")</f>
        <v>ما هي أبرز سمة في زي الجمال في هذه الصورة؟</v>
      </c>
      <c r="J212" s="4" t="str">
        <f ca="1">IFERROR(__xludf.DUMMYFUNCTION("GOOGLETRANSLATE(C212,""en"",""ar"")"),"أ) إنه بسيط وسهل، ب) إنه مزخرف للغاية، ج) إنه مصمم للتمويه، د) إنه حديث وآليّ")</f>
        <v>أ) إنه بسيط وسهل، ب) إنه مزخرف للغاية، ج) إنه مصمم للتمويه، د) إنه حديث وآليّ</v>
      </c>
      <c r="K212" s="4" t="str">
        <f ca="1">IFERROR(__xludf.DUMMYFUNCTION("GOOGLETRANSLATE(D212,""en"",""ar"")"),"ب) إنه مزخرف للغاية ومزخرف")</f>
        <v>ب) إنه مزخرف للغاية ومزخرف</v>
      </c>
      <c r="L212" s="4" t="str">
        <f ca="1">IFERROR(__xludf.DUMMYFUNCTION("GOOGLETRANSLATE(E212,""en"",""ar"")"),"تُزين الجمال بسروج وأهداب ملونة ومتقنة الصنع، مما يوحي بمناسبة خاصة أو احتفالية.")</f>
        <v>تُزين الجمال بسروج وأهداب ملونة ومتقنة الصنع، مما يوحي بمناسبة خاصة أو احتفالية.</v>
      </c>
      <c r="M212" s="4"/>
      <c r="N212" s="4"/>
      <c r="O212" s="4"/>
      <c r="P212" s="4"/>
      <c r="Q212" s="4"/>
      <c r="R212" s="4"/>
      <c r="S212" s="4"/>
      <c r="T212" s="4"/>
      <c r="U212" s="4"/>
      <c r="V212" s="4"/>
      <c r="W212" s="4"/>
      <c r="X212" s="4"/>
      <c r="Y212" s="4"/>
      <c r="Z212" s="4"/>
      <c r="AA212" s="4"/>
      <c r="AB212" s="4"/>
      <c r="AC212" s="4"/>
      <c r="AD212" s="4"/>
      <c r="AE212" s="4"/>
      <c r="AF212" s="4"/>
      <c r="AG212" s="4"/>
    </row>
    <row r="213" spans="1:33" ht="22.5" customHeight="1" x14ac:dyDescent="0.25">
      <c r="A213" s="2"/>
      <c r="B213" s="2"/>
      <c r="C213" s="2"/>
      <c r="D213" s="2"/>
      <c r="E213" s="2"/>
      <c r="F213" s="4"/>
      <c r="G213" s="4"/>
      <c r="H213" s="4" t="s">
        <v>48</v>
      </c>
      <c r="I213" s="4" t="str">
        <f ca="1">IFERROR(__xludf.DUMMYFUNCTION("GOOGLETRANSLATE(B213,""en"",""ar"")"),"ماذا يضع الدراجون على وجوههم؟")</f>
        <v>ماذا يضع الدراجون على وجوههم؟</v>
      </c>
      <c r="J213" s="4" t="str">
        <f ca="1">IFERROR(__xludf.DUMMYFUNCTION("GOOGLETRANSLATE(C213,""en"",""ar"")"),"أ) نظارات واقية، ب) أغطية الوجه التقليدية، ج) أقنعة الوجه الطبية، د) لا شيء")</f>
        <v>أ) نظارات واقية، ب) أغطية الوجه التقليدية، ج) أقنعة الوجه الطبية، د) لا شيء</v>
      </c>
      <c r="K213" s="4" t="str">
        <f ca="1">IFERROR(__xludf.DUMMYFUNCTION("GOOGLETRANSLATE(D213,""en"",""ar"")"),"ج) أقنعة الوجه الطبية")</f>
        <v>ج) أقنعة الوجه الطبية</v>
      </c>
      <c r="L213" s="4" t="str">
        <f ca="1">IFERROR(__xludf.DUMMYFUNCTION("GOOGLETRANSLATE(E213,""en"",""ar"")"),"جميع الدراجين يرتدون كمامات وجه زرقاء فاتحة اللون يمكن التخلص منها.")</f>
        <v>جميع الدراجين يرتدون كمامات وجه زرقاء فاتحة اللون يمكن التخلص منها.</v>
      </c>
      <c r="M213" s="4"/>
      <c r="N213" s="4"/>
      <c r="O213" s="4"/>
      <c r="P213" s="4"/>
      <c r="Q213" s="4"/>
      <c r="R213" s="4"/>
      <c r="S213" s="4"/>
      <c r="T213" s="4"/>
      <c r="U213" s="4"/>
      <c r="V213" s="4"/>
      <c r="W213" s="4"/>
      <c r="X213" s="4"/>
      <c r="Y213" s="4"/>
      <c r="Z213" s="4"/>
      <c r="AA213" s="4"/>
      <c r="AB213" s="4"/>
      <c r="AC213" s="4"/>
      <c r="AD213" s="4"/>
      <c r="AE213" s="4"/>
      <c r="AF213" s="4"/>
      <c r="AG213" s="4"/>
    </row>
    <row r="214" spans="1:33" ht="22.5" customHeight="1" x14ac:dyDescent="0.25">
      <c r="A214" s="2"/>
      <c r="B214" s="2"/>
      <c r="C214" s="2"/>
      <c r="D214" s="2"/>
      <c r="E214" s="2"/>
      <c r="F214" s="4"/>
      <c r="G214" s="4"/>
      <c r="H214" s="4" t="s">
        <v>48</v>
      </c>
      <c r="I214" s="4" t="str">
        <f ca="1">IFERROR(__xludf.DUMMYFUNCTION("GOOGLETRANSLATE(B214,""en"",""ar"")"),"يشير الزي المتطابق للفرسان والزخارف الموجودة على الجمال إلى أنهم جزء من...")</f>
        <v>يشير الزي المتطابق للفرسان والزخارف الموجودة على الجمال إلى أنهم جزء من...</v>
      </c>
      <c r="J214" s="4" t="str">
        <f ca="1">IFERROR(__xludf.DUMMYFUNCTION("GOOGLETRANSLATE(C214,""en"",""ar"")"),"أ) سباق بمالكين أفراد، ب) فريق واحد أو موكب رسمي، ج) تجمع عشوائي من الناس، د) إعادة تمثيل تاريخي")</f>
        <v>أ) سباق بمالكين أفراد، ب) فريق واحد أو موكب رسمي، ج) تجمع عشوائي من الناس، د) إعادة تمثيل تاريخي</v>
      </c>
      <c r="K214" s="4" t="str">
        <f ca="1">IFERROR(__xludf.DUMMYFUNCTION("GOOGLETRANSLATE(D214,""en"",""ar"")"),"ب) فريق واحد أو موكب رسمي")</f>
        <v>ب) فريق واحد أو موكب رسمي</v>
      </c>
      <c r="L214" s="4" t="str">
        <f ca="1">IFERROR(__xludf.DUMMYFUNCTION("GOOGLETRANSLATE(E214,""en"",""ar"")"),"يشير توحيد ملابسهم ومعداتهم إلى أنهم جزء من مجموعة منظمة، على الأرجح للمشاركة في عرض عسكري أو حفل رسمي.")</f>
        <v>يشير توحيد ملابسهم ومعداتهم إلى أنهم جزء من مجموعة منظمة، على الأرجح للمشاركة في عرض عسكري أو حفل رسمي.</v>
      </c>
      <c r="M214" s="4"/>
      <c r="N214" s="4"/>
      <c r="O214" s="4"/>
      <c r="P214" s="4"/>
      <c r="Q214" s="4"/>
      <c r="R214" s="4"/>
      <c r="S214" s="4"/>
      <c r="T214" s="4"/>
      <c r="U214" s="4"/>
      <c r="V214" s="4"/>
      <c r="W214" s="4"/>
      <c r="X214" s="4"/>
      <c r="Y214" s="4"/>
      <c r="Z214" s="4"/>
      <c r="AA214" s="4"/>
      <c r="AB214" s="4"/>
      <c r="AC214" s="4"/>
      <c r="AD214" s="4"/>
      <c r="AE214" s="4"/>
      <c r="AF214" s="4"/>
      <c r="AG214" s="4"/>
    </row>
    <row r="215" spans="1:33" ht="22.5" customHeight="1" x14ac:dyDescent="0.25">
      <c r="A215" s="2"/>
      <c r="B215" s="2"/>
      <c r="C215" s="2"/>
      <c r="D215" s="2"/>
      <c r="E215" s="2"/>
      <c r="F215" s="4"/>
      <c r="G215" s="4"/>
      <c r="H215" s="4" t="s">
        <v>48</v>
      </c>
      <c r="I215" s="4" t="str">
        <f ca="1">IFERROR(__xludf.DUMMYFUNCTION("GOOGLETRANSLATE(B215,""en"",""ar"")"),"ما هو اللون الأساسي للشرابات الزخرفية المتدلية من سروج الجمال؟")</f>
        <v>ما هو اللون الأساسي للشرابات الزخرفية المتدلية من سروج الجمال؟</v>
      </c>
      <c r="J215" s="4" t="str">
        <f ca="1">IFERROR(__xludf.DUMMYFUNCTION("GOOGLETRANSLATE(C215,""en"",""ar"")"),"أ) الأزرق والأصفر، ب) الأحمر والأخضر، ج) الأسود والأبيض، د) البرتقالي والبنفسجي")</f>
        <v>أ) الأزرق والأصفر، ب) الأحمر والأخضر، ج) الأسود والأبيض، د) البرتقالي والبنفسجي</v>
      </c>
      <c r="K215" s="4" t="str">
        <f ca="1">IFERROR(__xludf.DUMMYFUNCTION("GOOGLETRANSLATE(D215,""en"",""ar"")"),"ب) الأحمر والأخضر")</f>
        <v>ب) الأحمر والأخضر</v>
      </c>
      <c r="L215" s="4" t="str">
        <f ca="1">IFERROR(__xludf.DUMMYFUNCTION("GOOGLETRANSLATE(E215,""en"",""ar"")"),"تتميز الشرابات البارزة المتدلية من أغطية السرج المعقدة بمزيج من اللونين الأحمر والأخضر الزاهيين.")</f>
        <v>تتميز الشرابات البارزة المتدلية من أغطية السرج المعقدة بمزيج من اللونين الأحمر والأخضر الزاهيين.</v>
      </c>
      <c r="M215" s="4"/>
      <c r="N215" s="4"/>
      <c r="O215" s="4"/>
      <c r="P215" s="4"/>
      <c r="Q215" s="4"/>
      <c r="R215" s="4"/>
      <c r="S215" s="4"/>
      <c r="T215" s="4"/>
      <c r="U215" s="4"/>
      <c r="V215" s="4"/>
      <c r="W215" s="4"/>
      <c r="X215" s="4"/>
      <c r="Y215" s="4"/>
      <c r="Z215" s="4"/>
      <c r="AA215" s="4"/>
      <c r="AB215" s="4"/>
      <c r="AC215" s="4"/>
      <c r="AD215" s="4"/>
      <c r="AE215" s="4"/>
      <c r="AF215" s="4"/>
      <c r="AG215" s="4"/>
    </row>
    <row r="216" spans="1:33" ht="22.5" customHeight="1" x14ac:dyDescent="0.25">
      <c r="A216" s="2"/>
      <c r="B216" s="2"/>
      <c r="C216" s="2"/>
      <c r="D216" s="2"/>
      <c r="E216" s="2"/>
      <c r="F216" s="4"/>
      <c r="G216" s="4"/>
      <c r="H216" s="4" t="s">
        <v>48</v>
      </c>
      <c r="I216" s="4" t="str">
        <f ca="1">IFERROR(__xludf.DUMMYFUNCTION("GOOGLETRANSLATE(B216,""en"",""ar"")"),"ماذا يرتدي الفرسان فوق أثوابهم البيضاء التقليدية (الثياب)؟")</f>
        <v>ماذا يرتدي الفرسان فوق أثوابهم البيضاء التقليدية (الثياب)؟</v>
      </c>
      <c r="J216" s="4" t="str">
        <f ca="1">IFERROR(__xludf.DUMMYFUNCTION("GOOGLETRANSLATE(C216,""en"",""ar"")"),"أ) سترات النجاة، ب) معاطف شتوية ثقيلة، ج) أحزمة أو مشابك سوداء متقاطعة، د) أوشحة ملونة")</f>
        <v>أ) سترات النجاة، ب) معاطف شتوية ثقيلة، ج) أحزمة أو مشابك سوداء متقاطعة، د) أوشحة ملونة</v>
      </c>
      <c r="K216" s="4" t="str">
        <f ca="1">IFERROR(__xludf.DUMMYFUNCTION("GOOGLETRANSLATE(D216,""en"",""ar"")"),"ج) أحزمة أو مشابك سوداء متقاطعة")</f>
        <v>ج) أحزمة أو مشابك سوداء متقاطعة</v>
      </c>
      <c r="L216" s="4" t="str">
        <f ca="1">IFERROR(__xludf.DUMMYFUNCTION("GOOGLETRANSLATE(E216,""en"",""ar"")"),"إنهم يرتدون نوعًا من الأحزمة أو الدروع، والتي يمكن أن تكون جزءًا من زي رسمي لوحدة حراسة أو وحدة احتفالية.")</f>
        <v>إنهم يرتدون نوعًا من الأحزمة أو الدروع، والتي يمكن أن تكون جزءًا من زي رسمي لوحدة حراسة أو وحدة احتفالية.</v>
      </c>
      <c r="M216" s="4"/>
      <c r="N216" s="4"/>
      <c r="O216" s="4"/>
      <c r="P216" s="4"/>
      <c r="Q216" s="4"/>
      <c r="R216" s="4"/>
      <c r="S216" s="4"/>
      <c r="T216" s="4"/>
      <c r="U216" s="4"/>
      <c r="V216" s="4"/>
      <c r="W216" s="4"/>
      <c r="X216" s="4"/>
      <c r="Y216" s="4"/>
      <c r="Z216" s="4"/>
      <c r="AA216" s="4"/>
      <c r="AB216" s="4"/>
      <c r="AC216" s="4"/>
      <c r="AD216" s="4"/>
      <c r="AE216" s="4"/>
      <c r="AF216" s="4"/>
      <c r="AG216" s="4"/>
    </row>
    <row r="217" spans="1:33" ht="22.5" customHeight="1" x14ac:dyDescent="0.25">
      <c r="A217" s="2"/>
      <c r="B217" s="2"/>
      <c r="C217" s="2"/>
      <c r="D217" s="2"/>
      <c r="E217" s="2"/>
      <c r="F217" s="4"/>
      <c r="G217" s="4"/>
      <c r="H217" s="4" t="s">
        <v>48</v>
      </c>
      <c r="I217" s="4" t="str">
        <f ca="1">IFERROR(__xludf.DUMMYFUNCTION("GOOGLETRANSLATE(B217,""en"",""ar"")"),"من المحتمل أن الصورة تصور...")</f>
        <v>من المحتمل أن الصورة تصور...</v>
      </c>
      <c r="J217" s="4" t="str">
        <f ca="1">IFERROR(__xludf.DUMMYFUNCTION("GOOGLETRANSLATE(C217,""en"",""ar"")"),"أ) سباق عالي السرعة، ب) عرض عسكري أو دورية حراسة، ج) مزاد جمال، د) جلسة تدريبية للفرسان الجدد")</f>
        <v>أ) سباق عالي السرعة، ب) عرض عسكري أو دورية حراسة، ج) مزاد جمال، د) جلسة تدريبية للفرسان الجدد</v>
      </c>
      <c r="K217" s="4" t="str">
        <f ca="1">IFERROR(__xludf.DUMMYFUNCTION("GOOGLETRANSLATE(D217,""en"",""ar"")"),"ب) عرض عسكري احتفالي أو دورية حراسة")</f>
        <v>ب) عرض عسكري احتفالي أو دورية حراسة</v>
      </c>
      <c r="L217" s="4" t="str">
        <f ca="1">IFERROR(__xludf.DUMMYFUNCTION("GOOGLETRANSLATE(E217,""en"",""ar"")"),"إن الزخارف المتقنة، والفرسان ذوي الزي الموحد، والتشكيل المنظم، كلها سمات مميزة للاستعراضات، أو المواكب، أو غيرها من الاحتفالات الرسمية، وليست للسباقات.")</f>
        <v>إن الزخارف المتقنة، والفرسان ذوي الزي الموحد، والتشكيل المنظم، كلها سمات مميزة للاستعراضات، أو المواكب، أو غيرها من الاحتفالات الرسمية، وليست للسباقات.</v>
      </c>
      <c r="M217" s="4"/>
      <c r="N217" s="4"/>
      <c r="O217" s="4"/>
      <c r="P217" s="4"/>
      <c r="Q217" s="4"/>
      <c r="R217" s="4"/>
      <c r="S217" s="4"/>
      <c r="T217" s="4"/>
      <c r="U217" s="4"/>
      <c r="V217" s="4"/>
      <c r="W217" s="4"/>
      <c r="X217" s="4"/>
      <c r="Y217" s="4"/>
      <c r="Z217" s="4"/>
      <c r="AA217" s="4"/>
      <c r="AB217" s="4"/>
      <c r="AC217" s="4"/>
      <c r="AD217" s="4"/>
      <c r="AE217" s="4"/>
      <c r="AF217" s="4"/>
      <c r="AG217" s="4"/>
    </row>
    <row r="218" spans="1:33" ht="22.5" customHeight="1" x14ac:dyDescent="0.25">
      <c r="A218" s="2"/>
      <c r="B218" s="2"/>
      <c r="C218" s="2"/>
      <c r="D218" s="2"/>
      <c r="E218" s="2"/>
      <c r="F218" s="4"/>
      <c r="G218" s="4"/>
      <c r="H218" s="4" t="s">
        <v>48</v>
      </c>
      <c r="I218" s="4" t="str">
        <f ca="1">IFERROR(__xludf.DUMMYFUNCTION("GOOGLETRANSLATE(B218,""en"",""ar"")"),"يُعدّ مسار السباق أو سطح الأرض مميزًا...")</f>
        <v>يُعدّ مسار السباق أو سطح الأرض مميزًا...</v>
      </c>
      <c r="J218" s="4" t="str">
        <f ca="1">IFERROR(__xludf.DUMMYFUNCTION("GOOGLETRANSLATE(C218,""en"",""ar"")"),"أ) عشب أخضر، ب) أسفلت أسود داكن، ج) رمال برتقالية محمرة، د) ثلج أبيض")</f>
        <v>أ) عشب أخضر، ب) أسفلت أسود داكن، ج) رمال برتقالية محمرة، د) ثلج أبيض</v>
      </c>
      <c r="K218" s="4" t="str">
        <f ca="1">IFERROR(__xludf.DUMMYFUNCTION("GOOGLETRANSLATE(D218,""en"",""ar"")"),"ج) رمال برتقالية محمرة")</f>
        <v>ج) رمال برتقالية محمرة</v>
      </c>
      <c r="L218" s="4" t="str">
        <f ca="1">IFERROR(__xludf.DUMMYFUNCTION("GOOGLETRANSLATE(E218,""en"",""ar"")"),"تتميز الأرض بلون أحمر فريد، وهو ما يميز الرمال في بعض المناطق الصحراوية.")</f>
        <v>تتميز الأرض بلون أحمر فريد، وهو ما يميز الرمال في بعض المناطق الصحراوية.</v>
      </c>
      <c r="M218" s="4"/>
      <c r="N218" s="4"/>
      <c r="O218" s="4"/>
      <c r="P218" s="4"/>
      <c r="Q218" s="4"/>
      <c r="R218" s="4"/>
      <c r="S218" s="4"/>
      <c r="T218" s="4"/>
      <c r="U218" s="4"/>
      <c r="V218" s="4"/>
      <c r="W218" s="4"/>
      <c r="X218" s="4"/>
      <c r="Y218" s="4"/>
      <c r="Z218" s="4"/>
      <c r="AA218" s="4"/>
      <c r="AB218" s="4"/>
      <c r="AC218" s="4"/>
      <c r="AD218" s="4"/>
      <c r="AE218" s="4"/>
      <c r="AF218" s="4"/>
      <c r="AG218" s="4"/>
    </row>
    <row r="219" spans="1:33" ht="22.5" customHeight="1" x14ac:dyDescent="0.25">
      <c r="A219" s="2"/>
      <c r="B219" s="2"/>
      <c r="C219" s="2"/>
      <c r="D219" s="2"/>
      <c r="E219" s="2"/>
      <c r="F219" s="4"/>
      <c r="G219" s="4"/>
      <c r="H219" s="4" t="s">
        <v>48</v>
      </c>
      <c r="I219" s="4" t="str">
        <f ca="1">IFERROR(__xludf.DUMMYFUNCTION("GOOGLETRANSLATE(B219,""en"",""ar"")"),"يرتدي جميع الفرسان غطاء رأس تقليديًا بنقشة مربعات حمراء وبيضاء. ما اسم هذا الغطاء؟")</f>
        <v>يرتدي جميع الفرسان غطاء رأس تقليديًا بنقشة مربعات حمراء وبيضاء. ما اسم هذا الغطاء؟</v>
      </c>
      <c r="J219" s="4" t="str">
        <f ca="1">IFERROR(__xludf.DUMMYFUNCTION("GOOGLETRANSLATE(C219,""en"",""ar"")"),"أ) العمامة، ب) الطربوش، ج) الكوفية أو الغترة، د) الكوفي")</f>
        <v>أ) العمامة، ب) الطربوش، ج) الكوفية أو الغترة، د) الكوفي</v>
      </c>
      <c r="K219" s="4" t="str">
        <f ca="1">IFERROR(__xludf.DUMMYFUNCTION("GOOGLETRANSLATE(D219,""en"",""ar"")"),"ج) الكوفية أو الغترة")</f>
        <v>ج) الكوفية أو الغترة</v>
      </c>
      <c r="L219" s="4" t="str">
        <f ca="1">IFERROR(__xludf.DUMMYFUNCTION("GOOGLETRANSLATE(E219,""en"",""ar"")"),"هذا هو غطاء الرأس التقليدي الذي يرتديه الرجال في أجزاء كثيرة من شبه الجزيرة العربية.")</f>
        <v>هذا هو غطاء الرأس التقليدي الذي يرتديه الرجال في أجزاء كثيرة من شبه الجزيرة العربية.</v>
      </c>
      <c r="M219" s="4"/>
      <c r="N219" s="4"/>
      <c r="O219" s="4"/>
      <c r="P219" s="4"/>
      <c r="Q219" s="4"/>
      <c r="R219" s="4"/>
      <c r="S219" s="4"/>
      <c r="T219" s="4"/>
      <c r="U219" s="4"/>
      <c r="V219" s="4"/>
      <c r="W219" s="4"/>
      <c r="X219" s="4"/>
      <c r="Y219" s="4"/>
      <c r="Z219" s="4"/>
      <c r="AA219" s="4"/>
      <c r="AB219" s="4"/>
      <c r="AC219" s="4"/>
      <c r="AD219" s="4"/>
      <c r="AE219" s="4"/>
      <c r="AF219" s="4"/>
      <c r="AG219" s="4"/>
    </row>
    <row r="220" spans="1:33" ht="22.5" customHeight="1" x14ac:dyDescent="0.25">
      <c r="A220" s="2"/>
      <c r="B220" s="2"/>
      <c r="C220" s="2"/>
      <c r="D220" s="2"/>
      <c r="E220" s="2"/>
      <c r="F220" s="4"/>
      <c r="G220" s="4"/>
      <c r="H220" s="4" t="s">
        <v>48</v>
      </c>
      <c r="I220" s="4" t="str">
        <f ca="1">IFERROR(__xludf.DUMMYFUNCTION("GOOGLETRANSLATE(B220,""en"",""ar"")"),"كيف يمسك الفرسان بزمام خيولهم؟")</f>
        <v>كيف يمسك الفرسان بزمام خيولهم؟</v>
      </c>
      <c r="J220" s="4" t="str">
        <f ca="1">IFERROR(__xludf.DUMMYFUNCTION("GOOGLETRANSLATE(C220,""en"",""ar"")"),"أ) بكلتا اليدين، ب) لا يمسكون باللجام، ج) بيد واحدة، يرفعونها عالياً، د) مربوطون بالسرج")</f>
        <v>أ) بكلتا اليدين، ب) لا يمسكون باللجام، ج) بيد واحدة، يرفعونها عالياً، د) مربوطون بالسرج</v>
      </c>
      <c r="K220" s="4" t="str">
        <f ca="1">IFERROR(__xludf.DUMMYFUNCTION("GOOGLETRANSLATE(D220,""en"",""ar"")"),"ج) بيد واحدة، ارفعها عالياً")</f>
        <v>ج) بيد واحدة، ارفعها عالياً</v>
      </c>
      <c r="L220" s="4" t="str">
        <f ca="1">IFERROR(__xludf.DUMMYFUNCTION("GOOGLETRANSLATE(E220,""en"",""ar"")"),"يمسك الفرسان بزمام الخيل معاً بيد واحدة بطريقة رسمية وموحدة.")</f>
        <v>يمسك الفرسان بزمام الخيل معاً بيد واحدة بطريقة رسمية وموحدة.</v>
      </c>
      <c r="M220" s="4"/>
      <c r="N220" s="4"/>
      <c r="O220" s="4"/>
      <c r="P220" s="4"/>
      <c r="Q220" s="4"/>
      <c r="R220" s="4"/>
      <c r="S220" s="4"/>
      <c r="T220" s="4"/>
      <c r="U220" s="4"/>
      <c r="V220" s="4"/>
      <c r="W220" s="4"/>
      <c r="X220" s="4"/>
      <c r="Y220" s="4"/>
      <c r="Z220" s="4"/>
      <c r="AA220" s="4"/>
      <c r="AB220" s="4"/>
      <c r="AC220" s="4"/>
      <c r="AD220" s="4"/>
      <c r="AE220" s="4"/>
      <c r="AF220" s="4"/>
      <c r="AG220" s="4"/>
    </row>
    <row r="221" spans="1:33" ht="22.5" customHeight="1" x14ac:dyDescent="0.25">
      <c r="A221" s="2"/>
      <c r="B221" s="2"/>
      <c r="C221" s="2"/>
      <c r="D221" s="2"/>
      <c r="E221" s="2"/>
      <c r="F221" s="4"/>
      <c r="G221" s="4"/>
      <c r="H221" s="4" t="s">
        <v>48</v>
      </c>
      <c r="I221" s="4" t="str">
        <f ca="1">IFERROR(__xludf.DUMMYFUNCTION("GOOGLETRANSLATE(B221,""en"",""ar"")"),"يُظهر هذا المشهد استخدام الجمال في دور يُبرز...")</f>
        <v>يُظهر هذا المشهد استخدام الجمال في دور يُبرز...</v>
      </c>
      <c r="J221" s="4" t="str">
        <f ca="1">IFERROR(__xludf.DUMMYFUNCTION("GOOGLETRANSLATE(C221,""en"",""ar"")"),"أ) السرعة والمنافسة، ب) العمل الزراعي، ج) طبيعتهم الجامحة، د) الثقافة والتقاليد والاحتفالات")</f>
        <v>أ) السرعة والمنافسة، ب) العمل الزراعي، ج) طبيعتهم الجامحة، د) الثقافة والتقاليد والاحتفالات</v>
      </c>
      <c r="K221" s="4" t="str">
        <f ca="1">IFERROR(__xludf.DUMMYFUNCTION("GOOGLETRANSLATE(D221,""en"",""ar"")"),"د) الثقافة والتقاليد والاحتفالات")</f>
        <v>د) الثقافة والتقاليد والاحتفالات</v>
      </c>
      <c r="L221" s="4" t="str">
        <f ca="1">IFERROR(__xludf.DUMMYFUNCTION("GOOGLETRANSLATE(E221,""en"",""ar"")"),"يركز العرض بأكمله على الروعة البصرية والتقاليد الثقافية، وليس على السباقات أو المنفعة.")</f>
        <v>يركز العرض بأكمله على الروعة البصرية والتقاليد الثقافية، وليس على السباقات أو المنفعة.</v>
      </c>
      <c r="M221" s="4"/>
      <c r="N221" s="4"/>
      <c r="O221" s="4"/>
      <c r="P221" s="4"/>
      <c r="Q221" s="4"/>
      <c r="R221" s="4"/>
      <c r="S221" s="4"/>
      <c r="T221" s="4"/>
      <c r="U221" s="4"/>
      <c r="V221" s="4"/>
      <c r="W221" s="4"/>
      <c r="X221" s="4"/>
      <c r="Y221" s="4"/>
      <c r="Z221" s="4"/>
      <c r="AA221" s="4"/>
      <c r="AB221" s="4"/>
      <c r="AC221" s="4"/>
      <c r="AD221" s="4"/>
      <c r="AE221" s="4"/>
      <c r="AF221" s="4"/>
      <c r="AG221" s="4"/>
    </row>
    <row r="222" spans="1:33" ht="22.5" customHeight="1" x14ac:dyDescent="0.25">
      <c r="A222" s="2"/>
      <c r="B222" s="2"/>
      <c r="C222" s="2"/>
      <c r="D222" s="2"/>
      <c r="E222" s="2"/>
      <c r="F222" s="4"/>
      <c r="G222" s="4"/>
      <c r="H222" s="4" t="s">
        <v>49</v>
      </c>
      <c r="I222" s="4" t="str">
        <f ca="1">IFERROR(__xludf.DUMMYFUNCTION("GOOGLETRANSLATE(B222,""en"",""ar"")"),"استناداً إلى طبيعة المكان (العشب الجاف، والأشجار الشبيهة بالأوكالبتوس) وأسلوب الحدث، فمن المرجح أن يقام هذا السباق في أي مكان؟")</f>
        <v>استناداً إلى طبيعة المكان (العشب الجاف، والأشجار الشبيهة بالأوكالبتوس) وأسلوب الحدث، فمن المرجح أن يقام هذا السباق في أي مكان؟</v>
      </c>
      <c r="J222" s="4" t="str">
        <f ca="1">IFERROR(__xludf.DUMMYFUNCTION("GOOGLETRANSLATE(C222,""en"",""ar"")"),"أ) الصحراء الكبرى في أفريقيا، ب) مهرجان في أستراليا، ج) صحاري شبه الجزيرة العربية، د) سهول سيبيريا المتجمدة")</f>
        <v>أ) الصحراء الكبرى في أفريقيا، ب) مهرجان في أستراليا، ج) صحاري شبه الجزيرة العربية، د) سهول سيبيريا المتجمدة</v>
      </c>
      <c r="K222" s="4" t="str">
        <f ca="1">IFERROR(__xludf.DUMMYFUNCTION("GOOGLETRANSLATE(D222,""en"",""ar"")"),"ب) مهرجان في أستراليا")</f>
        <v>ب) مهرجان في أستراليا</v>
      </c>
      <c r="L222" s="4" t="str">
        <f ca="1">IFERROR(__xludf.DUMMYFUNCTION("GOOGLETRANSLATE(E222,""en"",""ar"")"),"يحظى هذا النمط من سباقات الهجن في المناطق النائية بشعبية كبيرة في المهرجانات التي تُقام في أستراليا، مثل سباقات بوليا للهجن. وتُعدّ النباتات دليلاً رئيسياً على ذلك.")</f>
        <v>يحظى هذا النمط من سباقات الهجن في المناطق النائية بشعبية كبيرة في المهرجانات التي تُقام في أستراليا، مثل سباقات بوليا للهجن. وتُعدّ النباتات دليلاً رئيسياً على ذلك.</v>
      </c>
      <c r="M222" s="4"/>
      <c r="N222" s="4"/>
      <c r="O222" s="4"/>
      <c r="P222" s="4"/>
      <c r="Q222" s="4"/>
      <c r="R222" s="4"/>
      <c r="S222" s="4"/>
      <c r="T222" s="4"/>
      <c r="U222" s="4"/>
      <c r="V222" s="4"/>
      <c r="W222" s="4"/>
      <c r="X222" s="4"/>
      <c r="Y222" s="4"/>
      <c r="Z222" s="4"/>
      <c r="AA222" s="4"/>
      <c r="AB222" s="4"/>
      <c r="AC222" s="4"/>
      <c r="AD222" s="4"/>
      <c r="AE222" s="4"/>
      <c r="AF222" s="4"/>
      <c r="AG222" s="4"/>
    </row>
    <row r="223" spans="1:33" ht="22.5" customHeight="1" x14ac:dyDescent="0.25">
      <c r="A223" s="2"/>
      <c r="B223" s="2"/>
      <c r="C223" s="2"/>
      <c r="D223" s="2"/>
      <c r="E223" s="2"/>
      <c r="F223" s="4"/>
      <c r="G223" s="4"/>
      <c r="H223" s="4" t="s">
        <v>49</v>
      </c>
      <c r="I223" s="4" t="str">
        <f ca="1">IFERROR(__xludf.DUMMYFUNCTION("GOOGLETRANSLATE(B223,""en"",""ar"")"),"ماذا يرتدي الفرسان؟")</f>
        <v>ماذا يرتدي الفرسان؟</v>
      </c>
      <c r="J223" s="4" t="str">
        <f ca="1">IFERROR(__xludf.DUMMYFUNCTION("GOOGLETRANSLATE(C223,""en"",""ar"")"),"أ) أردية وأغطية رأس تقليدية، ب) ملابس شتوية ثقيلة، ج) أقمشة سباق حريرية وخوذات حديثة وملونة، د) زي رعاة البقر الغربي")</f>
        <v>أ) أردية وأغطية رأس تقليدية، ب) ملابس شتوية ثقيلة، ج) أقمشة سباق حريرية وخوذات حديثة وملونة، د) زي رعاة البقر الغربي</v>
      </c>
      <c r="K223" s="4" t="str">
        <f ca="1">IFERROR(__xludf.DUMMYFUNCTION("GOOGLETRANSLATE(D223,""en"",""ar"")"),"ج) أقمشة سباق وخوذات حديثة وملونة")</f>
        <v>ج) أقمشة سباق وخوذات حديثة وملونة</v>
      </c>
      <c r="L223" s="4" t="str">
        <f ca="1">IFERROR(__xludf.DUMMYFUNCTION("GOOGLETRANSLATE(E223,""en"",""ar"")"),"يرتدي الفرسان قمصانًا وخوذات أمان، على غرار تلك المستخدمة في سباقات الخيل.")</f>
        <v>يرتدي الفرسان قمصانًا وخوذات أمان، على غرار تلك المستخدمة في سباقات الخيل.</v>
      </c>
      <c r="M223" s="4"/>
      <c r="N223" s="4"/>
      <c r="O223" s="4"/>
      <c r="P223" s="4"/>
      <c r="Q223" s="4"/>
      <c r="R223" s="4"/>
      <c r="S223" s="4"/>
      <c r="T223" s="4"/>
      <c r="U223" s="4"/>
      <c r="V223" s="4"/>
      <c r="W223" s="4"/>
      <c r="X223" s="4"/>
      <c r="Y223" s="4"/>
      <c r="Z223" s="4"/>
      <c r="AA223" s="4"/>
      <c r="AB223" s="4"/>
      <c r="AC223" s="4"/>
      <c r="AD223" s="4"/>
      <c r="AE223" s="4"/>
      <c r="AF223" s="4"/>
      <c r="AG223" s="4"/>
    </row>
    <row r="224" spans="1:33" ht="22.5" customHeight="1" x14ac:dyDescent="0.25">
      <c r="A224" s="2"/>
      <c r="B224" s="2"/>
      <c r="C224" s="2"/>
      <c r="D224" s="2"/>
      <c r="E224" s="2"/>
      <c r="F224" s="4"/>
      <c r="G224" s="4"/>
      <c r="H224" s="4" t="s">
        <v>49</v>
      </c>
      <c r="I224" s="4" t="str">
        <f ca="1">IFERROR(__xludf.DUMMYFUNCTION("GOOGLETRANSLATE(B224,""en"",""ar"")"),"ما نوع المضمار الذي يُقام عليه السباق؟")</f>
        <v>ما نوع المضمار الذي يُقام عليه السباق؟</v>
      </c>
      <c r="J224" s="4" t="str">
        <f ca="1">IFERROR(__xludf.DUMMYFUNCTION("GOOGLETRANSLATE(C224,""en"",""ar"")"),"أ) مضمار رملي مُهَيَّأ ومُعتنى به، ب) طريق عام، ج) حقل عشبي غير رسمي، د) حفرة موحلة")</f>
        <v>أ) مضمار رملي مُهَيَّأ ومُعتنى به، ب) طريق عام، ج) حقل عشبي غير رسمي، د) حفرة موحلة</v>
      </c>
      <c r="K224" s="4" t="str">
        <f ca="1">IFERROR(__xludf.DUMMYFUNCTION("GOOGLETRANSLATE(D224,""en"",""ar"")"),"ج) حقل عشبي غير رسمي")</f>
        <v>ج) حقل عشبي غير رسمي</v>
      </c>
      <c r="L224" s="4" t="str">
        <f ca="1">IFERROR(__xludf.DUMMYFUNCTION("GOOGLETRANSLATE(E224,""en"",""ar"")"),"الأرض جافة ومتماسكة مع بقع من العشب، وهو أمر نموذجي لمسار مؤقت في معرض أو مهرجان ريفي.")</f>
        <v>الأرض جافة ومتماسكة مع بقع من العشب، وهو أمر نموذجي لمسار مؤقت في معرض أو مهرجان ريفي.</v>
      </c>
      <c r="M224" s="4"/>
      <c r="N224" s="4"/>
      <c r="O224" s="4"/>
      <c r="P224" s="4"/>
      <c r="Q224" s="4"/>
      <c r="R224" s="4"/>
      <c r="S224" s="4"/>
      <c r="T224" s="4"/>
      <c r="U224" s="4"/>
      <c r="V224" s="4"/>
      <c r="W224" s="4"/>
      <c r="X224" s="4"/>
      <c r="Y224" s="4"/>
      <c r="Z224" s="4"/>
      <c r="AA224" s="4"/>
      <c r="AB224" s="4"/>
      <c r="AC224" s="4"/>
      <c r="AD224" s="4"/>
      <c r="AE224" s="4"/>
      <c r="AF224" s="4"/>
      <c r="AG224" s="4"/>
    </row>
    <row r="225" spans="1:33" ht="22.5" customHeight="1" x14ac:dyDescent="0.25">
      <c r="A225" s="2"/>
      <c r="B225" s="2"/>
      <c r="C225" s="2"/>
      <c r="D225" s="2"/>
      <c r="E225" s="2"/>
      <c r="F225" s="4"/>
      <c r="G225" s="4"/>
      <c r="H225" s="4" t="s">
        <v>49</v>
      </c>
      <c r="I225" s="4" t="str">
        <f ca="1">IFERROR(__xludf.DUMMYFUNCTION("GOOGLETRANSLATE(B225,""en"",""ar"")"),"ما الذي يوجد في الخلفية، خلف الحاجز الأبيض؟")</f>
        <v>ما الذي يوجد في الخلفية، خلف الحاجز الأبيض؟</v>
      </c>
      <c r="J225" s="4" t="str">
        <f ca="1">IFERROR(__xludf.DUMMYFUNCTION("GOOGLETRANSLATE(C225,""en"",""ar"")"),"أ) حقل خالٍ، ب) حشد كبير من المتفرجين، ج) المحيط، د) غابة كثيفة")</f>
        <v>أ) حقل خالٍ، ب) حشد كبير من المتفرجين، ج) المحيط، د) غابة كثيفة</v>
      </c>
      <c r="K225" s="4" t="str">
        <f ca="1">IFERROR(__xludf.DUMMYFUNCTION("GOOGLETRANSLATE(D225,""en"",""ar"")"),"ب) حشد كبير من المتفرجين")</f>
        <v>ب) حشد كبير من المتفرجين</v>
      </c>
      <c r="L225" s="4" t="str">
        <f ca="1">IFERROR(__xludf.DUMMYFUNCTION("GOOGLETRANSLATE(E225,""en"",""ar"")"),"يصطف حشد كبير من الناس لمشاهدة الحدث، مما يسلط الضوء على طبيعته كعرض عام.")</f>
        <v>يصطف حشد كبير من الناس لمشاهدة الحدث، مما يسلط الضوء على طبيعته كعرض عام.</v>
      </c>
      <c r="M225" s="4"/>
      <c r="N225" s="4"/>
      <c r="O225" s="4"/>
      <c r="P225" s="4"/>
      <c r="Q225" s="4"/>
      <c r="R225" s="4"/>
      <c r="S225" s="4"/>
      <c r="T225" s="4"/>
      <c r="U225" s="4"/>
      <c r="V225" s="4"/>
      <c r="W225" s="4"/>
      <c r="X225" s="4"/>
      <c r="Y225" s="4"/>
      <c r="Z225" s="4"/>
      <c r="AA225" s="4"/>
      <c r="AB225" s="4"/>
      <c r="AC225" s="4"/>
      <c r="AD225" s="4"/>
      <c r="AE225" s="4"/>
      <c r="AF225" s="4"/>
      <c r="AG225" s="4"/>
    </row>
    <row r="226" spans="1:33" ht="22.5" customHeight="1" x14ac:dyDescent="0.25">
      <c r="A226" s="2"/>
      <c r="B226" s="2"/>
      <c r="C226" s="2"/>
      <c r="D226" s="2"/>
      <c r="E226" s="2"/>
      <c r="F226" s="4"/>
      <c r="G226" s="4"/>
      <c r="H226" s="4" t="s">
        <v>49</v>
      </c>
      <c r="I226" s="4" t="str">
        <f ca="1">IFERROR(__xludf.DUMMYFUNCTION("GOOGLETRANSLATE(B226,""en"",""ar"")"),"ما هو لون الخوذة الزاهي التي يرتديها الفارس الموجود على اليمين؟")</f>
        <v>ما هو لون الخوذة الزاهي التي يرتديها الفارس الموجود على اليمين؟</v>
      </c>
      <c r="J226" s="4" t="str">
        <f ca="1">IFERROR(__xludf.DUMMYFUNCTION("GOOGLETRANSLATE(C226,""en"",""ar"")"),"أ) أحمر، ب) أزرق، ج) أخضر، د) وردي")</f>
        <v>أ) أحمر، ب) أزرق، ج) أخضر، د) وردي</v>
      </c>
      <c r="K226" s="4" t="str">
        <f ca="1">IFERROR(__xludf.DUMMYFUNCTION("GOOGLETRANSLATE(D226,""en"",""ar"")"),"د) وردي")</f>
        <v>د) وردي</v>
      </c>
      <c r="L226" s="4" t="str">
        <f ca="1">IFERROR(__xludf.DUMMYFUNCTION("GOOGLETRANSLATE(E226,""en"",""ar"")"),"يرتدي الفارس على الجمل القائد خوذة وردية زاهية.")</f>
        <v>يرتدي الفارس على الجمل القائد خوذة وردية زاهية.</v>
      </c>
      <c r="M226" s="4"/>
      <c r="N226" s="4"/>
      <c r="O226" s="4"/>
      <c r="P226" s="4"/>
      <c r="Q226" s="4"/>
      <c r="R226" s="4"/>
      <c r="S226" s="4"/>
      <c r="T226" s="4"/>
      <c r="U226" s="4"/>
      <c r="V226" s="4"/>
      <c r="W226" s="4"/>
      <c r="X226" s="4"/>
      <c r="Y226" s="4"/>
      <c r="Z226" s="4"/>
      <c r="AA226" s="4"/>
      <c r="AB226" s="4"/>
      <c r="AC226" s="4"/>
      <c r="AD226" s="4"/>
      <c r="AE226" s="4"/>
      <c r="AF226" s="4"/>
      <c r="AG226" s="4"/>
    </row>
    <row r="227" spans="1:33" ht="22.5" customHeight="1" x14ac:dyDescent="0.25">
      <c r="A227" s="2"/>
      <c r="B227" s="2"/>
      <c r="C227" s="2"/>
      <c r="D227" s="2"/>
      <c r="E227" s="2"/>
      <c r="F227" s="4"/>
      <c r="G227" s="4"/>
      <c r="H227" s="4" t="s">
        <v>49</v>
      </c>
      <c r="I227" s="4" t="str">
        <f ca="1">IFERROR(__xludf.DUMMYFUNCTION("GOOGLETRANSLATE(B227,""en"",""ar"")"),"كيف يجلس الفرسان على الجمال؟")</f>
        <v>كيف يجلس الفرسان على الجمال؟</v>
      </c>
      <c r="J227" s="4" t="str">
        <f ca="1">IFERROR(__xludf.DUMMYFUNCTION("GOOGLETRANSLATE(C227,""en"",""ar"")"),"أ) خلف السنام، في سروج صغيرة، ب) مباشرة فوق السنام، ج) أمام السنام على الرقبة، د) جانبياً")</f>
        <v>أ) خلف السنام، في سروج صغيرة، ب) مباشرة فوق السنام، ج) أمام السنام على الرقبة، د) جانبياً</v>
      </c>
      <c r="K227" s="4" t="str">
        <f ca="1">IFERROR(__xludf.DUMMYFUNCTION("GOOGLETRANSLATE(D227,""en"",""ar"")"),"أ) خلف السنام، في سروج صغيرة")</f>
        <v>أ) خلف السنام، في سروج صغيرة</v>
      </c>
      <c r="L227" s="4" t="str">
        <f ca="1">IFERROR(__xludf.DUMMYFUNCTION("GOOGLETRANSLATE(E227,""en"",""ar"")"),"إنهم يستخدمون سروج سباق صغيرة توضع خلف سنام الجمل مباشرة، وهو الوضع القياسي.")</f>
        <v>إنهم يستخدمون سروج سباق صغيرة توضع خلف سنام الجمل مباشرة، وهو الوضع القياسي.</v>
      </c>
      <c r="M227" s="4"/>
      <c r="N227" s="4"/>
      <c r="O227" s="4"/>
      <c r="P227" s="4"/>
      <c r="Q227" s="4"/>
      <c r="R227" s="4"/>
      <c r="S227" s="4"/>
      <c r="T227" s="4"/>
      <c r="U227" s="4"/>
      <c r="V227" s="4"/>
      <c r="W227" s="4"/>
      <c r="X227" s="4"/>
      <c r="Y227" s="4"/>
      <c r="Z227" s="4"/>
      <c r="AA227" s="4"/>
      <c r="AB227" s="4"/>
      <c r="AC227" s="4"/>
      <c r="AD227" s="4"/>
      <c r="AE227" s="4"/>
      <c r="AF227" s="4"/>
      <c r="AG227" s="4"/>
    </row>
    <row r="228" spans="1:33" ht="22.5" customHeight="1" x14ac:dyDescent="0.25">
      <c r="A228" s="2"/>
      <c r="B228" s="2"/>
      <c r="C228" s="2"/>
      <c r="D228" s="2"/>
      <c r="E228" s="2"/>
      <c r="F228" s="4"/>
      <c r="G228" s="4"/>
      <c r="H228" s="4" t="s">
        <v>49</v>
      </c>
      <c r="I228" s="4" t="str">
        <f ca="1">IFERROR(__xludf.DUMMYFUNCTION("GOOGLETRANSLATE(B228,""en"",""ar"")"),"يبدو أن الأجواء العامة لهذا الحدث...")</f>
        <v>يبدو أن الأجواء العامة لهذا الحدث...</v>
      </c>
      <c r="J228" s="4" t="str">
        <f ca="1">IFERROR(__xludf.DUMMYFUNCTION("GOOGLETRANSLATE(C228,""en"",""ar"")"),"أ) بطولة رسمية وجادة، ب) فعالية مجتمعية ممتعة واحتفالية، ج) جلسة تدريب خاصة، د) موقف خطير وخارج عن السيطرة")</f>
        <v>أ) بطولة رسمية وجادة، ب) فعالية مجتمعية ممتعة واحتفالية، ج) جلسة تدريب خاصة، د) موقف خطير وخارج عن السيطرة</v>
      </c>
      <c r="K228" s="4" t="str">
        <f ca="1">IFERROR(__xludf.DUMMYFUNCTION("GOOGLETRANSLATE(D228,""en"",""ar"")"),"ب) فعالية مجتمعية ممتعة واحتفالية")</f>
        <v>ب) فعالية مجتمعية ممتعة واحتفالية</v>
      </c>
      <c r="L228" s="4" t="str">
        <f ca="1">IFERROR(__xludf.DUMMYFUNCTION("GOOGLETRANSLATE(E228,""en"",""ar"")"),"يشير الحشد الكبير والمسترخي والأجواء الشبيهة بأجواء الملاهي إلى أن هذا المهرجان أقرب إلى كونه مهرجانًا ترفيهيًا منه إلى رياضة احترافية عالية المخاطر.")</f>
        <v>يشير الحشد الكبير والمسترخي والأجواء الشبيهة بأجواء الملاهي إلى أن هذا المهرجان أقرب إلى كونه مهرجانًا ترفيهيًا منه إلى رياضة احترافية عالية المخاطر.</v>
      </c>
      <c r="M228" s="4"/>
      <c r="N228" s="4"/>
      <c r="O228" s="4"/>
      <c r="P228" s="4"/>
      <c r="Q228" s="4"/>
      <c r="R228" s="4"/>
      <c r="S228" s="4"/>
      <c r="T228" s="4"/>
      <c r="U228" s="4"/>
      <c r="V228" s="4"/>
      <c r="W228" s="4"/>
      <c r="X228" s="4"/>
      <c r="Y228" s="4"/>
      <c r="Z228" s="4"/>
      <c r="AA228" s="4"/>
      <c r="AB228" s="4"/>
      <c r="AC228" s="4"/>
      <c r="AD228" s="4"/>
      <c r="AE228" s="4"/>
      <c r="AF228" s="4"/>
      <c r="AG228" s="4"/>
    </row>
    <row r="229" spans="1:33" ht="22.5" customHeight="1" x14ac:dyDescent="0.25">
      <c r="A229" s="2"/>
      <c r="B229" s="2"/>
      <c r="C229" s="2"/>
      <c r="D229" s="2"/>
      <c r="E229" s="2"/>
      <c r="F229" s="4"/>
      <c r="G229" s="4"/>
      <c r="H229" s="4" t="s">
        <v>49</v>
      </c>
      <c r="I229" s="4" t="str">
        <f ca="1">IFERROR(__xludf.DUMMYFUNCTION("GOOGLETRANSLATE(B229,""en"",""ar"")"),"في أي مرحلة من مراحل الجري يمر الجمل الموجود على اليسار؟")</f>
        <v>في أي مرحلة من مراحل الجري يمر الجمل الموجود على اليسار؟</v>
      </c>
      <c r="J229" s="4" t="str">
        <f ca="1">IFERROR(__xludf.DUMMYFUNCTION("GOOGLETRANSLATE(C229,""en"",""ar"")"),"أ) إنه واقف بلا حراك، ب) جميع أقدامه الأربعة على الأرض، ج) إنه في الهواء وجميع أقدامه الأربعة مرفوعة عن الأرض، د) إنه يهبط على قدميه الأماميتين")</f>
        <v>أ) إنه واقف بلا حراك، ب) جميع أقدامه الأربعة على الأرض، ج) إنه في الهواء وجميع أقدامه الأربعة مرفوعة عن الأرض، د) إنه يهبط على قدميه الأماميتين</v>
      </c>
      <c r="K229" s="4" t="str">
        <f ca="1">IFERROR(__xludf.DUMMYFUNCTION("GOOGLETRANSLATE(D229,""en"",""ar"")"),"ج) يكون في الهواء مع رفع جميع أقدامه الأربعة عن الأرض")</f>
        <v>ج) يكون في الهواء مع رفع جميع أقدامه الأربعة عن الأرض</v>
      </c>
      <c r="L229" s="4" t="str">
        <f ca="1">IFERROR(__xludf.DUMMYFUNCTION("GOOGLETRANSLATE(E229,""en"",""ar"")"),"الجمل في ""لحظة التوقف"" من عدوه، وهو محلق بالكامل في الهواء.")</f>
        <v>الجمل في "لحظة التوقف" من عدوه، وهو محلق بالكامل في الهواء.</v>
      </c>
      <c r="M229" s="4"/>
      <c r="N229" s="4"/>
      <c r="O229" s="4"/>
      <c r="P229" s="4"/>
      <c r="Q229" s="4"/>
      <c r="R229" s="4"/>
      <c r="S229" s="4"/>
      <c r="T229" s="4"/>
      <c r="U229" s="4"/>
      <c r="V229" s="4"/>
      <c r="W229" s="4"/>
      <c r="X229" s="4"/>
      <c r="Y229" s="4"/>
      <c r="Z229" s="4"/>
      <c r="AA229" s="4"/>
      <c r="AB229" s="4"/>
      <c r="AC229" s="4"/>
      <c r="AD229" s="4"/>
      <c r="AE229" s="4"/>
      <c r="AF229" s="4"/>
      <c r="AG229" s="4"/>
    </row>
    <row r="230" spans="1:33" ht="22.5" customHeight="1" x14ac:dyDescent="0.25">
      <c r="A230" s="2"/>
      <c r="B230" s="2"/>
      <c r="C230" s="2"/>
      <c r="D230" s="2"/>
      <c r="E230" s="2"/>
      <c r="F230" s="4"/>
      <c r="G230" s="4"/>
      <c r="H230" s="4" t="s">
        <v>49</v>
      </c>
      <c r="I230" s="4" t="str">
        <f ca="1">IFERROR(__xludf.DUMMYFUNCTION("GOOGLETRANSLATE(B230,""en"",""ar"")"),"ما الذي يميز هذا الحدث عن السباقات التقليدية في الشرق الأوسط؟")</f>
        <v>ما الذي يميز هذا الحدث عن السباقات التقليدية في الشرق الأوسط؟</v>
      </c>
      <c r="J230" s="4" t="str">
        <f ca="1">IFERROR(__xludf.DUMMYFUNCTION("GOOGLETRANSLATE(C230,""en"",""ar"")"),"أ) استخدام الجمال، ب) وجود الفرسان، ج) البيئة غير الصحراوية والزي الحديث للفرسان، د) كونها سباقًا")</f>
        <v>أ) استخدام الجمال، ب) وجود الفرسان، ج) البيئة غير الصحراوية والزي الحديث للفرسان، د) كونها سباقًا</v>
      </c>
      <c r="K230" s="4" t="str">
        <f ca="1">IFERROR(__xludf.DUMMYFUNCTION("GOOGLETRANSLATE(D230,""en"",""ar"")"),"ج) البيئة غير الصحراوية والزي الحديث للفرسان")</f>
        <v>ج) البيئة غير الصحراوية والزي الحديث للفرسان</v>
      </c>
      <c r="L230" s="4" t="str">
        <f ca="1">IFERROR(__xludf.DUMMYFUNCTION("GOOGLETRANSLATE(E230,""en"",""ar"")"),"تختلف المناظر الطبيعية العشبية والأزياء الحريرية والخوذات الخاصة بسباقات الخيل اختلافاً كبيراً عن سباقات الصحراء التقليدية التي يرتدي فيها الفرسان أردية.")</f>
        <v>تختلف المناظر الطبيعية العشبية والأزياء الحريرية والخوذات الخاصة بسباقات الخيل اختلافاً كبيراً عن سباقات الصحراء التقليدية التي يرتدي فيها الفرسان أردية.</v>
      </c>
      <c r="M230" s="4"/>
      <c r="N230" s="4"/>
      <c r="O230" s="4"/>
      <c r="P230" s="4"/>
      <c r="Q230" s="4"/>
      <c r="R230" s="4"/>
      <c r="S230" s="4"/>
      <c r="T230" s="4"/>
      <c r="U230" s="4"/>
      <c r="V230" s="4"/>
      <c r="W230" s="4"/>
      <c r="X230" s="4"/>
      <c r="Y230" s="4"/>
      <c r="Z230" s="4"/>
      <c r="AA230" s="4"/>
      <c r="AB230" s="4"/>
      <c r="AC230" s="4"/>
      <c r="AD230" s="4"/>
      <c r="AE230" s="4"/>
      <c r="AF230" s="4"/>
      <c r="AG230" s="4"/>
    </row>
    <row r="231" spans="1:33" ht="22.5" customHeight="1" x14ac:dyDescent="0.25">
      <c r="A231" s="2"/>
      <c r="B231" s="2"/>
      <c r="C231" s="2"/>
      <c r="D231" s="2"/>
      <c r="E231" s="2"/>
      <c r="F231" s="4"/>
      <c r="G231" s="4"/>
      <c r="H231" s="4" t="s">
        <v>49</v>
      </c>
      <c r="I231" s="4" t="str">
        <f ca="1">IFERROR(__xludf.DUMMYFUNCTION("GOOGLETRANSLATE(B231,""en"",""ar"")"),"يمد الفرسان أرجلهم بعيدًا عن جانبي الجمال، وهو وضع يتطلب...")</f>
        <v>يمد الفرسان أرجلهم بعيدًا عن جانبي الجمال، وهو وضع يتطلب...</v>
      </c>
      <c r="J231" s="4" t="str">
        <f ca="1">IFERROR(__xludf.DUMMYFUNCTION("GOOGLETRANSLATE(C231,""en"",""ar"")"),"أ) بدون بذل أي جهد، ب) عضلات ساق قوية وتوازن جيد، ج) ركابات طويلة، د) أحذية مغناطيسية خاصة")</f>
        <v>أ) بدون بذل أي جهد، ب) عضلات ساق قوية وتوازن جيد، ج) ركابات طويلة، د) أحذية مغناطيسية خاصة</v>
      </c>
      <c r="K231" s="4" t="str">
        <f ca="1">IFERROR(__xludf.DUMMYFUNCTION("GOOGLETRANSLATE(D231,""en"",""ar"")"),"ب) عضلات ساق قوية وتوازن جيد")</f>
        <v>ب) عضلات ساق قوية وتوازن جيد</v>
      </c>
      <c r="L231" s="4" t="str">
        <f ca="1">IFERROR(__xludf.DUMMYFUNCTION("GOOGLETRANSLATE(E231,""en"",""ar"")"),"ركوب الجمل بسرعة يتطلب قوة كبيرة للحفاظ على التوازن والوضعية.")</f>
        <v>ركوب الجمل بسرعة يتطلب قوة كبيرة للحفاظ على التوازن والوضعية.</v>
      </c>
      <c r="M231" s="4"/>
      <c r="N231" s="4"/>
      <c r="O231" s="4"/>
      <c r="P231" s="4"/>
      <c r="Q231" s="4"/>
      <c r="R231" s="4"/>
      <c r="S231" s="4"/>
      <c r="T231" s="4"/>
      <c r="U231" s="4"/>
      <c r="V231" s="4"/>
      <c r="W231" s="4"/>
      <c r="X231" s="4"/>
      <c r="Y231" s="4"/>
      <c r="Z231" s="4"/>
      <c r="AA231" s="4"/>
      <c r="AB231" s="4"/>
      <c r="AC231" s="4"/>
      <c r="AD231" s="4"/>
      <c r="AE231" s="4"/>
      <c r="AF231" s="4"/>
      <c r="AG231" s="4"/>
    </row>
    <row r="232" spans="1:33" ht="22.5" customHeight="1" x14ac:dyDescent="0.25">
      <c r="A232" s="2"/>
      <c r="B232" s="2"/>
      <c r="C232" s="2"/>
      <c r="D232" s="2"/>
      <c r="E232" s="2"/>
      <c r="F232" s="4"/>
      <c r="G232" s="4"/>
      <c r="H232" s="4" t="s">
        <v>50</v>
      </c>
      <c r="I232" s="4" t="str">
        <f ca="1">IFERROR(__xludf.DUMMYFUNCTION("GOOGLETRANSLATE(B232,""en"",""ar"")"),"ما هو الحدث المهم الذي يحدث في هذه الصورة؟")</f>
        <v>ما هو الحدث المهم الذي يحدث في هذه الصورة؟</v>
      </c>
      <c r="J232" s="4" t="str">
        <f ca="1">IFERROR(__xludf.DUMMYFUNCTION("GOOGLETRANSLATE(C232,""en"",""ar"")"),"أ) فارس يحتفل بالفوز، ب) سقط شخص على المضمار في طريق الجمال، ج) يُسقى جمل، د) بدأ السباق للتو بشكل منظم")</f>
        <v>أ) فارس يحتفل بالفوز، ب) سقط شخص على المضمار في طريق الجمال، ج) يُسقى جمل، د) بدأ السباق للتو بشكل منظم</v>
      </c>
      <c r="K232" s="4" t="str">
        <f ca="1">IFERROR(__xludf.DUMMYFUNCTION("GOOGLETRANSLATE(D232,""en"",""ar"")"),"ب) سقط شخص على الطريق في مسار الجمال")</f>
        <v>ب) سقط شخص على الطريق في مسار الجمال</v>
      </c>
      <c r="L232" s="4" t="str">
        <f ca="1">IFERROR(__xludf.DUMMYFUNCTION("GOOGLETRANSLATE(E232,""en"",""ar"")"),"شخص مستلقٍ على وجهه على الطريق الرملي بينما تركض الجمال بسرعة، مما يخلق وضعاً خطيراً للغاية.")</f>
        <v>شخص مستلقٍ على وجهه على الطريق الرملي بينما تركض الجمال بسرعة، مما يخلق وضعاً خطيراً للغاية.</v>
      </c>
      <c r="M232" s="4"/>
      <c r="N232" s="4"/>
      <c r="O232" s="4"/>
      <c r="P232" s="4"/>
      <c r="Q232" s="4"/>
      <c r="R232" s="4"/>
      <c r="S232" s="4"/>
      <c r="T232" s="4"/>
      <c r="U232" s="4"/>
      <c r="V232" s="4"/>
      <c r="W232" s="4"/>
      <c r="X232" s="4"/>
      <c r="Y232" s="4"/>
      <c r="Z232" s="4"/>
      <c r="AA232" s="4"/>
      <c r="AB232" s="4"/>
      <c r="AC232" s="4"/>
      <c r="AD232" s="4"/>
      <c r="AE232" s="4"/>
      <c r="AF232" s="4"/>
      <c r="AG232" s="4"/>
    </row>
    <row r="233" spans="1:33" ht="22.5" customHeight="1" x14ac:dyDescent="0.25">
      <c r="A233" s="2"/>
      <c r="B233" s="2"/>
      <c r="C233" s="2"/>
      <c r="D233" s="2"/>
      <c r="E233" s="2"/>
      <c r="F233" s="4"/>
      <c r="G233" s="4"/>
      <c r="H233" s="4" t="s">
        <v>50</v>
      </c>
      <c r="I233" s="4" t="str">
        <f ca="1">IFERROR(__xludf.DUMMYFUNCTION("GOOGLETRANSLATE(B233,""en"",""ar"")"),"توضح هذه الصورة بوضوح أي جانب من جوانب هذه الرياضة؟")</f>
        <v>توضح هذه الصورة بوضوح أي جانب من جوانب هذه الرياضة؟</v>
      </c>
      <c r="J233" s="4" t="str">
        <f ca="1">IFERROR(__xludf.DUMMYFUNCTION("GOOGLETRANSLATE(C233,""en"",""ar"")"),"أ) طبيعتها البطيئة والرشيقة، ب) المخاطر المالية الكبيرة، ج) الخطر الجسدي الكبير الذي تنطوي عليه، د) المناظر الطبيعية الخلابة للصحراء")</f>
        <v>أ) طبيعتها البطيئة والرشيقة، ب) المخاطر المالية الكبيرة، ج) الخطر الجسدي الكبير الذي تنطوي عليه، د) المناظر الطبيعية الخلابة للصحراء</v>
      </c>
      <c r="K233" s="4" t="str">
        <f ca="1">IFERROR(__xludf.DUMMYFUNCTION("GOOGLETRANSLATE(D233,""en"",""ar"")"),"ج) الخطر الجسدي الكبير الذي ينطوي عليه")</f>
        <v>ج) الخطر الجسدي الكبير الذي ينطوي عليه</v>
      </c>
      <c r="L233" s="4" t="str">
        <f ca="1">IFERROR(__xludf.DUMMYFUNCTION("GOOGLETRANSLATE(E233,""en"",""ar"")"),"تشكل السقطات والاصطدامات خطراً حقيقياً، وتلتقط هذه الصورة لحظة من الخطر الشديد على الشخص الساقط.")</f>
        <v>تشكل السقطات والاصطدامات خطراً حقيقياً، وتلتقط هذه الصورة لحظة من الخطر الشديد على الشخص الساقط.</v>
      </c>
      <c r="M233" s="4"/>
      <c r="N233" s="4"/>
      <c r="O233" s="4"/>
      <c r="P233" s="4"/>
      <c r="Q233" s="4"/>
      <c r="R233" s="4"/>
      <c r="S233" s="4"/>
      <c r="T233" s="4"/>
      <c r="U233" s="4"/>
      <c r="V233" s="4"/>
      <c r="W233" s="4"/>
      <c r="X233" s="4"/>
      <c r="Y233" s="4"/>
      <c r="Z233" s="4"/>
      <c r="AA233" s="4"/>
      <c r="AB233" s="4"/>
      <c r="AC233" s="4"/>
      <c r="AD233" s="4"/>
      <c r="AE233" s="4"/>
      <c r="AF233" s="4"/>
      <c r="AG233" s="4"/>
    </row>
    <row r="234" spans="1:33" ht="22.5" customHeight="1" x14ac:dyDescent="0.25">
      <c r="A234" s="2"/>
      <c r="B234" s="2"/>
      <c r="C234" s="2"/>
      <c r="D234" s="2"/>
      <c r="E234" s="2"/>
      <c r="F234" s="4"/>
      <c r="G234" s="4"/>
      <c r="H234" s="4" t="s">
        <v>50</v>
      </c>
      <c r="I234" s="4" t="str">
        <f ca="1">IFERROR(__xludf.DUMMYFUNCTION("GOOGLETRANSLATE(B234,""en"",""ar"")"),"ماذا يحاول الشخص الموجود على اليمين، والذي يركض، أن يفعل؟")</f>
        <v>ماذا يحاول الشخص الموجود على اليمين، والذي يركض، أن يفعل؟</v>
      </c>
      <c r="J234" s="4" t="str">
        <f ca="1">IFERROR(__xludf.DUMMYFUNCTION("GOOGLETRANSLATE(C234,""en"",""ar"")"),"أ) إنه يتسابق مع الجمال سيرًا على الأقدام، ب) من المحتمل أنه أحد المشرفين أو المسؤولين الذين يركضون لمساعدة جمل أو الإمساك به، ج) إنه متفرج دخل إلى المضمار، د) إنه يبدأ السباق بعلم")</f>
        <v>أ) إنه يتسابق مع الجمال سيرًا على الأقدام، ب) من المحتمل أنه أحد المشرفين أو المسؤولين الذين يركضون لمساعدة جمل أو الإمساك به، ج) إنه متفرج دخل إلى المضمار، د) إنه يبدأ السباق بعلم</v>
      </c>
      <c r="K234" s="4" t="str">
        <f ca="1">IFERROR(__xludf.DUMMYFUNCTION("GOOGLETRANSLATE(D234,""en"",""ar"")"),"ب) من المحتمل أنه أحد المشرفين أو المسؤولين الذين يركضون لمساعدة جمل أو الإمساك به")</f>
        <v>ب) من المحتمل أنه أحد المشرفين أو المسؤولين الذين يركضون لمساعدة جمل أو الإمساك به</v>
      </c>
      <c r="L234" s="4" t="str">
        <f ca="1">IFERROR(__xludf.DUMMYFUNCTION("GOOGLETRANSLATE(E234,""en"",""ar"")"),"في خضم فوضى السباق، غالباً ما يضطر المدربون إلى الركض إلى المضمار للسيطرة على الحيوانات أو المساعدة في الحوادث.")</f>
        <v>في خضم فوضى السباق، غالباً ما يضطر المدربون إلى الركض إلى المضمار للسيطرة على الحيوانات أو المساعدة في الحوادث.</v>
      </c>
      <c r="M234" s="4"/>
      <c r="N234" s="4"/>
      <c r="O234" s="4"/>
      <c r="P234" s="4"/>
      <c r="Q234" s="4"/>
      <c r="R234" s="4"/>
      <c r="S234" s="4"/>
      <c r="T234" s="4"/>
      <c r="U234" s="4"/>
      <c r="V234" s="4"/>
      <c r="W234" s="4"/>
      <c r="X234" s="4"/>
      <c r="Y234" s="4"/>
      <c r="Z234" s="4"/>
      <c r="AA234" s="4"/>
      <c r="AB234" s="4"/>
      <c r="AC234" s="4"/>
      <c r="AD234" s="4"/>
      <c r="AE234" s="4"/>
      <c r="AF234" s="4"/>
      <c r="AG234" s="4"/>
    </row>
    <row r="235" spans="1:33" ht="22.5" customHeight="1" x14ac:dyDescent="0.25">
      <c r="A235" s="2"/>
      <c r="B235" s="2"/>
      <c r="C235" s="2"/>
      <c r="D235" s="2"/>
      <c r="E235" s="2"/>
      <c r="F235" s="4"/>
      <c r="G235" s="4"/>
      <c r="H235" s="4" t="s">
        <v>50</v>
      </c>
      <c r="I235" s="4" t="str">
        <f ca="1">IFERROR(__xludf.DUMMYFUNCTION("GOOGLETRANSLATE(B235,""en"",""ar"")"),"ما هي المركبة البيضاء الظاهرة في الخلفية؟")</f>
        <v>ما هي المركبة البيضاء الظاهرة في الخلفية؟</v>
      </c>
      <c r="J235" s="4" t="str">
        <f ca="1">IFERROR(__xludf.DUMMYFUNCTION("GOOGLETRANSLATE(C235,""en"",""ar"")"),"أ) سيارة إسعاف، ب) سيارة أحد المتفرجين، ج) مركبة دعم، يُرجح أن تكون سيارة دفع رباعي، د) شاحنة طعام")</f>
        <v>أ) سيارة إسعاف، ب) سيارة أحد المتفرجين، ج) مركبة دعم، يُرجح أن تكون سيارة دفع رباعي، د) شاحنة طعام</v>
      </c>
      <c r="K235" s="4" t="str">
        <f ca="1">IFERROR(__xludf.DUMMYFUNCTION("GOOGLETRANSLATE(D235,""en"",""ar"")"),"ج) مركبة دعم، يُرجح أن تكون سيارة دفع رباعي")</f>
        <v>ج) مركبة دعم، يُرجح أن تكون سيارة دفع رباعي</v>
      </c>
      <c r="L235" s="4" t="str">
        <f ca="1">IFERROR(__xludf.DUMMYFUNCTION("GOOGLETRANSLATE(E235,""en"",""ar"")"),"من الشائع أن يتابع المدربون ومسؤولو السباق مجريات السباق في سيارات الدفع الرباعي التي تسير على مسار موازٍ لمسار الجمال.")</f>
        <v>من الشائع أن يتابع المدربون ومسؤولو السباق مجريات السباق في سيارات الدفع الرباعي التي تسير على مسار موازٍ لمسار الجمال.</v>
      </c>
      <c r="M235" s="4"/>
      <c r="N235" s="4"/>
      <c r="O235" s="4"/>
      <c r="P235" s="4"/>
      <c r="Q235" s="4"/>
      <c r="R235" s="4"/>
      <c r="S235" s="4"/>
      <c r="T235" s="4"/>
      <c r="U235" s="4"/>
      <c r="V235" s="4"/>
      <c r="W235" s="4"/>
      <c r="X235" s="4"/>
      <c r="Y235" s="4"/>
      <c r="Z235" s="4"/>
      <c r="AA235" s="4"/>
      <c r="AB235" s="4"/>
      <c r="AC235" s="4"/>
      <c r="AD235" s="4"/>
      <c r="AE235" s="4"/>
      <c r="AF235" s="4"/>
      <c r="AG235" s="4"/>
    </row>
    <row r="236" spans="1:33" ht="22.5" customHeight="1" x14ac:dyDescent="0.25">
      <c r="A236" s="2"/>
      <c r="B236" s="2"/>
      <c r="C236" s="2"/>
      <c r="D236" s="2"/>
      <c r="E236" s="2"/>
      <c r="F236" s="4"/>
      <c r="G236" s="4"/>
      <c r="H236" s="4" t="s">
        <v>50</v>
      </c>
      <c r="I236" s="4" t="str">
        <f ca="1">IFERROR(__xludf.DUMMYFUNCTION("GOOGLETRANSLATE(B236,""en"",""ar"")"),"يشير الغبار الذي تثيره أقدام الجمال إلى أنها...")</f>
        <v>يشير الغبار الذي تثيره أقدام الجمال إلى أنها...</v>
      </c>
      <c r="J236" s="4" t="str">
        <f ca="1">IFERROR(__xludf.DUMMYFUNCTION("GOOGLETRANSLATE(C236,""en"",""ar"")"),"أ) التحرك ببطء شديد، ب) الوقوف بلا حراك، ج) التحرك بسرعة عالية، د) المشي للخلف")</f>
        <v>أ) التحرك ببطء شديد، ب) الوقوف بلا حراك، ج) التحرك بسرعة عالية، د) المشي للخلف</v>
      </c>
      <c r="K236" s="4" t="str">
        <f ca="1">IFERROR(__xludf.DUMMYFUNCTION("GOOGLETRANSLATE(D236,""en"",""ar"")"),"ج) التحرك بسرعة عالية")</f>
        <v>ج) التحرك بسرعة عالية</v>
      </c>
      <c r="L236" s="4" t="str">
        <f ca="1">IFERROR(__xludf.DUMMYFUNCTION("GOOGLETRANSLATE(E236,""en"",""ar"")"),"تُعد كمية الرمال المزاحة دليلاً واضحاً على أن الجمال تجري بسرعة.")</f>
        <v>تُعد كمية الرمال المزاحة دليلاً واضحاً على أن الجمال تجري بسرعة.</v>
      </c>
      <c r="M236" s="4"/>
      <c r="N236" s="4"/>
      <c r="O236" s="4"/>
      <c r="P236" s="4"/>
      <c r="Q236" s="4"/>
      <c r="R236" s="4"/>
      <c r="S236" s="4"/>
      <c r="T236" s="4"/>
      <c r="U236" s="4"/>
      <c r="V236" s="4"/>
      <c r="W236" s="4"/>
      <c r="X236" s="4"/>
      <c r="Y236" s="4"/>
      <c r="Z236" s="4"/>
      <c r="AA236" s="4"/>
      <c r="AB236" s="4"/>
      <c r="AC236" s="4"/>
      <c r="AD236" s="4"/>
      <c r="AE236" s="4"/>
      <c r="AF236" s="4"/>
      <c r="AG236" s="4"/>
    </row>
    <row r="237" spans="1:33" ht="22.5" customHeight="1" x14ac:dyDescent="0.25">
      <c r="A237" s="2"/>
      <c r="B237" s="2"/>
      <c r="C237" s="2"/>
      <c r="D237" s="2"/>
      <c r="E237" s="2"/>
      <c r="F237" s="4"/>
      <c r="G237" s="4"/>
      <c r="H237" s="4" t="s">
        <v>50</v>
      </c>
      <c r="I237" s="4" t="str">
        <f ca="1">IFERROR(__xludf.DUMMYFUNCTION("GOOGLETRANSLATE(B237,""en"",""ar"")"),"الشخص الموجود على الأرض لا يرتدي...")</f>
        <v>الشخص الموجود على الأرض لا يرتدي...</v>
      </c>
      <c r="J237" s="4" t="str">
        <f ca="1">IFERROR(__xludf.DUMMYFUNCTION("GOOGLETRANSLATE(C237,""en"",""ar"")"),"أ) خوذة أو أي معدات واقية، ب) رداء تقليدي، ج) حذاء، د) قميص")</f>
        <v>أ) خوذة أو أي معدات واقية، ب) رداء تقليدي، ج) حذاء، د) قميص</v>
      </c>
      <c r="K237" s="4" t="str">
        <f ca="1">IFERROR(__xludf.DUMMYFUNCTION("GOOGLETRANSLATE(D237,""en"",""ar"")"),"أ) خوذة أو أي معدات واقية")</f>
        <v>أ) خوذة أو أي معدات واقية</v>
      </c>
      <c r="L237" s="4" t="str">
        <f ca="1">IFERROR(__xludf.DUMMYFUNCTION("GOOGLETRANSLATE(E237,""en"",""ar"")"),"الشخص الذي سقط لا يرتدي خوذة، مما يزيد من خطر الإصابة الخطيرة.")</f>
        <v>الشخص الذي سقط لا يرتدي خوذة، مما يزيد من خطر الإصابة الخطيرة.</v>
      </c>
      <c r="M237" s="4"/>
      <c r="N237" s="4"/>
      <c r="O237" s="4"/>
      <c r="P237" s="4"/>
      <c r="Q237" s="4"/>
      <c r="R237" s="4"/>
      <c r="S237" s="4"/>
      <c r="T237" s="4"/>
      <c r="U237" s="4"/>
      <c r="V237" s="4"/>
      <c r="W237" s="4"/>
      <c r="X237" s="4"/>
      <c r="Y237" s="4"/>
      <c r="Z237" s="4"/>
      <c r="AA237" s="4"/>
      <c r="AB237" s="4"/>
      <c r="AC237" s="4"/>
      <c r="AD237" s="4"/>
      <c r="AE237" s="4"/>
      <c r="AF237" s="4"/>
      <c r="AG237" s="4"/>
    </row>
    <row r="238" spans="1:33" ht="22.5" customHeight="1" x14ac:dyDescent="0.25">
      <c r="A238" s="2"/>
      <c r="B238" s="2"/>
      <c r="C238" s="2"/>
      <c r="D238" s="2"/>
      <c r="E238" s="2"/>
      <c r="F238" s="4"/>
      <c r="G238" s="4"/>
      <c r="H238" s="4" t="s">
        <v>50</v>
      </c>
      <c r="I238" s="4" t="str">
        <f ca="1">IFERROR(__xludf.DUMMYFUNCTION("GOOGLETRANSLATE(B238,""en"",""ar"")"),"يشير الحاجز الأحمر والأبيض في الخلفية إلى...")</f>
        <v>يشير الحاجز الأحمر والأبيض في الخلفية إلى...</v>
      </c>
      <c r="J238" s="4" t="str">
        <f ca="1">IFERROR(__xludf.DUMMYFUNCTION("GOOGLETRANSLATE(C238,""en"",""ar"")"),"أ) خط النهاية، ب) حافة مضمار السباق، ج) موقف السيارات، د) محطة المياه")</f>
        <v>أ) خط النهاية، ب) حافة مضمار السباق، ج) موقف السيارات، د) محطة المياه</v>
      </c>
      <c r="K238" s="4" t="str">
        <f ca="1">IFERROR(__xludf.DUMMYFUNCTION("GOOGLETRANSLATE(D238,""en"",""ar"")"),"ب) حافة مضمار السباق")</f>
        <v>ب) حافة مضمار السباق</v>
      </c>
      <c r="L238" s="4" t="str">
        <f ca="1">IFERROR(__xludf.DUMMYFUNCTION("GOOGLETRANSLATE(E238,""en"",""ar"")"),"هذا سياج بسيط من الأعمدة والسكك الحديدية يحدد حدود مضمار السباق الرسمي.")</f>
        <v>هذا سياج بسيط من الأعمدة والسكك الحديدية يحدد حدود مضمار السباق الرسمي.</v>
      </c>
      <c r="M238" s="4"/>
      <c r="N238" s="4"/>
      <c r="O238" s="4"/>
      <c r="P238" s="4"/>
      <c r="Q238" s="4"/>
      <c r="R238" s="4"/>
      <c r="S238" s="4"/>
      <c r="T238" s="4"/>
      <c r="U238" s="4"/>
      <c r="V238" s="4"/>
      <c r="W238" s="4"/>
      <c r="X238" s="4"/>
      <c r="Y238" s="4"/>
      <c r="Z238" s="4"/>
      <c r="AA238" s="4"/>
      <c r="AB238" s="4"/>
      <c r="AC238" s="4"/>
      <c r="AD238" s="4"/>
      <c r="AE238" s="4"/>
      <c r="AF238" s="4"/>
      <c r="AG238" s="4"/>
    </row>
    <row r="239" spans="1:33" ht="22.5" customHeight="1" x14ac:dyDescent="0.25">
      <c r="A239" s="2"/>
      <c r="B239" s="2"/>
      <c r="C239" s="2"/>
      <c r="D239" s="2"/>
      <c r="E239" s="2"/>
      <c r="F239" s="4"/>
      <c r="G239" s="4"/>
      <c r="H239" s="4" t="s">
        <v>50</v>
      </c>
      <c r="I239" s="4" t="str">
        <f ca="1">IFERROR(__xludf.DUMMYFUNCTION("GOOGLETRANSLATE(B239,""en"",""ar"")"),"ماذا يحمل الشخص الذي يركض على اليمين في يده؟")</f>
        <v>ماذا يحمل الشخص الذي يركض على اليمين في يده؟</v>
      </c>
      <c r="J239" s="4" t="str">
        <f ca="1">IFERROR(__xludf.DUMMYFUNCTION("GOOGLETRANSLATE(C239,""en"",""ar"")"),"أ) علم، ب) زجاجة ماء، ج) حبل أو لجام، د) كاميرا")</f>
        <v>أ) علم، ب) زجاجة ماء، ج) حبل أو لجام، د) كاميرا</v>
      </c>
      <c r="K239" s="4" t="str">
        <f ca="1">IFERROR(__xludf.DUMMYFUNCTION("GOOGLETRANSLATE(D239,""en"",""ar"")"),"ج) حبل أو لجام")</f>
        <v>ج) حبل أو لجام</v>
      </c>
      <c r="L239" s="4" t="str">
        <f ca="1">IFERROR(__xludf.DUMMYFUNCTION("GOOGLETRANSLATE(E239,""en"",""ar"")"),"إنه يمسك بحبل أخضر، مما يوحي بأنه شخص يحاول استعادة السيطرة على جمل.")</f>
        <v>إنه يمسك بحبل أخضر، مما يوحي بأنه شخص يحاول استعادة السيطرة على جمل.</v>
      </c>
      <c r="M239" s="4"/>
      <c r="N239" s="4"/>
      <c r="O239" s="4"/>
      <c r="P239" s="4"/>
      <c r="Q239" s="4"/>
      <c r="R239" s="4"/>
      <c r="S239" s="4"/>
      <c r="T239" s="4"/>
      <c r="U239" s="4"/>
      <c r="V239" s="4"/>
      <c r="W239" s="4"/>
      <c r="X239" s="4"/>
      <c r="Y239" s="4"/>
      <c r="Z239" s="4"/>
      <c r="AA239" s="4"/>
      <c r="AB239" s="4"/>
      <c r="AC239" s="4"/>
      <c r="AD239" s="4"/>
      <c r="AE239" s="4"/>
      <c r="AF239" s="4"/>
      <c r="AG239" s="4"/>
    </row>
    <row r="240" spans="1:33" ht="22.5" customHeight="1" x14ac:dyDescent="0.25">
      <c r="A240" s="2"/>
      <c r="B240" s="2"/>
      <c r="C240" s="2"/>
      <c r="D240" s="2"/>
      <c r="E240" s="2"/>
      <c r="F240" s="4"/>
      <c r="G240" s="4"/>
      <c r="H240" s="4" t="s">
        <v>50</v>
      </c>
      <c r="I240" s="4" t="str">
        <f ca="1">IFERROR(__xludf.DUMMYFUNCTION("GOOGLETRANSLATE(B240,""en"",""ar"")"),"وضعية الشخص الساقط، وهو ملقى على الأرض، تجعله...")</f>
        <v>وضعية الشخص الساقط، وهو ملقى على الأرض، تجعله...</v>
      </c>
      <c r="J240" s="4" t="str">
        <f ca="1">IFERROR(__xludf.DUMMYFUNCTION("GOOGLETRANSLATE(C240,""en"",""ar"")"),"أ) يسهل على الجمال رؤيته وتجنبه، ب) الفائز بالسباق، ج) يصعب رؤيته للغاية وعرضة للخطر الشديد، د) مُطلق إشارة بدء السباق الرسمي")</f>
        <v>أ) يسهل على الجمال رؤيته وتجنبه، ب) الفائز بالسباق، ج) يصعب رؤيته للغاية وعرضة للخطر الشديد، د) مُطلق إشارة بدء السباق الرسمي</v>
      </c>
      <c r="K240" s="4" t="str">
        <f ca="1">IFERROR(__xludf.DUMMYFUNCTION("GOOGLETRANSLATE(D240,""en"",""ar"")"),"ج) يصعب رؤيتها للغاية وعرضة للخطر الشديد")</f>
        <v>ج) يصعب رؤيتها للغاية وعرضة للخطر الشديد</v>
      </c>
      <c r="L240" s="4" t="str">
        <f ca="1">IFERROR(__xludf.DUMMYFUNCTION("GOOGLETRANSLATE(E240,""en"",""ar"")"),"في هذا الوضع، يكونون معرضين لخطر شديد من الدهس من قبل الجمال التي قد لا تراهم في الغبار.")</f>
        <v>في هذا الوضع، يكونون معرضين لخطر شديد من الدهس من قبل الجمال التي قد لا تراهم في الغبار.</v>
      </c>
      <c r="M240" s="4"/>
      <c r="N240" s="4"/>
      <c r="O240" s="4"/>
      <c r="P240" s="4"/>
      <c r="Q240" s="4"/>
      <c r="R240" s="4"/>
      <c r="S240" s="4"/>
      <c r="T240" s="4"/>
      <c r="U240" s="4"/>
      <c r="V240" s="4"/>
      <c r="W240" s="4"/>
      <c r="X240" s="4"/>
      <c r="Y240" s="4"/>
      <c r="Z240" s="4"/>
      <c r="AA240" s="4"/>
      <c r="AB240" s="4"/>
      <c r="AC240" s="4"/>
      <c r="AD240" s="4"/>
      <c r="AE240" s="4"/>
      <c r="AF240" s="4"/>
      <c r="AG240" s="4"/>
    </row>
    <row r="241" spans="1:33" ht="22.5" customHeight="1" x14ac:dyDescent="0.25">
      <c r="A241" s="2"/>
      <c r="B241" s="2"/>
      <c r="C241" s="2"/>
      <c r="D241" s="2"/>
      <c r="E241" s="2"/>
      <c r="F241" s="4"/>
      <c r="G241" s="4"/>
      <c r="H241" s="4" t="s">
        <v>50</v>
      </c>
      <c r="I241" s="4" t="str">
        <f ca="1">IFERROR(__xludf.DUMMYFUNCTION("GOOGLETRANSLATE(B241,""en"",""ar"")"),"تُخلّد هذه الصورة لحظة من...")</f>
        <v>تُخلّد هذه الصورة لحظة من...</v>
      </c>
      <c r="J241" s="4" t="str">
        <f ca="1">IFERROR(__xludf.DUMMYFUNCTION("GOOGLETRANSLATE(C241,""en"",""ar"")"),"أ) احتفال، ب) استعداد هادئ، ج) دراما وأزمة حادة، د) ترفيه كوميدي")</f>
        <v>أ) احتفال، ب) استعداد هادئ، ج) دراما وأزمة حادة، د) ترفيه كوميدي</v>
      </c>
      <c r="K241" s="4" t="str">
        <f ca="1">IFERROR(__xludf.DUMMYFUNCTION("GOOGLETRANSLATE(D241,""en"",""ar"")"),"ج) دراما وأزمة حادة")</f>
        <v>ج) دراما وأزمة حادة</v>
      </c>
      <c r="L241" s="4" t="str">
        <f ca="1">IFERROR(__xludf.DUMMYFUNCTION("GOOGLETRANSLATE(E241,""en"",""ar"")"),"إنها صورة متوترة ومثيرة تجمد لحظة من الخطر الذي يهدد الحياة.")</f>
        <v>إنها صورة متوترة ومثيرة تجمد لحظة من الخطر الذي يهدد الحياة.</v>
      </c>
      <c r="M241" s="4"/>
      <c r="N241" s="4"/>
      <c r="O241" s="4"/>
      <c r="P241" s="4"/>
      <c r="Q241" s="4"/>
      <c r="R241" s="4"/>
      <c r="S241" s="4"/>
      <c r="T241" s="4"/>
      <c r="U241" s="4"/>
      <c r="V241" s="4"/>
      <c r="W241" s="4"/>
      <c r="X241" s="4"/>
      <c r="Y241" s="4"/>
      <c r="Z241" s="4"/>
      <c r="AA241" s="4"/>
      <c r="AB241" s="4"/>
      <c r="AC241" s="4"/>
      <c r="AD241" s="4"/>
      <c r="AE241" s="4"/>
      <c r="AF241" s="4"/>
      <c r="AG241" s="4"/>
    </row>
    <row r="242" spans="1:33" ht="22.5" customHeight="1" x14ac:dyDescent="0.25">
      <c r="A242" s="2"/>
      <c r="B242" s="2"/>
      <c r="C242" s="2"/>
      <c r="D242" s="2"/>
      <c r="E242" s="2"/>
      <c r="F242" s="4"/>
      <c r="G242" s="4"/>
      <c r="H242" s="4" t="s">
        <v>51</v>
      </c>
      <c r="I242" s="4" t="str">
        <f ca="1">IFERROR(__xludf.DUMMYFUNCTION("GOOGLETRANSLATE(B242,""en"",""ar"")"),"ما هو النشاط الرئيسي الموضح في هذه الصورة؟")</f>
        <v>ما هو النشاط الرئيسي الموضح في هذه الصورة؟</v>
      </c>
      <c r="J242" s="4" t="str">
        <f ca="1">IFERROR(__xludf.DUMMYFUNCTION("GOOGLETRANSLATE(C242,""en"",""ar"")"),"أ) سباق جمال جارٍ، ب) تجهيز جمل قبل السباق، ج) مزاد جمال، د) عيادة بيطرية للإبل")</f>
        <v>أ) سباق جمال جارٍ، ب) تجهيز جمل قبل السباق، ج) مزاد جمال، د) عيادة بيطرية للإبل</v>
      </c>
      <c r="K242" s="4" t="str">
        <f ca="1">IFERROR(__xludf.DUMMYFUNCTION("GOOGLETRANSLATE(D242,""en"",""ar"")"),"ب) تجهيز الجمل قبل السباق")</f>
        <v>ب) تجهيز الجمل قبل السباق</v>
      </c>
      <c r="L242" s="4" t="str">
        <f ca="1">IFERROR(__xludf.DUMMYFUNCTION("GOOGLETRANSLATE(E242,""en"",""ar"")"),"يُظهر المشهد مُدربين يعتنون بجمل في منطقة رملية، وهو نشاط نموذجي قبل السباق.")</f>
        <v>يُظهر المشهد مُدربين يعتنون بجمل في منطقة رملية، وهو نشاط نموذجي قبل السباق.</v>
      </c>
      <c r="M242" s="4"/>
      <c r="N242" s="4"/>
      <c r="O242" s="4"/>
      <c r="P242" s="4"/>
      <c r="Q242" s="4"/>
      <c r="R242" s="4"/>
      <c r="S242" s="4"/>
      <c r="T242" s="4"/>
      <c r="U242" s="4"/>
      <c r="V242" s="4"/>
      <c r="W242" s="4"/>
      <c r="X242" s="4"/>
      <c r="Y242" s="4"/>
      <c r="Z242" s="4"/>
      <c r="AA242" s="4"/>
      <c r="AB242" s="4"/>
      <c r="AC242" s="4"/>
      <c r="AD242" s="4"/>
      <c r="AE242" s="4"/>
      <c r="AF242" s="4"/>
      <c r="AG242" s="4"/>
    </row>
    <row r="243" spans="1:33" ht="22.5" customHeight="1" x14ac:dyDescent="0.25">
      <c r="A243" s="2"/>
      <c r="B243" s="2"/>
      <c r="C243" s="2"/>
      <c r="D243" s="2"/>
      <c r="E243" s="2"/>
      <c r="F243" s="4"/>
      <c r="G243" s="4"/>
      <c r="H243" s="4" t="s">
        <v>51</v>
      </c>
      <c r="I243" s="4" t="str">
        <f ca="1">IFERROR(__xludf.DUMMYFUNCTION("GOOGLETRANSLATE(B243,""en"",""ar"")"),"ما هو الجهاز الحديث الموجود على سرج الجمل؟")</f>
        <v>ما هو الجهاز الحديث الموجود على سرج الجمل؟</v>
      </c>
      <c r="J243" s="4" t="str">
        <f ca="1">IFERROR(__xludf.DUMMYFUNCTION("GOOGLETRANSLATE(C243,""en"",""ar"")"),"أ) طبق استقبال فضائي، ب) حاوية طعام وماء، ج) روبوت فارس يتم التحكم فيه عن بعد، د) مكبر صوت")</f>
        <v>أ) طبق استقبال فضائي، ب) حاوية طعام وماء، ج) روبوت فارس يتم التحكم فيه عن بعد، د) مكبر صوت</v>
      </c>
      <c r="K243" s="4" t="str">
        <f ca="1">IFERROR(__xludf.DUMMYFUNCTION("GOOGLETRANSLATE(D243,""en"",""ar"")"),"ج) فارس آلي يتم التحكم فيه عن بعد")</f>
        <v>ج) فارس آلي يتم التحكم فيه عن بعد</v>
      </c>
      <c r="L243" s="4" t="str">
        <f ca="1">IFERROR(__xludf.DUMMYFUNCTION("GOOGLETRANSLATE(E243,""en"",""ar"")"),"هذا فارس آلي حديث، مزود بذراع سوط دوارة، يتحكم به المدرب أثناء السباق. 🤖")</f>
        <v>هذا فارس آلي حديث، مزود بذراع سوط دوارة، يتحكم به المدرب أثناء السباق. 🤖</v>
      </c>
      <c r="M243" s="4"/>
      <c r="N243" s="4"/>
      <c r="O243" s="4"/>
      <c r="P243" s="4"/>
      <c r="Q243" s="4"/>
      <c r="R243" s="4"/>
      <c r="S243" s="4"/>
      <c r="T243" s="4"/>
      <c r="U243" s="4"/>
      <c r="V243" s="4"/>
      <c r="W243" s="4"/>
      <c r="X243" s="4"/>
      <c r="Y243" s="4"/>
      <c r="Z243" s="4"/>
      <c r="AA243" s="4"/>
      <c r="AB243" s="4"/>
      <c r="AC243" s="4"/>
      <c r="AD243" s="4"/>
      <c r="AE243" s="4"/>
      <c r="AF243" s="4"/>
      <c r="AG243" s="4"/>
    </row>
    <row r="244" spans="1:33" ht="22.5" customHeight="1" x14ac:dyDescent="0.25">
      <c r="A244" s="2"/>
      <c r="B244" s="2"/>
      <c r="C244" s="2"/>
      <c r="D244" s="2"/>
      <c r="E244" s="2"/>
      <c r="F244" s="4"/>
      <c r="G244" s="4"/>
      <c r="H244" s="4" t="s">
        <v>51</v>
      </c>
      <c r="I244" s="4" t="str">
        <f ca="1">IFERROR(__xludf.DUMMYFUNCTION("GOOGLETRANSLATE(B244,""en"",""ar"")"),"ماذا يفعل الشخص الذي يرعى الجمل الواقف في الخلفية؟")</f>
        <v>ماذا يفعل الشخص الذي يرعى الجمل الواقف في الخلفية؟</v>
      </c>
      <c r="J244" s="4" t="str">
        <f ca="1">IFERROR(__xludf.DUMMYFUNCTION("GOOGLETRANSLATE(C244,""en"",""ar"")"),"أ) تمشيط فرائه، ب) إعطاؤه الماء من الزجاجة، ج) قياس طوله، د) تركيب السرج")</f>
        <v>أ) تمشيط فرائه، ب) إعطاؤه الماء من الزجاجة، ج) قياس طوله، د) تركيب السرج</v>
      </c>
      <c r="K244" s="4" t="str">
        <f ca="1">IFERROR(__xludf.DUMMYFUNCTION("GOOGLETRANSLATE(D244,""en"",""ar"")"),"ب) إعطاؤه الماء من زجاجة")</f>
        <v>ب) إعطاؤه الماء من زجاجة</v>
      </c>
      <c r="L244" s="4" t="str">
        <f ca="1">IFERROR(__xludf.DUMMYFUNCTION("GOOGLETRANSLATE(E244,""en"",""ar"")"),"إنه يمسك بزجاجة ماء بلاستيكية ويقربها من فم الجمل للتأكد من حصوله على الماء.")</f>
        <v>إنه يمسك بزجاجة ماء بلاستيكية ويقربها من فم الجمل للتأكد من حصوله على الماء.</v>
      </c>
      <c r="M244" s="4"/>
      <c r="N244" s="4"/>
      <c r="O244" s="4"/>
      <c r="P244" s="4"/>
      <c r="Q244" s="4"/>
      <c r="R244" s="4"/>
      <c r="S244" s="4"/>
      <c r="T244" s="4"/>
      <c r="U244" s="4"/>
      <c r="V244" s="4"/>
      <c r="W244" s="4"/>
      <c r="X244" s="4"/>
      <c r="Y244" s="4"/>
      <c r="Z244" s="4"/>
      <c r="AA244" s="4"/>
      <c r="AB244" s="4"/>
      <c r="AC244" s="4"/>
      <c r="AD244" s="4"/>
      <c r="AE244" s="4"/>
      <c r="AF244" s="4"/>
      <c r="AG244" s="4"/>
    </row>
    <row r="245" spans="1:33" ht="22.5" customHeight="1" x14ac:dyDescent="0.25">
      <c r="A245" s="2"/>
      <c r="B245" s="2"/>
      <c r="C245" s="2"/>
      <c r="D245" s="2"/>
      <c r="E245" s="2"/>
      <c r="F245" s="4"/>
      <c r="G245" s="4"/>
      <c r="H245" s="4" t="s">
        <v>51</v>
      </c>
      <c r="I245" s="4" t="str">
        <f ca="1">IFERROR(__xludf.DUMMYFUNCTION("GOOGLETRANSLATE(B245,""en"",""ar"")"),"ماذا يفعل الجمل الموجود على اليسار، والمغطى ببطانية ملونة؟")</f>
        <v>ماذا يفعل الجمل الموجود على اليسار، والمغطى ببطانية ملونة؟</v>
      </c>
      <c r="J245" s="4" t="str">
        <f ca="1">IFERROR(__xludf.DUMMYFUNCTION("GOOGLETRANSLATE(C245,""en"",""ar"")"),"أ) إنه واقف وينتظر، ب) إنه يهرب، ج) إنه يستريح على الأرض (يأكل)، د) إنه يأكل من حوض")</f>
        <v>أ) إنه واقف وينتظر، ب) إنه يهرب، ج) إنه يستريح على الأرض (يأكل)، د) إنه يأكل من حوض</v>
      </c>
      <c r="K245" s="4" t="str">
        <f ca="1">IFERROR(__xludf.DUMMYFUNCTION("GOOGLETRANSLATE(D245,""en"",""ar"")"),"ج) إنه مستقر على الأرض (كوشينغ)")</f>
        <v>ج) إنه مستقر على الأرض (كوشينغ)</v>
      </c>
      <c r="L245" s="4" t="str">
        <f ca="1">IFERROR(__xludf.DUMMYFUNCTION("GOOGLETRANSLATE(E245,""en"",""ar"")"),"الجمل الصغير في المقدمة مستلقٍ في وضعية الراحة المعتادة.")</f>
        <v>الجمل الصغير في المقدمة مستلقٍ في وضعية الراحة المعتادة.</v>
      </c>
      <c r="M245" s="4"/>
      <c r="N245" s="4"/>
      <c r="O245" s="4"/>
      <c r="P245" s="4"/>
      <c r="Q245" s="4"/>
      <c r="R245" s="4"/>
      <c r="S245" s="4"/>
      <c r="T245" s="4"/>
      <c r="U245" s="4"/>
      <c r="V245" s="4"/>
      <c r="W245" s="4"/>
      <c r="X245" s="4"/>
      <c r="Y245" s="4"/>
      <c r="Z245" s="4"/>
      <c r="AA245" s="4"/>
      <c r="AB245" s="4"/>
      <c r="AC245" s="4"/>
      <c r="AD245" s="4"/>
      <c r="AE245" s="4"/>
      <c r="AF245" s="4"/>
      <c r="AG245" s="4"/>
    </row>
    <row r="246" spans="1:33" ht="22.5" customHeight="1" x14ac:dyDescent="0.25">
      <c r="A246" s="2"/>
      <c r="B246" s="2"/>
      <c r="C246" s="2"/>
      <c r="D246" s="2"/>
      <c r="E246" s="2"/>
      <c r="F246" s="4"/>
      <c r="G246" s="4"/>
      <c r="H246" s="4" t="s">
        <v>51</v>
      </c>
      <c r="I246" s="4" t="str">
        <f ca="1">IFERROR(__xludf.DUMMYFUNCTION("GOOGLETRANSLATE(B246,""en"",""ar"")"),"الرجل في المقدمة يرتدي كمامة وغطاء رأس تقليدي. من المرجح أن الكمامة تُستخدم للحماية من ماذا؟")</f>
        <v>الرجل في المقدمة يرتدي كمامة وغطاء رأس تقليدي. من المرجح أن الكمامة تُستخدم للحماية من ماذا؟</v>
      </c>
      <c r="J246" s="4" t="str">
        <f ca="1">IFERROR(__xludf.DUMMYFUNCTION("GOOGLETRANSLATE(C246,""en"",""ar"")"),"أ) البرد، ب) المطر، ج) الشمس، د) الغبار وانتقال الأمراض")</f>
        <v>أ) البرد، ب) المطر، ج) الشمس، د) الغبار وانتقال الأمراض</v>
      </c>
      <c r="K246" s="4" t="str">
        <f ca="1">IFERROR(__xludf.DUMMYFUNCTION("GOOGLETRANSLATE(D246,""en"",""ar"")"),"د) انتقال الغبار والأمراض")</f>
        <v>د) انتقال الغبار والأمراض</v>
      </c>
      <c r="L246" s="4" t="str">
        <f ca="1">IFERROR(__xludf.DUMMYFUNCTION("GOOGLETRANSLATE(E246,""en"",""ar"")"),"في البيئات المتربة مثل حظيرة الماشية وفي أوقات المخاوف الصحية، يتم ارتداء الأقنعة لحماية الجهاز التنفسي.")</f>
        <v>في البيئات المتربة مثل حظيرة الماشية وفي أوقات المخاوف الصحية، يتم ارتداء الأقنعة لحماية الجهاز التنفسي.</v>
      </c>
      <c r="M246" s="4"/>
      <c r="N246" s="4"/>
      <c r="O246" s="4"/>
      <c r="P246" s="4"/>
      <c r="Q246" s="4"/>
      <c r="R246" s="4"/>
      <c r="S246" s="4"/>
      <c r="T246" s="4"/>
      <c r="U246" s="4"/>
      <c r="V246" s="4"/>
      <c r="W246" s="4"/>
      <c r="X246" s="4"/>
      <c r="Y246" s="4"/>
      <c r="Z246" s="4"/>
      <c r="AA246" s="4"/>
      <c r="AB246" s="4"/>
      <c r="AC246" s="4"/>
      <c r="AD246" s="4"/>
      <c r="AE246" s="4"/>
      <c r="AF246" s="4"/>
      <c r="AG246" s="4"/>
    </row>
    <row r="247" spans="1:33" ht="22.5" customHeight="1" x14ac:dyDescent="0.25">
      <c r="A247" s="2"/>
      <c r="B247" s="2"/>
      <c r="C247" s="2"/>
      <c r="D247" s="2"/>
      <c r="E247" s="2"/>
      <c r="F247" s="4"/>
      <c r="G247" s="4"/>
      <c r="H247" s="4" t="s">
        <v>51</v>
      </c>
      <c r="I247" s="4" t="str">
        <f ca="1">IFERROR(__xludf.DUMMYFUNCTION("GOOGLETRANSLATE(B247,""en"",""ar"")"),"يبدو أن الإعداد هو...")</f>
        <v>يبدو أن الإعداد هو...</v>
      </c>
      <c r="J247" s="4" t="str">
        <f ca="1">IFERROR(__xludf.DUMMYFUNCTION("GOOGLETRANSLATE(C247,""en"",""ar"")"),"أ) حديقة عامة، ب) مضمار سباق الخيل أو منطقة الإسطبلات، ج) صحراء مفتوحة برية، د) سوق مزدحم")</f>
        <v>أ) حديقة عامة، ب) مضمار سباق الخيل أو منطقة الإسطبلات، ج) صحراء مفتوحة برية، د) سوق مزدحم</v>
      </c>
      <c r="K247" s="4" t="str">
        <f ca="1">IFERROR(__xludf.DUMMYFUNCTION("GOOGLETRANSLATE(D247,""en"",""ar"")"),"ب) حظيرة سباق أو منطقة إسطبلات")</f>
        <v>ب) حظيرة سباق أو منطقة إسطبلات</v>
      </c>
      <c r="L247" s="4" t="str">
        <f ca="1">IFERROR(__xludf.DUMMYFUNCTION("GOOGLETRANSLATE(E247,""en"",""ar"")"),"تشير الأرض الرملية والجدران البسيطة ووجود العديد من جمال السباق إلى وجود منشأة مخصصة لهذه الرياضة.")</f>
        <v>تشير الأرض الرملية والجدران البسيطة ووجود العديد من جمال السباق إلى وجود منشأة مخصصة لهذه الرياضة.</v>
      </c>
      <c r="M247" s="4"/>
      <c r="N247" s="4"/>
      <c r="O247" s="4"/>
      <c r="P247" s="4"/>
      <c r="Q247" s="4"/>
      <c r="R247" s="4"/>
      <c r="S247" s="4"/>
      <c r="T247" s="4"/>
      <c r="U247" s="4"/>
      <c r="V247" s="4"/>
      <c r="W247" s="4"/>
      <c r="X247" s="4"/>
      <c r="Y247" s="4"/>
      <c r="Z247" s="4"/>
      <c r="AA247" s="4"/>
      <c r="AB247" s="4"/>
      <c r="AC247" s="4"/>
      <c r="AD247" s="4"/>
      <c r="AE247" s="4"/>
      <c r="AF247" s="4"/>
      <c r="AG247" s="4"/>
    </row>
    <row r="248" spans="1:33" ht="22.5" customHeight="1" x14ac:dyDescent="0.25">
      <c r="A248" s="2"/>
      <c r="B248" s="2"/>
      <c r="C248" s="2"/>
      <c r="D248" s="2"/>
      <c r="E248" s="2"/>
      <c r="F248" s="4"/>
      <c r="G248" s="4"/>
      <c r="H248" s="4" t="s">
        <v>51</v>
      </c>
      <c r="I248" s="4" t="str">
        <f ca="1">IFERROR(__xludf.DUMMYFUNCTION("GOOGLETRANSLATE(B248,""en"",""ar"")"),"الشيء المعلق على الحائط في الخلفية هو...")</f>
        <v>الشيء المعلق على الحائط في الخلفية هو...</v>
      </c>
      <c r="J248" s="4" t="str">
        <f ca="1">IFERROR(__xludf.DUMMYFUNCTION("GOOGLETRANSLATE(C248,""en"",""ar"")"),"أ) سرج سباق، ب) بطانية أو منشفة، ج) شبكة لصيد الجمال، د) علم")</f>
        <v>أ) سرج سباق، ب) بطانية أو منشفة، ج) شبكة لصيد الجمال، د) علم</v>
      </c>
      <c r="K248" s="4" t="str">
        <f ca="1">IFERROR(__xludf.DUMMYFUNCTION("GOOGLETRANSLATE(D248,""en"",""ar"")"),"ب) بطانية أو منشفة")</f>
        <v>ب) بطانية أو منشفة</v>
      </c>
      <c r="L248" s="4" t="str">
        <f ca="1">IFERROR(__xludf.DUMMYFUNCTION("GOOGLETRANSLATE(E248,""en"",""ar"")"),"بطانية داكنة اللون معلقة على الحائط، ربما لتجفيفها أو ربما تم وضعها جانباً.")</f>
        <v>بطانية داكنة اللون معلقة على الحائط، ربما لتجفيفها أو ربما تم وضعها جانباً.</v>
      </c>
      <c r="M248" s="4"/>
      <c r="N248" s="4"/>
      <c r="O248" s="4"/>
      <c r="P248" s="4"/>
      <c r="Q248" s="4"/>
      <c r="R248" s="4"/>
      <c r="S248" s="4"/>
      <c r="T248" s="4"/>
      <c r="U248" s="4"/>
      <c r="V248" s="4"/>
      <c r="W248" s="4"/>
      <c r="X248" s="4"/>
      <c r="Y248" s="4"/>
      <c r="Z248" s="4"/>
      <c r="AA248" s="4"/>
      <c r="AB248" s="4"/>
      <c r="AC248" s="4"/>
      <c r="AD248" s="4"/>
      <c r="AE248" s="4"/>
      <c r="AF248" s="4"/>
      <c r="AG248" s="4"/>
    </row>
    <row r="249" spans="1:33" ht="22.5" customHeight="1" x14ac:dyDescent="0.25">
      <c r="A249" s="2"/>
      <c r="B249" s="2"/>
      <c r="C249" s="2"/>
      <c r="D249" s="2"/>
      <c r="E249" s="2"/>
      <c r="F249" s="4"/>
      <c r="G249" s="4"/>
      <c r="H249" s="4" t="s">
        <v>51</v>
      </c>
      <c r="I249" s="4" t="str">
        <f ca="1">IFERROR(__xludf.DUMMYFUNCTION("GOOGLETRANSLATE(B249,""en"",""ar"")"),"يُستخدم الفارس الآلي في سباقات الخيل الحديثة بشكل أساسي من أجل...")</f>
        <v>يُستخدم الفارس الآلي في سباقات الخيل الحديثة بشكل أساسي من أجل...</v>
      </c>
      <c r="J249" s="4" t="str">
        <f ca="1">IFERROR(__xludf.DUMMYFUNCTION("GOOGLETRANSLATE(C249,""en"",""ar"")"),"أ) جعل السباقات أكثر صعوبة، ب) استبدال الفرسان البشريين لأسباب تتعلق بالسلامة والأخلاق، ج) توفير رؤية أفضل للكاميرات، د) توجيه الجمل باستخدام المقود")</f>
        <v>أ) جعل السباقات أكثر صعوبة، ب) استبدال الفرسان البشريين لأسباب تتعلق بالسلامة والأخلاق، ج) توفير رؤية أفضل للكاميرات، د) توجيه الجمل باستخدام المقود</v>
      </c>
      <c r="K249" s="4" t="str">
        <f ca="1">IFERROR(__xludf.DUMMYFUNCTION("GOOGLETRANSLATE(D249,""en"",""ar"")"),"ب) استبدال الفرسان البشريين لأسباب تتعلق بالسلامة والأخلاق.")</f>
        <v>ب) استبدال الفرسان البشريين لأسباب تتعلق بالسلامة والأخلاق.</v>
      </c>
      <c r="L249" s="4" t="str">
        <f ca="1">IFERROR(__xludf.DUMMYFUNCTION("GOOGLETRANSLATE(E249,""en"",""ar"")"),"الروبوتات خفيفة الوزن، وقد ساعد استخدامها في إنهاء الممارسة المثيرة للجدل المتمثلة في استخدام الأطفال الصغار كفرسان.")</f>
        <v>الروبوتات خفيفة الوزن، وقد ساعد استخدامها في إنهاء الممارسة المثيرة للجدل المتمثلة في استخدام الأطفال الصغار كفرسان.</v>
      </c>
      <c r="M249" s="4"/>
      <c r="N249" s="4"/>
      <c r="O249" s="4"/>
      <c r="P249" s="4"/>
      <c r="Q249" s="4"/>
      <c r="R249" s="4"/>
      <c r="S249" s="4"/>
      <c r="T249" s="4"/>
      <c r="U249" s="4"/>
      <c r="V249" s="4"/>
      <c r="W249" s="4"/>
      <c r="X249" s="4"/>
      <c r="Y249" s="4"/>
      <c r="Z249" s="4"/>
      <c r="AA249" s="4"/>
      <c r="AB249" s="4"/>
      <c r="AC249" s="4"/>
      <c r="AD249" s="4"/>
      <c r="AE249" s="4"/>
      <c r="AF249" s="4"/>
      <c r="AG249" s="4"/>
    </row>
    <row r="250" spans="1:33" ht="22.5" customHeight="1" x14ac:dyDescent="0.25">
      <c r="A250" s="2"/>
      <c r="B250" s="2"/>
      <c r="C250" s="2"/>
      <c r="D250" s="2"/>
      <c r="E250" s="2"/>
      <c r="F250" s="4"/>
      <c r="G250" s="4"/>
      <c r="H250" s="4" t="s">
        <v>51</v>
      </c>
      <c r="I250" s="4" t="str">
        <f ca="1">IFERROR(__xludf.DUMMYFUNCTION("GOOGLETRANSLATE(B250,""en"",""ar"")"),"الجمل الصغير في المقدمة لديه جسم أخضر على رأسه. ما هو؟")</f>
        <v>الجمل الصغير في المقدمة لديه جسم أخضر على رأسه. ما هو؟</v>
      </c>
      <c r="J250" s="4" t="str">
        <f ca="1">IFERROR(__xludf.DUMMYFUNCTION("GOOGLETRANSLATE(C250,""en"",""ar"")"),"أ) قبعة، ب) حمالة صدر بسيطة، ج) نظارات واقية، د) زهرة زينة")</f>
        <v>أ) قبعة، ب) حمالة صدر بسيطة، ج) نظارات واقية، د) زهرة زينة</v>
      </c>
      <c r="K250" s="4" t="str">
        <f ca="1">IFERROR(__xludf.DUMMYFUNCTION("GOOGLETRANSLATE(D250,""en"",""ar"")"),"ب) لجام بسيط")</f>
        <v>ب) لجام بسيط</v>
      </c>
      <c r="L250" s="4" t="str">
        <f ca="1">IFERROR(__xludf.DUMMYFUNCTION("GOOGLETRANSLATE(E250,""en"",""ar"")"),"وهو يرتدي لجامًا بسيطًا من الحبل الأخضر، يستخدم لقيادة الحيوان وربطه.")</f>
        <v>وهو يرتدي لجامًا بسيطًا من الحبل الأخضر، يستخدم لقيادة الحيوان وربطه.</v>
      </c>
      <c r="M250" s="4"/>
      <c r="N250" s="4"/>
      <c r="O250" s="4"/>
      <c r="P250" s="4"/>
      <c r="Q250" s="4"/>
      <c r="R250" s="4"/>
      <c r="S250" s="4"/>
      <c r="T250" s="4"/>
      <c r="U250" s="4"/>
      <c r="V250" s="4"/>
      <c r="W250" s="4"/>
      <c r="X250" s="4"/>
      <c r="Y250" s="4"/>
      <c r="Z250" s="4"/>
      <c r="AA250" s="4"/>
      <c r="AB250" s="4"/>
      <c r="AC250" s="4"/>
      <c r="AD250" s="4"/>
      <c r="AE250" s="4"/>
      <c r="AF250" s="4"/>
      <c r="AG250" s="4"/>
    </row>
    <row r="251" spans="1:33" ht="22.5" customHeight="1" x14ac:dyDescent="0.25">
      <c r="A251" s="2"/>
      <c r="B251" s="2"/>
      <c r="C251" s="2"/>
      <c r="D251" s="2"/>
      <c r="E251" s="2"/>
      <c r="F251" s="4"/>
      <c r="G251" s="4"/>
      <c r="H251" s="4" t="s">
        <v>51</v>
      </c>
      <c r="I251" s="4" t="str">
        <f ca="1">IFERROR(__xludf.DUMMYFUNCTION("GOOGLETRANSLATE(B251,""en"",""ar"")"),"يُقدّم المشهد العام لمحة عن أي جانب من جوانب سباقات الهجن؟")</f>
        <v>يُقدّم المشهد العام لمحة عن أي جانب من جوانب سباقات الهجن؟</v>
      </c>
      <c r="J251" s="4" t="str">
        <f ca="1">IFERROR(__xludf.DUMMYFUNCTION("GOOGLETRANSLATE(C251,""en"",""ar"")"),"أ) الاحتفال عند خط النهاية، ب) الإثارة والسرعة العالية للسباق، ج) التحضيرات والرعاية التي تجري خلف الكواليس، د) ثقافة المراهنات والقمار")</f>
        <v>أ) الاحتفال عند خط النهاية، ب) الإثارة والسرعة العالية للسباق، ج) التحضيرات والرعاية التي تجري خلف الكواليس، د) ثقافة المراهنات والقمار</v>
      </c>
      <c r="K251" s="4" t="str">
        <f ca="1">IFERROR(__xludf.DUMMYFUNCTION("GOOGLETRANSLATE(D251,""en"",""ar"")"),"ج) التحضير والرعاية التي تتم خلف الكواليس")</f>
        <v>ج) التحضير والرعاية التي تتم خلف الكواليس</v>
      </c>
      <c r="L251" s="4" t="str">
        <f ca="1">IFERROR(__xludf.DUMMYFUNCTION("GOOGLETRANSLATE(E251,""en"",""ar"")"),"تُظهر هذه الصورة العمل التحضيري الهادئ الذي يحدث قبل أن تصل الجمال إلى خط البداية.")</f>
        <v>تُظهر هذه الصورة العمل التحضيري الهادئ الذي يحدث قبل أن تصل الجمال إلى خط البداية.</v>
      </c>
      <c r="M251" s="4"/>
      <c r="N251" s="4"/>
      <c r="O251" s="4"/>
      <c r="P251" s="4"/>
      <c r="Q251" s="4"/>
      <c r="R251" s="4"/>
      <c r="S251" s="4"/>
      <c r="T251" s="4"/>
      <c r="U251" s="4"/>
      <c r="V251" s="4"/>
      <c r="W251" s="4"/>
      <c r="X251" s="4"/>
      <c r="Y251" s="4"/>
      <c r="Z251" s="4"/>
      <c r="AA251" s="4"/>
      <c r="AB251" s="4"/>
      <c r="AC251" s="4"/>
      <c r="AD251" s="4"/>
      <c r="AE251" s="4"/>
      <c r="AF251" s="4"/>
      <c r="AG251" s="4"/>
    </row>
    <row r="252" spans="1:33" ht="22.5" customHeight="1" x14ac:dyDescent="0.25">
      <c r="A252" s="2"/>
      <c r="B252" s="2"/>
      <c r="C252" s="2"/>
      <c r="D252" s="2"/>
      <c r="E252" s="2"/>
      <c r="F252" s="4"/>
      <c r="G252" s="4"/>
      <c r="H252" s="4" t="s">
        <v>52</v>
      </c>
      <c r="I252" s="4" t="str">
        <f ca="1">IFERROR(__xludf.DUMMYFUNCTION("GOOGLETRANSLATE(B252,""en"",""ar"")"),"ماذا يفعل الرجل الموجود في المقدمة؟")</f>
        <v>ماذا يفعل الرجل الموجود في المقدمة؟</v>
      </c>
      <c r="J252" s="4" t="str">
        <f ca="1">IFERROR(__xludf.DUMMYFUNCTION("GOOGLETRANSLATE(C252,""en"",""ar"")"),"أ) هو يتسابق بالجمل، ب) هو متفرج يشاهد السباق، ج) هو مُدرب يمسك الجمل ويقدمه، د) هو يبيع تذاكر الحدث")</f>
        <v>أ) هو يتسابق بالجمل، ب) هو متفرج يشاهد السباق، ج) هو مُدرب يمسك الجمل ويقدمه، د) هو يبيع تذاكر الحدث</v>
      </c>
      <c r="K252" s="4" t="str">
        <f ca="1">IFERROR(__xludf.DUMMYFUNCTION("GOOGLETRANSLATE(D252,""en"",""ar"")"),"ج) هو مُدرب يمسك الجمل ويقدمه")</f>
        <v>ج) هو مُدرب يمسك الجمل ويقدمه</v>
      </c>
      <c r="L252" s="4" t="str">
        <f ca="1">IFERROR(__xludf.DUMMYFUNCTION("GOOGLETRANSLATE(E252,""en"",""ar"")"),"إنه يمسك بحبل قيادة الجمل ويبتسم للكاميرا، مستعرضاً حيوانه.")</f>
        <v>إنه يمسك بحبل قيادة الجمل ويبتسم للكاميرا، مستعرضاً حيوانه.</v>
      </c>
      <c r="M252" s="4"/>
      <c r="N252" s="4"/>
      <c r="O252" s="4"/>
      <c r="P252" s="4"/>
      <c r="Q252" s="4"/>
      <c r="R252" s="4"/>
      <c r="S252" s="4"/>
      <c r="T252" s="4"/>
      <c r="U252" s="4"/>
      <c r="V252" s="4"/>
      <c r="W252" s="4"/>
      <c r="X252" s="4"/>
      <c r="Y252" s="4"/>
      <c r="Z252" s="4"/>
      <c r="AA252" s="4"/>
      <c r="AB252" s="4"/>
      <c r="AC252" s="4"/>
      <c r="AD252" s="4"/>
      <c r="AE252" s="4"/>
      <c r="AF252" s="4"/>
      <c r="AG252" s="4"/>
    </row>
    <row r="253" spans="1:33" ht="22.5" customHeight="1" x14ac:dyDescent="0.25">
      <c r="A253" s="2"/>
      <c r="B253" s="2"/>
      <c r="C253" s="2"/>
      <c r="D253" s="2"/>
      <c r="E253" s="2"/>
      <c r="F253" s="4"/>
      <c r="G253" s="4"/>
      <c r="H253" s="4" t="s">
        <v>52</v>
      </c>
      <c r="I253" s="4" t="str">
        <f ca="1">IFERROR(__xludf.DUMMYFUNCTION("GOOGLETRANSLATE(B253,""en"",""ar"")"),"ما الذي يركب على ظهر الجمل؟")</f>
        <v>ما الذي يركب على ظهر الجمل؟</v>
      </c>
      <c r="J253" s="4" t="str">
        <f ca="1">IFERROR(__xludf.DUMMYFUNCTION("GOOGLETRANSLATE(C253,""en"",""ar"")"),"أ) فارس بشري، ب) وعاء ماء كبير، ج) فارس آلي يتم التحكم فيه عن بعد، د) سرج فارغ")</f>
        <v>أ) فارس بشري، ب) وعاء ماء كبير، ج) فارس آلي يتم التحكم فيه عن بعد، د) سرج فارغ</v>
      </c>
      <c r="K253" s="4" t="str">
        <f ca="1">IFERROR(__xludf.DUMMYFUNCTION("GOOGLETRANSLATE(D253,""en"",""ar"")"),"ج) فارس آلي يتم التحكم فيه عن بعد")</f>
        <v>ج) فارس آلي يتم التحكم فيه عن بعد</v>
      </c>
      <c r="L253" s="4" t="str">
        <f ca="1">IFERROR(__xludf.DUMMYFUNCTION("GOOGLETRANSLATE(E253,""en"",""ar"")"),"يظهر بوضوح فارس آلي أبيض يحمل الرقم 20، مثبتًا على سرج السباق.")</f>
        <v>يظهر بوضوح فارس آلي أبيض يحمل الرقم 20، مثبتًا على سرج السباق.</v>
      </c>
      <c r="M253" s="4"/>
      <c r="N253" s="4"/>
      <c r="O253" s="4"/>
      <c r="P253" s="4"/>
      <c r="Q253" s="4"/>
      <c r="R253" s="4"/>
      <c r="S253" s="4"/>
      <c r="T253" s="4"/>
      <c r="U253" s="4"/>
      <c r="V253" s="4"/>
      <c r="W253" s="4"/>
      <c r="X253" s="4"/>
      <c r="Y253" s="4"/>
      <c r="Z253" s="4"/>
      <c r="AA253" s="4"/>
      <c r="AB253" s="4"/>
      <c r="AC253" s="4"/>
      <c r="AD253" s="4"/>
      <c r="AE253" s="4"/>
      <c r="AF253" s="4"/>
      <c r="AG253" s="4"/>
    </row>
    <row r="254" spans="1:33" ht="22.5" customHeight="1" x14ac:dyDescent="0.25">
      <c r="A254" s="2"/>
      <c r="B254" s="2"/>
      <c r="C254" s="2"/>
      <c r="D254" s="2"/>
      <c r="E254" s="2"/>
      <c r="F254" s="4"/>
      <c r="G254" s="4"/>
      <c r="H254" s="4" t="s">
        <v>52</v>
      </c>
      <c r="I254" s="4" t="str">
        <f ca="1">IFERROR(__xludf.DUMMYFUNCTION("GOOGLETRANSLATE(B254,""en"",""ar"")"),"ماذا يمثل الرقم ""20"" الموجود على الروبوت الفارس؟")</f>
        <v>ماذا يمثل الرقم "20" الموجود على الروبوت الفارس؟</v>
      </c>
      <c r="J254" s="4" t="str">
        <f ca="1">IFERROR(__xludf.DUMMYFUNCTION("GOOGLETRANSLATE(C254,""en"",""ar"")"),"أ) الحد الأقصى للسرعة، ب) عمر الجمل، ج) رقم طراز الروبوت، د) رقم تعريف الجمل في السباق")</f>
        <v>أ) الحد الأقصى للسرعة، ب) عمر الجمل، ج) رقم طراز الروبوت، د) رقم تعريف الجمل في السباق</v>
      </c>
      <c r="K254" s="4" t="str">
        <f ca="1">IFERROR(__xludf.DUMMYFUNCTION("GOOGLETRANSLATE(D254,""en"",""ar"")"),"د) رقم تعريف الجمل في السباق")</f>
        <v>د) رقم تعريف الجمل في السباق</v>
      </c>
      <c r="L254" s="4" t="str">
        <f ca="1">IFERROR(__xludf.DUMMYFUNCTION("GOOGLETRANSLATE(E254,""en"",""ar"")"),"يُمكّن هذا الرقم المسؤولين والمتفرجين من تحديد هوية الجمل أثناء المسابقة.")</f>
        <v>يُمكّن هذا الرقم المسؤولين والمتفرجين من تحديد هوية الجمل أثناء المسابقة.</v>
      </c>
      <c r="M254" s="4"/>
      <c r="N254" s="4"/>
      <c r="O254" s="4"/>
      <c r="P254" s="4"/>
      <c r="Q254" s="4"/>
      <c r="R254" s="4"/>
      <c r="S254" s="4"/>
      <c r="T254" s="4"/>
      <c r="U254" s="4"/>
      <c r="V254" s="4"/>
      <c r="W254" s="4"/>
      <c r="X254" s="4"/>
      <c r="Y254" s="4"/>
      <c r="Z254" s="4"/>
      <c r="AA254" s="4"/>
      <c r="AB254" s="4"/>
      <c r="AC254" s="4"/>
      <c r="AD254" s="4"/>
      <c r="AE254" s="4"/>
      <c r="AF254" s="4"/>
      <c r="AG254" s="4"/>
    </row>
    <row r="255" spans="1:33" ht="22.5" customHeight="1" x14ac:dyDescent="0.25">
      <c r="A255" s="2"/>
      <c r="B255" s="2"/>
      <c r="C255" s="2"/>
      <c r="D255" s="2"/>
      <c r="E255" s="2"/>
      <c r="F255" s="4"/>
      <c r="G255" s="4"/>
      <c r="H255" s="4" t="s">
        <v>52</v>
      </c>
      <c r="I255" s="4" t="str">
        <f ca="1">IFERROR(__xludf.DUMMYFUNCTION("GOOGLETRANSLATE(B255,""en"",""ar"")"),"ملابس الرجل، بما في ذلك العمامة البيضاء والأردية، هي ملابس تقليدية لمناطق مثل...")</f>
        <v>ملابس الرجل، بما في ذلك العمامة البيضاء والأردية، هي ملابس تقليدية لمناطق مثل...</v>
      </c>
      <c r="J255" s="4" t="str">
        <f ca="1">IFERROR(__xludf.DUMMYFUNCTION("GOOGLETRANSLATE(C255,""en"",""ar"")"),"أ) أمريكا الشمالية، ب) شمال أوروبا، ج) شرق آسيا، د) شمال شرق أفريقيا وشبه الجزيرة العربية")</f>
        <v>أ) أمريكا الشمالية، ب) شمال أوروبا، ج) شرق آسيا، د) شمال شرق أفريقيا وشبه الجزيرة العربية</v>
      </c>
      <c r="K255" s="4" t="str">
        <f ca="1">IFERROR(__xludf.DUMMYFUNCTION("GOOGLETRANSLATE(D255,""en"",""ar"")"),"د) شمال شرق أفريقيا وشبه الجزيرة العربية")</f>
        <v>د) شمال شرق أفريقيا وشبه الجزيرة العربية</v>
      </c>
      <c r="L255" s="4" t="str">
        <f ca="1">IFERROR(__xludf.DUMMYFUNCTION("GOOGLETRANSLATE(E255,""en"",""ar"")"),"هذا النمط من اللباس شائع في دول مثل السودان ومصر ودول الخليج العربي.")</f>
        <v>هذا النمط من اللباس شائع في دول مثل السودان ومصر ودول الخليج العربي.</v>
      </c>
      <c r="M255" s="4"/>
      <c r="N255" s="4"/>
      <c r="O255" s="4"/>
      <c r="P255" s="4"/>
      <c r="Q255" s="4"/>
      <c r="R255" s="4"/>
      <c r="S255" s="4"/>
      <c r="T255" s="4"/>
      <c r="U255" s="4"/>
      <c r="V255" s="4"/>
      <c r="W255" s="4"/>
      <c r="X255" s="4"/>
      <c r="Y255" s="4"/>
      <c r="Z255" s="4"/>
      <c r="AA255" s="4"/>
      <c r="AB255" s="4"/>
      <c r="AC255" s="4"/>
      <c r="AD255" s="4"/>
      <c r="AE255" s="4"/>
      <c r="AF255" s="4"/>
      <c r="AG255" s="4"/>
    </row>
    <row r="256" spans="1:33" ht="22.5" customHeight="1" x14ac:dyDescent="0.25">
      <c r="A256" s="2"/>
      <c r="B256" s="2"/>
      <c r="C256" s="2"/>
      <c r="D256" s="2"/>
      <c r="E256" s="2"/>
      <c r="F256" s="4"/>
      <c r="G256" s="4"/>
      <c r="H256" s="4" t="s">
        <v>52</v>
      </c>
      <c r="I256" s="4" t="str">
        <f ca="1">IFERROR(__xludf.DUMMYFUNCTION("GOOGLETRANSLATE(B256,""en"",""ar"")"),"ما هي الهياكل الظاهرة في خلفية مضمار السباق؟")</f>
        <v>ما هي الهياكل الظاهرة في خلفية مضمار السباق؟</v>
      </c>
      <c r="J256" s="4" t="str">
        <f ca="1">IFERROR(__xludf.DUMMYFUNCTION("GOOGLETRANSLATE(C256,""en"",""ar"")"),"أ) ناطحات سحاب ضخمة، ب) جبال، ج) أضواء ملاعب شاهقة، د) أشجار")</f>
        <v>أ) ناطحات سحاب ضخمة، ب) جبال، ج) أضواء ملاعب شاهقة، د) أشجار</v>
      </c>
      <c r="K256" s="4" t="str">
        <f ca="1">IFERROR(__xludf.DUMMYFUNCTION("GOOGLETRANSLATE(D256,""en"",""ar"")"),"ج) أضواء الملعب الطويلة")</f>
        <v>ج) أضواء الملعب الطويلة</v>
      </c>
      <c r="L256" s="4" t="str">
        <f ca="1">IFERROR(__xludf.DUMMYFUNCTION("GOOGLETRANSLATE(E256,""en"",""ar"")"),"تظهر عدة أعمدة إنارة طويلة، مما يشير إلى أن هذا مرفق حديث مجهز للسباقات بعد حلول الظلام.")</f>
        <v>تظهر عدة أعمدة إنارة طويلة، مما يشير إلى أن هذا مرفق حديث مجهز للسباقات بعد حلول الظلام.</v>
      </c>
      <c r="M256" s="4"/>
      <c r="N256" s="4"/>
      <c r="O256" s="4"/>
      <c r="P256" s="4"/>
      <c r="Q256" s="4"/>
      <c r="R256" s="4"/>
      <c r="S256" s="4"/>
      <c r="T256" s="4"/>
      <c r="U256" s="4"/>
      <c r="V256" s="4"/>
      <c r="W256" s="4"/>
      <c r="X256" s="4"/>
      <c r="Y256" s="4"/>
      <c r="Z256" s="4"/>
      <c r="AA256" s="4"/>
      <c r="AB256" s="4"/>
      <c r="AC256" s="4"/>
      <c r="AD256" s="4"/>
      <c r="AE256" s="4"/>
      <c r="AF256" s="4"/>
      <c r="AG256" s="4"/>
    </row>
    <row r="257" spans="1:33" ht="22.5" customHeight="1" x14ac:dyDescent="0.25">
      <c r="A257" s="2"/>
      <c r="B257" s="2"/>
      <c r="C257" s="2"/>
      <c r="D257" s="2"/>
      <c r="E257" s="2"/>
      <c r="F257" s="4"/>
      <c r="G257" s="4"/>
      <c r="H257" s="4" t="s">
        <v>52</v>
      </c>
      <c r="I257" s="4" t="str">
        <f ca="1">IFERROR(__xludf.DUMMYFUNCTION("GOOGLETRANSLATE(B257,""en"",""ar"")"),"يمكن وصف تعبير الرجل بأنه...")</f>
        <v>يمكن وصف تعبير الرجل بأنه...</v>
      </c>
      <c r="J257" s="4" t="str">
        <f ca="1">IFERROR(__xludf.DUMMYFUNCTION("GOOGLETRANSLATE(C257,""en"",""ar"")"),"أ) حزين وقلق، ب) غاضب وعدواني، ج) فخور وودود، د) مرتبك وضائع")</f>
        <v>أ) حزين وقلق، ب) غاضب وعدواني، ج) فخور وودود، د) مرتبك وضائع</v>
      </c>
      <c r="K257" s="4" t="str">
        <f ca="1">IFERROR(__xludf.DUMMYFUNCTION("GOOGLETRANSLATE(D257,""en"",""ar"")"),"ج) فخور وودود")</f>
        <v>ج) فخور وودود</v>
      </c>
      <c r="L257" s="4" t="str">
        <f ca="1">IFERROR(__xludf.DUMMYFUNCTION("GOOGLETRANSLATE(E257,""en"",""ar"")"),"يبتسم ابتسامة عريضة ويبدو سعيداً باستعراض الجمل الذي هو مسؤول عنه. 😊")</f>
        <v>يبتسم ابتسامة عريضة ويبدو سعيداً باستعراض الجمل الذي هو مسؤول عنه. 😊</v>
      </c>
      <c r="M257" s="4"/>
      <c r="N257" s="4"/>
      <c r="O257" s="4"/>
      <c r="P257" s="4"/>
      <c r="Q257" s="4"/>
      <c r="R257" s="4"/>
      <c r="S257" s="4"/>
      <c r="T257" s="4"/>
      <c r="U257" s="4"/>
      <c r="V257" s="4"/>
      <c r="W257" s="4"/>
      <c r="X257" s="4"/>
      <c r="Y257" s="4"/>
      <c r="Z257" s="4"/>
      <c r="AA257" s="4"/>
      <c r="AB257" s="4"/>
      <c r="AC257" s="4"/>
      <c r="AD257" s="4"/>
      <c r="AE257" s="4"/>
      <c r="AF257" s="4"/>
      <c r="AG257" s="4"/>
    </row>
    <row r="258" spans="1:33" ht="22.5" customHeight="1" x14ac:dyDescent="0.25">
      <c r="A258" s="2"/>
      <c r="B258" s="2"/>
      <c r="C258" s="2"/>
      <c r="D258" s="2"/>
      <c r="E258" s="2"/>
      <c r="F258" s="4"/>
      <c r="G258" s="4"/>
      <c r="H258" s="4" t="s">
        <v>52</v>
      </c>
      <c r="I258" s="4" t="str">
        <f ca="1">IFERROR(__xludf.DUMMYFUNCTION("GOOGLETRANSLATE(B258,""en"",""ar"")"),"تُستخدم قطعة القماش المخططة باللونين الأحمر والأبيض على سرج الجمل الموجود على اليسار كـ...")</f>
        <v>تُستخدم قطعة القماش المخططة باللونين الأحمر والأبيض على سرج الجمل الموجود على اليسار كـ...</v>
      </c>
      <c r="J258" s="4" t="str">
        <f ca="1">IFERROR(__xludf.DUMMYFUNCTION("GOOGLETRANSLATE(C258,""en"",""ar"")"),"أ) بطانية للتدفئة، ب) ملابس المالك الحريرية أو ألوانه، ج) سترة نجاة، د) ضمادة")</f>
        <v>أ) بطانية للتدفئة، ب) ملابس المالك الحريرية أو ألوانه، ج) سترة نجاة، د) ضمادة</v>
      </c>
      <c r="K258" s="4" t="str">
        <f ca="1">IFERROR(__xludf.DUMMYFUNCTION("GOOGLETRANSLATE(D258,""en"",""ar"")"),"ب) ""حرير"" أو ألوان المالك")</f>
        <v>ب) "حرير" أو ألوان المالك</v>
      </c>
      <c r="L258" s="4" t="str">
        <f ca="1">IFERROR(__xludf.DUMMYFUNCTION("GOOGLETRANSLATE(E258,""en"",""ar"")"),"وكما هو الحال في سباقات الخيل، فإن هذه الألوان تمثل المالك أو الإسطبل الذي يتسابق الجمل لصالحه.")</f>
        <v>وكما هو الحال في سباقات الخيل، فإن هذه الألوان تمثل المالك أو الإسطبل الذي يتسابق الجمل لصالحه.</v>
      </c>
      <c r="M258" s="4"/>
      <c r="N258" s="4"/>
      <c r="O258" s="4"/>
      <c r="P258" s="4"/>
      <c r="Q258" s="4"/>
      <c r="R258" s="4"/>
      <c r="S258" s="4"/>
      <c r="T258" s="4"/>
      <c r="U258" s="4"/>
      <c r="V258" s="4"/>
      <c r="W258" s="4"/>
      <c r="X258" s="4"/>
      <c r="Y258" s="4"/>
      <c r="Z258" s="4"/>
      <c r="AA258" s="4"/>
      <c r="AB258" s="4"/>
      <c r="AC258" s="4"/>
      <c r="AD258" s="4"/>
      <c r="AE258" s="4"/>
      <c r="AF258" s="4"/>
      <c r="AG258" s="4"/>
    </row>
    <row r="259" spans="1:33" ht="22.5" customHeight="1" x14ac:dyDescent="0.25">
      <c r="A259" s="2"/>
      <c r="B259" s="2"/>
      <c r="C259" s="2"/>
      <c r="D259" s="2"/>
      <c r="E259" s="2"/>
      <c r="F259" s="4"/>
      <c r="G259" s="4"/>
      <c r="H259" s="4" t="s">
        <v>52</v>
      </c>
      <c r="I259" s="4" t="str">
        <f ca="1">IFERROR(__xludf.DUMMYFUNCTION("GOOGLETRANSLATE(B259,""en"",""ar"")"),"ما هي الوظيفة الأساسية لفارس آلي؟")</f>
        <v>ما هي الوظيفة الأساسية لفارس آلي؟</v>
      </c>
      <c r="J259" s="4" t="str">
        <f ca="1">IFERROR(__xludf.DUMMYFUNCTION("GOOGLETRANSLATE(C259,""en"",""ar"")"),"أ) لتوجيه الجمل، ب) للإمساك باللجام، ج) لتشجيع الجمل باستخدام سوط يتم التحكم فيه عن بعد، د) للتحدث إلى الجمل")</f>
        <v>أ) لتوجيه الجمل، ب) للإمساك باللجام، ج) لتشجيع الجمل باستخدام سوط يتم التحكم فيه عن بعد، د) للتحدث إلى الجمل</v>
      </c>
      <c r="K259" s="4" t="str">
        <f ca="1">IFERROR(__xludf.DUMMYFUNCTION("GOOGLETRANSLATE(D259,""en"",""ar"")"),"ج) تقديم التشجيع باستخدام سوط يتم التحكم فيه عن بعد")</f>
        <v>ج) تقديم التشجيع باستخدام سوط يتم التحكم فيه عن بعد</v>
      </c>
      <c r="L259" s="4" t="str">
        <f ca="1">IFERROR(__xludf.DUMMYFUNCTION("GOOGLETRANSLATE(E259,""en"",""ar"")"),"تتمثل الوظيفة الرئيسية للروبوت في حمل ألوان المالك وتشغيل سوط صغير لحث الجمل على التقدم.")</f>
        <v>تتمثل الوظيفة الرئيسية للروبوت في حمل ألوان المالك وتشغيل سوط صغير لحث الجمل على التقدم.</v>
      </c>
      <c r="M259" s="4"/>
      <c r="N259" s="4"/>
      <c r="O259" s="4"/>
      <c r="P259" s="4"/>
      <c r="Q259" s="4"/>
      <c r="R259" s="4"/>
      <c r="S259" s="4"/>
      <c r="T259" s="4"/>
      <c r="U259" s="4"/>
      <c r="V259" s="4"/>
      <c r="W259" s="4"/>
      <c r="X259" s="4"/>
      <c r="Y259" s="4"/>
      <c r="Z259" s="4"/>
      <c r="AA259" s="4"/>
      <c r="AB259" s="4"/>
      <c r="AC259" s="4"/>
      <c r="AD259" s="4"/>
      <c r="AE259" s="4"/>
      <c r="AF259" s="4"/>
      <c r="AG259" s="4"/>
    </row>
    <row r="260" spans="1:33" ht="22.5" customHeight="1" x14ac:dyDescent="0.25">
      <c r="A260" s="2"/>
      <c r="B260" s="2"/>
      <c r="C260" s="2"/>
      <c r="D260" s="2"/>
      <c r="E260" s="2"/>
      <c r="F260" s="4"/>
      <c r="G260" s="4"/>
      <c r="H260" s="4" t="s">
        <v>52</v>
      </c>
      <c r="I260" s="4" t="str">
        <f ca="1">IFERROR(__xludf.DUMMYFUNCTION("GOOGLETRANSLATE(B260,""en"",""ar"")"),"ما لون الحبل الذي يمسكه الشخص الذي يتولى الأمر؟")</f>
        <v>ما لون الحبل الذي يمسكه الشخص الذي يتولى الأمر؟</v>
      </c>
      <c r="J260" s="4" t="str">
        <f ca="1">IFERROR(__xludf.DUMMYFUNCTION("GOOGLETRANSLATE(C260,""en"",""ar"")"),"أ) أحمر، ب) أبيض، ج) أخضر، د) بنفسجي")</f>
        <v>أ) أحمر، ب) أبيض، ج) أخضر، د) بنفسجي</v>
      </c>
      <c r="K260" s="4" t="str">
        <f ca="1">IFERROR(__xludf.DUMMYFUNCTION("GOOGLETRANSLATE(D260,""en"",""ar"")"),"د) بنفسجي")</f>
        <v>د) بنفسجي</v>
      </c>
      <c r="L260" s="4" t="str">
        <f ca="1">IFERROR(__xludf.DUMMYFUNCTION("GOOGLETRANSLATE(E260,""en"",""ar"")"),"إنه يحمل حبلاً أرجوانياً مربوطاً بلجام الجمل.")</f>
        <v>إنه يحمل حبلاً أرجوانياً مربوطاً بلجام الجمل.</v>
      </c>
      <c r="M260" s="4"/>
      <c r="N260" s="4"/>
      <c r="O260" s="4"/>
      <c r="P260" s="4"/>
      <c r="Q260" s="4"/>
      <c r="R260" s="4"/>
      <c r="S260" s="4"/>
      <c r="T260" s="4"/>
      <c r="U260" s="4"/>
      <c r="V260" s="4"/>
      <c r="W260" s="4"/>
      <c r="X260" s="4"/>
      <c r="Y260" s="4"/>
      <c r="Z260" s="4"/>
      <c r="AA260" s="4"/>
      <c r="AB260" s="4"/>
      <c r="AC260" s="4"/>
      <c r="AD260" s="4"/>
      <c r="AE260" s="4"/>
      <c r="AF260" s="4"/>
      <c r="AG260" s="4"/>
    </row>
    <row r="261" spans="1:33" ht="22.5" customHeight="1" x14ac:dyDescent="0.25">
      <c r="A261" s="2"/>
      <c r="B261" s="2"/>
      <c r="C261" s="2"/>
      <c r="D261" s="2"/>
      <c r="E261" s="2"/>
      <c r="F261" s="4"/>
      <c r="G261" s="4"/>
      <c r="H261" s="4" t="s">
        <v>52</v>
      </c>
      <c r="I261" s="4" t="str">
        <f ca="1">IFERROR(__xludf.DUMMYFUNCTION("GOOGLETRANSLATE(B261,""en"",""ar"")"),"هذه الصورة تجسد لحظة...")</f>
        <v>هذه الصورة تجسد لحظة...</v>
      </c>
      <c r="J261" s="4" t="str">
        <f ca="1">IFERROR(__xludf.DUMMYFUNCTION("GOOGLETRANSLATE(C261,""en"",""ar"")"),"أ) أثناء سباق سريع، ب) قبل أو بعد السباق، في منطقة الحظيرة، ج) لهروب جمل، د) لحالة طوارئ طبية")</f>
        <v>أ) أثناء سباق سريع، ب) قبل أو بعد السباق، في منطقة الحظيرة، ج) لهروب جمل، د) لحالة طوارئ طبية</v>
      </c>
      <c r="K261" s="4" t="str">
        <f ca="1">IFERROR(__xludf.DUMMYFUNCTION("GOOGLETRANSLATE(D261,""en"",""ar"")"),"ب) قبل أو بعد السباق، في منطقة الحظائر")</f>
        <v>ب) قبل أو بعد السباق، في منطقة الحظائر</v>
      </c>
      <c r="L261" s="4" t="str">
        <f ca="1">IFERROR(__xludf.DUMMYFUNCTION("GOOGLETRANSLATE(E261,""en"",""ar"")"),"يشير هدوء الرجل والحيوانات إلى أن هذه لحظة من وراء الكواليس، وليست سباقاً جارياً.")</f>
        <v>يشير هدوء الرجل والحيوانات إلى أن هذه لحظة من وراء الكواليس، وليست سباقاً جارياً.</v>
      </c>
      <c r="M261" s="4"/>
      <c r="N261" s="4"/>
      <c r="O261" s="4"/>
      <c r="P261" s="4"/>
      <c r="Q261" s="4"/>
      <c r="R261" s="4"/>
      <c r="S261" s="4"/>
      <c r="T261" s="4"/>
      <c r="U261" s="4"/>
      <c r="V261" s="4"/>
      <c r="W261" s="4"/>
      <c r="X261" s="4"/>
      <c r="Y261" s="4"/>
      <c r="Z261" s="4"/>
      <c r="AA261" s="4"/>
      <c r="AB261" s="4"/>
      <c r="AC261" s="4"/>
      <c r="AD261" s="4"/>
      <c r="AE261" s="4"/>
      <c r="AF261" s="4"/>
      <c r="AG261" s="4"/>
    </row>
    <row r="262" spans="1:33" ht="22.5" customHeight="1" x14ac:dyDescent="0.25">
      <c r="A262" s="2"/>
      <c r="B262" s="2"/>
      <c r="C262" s="2"/>
      <c r="D262" s="2"/>
      <c r="E262" s="2"/>
      <c r="F262" s="4"/>
      <c r="G262" s="4"/>
      <c r="H262" s="4" t="s">
        <v>53</v>
      </c>
      <c r="I262" s="4" t="str">
        <f ca="1">IFERROR(__xludf.DUMMYFUNCTION("GOOGLETRANSLATE(B262,""en"",""ar"")"),"ما نوع سباق الجمال الذي تصوره هذه الصورة؟")</f>
        <v>ما نوع سباق الجمال الذي تصوره هذه الصورة؟</v>
      </c>
      <c r="J262" s="4" t="str">
        <f ca="1">IFERROR(__xludf.DUMMYFUNCTION("GOOGLETRANSLATE(C262,""en"",""ar"")"),"أ) سباق حديث بفرسان آليين، ب) سباق تقليدي واحتفالي للغاية، ج) سباق مبتكر في مضمار سباق أمريكي، د) سباق في الثلج")</f>
        <v>أ) سباق حديث بفرسان آليين، ب) سباق تقليدي واحتفالي للغاية، ج) سباق مبتكر في مضمار سباق أمريكي، د) سباق في الثلج</v>
      </c>
      <c r="K262" s="4" t="str">
        <f ca="1">IFERROR(__xludf.DUMMYFUNCTION("GOOGLETRANSLATE(D262,""en"",""ar"")"),"ب) عرق تقليدي واحتفالي للغاية")</f>
        <v>ب) عرق تقليدي واحتفالي للغاية</v>
      </c>
      <c r="L262" s="4" t="str">
        <f ca="1">IFERROR(__xludf.DUMMYFUNCTION("GOOGLETRANSLATE(E262,""en"",""ar"")"),"تشير ملابس المتسابقين، والحشد الكبير من المتفرجين الذين يرتدون الزي التقليدي، والافتقار إلى مرافق المضمار الحديثة، إلى حدث تقليدي.")</f>
        <v>تشير ملابس المتسابقين، والحشد الكبير من المتفرجين الذين يرتدون الزي التقليدي، والافتقار إلى مرافق المضمار الحديثة، إلى حدث تقليدي.</v>
      </c>
      <c r="M262" s="4"/>
      <c r="N262" s="4"/>
      <c r="O262" s="4"/>
      <c r="P262" s="4"/>
      <c r="Q262" s="4"/>
      <c r="R262" s="4"/>
      <c r="S262" s="4"/>
      <c r="T262" s="4"/>
      <c r="U262" s="4"/>
      <c r="V262" s="4"/>
      <c r="W262" s="4"/>
      <c r="X262" s="4"/>
      <c r="Y262" s="4"/>
      <c r="Z262" s="4"/>
      <c r="AA262" s="4"/>
      <c r="AB262" s="4"/>
      <c r="AC262" s="4"/>
      <c r="AD262" s="4"/>
      <c r="AE262" s="4"/>
      <c r="AF262" s="4"/>
      <c r="AG262" s="4"/>
    </row>
    <row r="263" spans="1:33" ht="22.5" customHeight="1" x14ac:dyDescent="0.25">
      <c r="A263" s="2"/>
      <c r="B263" s="2"/>
      <c r="C263" s="2"/>
      <c r="D263" s="2"/>
      <c r="E263" s="2"/>
      <c r="F263" s="4"/>
      <c r="G263" s="4"/>
      <c r="H263" s="4" t="s">
        <v>53</v>
      </c>
      <c r="I263" s="4" t="str">
        <f ca="1">IFERROR(__xludf.DUMMYFUNCTION("GOOGLETRANSLATE(B263,""en"",""ar"")"),"ماذا يفعل الفارس على الجمل القائد؟")</f>
        <v>ماذا يفعل الفارس على الجمل القائد؟</v>
      </c>
      <c r="J263" s="4" t="str">
        <f ca="1">IFERROR(__xludf.DUMMYFUNCTION("GOOGLETRANSLATE(C263,""en"",""ar"")"),"أ) حمل هاتف محمول لتصوير السباق، ب) التلويح بعلم، ج) التلويح بسيف أو عصا تقليدية، د) التمسك بكلتا اليدين")</f>
        <v>أ) حمل هاتف محمول لتصوير السباق، ب) التلويح بعلم، ج) التلويح بسيف أو عصا تقليدية، د) التمسك بكلتا اليدين</v>
      </c>
      <c r="K263" s="4" t="str">
        <f ca="1">IFERROR(__xludf.DUMMYFUNCTION("GOOGLETRANSLATE(D263,""en"",""ar"")"),"ج) التلويح بسيف أو عصا تقليدية")</f>
        <v>ج) التلويح بسيف أو عصا تقليدية</v>
      </c>
      <c r="L263" s="4" t="str">
        <f ca="1">IFERROR(__xludf.DUMMYFUNCTION("GOOGLETRANSLATE(E263,""en"",""ar"")"),"إنه في وضعية ديناميكية للغاية، يرفع سلاحاً أو عصا احتفالية في الهواء أثناء ركوبه.")</f>
        <v>إنه في وضعية ديناميكية للغاية، يرفع سلاحاً أو عصا احتفالية في الهواء أثناء ركوبه.</v>
      </c>
      <c r="M263" s="4"/>
      <c r="N263" s="4"/>
      <c r="O263" s="4"/>
      <c r="P263" s="4"/>
      <c r="Q263" s="4"/>
      <c r="R263" s="4"/>
      <c r="S263" s="4"/>
      <c r="T263" s="4"/>
      <c r="U263" s="4"/>
      <c r="V263" s="4"/>
      <c r="W263" s="4"/>
      <c r="X263" s="4"/>
      <c r="Y263" s="4"/>
      <c r="Z263" s="4"/>
      <c r="AA263" s="4"/>
      <c r="AB263" s="4"/>
      <c r="AC263" s="4"/>
      <c r="AD263" s="4"/>
      <c r="AE263" s="4"/>
      <c r="AF263" s="4"/>
      <c r="AG263" s="4"/>
    </row>
    <row r="264" spans="1:33" ht="22.5" customHeight="1" x14ac:dyDescent="0.25">
      <c r="A264" s="2"/>
      <c r="B264" s="2"/>
      <c r="C264" s="2"/>
      <c r="D264" s="2"/>
      <c r="E264" s="2"/>
      <c r="F264" s="4"/>
      <c r="G264" s="4"/>
      <c r="H264" s="4" t="s">
        <v>53</v>
      </c>
      <c r="I264" s="4" t="str">
        <f ca="1">IFERROR(__xludf.DUMMYFUNCTION("GOOGLETRANSLATE(B264,""en"",""ar"")"),"كيف يرتدي حشد المتفرجين ملابسهم؟")</f>
        <v>كيف يرتدي حشد المتفرجين ملابسهم؟</v>
      </c>
      <c r="J264" s="4" t="str">
        <f ca="1">IFERROR(__xludf.DUMMYFUNCTION("GOOGLETRANSLATE(C264,""en"",""ar"")"),"أ) بملابس غربية عصرية غير رسمية، ب) بملابس سباق ملونة، ج) بأثواب بيضاء تقليدية (ثوب)، د) بمعاطف شتوية ثقيلة")</f>
        <v>أ) بملابس غربية عصرية غير رسمية، ب) بملابس سباق ملونة، ج) بأثواب بيضاء تقليدية (ثوب)، د) بمعاطف شتوية ثقيلة</v>
      </c>
      <c r="K264" s="4" t="str">
        <f ca="1">IFERROR(__xludf.DUMMYFUNCTION("GOOGLETRANSLATE(D264,""en"",""ar"")"),"ج) في الثياب البيضاء التقليدية (الثياب)")</f>
        <v>ج) في الثياب البيضاء التقليدية (الثياب)</v>
      </c>
      <c r="L264" s="4" t="str">
        <f ca="1">IFERROR(__xludf.DUMMYFUNCTION("GOOGLETRANSLATE(E264,""en"",""ar"")"),"كان الحشد الكبير من الرجال الذين يشاهدون السباق يرتدون جميعهم تقريباً الزي التقليدي.")</f>
        <v>كان الحشد الكبير من الرجال الذين يشاهدون السباق يرتدون جميعهم تقريباً الزي التقليدي.</v>
      </c>
      <c r="M264" s="4"/>
      <c r="N264" s="4"/>
      <c r="O264" s="4"/>
      <c r="P264" s="4"/>
      <c r="Q264" s="4"/>
      <c r="R264" s="4"/>
      <c r="S264" s="4"/>
      <c r="T264" s="4"/>
      <c r="U264" s="4"/>
      <c r="V264" s="4"/>
      <c r="W264" s="4"/>
      <c r="X264" s="4"/>
      <c r="Y264" s="4"/>
      <c r="Z264" s="4"/>
      <c r="AA264" s="4"/>
      <c r="AB264" s="4"/>
      <c r="AC264" s="4"/>
      <c r="AD264" s="4"/>
      <c r="AE264" s="4"/>
      <c r="AF264" s="4"/>
      <c r="AG264" s="4"/>
    </row>
    <row r="265" spans="1:33" ht="22.5" customHeight="1" x14ac:dyDescent="0.25">
      <c r="A265" s="2"/>
      <c r="B265" s="2"/>
      <c r="C265" s="2"/>
      <c r="D265" s="2"/>
      <c r="E265" s="2"/>
      <c r="F265" s="4"/>
      <c r="G265" s="4"/>
      <c r="H265" s="4" t="s">
        <v>53</v>
      </c>
      <c r="I265" s="4" t="str">
        <f ca="1">IFERROR(__xludf.DUMMYFUNCTION("GOOGLETRANSLATE(B265,""en"",""ar"")"),"ما نوع المضمار الذي يُقام عليه هذا السباق؟")</f>
        <v>ما نوع المضمار الذي يُقام عليه هذا السباق؟</v>
      </c>
      <c r="J265" s="4" t="str">
        <f ca="1">IFERROR(__xludf.DUMMYFUNCTION("GOOGLETRANSLATE(C265,""en"",""ar"")"),"أ) مضمار رملي حديث مزود بسياج، ب) مضمار ترابي أو حصوي طبيعي غير رسمي، ج) مضمار عشبي أخضر كثيف، د) شارع معبد في المدينة")</f>
        <v>أ) مضمار رملي حديث مزود بسياج، ب) مضمار ترابي أو حصوي طبيعي غير رسمي، ج) مضمار عشبي أخضر كثيف، د) شارع معبد في المدينة</v>
      </c>
      <c r="K265" s="4" t="str">
        <f ca="1">IFERROR(__xludf.DUMMYFUNCTION("GOOGLETRANSLATE(D265,""en"",""ar"")"),"ب) مسار ترابي أو حصوي طبيعي غير رسمي")</f>
        <v>ب) مسار ترابي أو حصوي طبيعي غير رسمي</v>
      </c>
      <c r="L265" s="4" t="str">
        <f ca="1">IFERROR(__xludf.DUMMYFUNCTION("GOOGLETRANSLATE(E265,""en"",""ar"")"),"يقام السباق على أرض غير مطورة، ويجلس المتفرجون على حافة الحدث مباشرة.")</f>
        <v>يقام السباق على أرض غير مطورة، ويجلس المتفرجون على حافة الحدث مباشرة.</v>
      </c>
      <c r="M265" s="4"/>
      <c r="N265" s="4"/>
      <c r="O265" s="4"/>
      <c r="P265" s="4"/>
      <c r="Q265" s="4"/>
      <c r="R265" s="4"/>
      <c r="S265" s="4"/>
      <c r="T265" s="4"/>
      <c r="U265" s="4"/>
      <c r="V265" s="4"/>
      <c r="W265" s="4"/>
      <c r="X265" s="4"/>
      <c r="Y265" s="4"/>
      <c r="Z265" s="4"/>
      <c r="AA265" s="4"/>
      <c r="AB265" s="4"/>
      <c r="AC265" s="4"/>
      <c r="AD265" s="4"/>
      <c r="AE265" s="4"/>
      <c r="AF265" s="4"/>
      <c r="AG265" s="4"/>
    </row>
    <row r="266" spans="1:33" ht="22.5" customHeight="1" x14ac:dyDescent="0.25">
      <c r="A266" s="2"/>
      <c r="B266" s="2"/>
      <c r="C266" s="2"/>
      <c r="D266" s="2"/>
      <c r="E266" s="2"/>
      <c r="F266" s="4"/>
      <c r="G266" s="4"/>
      <c r="H266" s="4" t="s">
        <v>53</v>
      </c>
      <c r="I266" s="4" t="str">
        <f ca="1">IFERROR(__xludf.DUMMYFUNCTION("GOOGLETRANSLATE(B266,""en"",""ar"")"),"السروج الموجودة على الجمال هي...")</f>
        <v>السروج الموجودة على الجمال هي...</v>
      </c>
      <c r="J266" s="4" t="str">
        <f ca="1">IFERROR(__xludf.DUMMYFUNCTION("GOOGLETRANSLATE(C266,""en"",""ar"")"),"أ) عالية التقنية وروبوتية، ب) صغيرة ومزينة بزخارف أنيقة من الشرابات الملونة، ج) كبيرة ومصممة للراحة، د) غير مرئية")</f>
        <v>أ) عالية التقنية وروبوتية، ب) صغيرة ومزينة بزخارف أنيقة من الشرابات الملونة، ج) كبيرة ومصممة للراحة، د) غير مرئية</v>
      </c>
      <c r="K266" s="4" t="str">
        <f ca="1">IFERROR(__xludf.DUMMYFUNCTION("GOOGLETRANSLATE(D266,""en"",""ar"")"),"ب) صغيرة ومزينة بشكل متقن بشرابات ملونة")</f>
        <v>ب) صغيرة ومزينة بشكل متقن بشرابات ملونة</v>
      </c>
      <c r="L266" s="4" t="str">
        <f ca="1">IFERROR(__xludf.DUMMYFUNCTION("GOOGLETRANSLATE(E266,""en"",""ar"")"),"تم تجهيز الجمال بسروج تقليدية مزخرفة للغاية.")</f>
        <v>تم تجهيز الجمال بسروج تقليدية مزخرفة للغاية.</v>
      </c>
      <c r="M266" s="4"/>
      <c r="N266" s="4"/>
      <c r="O266" s="4"/>
      <c r="P266" s="4"/>
      <c r="Q266" s="4"/>
      <c r="R266" s="4"/>
      <c r="S266" s="4"/>
      <c r="T266" s="4"/>
      <c r="U266" s="4"/>
      <c r="V266" s="4"/>
      <c r="W266" s="4"/>
      <c r="X266" s="4"/>
      <c r="Y266" s="4"/>
      <c r="Z266" s="4"/>
      <c r="AA266" s="4"/>
      <c r="AB266" s="4"/>
      <c r="AC266" s="4"/>
      <c r="AD266" s="4"/>
      <c r="AE266" s="4"/>
      <c r="AF266" s="4"/>
      <c r="AG266" s="4"/>
    </row>
    <row r="267" spans="1:33" ht="22.5" customHeight="1" x14ac:dyDescent="0.25">
      <c r="A267" s="2"/>
      <c r="B267" s="2"/>
      <c r="C267" s="2"/>
      <c r="D267" s="2"/>
      <c r="E267" s="2"/>
      <c r="F267" s="4"/>
      <c r="G267" s="4"/>
      <c r="H267" s="4" t="s">
        <v>53</v>
      </c>
      <c r="I267" s="4" t="str">
        <f ca="1">IFERROR(__xludf.DUMMYFUNCTION("GOOGLETRANSLATE(B267,""en"",""ar"")"),"الجو العام للحدث هو جو...")</f>
        <v>الجو العام للحدث هو جو...</v>
      </c>
      <c r="J267" s="4" t="str">
        <f ca="1">IFERROR(__xludf.DUMMYFUNCTION("GOOGLETRANSLATE(C267,""en"",""ar"")"),"أ) تأمل هادئ، ب) حماس شديد واحتفال جماعي، ج) قواعد وأنظمة صارمة ورسمية، د) حزن وفقدان")</f>
        <v>أ) تأمل هادئ، ب) حماس شديد واحتفال جماعي، ج) قواعد وأنظمة صارمة ورسمية، د) حزن وفقدان</v>
      </c>
      <c r="K267" s="4" t="str">
        <f ca="1">IFERROR(__xludf.DUMMYFUNCTION("GOOGLETRANSLATE(D267,""en"",""ar"")"),"ب) حماس كبير واحتفال مجتمعي")</f>
        <v>ب) حماس كبير واحتفال مجتمعي</v>
      </c>
      <c r="L267" s="4" t="str">
        <f ca="1">IFERROR(__xludf.DUMMYFUNCTION("GOOGLETRANSLATE(E267,""en"",""ar"")"),"يشير النشاط الديناميكي والحشد الكبير المتفاعل إلى حدث ثقافي حيوي وهام.")</f>
        <v>يشير النشاط الديناميكي والحشد الكبير المتفاعل إلى حدث ثقافي حيوي وهام.</v>
      </c>
      <c r="M267" s="4"/>
      <c r="N267" s="4"/>
      <c r="O267" s="4"/>
      <c r="P267" s="4"/>
      <c r="Q267" s="4"/>
      <c r="R267" s="4"/>
      <c r="S267" s="4"/>
      <c r="T267" s="4"/>
      <c r="U267" s="4"/>
      <c r="V267" s="4"/>
      <c r="W267" s="4"/>
      <c r="X267" s="4"/>
      <c r="Y267" s="4"/>
      <c r="Z267" s="4"/>
      <c r="AA267" s="4"/>
      <c r="AB267" s="4"/>
      <c r="AC267" s="4"/>
      <c r="AD267" s="4"/>
      <c r="AE267" s="4"/>
      <c r="AF267" s="4"/>
      <c r="AG267" s="4"/>
    </row>
    <row r="268" spans="1:33" ht="22.5" customHeight="1" x14ac:dyDescent="0.25">
      <c r="A268" s="2"/>
      <c r="B268" s="2"/>
      <c r="C268" s="2"/>
      <c r="D268" s="2"/>
      <c r="E268" s="2"/>
      <c r="F268" s="4"/>
      <c r="G268" s="4"/>
      <c r="H268" s="4" t="s">
        <v>53</v>
      </c>
      <c r="I268" s="4" t="str">
        <f ca="1">IFERROR(__xludf.DUMMYFUNCTION("GOOGLETRANSLATE(B268,""en"",""ar"")"),"بالمقارنة مع صور سباقات الخيل الأخرى، فإن الفرسان هنا يمتطون خيولهم في...")</f>
        <v>بالمقارنة مع صور سباقات الخيل الأخرى، فإن الفرسان هنا يمتطون خيولهم في...</v>
      </c>
      <c r="J268" s="4" t="str">
        <f ca="1">IFERROR(__xludf.DUMMYFUNCTION("GOOGLETRANSLATE(C268,""en"",""ar"")"),"أ) أسلوب حذر وخجول، ب) أسلوب منتصب ورياضي، ج) أسلوب مسترخٍ ومتكئ، د) أسلوب انسيابي ومنحني")</f>
        <v>أ) أسلوب حذر وخجول، ب) أسلوب منتصب ورياضي، ج) أسلوب مسترخٍ ومتكئ، د) أسلوب انسيابي ومنحني</v>
      </c>
      <c r="K268" s="4" t="str">
        <f ca="1">IFERROR(__xludf.DUMMYFUNCTION("GOOGLETRANSLATE(D268,""en"",""ar"")"),"ب) أسلوب منتصب ورياضي")</f>
        <v>ب) أسلوب منتصب ورياضي</v>
      </c>
      <c r="L268" s="4" t="str">
        <f ca="1">IFERROR(__xludf.DUMMYFUNCTION("GOOGLETRANSLATE(E268,""en"",""ar"")"),"وضعية الفارس الرئيسي مثيرة للغاية ومنتصبة، مما يبرز مهارته وتوازنه.")</f>
        <v>وضعية الفارس الرئيسي مثيرة للغاية ومنتصبة، مما يبرز مهارته وتوازنه.</v>
      </c>
      <c r="M268" s="4"/>
      <c r="N268" s="4"/>
      <c r="O268" s="4"/>
      <c r="P268" s="4"/>
      <c r="Q268" s="4"/>
      <c r="R268" s="4"/>
      <c r="S268" s="4"/>
      <c r="T268" s="4"/>
      <c r="U268" s="4"/>
      <c r="V268" s="4"/>
      <c r="W268" s="4"/>
      <c r="X268" s="4"/>
      <c r="Y268" s="4"/>
      <c r="Z268" s="4"/>
      <c r="AA268" s="4"/>
      <c r="AB268" s="4"/>
      <c r="AC268" s="4"/>
      <c r="AD268" s="4"/>
      <c r="AE268" s="4"/>
      <c r="AF268" s="4"/>
      <c r="AG268" s="4"/>
    </row>
    <row r="269" spans="1:33" ht="22.5" customHeight="1" x14ac:dyDescent="0.25">
      <c r="A269" s="2"/>
      <c r="B269" s="2"/>
      <c r="C269" s="2"/>
      <c r="D269" s="2"/>
      <c r="E269" s="2"/>
      <c r="F269" s="4"/>
      <c r="G269" s="4"/>
      <c r="H269" s="4" t="s">
        <v>53</v>
      </c>
      <c r="I269" s="4" t="str">
        <f ca="1">IFERROR(__xludf.DUMMYFUNCTION("GOOGLETRANSLATE(B269,""en"",""ar"")"),"يبدو أن هذا الحدث هو في الأساس...")</f>
        <v>يبدو أن هذا الحدث هو في الأساس...</v>
      </c>
      <c r="J269" s="4" t="str">
        <f ca="1">IFERROR(__xludf.DUMMYFUNCTION("GOOGLETRANSLATE(C269,""en"",""ar"")"),"أ) حدث مراهنات دولي عالي المخاطر، ب) عرض للتراث الثقافي والمهارة، ج) معلم سياحي يتضمن سباقات مُنظمة، د) تدريب عسكري")</f>
        <v>أ) حدث مراهنات دولي عالي المخاطر، ب) عرض للتراث الثقافي والمهارة، ج) معلم سياحي يتضمن سباقات مُنظمة، د) تدريب عسكري</v>
      </c>
      <c r="K269" s="4" t="str">
        <f ca="1">IFERROR(__xludf.DUMMYFUNCTION("GOOGLETRANSLATE(D269,""en"",""ar"")"),"ب) عرض للتراث الثقافي والمهارة")</f>
        <v>ب) عرض للتراث الثقافي والمهارة</v>
      </c>
      <c r="L269" s="4" t="str">
        <f ca="1">IFERROR(__xludf.DUMMYFUNCTION("GOOGLETRANSLATE(E269,""en"",""ar"")"),"يبدو أن التركيز ينصب على المهارات التقليدية للفرسان والاحتفاء بالرياضة كممارسة ثقافية.")</f>
        <v>يبدو أن التركيز ينصب على المهارات التقليدية للفرسان والاحتفاء بالرياضة كممارسة ثقافية.</v>
      </c>
      <c r="M269" s="4"/>
      <c r="N269" s="4"/>
      <c r="O269" s="4"/>
      <c r="P269" s="4"/>
      <c r="Q269" s="4"/>
      <c r="R269" s="4"/>
      <c r="S269" s="4"/>
      <c r="T269" s="4"/>
      <c r="U269" s="4"/>
      <c r="V269" s="4"/>
      <c r="W269" s="4"/>
      <c r="X269" s="4"/>
      <c r="Y269" s="4"/>
      <c r="Z269" s="4"/>
      <c r="AA269" s="4"/>
      <c r="AB269" s="4"/>
      <c r="AC269" s="4"/>
      <c r="AD269" s="4"/>
      <c r="AE269" s="4"/>
      <c r="AF269" s="4"/>
      <c r="AG269" s="4"/>
    </row>
    <row r="270" spans="1:33" ht="22.5" customHeight="1" x14ac:dyDescent="0.25">
      <c r="A270" s="2"/>
      <c r="B270" s="2"/>
      <c r="C270" s="2"/>
      <c r="D270" s="2"/>
      <c r="E270" s="2"/>
      <c r="F270" s="4"/>
      <c r="G270" s="4"/>
      <c r="H270" s="4" t="s">
        <v>53</v>
      </c>
      <c r="I270" s="4" t="str">
        <f ca="1">IFERROR(__xludf.DUMMYFUNCTION("GOOGLETRANSLATE(B270,""en"",""ar"")"),"ماذا يفعل رأس الجمل القائد؟")</f>
        <v>ماذا يفعل رأس الجمل القائد؟</v>
      </c>
      <c r="J270" s="4" t="str">
        <f ca="1">IFERROR(__xludf.DUMMYFUNCTION("GOOGLETRANSLATE(C270,""en"",""ar"")"),"أ) ينظر إلى الأرض، ب) يحاول عض الجمل الآخر، ج) مرتفع في الهواء، د) يلتفت لينظر إلى الحشد")</f>
        <v>أ) ينظر إلى الأرض، ب) يحاول عض الجمل الآخر، ج) مرتفع في الهواء، د) يلتفت لينظر إلى الحشد</v>
      </c>
      <c r="K270" s="4" t="str">
        <f ca="1">IFERROR(__xludf.DUMMYFUNCTION("GOOGLETRANSLATE(D270,""en"",""ar"")"),"ج) يتم رفعه عالياً في الهواء")</f>
        <v>ج) يتم رفعه عالياً في الهواء</v>
      </c>
      <c r="L270" s="4" t="str">
        <f ca="1">IFERROR(__xludf.DUMMYFUNCTION("GOOGLETRANSLATE(E270,""en"",""ar"")"),"الجمل يركض ورأسه مرفوع عالياً، وهي وضعية شائعة للجمل عند السرعات العالية.")</f>
        <v>الجمل يركض ورأسه مرفوع عالياً، وهي وضعية شائعة للجمل عند السرعات العالية.</v>
      </c>
      <c r="M270" s="4"/>
      <c r="N270" s="4"/>
      <c r="O270" s="4"/>
      <c r="P270" s="4"/>
      <c r="Q270" s="4"/>
      <c r="R270" s="4"/>
      <c r="S270" s="4"/>
      <c r="T270" s="4"/>
      <c r="U270" s="4"/>
      <c r="V270" s="4"/>
      <c r="W270" s="4"/>
      <c r="X270" s="4"/>
      <c r="Y270" s="4"/>
      <c r="Z270" s="4"/>
      <c r="AA270" s="4"/>
      <c r="AB270" s="4"/>
      <c r="AC270" s="4"/>
      <c r="AD270" s="4"/>
      <c r="AE270" s="4"/>
      <c r="AF270" s="4"/>
      <c r="AG270" s="4"/>
    </row>
    <row r="271" spans="1:33" ht="22.5" customHeight="1" x14ac:dyDescent="0.25">
      <c r="A271" s="2"/>
      <c r="B271" s="2"/>
      <c r="C271" s="2"/>
      <c r="D271" s="2"/>
      <c r="E271" s="2"/>
      <c r="F271" s="4"/>
      <c r="G271" s="4"/>
      <c r="H271" s="4" t="s">
        <v>53</v>
      </c>
      <c r="I271" s="4" t="str">
        <f ca="1">IFERROR(__xludf.DUMMYFUNCTION("GOOGLETRANSLATE(B271,""en"",""ar"")"),"يُستخدم التظليل (الحواف الداكنة) في الصورة لـ...")</f>
        <v>يُستخدم التظليل (الحواف الداكنة) في الصورة لـ...</v>
      </c>
      <c r="J271" s="4" t="str">
        <f ca="1">IFERROR(__xludf.DUMMYFUNCTION("GOOGLETRANSLATE(C271,""en"",""ar"")"),"أ) اجعل الصورة تبدو أقدم، ب) ركز انتباه المشاهد على الحدث الرئيسي، ج) صحح الألوان، د) أظهر أنها التُقطت ليلاً")</f>
        <v>أ) اجعل الصورة تبدو أقدم، ب) ركز انتباه المشاهد على الحدث الرئيسي، ج) صحح الألوان، د) أظهر أنها التُقطت ليلاً</v>
      </c>
      <c r="K271" s="4" t="str">
        <f ca="1">IFERROR(__xludf.DUMMYFUNCTION("GOOGLETRANSLATE(D271,""en"",""ar"")"),"ب) وجّه انتباه المشاهد إلى الحدث الرئيسي")</f>
        <v>ب) وجّه انتباه المشاهد إلى الحدث الرئيسي</v>
      </c>
      <c r="L271" s="4" t="str">
        <f ca="1">IFERROR(__xludf.DUMMYFUNCTION("GOOGLETRANSLATE(E271,""en"",""ar"")"),"يساعد هذا الخيار الفني في تأطير المواضيع الرئيسية وجذب الانتباه إليها.")</f>
        <v>يساعد هذا الخيار الفني في تأطير المواضيع الرئيسية وجذب الانتباه إليها.</v>
      </c>
      <c r="M271" s="4"/>
      <c r="N271" s="4"/>
      <c r="O271" s="4"/>
      <c r="P271" s="4"/>
      <c r="Q271" s="4"/>
      <c r="R271" s="4"/>
      <c r="S271" s="4"/>
      <c r="T271" s="4"/>
      <c r="U271" s="4"/>
      <c r="V271" s="4"/>
      <c r="W271" s="4"/>
      <c r="X271" s="4"/>
      <c r="Y271" s="4"/>
      <c r="Z271" s="4"/>
      <c r="AA271" s="4"/>
      <c r="AB271" s="4"/>
      <c r="AC271" s="4"/>
      <c r="AD271" s="4"/>
      <c r="AE271" s="4"/>
      <c r="AF271" s="4"/>
      <c r="AG271" s="4"/>
    </row>
    <row r="272" spans="1:33" ht="22.5" customHeight="1" x14ac:dyDescent="0.25">
      <c r="A272" s="2"/>
      <c r="B272" s="2"/>
      <c r="C272" s="2"/>
      <c r="D272" s="2"/>
      <c r="E272" s="2"/>
      <c r="F272" s="4"/>
      <c r="G272" s="4"/>
      <c r="H272" s="4" t="s">
        <v>54</v>
      </c>
      <c r="I272" s="4" t="str">
        <f ca="1">IFERROR(__xludf.DUMMYFUNCTION("GOOGLETRANSLATE(B272,""en"",""ar"")"),"ما هو التأثير البصري الناتج عن موقع الشمس في السماء؟")</f>
        <v>ما هو التأثير البصري الناتج عن موقع الشمس في السماء؟</v>
      </c>
      <c r="J272" s="4" t="str">
        <f ca="1">IFERROR(__xludf.DUMMYFUNCTION("GOOGLETRANSLATE(C272,""en"",""ar"")"),"أ) المشهد مضاء بشكل ساطع من الأمام، ب) الفرسان والجمال مضاءون من الخلف، مما يخلق ظلالاً، ج) الظلام حالك لدرجة عدم القدرة على رؤية أي شيء، د) الصورة مُفرطة الإضاءة وبيضاء بالكامل")</f>
        <v>أ) المشهد مضاء بشكل ساطع من الأمام، ب) الفرسان والجمال مضاءون من الخلف، مما يخلق ظلالاً، ج) الظلام حالك لدرجة عدم القدرة على رؤية أي شيء، د) الصورة مُفرطة الإضاءة وبيضاء بالكامل</v>
      </c>
      <c r="K272" s="4" t="str">
        <f ca="1">IFERROR(__xludf.DUMMYFUNCTION("GOOGLETRANSLATE(D272,""en"",""ar"")"),"ب) يتم إضاءة الفرسان والجمال من الخلف، مما يخلق صوراً ظلية.")</f>
        <v>ب) يتم إضاءة الفرسان والجمال من الخلف، مما يخلق صوراً ظلية.</v>
      </c>
      <c r="L272" s="4" t="str">
        <f ca="1">IFERROR(__xludf.DUMMYFUNCTION("GOOGLETRANSLATE(E272,""en"",""ar"")"),"الشمس منخفضة وخلف الأشخاص، مما يلقي بظلاله عليهم ويخلق تأثيرًا دراميًا للصور الظلية.")</f>
        <v>الشمس منخفضة وخلف الأشخاص، مما يلقي بظلاله عليهم ويخلق تأثيرًا دراميًا للصور الظلية.</v>
      </c>
      <c r="M272" s="4"/>
      <c r="N272" s="4"/>
      <c r="O272" s="4"/>
      <c r="P272" s="4"/>
      <c r="Q272" s="4"/>
      <c r="R272" s="4"/>
      <c r="S272" s="4"/>
      <c r="T272" s="4"/>
      <c r="U272" s="4"/>
      <c r="V272" s="4"/>
      <c r="W272" s="4"/>
      <c r="X272" s="4"/>
      <c r="Y272" s="4"/>
      <c r="Z272" s="4"/>
      <c r="AA272" s="4"/>
      <c r="AB272" s="4"/>
      <c r="AC272" s="4"/>
      <c r="AD272" s="4"/>
      <c r="AE272" s="4"/>
      <c r="AF272" s="4"/>
      <c r="AG272" s="4"/>
    </row>
    <row r="273" spans="1:33" ht="22.5" customHeight="1" x14ac:dyDescent="0.25">
      <c r="A273" s="2"/>
      <c r="B273" s="2"/>
      <c r="C273" s="2"/>
      <c r="D273" s="2"/>
      <c r="E273" s="2"/>
      <c r="F273" s="4"/>
      <c r="G273" s="4"/>
      <c r="H273" s="4" t="s">
        <v>54</v>
      </c>
      <c r="I273" s="4" t="str">
        <f ca="1">IFERROR(__xludf.DUMMYFUNCTION("GOOGLETRANSLATE(B273,""en"",""ar"")"),"ما هي البنية التحتية الحديثة الظاهرة في الصورة؟")</f>
        <v>ما هي البنية التحتية الحديثة الظاهرة في الصورة؟</v>
      </c>
      <c r="J273" s="4" t="str">
        <f ca="1">IFERROR(__xludf.DUMMYFUNCTION("GOOGLETRANSLATE(C273,""en"",""ar"")"),"أ) ناطحات السحاب والجسور، ب) السيارات وأعمدة إنارة الملاعب الطويلة، ج) مدرج المطار، د) ميناء بحري به سفن")</f>
        <v>أ) ناطحات السحاب والجسور، ب) السيارات وأعمدة إنارة الملاعب الطويلة، ج) مدرج المطار، د) ميناء بحري به سفن</v>
      </c>
      <c r="K273" s="4" t="str">
        <f ca="1">IFERROR(__xludf.DUMMYFUNCTION("GOOGLETRANSLATE(D273,""en"",""ar"")"),"ب) السيارات وأعمدة الإنارة الطويلة في الملاعب")</f>
        <v>ب) السيارات وأعمدة الإنارة الطويلة في الملاعب</v>
      </c>
      <c r="L273" s="4" t="str">
        <f ca="1">IFERROR(__xludf.DUMMYFUNCTION("GOOGLETRANSLATE(E273,""en"",""ar"")"),"تسير سيارات الدعم على طول المسار، وتبرز أعمدة الإنارة الطويلة جداً المخصصة للفعاليات الليلية.")</f>
        <v>تسير سيارات الدعم على طول المسار، وتبرز أعمدة الإنارة الطويلة جداً المخصصة للفعاليات الليلية.</v>
      </c>
      <c r="M273" s="4"/>
      <c r="N273" s="4"/>
      <c r="O273" s="4"/>
      <c r="P273" s="4"/>
      <c r="Q273" s="4"/>
      <c r="R273" s="4"/>
      <c r="S273" s="4"/>
      <c r="T273" s="4"/>
      <c r="U273" s="4"/>
      <c r="V273" s="4"/>
      <c r="W273" s="4"/>
      <c r="X273" s="4"/>
      <c r="Y273" s="4"/>
      <c r="Z273" s="4"/>
      <c r="AA273" s="4"/>
      <c r="AB273" s="4"/>
      <c r="AC273" s="4"/>
      <c r="AD273" s="4"/>
      <c r="AE273" s="4"/>
      <c r="AF273" s="4"/>
      <c r="AG273" s="4"/>
    </row>
    <row r="274" spans="1:33" ht="22.5" customHeight="1" x14ac:dyDescent="0.25">
      <c r="A274" s="2"/>
      <c r="B274" s="2"/>
      <c r="C274" s="2"/>
      <c r="D274" s="2"/>
      <c r="E274" s="2"/>
      <c r="F274" s="4"/>
      <c r="G274" s="4"/>
      <c r="H274" s="4" t="s">
        <v>54</v>
      </c>
      <c r="I274" s="4" t="str">
        <f ca="1">IFERROR(__xludf.DUMMYFUNCTION("GOOGLETRANSLATE(B274,""en"",""ar"")"),"ماذا يرتدي الفرسان على رؤوسهم؟")</f>
        <v>ماذا يرتدي الفرسان على رؤوسهم؟</v>
      </c>
      <c r="J274" s="4" t="str">
        <f ca="1">IFERROR(__xludf.DUMMYFUNCTION("GOOGLETRANSLATE(C274,""en"",""ar"")"),"أ) العمائم التقليدية، ب) قبعات رعاة البقر، ج) لا شيء، د) خوذات الأمان الحديثة")</f>
        <v>أ) العمائم التقليدية، ب) قبعات رعاة البقر، ج) لا شيء، د) خوذات الأمان الحديثة</v>
      </c>
      <c r="K274" s="4" t="str">
        <f ca="1">IFERROR(__xludf.DUMMYFUNCTION("GOOGLETRANSLATE(D274,""en"",""ar"")"),"د) خوذات الأمان الحديثة")</f>
        <v>د) خوذات الأمان الحديثة</v>
      </c>
      <c r="L274" s="4" t="str">
        <f ca="1">IFERROR(__xludf.DUMMYFUNCTION("GOOGLETRANSLATE(E274,""en"",""ar"")"),"يرتدي جميع الفرسان خوذات لأسباب تتعلق بالسلامة.")</f>
        <v>يرتدي جميع الفرسان خوذات لأسباب تتعلق بالسلامة.</v>
      </c>
      <c r="M274" s="4"/>
      <c r="N274" s="4"/>
      <c r="O274" s="4"/>
      <c r="P274" s="4"/>
      <c r="Q274" s="4"/>
      <c r="R274" s="4"/>
      <c r="S274" s="4"/>
      <c r="T274" s="4"/>
      <c r="U274" s="4"/>
      <c r="V274" s="4"/>
      <c r="W274" s="4"/>
      <c r="X274" s="4"/>
      <c r="Y274" s="4"/>
      <c r="Z274" s="4"/>
      <c r="AA274" s="4"/>
      <c r="AB274" s="4"/>
      <c r="AC274" s="4"/>
      <c r="AD274" s="4"/>
      <c r="AE274" s="4"/>
      <c r="AF274" s="4"/>
      <c r="AG274" s="4"/>
    </row>
    <row r="275" spans="1:33" ht="22.5" customHeight="1" x14ac:dyDescent="0.25">
      <c r="A275" s="2"/>
      <c r="B275" s="2"/>
      <c r="C275" s="2"/>
      <c r="D275" s="2"/>
      <c r="E275" s="2"/>
      <c r="F275" s="4"/>
      <c r="G275" s="4"/>
      <c r="H275" s="4" t="s">
        <v>54</v>
      </c>
      <c r="I275" s="4" t="str">
        <f ca="1">IFERROR(__xludf.DUMMYFUNCTION("GOOGLETRANSLATE(B275,""en"",""ar"")"),"ماذا يحمل الفرسان؟")</f>
        <v>ماذا يحمل الفرسان؟</v>
      </c>
      <c r="J275" s="4" t="str">
        <f ca="1">IFERROR(__xludf.DUMMYFUNCTION("GOOGLETRANSLATE(C275,""en"",""ar"")"),"أ) حبال لقيادة الجمال، ب) سياط ركوب طويلة ورفيعة، ج) أعلام، د) هواتف محمولة")</f>
        <v>أ) حبال لقيادة الجمال، ب) سياط ركوب طويلة ورفيعة، ج) أعلام، د) هواتف محمولة</v>
      </c>
      <c r="K275" s="4" t="str">
        <f ca="1">IFERROR(__xludf.DUMMYFUNCTION("GOOGLETRANSLATE(D275,""en"",""ar"")"),"ب) سياط ركوب طويلة ورفيعة")</f>
        <v>ب) سياط ركوب طويلة ورفيعة</v>
      </c>
      <c r="L275" s="4" t="str">
        <f ca="1">IFERROR(__xludf.DUMMYFUNCTION("GOOGLETRANSLATE(E275,""en"",""ar"")"),"يحمل كل فارس سوطاً، وهو أداة تستخدم لإعطاء إشارة للجمل لزيادة سرعته.")</f>
        <v>يحمل كل فارس سوطاً، وهو أداة تستخدم لإعطاء إشارة للجمل لزيادة سرعته.</v>
      </c>
      <c r="M275" s="4"/>
      <c r="N275" s="4"/>
      <c r="O275" s="4"/>
      <c r="P275" s="4"/>
      <c r="Q275" s="4"/>
      <c r="R275" s="4"/>
      <c r="S275" s="4"/>
      <c r="T275" s="4"/>
      <c r="U275" s="4"/>
      <c r="V275" s="4"/>
      <c r="W275" s="4"/>
      <c r="X275" s="4"/>
      <c r="Y275" s="4"/>
      <c r="Z275" s="4"/>
      <c r="AA275" s="4"/>
      <c r="AB275" s="4"/>
      <c r="AC275" s="4"/>
      <c r="AD275" s="4"/>
      <c r="AE275" s="4"/>
      <c r="AF275" s="4"/>
      <c r="AG275" s="4"/>
    </row>
    <row r="276" spans="1:33" ht="22.5" customHeight="1" x14ac:dyDescent="0.25">
      <c r="A276" s="2"/>
      <c r="B276" s="2"/>
      <c r="C276" s="2"/>
      <c r="D276" s="2"/>
      <c r="E276" s="2"/>
      <c r="F276" s="4"/>
      <c r="G276" s="4"/>
      <c r="H276" s="4" t="s">
        <v>54</v>
      </c>
      <c r="I276" s="4" t="str">
        <f ca="1">IFERROR(__xludf.DUMMYFUNCTION("GOOGLETRANSLATE(B276,""en"",""ar"")"),"زاوية الكاميرا المنخفضة تجعل الجمل الرئيسي يبدو...")</f>
        <v>زاوية الكاميرا المنخفضة تجعل الجمل الرئيسي يبدو...</v>
      </c>
      <c r="J276" s="4" t="str">
        <f ca="1">IFERROR(__xludf.DUMMYFUNCTION("GOOGLETRANSLATE(C276,""en"",""ar"")"),"أ) أصغر وأقل أهمية، ب) أن يتحرك ببطء شديد، ج) بطولي وقوي، د) أن يكون نائماً")</f>
        <v>أ) أصغر وأقل أهمية، ب) أن يتحرك ببطء شديد، ج) بطولي وقوي، د) أن يكون نائماً</v>
      </c>
      <c r="K276" s="4" t="str">
        <f ca="1">IFERROR(__xludf.DUMMYFUNCTION("GOOGLETRANSLATE(D276,""en"",""ar"")"),"ج) بطولي وقوي")</f>
        <v>ج) بطولي وقوي</v>
      </c>
      <c r="L276" s="4" t="str">
        <f ca="1">IFERROR(__xludf.DUMMYFUNCTION("GOOGLETRANSLATE(E276,""en"",""ar"")"),"التصوير من منظور منخفض هو أسلوب يستخدم لجعل الموضوع يبدو أكثر هيبة وهيمنة في الإطار.")</f>
        <v>التصوير من منظور منخفض هو أسلوب يستخدم لجعل الموضوع يبدو أكثر هيبة وهيمنة في الإطار.</v>
      </c>
      <c r="M276" s="4"/>
      <c r="N276" s="4"/>
      <c r="O276" s="4"/>
      <c r="P276" s="4"/>
      <c r="Q276" s="4"/>
      <c r="R276" s="4"/>
      <c r="S276" s="4"/>
      <c r="T276" s="4"/>
      <c r="U276" s="4"/>
      <c r="V276" s="4"/>
      <c r="W276" s="4"/>
      <c r="X276" s="4"/>
      <c r="Y276" s="4"/>
      <c r="Z276" s="4"/>
      <c r="AA276" s="4"/>
      <c r="AB276" s="4"/>
      <c r="AC276" s="4"/>
      <c r="AD276" s="4"/>
      <c r="AE276" s="4"/>
      <c r="AF276" s="4"/>
      <c r="AG276" s="4"/>
    </row>
    <row r="277" spans="1:33" ht="22.5" customHeight="1" x14ac:dyDescent="0.25">
      <c r="A277" s="2"/>
      <c r="B277" s="2"/>
      <c r="C277" s="2"/>
      <c r="D277" s="2"/>
      <c r="E277" s="2"/>
      <c r="F277" s="4"/>
      <c r="G277" s="4"/>
      <c r="H277" s="4" t="s">
        <v>54</v>
      </c>
      <c r="I277" s="4" t="str">
        <f ca="1">IFERROR(__xludf.DUMMYFUNCTION("GOOGLETRANSLATE(B277,""en"",""ar"")"),"الهيكل الأحمر الموجود أعلى الإطار هو جزء من...")</f>
        <v>الهيكل الأحمر الموجود أعلى الإطار هو جزء من...</v>
      </c>
      <c r="J277" s="4" t="str">
        <f ca="1">IFERROR(__xludf.DUMMYFUNCTION("GOOGLETRANSLATE(C277,""en"",""ar"")"),"أ) الجسر، ب) جسر خط البداية أو النهاية، ج) الرافعة، د) سطح المبنى")</f>
        <v>أ) الجسر، ب) جسر خط البداية أو النهاية، ج) الرافعة، د) سطح المبنى</v>
      </c>
      <c r="K277" s="4" t="str">
        <f ca="1">IFERROR(__xludf.DUMMYFUNCTION("GOOGLETRANSLATE(D277,""en"",""ar"")"),"ب) جسر خط البداية أو النهاية")</f>
        <v>ب) جسر خط البداية أو النهاية</v>
      </c>
      <c r="L277" s="4" t="str">
        <f ca="1">IFERROR(__xludf.DUMMYFUNCTION("GOOGLETRANSLATE(E277,""en"",""ar"")"),"من المرجح أن يكون هذا جزءًا من الهيكل العلوي الكبير الذي يحدد خط النهاية في مضمار السباق الحديث.")</f>
        <v>من المرجح أن يكون هذا جزءًا من الهيكل العلوي الكبير الذي يحدد خط النهاية في مضمار السباق الحديث.</v>
      </c>
      <c r="M277" s="4"/>
      <c r="N277" s="4"/>
      <c r="O277" s="4"/>
      <c r="P277" s="4"/>
      <c r="Q277" s="4"/>
      <c r="R277" s="4"/>
      <c r="S277" s="4"/>
      <c r="T277" s="4"/>
      <c r="U277" s="4"/>
      <c r="V277" s="4"/>
      <c r="W277" s="4"/>
      <c r="X277" s="4"/>
      <c r="Y277" s="4"/>
      <c r="Z277" s="4"/>
      <c r="AA277" s="4"/>
      <c r="AB277" s="4"/>
      <c r="AC277" s="4"/>
      <c r="AD277" s="4"/>
      <c r="AE277" s="4"/>
      <c r="AF277" s="4"/>
      <c r="AG277" s="4"/>
    </row>
    <row r="278" spans="1:33" ht="22.5" customHeight="1" x14ac:dyDescent="0.25">
      <c r="A278" s="2"/>
      <c r="B278" s="2"/>
      <c r="C278" s="2"/>
      <c r="D278" s="2"/>
      <c r="E278" s="2"/>
      <c r="F278" s="4"/>
      <c r="G278" s="4"/>
      <c r="H278" s="4" t="s">
        <v>54</v>
      </c>
      <c r="I278" s="4" t="str">
        <f ca="1">IFERROR(__xludf.DUMMYFUNCTION("GOOGLETRANSLATE(B278,""en"",""ar"")"),"تركض الجمال في مجموعة متراصة، مما يشير إلى...")</f>
        <v>تركض الجمال في مجموعة متراصة، مما يشير إلى...</v>
      </c>
      <c r="J278" s="4" t="str">
        <f ca="1">IFERROR(__xludf.DUMMYFUNCTION("GOOGLETRANSLATE(C278,""en"",""ar"")"),"أ) سباق شديد التنافس، ب) السباق أشبه بموكب بطيء، ج) الجمال متعبة، د) الفرسان لا يسعون للفوز")</f>
        <v>أ) سباق شديد التنافس، ب) السباق أشبه بموكب بطيء، ج) الجمال متعبة، د) الفرسان لا يسعون للفوز</v>
      </c>
      <c r="K278" s="4" t="str">
        <f ca="1">IFERROR(__xludf.DUMMYFUNCTION("GOOGLETRANSLATE(D278,""en"",""ar"")"),"أ) سباق تنافسي للغاية")</f>
        <v>أ) سباق تنافسي للغاية</v>
      </c>
      <c r="L278" s="4" t="str">
        <f ca="1">IFERROR(__xludf.DUMMYFUNCTION("GOOGLETRANSLATE(E278,""en"",""ar"")"),"يُظهر التقارب الشديد بين المتنافسين أن السباق يشهد منافسة حامية.")</f>
        <v>يُظهر التقارب الشديد بين المتنافسين أن السباق يشهد منافسة حامية.</v>
      </c>
      <c r="M278" s="4"/>
      <c r="N278" s="4"/>
      <c r="O278" s="4"/>
      <c r="P278" s="4"/>
      <c r="Q278" s="4"/>
      <c r="R278" s="4"/>
      <c r="S278" s="4"/>
      <c r="T278" s="4"/>
      <c r="U278" s="4"/>
      <c r="V278" s="4"/>
      <c r="W278" s="4"/>
      <c r="X278" s="4"/>
      <c r="Y278" s="4"/>
      <c r="Z278" s="4"/>
      <c r="AA278" s="4"/>
      <c r="AB278" s="4"/>
      <c r="AC278" s="4"/>
      <c r="AD278" s="4"/>
      <c r="AE278" s="4"/>
      <c r="AF278" s="4"/>
      <c r="AG278" s="4"/>
    </row>
    <row r="279" spans="1:33" ht="22.5" customHeight="1" x14ac:dyDescent="0.25">
      <c r="A279" s="2"/>
      <c r="B279" s="2"/>
      <c r="C279" s="2"/>
      <c r="D279" s="2"/>
      <c r="E279" s="2"/>
      <c r="F279" s="4"/>
      <c r="G279" s="4"/>
      <c r="H279" s="4" t="s">
        <v>54</v>
      </c>
      <c r="I279" s="4" t="str">
        <f ca="1">IFERROR(__xludf.DUMMYFUNCTION("GOOGLETRANSLATE(B279,""en"",""ar"")"),"ما هو سطح السباق؟")</f>
        <v>ما هو سطح السباق؟</v>
      </c>
      <c r="J279" s="4" t="str">
        <f ca="1">IFERROR(__xludf.DUMMYFUNCTION("GOOGLETRANSLATE(C279,""en"",""ar"")"),"أ) العشب، ب) الطين، ج) الرمل أو التراب، د) الأسفلت")</f>
        <v>أ) العشب، ب) الطين، ج) الرمل أو التراب، د) الأسفلت</v>
      </c>
      <c r="K279" s="4" t="str">
        <f ca="1">IFERROR(__xludf.DUMMYFUNCTION("GOOGLETRANSLATE(D279,""en"",""ar"")"),"ج) الرمل أو التراب")</f>
        <v>ج) الرمل أو التراب</v>
      </c>
      <c r="L279" s="4" t="str">
        <f ca="1">IFERROR(__xludf.DUMMYFUNCTION("GOOGLETRANSLATE(E279,""en"",""ar"")"),"الأرض عبارة عن مضمار رملي مُجهز، وهو أمر قياسي لسباقات الهجن الحديثة.")</f>
        <v>الأرض عبارة عن مضمار رملي مُجهز، وهو أمر قياسي لسباقات الهجن الحديثة.</v>
      </c>
      <c r="M279" s="4"/>
      <c r="N279" s="4"/>
      <c r="O279" s="4"/>
      <c r="P279" s="4"/>
      <c r="Q279" s="4"/>
      <c r="R279" s="4"/>
      <c r="S279" s="4"/>
      <c r="T279" s="4"/>
      <c r="U279" s="4"/>
      <c r="V279" s="4"/>
      <c r="W279" s="4"/>
      <c r="X279" s="4"/>
      <c r="Y279" s="4"/>
      <c r="Z279" s="4"/>
      <c r="AA279" s="4"/>
      <c r="AB279" s="4"/>
      <c r="AC279" s="4"/>
      <c r="AD279" s="4"/>
      <c r="AE279" s="4"/>
      <c r="AF279" s="4"/>
      <c r="AG279" s="4"/>
    </row>
    <row r="280" spans="1:33" ht="22.5" customHeight="1" x14ac:dyDescent="0.25">
      <c r="A280" s="2"/>
      <c r="B280" s="2"/>
      <c r="C280" s="2"/>
      <c r="D280" s="2"/>
      <c r="E280" s="2"/>
      <c r="F280" s="4"/>
      <c r="G280" s="4"/>
      <c r="H280" s="4" t="s">
        <v>54</v>
      </c>
      <c r="I280" s="4" t="str">
        <f ca="1">IFERROR(__xludf.DUMMYFUNCTION("GOOGLETRANSLATE(B280,""en"",""ar"")"),"تسير سيارات الدعم على مسار موازٍ لمسار الجمال. لماذا؟")</f>
        <v>تسير سيارات الدعم على مسار موازٍ لمسار الجمال. لماذا؟</v>
      </c>
      <c r="J280" s="4" t="str">
        <f ca="1">IFERROR(__xludf.DUMMYFUNCTION("GOOGLETRANSLATE(C280,""en"",""ar"")"),"أ) حتى يتمكن السائقون من مشاهدة السباق كمتفرجين، ب) لتوصيل الماء إلى الفرسان أثناء السباق، ج) من هنا يتحكم المدربون/المالكون في الفرسان الآليين، د) لخلق غبار لإضفاء تأثير درامي")</f>
        <v>أ) حتى يتمكن السائقون من مشاهدة السباق كمتفرجين، ب) لتوصيل الماء إلى الفرسان أثناء السباق، ج) من هنا يتحكم المدربون/المالكون في الفرسان الآليين، د) لخلق غبار لإضفاء تأثير درامي</v>
      </c>
      <c r="K280" s="4" t="str">
        <f ca="1">IFERROR(__xludf.DUMMYFUNCTION("GOOGLETRANSLATE(D280,""en"",""ar"")"),"ج) من هنا يتحكم المدربون/المالكون في فرسان الروبوت.")</f>
        <v>ج) من هنا يتحكم المدربون/المالكون في فرسان الروبوت.</v>
      </c>
      <c r="L280" s="4" t="str">
        <f ca="1">IFERROR(__xludf.DUMMYFUNCTION("GOOGLETRANSLATE(E280,""en"",""ar"")"),"على الرغم من أن هؤلاء يبدون كفرسان بشريين، إلا أنه في السباقات التي يشارك فيها فرسان آليون، يتابع المدربون في سياراتهم لتشغيل أجهزة التحكم عن بعد. كما يتابعون أيضاً لمراقبة حيواناتهم.")</f>
        <v>على الرغم من أن هؤلاء يبدون كفرسان بشريين، إلا أنه في السباقات التي يشارك فيها فرسان آليون، يتابع المدربون في سياراتهم لتشغيل أجهزة التحكم عن بعد. كما يتابعون أيضاً لمراقبة حيواناتهم.</v>
      </c>
      <c r="M280" s="4"/>
      <c r="N280" s="4"/>
      <c r="O280" s="4"/>
      <c r="P280" s="4"/>
      <c r="Q280" s="4"/>
      <c r="R280" s="4"/>
      <c r="S280" s="4"/>
      <c r="T280" s="4"/>
      <c r="U280" s="4"/>
      <c r="V280" s="4"/>
      <c r="W280" s="4"/>
      <c r="X280" s="4"/>
      <c r="Y280" s="4"/>
      <c r="Z280" s="4"/>
      <c r="AA280" s="4"/>
      <c r="AB280" s="4"/>
      <c r="AC280" s="4"/>
      <c r="AD280" s="4"/>
      <c r="AE280" s="4"/>
      <c r="AF280" s="4"/>
      <c r="AG280" s="4"/>
    </row>
    <row r="281" spans="1:33" ht="22.5" customHeight="1" x14ac:dyDescent="0.25">
      <c r="A281" s="2"/>
      <c r="B281" s="2"/>
      <c r="C281" s="2"/>
      <c r="D281" s="2"/>
      <c r="E281" s="2"/>
      <c r="F281" s="4"/>
      <c r="G281" s="4"/>
      <c r="H281" s="4" t="s">
        <v>54</v>
      </c>
      <c r="I281" s="4" t="str">
        <f ca="1">IFERROR(__xludf.DUMMYFUNCTION("GOOGLETRANSLATE(B281,""en"",""ar"")"),"تجسد هذه الصورة مزيجًا من...")</f>
        <v>تجسد هذه الصورة مزيجًا من...</v>
      </c>
      <c r="J281" s="4" t="str">
        <f ca="1">IFERROR(__xludf.DUMMYFUNCTION("GOOGLETRANSLATE(C281,""en"",""ar"")"),"أ) رياضة قديمة ببنية تحتية حديثة، ب) أنواع عديدة من حيوانات السباق، ج) حدث رياضي مصحوب بحفل موسيقي، د) سباق على البر والماء")</f>
        <v>أ) رياضة قديمة ببنية تحتية حديثة، ب) أنواع عديدة من حيوانات السباق، ج) حدث رياضي مصحوب بحفل موسيقي، د) سباق على البر والماء</v>
      </c>
      <c r="K281" s="4" t="str">
        <f ca="1">IFERROR(__xludf.DUMMYFUNCTION("GOOGLETRANSLATE(D281,""en"",""ar"")"),"أ) رياضة قديمة ذات بنية تحتية حديثة")</f>
        <v>أ) رياضة قديمة ذات بنية تحتية حديثة</v>
      </c>
      <c r="L281" s="4" t="str">
        <f ca="1">IFERROR(__xludf.DUMMYFUNCTION("GOOGLETRANSLATE(E281,""en"",""ar"")"),"يُقام سباق الجمال التقليدي على خلفية من التكنولوجيا الحديثة مثل أضواء الملاعب والسيارات وهياكل المضمار الرسمية.")</f>
        <v>يُقام سباق الجمال التقليدي على خلفية من التكنولوجيا الحديثة مثل أضواء الملاعب والسيارات وهياكل المضمار الرسمية.</v>
      </c>
      <c r="M281" s="4"/>
      <c r="N281" s="4"/>
      <c r="O281" s="4"/>
      <c r="P281" s="4"/>
      <c r="Q281" s="4"/>
      <c r="R281" s="4"/>
      <c r="S281" s="4"/>
      <c r="T281" s="4"/>
      <c r="U281" s="4"/>
      <c r="V281" s="4"/>
      <c r="W281" s="4"/>
      <c r="X281" s="4"/>
      <c r="Y281" s="4"/>
      <c r="Z281" s="4"/>
      <c r="AA281" s="4"/>
      <c r="AB281" s="4"/>
      <c r="AC281" s="4"/>
      <c r="AD281" s="4"/>
      <c r="AE281" s="4"/>
      <c r="AF281" s="4"/>
      <c r="AG281" s="4"/>
    </row>
    <row r="282" spans="1:33" ht="22.5" customHeight="1" x14ac:dyDescent="0.25">
      <c r="A282" s="2"/>
      <c r="B282" s="2"/>
      <c r="C282" s="2"/>
      <c r="D282" s="2"/>
      <c r="E282" s="2"/>
      <c r="F282" s="4"/>
      <c r="G282" s="4"/>
      <c r="H282" s="4" t="s">
        <v>55</v>
      </c>
      <c r="I282" s="4" t="str">
        <f ca="1">IFERROR(__xludf.DUMMYFUNCTION("GOOGLETRANSLATE(B282,""en"",""ar"")"),"تُظهر هذه الصورة تجمعاً كثيفاً من ماذا؟")</f>
        <v>تُظهر هذه الصورة تجمعاً كثيفاً من ماذا؟</v>
      </c>
      <c r="J282" s="4" t="str">
        <f ca="1">IFERROR(__xludf.DUMMYFUNCTION("GOOGLETRANSLATE(C282,""en"",""ar"")"),"أ) متفرجون يشاهدون سباقًا من المدرجات، ب) تجار جمال في سوق، ج) فرسان وجمالهم، على الأرجح جزء من مهرجان أو سباق، د) دورية عسكرية على الجمال")</f>
        <v>أ) متفرجون يشاهدون سباقًا من المدرجات، ب) تجار جمال في سوق، ج) فرسان وجمالهم، على الأرجح جزء من مهرجان أو سباق، د) دورية عسكرية على الجمال</v>
      </c>
      <c r="K282" s="4" t="str">
        <f ca="1">IFERROR(__xludf.DUMMYFUNCTION("GOOGLETRANSLATE(D282,""en"",""ar"")"),"ج) الفرسان وجمالهم، على الأرجح جزء من مهرجان أو سباق")</f>
        <v>ج) الفرسان وجمالهم، على الأرجح جزء من مهرجان أو سباق</v>
      </c>
      <c r="L282" s="4" t="str">
        <f ca="1">IFERROR(__xludf.DUMMYFUNCTION("GOOGLETRANSLATE(E282,""en"",""ar"")"),"هذا حشد كبير وكثيف من المشاركين، جميعهم يمتطون جمالهم، مما يوحي بأنه حدث مجتمعي.")</f>
        <v>هذا حشد كبير وكثيف من المشاركين، جميعهم يمتطون جمالهم، مما يوحي بأنه حدث مجتمعي.</v>
      </c>
      <c r="M282" s="4"/>
      <c r="N282" s="4"/>
      <c r="O282" s="4"/>
      <c r="P282" s="4"/>
      <c r="Q282" s="4"/>
      <c r="R282" s="4"/>
      <c r="S282" s="4"/>
      <c r="T282" s="4"/>
      <c r="U282" s="4"/>
      <c r="V282" s="4"/>
      <c r="W282" s="4"/>
      <c r="X282" s="4"/>
      <c r="Y282" s="4"/>
      <c r="Z282" s="4"/>
      <c r="AA282" s="4"/>
      <c r="AB282" s="4"/>
      <c r="AC282" s="4"/>
      <c r="AD282" s="4"/>
      <c r="AE282" s="4"/>
      <c r="AF282" s="4"/>
      <c r="AG282" s="4"/>
    </row>
    <row r="283" spans="1:33" ht="22.5" customHeight="1" x14ac:dyDescent="0.25">
      <c r="A283" s="2"/>
      <c r="B283" s="2"/>
      <c r="C283" s="2"/>
      <c r="D283" s="2"/>
      <c r="E283" s="2"/>
      <c r="F283" s="4"/>
      <c r="G283" s="4"/>
      <c r="H283" s="4" t="s">
        <v>55</v>
      </c>
      <c r="I283" s="4" t="str">
        <f ca="1">IFERROR(__xludf.DUMMYFUNCTION("GOOGLETRANSLATE(B283,""en"",""ar"")"),"ما هو المزاج العام للأشخاص في الصورة؟")</f>
        <v>ما هو المزاج العام للأشخاص في الصورة؟</v>
      </c>
      <c r="J283" s="4" t="str">
        <f ca="1">IFERROR(__xludf.DUMMYFUNCTION("GOOGLETRANSLATE(C283,""en"",""ar"")"),"أ) حزين وكئيب، ب) غاضب ومتوتر، ج) نشيط واجتماعي، د) يشعر بالملل والتعب")</f>
        <v>أ) حزين وكئيب، ب) غاضب ومتوتر، ج) نشيط واجتماعي، د) يشعر بالملل والتعب</v>
      </c>
      <c r="K283" s="4" t="str">
        <f ca="1">IFERROR(__xludf.DUMMYFUNCTION("GOOGLETRANSLATE(D283,""en"",""ar"")"),"ج) نشيط واجتماعي")</f>
        <v>ج) نشيط واجتماعي</v>
      </c>
      <c r="L283" s="4" t="str">
        <f ca="1">IFERROR(__xludf.DUMMYFUNCTION("GOOGLETRANSLATE(E283,""en"",""ar"")"),"ينخرط الناس بنشاط، ويبتسمون، ويتحدثون مع بعضهم البعض، مما يخلق جواً حيوياً وجماعياً.")</f>
        <v>ينخرط الناس بنشاط، ويبتسمون، ويتحدثون مع بعضهم البعض، مما يخلق جواً حيوياً وجماعياً.</v>
      </c>
      <c r="M283" s="4"/>
      <c r="N283" s="4"/>
      <c r="O283" s="4"/>
      <c r="P283" s="4"/>
      <c r="Q283" s="4"/>
      <c r="R283" s="4"/>
      <c r="S283" s="4"/>
      <c r="T283" s="4"/>
      <c r="U283" s="4"/>
      <c r="V283" s="4"/>
      <c r="W283" s="4"/>
      <c r="X283" s="4"/>
      <c r="Y283" s="4"/>
      <c r="Z283" s="4"/>
      <c r="AA283" s="4"/>
      <c r="AB283" s="4"/>
      <c r="AC283" s="4"/>
      <c r="AD283" s="4"/>
      <c r="AE283" s="4"/>
      <c r="AF283" s="4"/>
      <c r="AG283" s="4"/>
    </row>
    <row r="284" spans="1:33" ht="22.5" customHeight="1" x14ac:dyDescent="0.25">
      <c r="A284" s="2"/>
      <c r="B284" s="2"/>
      <c r="C284" s="2"/>
      <c r="D284" s="2"/>
      <c r="E284" s="2"/>
      <c r="F284" s="4"/>
      <c r="G284" s="4"/>
      <c r="H284" s="4" t="s">
        <v>55</v>
      </c>
      <c r="I284" s="4" t="str">
        <f ca="1">IFERROR(__xludf.DUMMYFUNCTION("GOOGLETRANSLATE(B284,""en"",""ar"")"),"ماذا يفعل الرجل الموجود في وسط اليسار بعصاه؟")</f>
        <v>ماذا يفعل الرجل الموجود في وسط اليسار بعصاه؟</v>
      </c>
      <c r="J284" s="4" t="str">
        <f ca="1">IFERROR(__xludf.DUMMYFUNCTION("GOOGLETRANSLATE(C284,""en"",""ar"")"),"أ) الإشارة إلى خط النهاية، ب) وضعها على كتفه، ج) رفعها في الهواء بحماس، د) استخدامها لوخز الشخص المجاور له")</f>
        <v>أ) الإشارة إلى خط النهاية، ب) وضعها على كتفه، ج) رفعها في الهواء بحماس، د) استخدامها لوخز الشخص المجاور له</v>
      </c>
      <c r="K284" s="4" t="str">
        <f ca="1">IFERROR(__xludf.DUMMYFUNCTION("GOOGLETRANSLATE(D284,""en"",""ar"")"),"ج) رفعه في الهواء بحماس")</f>
        <v>ج) رفعه في الهواء بحماس</v>
      </c>
      <c r="L284" s="4" t="str">
        <f ca="1">IFERROR(__xludf.DUMMYFUNCTION("GOOGLETRANSLATE(E284,""en"",""ar"")"),"إنه يبتسم ويلوح بعصاه في لفتة احتفالية أو حيوية.")</f>
        <v>إنه يبتسم ويلوح بعصاه في لفتة احتفالية أو حيوية.</v>
      </c>
      <c r="M284" s="4"/>
      <c r="N284" s="4"/>
      <c r="O284" s="4"/>
      <c r="P284" s="4"/>
      <c r="Q284" s="4"/>
      <c r="R284" s="4"/>
      <c r="S284" s="4"/>
      <c r="T284" s="4"/>
      <c r="U284" s="4"/>
      <c r="V284" s="4"/>
      <c r="W284" s="4"/>
      <c r="X284" s="4"/>
      <c r="Y284" s="4"/>
      <c r="Z284" s="4"/>
      <c r="AA284" s="4"/>
      <c r="AB284" s="4"/>
      <c r="AC284" s="4"/>
      <c r="AD284" s="4"/>
      <c r="AE284" s="4"/>
      <c r="AF284" s="4"/>
      <c r="AG284" s="4"/>
    </row>
    <row r="285" spans="1:33" ht="22.5" customHeight="1" x14ac:dyDescent="0.25">
      <c r="A285" s="2"/>
      <c r="B285" s="2"/>
      <c r="C285" s="2"/>
      <c r="D285" s="2"/>
      <c r="E285" s="2"/>
      <c r="F285" s="4"/>
      <c r="G285" s="4"/>
      <c r="H285" s="4" t="s">
        <v>55</v>
      </c>
      <c r="I285" s="4" t="str">
        <f ca="1">IFERROR(__xludf.DUMMYFUNCTION("GOOGLETRANSLATE(B285,""en"",""ar"")"),"ما هي المنطقة التي تتميز بملابس ومظهر سكانها؟")</f>
        <v>ما هي المنطقة التي تتميز بملابس ومظهر سكانها؟</v>
      </c>
      <c r="J285" s="4" t="str">
        <f ca="1">IFERROR(__xludf.DUMMYFUNCTION("GOOGLETRANSLATE(C285,""en"",""ar"")"),"أ) جنوب شرق آسيا، ب) أمريكا الشمالية، ج) شمال أوروبا، د) السودان ومنطقة الساحل الأفريقي")</f>
        <v>أ) جنوب شرق آسيا، ب) أمريكا الشمالية، ج) شمال أوروبا، د) السودان ومنطقة الساحل الأفريقي</v>
      </c>
      <c r="K285" s="4" t="str">
        <f ca="1">IFERROR(__xludf.DUMMYFUNCTION("GOOGLETRANSLATE(D285,""en"",""ar"")"),"د) السودان ومنطقة الساحل في أفريقيا")</f>
        <v>د) السودان ومنطقة الساحل في أفريقيا</v>
      </c>
      <c r="L285" s="4" t="str">
        <f ca="1">IFERROR(__xludf.DUMMYFUNCTION("GOOGLETRANSLATE(E285,""en"",""ar"")"),"إن النمط المحدد للعمائم والملابس وملامح الناس هي سمة مميزة للغاية للمجتمعات في السودان والمناطق المجاورة.")</f>
        <v>إن النمط المحدد للعمائم والملابس وملامح الناس هي سمة مميزة للغاية للمجتمعات في السودان والمناطق المجاورة.</v>
      </c>
      <c r="M285" s="4"/>
      <c r="N285" s="4"/>
      <c r="O285" s="4"/>
      <c r="P285" s="4"/>
      <c r="Q285" s="4"/>
      <c r="R285" s="4"/>
      <c r="S285" s="4"/>
      <c r="T285" s="4"/>
      <c r="U285" s="4"/>
      <c r="V285" s="4"/>
      <c r="W285" s="4"/>
      <c r="X285" s="4"/>
      <c r="Y285" s="4"/>
      <c r="Z285" s="4"/>
      <c r="AA285" s="4"/>
      <c r="AB285" s="4"/>
      <c r="AC285" s="4"/>
      <c r="AD285" s="4"/>
      <c r="AE285" s="4"/>
      <c r="AF285" s="4"/>
      <c r="AG285" s="4"/>
    </row>
    <row r="286" spans="1:33" ht="22.5" customHeight="1" x14ac:dyDescent="0.25">
      <c r="A286" s="2"/>
      <c r="B286" s="2"/>
      <c r="C286" s="2"/>
      <c r="D286" s="2"/>
      <c r="E286" s="2"/>
      <c r="F286" s="4"/>
      <c r="G286" s="4"/>
      <c r="H286" s="4" t="s">
        <v>55</v>
      </c>
      <c r="I286" s="4" t="str">
        <f ca="1">IFERROR(__xludf.DUMMYFUNCTION("GOOGLETRANSLATE(B286,""en"",""ar"")"),"من أي زاوية التُقطت الصورة؟")</f>
        <v>من أي زاوية التُقطت الصورة؟</v>
      </c>
      <c r="J286" s="4" t="str">
        <f ca="1">IFERROR(__xludf.DUMMYFUNCTION("GOOGLETRANSLATE(C286,""en"",""ar"")"),"أ) من أعلى، بالنظر إلى الأسفل، ب) من مسافة بعيدة، ج) من داخل الحشد، على مستوى نظر الدراجين، د) من أمام الحشد، بالنظر إلى الخلف")</f>
        <v>أ) من أعلى، بالنظر إلى الأسفل، ب) من مسافة بعيدة، ج) من داخل الحشد، على مستوى نظر الدراجين، د) من أمام الحشد، بالنظر إلى الخلف</v>
      </c>
      <c r="K286" s="4" t="str">
        <f ca="1">IFERROR(__xludf.DUMMYFUNCTION("GOOGLETRANSLATE(D286,""en"",""ar"")"),"ج) من داخل الحشد، على مستوى نظر الدراجين")</f>
        <v>ج) من داخل الحشد، على مستوى نظر الدراجين</v>
      </c>
      <c r="L286" s="4" t="str">
        <f ca="1">IFERROR(__xludf.DUMMYFUNCTION("GOOGLETRANSLATE(E286,""en"",""ar"")"),"المصور موجود في قلب الحدث، مما يخلق وجهة نظر حميمة وغامرة.")</f>
        <v>المصور موجود في قلب الحدث، مما يخلق وجهة نظر حميمة وغامرة.</v>
      </c>
      <c r="M286" s="4"/>
      <c r="N286" s="4"/>
      <c r="O286" s="4"/>
      <c r="P286" s="4"/>
      <c r="Q286" s="4"/>
      <c r="R286" s="4"/>
      <c r="S286" s="4"/>
      <c r="T286" s="4"/>
      <c r="U286" s="4"/>
      <c r="V286" s="4"/>
      <c r="W286" s="4"/>
      <c r="X286" s="4"/>
      <c r="Y286" s="4"/>
      <c r="Z286" s="4"/>
      <c r="AA286" s="4"/>
      <c r="AB286" s="4"/>
      <c r="AC286" s="4"/>
      <c r="AD286" s="4"/>
      <c r="AE286" s="4"/>
      <c r="AF286" s="4"/>
      <c r="AG286" s="4"/>
    </row>
    <row r="287" spans="1:33" ht="22.5" customHeight="1" x14ac:dyDescent="0.25">
      <c r="A287" s="2"/>
      <c r="B287" s="2"/>
      <c r="C287" s="2"/>
      <c r="D287" s="2"/>
      <c r="E287" s="2"/>
      <c r="F287" s="4"/>
      <c r="G287" s="4"/>
      <c r="H287" s="4" t="s">
        <v>55</v>
      </c>
      <c r="I287" s="4" t="str">
        <f ca="1">IFERROR(__xludf.DUMMYFUNCTION("GOOGLETRANSLATE(B287,""en"",""ar"")"),"ماذا تدل عليه السماء الزرقاء الصافية بشأن الطقس؟")</f>
        <v>ماذا تدل عليه السماء الزرقاء الصافية بشأن الطقس؟</v>
      </c>
      <c r="J287" s="4" t="str">
        <f ca="1">IFERROR(__xludf.DUMMYFUNCTION("GOOGLETRANSLATE(C287,""en"",""ar"")"),"أ) على وشك هطول المطر، ب) إنه يوم مشمس صافٍ، ج) الجو عاصف جداً، د) الجو ضبابي")</f>
        <v>أ) على وشك هطول المطر، ب) إنه يوم مشمس صافٍ، ج) الجو عاصف جداً، د) الجو ضبابي</v>
      </c>
      <c r="K287" s="4" t="str">
        <f ca="1">IFERROR(__xludf.DUMMYFUNCTION("GOOGLETRANSLATE(D287,""en"",""ar"")"),"ب) إنه يوم مشمس وصافٍ")</f>
        <v>ب) إنه يوم مشمس وصافٍ</v>
      </c>
      <c r="L287" s="4" t="str">
        <f ca="1">IFERROR(__xludf.DUMMYFUNCTION("GOOGLETRANSLATE(E287,""en"",""ar"")"),"لا توجد غيوم مرئية، مما يدل على صفاء السماء.")</f>
        <v>لا توجد غيوم مرئية، مما يدل على صفاء السماء.</v>
      </c>
      <c r="M287" s="4"/>
      <c r="N287" s="4"/>
      <c r="O287" s="4"/>
      <c r="P287" s="4"/>
      <c r="Q287" s="4"/>
      <c r="R287" s="4"/>
      <c r="S287" s="4"/>
      <c r="T287" s="4"/>
      <c r="U287" s="4"/>
      <c r="V287" s="4"/>
      <c r="W287" s="4"/>
      <c r="X287" s="4"/>
      <c r="Y287" s="4"/>
      <c r="Z287" s="4"/>
      <c r="AA287" s="4"/>
      <c r="AB287" s="4"/>
      <c r="AC287" s="4"/>
      <c r="AD287" s="4"/>
      <c r="AE287" s="4"/>
      <c r="AF287" s="4"/>
      <c r="AG287" s="4"/>
    </row>
    <row r="288" spans="1:33" ht="22.5" customHeight="1" x14ac:dyDescent="0.25">
      <c r="A288" s="2"/>
      <c r="B288" s="2"/>
      <c r="C288" s="2"/>
      <c r="D288" s="2"/>
      <c r="E288" s="2"/>
      <c r="F288" s="4"/>
      <c r="G288" s="4"/>
      <c r="H288" s="4" t="s">
        <v>55</v>
      </c>
      <c r="I288" s="4" t="str">
        <f ca="1">IFERROR(__xludf.DUMMYFUNCTION("GOOGLETRANSLATE(B288,""en"",""ar"")"),"يبدو أن هذا الحدث...")</f>
        <v>يبدو أن هذا الحدث...</v>
      </c>
      <c r="J288" s="4" t="str">
        <f ca="1">IFERROR(__xludf.DUMMYFUNCTION("GOOGLETRANSLATE(C288,""en"",""ar"")"),"أ) حدث رياضي حديث يخضع لرقابة صارمة، ب) تجمع تقليدي قائم على المجتمع، ج) سباق يضم متسابقين اثنين فقط، د) موكب صامت مهيب")</f>
        <v>أ) حدث رياضي حديث يخضع لرقابة صارمة، ب) تجمع تقليدي قائم على المجتمع، ج) سباق يضم متسابقين اثنين فقط، د) موكب صامت مهيب</v>
      </c>
      <c r="K288" s="4" t="str">
        <f ca="1">IFERROR(__xludf.DUMMYFUNCTION("GOOGLETRANSLATE(D288,""en"",""ar"")"),"ب) تجمع تقليدي قائم على المجتمع")</f>
        <v>ب) تجمع تقليدي قائم على المجتمع</v>
      </c>
      <c r="L288" s="4" t="str">
        <f ca="1">IFERROR(__xludf.DUMMYFUNCTION("GOOGLETRANSLATE(E288,""en"",""ar"")"),"إن الطبيعة غير الرسمية والعدد الهائل من المشاركين يشيران إلى مهرجان ثقافي أو سباق تقليدي بدلاً من كونه سباقاً حديثاً ومنظماً.")</f>
        <v>إن الطبيعة غير الرسمية والعدد الهائل من المشاركين يشيران إلى مهرجان ثقافي أو سباق تقليدي بدلاً من كونه سباقاً حديثاً ومنظماً.</v>
      </c>
      <c r="M288" s="4"/>
      <c r="N288" s="4"/>
      <c r="O288" s="4"/>
      <c r="P288" s="4"/>
      <c r="Q288" s="4"/>
      <c r="R288" s="4"/>
      <c r="S288" s="4"/>
      <c r="T288" s="4"/>
      <c r="U288" s="4"/>
      <c r="V288" s="4"/>
      <c r="W288" s="4"/>
      <c r="X288" s="4"/>
      <c r="Y288" s="4"/>
      <c r="Z288" s="4"/>
      <c r="AA288" s="4"/>
      <c r="AB288" s="4"/>
      <c r="AC288" s="4"/>
      <c r="AD288" s="4"/>
      <c r="AE288" s="4"/>
      <c r="AF288" s="4"/>
      <c r="AG288" s="4"/>
    </row>
    <row r="289" spans="1:33" ht="22.5" customHeight="1" x14ac:dyDescent="0.25">
      <c r="A289" s="2"/>
      <c r="B289" s="2"/>
      <c r="C289" s="2"/>
      <c r="D289" s="2"/>
      <c r="E289" s="2"/>
      <c r="F289" s="4"/>
      <c r="G289" s="4"/>
      <c r="H289" s="4" t="s">
        <v>55</v>
      </c>
      <c r="I289" s="4" t="str">
        <f ca="1">IFERROR(__xludf.DUMMYFUNCTION("GOOGLETRANSLATE(B289,""en"",""ar"")"),"ما هو التركيز الأساسي للصورة؟")</f>
        <v>ما هو التركيز الأساسي للصورة؟</v>
      </c>
      <c r="J289" s="4" t="str">
        <f ca="1">IFERROR(__xludf.DUMMYFUNCTION("GOOGLETRANSLATE(C289,""en"",""ar"")"),"أ) المنظر الطبيعي في الخلفية، ب) الجمال الفردية، ج) الناس وتفاعلاتهم، د) المعدات المستخدمة")</f>
        <v>أ) المنظر الطبيعي في الخلفية، ب) الجمال الفردية، ج) الناس وتفاعلاتهم، د) المعدات المستخدمة</v>
      </c>
      <c r="K289" s="4" t="str">
        <f ca="1">IFERROR(__xludf.DUMMYFUNCTION("GOOGLETRANSLATE(D289,""en"",""ar"")"),"ج) الأشخاص وتفاعلاتهم")</f>
        <v>ج) الأشخاص وتفاعلاتهم</v>
      </c>
      <c r="L289" s="4" t="str">
        <f ca="1">IFERROR(__xludf.DUMMYFUNCTION("GOOGLETRANSLATE(E289,""en"",""ar"")"),"ركز المصور على وجوه وإيماءات المتسابقين، مؤكداً على العنصر الإنساني والاجتماعي للحدث.")</f>
        <v>ركز المصور على وجوه وإيماءات المتسابقين، مؤكداً على العنصر الإنساني والاجتماعي للحدث.</v>
      </c>
      <c r="M289" s="4"/>
      <c r="N289" s="4"/>
      <c r="O289" s="4"/>
      <c r="P289" s="4"/>
      <c r="Q289" s="4"/>
      <c r="R289" s="4"/>
      <c r="S289" s="4"/>
      <c r="T289" s="4"/>
      <c r="U289" s="4"/>
      <c r="V289" s="4"/>
      <c r="W289" s="4"/>
      <c r="X289" s="4"/>
      <c r="Y289" s="4"/>
      <c r="Z289" s="4"/>
      <c r="AA289" s="4"/>
      <c r="AB289" s="4"/>
      <c r="AC289" s="4"/>
      <c r="AD289" s="4"/>
      <c r="AE289" s="4"/>
      <c r="AF289" s="4"/>
      <c r="AG289" s="4"/>
    </row>
    <row r="290" spans="1:33" ht="22.5" customHeight="1" x14ac:dyDescent="0.25">
      <c r="A290" s="2"/>
      <c r="B290" s="2"/>
      <c r="C290" s="2"/>
      <c r="D290" s="2"/>
      <c r="E290" s="2"/>
      <c r="F290" s="4"/>
      <c r="G290" s="4"/>
      <c r="H290" s="4" t="s">
        <v>55</v>
      </c>
      <c r="I290" s="4" t="str">
        <f ca="1">IFERROR(__xludf.DUMMYFUNCTION("GOOGLETRANSLATE(B290,""en"",""ar"")"),"كيف تتم السيطرة على الإبل؟")</f>
        <v>كيف تتم السيطرة على الإبل؟</v>
      </c>
      <c r="J290" s="4" t="str">
        <f ca="1">IFERROR(__xludf.DUMMYFUNCTION("GOOGLETRANSLATE(C290,""en"",""ar"")"),"أ) باستخدام لجام ولجام معقدين، ب) باستخدام حبال بسيطة مربوطة برأس الحصان، ج) باستخدام أجهزة تحكم عن بعد، د) لا يتم التحكم بها")</f>
        <v>أ) باستخدام لجام ولجام معقدين، ب) باستخدام حبال بسيطة مربوطة برأس الحصان، ج) باستخدام أجهزة تحكم عن بعد، د) لا يتم التحكم بها</v>
      </c>
      <c r="K290" s="4" t="str">
        <f ca="1">IFERROR(__xludf.DUMMYFUNCTION("GOOGLETRANSLATE(D290,""en"",""ar"")"),"ب) باستخدام حبال بسيطة مربوطة باللجام")</f>
        <v>ب) باستخدام حبال بسيطة مربوطة باللجام</v>
      </c>
      <c r="L290" s="4" t="str">
        <f ca="1">IFERROR(__xludf.DUMMYFUNCTION("GOOGLETRANSLATE(E290,""en"",""ar"")"),"يتم توجيه الجمال باستخدام حبال بسيطة وتقليدية.")</f>
        <v>يتم توجيه الجمال باستخدام حبال بسيطة وتقليدية.</v>
      </c>
      <c r="M290" s="4"/>
      <c r="N290" s="4"/>
      <c r="O290" s="4"/>
      <c r="P290" s="4"/>
      <c r="Q290" s="4"/>
      <c r="R290" s="4"/>
      <c r="S290" s="4"/>
      <c r="T290" s="4"/>
      <c r="U290" s="4"/>
      <c r="V290" s="4"/>
      <c r="W290" s="4"/>
      <c r="X290" s="4"/>
      <c r="Y290" s="4"/>
      <c r="Z290" s="4"/>
      <c r="AA290" s="4"/>
      <c r="AB290" s="4"/>
      <c r="AC290" s="4"/>
      <c r="AD290" s="4"/>
      <c r="AE290" s="4"/>
      <c r="AF290" s="4"/>
      <c r="AG290" s="4"/>
    </row>
    <row r="291" spans="1:33" ht="22.5" customHeight="1" x14ac:dyDescent="0.25">
      <c r="A291" s="2"/>
      <c r="B291" s="2"/>
      <c r="C291" s="2"/>
      <c r="D291" s="2"/>
      <c r="E291" s="2"/>
      <c r="F291" s="4"/>
      <c r="G291" s="4"/>
      <c r="H291" s="4" t="s">
        <v>55</v>
      </c>
      <c r="I291" s="4" t="str">
        <f ca="1">IFERROR(__xludf.DUMMYFUNCTION("GOOGLETRANSLATE(B291,""en"",""ar"")"),"تشير كثافة الحشود إلى أن هذا الحدث...")</f>
        <v>تشير كثافة الحشود إلى أن هذا الحدث...</v>
      </c>
      <c r="J291" s="4" t="str">
        <f ca="1">IFERROR(__xludf.DUMMYFUNCTION("GOOGLETRANSLATE(C291,""en"",""ar"")"),"أ) غير شعبي، ب) حدث بالغ الأهمية للمجتمع، ج) شأن خاص، د) بروفة")</f>
        <v>أ) غير شعبي، ب) حدث بالغ الأهمية للمجتمع، ج) شأن خاص، د) بروفة</v>
      </c>
      <c r="K291" s="4" t="str">
        <f ca="1">IFERROR(__xludf.DUMMYFUNCTION("GOOGLETRANSLATE(D291,""en"",""ar"")"),"ب) حدث بالغ الأهمية للمجتمع")</f>
        <v>ب) حدث بالغ الأهمية للمجتمع</v>
      </c>
      <c r="L291" s="4" t="str">
        <f ca="1">IFERROR(__xludf.DUMMYFUNCTION("GOOGLETRANSLATE(E291,""en"",""ar"")"),"إن الحضور الكبير والكثيف للمشاركين يدل على أن هذا تجمع مهم وشعبي.")</f>
        <v>إن الحضور الكبير والكثيف للمشاركين يدل على أن هذا تجمع مهم وشعبي.</v>
      </c>
      <c r="M291" s="4"/>
      <c r="N291" s="4"/>
      <c r="O291" s="4"/>
      <c r="P291" s="4"/>
      <c r="Q291" s="4"/>
      <c r="R291" s="4"/>
      <c r="S291" s="4"/>
      <c r="T291" s="4"/>
      <c r="U291" s="4"/>
      <c r="V291" s="4"/>
      <c r="W291" s="4"/>
      <c r="X291" s="4"/>
      <c r="Y291" s="4"/>
      <c r="Z291" s="4"/>
      <c r="AA291" s="4"/>
      <c r="AB291" s="4"/>
      <c r="AC291" s="4"/>
      <c r="AD291" s="4"/>
      <c r="AE291" s="4"/>
      <c r="AF291" s="4"/>
      <c r="AG291" s="4"/>
    </row>
    <row r="292" spans="1:33" ht="22.5" customHeight="1" x14ac:dyDescent="0.25">
      <c r="A292" s="2"/>
      <c r="B292" s="2"/>
      <c r="C292" s="2"/>
      <c r="D292" s="2"/>
      <c r="E292" s="2"/>
      <c r="F292" s="4"/>
      <c r="G292" s="4"/>
      <c r="H292" s="4" t="s">
        <v>56</v>
      </c>
      <c r="I292" s="4" t="str">
        <f ca="1">IFERROR(__xludf.DUMMYFUNCTION("GOOGLETRANSLATE(B292,""en"",""ar"")"),"ما هي العلاقة بين الإنسان والجمل؟")</f>
        <v>ما هي العلاقة بين الإنسان والجمل؟</v>
      </c>
      <c r="J292" s="4" t="str">
        <f ca="1">IFERROR(__xludf.DUMMYFUNCTION("GOOGLETRANSLATE(C292,""en"",""ar"")"),"أ) هما متنافسان، ب) الشخص طبيب بيطري يعالج الجمل، ج) الشخص راعي يقود الجمل، د) الشخص متفرج معجب بالجمل")</f>
        <v>أ) هما متنافسان، ب) الشخص طبيب بيطري يعالج الجمل، ج) الشخص راعي يقود الجمل، د) الشخص متفرج معجب بالجمل</v>
      </c>
      <c r="K292" s="4" t="str">
        <f ca="1">IFERROR(__xludf.DUMMYFUNCTION("GOOGLETRANSLATE(D292,""en"",""ar"")"),"ج) الشخص هو راعي يقود الجمل")</f>
        <v>ج) الشخص هو راعي يقود الجمل</v>
      </c>
      <c r="L292" s="4" t="str">
        <f ca="1">IFERROR(__xludf.DUMMYFUNCTION("GOOGLETRANSLATE(E292,""en"",""ar"")"),"الشخص يمسك بلجام الجمل ويقوده، مما يشير إلى أنه مرشد أو مدرب أو مربي.")</f>
        <v>الشخص يمسك بلجام الجمل ويقوده، مما يشير إلى أنه مرشد أو مدرب أو مربي.</v>
      </c>
      <c r="M292" s="4"/>
      <c r="N292" s="4"/>
      <c r="O292" s="4"/>
      <c r="P292" s="4"/>
      <c r="Q292" s="4"/>
      <c r="R292" s="4"/>
      <c r="S292" s="4"/>
      <c r="T292" s="4"/>
      <c r="U292" s="4"/>
      <c r="V292" s="4"/>
      <c r="W292" s="4"/>
      <c r="X292" s="4"/>
      <c r="Y292" s="4"/>
      <c r="Z292" s="4"/>
      <c r="AA292" s="4"/>
      <c r="AB292" s="4"/>
      <c r="AC292" s="4"/>
      <c r="AD292" s="4"/>
      <c r="AE292" s="4"/>
      <c r="AF292" s="4"/>
      <c r="AG292" s="4"/>
    </row>
    <row r="293" spans="1:33" ht="22.5" customHeight="1" x14ac:dyDescent="0.25">
      <c r="A293" s="2"/>
      <c r="B293" s="2"/>
      <c r="C293" s="2"/>
      <c r="D293" s="2"/>
      <c r="E293" s="2"/>
      <c r="F293" s="4"/>
      <c r="G293" s="4"/>
      <c r="H293" s="4" t="s">
        <v>56</v>
      </c>
      <c r="I293" s="4" t="str">
        <f ca="1">IFERROR(__xludf.DUMMYFUNCTION("GOOGLETRANSLATE(B293,""en"",""ar"")"),"ما هو الشيء الأسود الكبير الذي يغطي الجمل؟")</f>
        <v>ما هو الشيء الأسود الكبير الذي يغطي الجمل؟</v>
      </c>
      <c r="J293" s="4" t="str">
        <f ca="1">IFERROR(__xludf.DUMMYFUNCTION("GOOGLETRANSLATE(C293,""en"",""ar"")"),"أ) سرج لعدة راكبين، ب) خيمة للتخييم، ج) بطانية أو ملاءة كبيرة تحمل علامة تجارية، د) مجموعة ألواح شمسية")</f>
        <v>أ) سرج لعدة راكبين، ب) خيمة للتخييم، ج) بطانية أو ملاءة كبيرة تحمل علامة تجارية، د) مجموعة ألواح شمسية</v>
      </c>
      <c r="K293" s="4" t="str">
        <f ca="1">IFERROR(__xludf.DUMMYFUNCTION("GOOGLETRANSLATE(D293,""en"",""ar"")"),"ج) بطانية أو ملاءة كبيرة تحمل علامة تجارية")</f>
        <v>ج) بطانية أو ملاءة كبيرة تحمل علامة تجارية</v>
      </c>
      <c r="L293" s="4" t="str">
        <f ca="1">IFERROR(__xludf.DUMMYFUNCTION("GOOGLETRANSLATE(E293,""en"",""ar"")"),"هذا نوع من أغطية التبريد أو أغطية الجمل، يُستخدم لتغطية الجمل. يشير الشعار الكبير إلى أنه ينتمي إلى إسطبل سباقات محدد.")</f>
        <v>هذا نوع من أغطية التبريد أو أغطية الجمل، يُستخدم لتغطية الجمل. يشير الشعار الكبير إلى أنه ينتمي إلى إسطبل سباقات محدد.</v>
      </c>
      <c r="M293" s="4"/>
      <c r="N293" s="4"/>
      <c r="O293" s="4"/>
      <c r="P293" s="4"/>
      <c r="Q293" s="4"/>
      <c r="R293" s="4"/>
      <c r="S293" s="4"/>
      <c r="T293" s="4"/>
      <c r="U293" s="4"/>
      <c r="V293" s="4"/>
      <c r="W293" s="4"/>
      <c r="X293" s="4"/>
      <c r="Y293" s="4"/>
      <c r="Z293" s="4"/>
      <c r="AA293" s="4"/>
      <c r="AB293" s="4"/>
      <c r="AC293" s="4"/>
      <c r="AD293" s="4"/>
      <c r="AE293" s="4"/>
      <c r="AF293" s="4"/>
      <c r="AG293" s="4"/>
    </row>
    <row r="294" spans="1:33" ht="22.5" customHeight="1" x14ac:dyDescent="0.25">
      <c r="A294" s="2"/>
      <c r="B294" s="2"/>
      <c r="C294" s="2"/>
      <c r="D294" s="2"/>
      <c r="E294" s="2"/>
      <c r="F294" s="4"/>
      <c r="G294" s="4"/>
      <c r="H294" s="4" t="s">
        <v>56</v>
      </c>
      <c r="I294" s="4" t="str">
        <f ca="1">IFERROR(__xludf.DUMMYFUNCTION("GOOGLETRANSLATE(B294,""en"",""ar"")"),"ماذا يمثل شعار ""B"" الموجود على البطانية وسترة الشخص؟")</f>
        <v>ماذا يمثل شعار "B" الموجود على البطانية وسترة الشخص؟</v>
      </c>
      <c r="J294" s="4" t="str">
        <f ca="1">IFERROR(__xludf.DUMMYFUNCTION("GOOGLETRANSLATE(C294,""en"",""ar"")"),"أ) اسم الجمل، ب) ماركة ملابس المدرب، ج) إسطبل السباق أو المالك، د) فصيلة دم الجمل")</f>
        <v>أ) اسم الجمل، ب) ماركة ملابس المدرب، ج) إسطبل السباق أو المالك، د) فصيلة دم الجمل</v>
      </c>
      <c r="K294" s="4" t="str">
        <f ca="1">IFERROR(__xludf.DUMMYFUNCTION("GOOGLETRANSLATE(D294,""en"",""ar"")"),"ج) إسطبل سباق الخيل أو مالكه")</f>
        <v>ج) إسطبل سباق الخيل أو مالكه</v>
      </c>
      <c r="L294" s="4" t="str">
        <f ca="1">IFERROR(__xludf.DUMMYFUNCTION("GOOGLETRANSLATE(E294,""en"",""ar"")"),"تُشكل الشعارات المتطابقة زياً موحداً، مما يشير إلى أن كلاهما ينتمي إلى نفس الفريق أو المالك أو الإسطبل.")</f>
        <v>تُشكل الشعارات المتطابقة زياً موحداً، مما يشير إلى أن كلاهما ينتمي إلى نفس الفريق أو المالك أو الإسطبل.</v>
      </c>
      <c r="M294" s="4"/>
      <c r="N294" s="4"/>
      <c r="O294" s="4"/>
      <c r="P294" s="4"/>
      <c r="Q294" s="4"/>
      <c r="R294" s="4"/>
      <c r="S294" s="4"/>
      <c r="T294" s="4"/>
      <c r="U294" s="4"/>
      <c r="V294" s="4"/>
      <c r="W294" s="4"/>
      <c r="X294" s="4"/>
      <c r="Y294" s="4"/>
      <c r="Z294" s="4"/>
      <c r="AA294" s="4"/>
      <c r="AB294" s="4"/>
      <c r="AC294" s="4"/>
      <c r="AD294" s="4"/>
      <c r="AE294" s="4"/>
      <c r="AF294" s="4"/>
      <c r="AG294" s="4"/>
    </row>
    <row r="295" spans="1:33" ht="22.5" customHeight="1" x14ac:dyDescent="0.25">
      <c r="A295" s="2"/>
      <c r="B295" s="2"/>
      <c r="C295" s="2"/>
      <c r="D295" s="2"/>
      <c r="E295" s="2"/>
      <c r="F295" s="4"/>
      <c r="G295" s="4"/>
      <c r="H295" s="4" t="s">
        <v>56</v>
      </c>
      <c r="I295" s="4" t="str">
        <f ca="1">IFERROR(__xludf.DUMMYFUNCTION("GOOGLETRANSLATE(B295,""en"",""ar"")"),"ما هو المشهد الطبيعي المحيط؟")</f>
        <v>ما هو المشهد الطبيعي المحيط؟</v>
      </c>
      <c r="J295" s="4" t="str">
        <f ca="1">IFERROR(__xludf.DUMMYFUNCTION("GOOGLETRANSLATE(C295,""en"",""ar"")"),"أ) غابة كثيفة، ب) سلسلة جبال ثلجية، ج) صحراء شاسعة ذات كثبان رملية، د) مدينة مزدحمة")</f>
        <v>أ) غابة كثيفة، ب) سلسلة جبال ثلجية، ج) صحراء شاسعة ذات كثبان رملية، د) مدينة مزدحمة</v>
      </c>
      <c r="K295" s="4" t="str">
        <f ca="1">IFERROR(__xludf.DUMMYFUNCTION("GOOGLETRANSLATE(D295,""en"",""ar"")"),"ج) صحراء شاسعة ذات كثبان رملية")</f>
        <v>ج) صحراء شاسعة ذات كثبان رملية</v>
      </c>
      <c r="L295" s="4" t="str">
        <f ca="1">IFERROR(__xludf.DUMMYFUNCTION("GOOGLETRANSLATE(E295,""en"",""ar"")"),"تم تصوير المشهد في صحراء واسعة مفتوحة، وهي البيئة الطبيعية لهذه الرياضة.")</f>
        <v>تم تصوير المشهد في صحراء واسعة مفتوحة، وهي البيئة الطبيعية لهذه الرياضة.</v>
      </c>
      <c r="M295" s="4"/>
      <c r="N295" s="4"/>
      <c r="O295" s="4"/>
      <c r="P295" s="4"/>
      <c r="Q295" s="4"/>
      <c r="R295" s="4"/>
      <c r="S295" s="4"/>
      <c r="T295" s="4"/>
      <c r="U295" s="4"/>
      <c r="V295" s="4"/>
      <c r="W295" s="4"/>
      <c r="X295" s="4"/>
      <c r="Y295" s="4"/>
      <c r="Z295" s="4"/>
      <c r="AA295" s="4"/>
      <c r="AB295" s="4"/>
      <c r="AC295" s="4"/>
      <c r="AD295" s="4"/>
      <c r="AE295" s="4"/>
      <c r="AF295" s="4"/>
      <c r="AG295" s="4"/>
    </row>
    <row r="296" spans="1:33" ht="22.5" customHeight="1" x14ac:dyDescent="0.25">
      <c r="A296" s="2"/>
      <c r="B296" s="2"/>
      <c r="C296" s="2"/>
      <c r="D296" s="2"/>
      <c r="E296" s="2"/>
      <c r="F296" s="4"/>
      <c r="G296" s="4"/>
      <c r="H296" s="4" t="s">
        <v>56</v>
      </c>
      <c r="I296" s="4" t="str">
        <f ca="1">IFERROR(__xludf.DUMMYFUNCTION("GOOGLETRANSLATE(B296,""en"",""ar"")"),"ماذا يفعل المعالج؟")</f>
        <v>ماذا يفعل المعالج؟</v>
      </c>
      <c r="J296" s="4" t="str">
        <f ca="1">IFERROR(__xludf.DUMMYFUNCTION("GOOGLETRANSLATE(C296,""en"",""ar"")"),"أ) هو يُطعم الجمل مكافأة، ب) هو يقود الجمل عبر الرمال، ج) هو على وشك ركوب الجمل، د) هو يُنظف أسنان الجمل")</f>
        <v>أ) هو يُطعم الجمل مكافأة، ب) هو يقود الجمل عبر الرمال، ج) هو على وشك ركوب الجمل، د) هو يُنظف أسنان الجمل</v>
      </c>
      <c r="K296" s="4" t="str">
        <f ca="1">IFERROR(__xludf.DUMMYFUNCTION("GOOGLETRANSLATE(D296,""en"",""ar"")"),"ب) إنه يقود الجمل عبر الرمال")</f>
        <v>ب) إنه يقود الجمل عبر الرمال</v>
      </c>
      <c r="L296" s="4" t="str">
        <f ca="1">IFERROR(__xludf.DUMMYFUNCTION("GOOGLETRANSLATE(E296,""en"",""ar"")"),"وضعية جسده وحركة الجمل تدل على أنهما يسيران معاً.")</f>
        <v>وضعية جسده وحركة الجمل تدل على أنهما يسيران معاً.</v>
      </c>
      <c r="M296" s="4"/>
      <c r="N296" s="4"/>
      <c r="O296" s="4"/>
      <c r="P296" s="4"/>
      <c r="Q296" s="4"/>
      <c r="R296" s="4"/>
      <c r="S296" s="4"/>
      <c r="T296" s="4"/>
      <c r="U296" s="4"/>
      <c r="V296" s="4"/>
      <c r="W296" s="4"/>
      <c r="X296" s="4"/>
      <c r="Y296" s="4"/>
      <c r="Z296" s="4"/>
      <c r="AA296" s="4"/>
      <c r="AB296" s="4"/>
      <c r="AC296" s="4"/>
      <c r="AD296" s="4"/>
      <c r="AE296" s="4"/>
      <c r="AF296" s="4"/>
      <c r="AG296" s="4"/>
    </row>
    <row r="297" spans="1:33" ht="22.5" customHeight="1" x14ac:dyDescent="0.25">
      <c r="A297" s="2"/>
      <c r="B297" s="2"/>
      <c r="C297" s="2"/>
      <c r="D297" s="2"/>
      <c r="E297" s="2"/>
      <c r="F297" s="4"/>
      <c r="G297" s="4"/>
      <c r="H297" s="4" t="s">
        <v>56</v>
      </c>
      <c r="I297" s="4" t="str">
        <f ca="1">IFERROR(__xludf.DUMMYFUNCTION("GOOGLETRANSLATE(B297,""en"",""ar"")"),"الجمل لا يرتدي سرجاً أو أي معدات سباق، مما يوحي بأن هذا...")</f>
        <v>الجمل لا يرتدي سرجاً أو أي معدات سباق، مما يوحي بأن هذا...</v>
      </c>
      <c r="J297" s="4" t="str">
        <f ca="1">IFERROR(__xludf.DUMMYFUNCTION("GOOGLETRANSLATE(C297,""en"",""ar"")"),"أ) أثناء السباق، ب) لحظة راحة أو تدريب أو تهدئة بعد السباق، ج) جمل بري، د) جمل معروض للبيع في السوق")</f>
        <v>أ) أثناء السباق، ب) لحظة راحة أو تدريب أو تهدئة بعد السباق، ج) جمل بري، د) جمل معروض للبيع في السوق</v>
      </c>
      <c r="K297" s="4" t="str">
        <f ca="1">IFERROR(__xludf.DUMMYFUNCTION("GOOGLETRANSLATE(D297,""en"",""ar"")"),"ب) لحظة راحة أو تدريب أو تهدئة بعد السباق")</f>
        <v>ب) لحظة راحة أو تدريب أو تهدئة بعد السباق</v>
      </c>
      <c r="L297" s="4" t="str">
        <f ca="1">IFERROR(__xludf.DUMMYFUNCTION("GOOGLETRANSLATE(E297,""en"",""ar"")"),"إن عدم وجود معدات السباق يعني أن هذه لحظة غير تنافسية، وربما تكون جزءًا من روتين الرعاية والتمارين اليومية.")</f>
        <v>إن عدم وجود معدات السباق يعني أن هذه لحظة غير تنافسية، وربما تكون جزءًا من روتين الرعاية والتمارين اليومية.</v>
      </c>
      <c r="M297" s="4"/>
      <c r="N297" s="4"/>
      <c r="O297" s="4"/>
      <c r="P297" s="4"/>
      <c r="Q297" s="4"/>
      <c r="R297" s="4"/>
      <c r="S297" s="4"/>
      <c r="T297" s="4"/>
      <c r="U297" s="4"/>
      <c r="V297" s="4"/>
      <c r="W297" s="4"/>
      <c r="X297" s="4"/>
      <c r="Y297" s="4"/>
      <c r="Z297" s="4"/>
      <c r="AA297" s="4"/>
      <c r="AB297" s="4"/>
      <c r="AC297" s="4"/>
      <c r="AD297" s="4"/>
      <c r="AE297" s="4"/>
      <c r="AF297" s="4"/>
      <c r="AG297" s="4"/>
    </row>
    <row r="298" spans="1:33" ht="22.5" customHeight="1" x14ac:dyDescent="0.25">
      <c r="A298" s="2"/>
      <c r="B298" s="2"/>
      <c r="C298" s="2"/>
      <c r="D298" s="2"/>
      <c r="E298" s="2"/>
      <c r="F298" s="4"/>
      <c r="G298" s="4"/>
      <c r="H298" s="4" t="s">
        <v>56</v>
      </c>
      <c r="I298" s="4" t="str">
        <f ca="1">IFERROR(__xludf.DUMMYFUNCTION("GOOGLETRANSLATE(B298,""en"",""ar"")"),"تشير الإضاءة إلى وقت التقاط الصورة من اليوم.")</f>
        <v>تشير الإضاءة إلى وقت التقاط الصورة من اليوم.</v>
      </c>
      <c r="J298" s="4" t="str">
        <f ca="1">IFERROR(__xludf.DUMMYFUNCTION("GOOGLETRANSLATE(C298,""en"",""ar"")"),"أ) في منتصف الليل، ب) في ذروة الظهيرة، ج) في وقت متأخر من بعد الظهر، د) أثناء عاصفة رعدية")</f>
        <v>أ) في منتصف الليل، ب) في ذروة الظهيرة، ج) في وقت متأخر من بعد الظهر، د) أثناء عاصفة رعدية</v>
      </c>
      <c r="K298" s="4" t="str">
        <f ca="1">IFERROR(__xludf.DUMMYFUNCTION("GOOGLETRANSLATE(D298,""en"",""ar"")"),"ج) في وقت متأخر من بعد الظهر")</f>
        <v>ج) في وقت متأخر من بعد الظهر</v>
      </c>
      <c r="L298" s="4" t="str">
        <f ca="1">IFERROR(__xludf.DUMMYFUNCTION("GOOGLETRANSLATE(E298,""en"",""ar"")"),"يُعد اللون الدافئ للضوء والظلال الطويلة من السمات المميزة لانخفاض الشمس في السماء قبل غروب الشمس.")</f>
        <v>يُعد اللون الدافئ للضوء والظلال الطويلة من السمات المميزة لانخفاض الشمس في السماء قبل غروب الشمس.</v>
      </c>
      <c r="M298" s="4"/>
      <c r="N298" s="4"/>
      <c r="O298" s="4"/>
      <c r="P298" s="4"/>
      <c r="Q298" s="4"/>
      <c r="R298" s="4"/>
      <c r="S298" s="4"/>
      <c r="T298" s="4"/>
      <c r="U298" s="4"/>
      <c r="V298" s="4"/>
      <c r="W298" s="4"/>
      <c r="X298" s="4"/>
      <c r="Y298" s="4"/>
      <c r="Z298" s="4"/>
      <c r="AA298" s="4"/>
      <c r="AB298" s="4"/>
      <c r="AC298" s="4"/>
      <c r="AD298" s="4"/>
      <c r="AE298" s="4"/>
      <c r="AF298" s="4"/>
      <c r="AG298" s="4"/>
    </row>
    <row r="299" spans="1:33" ht="22.5" customHeight="1" x14ac:dyDescent="0.25">
      <c r="A299" s="2"/>
      <c r="B299" s="2"/>
      <c r="C299" s="2"/>
      <c r="D299" s="2"/>
      <c r="E299" s="2"/>
      <c r="F299" s="4"/>
      <c r="G299" s="4"/>
      <c r="H299" s="4" t="s">
        <v>56</v>
      </c>
      <c r="I299" s="4" t="str">
        <f ca="1">IFERROR(__xludf.DUMMYFUNCTION("GOOGLETRANSLATE(B299,""en"",""ar"")"),"زي المدرب هو...")</f>
        <v>زي المدرب هو...</v>
      </c>
      <c r="J299" s="4" t="str">
        <f ca="1">IFERROR(__xludf.DUMMYFUNCTION("GOOGLETRANSLATE(C299,""en"",""ar"")"),"أ) أردية تقليدية، ب) زيّ موحد حديث (سترة، بنطال، قبعة)، ج) بدلة رسمية وربطة عنق، د) سروال سباحة")</f>
        <v>أ) أردية تقليدية، ب) زيّ موحد حديث (سترة، بنطال، قبعة)، ج) بدلة رسمية وربطة عنق، د) سروال سباحة</v>
      </c>
      <c r="K299" s="4" t="str">
        <f ca="1">IFERROR(__xludf.DUMMYFUNCTION("GOOGLETRANSLATE(D299,""en"",""ar"")"),"ب) زي موحد حديث (سترة، بنطال، قبعة)")</f>
        <v>ب) زي موحد حديث (سترة، بنطال، قبعة)</v>
      </c>
      <c r="L299" s="4" t="str">
        <f ca="1">IFERROR(__xludf.DUMMYFUNCTION("GOOGLETRANSLATE(E299,""en"",""ar"")"),"يرتدي ملابس عملية وعصرية تُستخدم كزي رسمي لإسطبله.")</f>
        <v>يرتدي ملابس عملية وعصرية تُستخدم كزي رسمي لإسطبله.</v>
      </c>
      <c r="M299" s="4"/>
      <c r="N299" s="4"/>
      <c r="O299" s="4"/>
      <c r="P299" s="4"/>
      <c r="Q299" s="4"/>
      <c r="R299" s="4"/>
      <c r="S299" s="4"/>
      <c r="T299" s="4"/>
      <c r="U299" s="4"/>
      <c r="V299" s="4"/>
      <c r="W299" s="4"/>
      <c r="X299" s="4"/>
      <c r="Y299" s="4"/>
      <c r="Z299" s="4"/>
      <c r="AA299" s="4"/>
      <c r="AB299" s="4"/>
      <c r="AC299" s="4"/>
      <c r="AD299" s="4"/>
      <c r="AE299" s="4"/>
      <c r="AF299" s="4"/>
      <c r="AG299" s="4"/>
    </row>
    <row r="300" spans="1:33" ht="22.5" customHeight="1" x14ac:dyDescent="0.25">
      <c r="A300" s="2"/>
      <c r="B300" s="2"/>
      <c r="C300" s="2"/>
      <c r="D300" s="2"/>
      <c r="E300" s="2"/>
      <c r="F300" s="4"/>
      <c r="G300" s="4"/>
      <c r="H300" s="4" t="s">
        <v>56</v>
      </c>
      <c r="I300" s="4" t="str">
        <f ca="1">IFERROR(__xludf.DUMMYFUNCTION("GOOGLETRANSLATE(B300,""en"",""ar"")"),"تُبرز هذه الصورة...")</f>
        <v>تُبرز هذه الصورة...</v>
      </c>
      <c r="J300" s="4" t="str">
        <f ca="1">IFERROR(__xludf.DUMMYFUNCTION("GOOGLETRANSLATE(C300,""en"",""ar"")"),"أ) فوضى ومخاطر السباق، ب) الرابطة الوثيقة والشراكة بين المدرب والحيوان، ج) حشود غفيرة تشاهد هذه الرياضة، د) المعدات عالية التقنية المستخدمة في سباقات الخيل الحديثة")</f>
        <v>أ) فوضى ومخاطر السباق، ب) الرابطة الوثيقة والشراكة بين المدرب والحيوان، ج) حشود غفيرة تشاهد هذه الرياضة، د) المعدات عالية التقنية المستخدمة في سباقات الخيل الحديثة</v>
      </c>
      <c r="K300" s="4" t="str">
        <f ca="1">IFERROR(__xludf.DUMMYFUNCTION("GOOGLETRANSLATE(D300,""en"",""ar"")"),"ب) العلاقة الوثيقة والشراكة بين المدرب والحيوان")</f>
        <v>ب) العلاقة الوثيقة والشراكة بين المدرب والحيوان</v>
      </c>
      <c r="L300" s="4" t="str">
        <f ca="1">IFERROR(__xludf.DUMMYFUNCTION("GOOGLETRANSLATE(E300,""en"",""ar"")"),"تؤكد اللحظة الهادئة بين الشخصيتين على علاقة الرعاية والثقة المطلوبة في هذه الرياضة.")</f>
        <v>تؤكد اللحظة الهادئة بين الشخصيتين على علاقة الرعاية والثقة المطلوبة في هذه الرياضة.</v>
      </c>
      <c r="M300" s="4"/>
      <c r="N300" s="4"/>
      <c r="O300" s="4"/>
      <c r="P300" s="4"/>
      <c r="Q300" s="4"/>
      <c r="R300" s="4"/>
      <c r="S300" s="4"/>
      <c r="T300" s="4"/>
      <c r="U300" s="4"/>
      <c r="V300" s="4"/>
      <c r="W300" s="4"/>
      <c r="X300" s="4"/>
      <c r="Y300" s="4"/>
      <c r="Z300" s="4"/>
      <c r="AA300" s="4"/>
      <c r="AB300" s="4"/>
      <c r="AC300" s="4"/>
      <c r="AD300" s="4"/>
      <c r="AE300" s="4"/>
      <c r="AF300" s="4"/>
      <c r="AG300" s="4"/>
    </row>
    <row r="301" spans="1:33" ht="22.5" customHeight="1" x14ac:dyDescent="0.25">
      <c r="A301" s="2"/>
      <c r="B301" s="2"/>
      <c r="C301" s="2"/>
      <c r="D301" s="2"/>
      <c r="E301" s="2"/>
      <c r="F301" s="4"/>
      <c r="G301" s="4"/>
      <c r="H301" s="4" t="s">
        <v>56</v>
      </c>
      <c r="I301" s="4" t="str">
        <f ca="1">IFERROR(__xludf.DUMMYFUNCTION("GOOGLETRANSLATE(B301,""en"",""ar"")"),"يُعدّ عنق الجمل الطويل والنحيل وساقيه تكيفات لـ...")</f>
        <v>يُعدّ عنق الجمل الطويل والنحيل وساقيه تكيفات لـ...</v>
      </c>
      <c r="J301" s="4" t="str">
        <f ca="1">IFERROR(__xludf.DUMMYFUNCTION("GOOGLETRANSLATE(C301,""en"",""ar"")"),"أ) السباحة، ب) تبديد الحرارة والتحرك بكفاءة على الرمال، ج) تسلق الأشجار، د) حفر الجحور")</f>
        <v>أ) السباحة، ب) تبديد الحرارة والتحرك بكفاءة على الرمال، ج) تسلق الأشجار، د) حفر الجحور</v>
      </c>
      <c r="K301" s="4" t="str">
        <f ca="1">IFERROR(__xludf.DUMMYFUNCTION("GOOGLETRANSLATE(D301,""en"",""ar"")"),"ب) تبديد الحرارة والتحرك بكفاءة عبر الرمال")</f>
        <v>ب) تبديد الحرارة والتحرك بكفاءة عبر الرمال</v>
      </c>
      <c r="L301" s="4" t="str">
        <f ca="1">IFERROR(__xludf.DUMMYFUNCTION("GOOGLETRANSLATE(E301,""en"",""ar"")"),"تساعد مساحة سطح الجسم الكبيرة على تبريد الحيوان، كما تسمح الأرجل الطويلة بخطوة طويلة وفعالة لتغطية مسافات شاسعة.")</f>
        <v>تساعد مساحة سطح الجسم الكبيرة على تبريد الحيوان، كما تسمح الأرجل الطويلة بخطوة طويلة وفعالة لتغطية مسافات شاسعة.</v>
      </c>
      <c r="M301" s="4"/>
      <c r="N301" s="4"/>
      <c r="O301" s="4"/>
      <c r="P301" s="4"/>
      <c r="Q301" s="4"/>
      <c r="R301" s="4"/>
      <c r="S301" s="4"/>
      <c r="T301" s="4"/>
      <c r="U301" s="4"/>
      <c r="V301" s="4"/>
      <c r="W301" s="4"/>
      <c r="X301" s="4"/>
      <c r="Y301" s="4"/>
      <c r="Z301" s="4"/>
      <c r="AA301" s="4"/>
      <c r="AB301" s="4"/>
      <c r="AC301" s="4"/>
      <c r="AD301" s="4"/>
      <c r="AE301" s="4"/>
      <c r="AF301" s="4"/>
      <c r="AG301" s="4"/>
    </row>
    <row r="302" spans="1:33"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spans="1:33"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spans="1:33"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spans="1:33"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spans="1:33"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spans="1:33"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spans="1:33"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spans="1:33"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spans="1:33"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spans="1:33"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spans="1:33"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spans="1:33"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spans="1:33"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spans="1:33"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spans="1:33"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spans="1:33"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spans="1:33"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spans="1:33"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spans="1:33"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spans="1:33"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spans="1:33"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spans="1:33"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spans="1:33"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spans="1:33"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spans="1:33"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spans="1:33"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spans="1:33"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spans="1:33"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spans="1:33"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spans="1:33"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spans="1:33"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spans="1:33"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spans="1:33"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spans="1:33"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spans="1:33"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spans="1:33"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spans="1:33"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spans="1:33"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spans="1:33"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spans="1:33"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spans="1:33"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spans="1:33"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spans="1:33"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spans="1:33"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spans="1:33"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spans="1:33"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spans="1:33"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spans="1:33"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spans="1:33"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spans="1:33"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spans="1:33"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spans="1:33"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spans="1:33"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spans="1:33"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spans="1:33"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spans="1:33"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spans="1:33"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spans="1:33"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spans="1:33"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spans="1:33"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spans="1:33"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spans="1:33"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spans="1:33"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spans="1:33"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spans="1:33"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spans="1:33"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spans="1:33"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spans="1:33"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spans="1:33"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spans="1:33"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spans="1:33"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spans="1:33"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spans="1:33"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spans="1:33"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spans="1:33"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spans="1:33"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spans="1:33"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spans="1:33"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spans="1:33"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spans="1:33"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spans="1:33"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spans="1:33"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spans="1:33"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spans="1:33"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spans="1:33"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spans="1:33"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spans="1:33"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spans="1:33"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spans="1:33"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spans="1:33"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spans="1:33"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spans="1:33"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spans="1:33"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spans="1:33"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spans="1:33"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spans="1:33"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spans="1:33"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spans="1:33"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spans="1:33"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spans="1:33"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spans="1:33"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spans="1:33"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spans="1:33"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spans="1:33"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spans="1:33"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spans="1:33"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spans="1:33"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spans="1:33"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spans="1:33"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spans="1:33"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spans="1:33"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spans="1:33"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spans="1:33"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spans="1:33"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spans="1:33"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spans="1:33"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spans="1:33"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spans="1:33"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spans="1:33"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spans="1:33"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spans="1:33"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spans="1:33"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spans="1:33"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spans="1:33"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spans="1:33"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spans="1:33"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spans="1:33"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spans="1:33"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spans="1:33"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spans="1:33"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spans="1:33"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spans="1:33"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spans="1:33"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spans="1:33"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spans="1:33"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spans="1:33"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spans="1:33"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spans="1:33"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spans="1:33"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spans="1:33"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spans="1:33"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spans="1:33"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spans="1:33"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spans="1:33"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spans="1:33"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spans="1:33"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spans="1:33"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spans="1:33"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spans="1:33"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spans="1:33"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spans="1:33"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spans="1:33"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spans="1:33"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spans="1:33"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spans="1:33"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spans="1:33"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spans="1:33"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spans="1:33"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spans="1:33"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spans="1:33"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spans="1:33"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spans="1:33"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spans="1:33"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spans="1:33"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spans="1:33"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spans="1:33"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spans="1:33"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spans="1:33"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spans="1:33"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spans="1:33"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spans="1:33"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spans="1:33"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spans="1:33"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spans="1:33"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spans="1:33"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spans="1:33"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spans="1:33"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spans="1:33"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spans="1:33"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spans="1:33"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spans="1:33"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spans="1:33"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spans="1:33"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spans="1:33"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spans="1:33"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spans="1:33"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spans="1:33"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spans="1:33"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spans="1:33"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spans="1:33"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spans="1:33"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spans="1:33"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spans="1:33"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spans="1:33"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spans="1:33"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spans="1:33"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spans="1:33"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spans="1:33"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spans="1:33"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spans="1:33"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spans="1:33"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spans="1:33"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spans="1:33"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spans="1:33"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spans="1:33"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spans="1:33"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spans="1:33"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spans="1:33"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spans="1:33"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spans="1:33"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spans="1:33"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spans="1:33"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spans="1:33"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spans="1:33"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spans="1:33"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spans="1:33"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spans="1:33"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spans="1:33"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spans="1:33"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spans="1:33"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spans="1:33"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spans="1:33"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spans="1:33"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spans="1:33"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spans="1:33"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spans="1:33"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spans="1:33"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spans="1:33"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spans="1:33"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spans="1:33"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spans="1:33"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spans="1:33"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spans="1:33"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spans="1:33"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spans="1:33"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spans="1:33"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spans="1:33"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spans="1:33"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spans="1:33"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spans="1:33"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spans="1:33"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spans="1:33"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spans="1:33"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spans="1:33"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spans="1:33"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spans="1:33"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spans="1:33"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spans="1:33"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spans="1:33"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spans="1:33"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spans="1:33"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spans="1:33"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spans="1:33"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spans="1:33"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spans="1:33"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spans="1:33"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spans="1:33"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spans="1:33"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spans="1:33"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spans="1:33"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spans="1:33"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spans="1:33"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spans="1:33"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spans="1:33"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spans="1:33"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spans="1:33"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spans="1:33"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spans="1:33"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spans="1:33"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spans="1:33"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spans="1:33"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spans="1:33"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spans="1:33"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spans="1:33"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spans="1:33"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spans="1:33"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spans="1:33"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spans="1:33"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spans="1:33"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spans="1:33"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spans="1:33"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spans="1:33"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spans="1:33"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spans="1:33"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spans="1:33"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spans="1:33"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spans="1:33"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spans="1:33"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spans="1:33"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spans="1:33"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spans="1:33"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spans="1:33"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spans="1:33"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spans="1:33"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spans="1:33"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spans="1:33"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spans="1:33"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spans="1:33"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spans="1:33"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spans="1:33"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spans="1:33"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spans="1:33"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spans="1:33"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spans="1:33"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spans="1:33"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spans="1:33"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spans="1:33"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spans="1:33"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spans="1:33"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spans="1:33"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spans="1:33"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spans="1:33"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spans="1:33"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spans="1:33"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spans="1:33"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spans="1:33"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spans="1:33"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spans="1:33"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spans="1:33"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spans="1:33"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spans="1:33"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spans="1:33"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spans="1:33"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spans="1:33"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spans="1:33"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spans="1:33"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spans="1:33"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spans="1:33"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spans="1:33"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spans="1:33"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spans="1:33"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spans="1:33"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spans="1:33"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spans="1:33"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spans="1:33"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spans="1:33"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spans="1:33"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spans="1:33"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spans="1:33"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spans="1:33"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spans="1:33"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spans="1:33"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spans="1:33"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spans="1:33"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spans="1:33"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spans="1:33"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spans="1:33"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spans="1:33"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spans="1:33"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spans="1:33"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spans="1:33"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spans="1:33"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spans="1:33"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spans="1:33"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spans="1:33"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spans="1:33"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spans="1:33"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spans="1:33"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spans="1:33"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spans="1:33"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spans="1:33"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spans="1:33"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spans="1:33"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spans="1:33"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spans="1:33"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spans="1:33"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spans="1:33"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spans="1:33"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spans="1:33"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spans="1:33"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spans="1:33"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spans="1:33"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spans="1:33"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spans="1:33"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spans="1:33"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spans="1:33"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spans="1:33"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spans="1:33"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spans="1:33"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spans="1:33"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spans="1:33"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spans="1:33"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spans="1:33"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spans="1:33"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spans="1:33"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spans="1:33"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spans="1:33"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spans="1:33"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spans="1:33"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spans="1:33"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spans="1:33"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spans="1:33"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spans="1:33"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spans="1:33"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spans="1:33"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spans="1:33"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spans="1:33"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spans="1:33"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spans="1:33"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spans="1:33"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spans="1:33"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spans="1:33"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spans="1:33"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spans="1:33"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spans="1:33"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spans="1:33"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spans="1:33"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spans="1:33"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spans="1:33"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spans="1:33"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spans="1:33"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spans="1:33"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spans="1:33"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spans="1:33"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spans="1:33"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spans="1:33"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spans="1:33"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spans="1:33"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spans="1:33"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spans="1:33"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spans="1:33"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spans="1:33"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spans="1:33"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spans="1:33"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spans="1:33"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spans="1:33"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spans="1:33"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spans="1:33"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spans="1:33"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spans="1:33"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spans="1:33"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spans="1:33"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spans="1:33"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spans="1:33"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spans="1:33"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spans="1:33"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spans="1:33"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spans="1:33"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spans="1:33"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spans="1:33"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spans="1:33"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spans="1:33"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spans="1:33"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spans="1:33"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spans="1:33"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spans="1:33"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spans="1:33"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spans="1:33"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spans="1:33"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spans="1:33"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spans="1:33"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spans="1:33"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spans="1:33"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spans="1:33"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spans="1:33"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spans="1:33"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spans="1:33"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spans="1:33"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spans="1:33"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spans="1:33"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spans="1:33"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spans="1:33"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spans="1:33"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spans="1:33"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spans="1:33"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spans="1:33"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spans="1:33"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spans="1:33"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spans="1:33"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spans="1:33"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spans="1:33"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spans="1:33"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spans="1:33"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spans="1:33"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spans="1:33"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spans="1:33"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spans="1:33"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spans="1:33"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spans="1:33"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spans="1:33"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spans="1:33"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spans="1:33"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spans="1:33"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spans="1:33"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spans="1:33"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spans="1:33"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spans="1:33"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spans="1:33"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spans="1:33"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spans="1:33"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spans="1:33"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spans="1:33"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spans="1:33"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spans="1:33"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spans="1:33"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spans="1:33"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spans="1:33"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spans="1:33"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spans="1:33"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spans="1:33"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spans="1:33"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spans="1:33"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spans="1:33"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spans="1:33"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spans="1:33"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spans="1:33"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spans="1:33"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spans="1:33"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spans="1:33"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spans="1:33"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spans="1:33"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spans="1:33"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spans="1:33"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spans="1:33"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spans="1:33"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spans="1:33"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spans="1:33"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spans="1:33"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spans="1:33"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spans="1:33"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spans="1:33"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spans="1:33"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spans="1:33"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spans="1:33"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spans="1:33"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spans="1:33"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spans="1:33"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spans="1:33"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spans="1:33"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spans="1:33"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spans="1:33"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spans="1:33"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spans="1:33"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spans="1:33"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spans="1:33"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spans="1:33"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spans="1:33"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spans="1:33"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spans="1:33"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spans="1:33"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spans="1:33"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spans="1:33"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spans="1:33"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spans="1:33"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spans="1:33"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spans="1:33"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spans="1:33"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spans="1:33"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spans="1:33"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spans="1:33"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spans="1:33"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spans="1:33"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spans="1:33"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spans="1:33"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spans="1:33"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spans="1:33"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spans="1:33"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spans="1:33"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spans="1:33"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spans="1:33"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spans="1:33"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spans="1:33"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spans="1:33"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spans="1:33"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spans="1:33"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spans="1:33"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spans="1:33"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spans="1:33"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spans="1:33"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spans="1:33"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spans="1:33"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spans="1:33"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spans="1:33"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spans="1:33"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spans="1:33"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spans="1:33"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spans="1:33"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spans="1:33"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spans="1:33"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spans="1:33"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spans="1:33"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spans="1:33"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spans="1:33"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spans="1:33"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spans="1:33"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spans="1:33"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spans="1:33"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spans="1:33"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spans="1:33"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spans="1:33"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spans="1:33"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spans="1:33"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spans="1:33"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spans="1:33"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spans="1:33"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spans="1:33"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spans="1:33"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spans="1:33"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spans="1:33"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spans="1:33"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spans="1:33"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spans="1:33"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spans="1:33"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spans="1:33"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spans="1:33"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spans="1:33"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spans="1:33"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spans="1:33"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spans="1:33"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spans="1:33"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spans="1:33"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spans="1:33"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spans="1:33"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spans="1:33"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spans="1:33"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spans="1:33"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spans="1:33"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spans="1:33"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spans="1:33"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spans="1:33"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spans="1:33"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spans="1:33"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spans="1:33"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spans="1:33"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spans="1:33"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spans="1:33"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spans="1:33"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spans="1:33"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spans="1:33"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spans="1:33"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spans="1:33"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spans="1:33"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spans="1:33"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spans="1:33"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spans="1:33"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spans="1:33"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spans="1:33"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spans="1:33"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spans="1:33"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spans="1:33"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spans="1:33"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spans="1:33"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spans="1:33"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spans="1:33"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spans="1:33"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spans="1:33"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spans="1:33"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spans="1:33"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spans="1:33"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spans="1:33"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spans="1:33"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spans="1:33"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spans="1:33"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spans="1:33"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spans="1:33"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spans="1:33"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spans="1:33"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spans="1:33"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spans="1:33"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spans="1:33"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spans="1:33"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spans="1:33"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spans="1:33"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spans="1:33"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spans="1:33"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spans="1:33"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spans="1:33"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spans="1:33"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spans="1:33"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spans="1:33"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spans="1:33"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spans="1:33"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spans="1:33"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spans="1:33"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spans="1:33"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spans="1:33"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spans="1:33"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spans="1:33"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spans="1:33"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spans="1:33"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spans="1:33"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spans="1:33"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spans="1:33"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spans="1:33"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spans="1:33"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spans="1:33"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spans="1:33"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spans="1:33"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spans="1:33"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spans="1:33"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spans="1:33"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spans="1:33"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sheetData>
  <dataValidations count="1">
    <dataValidation type="list" allowBlank="1" showDropDown="1" showErrorMessage="1" sqref="A2:A301 H2:H301" xr:uid="{00000000-0002-0000-0100-000000000000}">
      <formula1>"camel_racing_33.jpg,camel_racing_22.jpg,camel_racing_17.jpg,camel_racing_25.jpg,camel_racing_15.jpg,camel_racing_32.jpg,camel_racing_13.jpg,camel_racing_12.jpg,camel_racing_16.jpg,camel_racing_7.jpg,camel_racing_63.jpg,camel_racing_50.jpg,camel_racing_64."&amp;"jpg,camel_racing_39.jpg,camel_racing_45.jpg,camel_racing_35.jpg,camel_racing_59.jpg,camel_racing_69.jpg,camel_racing_40.jpg,camel_racing_52.jpg,camel_racing_84.jpg,camel_racing_100.jpg,camel_racing_77.jpg,camel_racing_91.jpg,camel_racing_83.jpg,camel_raci"&amp;"ng_70.jpg,camel_racing_99.jpg,camel_racing_86.jpg,camel_racing_76.jpg,camel_racing_72.jpg"</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1000"/>
  <sheetViews>
    <sheetView workbookViewId="0">
      <pane ySplit="1" topLeftCell="A2" activePane="bottomLeft" state="frozen"/>
      <selection pane="bottomLeft" activeCell="G1" sqref="A1:G1048576"/>
    </sheetView>
  </sheetViews>
  <sheetFormatPr defaultColWidth="12.6640625" defaultRowHeight="15.75" customHeight="1" x14ac:dyDescent="0.25"/>
  <sheetData>
    <row r="1" spans="1:33" ht="22.5" customHeight="1" x14ac:dyDescent="0.25">
      <c r="A1" s="1"/>
      <c r="B1" s="1"/>
      <c r="C1" s="1"/>
      <c r="D1" s="1"/>
      <c r="E1" s="1"/>
      <c r="F1" s="4"/>
      <c r="G1" s="4"/>
      <c r="H1" s="5" t="s">
        <v>0</v>
      </c>
      <c r="I1" s="5" t="s">
        <v>1</v>
      </c>
      <c r="J1" s="5" t="s">
        <v>2</v>
      </c>
      <c r="K1" s="5" t="s">
        <v>3</v>
      </c>
      <c r="L1" s="5" t="s">
        <v>4</v>
      </c>
      <c r="M1" s="4"/>
      <c r="N1" s="4"/>
      <c r="O1" s="4"/>
      <c r="P1" s="4"/>
      <c r="Q1" s="4"/>
      <c r="R1" s="4"/>
      <c r="S1" s="4"/>
      <c r="T1" s="4"/>
      <c r="U1" s="4"/>
      <c r="V1" s="4"/>
      <c r="W1" s="4"/>
      <c r="X1" s="4"/>
      <c r="Y1" s="4"/>
      <c r="Z1" s="4"/>
      <c r="AA1" s="4"/>
      <c r="AB1" s="4"/>
      <c r="AC1" s="4"/>
      <c r="AD1" s="4"/>
      <c r="AE1" s="4"/>
      <c r="AF1" s="4"/>
      <c r="AG1" s="4"/>
    </row>
    <row r="2" spans="1:33" ht="22.5" customHeight="1" x14ac:dyDescent="0.25">
      <c r="A2" s="2"/>
      <c r="B2" s="2"/>
      <c r="C2" s="2"/>
      <c r="D2" s="2"/>
      <c r="E2" s="2"/>
      <c r="F2" s="4"/>
      <c r="G2" s="4"/>
      <c r="H2" s="6" t="s">
        <v>57</v>
      </c>
      <c r="I2" s="4" t="str">
        <f ca="1">IFERROR(__xludf.DUMMYFUNCTION("GOOGLETRANSLATE(B2,""en"",""ar"")"),"ما الذي توحي به جودة الصورة بالأبيض والأسود؟")</f>
        <v>ما الذي توحي به جودة الصورة بالأبيض والأسود؟</v>
      </c>
      <c r="J2" s="4" t="str">
        <f ca="1">IFERROR(__xludf.DUMMYFUNCTION("GOOGLETRANSLATE(C2,""en"",""ar"")"),"أ) مباراة حديثة باستخدام فلتر كاميرا خاص، ب) مباراة ليلية تحت أضواء ساطعة، ج) شكل تاريخي أو تقليدي للرياضة من الماضي، د) جلسة تدريبية تحت المطر")</f>
        <v>أ) مباراة حديثة باستخدام فلتر كاميرا خاص، ب) مباراة ليلية تحت أضواء ساطعة، ج) شكل تاريخي أو تقليدي للرياضة من الماضي، د) جلسة تدريبية تحت المطر</v>
      </c>
      <c r="K2" s="4" t="str">
        <f ca="1">IFERROR(__xludf.DUMMYFUNCTION("GOOGLETRANSLATE(D2,""en"",""ar"")"),"ج) شكل تاريخي أو تقليدي للرياضة من الماضي")</f>
        <v>ج) شكل تاريخي أو تقليدي للرياضة من الماضي</v>
      </c>
      <c r="L2" s="4" t="str">
        <f ca="1">IFERROR(__xludf.DUMMYFUNCTION("GOOGLETRANSLATE(E2,""en"",""ar"")"),"تشير الصورة أحادية اللون والزي التقليدي البسيط إلى أن هذه الصورة التُقطت قبل عقود، لتجسد الرياضة في حالتها التاريخية. ⏳")</f>
        <v>تشير الصورة أحادية اللون والزي التقليدي البسيط إلى أن هذه الصورة التُقطت قبل عقود، لتجسد الرياضة في حالتها التاريخية. ⏳</v>
      </c>
      <c r="M2" s="4"/>
      <c r="N2" s="4"/>
      <c r="O2" s="4"/>
      <c r="P2" s="4"/>
      <c r="Q2" s="4"/>
      <c r="R2" s="4"/>
      <c r="S2" s="4"/>
      <c r="T2" s="4"/>
      <c r="U2" s="4"/>
      <c r="V2" s="4"/>
      <c r="W2" s="4"/>
      <c r="X2" s="4"/>
      <c r="Y2" s="4"/>
      <c r="Z2" s="4"/>
      <c r="AA2" s="4"/>
      <c r="AB2" s="4"/>
      <c r="AC2" s="4"/>
      <c r="AD2" s="4"/>
      <c r="AE2" s="4"/>
      <c r="AF2" s="4"/>
      <c r="AG2" s="4"/>
    </row>
    <row r="3" spans="1:33" ht="22.5" customHeight="1" x14ac:dyDescent="0.25">
      <c r="A3" s="2"/>
      <c r="B3" s="2"/>
      <c r="C3" s="2"/>
      <c r="D3" s="2"/>
      <c r="E3" s="2"/>
      <c r="F3" s="4"/>
      <c r="G3" s="4"/>
      <c r="H3" s="7" t="s">
        <v>57</v>
      </c>
      <c r="I3" s="4" t="str">
        <f ca="1">IFERROR(__xludf.DUMMYFUNCTION("GOOGLETRANSLATE(B3,""en"",""ar"")"),"ما هو العنصر الأكثر تقليدية في زي المصارعين الموضح هنا؟")</f>
        <v>ما هو العنصر الأكثر تقليدية في زي المصارعين الموضح هنا؟</v>
      </c>
      <c r="J3" s="4" t="str">
        <f ca="1">IFERROR(__xludf.DUMMYFUNCTION("GOOGLETRANSLATE(C3,""en"",""ar"")"),"أ) يرتدون سراويل رياضية قصيرة حديثة، ب) يرتدون مآزر وأشياء زخرفية، ج) يرتدون أثواباً ثقيلة، د) يرتدون خوذات واقية")</f>
        <v>أ) يرتدون سراويل رياضية قصيرة حديثة، ب) يرتدون مآزر وأشياء زخرفية، ج) يرتدون أثواباً ثقيلة، د) يرتدون خوذات واقية</v>
      </c>
      <c r="K3" s="4" t="str">
        <f ca="1">IFERROR(__xludf.DUMMYFUNCTION("GOOGLETRANSLATE(D3,""en"",""ar"")"),"ب) إنهم يرتدون مآزر وأشياء زينة")</f>
        <v>ب) إنهم يرتدون مآزر وأشياء زينة</v>
      </c>
      <c r="L3" s="4" t="str">
        <f ca="1">IFERROR(__xludf.DUMMYFUNCTION("GOOGLETRANSLATE(E3,""en"",""ar"")"),"يرتدي المصارعون ملابس تقليدية للغاية، تشمل مآزر بسيطة وما قد يكون قرعًا أو أدوات طقوسية أخرى.")</f>
        <v>يرتدي المصارعون ملابس تقليدية للغاية، تشمل مآزر بسيطة وما قد يكون قرعًا أو أدوات طقوسية أخرى.</v>
      </c>
      <c r="M3" s="4"/>
      <c r="N3" s="4"/>
      <c r="O3" s="4"/>
      <c r="P3" s="4"/>
      <c r="Q3" s="4"/>
      <c r="R3" s="4"/>
      <c r="S3" s="4"/>
      <c r="T3" s="4"/>
      <c r="U3" s="4"/>
      <c r="V3" s="4"/>
      <c r="W3" s="4"/>
      <c r="X3" s="4"/>
      <c r="Y3" s="4"/>
      <c r="Z3" s="4"/>
      <c r="AA3" s="4"/>
      <c r="AB3" s="4"/>
      <c r="AC3" s="4"/>
      <c r="AD3" s="4"/>
      <c r="AE3" s="4"/>
      <c r="AF3" s="4"/>
      <c r="AG3" s="4"/>
    </row>
    <row r="4" spans="1:33" ht="22.5" customHeight="1" x14ac:dyDescent="0.25">
      <c r="A4" s="2"/>
      <c r="B4" s="2"/>
      <c r="C4" s="2"/>
      <c r="D4" s="2"/>
      <c r="E4" s="2"/>
      <c r="F4" s="4"/>
      <c r="G4" s="4"/>
      <c r="H4" s="6" t="s">
        <v>57</v>
      </c>
      <c r="I4" s="4" t="str">
        <f ca="1">IFERROR(__xludf.DUMMYFUNCTION("GOOGLETRANSLATE(B4,""en"",""ar"")"),"ما هي وضعية المصارعين؟")</f>
        <v>ما هي وضعية المصارعين؟</v>
      </c>
      <c r="J4" s="4" t="str">
        <f ca="1">IFERROR(__xludf.DUMMYFUNCTION("GOOGLETRANSLATE(C4,""en"",""ar"")"),"أ) يقفون منتصبين ويتصافحون، ب) هم في وضعية منخفضة ومنحنية استعدادًا للمواجهة، ج) أحدهم على الأرض بعد هزيمته، د) يحتفلون بالنصر")</f>
        <v>أ) يقفون منتصبين ويتصافحون، ب) هم في وضعية منخفضة ومنحنية استعدادًا للمواجهة، ج) أحدهم على الأرض بعد هزيمته، د) يحتفلون بالنصر</v>
      </c>
      <c r="K4" s="4" t="str">
        <f ca="1">IFERROR(__xludf.DUMMYFUNCTION("GOOGLETRANSLATE(D4,""en"",""ar"")"),"ب) هم في وضعية منخفضة، منحنية، قبل بدء الاشتباك")</f>
        <v>ب) هم في وضعية منخفضة، منحنية، قبل بدء الاشتباك</v>
      </c>
      <c r="L4" s="4" t="str">
        <f ca="1">IFERROR(__xludf.DUMMYFUNCTION("GOOGLETRANSLATE(E4,""en"",""ar"")"),"هذا هو الوضع الاستعدادي في المصارعة، حيث يكون المتنافسون متوازنين ومستعدين لبدء الإمساك أو الرد على خصمهم.")</f>
        <v>هذا هو الوضع الاستعدادي في المصارعة، حيث يكون المتنافسون متوازنين ومستعدين لبدء الإمساك أو الرد على خصمهم.</v>
      </c>
      <c r="M4" s="4"/>
      <c r="N4" s="4"/>
      <c r="O4" s="4"/>
      <c r="P4" s="4"/>
      <c r="Q4" s="4"/>
      <c r="R4" s="4"/>
      <c r="S4" s="4"/>
      <c r="T4" s="4"/>
      <c r="U4" s="4"/>
      <c r="V4" s="4"/>
      <c r="W4" s="4"/>
      <c r="X4" s="4"/>
      <c r="Y4" s="4"/>
      <c r="Z4" s="4"/>
      <c r="AA4" s="4"/>
      <c r="AB4" s="4"/>
      <c r="AC4" s="4"/>
      <c r="AD4" s="4"/>
      <c r="AE4" s="4"/>
      <c r="AF4" s="4"/>
      <c r="AG4" s="4"/>
    </row>
    <row r="5" spans="1:33" ht="22.5" customHeight="1" x14ac:dyDescent="0.25">
      <c r="A5" s="2"/>
      <c r="B5" s="2"/>
      <c r="C5" s="2"/>
      <c r="D5" s="2"/>
      <c r="E5" s="2"/>
      <c r="F5" s="4"/>
      <c r="G5" s="4"/>
      <c r="H5" s="7" t="s">
        <v>57</v>
      </c>
      <c r="I5" s="4" t="str">
        <f ca="1">IFERROR(__xludf.DUMMYFUNCTION("GOOGLETRANSLATE(B5,""en"",""ar"")"),"ما هي منطقة المنافسة أو ""الحلبة""؟")</f>
        <v>ما هي منطقة المنافسة أو "الحلبة"؟</v>
      </c>
      <c r="J5" s="4" t="str">
        <f ca="1">IFERROR(__xludf.DUMMYFUNCTION("GOOGLETRANSLATE(C5,""en"",""ar"")"),"أ) ساحة حديثة مسيجة، ب) منصة مرتفعة ومبطنة، ج) رقعة أرض جرداء بسيطة، د) حقل عشبي")</f>
        <v>أ) ساحة حديثة مسيجة، ب) منصة مرتفعة ومبطنة، ج) رقعة أرض جرداء بسيطة، د) حقل عشبي</v>
      </c>
      <c r="K5" s="4" t="str">
        <f ca="1">IFERROR(__xludf.DUMMYFUNCTION("GOOGLETRANSLATE(D5,""en"",""ar"")"),"ج) رقعة بسيطة من الأرض المجردة والعارية")</f>
        <v>ج) رقعة بسيطة من الأرض المجردة والعارية</v>
      </c>
      <c r="L5" s="4" t="str">
        <f ca="1">IFERROR(__xludf.DUMMYFUNCTION("GOOGLETRANSLATE(E5,""en"",""ar"")"),"المكان تقليدي للغاية، حيث تقام المباراة على أرض الملعب، محاطة بالمجتمع المحلي، دون وجود بنية تحتية حديثة.")</f>
        <v>المكان تقليدي للغاية، حيث تقام المباراة على أرض الملعب، محاطة بالمجتمع المحلي، دون وجود بنية تحتية حديثة.</v>
      </c>
      <c r="M5" s="4"/>
      <c r="N5" s="4"/>
      <c r="O5" s="4"/>
      <c r="P5" s="4"/>
      <c r="Q5" s="4"/>
      <c r="R5" s="4"/>
      <c r="S5" s="4"/>
      <c r="T5" s="4"/>
      <c r="U5" s="4"/>
      <c r="V5" s="4"/>
      <c r="W5" s="4"/>
      <c r="X5" s="4"/>
      <c r="Y5" s="4"/>
      <c r="Z5" s="4"/>
      <c r="AA5" s="4"/>
      <c r="AB5" s="4"/>
      <c r="AC5" s="4"/>
      <c r="AD5" s="4"/>
      <c r="AE5" s="4"/>
      <c r="AF5" s="4"/>
      <c r="AG5" s="4"/>
    </row>
    <row r="6" spans="1:33" ht="22.5" customHeight="1" x14ac:dyDescent="0.25">
      <c r="A6" s="2"/>
      <c r="B6" s="2"/>
      <c r="C6" s="2"/>
      <c r="D6" s="2"/>
      <c r="E6" s="2"/>
      <c r="F6" s="4"/>
      <c r="G6" s="4"/>
      <c r="H6" s="6" t="s">
        <v>57</v>
      </c>
      <c r="I6" s="4" t="str">
        <f ca="1">IFERROR(__xludf.DUMMYFUNCTION("GOOGLETRANSLATE(B6,""en"",""ar"")"),"يبدو أن الجسم الملتصق بظهر المصارع على اليمين هو...")</f>
        <v>يبدو أن الجسم الملتصق بظهر المصارع على اليمين هو...</v>
      </c>
      <c r="J6" s="4" t="str">
        <f ca="1">IFERROR(__xludf.DUMMYFUNCTION("GOOGLETRANSLATE(C6,""en"",""ar"")"),"أ) حقيبة خصر عصرية، ب) قرع أو قرعة تقليدية، ج) طبل صغير، د) كيس رمل للترجيح")</f>
        <v>أ) حقيبة خصر عصرية، ب) قرع أو قرعة تقليدية، ج) طبل صغير، د) كيس رمل للترجيح</v>
      </c>
      <c r="K6" s="4" t="str">
        <f ca="1">IFERROR(__xludf.DUMMYFUNCTION("GOOGLETRANSLATE(D6,""en"",""ar"")"),"ب) قرع تقليدي أو قرع العسل")</f>
        <v>ب) قرع تقليدي أو قرع العسل</v>
      </c>
      <c r="L6" s="4" t="str">
        <f ca="1">IFERROR(__xludf.DUMMYFUNCTION("GOOGLETRANSLATE(E6,""en"",""ar"")"),"يمكن أن تكون هذه العناصر جزءًا من الزي الاحتفالي أو الطقوسي في مصارعة النوبة التقليدية.")</f>
        <v>يمكن أن تكون هذه العناصر جزءًا من الزي الاحتفالي أو الطقوسي في مصارعة النوبة التقليدية.</v>
      </c>
      <c r="M6" s="4"/>
      <c r="N6" s="4"/>
      <c r="O6" s="4"/>
      <c r="P6" s="4"/>
      <c r="Q6" s="4"/>
      <c r="R6" s="4"/>
      <c r="S6" s="4"/>
      <c r="T6" s="4"/>
      <c r="U6" s="4"/>
      <c r="V6" s="4"/>
      <c r="W6" s="4"/>
      <c r="X6" s="4"/>
      <c r="Y6" s="4"/>
      <c r="Z6" s="4"/>
      <c r="AA6" s="4"/>
      <c r="AB6" s="4"/>
      <c r="AC6" s="4"/>
      <c r="AD6" s="4"/>
      <c r="AE6" s="4"/>
      <c r="AF6" s="4"/>
      <c r="AG6" s="4"/>
    </row>
    <row r="7" spans="1:33" ht="22.5" customHeight="1" x14ac:dyDescent="0.25">
      <c r="A7" s="2"/>
      <c r="B7" s="2"/>
      <c r="C7" s="2"/>
      <c r="D7" s="2"/>
      <c r="E7" s="2"/>
      <c r="F7" s="4"/>
      <c r="G7" s="4"/>
      <c r="H7" s="7" t="s">
        <v>57</v>
      </c>
      <c r="I7" s="4" t="str">
        <f ca="1">IFERROR(__xludf.DUMMYFUNCTION("GOOGLETRANSLATE(B7,""en"",""ar"")"),"الحشد في الخلفية هو...")</f>
        <v>الحشد في الخلفية هو...</v>
      </c>
      <c r="J7" s="4" t="str">
        <f ca="1">IFERROR(__xludf.DUMMYFUNCTION("GOOGLETRANSLATE(C7,""en"",""ar"")"),"أ) الجلوس في مدرج حديث، ب) المشاهدة من مسافة بعيدة، ج) الوقوف متقاربين، مشكلين دائرة بشرية حول المصارعين، د) عدم الانتباه للمباراة")</f>
        <v>أ) الجلوس في مدرج حديث، ب) المشاهدة من مسافة بعيدة، ج) الوقوف متقاربين، مشكلين دائرة بشرية حول المصارعين، د) عدم الانتباه للمباراة</v>
      </c>
      <c r="K7" s="4" t="str">
        <f ca="1">IFERROR(__xludf.DUMMYFUNCTION("GOOGLETRANSLATE(D7,""en"",""ar"")"),"ج) الوقوف على مقربة من بعضهم البعض، وتشكيل دائرة بشرية حول المصارعين")</f>
        <v>ج) الوقوف على مقربة من بعضهم البعض، وتشكيل دائرة بشرية حول المصارعين</v>
      </c>
      <c r="L7" s="4" t="str">
        <f ca="1">IFERROR(__xludf.DUMMYFUNCTION("GOOGLETRANSLATE(E7,""en"",""ar"")"),"في البيئات التقليدية، يشكل المجتمع حدود الدائرة، مما يخلق جواً حميماً وعميقاً.")</f>
        <v>في البيئات التقليدية، يشكل المجتمع حدود الدائرة، مما يخلق جواً حميماً وعميقاً.</v>
      </c>
      <c r="M7" s="4"/>
      <c r="N7" s="4"/>
      <c r="O7" s="4"/>
      <c r="P7" s="4"/>
      <c r="Q7" s="4"/>
      <c r="R7" s="4"/>
      <c r="S7" s="4"/>
      <c r="T7" s="4"/>
      <c r="U7" s="4"/>
      <c r="V7" s="4"/>
      <c r="W7" s="4"/>
      <c r="X7" s="4"/>
      <c r="Y7" s="4"/>
      <c r="Z7" s="4"/>
      <c r="AA7" s="4"/>
      <c r="AB7" s="4"/>
      <c r="AC7" s="4"/>
      <c r="AD7" s="4"/>
      <c r="AE7" s="4"/>
      <c r="AF7" s="4"/>
      <c r="AG7" s="4"/>
    </row>
    <row r="8" spans="1:33" ht="22.5" customHeight="1" x14ac:dyDescent="0.25">
      <c r="A8" s="2"/>
      <c r="B8" s="2"/>
      <c r="C8" s="2"/>
      <c r="D8" s="2"/>
      <c r="E8" s="2"/>
      <c r="F8" s="4"/>
      <c r="G8" s="4"/>
      <c r="H8" s="6" t="s">
        <v>57</v>
      </c>
      <c r="I8" s="4" t="str">
        <f ca="1">IFERROR(__xludf.DUMMYFUNCTION("GOOGLETRANSLATE(B8,""en"",""ar"")"),"أجساد المصارعين مغطاة بمادة فاتحة اللون، والتي من المحتمل أن تكون...")</f>
        <v>أجساد المصارعين مغطاة بمادة فاتحة اللون، والتي من المحتمل أن تكون...</v>
      </c>
      <c r="J8" s="4" t="str">
        <f ca="1">IFERROR(__xludf.DUMMYFUNCTION("GOOGLETRANSLATE(C8,""en"",""ar"")"),"أ) واقي الشمس، ب) الطلاء، ج) الغبار أو الرماد، د) الماء")</f>
        <v>أ) واقي الشمس، ب) الطلاء، ج) الغبار أو الرماد، د) الماء</v>
      </c>
      <c r="K8" s="4" t="str">
        <f ca="1">IFERROR(__xludf.DUMMYFUNCTION("GOOGLETRANSLATE(D8,""en"",""ar"")"),"ج) الغبار أو الرماد")</f>
        <v>ج) الغبار أو الرماد</v>
      </c>
      <c r="L8" s="4" t="str">
        <f ca="1">IFERROR(__xludf.DUMMYFUNCTION("GOOGLETRANSLATE(E8,""en"",""ar"")"),"تغطية الجسم بالرماد أو الغبار طقس شائع في مصارعة النوبة، ويعتقد أنه يوفر القوة أو قبضة أفضل.")</f>
        <v>تغطية الجسم بالرماد أو الغبار طقس شائع في مصارعة النوبة، ويعتقد أنه يوفر القوة أو قبضة أفضل.</v>
      </c>
      <c r="M8" s="4"/>
      <c r="N8" s="4"/>
      <c r="O8" s="4"/>
      <c r="P8" s="4"/>
      <c r="Q8" s="4"/>
      <c r="R8" s="4"/>
      <c r="S8" s="4"/>
      <c r="T8" s="4"/>
      <c r="U8" s="4"/>
      <c r="V8" s="4"/>
      <c r="W8" s="4"/>
      <c r="X8" s="4"/>
      <c r="Y8" s="4"/>
      <c r="Z8" s="4"/>
      <c r="AA8" s="4"/>
      <c r="AB8" s="4"/>
      <c r="AC8" s="4"/>
      <c r="AD8" s="4"/>
      <c r="AE8" s="4"/>
      <c r="AF8" s="4"/>
      <c r="AG8" s="4"/>
    </row>
    <row r="9" spans="1:33" ht="22.5" customHeight="1" x14ac:dyDescent="0.25">
      <c r="A9" s="2"/>
      <c r="B9" s="2"/>
      <c r="C9" s="2"/>
      <c r="D9" s="2"/>
      <c r="E9" s="2"/>
      <c r="F9" s="4"/>
      <c r="G9" s="4"/>
      <c r="H9" s="7" t="s">
        <v>57</v>
      </c>
      <c r="I9" s="4" t="str">
        <f ca="1">IFERROR(__xludf.DUMMYFUNCTION("GOOGLETRANSLATE(B9,""en"",""ar"")"),"بالمقارنة مع المصارعة الحديثة، فإن المعدات المعروضة هنا...")</f>
        <v>بالمقارنة مع المصارعة الحديثة، فإن المعدات المعروضة هنا...</v>
      </c>
      <c r="J9" s="4" t="str">
        <f ca="1">IFERROR(__xludf.DUMMYFUNCTION("GOOGLETRANSLATE(C9,""en"",""ar"")"),"أ) أكثر تعقيدًا بكثير، ب) تركز على المواد عالية التقنية، ج) بسيطة وتقليدية، د) مطابقة للمعدات الحديثة")</f>
        <v>أ) أكثر تعقيدًا بكثير، ب) تركز على المواد عالية التقنية، ج) بسيطة وتقليدية، د) مطابقة للمعدات الحديثة</v>
      </c>
      <c r="K9" s="4" t="str">
        <f ca="1">IFERROR(__xludf.DUMMYFUNCTION("GOOGLETRANSLATE(D9,""en"",""ar"")"),"ج) بسيط وتقليدي")</f>
        <v>ج) بسيط وتقليدي</v>
      </c>
      <c r="L9" s="4" t="str">
        <f ca="1">IFERROR(__xludf.DUMMYFUNCTION("GOOGLETRANSLATE(E9,""en"",""ar"")"),"الملابس والمكان بسيطان للغاية، مما يعكس الجذور القديمة لهذه الرياضة.")</f>
        <v>الملابس والمكان بسيطان للغاية، مما يعكس الجذور القديمة لهذه الرياضة.</v>
      </c>
      <c r="M9" s="4"/>
      <c r="N9" s="4"/>
      <c r="O9" s="4"/>
      <c r="P9" s="4"/>
      <c r="Q9" s="4"/>
      <c r="R9" s="4"/>
      <c r="S9" s="4"/>
      <c r="T9" s="4"/>
      <c r="U9" s="4"/>
      <c r="V9" s="4"/>
      <c r="W9" s="4"/>
      <c r="X9" s="4"/>
      <c r="Y9" s="4"/>
      <c r="Z9" s="4"/>
      <c r="AA9" s="4"/>
      <c r="AB9" s="4"/>
      <c r="AC9" s="4"/>
      <c r="AD9" s="4"/>
      <c r="AE9" s="4"/>
      <c r="AF9" s="4"/>
      <c r="AG9" s="4"/>
    </row>
    <row r="10" spans="1:33" ht="22.5" customHeight="1" x14ac:dyDescent="0.25">
      <c r="A10" s="2"/>
      <c r="B10" s="2"/>
      <c r="C10" s="2"/>
      <c r="D10" s="2"/>
      <c r="E10" s="2"/>
      <c r="F10" s="4"/>
      <c r="G10" s="4"/>
      <c r="H10" s="6" t="s">
        <v>57</v>
      </c>
      <c r="I10" s="4" t="str">
        <f ca="1">IFERROR(__xludf.DUMMYFUNCTION("GOOGLETRANSLATE(B10,""en"",""ar"")"),"تُبرز هذه الصورة مصارعة النوبة كـ...")</f>
        <v>تُبرز هذه الصورة مصارعة النوبة كـ...</v>
      </c>
      <c r="J10" s="4" t="str">
        <f ca="1">IFERROR(__xludf.DUMMYFUNCTION("GOOGLETRANSLATE(C10,""en"",""ar"")"),"أ) رياضة تجارية حديثة، ب) تقاليد ثقافية راسخة، ج) شكل من أشكال الترفيه للسياح، د) لعبة مبتكرة حديثًا")</f>
        <v>أ) رياضة تجارية حديثة، ب) تقاليد ثقافية راسخة، ج) شكل من أشكال الترفيه للسياح، د) لعبة مبتكرة حديثًا</v>
      </c>
      <c r="K10" s="4" t="str">
        <f ca="1">IFERROR(__xludf.DUMMYFUNCTION("GOOGLETRANSLATE(D10,""en"",""ar"")"),"ب) تقاليد ثقافية راسخة")</f>
        <v>ب) تقاليد ثقافية راسخة</v>
      </c>
      <c r="L10" s="4" t="str">
        <f ca="1">IFERROR(__xludf.DUMMYFUNCTION("GOOGLETRANSLATE(E10,""en"",""ar"")"),"تُظهر الطبيعة التاريخية للصورة هذه الرياضة كممارسة عريقة تُعدّ أساسية لهوية النوبة.")</f>
        <v>تُظهر الطبيعة التاريخية للصورة هذه الرياضة كممارسة عريقة تُعدّ أساسية لهوية النوبة.</v>
      </c>
      <c r="M10" s="4"/>
      <c r="N10" s="4"/>
      <c r="O10" s="4"/>
      <c r="P10" s="4"/>
      <c r="Q10" s="4"/>
      <c r="R10" s="4"/>
      <c r="S10" s="4"/>
      <c r="T10" s="4"/>
      <c r="U10" s="4"/>
      <c r="V10" s="4"/>
      <c r="W10" s="4"/>
      <c r="X10" s="4"/>
      <c r="Y10" s="4"/>
      <c r="Z10" s="4"/>
      <c r="AA10" s="4"/>
      <c r="AB10" s="4"/>
      <c r="AC10" s="4"/>
      <c r="AD10" s="4"/>
      <c r="AE10" s="4"/>
      <c r="AF10" s="4"/>
      <c r="AG10" s="4"/>
    </row>
    <row r="11" spans="1:33" ht="22.5" customHeight="1" x14ac:dyDescent="0.25">
      <c r="A11" s="2"/>
      <c r="B11" s="2"/>
      <c r="C11" s="2"/>
      <c r="D11" s="2"/>
      <c r="E11" s="2"/>
      <c r="F11" s="4"/>
      <c r="G11" s="4"/>
      <c r="H11" s="7" t="s">
        <v>57</v>
      </c>
      <c r="I11" s="4" t="str">
        <f ca="1">IFERROR(__xludf.DUMMYFUNCTION("GOOGLETRANSLATE(B11,""en"",""ar"")"),"ما هو الهدف الأساسي في هذه الرياضة؟")</f>
        <v>ما هو الهدف الأساسي في هذه الرياضة؟</v>
      </c>
      <c r="J11" s="4" t="str">
        <f ca="1">IFERROR(__xludf.DUMMYFUNCTION("GOOGLETRANSLATE(C11,""en"",""ar"")"),"أ) تثبيت كتفي الخصم على الأرض لمدة ثلاث ثوانٍ، ب) رفع الخصم فوق رأسك، ج) رمي الخصم على ظهره، د) إخراج الخصم من الحلبة بالقوة")</f>
        <v>أ) تثبيت كتفي الخصم على الأرض لمدة ثلاث ثوانٍ، ب) رفع الخصم فوق رأسك، ج) رمي الخصم على ظهره، د) إخراج الخصم من الحلبة بالقوة</v>
      </c>
      <c r="K11" s="4" t="str">
        <f ca="1">IFERROR(__xludf.DUMMYFUNCTION("GOOGLETRANSLATE(D11,""en"",""ar"")"),"ج) إلقاء الخصم على ظهره")</f>
        <v>ج) إلقاء الخصم على ظهره</v>
      </c>
      <c r="L11" s="4" t="str">
        <f ca="1">IFERROR(__xludf.DUMMYFUNCTION("GOOGLETRANSLATE(E11,""en"",""ar"")"),"الفائز في مصارعة النوبة هو من ينجح في طرح خصمه أرضاً بحيث يلامس ظهره الأرض.")</f>
        <v>الفائز في مصارعة النوبة هو من ينجح في طرح خصمه أرضاً بحيث يلامس ظهره الأرض.</v>
      </c>
      <c r="M11" s="4"/>
      <c r="N11" s="4"/>
      <c r="O11" s="4"/>
      <c r="P11" s="4"/>
      <c r="Q11" s="4"/>
      <c r="R11" s="4"/>
      <c r="S11" s="4"/>
      <c r="T11" s="4"/>
      <c r="U11" s="4"/>
      <c r="V11" s="4"/>
      <c r="W11" s="4"/>
      <c r="X11" s="4"/>
      <c r="Y11" s="4"/>
      <c r="Z11" s="4"/>
      <c r="AA11" s="4"/>
      <c r="AB11" s="4"/>
      <c r="AC11" s="4"/>
      <c r="AD11" s="4"/>
      <c r="AE11" s="4"/>
      <c r="AF11" s="4"/>
      <c r="AG11" s="4"/>
    </row>
    <row r="12" spans="1:33" ht="22.5" customHeight="1" x14ac:dyDescent="0.25">
      <c r="A12" s="2"/>
      <c r="B12" s="2"/>
      <c r="C12" s="2"/>
      <c r="D12" s="2"/>
      <c r="E12" s="2"/>
      <c r="F12" s="4"/>
      <c r="G12" s="4"/>
      <c r="H12" s="6" t="s">
        <v>58</v>
      </c>
      <c r="I12" s="4" t="str">
        <f ca="1">IFERROR(__xludf.DUMMYFUNCTION("GOOGLETRANSLATE(B12,""en"",""ar"")"),"ما الذي تصوره هذه الصورة في المقام الأول؟")</f>
        <v>ما الذي تصوره هذه الصورة في المقام الأول؟</v>
      </c>
      <c r="J12" s="4" t="str">
        <f ca="1">IFERROR(__xludf.DUMMYFUNCTION("GOOGLETRANSLATE(C12,""en"",""ar"")"),"أ) مباراة مصارعة جارية، ب) صورة لثلاثة مصارعين، ج) الجمهور يشاهد مباراة، د) حفل توزيع الجوائز")</f>
        <v>أ) مباراة مصارعة جارية، ب) صورة لثلاثة مصارعين، ج) الجمهور يشاهد مباراة، د) حفل توزيع الجوائز</v>
      </c>
      <c r="K12" s="4" t="str">
        <f ca="1">IFERROR(__xludf.DUMMYFUNCTION("GOOGLETRANSLATE(D12,""en"",""ar"")"),"ب) صورة لثلاثة مصارعين")</f>
        <v>ب) صورة لثلاثة مصارعين</v>
      </c>
      <c r="L12" s="4" t="str">
        <f ca="1">IFERROR(__xludf.DUMMYFUNCTION("GOOGLETRANSLATE(E12,""en"",""ar"")"),"الرجال الثلاثة يقفون أمام الكاميرا، وليسوا يتصارعون فعلياً، بل يستعرضون قوتهم وروح الزمالة بينهم.")</f>
        <v>الرجال الثلاثة يقفون أمام الكاميرا، وليسوا يتصارعون فعلياً، بل يستعرضون قوتهم وروح الزمالة بينهم.</v>
      </c>
      <c r="M12" s="4"/>
      <c r="N12" s="4"/>
      <c r="O12" s="4"/>
      <c r="P12" s="4"/>
      <c r="Q12" s="4"/>
      <c r="R12" s="4"/>
      <c r="S12" s="4"/>
      <c r="T12" s="4"/>
      <c r="U12" s="4"/>
      <c r="V12" s="4"/>
      <c r="W12" s="4"/>
      <c r="X12" s="4"/>
      <c r="Y12" s="4"/>
      <c r="Z12" s="4"/>
      <c r="AA12" s="4"/>
      <c r="AB12" s="4"/>
      <c r="AC12" s="4"/>
      <c r="AD12" s="4"/>
      <c r="AE12" s="4"/>
      <c r="AF12" s="4"/>
      <c r="AG12" s="4"/>
    </row>
    <row r="13" spans="1:33" ht="22.5" customHeight="1" x14ac:dyDescent="0.25">
      <c r="A13" s="2"/>
      <c r="B13" s="2"/>
      <c r="C13" s="2"/>
      <c r="D13" s="2"/>
      <c r="E13" s="2"/>
      <c r="F13" s="4"/>
      <c r="G13" s="4"/>
      <c r="H13" s="7" t="s">
        <v>58</v>
      </c>
      <c r="I13" s="4" t="str">
        <f ca="1">IFERROR(__xludf.DUMMYFUNCTION("GOOGLETRANSLATE(B13,""en"",""ar"")"),"ما الذي تم وضعه على جلد المصارعين؟")</f>
        <v>ما الذي تم وضعه على جلد المصارعين؟</v>
      </c>
      <c r="J13" s="4" t="str">
        <f ca="1">IFERROR(__xludf.DUMMYFUNCTION("GOOGLETRANSLATE(C13,""en"",""ar"")"),"أ) الماء، ب) واقي الشمس، ج) طلاء ملون، د) طبقة رقيقة من الغبار أو الرماد")</f>
        <v>أ) الماء، ب) واقي الشمس، ج) طلاء ملون، د) طبقة رقيقة من الغبار أو الرماد</v>
      </c>
      <c r="K13" s="4" t="str">
        <f ca="1">IFERROR(__xludf.DUMMYFUNCTION("GOOGLETRANSLATE(D13,""en"",""ar"")"),"د) طبقة رقيقة من الغبار أو الرماد")</f>
        <v>د) طبقة رقيقة من الغبار أو الرماد</v>
      </c>
      <c r="L13" s="4" t="str">
        <f ca="1">IFERROR(__xludf.DUMMYFUNCTION("GOOGLETRANSLATE(E13,""en"",""ar"")"),"يتم تغطية المصارعين بغبار فاتح اللون، وهي ممارسة شائعة لأغراض الطقوس أو الإمساك أو الترهيب.")</f>
        <v>يتم تغطية المصارعين بغبار فاتح اللون، وهي ممارسة شائعة لأغراض الطقوس أو الإمساك أو الترهيب.</v>
      </c>
      <c r="M13" s="4"/>
      <c r="N13" s="4"/>
      <c r="O13" s="4"/>
      <c r="P13" s="4"/>
      <c r="Q13" s="4"/>
      <c r="R13" s="4"/>
      <c r="S13" s="4"/>
      <c r="T13" s="4"/>
      <c r="U13" s="4"/>
      <c r="V13" s="4"/>
      <c r="W13" s="4"/>
      <c r="X13" s="4"/>
      <c r="Y13" s="4"/>
      <c r="Z13" s="4"/>
      <c r="AA13" s="4"/>
      <c r="AB13" s="4"/>
      <c r="AC13" s="4"/>
      <c r="AD13" s="4"/>
      <c r="AE13" s="4"/>
      <c r="AF13" s="4"/>
      <c r="AG13" s="4"/>
    </row>
    <row r="14" spans="1:33" ht="22.5" customHeight="1" x14ac:dyDescent="0.25">
      <c r="A14" s="2"/>
      <c r="B14" s="2"/>
      <c r="C14" s="2"/>
      <c r="D14" s="2"/>
      <c r="E14" s="2"/>
      <c r="F14" s="4"/>
      <c r="G14" s="4"/>
      <c r="H14" s="6" t="s">
        <v>58</v>
      </c>
      <c r="I14" s="4" t="str">
        <f ca="1">IFERROR(__xludf.DUMMYFUNCTION("GOOGLETRANSLATE(B14,""en"",""ar"")"),"ماذا يُمثل زي المصارع الموجود في المنتصف؟")</f>
        <v>ماذا يُمثل زي المصارع الموجود في المنتصف؟</v>
      </c>
      <c r="J14" s="4" t="str">
        <f ca="1">IFERROR(__xludf.DUMMYFUNCTION("GOOGLETRANSLATE(C14,""en"",""ar"")"),"أ) زي موحد صارم، ب) مزيج من الملابس التقليدية والحديثة، ج) زي الحكم، وليس زي المصارع، د) زي احتفالي للرقص فقط")</f>
        <v>أ) زي موحد صارم، ب) مزيج من الملابس التقليدية والحديثة، ج) زي الحكم، وليس زي المصارع، د) زي احتفالي للرقص فقط</v>
      </c>
      <c r="K14" s="4" t="str">
        <f ca="1">IFERROR(__xludf.DUMMYFUNCTION("GOOGLETRANSLATE(D14,""en"",""ar"")"),"ب) مزيج من الملابس التقليدية والحديثة")</f>
        <v>ب) مزيج من الملابس التقليدية والحديثة</v>
      </c>
      <c r="L14" s="4" t="str">
        <f ca="1">IFERROR(__xludf.DUMMYFUNCTION("GOOGLETRANSLATE(E14,""en"",""ar"")"),"يرتدي قميصًا رياضيًا عصريًا بدون أكمام بالإضافة إلى قطعة قماش تقليدية مزخرفة تغطي منطقة العانة، مما يدل على كيفية تطور هذه الرياضة.")</f>
        <v>يرتدي قميصًا رياضيًا عصريًا بدون أكمام بالإضافة إلى قطعة قماش تقليدية مزخرفة تغطي منطقة العانة، مما يدل على كيفية تطور هذه الرياضة.</v>
      </c>
      <c r="M14" s="4"/>
      <c r="N14" s="4"/>
      <c r="O14" s="4"/>
      <c r="P14" s="4"/>
      <c r="Q14" s="4"/>
      <c r="R14" s="4"/>
      <c r="S14" s="4"/>
      <c r="T14" s="4"/>
      <c r="U14" s="4"/>
      <c r="V14" s="4"/>
      <c r="W14" s="4"/>
      <c r="X14" s="4"/>
      <c r="Y14" s="4"/>
      <c r="Z14" s="4"/>
      <c r="AA14" s="4"/>
      <c r="AB14" s="4"/>
      <c r="AC14" s="4"/>
      <c r="AD14" s="4"/>
      <c r="AE14" s="4"/>
      <c r="AF14" s="4"/>
      <c r="AG14" s="4"/>
    </row>
    <row r="15" spans="1:33" ht="22.5" customHeight="1" x14ac:dyDescent="0.25">
      <c r="A15" s="2"/>
      <c r="B15" s="2"/>
      <c r="C15" s="2"/>
      <c r="D15" s="2"/>
      <c r="E15" s="2"/>
      <c r="F15" s="4"/>
      <c r="G15" s="4"/>
      <c r="H15" s="7" t="s">
        <v>58</v>
      </c>
      <c r="I15" s="4" t="str">
        <f ca="1">IFERROR(__xludf.DUMMYFUNCTION("GOOGLETRANSLATE(B15,""en"",""ar"")"),"توحي وضعية الرجال الثلاثة بشعور من...")</f>
        <v>توحي وضعية الرجال الثلاثة بشعور من...</v>
      </c>
      <c r="J15" s="4" t="str">
        <f ca="1">IFERROR(__xludf.DUMMYFUNCTION("GOOGLETRANSLATE(C15,""en"",""ar"")"),"أ) تنافس شديد وغضب متبادل، ب) حزن وهزيمة، ج) فخر وقوة ووحدة، د) خوف وتوتر")</f>
        <v>أ) تنافس شديد وغضب متبادل، ب) حزن وهزيمة، ج) فخر وقوة ووحدة، د) خوف وتوتر</v>
      </c>
      <c r="K15" s="4" t="str">
        <f ca="1">IFERROR(__xludf.DUMMYFUNCTION("GOOGLETRANSLATE(D15,""en"",""ar"")"),"ج) الفخر والقوة والوحدة")</f>
        <v>ج) الفخر والقوة والوحدة</v>
      </c>
      <c r="L15" s="4" t="str">
        <f ca="1">IFERROR(__xludf.DUMMYFUNCTION("GOOGLETRANSLATE(E15,""en"",""ar"")"),"يقفون معاً بثقة، مما يوحي بأنهم قد يكونون جزءاً من نفس الفريق أو أنهم يظهرون احتراماً متبادلاً كرياضيين زملاء.")</f>
        <v>يقفون معاً بثقة، مما يوحي بأنهم قد يكونون جزءاً من نفس الفريق أو أنهم يظهرون احتراماً متبادلاً كرياضيين زملاء.</v>
      </c>
      <c r="M15" s="4"/>
      <c r="N15" s="4"/>
      <c r="O15" s="4"/>
      <c r="P15" s="4"/>
      <c r="Q15" s="4"/>
      <c r="R15" s="4"/>
      <c r="S15" s="4"/>
      <c r="T15" s="4"/>
      <c r="U15" s="4"/>
      <c r="V15" s="4"/>
      <c r="W15" s="4"/>
      <c r="X15" s="4"/>
      <c r="Y15" s="4"/>
      <c r="Z15" s="4"/>
      <c r="AA15" s="4"/>
      <c r="AB15" s="4"/>
      <c r="AC15" s="4"/>
      <c r="AD15" s="4"/>
      <c r="AE15" s="4"/>
      <c r="AF15" s="4"/>
      <c r="AG15" s="4"/>
    </row>
    <row r="16" spans="1:33" ht="22.5" customHeight="1" x14ac:dyDescent="0.25">
      <c r="A16" s="2"/>
      <c r="B16" s="2"/>
      <c r="C16" s="2"/>
      <c r="D16" s="2"/>
      <c r="E16" s="2"/>
      <c r="F16" s="4"/>
      <c r="G16" s="4"/>
      <c r="H16" s="6" t="s">
        <v>58</v>
      </c>
      <c r="I16" s="4" t="str">
        <f ca="1">IFERROR(__xludf.DUMMYFUNCTION("GOOGLETRANSLATE(B16,""en"",""ar"")"),"يضع المصارع الموجود على اليسار يده على كتف المصارع الأوسط في إشارة إلى...")</f>
        <v>يضع المصارع الموجود على اليسار يده على كتف المصارع الأوسط في إشارة إلى...</v>
      </c>
      <c r="J16" s="4" t="str">
        <f ca="1">IFERROR(__xludf.DUMMYFUNCTION("GOOGLETRANSLATE(C16,""en"",""ar"")"),"أ) العدوان، ب) التحدي، ج) الصداقة أو الدعم، د) عدم الاحترام")</f>
        <v>أ) العدوان، ب) التحدي، ج) الصداقة أو الدعم، د) عدم الاحترام</v>
      </c>
      <c r="K16" s="4" t="str">
        <f ca="1">IFERROR(__xludf.DUMMYFUNCTION("GOOGLETRANSLATE(D16,""en"",""ar"")"),"ج) روح الزمالة أو الدعم")</f>
        <v>ج) روح الزمالة أو الدعم</v>
      </c>
      <c r="L16" s="4" t="str">
        <f ca="1">IFERROR(__xludf.DUMMYFUNCTION("GOOGLETRANSLATE(E16,""en"",""ar"")"),"هذه لفتة ودية وداعمة، شائعة بين زملاء الفريق أو الأصدقاء.")</f>
        <v>هذه لفتة ودية وداعمة، شائعة بين زملاء الفريق أو الأصدقاء.</v>
      </c>
      <c r="M16" s="4"/>
      <c r="N16" s="4"/>
      <c r="O16" s="4"/>
      <c r="P16" s="4"/>
      <c r="Q16" s="4"/>
      <c r="R16" s="4"/>
      <c r="S16" s="4"/>
      <c r="T16" s="4"/>
      <c r="U16" s="4"/>
      <c r="V16" s="4"/>
      <c r="W16" s="4"/>
      <c r="X16" s="4"/>
      <c r="Y16" s="4"/>
      <c r="Z16" s="4"/>
      <c r="AA16" s="4"/>
      <c r="AB16" s="4"/>
      <c r="AC16" s="4"/>
      <c r="AD16" s="4"/>
      <c r="AE16" s="4"/>
      <c r="AF16" s="4"/>
      <c r="AG16" s="4"/>
    </row>
    <row r="17" spans="1:33" ht="22.5" customHeight="1" x14ac:dyDescent="0.25">
      <c r="A17" s="2"/>
      <c r="B17" s="2"/>
      <c r="C17" s="2"/>
      <c r="D17" s="2"/>
      <c r="E17" s="2"/>
      <c r="F17" s="4"/>
      <c r="G17" s="4"/>
      <c r="H17" s="7" t="s">
        <v>58</v>
      </c>
      <c r="I17" s="4" t="str">
        <f ca="1">IFERROR(__xludf.DUMMYFUNCTION("GOOGLETRANSLATE(B17,""en"",""ar"")"),"ما هو المكان الذي التُقطت فيه هذه الصورة؟")</f>
        <v>ما هو المكان الذي التُقطت فيه هذه الصورة؟</v>
      </c>
      <c r="J17" s="4" t="str">
        <f ca="1">IFERROR(__xludf.DUMMYFUNCTION("GOOGLETRANSLATE(C17,""en"",""ar"")"),"أ) داخل صالة رياضية، ب) في غابة، ج) في حلبة مصارعة، د) على شاطئ")</f>
        <v>أ) داخل صالة رياضية، ب) في غابة، ج) في حلبة مصارعة، د) على شاطئ</v>
      </c>
      <c r="K17" s="4" t="str">
        <f ca="1">IFERROR(__xludf.DUMMYFUNCTION("GOOGLETRANSLATE(D17,""en"",""ar"")"),"ج) في حلبة المصارعة")</f>
        <v>ج) في حلبة المصارعة</v>
      </c>
      <c r="L17" s="4" t="str">
        <f ca="1">IFERROR(__xludf.DUMMYFUNCTION("GOOGLETRANSLATE(E17,""en"",""ar"")"),"تشير حفرة الرمل والسياج والحشد في الخلفية إلى أنهم في مكان مخصص لمصارعة النوبة.")</f>
        <v>تشير حفرة الرمل والسياج والحشد في الخلفية إلى أنهم في مكان مخصص لمصارعة النوبة.</v>
      </c>
      <c r="M17" s="4"/>
      <c r="N17" s="4"/>
      <c r="O17" s="4"/>
      <c r="P17" s="4"/>
      <c r="Q17" s="4"/>
      <c r="R17" s="4"/>
      <c r="S17" s="4"/>
      <c r="T17" s="4"/>
      <c r="U17" s="4"/>
      <c r="V17" s="4"/>
      <c r="W17" s="4"/>
      <c r="X17" s="4"/>
      <c r="Y17" s="4"/>
      <c r="Z17" s="4"/>
      <c r="AA17" s="4"/>
      <c r="AB17" s="4"/>
      <c r="AC17" s="4"/>
      <c r="AD17" s="4"/>
      <c r="AE17" s="4"/>
      <c r="AF17" s="4"/>
      <c r="AG17" s="4"/>
    </row>
    <row r="18" spans="1:33" ht="22.5" customHeight="1" x14ac:dyDescent="0.25">
      <c r="A18" s="2"/>
      <c r="B18" s="2"/>
      <c r="C18" s="2"/>
      <c r="D18" s="2"/>
      <c r="E18" s="2"/>
      <c r="F18" s="4"/>
      <c r="G18" s="4"/>
      <c r="H18" s="6" t="s">
        <v>58</v>
      </c>
      <c r="I18" s="4" t="str">
        <f ca="1">IFERROR(__xludf.DUMMYFUNCTION("GOOGLETRANSLATE(B18,""en"",""ar"")"),"القطعة الملونة ذات الشراشيب التي يرتديها المصارع الرئيسي حول خصره هي...")</f>
        <v>القطعة الملونة ذات الشراشيب التي يرتديها المصارع الرئيسي حول خصره هي...</v>
      </c>
      <c r="J18" s="4" t="str">
        <f ca="1">IFERROR(__xludf.DUMMYFUNCTION("GOOGLETRANSLATE(C18,""en"",""ar"")"),"أ) حزام رياضي حديث، ب) مئزر تقليدي مزخرف، ج) حزام أدوات، د) سترة نجاة")</f>
        <v>أ) حزام رياضي حديث، ب) مئزر تقليدي مزخرف، ج) حزام أدوات، د) سترة نجاة</v>
      </c>
      <c r="K18" s="4" t="str">
        <f ca="1">IFERROR(__xludf.DUMMYFUNCTION("GOOGLETRANSLATE(D18,""en"",""ar"")"),"ب) مئزر تقليدي مزخرف")</f>
        <v>ب) مئزر تقليدي مزخرف</v>
      </c>
      <c r="L18" s="4" t="str">
        <f ca="1">IFERROR(__xludf.DUMMYFUNCTION("GOOGLETRANSLATE(E18,""en"",""ar"")"),"هذا جزء من زي المصارعة التقليدي، وغالبًا ما يكون بألوان زاهية ومزخرفًا ليمثل قرية المصارع أو مكانته.")</f>
        <v>هذا جزء من زي المصارعة التقليدي، وغالبًا ما يكون بألوان زاهية ومزخرفًا ليمثل قرية المصارع أو مكانته.</v>
      </c>
      <c r="M18" s="4"/>
      <c r="N18" s="4"/>
      <c r="O18" s="4"/>
      <c r="P18" s="4"/>
      <c r="Q18" s="4"/>
      <c r="R18" s="4"/>
      <c r="S18" s="4"/>
      <c r="T18" s="4"/>
      <c r="U18" s="4"/>
      <c r="V18" s="4"/>
      <c r="W18" s="4"/>
      <c r="X18" s="4"/>
      <c r="Y18" s="4"/>
      <c r="Z18" s="4"/>
      <c r="AA18" s="4"/>
      <c r="AB18" s="4"/>
      <c r="AC18" s="4"/>
      <c r="AD18" s="4"/>
      <c r="AE18" s="4"/>
      <c r="AF18" s="4"/>
      <c r="AG18" s="4"/>
    </row>
    <row r="19" spans="1:33" ht="22.5" customHeight="1" x14ac:dyDescent="0.25">
      <c r="A19" s="2"/>
      <c r="B19" s="2"/>
      <c r="C19" s="2"/>
      <c r="D19" s="2"/>
      <c r="E19" s="2"/>
      <c r="F19" s="4"/>
      <c r="G19" s="4"/>
      <c r="H19" s="7" t="s">
        <v>58</v>
      </c>
      <c r="I19" s="4" t="str">
        <f ca="1">IFERROR(__xludf.DUMMYFUNCTION("GOOGLETRANSLATE(B19,""en"",""ar"")"),"تُظهر الحالة البدنية للرجال أن مصارعة النوبة تتطلب...")</f>
        <v>تُظهر الحالة البدنية للرجال أن مصارعة النوبة تتطلب...</v>
      </c>
      <c r="J19" s="4" t="str">
        <f ca="1">IFERROR(__xludf.DUMMYFUNCTION("GOOGLETRANSLATE(C19,""en"",""ar"")"),"أ) بذل جهد بدني قليل جدًا، ب) بنية نحيلة ورشيقة، ج) قوة عضلية ولياقة بدنية عالية، د) التركيز الذهني فقط")</f>
        <v>أ) بذل جهد بدني قليل جدًا، ب) بنية نحيلة ورشيقة، ج) قوة عضلية ولياقة بدنية عالية، د) التركيز الذهني فقط</v>
      </c>
      <c r="K19" s="4" t="str">
        <f ca="1">IFERROR(__xludf.DUMMYFUNCTION("GOOGLETRANSLATE(D19,""en"",""ar"")"),"ج) قوة عضلية ولياقة بدنية عالية")</f>
        <v>ج) قوة عضلية ولياقة بدنية عالية</v>
      </c>
      <c r="L19" s="4" t="str">
        <f ca="1">IFERROR(__xludf.DUMMYFUNCTION("GOOGLETRANSLATE(E19,""en"",""ar"")"),"يتمتع المصارعون ببنية عضلية قوية ولياقة بدنية عالية، مما يُبرز الطبيعة الشاقة لهذه الرياضة. 💪")</f>
        <v>يتمتع المصارعون ببنية عضلية قوية ولياقة بدنية عالية، مما يُبرز الطبيعة الشاقة لهذه الرياضة. 💪</v>
      </c>
      <c r="M19" s="4"/>
      <c r="N19" s="4"/>
      <c r="O19" s="4"/>
      <c r="P19" s="4"/>
      <c r="Q19" s="4"/>
      <c r="R19" s="4"/>
      <c r="S19" s="4"/>
      <c r="T19" s="4"/>
      <c r="U19" s="4"/>
      <c r="V19" s="4"/>
      <c r="W19" s="4"/>
      <c r="X19" s="4"/>
      <c r="Y19" s="4"/>
      <c r="Z19" s="4"/>
      <c r="AA19" s="4"/>
      <c r="AB19" s="4"/>
      <c r="AC19" s="4"/>
      <c r="AD19" s="4"/>
      <c r="AE19" s="4"/>
      <c r="AF19" s="4"/>
      <c r="AG19" s="4"/>
    </row>
    <row r="20" spans="1:33" ht="22.5" customHeight="1" x14ac:dyDescent="0.25">
      <c r="A20" s="2"/>
      <c r="B20" s="2"/>
      <c r="C20" s="2"/>
      <c r="D20" s="2"/>
      <c r="E20" s="2"/>
      <c r="F20" s="4"/>
      <c r="G20" s="4"/>
      <c r="H20" s="6" t="s">
        <v>58</v>
      </c>
      <c r="I20" s="4" t="str">
        <f ca="1">IFERROR(__xludf.DUMMYFUNCTION("GOOGLETRANSLATE(B20,""en"",""ar"")"),"ماذا يفعل المصارع الموجود على اليمين بذراعه؟")</f>
        <v>ماذا يفعل المصارع الموجود على اليمين بذراعه؟</v>
      </c>
      <c r="J20" s="4" t="str">
        <f ca="1">IFERROR(__xludf.DUMMYFUNCTION("GOOGLETRANSLATE(C20,""en"",""ar"")"),"أ) يلوّح للجمهور، ب) يشير إلى خصم، ج) يرفعها في وضعية قوية، د) يقوم بتمارين الإطالة قبل المباراة")</f>
        <v>أ) يلوّح للجمهور، ب) يشير إلى خصم، ج) يرفعها في وضعية قوية، د) يقوم بتمارين الإطالة قبل المباراة</v>
      </c>
      <c r="K20" s="4" t="str">
        <f ca="1">IFERROR(__xludf.DUMMYFUNCTION("GOOGLETRANSLATE(D20,""en"",""ar"")"),"ج) إنه يمسكها في وضعية قوية")</f>
        <v>ج) إنه يمسكها في وضعية قوية</v>
      </c>
      <c r="L20" s="4" t="str">
        <f ca="1">IFERROR(__xludf.DUMMYFUNCTION("GOOGLETRANSLATE(E20,""en"",""ar"")"),"إنه يستعرض عضلاته ويشير، وهي وضعية شائعة لدى الرياضيين الذين يستعرضون قوتهم.")</f>
        <v>إنه يستعرض عضلاته ويشير، وهي وضعية شائعة لدى الرياضيين الذين يستعرضون قوتهم.</v>
      </c>
      <c r="M20" s="4"/>
      <c r="N20" s="4"/>
      <c r="O20" s="4"/>
      <c r="P20" s="4"/>
      <c r="Q20" s="4"/>
      <c r="R20" s="4"/>
      <c r="S20" s="4"/>
      <c r="T20" s="4"/>
      <c r="U20" s="4"/>
      <c r="V20" s="4"/>
      <c r="W20" s="4"/>
      <c r="X20" s="4"/>
      <c r="Y20" s="4"/>
      <c r="Z20" s="4"/>
      <c r="AA20" s="4"/>
      <c r="AB20" s="4"/>
      <c r="AC20" s="4"/>
      <c r="AD20" s="4"/>
      <c r="AE20" s="4"/>
      <c r="AF20" s="4"/>
      <c r="AG20" s="4"/>
    </row>
    <row r="21" spans="1:33" ht="22.5" customHeight="1" x14ac:dyDescent="0.25">
      <c r="A21" s="2"/>
      <c r="B21" s="2"/>
      <c r="C21" s="2"/>
      <c r="D21" s="2"/>
      <c r="E21" s="2"/>
      <c r="F21" s="4"/>
      <c r="G21" s="4"/>
      <c r="H21" s="7" t="s">
        <v>58</v>
      </c>
      <c r="I21" s="4" t="str">
        <f ca="1">IFERROR(__xludf.DUMMYFUNCTION("GOOGLETRANSLATE(B21,""en"",""ar"")"),"يُعد السياج الظاهر في الخلفية أحد معالم...")</f>
        <v>يُعد السياج الظاهر في الخلفية أحد معالم...</v>
      </c>
      <c r="J21" s="4" t="str">
        <f ca="1">IFERROR(__xludf.DUMMYFUNCTION("GOOGLETRANSLATE(C21,""en"",""ar"")"),"أ) مباراة تقليدية أكثر، تُقام في قرية، ب) مكان مصارعة حديث ومنظم، ج) جميع مباريات مصارعة النوبة، د) مأوى مؤقت")</f>
        <v>أ) مباراة تقليدية أكثر، تُقام في قرية، ب) مكان مصارعة حديث ومنظم، ج) جميع مباريات مصارعة النوبة، د) مأوى مؤقت</v>
      </c>
      <c r="K21" s="4" t="str">
        <f ca="1">IFERROR(__xludf.DUMMYFUNCTION("GOOGLETRANSLATE(D21,""en"",""ar"")"),"ب) مكان مصارعة أكثر حداثة وتنظيمًا")</f>
        <v>ب) مكان مصارعة أكثر حداثة وتنظيمًا</v>
      </c>
      <c r="L21" s="4" t="str">
        <f ca="1">IFERROR(__xludf.DUMMYFUNCTION("GOOGLETRANSLATE(E21,""en"",""ar"")"),"توجد الأسوار الدائمة والمقاعد المنظمة في الساحات الأكثر رسمية، وغالبًا في المدن الكبيرة مثل الخرطوم.")</f>
        <v>توجد الأسوار الدائمة والمقاعد المنظمة في الساحات الأكثر رسمية، وغالبًا في المدن الكبيرة مثل الخرطوم.</v>
      </c>
      <c r="M21" s="4"/>
      <c r="N21" s="4"/>
      <c r="O21" s="4"/>
      <c r="P21" s="4"/>
      <c r="Q21" s="4"/>
      <c r="R21" s="4"/>
      <c r="S21" s="4"/>
      <c r="T21" s="4"/>
      <c r="U21" s="4"/>
      <c r="V21" s="4"/>
      <c r="W21" s="4"/>
      <c r="X21" s="4"/>
      <c r="Y21" s="4"/>
      <c r="Z21" s="4"/>
      <c r="AA21" s="4"/>
      <c r="AB21" s="4"/>
      <c r="AC21" s="4"/>
      <c r="AD21" s="4"/>
      <c r="AE21" s="4"/>
      <c r="AF21" s="4"/>
      <c r="AG21" s="4"/>
    </row>
    <row r="22" spans="1:33" ht="22.5" customHeight="1" x14ac:dyDescent="0.25">
      <c r="A22" s="2"/>
      <c r="B22" s="2"/>
      <c r="C22" s="2"/>
      <c r="D22" s="2"/>
      <c r="E22" s="2"/>
      <c r="F22" s="4"/>
      <c r="G22" s="4"/>
      <c r="H22" s="6" t="s">
        <v>59</v>
      </c>
      <c r="I22" s="4" t="str">
        <f ca="1">IFERROR(__xludf.DUMMYFUNCTION("GOOGLETRANSLATE(B22,""en"",""ar"")"),"ما هي المرحلة التي يتم عرضها من مباراة المصارعة؟")</f>
        <v>ما هي المرحلة التي يتم عرضها من مباراة المصارعة؟</v>
      </c>
      <c r="J22" s="4" t="str">
        <f ca="1">IFERROR(__xludf.DUMMYFUNCTION("GOOGLETRANSLATE(C22,""en"",""ar"")"),"أ) الاحتفال بعد الفوز، ب) المواجهة أو الاشتباك الأولي قبل المباراة، ج) منتصف رمية معقدة، د) نهاية الجولة")</f>
        <v>أ) الاحتفال بعد الفوز، ب) المواجهة أو الاشتباك الأولي قبل المباراة، ج) منتصف رمية معقدة، د) نهاية الجولة</v>
      </c>
      <c r="K22" s="4" t="str">
        <f ca="1">IFERROR(__xludf.DUMMYFUNCTION("GOOGLETRANSLATE(D22,""en"",""ar"")"),"ب) المواجهة قبل المباراة أو الاشتباك الأولي")</f>
        <v>ب) المواجهة قبل المباراة أو الاشتباك الأولي</v>
      </c>
      <c r="L22" s="4" t="str">
        <f ca="1">IFERROR(__xludf.DUMMYFUNCTION("GOOGLETRANSLATE(E22,""en"",""ar"")"),"يتخذ المصارعان وضعية انحناء، وأيديهما ممدودة، على وشك القيام بأول مسكة. هذه هي لحظة التوتر قبل بدء النزال.")</f>
        <v>يتخذ المصارعان وضعية انحناء، وأيديهما ممدودة، على وشك القيام بأول مسكة. هذه هي لحظة التوتر قبل بدء النزال.</v>
      </c>
      <c r="M22" s="4"/>
      <c r="N22" s="4"/>
      <c r="O22" s="4"/>
      <c r="P22" s="4"/>
      <c r="Q22" s="4"/>
      <c r="R22" s="4"/>
      <c r="S22" s="4"/>
      <c r="T22" s="4"/>
      <c r="U22" s="4"/>
      <c r="V22" s="4"/>
      <c r="W22" s="4"/>
      <c r="X22" s="4"/>
      <c r="Y22" s="4"/>
      <c r="Z22" s="4"/>
      <c r="AA22" s="4"/>
      <c r="AB22" s="4"/>
      <c r="AC22" s="4"/>
      <c r="AD22" s="4"/>
      <c r="AE22" s="4"/>
      <c r="AF22" s="4"/>
      <c r="AG22" s="4"/>
    </row>
    <row r="23" spans="1:33" ht="22.5" customHeight="1" x14ac:dyDescent="0.25">
      <c r="A23" s="2"/>
      <c r="B23" s="2"/>
      <c r="C23" s="2"/>
      <c r="D23" s="2"/>
      <c r="E23" s="2"/>
      <c r="F23" s="4"/>
      <c r="G23" s="4"/>
      <c r="H23" s="7" t="s">
        <v>59</v>
      </c>
      <c r="I23" s="4" t="str">
        <f ca="1">IFERROR(__xludf.DUMMYFUNCTION("GOOGLETRANSLATE(B23,""en"",""ar"")"),"ما هو الهدف بالنسبة لهؤلاء المصارعين؟")</f>
        <v>ما هو الهدف بالنسبة لهؤلاء المصارعين؟</v>
      </c>
      <c r="J23" s="4" t="str">
        <f ca="1">IFERROR(__xludf.DUMMYFUNCTION("GOOGLETRANSLATE(C23,""en"",""ar"")"),"أ) دفع الخصم خارج الحلبة، ب) رمي الخصم بحيث يلامس ظهره الأرض، ج) توجيه أكبر عدد ممكن من اللكمات، د) تثبيت كتفي الخصم لعدّة ثلاثة.")</f>
        <v>أ) دفع الخصم خارج الحلبة، ب) رمي الخصم بحيث يلامس ظهره الأرض، ج) توجيه أكبر عدد ممكن من اللكمات، د) تثبيت كتفي الخصم لعدّة ثلاثة.</v>
      </c>
      <c r="K23" s="4" t="str">
        <f ca="1">IFERROR(__xludf.DUMMYFUNCTION("GOOGLETRANSLATE(D23,""en"",""ar"")"),"ب) رمي الخصم بحيث يلامس ظهره الأرض")</f>
        <v>ب) رمي الخصم بحيث يلامس ظهره الأرض</v>
      </c>
      <c r="L23" s="4" t="str">
        <f ca="1">IFERROR(__xludf.DUMMYFUNCTION("GOOGLETRANSLATE(E23,""en"",""ar"")"),"يتحقق النصر في مصارعة النوبة من خلال إسقاط الخصم بنجاح بحيث يلامس ظهره الرمال.")</f>
        <v>يتحقق النصر في مصارعة النوبة من خلال إسقاط الخصم بنجاح بحيث يلامس ظهره الرمال.</v>
      </c>
      <c r="M23" s="4"/>
      <c r="N23" s="4"/>
      <c r="O23" s="4"/>
      <c r="P23" s="4"/>
      <c r="Q23" s="4"/>
      <c r="R23" s="4"/>
      <c r="S23" s="4"/>
      <c r="T23" s="4"/>
      <c r="U23" s="4"/>
      <c r="V23" s="4"/>
      <c r="W23" s="4"/>
      <c r="X23" s="4"/>
      <c r="Y23" s="4"/>
      <c r="Z23" s="4"/>
      <c r="AA23" s="4"/>
      <c r="AB23" s="4"/>
      <c r="AC23" s="4"/>
      <c r="AD23" s="4"/>
      <c r="AE23" s="4"/>
      <c r="AF23" s="4"/>
      <c r="AG23" s="4"/>
    </row>
    <row r="24" spans="1:33" ht="22.5" customHeight="1" x14ac:dyDescent="0.25">
      <c r="A24" s="2"/>
      <c r="B24" s="2"/>
      <c r="C24" s="2"/>
      <c r="D24" s="2"/>
      <c r="E24" s="2"/>
      <c r="F24" s="4"/>
      <c r="G24" s="4"/>
      <c r="H24" s="6" t="s">
        <v>59</v>
      </c>
      <c r="I24" s="4" t="str">
        <f ca="1">IFERROR(__xludf.DUMMYFUNCTION("GOOGLETRANSLATE(B24,""en"",""ar"")"),"ما هي المعدات الحديثة التي يرتديها كلا المصارعين على ركبتيهما؟")</f>
        <v>ما هي المعدات الحديثة التي يرتديها كلا المصارعين على ركبتيهما؟</v>
      </c>
      <c r="J24" s="4" t="str">
        <f ca="1">IFERROR(__xludf.DUMMYFUNCTION("GOOGLETRANSLATE(C24,""en"",""ar"")"),"أ) أشرطة زينة، ب) ضمادات للإصابات، ج) واقيات الركبة الرياضية، د) أوزان للتدريب")</f>
        <v>أ) أشرطة زينة، ب) ضمادات للإصابات، ج) واقيات الركبة الرياضية، د) أوزان للتدريب</v>
      </c>
      <c r="K24" s="4" t="str">
        <f ca="1">IFERROR(__xludf.DUMMYFUNCTION("GOOGLETRANSLATE(D24,""en"",""ar"")"),"ج) واقيات الركبة الرياضية")</f>
        <v>ج) واقيات الركبة الرياضية</v>
      </c>
      <c r="L24" s="4" t="str">
        <f ca="1">IFERROR(__xludf.DUMMYFUNCTION("GOOGLETRANSLATE(E24,""en"",""ar"")"),"إنهم يرتدون واقيات ركبة مرنة حديثة للدعم والحماية، مما يدل على تبنيهم للمعدات الرياضية الحديثة.")</f>
        <v>إنهم يرتدون واقيات ركبة مرنة حديثة للدعم والحماية، مما يدل على تبنيهم للمعدات الرياضية الحديثة.</v>
      </c>
      <c r="M24" s="4"/>
      <c r="N24" s="4"/>
      <c r="O24" s="4"/>
      <c r="P24" s="4"/>
      <c r="Q24" s="4"/>
      <c r="R24" s="4"/>
      <c r="S24" s="4"/>
      <c r="T24" s="4"/>
      <c r="U24" s="4"/>
      <c r="V24" s="4"/>
      <c r="W24" s="4"/>
      <c r="X24" s="4"/>
      <c r="Y24" s="4"/>
      <c r="Z24" s="4"/>
      <c r="AA24" s="4"/>
      <c r="AB24" s="4"/>
      <c r="AC24" s="4"/>
      <c r="AD24" s="4"/>
      <c r="AE24" s="4"/>
      <c r="AF24" s="4"/>
      <c r="AG24" s="4"/>
    </row>
    <row r="25" spans="1:33" ht="22.5" customHeight="1" x14ac:dyDescent="0.25">
      <c r="A25" s="2"/>
      <c r="B25" s="2"/>
      <c r="C25" s="2"/>
      <c r="D25" s="2"/>
      <c r="E25" s="2"/>
      <c r="F25" s="4"/>
      <c r="G25" s="4"/>
      <c r="H25" s="7" t="s">
        <v>59</v>
      </c>
      <c r="I25" s="4" t="str">
        <f ca="1">IFERROR(__xludf.DUMMYFUNCTION("GOOGLETRANSLATE(B25,""en"",""ar"")"),"ماذا يدل عليه الحشد الكبير والمنظم والسياج الأخضر؟")</f>
        <v>ماذا يدل عليه الحشد الكبير والمنظم والسياج الأخضر؟</v>
      </c>
      <c r="J25" s="4" t="str">
        <f ca="1">IFERROR(__xludf.DUMMYFUNCTION("GOOGLETRANSLATE(C25,""en"",""ar"")"),"أ) هذه مباراة خاصة غير رسمية، ب) هذه مسابقة مصارعة حديثة ورسمية، ج) هذا تمثيل تاريخي، د) هذا يحدث في حديقة عامة")</f>
        <v>أ) هذه مباراة خاصة غير رسمية، ب) هذه مسابقة مصارعة حديثة ورسمية، ج) هذا تمثيل تاريخي، د) هذا يحدث في حديقة عامة</v>
      </c>
      <c r="K25" s="4" t="str">
        <f ca="1">IFERROR(__xludf.DUMMYFUNCTION("GOOGLETRANSLATE(D25,""en"",""ar"")"),"ب) هذه مسابقة مصارعة حديثة ورسمية")</f>
        <v>ب) هذه مسابقة مصارعة حديثة ورسمية</v>
      </c>
      <c r="L25" s="4" t="str">
        <f ca="1">IFERROR(__xludf.DUMMYFUNCTION("GOOGLETRANSLATE(E25,""en"",""ar"")"),"يشير وجود ساحة مخصصة مزودة بحواجز وعدد كبير من المتفرجين إلى حدث منظم ورسمي.")</f>
        <v>يشير وجود ساحة مخصصة مزودة بحواجز وعدد كبير من المتفرجين إلى حدث منظم ورسمي.</v>
      </c>
      <c r="M25" s="4"/>
      <c r="N25" s="4"/>
      <c r="O25" s="4"/>
      <c r="P25" s="4"/>
      <c r="Q25" s="4"/>
      <c r="R25" s="4"/>
      <c r="S25" s="4"/>
      <c r="T25" s="4"/>
      <c r="U25" s="4"/>
      <c r="V25" s="4"/>
      <c r="W25" s="4"/>
      <c r="X25" s="4"/>
      <c r="Y25" s="4"/>
      <c r="Z25" s="4"/>
      <c r="AA25" s="4"/>
      <c r="AB25" s="4"/>
      <c r="AC25" s="4"/>
      <c r="AD25" s="4"/>
      <c r="AE25" s="4"/>
      <c r="AF25" s="4"/>
      <c r="AG25" s="4"/>
    </row>
    <row r="26" spans="1:33" ht="22.5" customHeight="1" x14ac:dyDescent="0.25">
      <c r="A26" s="2"/>
      <c r="B26" s="2"/>
      <c r="C26" s="2"/>
      <c r="D26" s="2"/>
      <c r="E26" s="2"/>
      <c r="F26" s="4"/>
      <c r="G26" s="4"/>
      <c r="H26" s="6" t="s">
        <v>59</v>
      </c>
      <c r="I26" s="4" t="str">
        <f ca="1">IFERROR(__xludf.DUMMYFUNCTION("GOOGLETRANSLATE(B26,""en"",""ar"")"),"الأرض داخل الحلقة مصنوعة من...")</f>
        <v>الأرض داخل الحلقة مصنوعة من...</v>
      </c>
      <c r="J26" s="4" t="str">
        <f ca="1">IFERROR(__xludf.DUMMYFUNCTION("GOOGLETRANSLATE(C26,""en"",""ar"")"),"أ) العشب، ب) الخرسانة، ج) الرمل أو التراب الناعم، د) الخشب")</f>
        <v>أ) العشب، ب) الخرسانة، ج) الرمل أو التراب الناعم، د) الخشب</v>
      </c>
      <c r="K26" s="4" t="str">
        <f ca="1">IFERROR(__xludf.DUMMYFUNCTION("GOOGLETRANSLATE(D26,""en"",""ar"")"),"ج) الرمل أو التراب الناعم")</f>
        <v>ج) الرمل أو التراب الناعم</v>
      </c>
      <c r="L26" s="4" t="str">
        <f ca="1">IFERROR(__xludf.DUMMYFUNCTION("GOOGLETRANSLATE(E26,""en"",""ar"")"),"تجري المصارعة في حفرة رملية، مما يوفر سطحًا ناعمًا للمصارعين للهبوط عليه، مما يقلل من خطر الإصابة.")</f>
        <v>تجري المصارعة في حفرة رملية، مما يوفر سطحًا ناعمًا للمصارعين للهبوط عليه، مما يقلل من خطر الإصابة.</v>
      </c>
      <c r="M26" s="4"/>
      <c r="N26" s="4"/>
      <c r="O26" s="4"/>
      <c r="P26" s="4"/>
      <c r="Q26" s="4"/>
      <c r="R26" s="4"/>
      <c r="S26" s="4"/>
      <c r="T26" s="4"/>
      <c r="U26" s="4"/>
      <c r="V26" s="4"/>
      <c r="W26" s="4"/>
      <c r="X26" s="4"/>
      <c r="Y26" s="4"/>
      <c r="Z26" s="4"/>
      <c r="AA26" s="4"/>
      <c r="AB26" s="4"/>
      <c r="AC26" s="4"/>
      <c r="AD26" s="4"/>
      <c r="AE26" s="4"/>
      <c r="AF26" s="4"/>
      <c r="AG26" s="4"/>
    </row>
    <row r="27" spans="1:33" ht="22.5" customHeight="1" x14ac:dyDescent="0.25">
      <c r="A27" s="2"/>
      <c r="B27" s="2"/>
      <c r="C27" s="2"/>
      <c r="D27" s="2"/>
      <c r="E27" s="2"/>
      <c r="F27" s="4"/>
      <c r="G27" s="4"/>
      <c r="H27" s="7" t="s">
        <v>59</v>
      </c>
      <c r="I27" s="4" t="str">
        <f ca="1">IFERROR(__xludf.DUMMYFUNCTION("GOOGLETRANSLATE(B27,""en"",""ar"")"),"أجساد المصارعين مغطاة بمسحوق ناعم. ما الغرض منه؟")</f>
        <v>أجساد المصارعين مغطاة بمسحوق ناعم. ما الغرض منه؟</v>
      </c>
      <c r="J27" s="4" t="str">
        <f ca="1">IFERROR(__xludf.DUMMYFUNCTION("GOOGLETRANSLATE(C27,""en"",""ar"")"),"أ) لجعل أجسادهم لامعة أمام الجمهور، ب) هو واقٍ من الشمس للحماية من أشعة الشمس، ج) هو غبار أو رماد يُستخدم في الطقوس ولتحسين التماسك، د) هو نوع من أنواع الطلاء الاحتفالي")</f>
        <v>أ) لجعل أجسادهم لامعة أمام الجمهور، ب) هو واقٍ من الشمس للحماية من أشعة الشمس، ج) هو غبار أو رماد يُستخدم في الطقوس ولتحسين التماسك، د) هو نوع من أنواع الطلاء الاحتفالي</v>
      </c>
      <c r="K27" s="4" t="str">
        <f ca="1">IFERROR(__xludf.DUMMYFUNCTION("GOOGLETRANSLATE(D27,""en"",""ar"")"),"ج) هو غبار أو رماد يُستخدم في الطقوس ولتحسين القبضة")</f>
        <v>ج) هو غبار أو رماد يُستخدم في الطقوس ولتحسين القبضة</v>
      </c>
      <c r="L27" s="4" t="str">
        <f ca="1">IFERROR(__xludf.DUMMYFUNCTION("GOOGLETRANSLATE(E27,""en"",""ar"")"),"غالباً ما يغطي المصارعون أنفسهم بالرماد أو الغبار قبل المباراة، وهو تقليد طقوسي وعملي في آن واحد.")</f>
        <v>غالباً ما يغطي المصارعون أنفسهم بالرماد أو الغبار قبل المباراة، وهو تقليد طقوسي وعملي في آن واحد.</v>
      </c>
      <c r="M27" s="4"/>
      <c r="N27" s="4"/>
      <c r="O27" s="4"/>
      <c r="P27" s="4"/>
      <c r="Q27" s="4"/>
      <c r="R27" s="4"/>
      <c r="S27" s="4"/>
      <c r="T27" s="4"/>
      <c r="U27" s="4"/>
      <c r="V27" s="4"/>
      <c r="W27" s="4"/>
      <c r="X27" s="4"/>
      <c r="Y27" s="4"/>
      <c r="Z27" s="4"/>
      <c r="AA27" s="4"/>
      <c r="AB27" s="4"/>
      <c r="AC27" s="4"/>
      <c r="AD27" s="4"/>
      <c r="AE27" s="4"/>
      <c r="AF27" s="4"/>
      <c r="AG27" s="4"/>
    </row>
    <row r="28" spans="1:33" ht="22.5" customHeight="1" x14ac:dyDescent="0.25">
      <c r="A28" s="2"/>
      <c r="B28" s="2"/>
      <c r="C28" s="2"/>
      <c r="D28" s="2"/>
      <c r="E28" s="2"/>
      <c r="F28" s="4"/>
      <c r="G28" s="4"/>
      <c r="H28" s="6" t="s">
        <v>59</v>
      </c>
      <c r="I28" s="4" t="str">
        <f ca="1">IFERROR(__xludf.DUMMYFUNCTION("GOOGLETRANSLATE(B28,""en"",""ar"")"),"ماذا يفعل الناس الواقفون في أعلى المدرج؟")</f>
        <v>ماذا يفعل الناس الواقفون في أعلى المدرج؟</v>
      </c>
      <c r="J28" s="4" t="str">
        <f ca="1">IFERROR(__xludf.DUMMYFUNCTION("GOOGLETRANSLATE(C28,""en"",""ar"")"),"أ) هم حكام المباراة، ب) يحصلون على زاوية رؤية أفضل للمشاهدة أو التصوير، ج) هم متسابقون ينتظرون دورهم، د) يبيعون الطعام والمشروبات")</f>
        <v>أ) هم حكام المباراة، ب) يحصلون على زاوية رؤية أفضل للمشاهدة أو التصوير، ج) هم متسابقون ينتظرون دورهم، د) يبيعون الطعام والمشروبات</v>
      </c>
      <c r="K28" s="4" t="str">
        <f ca="1">IFERROR(__xludf.DUMMYFUNCTION("GOOGLETRANSLATE(D28,""en"",""ar"")"),"ب) إنهم يحصلون على نقطة مراقبة أفضل للمشاهدة أو التصوير")</f>
        <v>ب) إنهم يحصلون على نقطة مراقبة أفضل للمشاهدة أو التصوير</v>
      </c>
      <c r="L28" s="4" t="str">
        <f ca="1">IFERROR(__xludf.DUMMYFUNCTION("GOOGLETRANSLATE(E28,""en"",""ar"")"),"يقف الناس على الجدار الخلفي، ويبدو أن أحدهم يلتقط صورة للحصول على رؤية واضحة وغير محجوبة للحدث.")</f>
        <v>يقف الناس على الجدار الخلفي، ويبدو أن أحدهم يلتقط صورة للحصول على رؤية واضحة وغير محجوبة للحدث.</v>
      </c>
      <c r="M28" s="4"/>
      <c r="N28" s="4"/>
      <c r="O28" s="4"/>
      <c r="P28" s="4"/>
      <c r="Q28" s="4"/>
      <c r="R28" s="4"/>
      <c r="S28" s="4"/>
      <c r="T28" s="4"/>
      <c r="U28" s="4"/>
      <c r="V28" s="4"/>
      <c r="W28" s="4"/>
      <c r="X28" s="4"/>
      <c r="Y28" s="4"/>
      <c r="Z28" s="4"/>
      <c r="AA28" s="4"/>
      <c r="AB28" s="4"/>
      <c r="AC28" s="4"/>
      <c r="AD28" s="4"/>
      <c r="AE28" s="4"/>
      <c r="AF28" s="4"/>
      <c r="AG28" s="4"/>
    </row>
    <row r="29" spans="1:33" ht="22.5" customHeight="1" x14ac:dyDescent="0.25">
      <c r="A29" s="2"/>
      <c r="B29" s="2"/>
      <c r="C29" s="2"/>
      <c r="D29" s="2"/>
      <c r="E29" s="2"/>
      <c r="F29" s="4"/>
      <c r="G29" s="4"/>
      <c r="H29" s="7" t="s">
        <v>59</v>
      </c>
      <c r="I29" s="4" t="str">
        <f ca="1">IFERROR(__xludf.DUMMYFUNCTION("GOOGLETRANSLATE(B29,""en"",""ar"")"),"المصارعون حفاة. لماذا؟")</f>
        <v>المصارعون حفاة. لماذا؟</v>
      </c>
      <c r="J29" s="4" t="str">
        <f ca="1">IFERROR(__xludf.DUMMYFUNCTION("GOOGLETRANSLATE(C29,""en"",""ar"")"),"أ) لا يستطيعون شراء الأحذية، ب) إنه جانب تقليدي وعملي من جوانب الرياضة، ج) الأرض شديدة الحرارة بحيث لا يمكن ارتداء الأحذية، د) ارتداء الأحذية علامة على عدم الاحترام")</f>
        <v>أ) لا يستطيعون شراء الأحذية، ب) إنه جانب تقليدي وعملي من جوانب الرياضة، ج) الأرض شديدة الحرارة بحيث لا يمكن ارتداء الأحذية، د) ارتداء الأحذية علامة على عدم الاحترام</v>
      </c>
      <c r="K29" s="4" t="str">
        <f ca="1">IFERROR(__xludf.DUMMYFUNCTION("GOOGLETRANSLATE(D29,""en"",""ar"")"),"ب) إنه جانب تقليدي وعملي من جوانب الرياضة")</f>
        <v>ب) إنه جانب تقليدي وعملي من جوانب الرياضة</v>
      </c>
      <c r="L29" s="4" t="str">
        <f ca="1">IFERROR(__xludf.DUMMYFUNCTION("GOOGLETRANSLATE(E29,""en"",""ar"")"),"المصارعة حافية القدمين هي ممارسة تقليدية وتسمح بقبضة أفضل وحركة أسهل على الرمال.")</f>
        <v>المصارعة حافية القدمين هي ممارسة تقليدية وتسمح بقبضة أفضل وحركة أسهل على الرمال.</v>
      </c>
      <c r="M29" s="4"/>
      <c r="N29" s="4"/>
      <c r="O29" s="4"/>
      <c r="P29" s="4"/>
      <c r="Q29" s="4"/>
      <c r="R29" s="4"/>
      <c r="S29" s="4"/>
      <c r="T29" s="4"/>
      <c r="U29" s="4"/>
      <c r="V29" s="4"/>
      <c r="W29" s="4"/>
      <c r="X29" s="4"/>
      <c r="Y29" s="4"/>
      <c r="Z29" s="4"/>
      <c r="AA29" s="4"/>
      <c r="AB29" s="4"/>
      <c r="AC29" s="4"/>
      <c r="AD29" s="4"/>
      <c r="AE29" s="4"/>
      <c r="AF29" s="4"/>
      <c r="AG29" s="4"/>
    </row>
    <row r="30" spans="1:33" ht="22.5" customHeight="1" x14ac:dyDescent="0.25">
      <c r="A30" s="2"/>
      <c r="B30" s="2"/>
      <c r="C30" s="2"/>
      <c r="D30" s="2"/>
      <c r="E30" s="2"/>
      <c r="F30" s="4"/>
      <c r="G30" s="4"/>
      <c r="H30" s="6" t="s">
        <v>59</v>
      </c>
      <c r="I30" s="4" t="str">
        <f ca="1">IFERROR(__xludf.DUMMYFUNCTION("GOOGLETRANSLATE(B30,""en"",""ar"")"),"يُظهر التركيز الشديد على وجهي المصارعين...")</f>
        <v>يُظهر التركيز الشديد على وجهي المصارعين...</v>
      </c>
      <c r="J30" s="4" t="str">
        <f ca="1">IFERROR(__xludf.DUMMYFUNCTION("GOOGLETRANSLATE(C30,""en"",""ar"")"),"أ) عدم الاهتمام، ب) الاستعداد الذهني والتركيز، ج) الغضب من الحكم، د) الخوف من الجمهور")</f>
        <v>أ) عدم الاهتمام، ب) الاستعداد الذهني والتركيز، ج) الغضب من الحكم، د) الخوف من الجمهور</v>
      </c>
      <c r="K30" s="4" t="str">
        <f ca="1">IFERROR(__xludf.DUMMYFUNCTION("GOOGLETRANSLATE(D30,""en"",""ar"")"),"ب) الإعداد الذهني والتركيز")</f>
        <v>ب) الإعداد الذهني والتركيز</v>
      </c>
      <c r="L30" s="4" t="str">
        <f ca="1">IFERROR(__xludf.DUMMYFUNCTION("GOOGLETRANSLATE(E30,""en"",""ar"")"),"تتجه تعابير وجوههم بالكامل نحو خصومهم، مما يسلط الضوء على الجانب الذهني لهذه الرياضة.")</f>
        <v>تتجه تعابير وجوههم بالكامل نحو خصومهم، مما يسلط الضوء على الجانب الذهني لهذه الرياضة.</v>
      </c>
      <c r="M30" s="4"/>
      <c r="N30" s="4"/>
      <c r="O30" s="4"/>
      <c r="P30" s="4"/>
      <c r="Q30" s="4"/>
      <c r="R30" s="4"/>
      <c r="S30" s="4"/>
      <c r="T30" s="4"/>
      <c r="U30" s="4"/>
      <c r="V30" s="4"/>
      <c r="W30" s="4"/>
      <c r="X30" s="4"/>
      <c r="Y30" s="4"/>
      <c r="Z30" s="4"/>
      <c r="AA30" s="4"/>
      <c r="AB30" s="4"/>
      <c r="AC30" s="4"/>
      <c r="AD30" s="4"/>
      <c r="AE30" s="4"/>
      <c r="AF30" s="4"/>
      <c r="AG30" s="4"/>
    </row>
    <row r="31" spans="1:33" ht="22.5" customHeight="1" x14ac:dyDescent="0.25">
      <c r="A31" s="2"/>
      <c r="B31" s="2"/>
      <c r="C31" s="2"/>
      <c r="D31" s="2"/>
      <c r="E31" s="2"/>
      <c r="F31" s="4"/>
      <c r="G31" s="4"/>
      <c r="H31" s="7" t="s">
        <v>59</v>
      </c>
      <c r="I31" s="4" t="str">
        <f ca="1">IFERROR(__xludf.DUMMYFUNCTION("GOOGLETRANSLATE(B31,""en"",""ar"")"),"تُظهر هذه الصورة مزيجًا من...")</f>
        <v>تُظهر هذه الصورة مزيجًا من...</v>
      </c>
      <c r="J31" s="4" t="str">
        <f ca="1">IFERROR(__xludf.DUMMYFUNCTION("GOOGLETRANSLATE(C31,""en"",""ar"")"),"أ) ممارسة رياضات مختلفة في وقت واحد، ب) المصارعة التقليدية بأسلوب عصري، ج) تنافس الرياضيين المحترفين والهواة معًا، د) الرياضات الصيفية والشتوية")</f>
        <v>أ) ممارسة رياضات مختلفة في وقت واحد، ب) المصارعة التقليدية بأسلوب عصري، ج) تنافس الرياضيين المحترفين والهواة معًا، د) الرياضات الصيفية والشتوية</v>
      </c>
      <c r="K31" s="4" t="str">
        <f ca="1">IFERROR(__xludf.DUMMYFUNCTION("GOOGLETRANSLATE(D31,""en"",""ar"")"),"ب) المصارعة التقليدية بأسلوب عصري")</f>
        <v>ب) المصارعة التقليدية بأسلوب عصري</v>
      </c>
      <c r="L31" s="4" t="str">
        <f ca="1">IFERROR(__xludf.DUMMYFUNCTION("GOOGLETRANSLATE(E31,""en"",""ar"")"),"تُقام منافسات هذه الرياضة القديمة في ساحة حديثة الطراز، مما يدل على تطورها واستمرار شعبيتها.")</f>
        <v>تُقام منافسات هذه الرياضة القديمة في ساحة حديثة الطراز، مما يدل على تطورها واستمرار شعبيتها.</v>
      </c>
      <c r="M31" s="4"/>
      <c r="N31" s="4"/>
      <c r="O31" s="4"/>
      <c r="P31" s="4"/>
      <c r="Q31" s="4"/>
      <c r="R31" s="4"/>
      <c r="S31" s="4"/>
      <c r="T31" s="4"/>
      <c r="U31" s="4"/>
      <c r="V31" s="4"/>
      <c r="W31" s="4"/>
      <c r="X31" s="4"/>
      <c r="Y31" s="4"/>
      <c r="Z31" s="4"/>
      <c r="AA31" s="4"/>
      <c r="AB31" s="4"/>
      <c r="AC31" s="4"/>
      <c r="AD31" s="4"/>
      <c r="AE31" s="4"/>
      <c r="AF31" s="4"/>
      <c r="AG31" s="4"/>
    </row>
    <row r="32" spans="1:33" ht="22.5" customHeight="1" x14ac:dyDescent="0.25">
      <c r="A32" s="2"/>
      <c r="B32" s="2"/>
      <c r="C32" s="2"/>
      <c r="D32" s="2"/>
      <c r="E32" s="2"/>
      <c r="F32" s="4"/>
      <c r="G32" s="4"/>
      <c r="H32" s="6" t="s">
        <v>60</v>
      </c>
      <c r="I32" s="4" t="str">
        <f ca="1">IFERROR(__xludf.DUMMYFUNCTION("GOOGLETRANSLATE(B32,""en"",""ar"")"),"ما الذي يحدث في هذه الصورة؟")</f>
        <v>ما الذي يحدث في هذه الصورة؟</v>
      </c>
      <c r="J32" s="4" t="str">
        <f ca="1">IFERROR(__xludf.DUMMYFUNCTION("GOOGLETRANSLATE(C32,""en"",""ar"")"),"أ) المصارعان يتصافحان، ب) مصارعٌ بصدد طرح خصمه أرضًا، ج) المصارعان يأخذان استراحة، د) المباراة بدأت للتو")</f>
        <v>أ) المصارعان يتصافحان، ب) مصارعٌ بصدد طرح خصمه أرضًا، ج) المصارعان يأخذان استراحة، د) المباراة بدأت للتو</v>
      </c>
      <c r="K32" s="4" t="str">
        <f ca="1">IFERROR(__xludf.DUMMYFUNCTION("GOOGLETRANSLATE(D32,""en"",""ar"")"),"ب) مصارع في طور طرح خصمه أرضًا")</f>
        <v>ب) مصارع في طور طرح خصمه أرضًا</v>
      </c>
      <c r="L32" s="4" t="str">
        <f ca="1">IFERROR(__xludf.DUMMYFUNCTION("GOOGLETRANSLATE(E32,""en"",""ar"")"),"هذه لقطة حركة ديناميكية تجسد ذروة رمية ناجحة، حيث يتم رفع أحد المصارعين وإلقاؤه على الأرض.")</f>
        <v>هذه لقطة حركة ديناميكية تجسد ذروة رمية ناجحة، حيث يتم رفع أحد المصارعين وإلقاؤه على الأرض.</v>
      </c>
      <c r="M32" s="4"/>
      <c r="N32" s="4"/>
      <c r="O32" s="4"/>
      <c r="P32" s="4"/>
      <c r="Q32" s="4"/>
      <c r="R32" s="4"/>
      <c r="S32" s="4"/>
      <c r="T32" s="4"/>
      <c r="U32" s="4"/>
      <c r="V32" s="4"/>
      <c r="W32" s="4"/>
      <c r="X32" s="4"/>
      <c r="Y32" s="4"/>
      <c r="Z32" s="4"/>
      <c r="AA32" s="4"/>
      <c r="AB32" s="4"/>
      <c r="AC32" s="4"/>
      <c r="AD32" s="4"/>
      <c r="AE32" s="4"/>
      <c r="AF32" s="4"/>
      <c r="AG32" s="4"/>
    </row>
    <row r="33" spans="1:33" ht="22.5" customHeight="1" x14ac:dyDescent="0.25">
      <c r="A33" s="2"/>
      <c r="B33" s="2"/>
      <c r="C33" s="2"/>
      <c r="D33" s="2"/>
      <c r="E33" s="2"/>
      <c r="F33" s="4"/>
      <c r="G33" s="4"/>
      <c r="H33" s="7" t="s">
        <v>60</v>
      </c>
      <c r="I33" s="4" t="str">
        <f ca="1">IFERROR(__xludf.DUMMYFUNCTION("GOOGLETRANSLATE(B33,""en"",""ar"")"),"كيف يتم تحديد الفائز في مصارعة النوبة؟")</f>
        <v>كيف يتم تحديد الفائز في مصارعة النوبة؟</v>
      </c>
      <c r="J33" s="4" t="str">
        <f ca="1">IFERROR(__xludf.DUMMYFUNCTION("GOOGLETRANSLATE(C33,""en"",""ar"")"),"أ) بتصفيق الجمهور، ب) بإجبار الخصم على الاستسلام (الإخضاع)، ج) بإلقاء الخصم على ظهره، د) بتسجيل أكبر عدد من النقاط من اللكمات")</f>
        <v>أ) بتصفيق الجمهور، ب) بإجبار الخصم على الاستسلام (الإخضاع)، ج) بإلقاء الخصم على ظهره، د) بتسجيل أكبر عدد من النقاط من اللكمات</v>
      </c>
      <c r="K33" s="4" t="str">
        <f ca="1">IFERROR(__xludf.DUMMYFUNCTION("GOOGLETRANSLATE(D33,""en"",""ar"")"),"ج) عن طريق رمي الخصم على ظهره")</f>
        <v>ج) عن طريق رمي الخصم على ظهره</v>
      </c>
      <c r="L33" s="4" t="str">
        <f ca="1">IFERROR(__xludf.DUMMYFUNCTION("GOOGLETRANSLATE(E33,""en"",""ar"")"),"الهدف هو جعل أي جزء من ظهر الخصم يلامس الأرض. هذه الحركة، إذا نجحت، ستؤدي إلى الفوز.")</f>
        <v>الهدف هو جعل أي جزء من ظهر الخصم يلامس الأرض. هذه الحركة، إذا نجحت، ستؤدي إلى الفوز.</v>
      </c>
      <c r="M33" s="4"/>
      <c r="N33" s="4"/>
      <c r="O33" s="4"/>
      <c r="P33" s="4"/>
      <c r="Q33" s="4"/>
      <c r="R33" s="4"/>
      <c r="S33" s="4"/>
      <c r="T33" s="4"/>
      <c r="U33" s="4"/>
      <c r="V33" s="4"/>
      <c r="W33" s="4"/>
      <c r="X33" s="4"/>
      <c r="Y33" s="4"/>
      <c r="Z33" s="4"/>
      <c r="AA33" s="4"/>
      <c r="AB33" s="4"/>
      <c r="AC33" s="4"/>
      <c r="AD33" s="4"/>
      <c r="AE33" s="4"/>
      <c r="AF33" s="4"/>
      <c r="AG33" s="4"/>
    </row>
    <row r="34" spans="1:33" ht="22.5" customHeight="1" x14ac:dyDescent="0.25">
      <c r="A34" s="2"/>
      <c r="B34" s="2"/>
      <c r="C34" s="2"/>
      <c r="D34" s="2"/>
      <c r="E34" s="2"/>
      <c r="F34" s="4"/>
      <c r="G34" s="4"/>
      <c r="H34" s="6" t="s">
        <v>60</v>
      </c>
      <c r="I34" s="4" t="str">
        <f ca="1">IFERROR(__xludf.DUMMYFUNCTION("GOOGLETRANSLATE(B34,""en"",""ar"")"),"ماذا تعني سحابة الغبار المحيطة بالمصارعين؟")</f>
        <v>ماذا تعني سحابة الغبار المحيطة بالمصارعين؟</v>
      </c>
      <c r="J34" s="4" t="str">
        <f ca="1">IFERROR(__xludf.DUMMYFUNCTION("GOOGLETRANSLATE(C34,""en"",""ar"")"),"أ) بداية عاصفة رملية، ب) ارتطام المصارعين بالأرض، ج) تأثير احتفالي من الحكم، د) الأرض جافة للغاية")</f>
        <v>أ) بداية عاصفة رملية، ب) ارتطام المصارعين بالأرض، ج) تأثير احتفالي من الحكم، د) الأرض جافة للغاية</v>
      </c>
      <c r="K34" s="4" t="str">
        <f ca="1">IFERROR(__xludf.DUMMYFUNCTION("GOOGLETRANSLATE(D34,""en"",""ar"")"),"ب) تأثير ارتطام المصارعين بالأرض")</f>
        <v>ب) تأثير ارتطام المصارعين بالأرض</v>
      </c>
      <c r="L34" s="4" t="str">
        <f ca="1">IFERROR(__xludf.DUMMYFUNCTION("GOOGLETRANSLATE(E34,""en"",""ar"")"),"إن الرمال المتطايرة في الهواء هي نتيجة مباشرة لعملية الإسقاط القوية.")</f>
        <v>إن الرمال المتطايرة في الهواء هي نتيجة مباشرة لعملية الإسقاط القوية.</v>
      </c>
      <c r="M34" s="4"/>
      <c r="N34" s="4"/>
      <c r="O34" s="4"/>
      <c r="P34" s="4"/>
      <c r="Q34" s="4"/>
      <c r="R34" s="4"/>
      <c r="S34" s="4"/>
      <c r="T34" s="4"/>
      <c r="U34" s="4"/>
      <c r="V34" s="4"/>
      <c r="W34" s="4"/>
      <c r="X34" s="4"/>
      <c r="Y34" s="4"/>
      <c r="Z34" s="4"/>
      <c r="AA34" s="4"/>
      <c r="AB34" s="4"/>
      <c r="AC34" s="4"/>
      <c r="AD34" s="4"/>
      <c r="AE34" s="4"/>
      <c r="AF34" s="4"/>
      <c r="AG34" s="4"/>
    </row>
    <row r="35" spans="1:33" ht="22.5" customHeight="1" x14ac:dyDescent="0.25">
      <c r="A35" s="2"/>
      <c r="B35" s="2"/>
      <c r="C35" s="2"/>
      <c r="D35" s="2"/>
      <c r="E35" s="2"/>
      <c r="F35" s="4"/>
      <c r="G35" s="4"/>
      <c r="H35" s="7" t="s">
        <v>60</v>
      </c>
      <c r="I35" s="4" t="str">
        <f ca="1">IFERROR(__xludf.DUMMYFUNCTION("GOOGLETRANSLATE(B35,""en"",""ar"")"),"ماذا تُظهر هذه الصورة عن الرياضيين؟")</f>
        <v>ماذا تُظهر هذه الصورة عن الرياضيين؟</v>
      </c>
      <c r="J35" s="4" t="str">
        <f ca="1">IFERROR(__xludf.DUMMYFUNCTION("GOOGLETRANSLATE(C35,""en"",""ar"")"),"أ) يعتمدون على السرعة أكثر من القوة، ب) تتطلب هذه الرياضة قوة ومهارة عاليتين، ج) ليسوا ماهرين للغاية، د) هذه الرياضة ليست متطلبة بدنياً")</f>
        <v>أ) يعتمدون على السرعة أكثر من القوة، ب) تتطلب هذه الرياضة قوة ومهارة عاليتين، ج) ليسوا ماهرين للغاية، د) هذه الرياضة ليست متطلبة بدنياً</v>
      </c>
      <c r="K35" s="4" t="str">
        <f ca="1">IFERROR(__xludf.DUMMYFUNCTION("GOOGLETRANSLATE(D35,""en"",""ar"")"),"ب) تتطلب هذه الرياضة قوة ومهارة هائلتين")</f>
        <v>ب) تتطلب هذه الرياضة قوة ومهارة هائلتين</v>
      </c>
      <c r="L35" s="4" t="str">
        <f ca="1">IFERROR(__xludf.DUMMYFUNCTION("GOOGLETRANSLATE(E35,""en"",""ar"")"),"يتطلب تنفيذ رمية كهذه رفعة قوية ومناورة ماهرة لجسم الخصم.")</f>
        <v>يتطلب تنفيذ رمية كهذه رفعة قوية ومناورة ماهرة لجسم الخصم.</v>
      </c>
      <c r="M35" s="4"/>
      <c r="N35" s="4"/>
      <c r="O35" s="4"/>
      <c r="P35" s="4"/>
      <c r="Q35" s="4"/>
      <c r="R35" s="4"/>
      <c r="S35" s="4"/>
      <c r="T35" s="4"/>
      <c r="U35" s="4"/>
      <c r="V35" s="4"/>
      <c r="W35" s="4"/>
      <c r="X35" s="4"/>
      <c r="Y35" s="4"/>
      <c r="Z35" s="4"/>
      <c r="AA35" s="4"/>
      <c r="AB35" s="4"/>
      <c r="AC35" s="4"/>
      <c r="AD35" s="4"/>
      <c r="AE35" s="4"/>
      <c r="AF35" s="4"/>
      <c r="AG35" s="4"/>
    </row>
    <row r="36" spans="1:33" ht="22.5" customHeight="1" x14ac:dyDescent="0.25">
      <c r="A36" s="2"/>
      <c r="B36" s="2"/>
      <c r="C36" s="2"/>
      <c r="D36" s="2"/>
      <c r="E36" s="2"/>
      <c r="F36" s="4"/>
      <c r="G36" s="4"/>
      <c r="H36" s="6" t="s">
        <v>60</v>
      </c>
      <c r="I36" s="4" t="str">
        <f ca="1">IFERROR(__xludf.DUMMYFUNCTION("GOOGLETRANSLATE(B36,""en"",""ar"")"),"المتفرجون في الخلفية هم...")</f>
        <v>المتفرجون في الخلفية هم...</v>
      </c>
      <c r="J36" s="4" t="str">
        <f ca="1">IFERROR(__xludf.DUMMYFUNCTION("GOOGLETRANSLATE(C36,""en"",""ar"")"),"أ) تجاهل المباراة، ب) مشاهدة الأحداث بانتباه، ج) الجلوس في ملعب حديث ومريح، د) على مسافة كبيرة تفصلهم عن الحلبة")</f>
        <v>أ) تجاهل المباراة، ب) مشاهدة الأحداث بانتباه، ج) الجلوس في ملعب حديث ومريح، د) على مسافة كبيرة تفصلهم عن الحلبة</v>
      </c>
      <c r="K36" s="4" t="str">
        <f ca="1">IFERROR(__xludf.DUMMYFUNCTION("GOOGLETRANSLATE(D36,""en"",""ar"")"),"ب) مشاهدة الأحداث بانتباه")</f>
        <v>ب) مشاهدة الأحداث بانتباه</v>
      </c>
      <c r="L36" s="4" t="str">
        <f ca="1">IFERROR(__xludf.DUMMYFUNCTION("GOOGLETRANSLATE(E36,""en"",""ar"")"),"الحشد متكدس ومتركز على الرمية الدرامية التي تحدث في الحلبة.")</f>
        <v>الحشد متكدس ومتركز على الرمية الدرامية التي تحدث في الحلبة.</v>
      </c>
      <c r="M36" s="4"/>
      <c r="N36" s="4"/>
      <c r="O36" s="4"/>
      <c r="P36" s="4"/>
      <c r="Q36" s="4"/>
      <c r="R36" s="4"/>
      <c r="S36" s="4"/>
      <c r="T36" s="4"/>
      <c r="U36" s="4"/>
      <c r="V36" s="4"/>
      <c r="W36" s="4"/>
      <c r="X36" s="4"/>
      <c r="Y36" s="4"/>
      <c r="Z36" s="4"/>
      <c r="AA36" s="4"/>
      <c r="AB36" s="4"/>
      <c r="AC36" s="4"/>
      <c r="AD36" s="4"/>
      <c r="AE36" s="4"/>
      <c r="AF36" s="4"/>
      <c r="AG36" s="4"/>
    </row>
    <row r="37" spans="1:33" ht="22.5" customHeight="1" x14ac:dyDescent="0.25">
      <c r="A37" s="2"/>
      <c r="B37" s="2"/>
      <c r="C37" s="2"/>
      <c r="D37" s="2"/>
      <c r="E37" s="2"/>
      <c r="F37" s="4"/>
      <c r="G37" s="4"/>
      <c r="H37" s="7" t="s">
        <v>60</v>
      </c>
      <c r="I37" s="4" t="str">
        <f ca="1">IFERROR(__xludf.DUMMYFUNCTION("GOOGLETRANSLATE(B37,""en"",""ar"")"),"ما نوع السطح الذي يتنافس عليه المصارعون؟")</f>
        <v>ما نوع السطح الذي يتنافس عليه المصارعون؟</v>
      </c>
      <c r="J37" s="4" t="str">
        <f ca="1">IFERROR(__xludf.DUMMYFUNCTION("GOOGLETRANSLATE(C37,""en"",""ar"")"),"أ) أرضية خشبية صلبة، ب) حفرة رملية ناعمة، ج) حقل عشبي، د) بلاطة خرسانية")</f>
        <v>أ) أرضية خشبية صلبة، ب) حفرة رملية ناعمة، ج) حقل عشبي، د) بلاطة خرسانية</v>
      </c>
      <c r="K37" s="4" t="str">
        <f ca="1">IFERROR(__xludf.DUMMYFUNCTION("GOOGLETRANSLATE(D37,""en"",""ar"")"),"ب) حفرة رملية ناعمة")</f>
        <v>ب) حفرة رملية ناعمة</v>
      </c>
      <c r="L37" s="4" t="str">
        <f ca="1">IFERROR(__xludf.DUMMYFUNCTION("GOOGLETRANSLATE(E37,""en"",""ar"")"),"يوفر الرمل سطحًا أكثر أمانًا للرميات عالية التأثير التي تعتبر أساسية في هذه الرياضة.")</f>
        <v>يوفر الرمل سطحًا أكثر أمانًا للرميات عالية التأثير التي تعتبر أساسية في هذه الرياضة.</v>
      </c>
      <c r="M37" s="4"/>
      <c r="N37" s="4"/>
      <c r="O37" s="4"/>
      <c r="P37" s="4"/>
      <c r="Q37" s="4"/>
      <c r="R37" s="4"/>
      <c r="S37" s="4"/>
      <c r="T37" s="4"/>
      <c r="U37" s="4"/>
      <c r="V37" s="4"/>
      <c r="W37" s="4"/>
      <c r="X37" s="4"/>
      <c r="Y37" s="4"/>
      <c r="Z37" s="4"/>
      <c r="AA37" s="4"/>
      <c r="AB37" s="4"/>
      <c r="AC37" s="4"/>
      <c r="AD37" s="4"/>
      <c r="AE37" s="4"/>
      <c r="AF37" s="4"/>
      <c r="AG37" s="4"/>
    </row>
    <row r="38" spans="1:33" ht="22.5" customHeight="1" x14ac:dyDescent="0.25">
      <c r="A38" s="2"/>
      <c r="B38" s="2"/>
      <c r="C38" s="2"/>
      <c r="D38" s="2"/>
      <c r="E38" s="2"/>
      <c r="F38" s="4"/>
      <c r="G38" s="4"/>
      <c r="H38" s="6" t="s">
        <v>60</v>
      </c>
      <c r="I38" s="4" t="str">
        <f ca="1">IFERROR(__xludf.DUMMYFUNCTION("GOOGLETRANSLATE(B38,""en"",""ar"")"),"ما هو وضع المصارع الذي يرتدي السروال الأصفر والأخضر؟")</f>
        <v>ما هو وضع المصارع الذي يرتدي السروال الأصفر والأخضر؟</v>
      </c>
      <c r="J38" s="4" t="str">
        <f ca="1">IFERROR(__xludf.DUMMYFUNCTION("GOOGLETRANSLATE(C38,""en"",""ar"")"),"أ) هو في وضع مهيمن ومنتصر، ب) هو في وضع ضعيف وخاسر، ج) هو يقف للاحتفال، د) هو يساعد خصمه على النهوض")</f>
        <v>أ) هو في وضع مهيمن ومنتصر، ب) هو في وضع ضعيف وخاسر، ج) هو يقف للاحتفال، د) هو يساعد خصمه على النهوض</v>
      </c>
      <c r="K38" s="4" t="str">
        <f ca="1">IFERROR(__xludf.DUMMYFUNCTION("GOOGLETRANSLATE(D38,""en"",""ar"")"),"ب) إنه في وضع ضعيف وخاسر")</f>
        <v>ب) إنه في وضع ضعيف وخاسر</v>
      </c>
      <c r="L38" s="4" t="str">
        <f ca="1">IFERROR(__xludf.DUMMYFUNCTION("GOOGLETRANSLATE(E38,""en"",""ar"")"),"يتم قذفه، وظهره على وشك أن يلامس الأرض، مما سينهي المباراة.")</f>
        <v>يتم قذفه، وظهره على وشك أن يلامس الأرض، مما سينهي المباراة.</v>
      </c>
      <c r="M38" s="4"/>
      <c r="N38" s="4"/>
      <c r="O38" s="4"/>
      <c r="P38" s="4"/>
      <c r="Q38" s="4"/>
      <c r="R38" s="4"/>
      <c r="S38" s="4"/>
      <c r="T38" s="4"/>
      <c r="U38" s="4"/>
      <c r="V38" s="4"/>
      <c r="W38" s="4"/>
      <c r="X38" s="4"/>
      <c r="Y38" s="4"/>
      <c r="Z38" s="4"/>
      <c r="AA38" s="4"/>
      <c r="AB38" s="4"/>
      <c r="AC38" s="4"/>
      <c r="AD38" s="4"/>
      <c r="AE38" s="4"/>
      <c r="AF38" s="4"/>
      <c r="AG38" s="4"/>
    </row>
    <row r="39" spans="1:33" ht="22.5" customHeight="1" x14ac:dyDescent="0.25">
      <c r="A39" s="2"/>
      <c r="B39" s="2"/>
      <c r="C39" s="2"/>
      <c r="D39" s="2"/>
      <c r="E39" s="2"/>
      <c r="F39" s="4"/>
      <c r="G39" s="4"/>
      <c r="H39" s="7" t="s">
        <v>60</v>
      </c>
      <c r="I39" s="4" t="str">
        <f ca="1">IFERROR(__xludf.DUMMYFUNCTION("GOOGLETRANSLATE(B39,""en"",""ar"")"),"يُعد الحاجز الأخضر خلف الحشد أحد سمات...")</f>
        <v>يُعد الحاجز الأخضر خلف الحشد أحد سمات...</v>
      </c>
      <c r="J39" s="4" t="str">
        <f ca="1">IFERROR(__xludf.DUMMYFUNCTION("GOOGLETRANSLATE(C39,""en"",""ar"")"),"أ) حلبة مصارعة تقليدية في قرية، ب) ساحة مصارعة حديثة أكثر تنظيماً، ج) كشك سوق مؤقت، د) سياج زراعي")</f>
        <v>أ) حلبة مصارعة تقليدية في قرية، ب) ساحة مصارعة حديثة أكثر تنظيماً، ج) كشك سوق مؤقت، د) سياج زراعي</v>
      </c>
      <c r="K39" s="4" t="str">
        <f ca="1">IFERROR(__xludf.DUMMYFUNCTION("GOOGLETRANSLATE(D39,""en"",""ar"")"),"ب) ساحة أكثر تنظيماً وحداثة")</f>
        <v>ب) ساحة أكثر تنظيماً وحداثة</v>
      </c>
      <c r="L39" s="4" t="str">
        <f ca="1">IFERROR(__xludf.DUMMYFUNCTION("GOOGLETRANSLATE(E39,""en"",""ar"")"),"يشير الحاجز المعدني إلى مكان رسمي تم بناؤه لاحتواء المصارعين والجمهور.")</f>
        <v>يشير الحاجز المعدني إلى مكان رسمي تم بناؤه لاحتواء المصارعين والجمهور.</v>
      </c>
      <c r="M39" s="4"/>
      <c r="N39" s="4"/>
      <c r="O39" s="4"/>
      <c r="P39" s="4"/>
      <c r="Q39" s="4"/>
      <c r="R39" s="4"/>
      <c r="S39" s="4"/>
      <c r="T39" s="4"/>
      <c r="U39" s="4"/>
      <c r="V39" s="4"/>
      <c r="W39" s="4"/>
      <c r="X39" s="4"/>
      <c r="Y39" s="4"/>
      <c r="Z39" s="4"/>
      <c r="AA39" s="4"/>
      <c r="AB39" s="4"/>
      <c r="AC39" s="4"/>
      <c r="AD39" s="4"/>
      <c r="AE39" s="4"/>
      <c r="AF39" s="4"/>
      <c r="AG39" s="4"/>
    </row>
    <row r="40" spans="1:33" ht="22.5" customHeight="1" x14ac:dyDescent="0.25">
      <c r="A40" s="2"/>
      <c r="B40" s="2"/>
      <c r="C40" s="2"/>
      <c r="D40" s="2"/>
      <c r="E40" s="2"/>
      <c r="F40" s="4"/>
      <c r="G40" s="4"/>
      <c r="H40" s="6" t="s">
        <v>60</v>
      </c>
      <c r="I40" s="4" t="str">
        <f ca="1">IFERROR(__xludf.DUMMYFUNCTION("GOOGLETRANSLATE(B40,""en"",""ar"")"),"يتنافس المصارعون حفاة، مما يسمح بـ...")</f>
        <v>يتنافس المصارعون حفاة، مما يسمح بـ...</v>
      </c>
      <c r="J40" s="4" t="str">
        <f ca="1">IFERROR(__xludf.DUMMYFUNCTION("GOOGLETRANSLATE(C40,""en"",""ar"")"),"أ) حركات أبطأ، ب) قبضة أفضل وتحكم أكبر في الرمال، ج) خطر إصابة أعلى، د) ارتداء جوارب إلكترونية خاصة")</f>
        <v>أ) حركات أبطأ، ب) قبضة أفضل وتحكم أكبر في الرمال، ج) خطر إصابة أعلى، د) ارتداء جوارب إلكترونية خاصة</v>
      </c>
      <c r="K40" s="4" t="str">
        <f ca="1">IFERROR(__xludf.DUMMYFUNCTION("GOOGLETRANSLATE(D40,""en"",""ar"")"),"ب) ثبات أفضل وقوة دفع أكبر في الرمال")</f>
        <v>ب) ثبات أفضل وقوة دفع أكبر في الرمال</v>
      </c>
      <c r="L40" s="4" t="str">
        <f ca="1">IFERROR(__xludf.DUMMYFUNCTION("GOOGLETRANSLATE(E40,""en"",""ar"")"),"القتال حافي القدمين هو أمر تقليدي وعملي، حيث يساعد المصارعين على تثبيت أقدامهم والانطلاق من السطح الرملي.")</f>
        <v>القتال حافي القدمين هو أمر تقليدي وعملي، حيث يساعد المصارعين على تثبيت أقدامهم والانطلاق من السطح الرملي.</v>
      </c>
      <c r="M40" s="4"/>
      <c r="N40" s="4"/>
      <c r="O40" s="4"/>
      <c r="P40" s="4"/>
      <c r="Q40" s="4"/>
      <c r="R40" s="4"/>
      <c r="S40" s="4"/>
      <c r="T40" s="4"/>
      <c r="U40" s="4"/>
      <c r="V40" s="4"/>
      <c r="W40" s="4"/>
      <c r="X40" s="4"/>
      <c r="Y40" s="4"/>
      <c r="Z40" s="4"/>
      <c r="AA40" s="4"/>
      <c r="AB40" s="4"/>
      <c r="AC40" s="4"/>
      <c r="AD40" s="4"/>
      <c r="AE40" s="4"/>
      <c r="AF40" s="4"/>
      <c r="AG40" s="4"/>
    </row>
    <row r="41" spans="1:33" ht="22.5" customHeight="1" x14ac:dyDescent="0.25">
      <c r="A41" s="2"/>
      <c r="B41" s="2"/>
      <c r="C41" s="2"/>
      <c r="D41" s="2"/>
      <c r="E41" s="2"/>
      <c r="F41" s="4"/>
      <c r="G41" s="4"/>
      <c r="H41" s="7" t="s">
        <v>60</v>
      </c>
      <c r="I41" s="4" t="str">
        <f ca="1">IFERROR(__xludf.DUMMYFUNCTION("GOOGLETRANSLATE(B41,""en"",""ar"")"),"تُجسّد هذه الصورة المليئة بالحركة...")</f>
        <v>تُجسّد هذه الصورة المليئة بالحركة...</v>
      </c>
      <c r="J41" s="4" t="str">
        <f ca="1">IFERROR(__xludf.DUMMYFUNCTION("GOOGLETRANSLATE(C41,""en"",""ar"")"),"أ) بداية المباراة الاحتفالية، ب) لحظات هادئة بين الجولات، ج) ذروة المباراة الرياضية الحاسمة، د) احتفال ما بعد المباراة")</f>
        <v>أ) بداية المباراة الاحتفالية، ب) لحظات هادئة بين الجولات، ج) ذروة المباراة الرياضية الحاسمة، د) احتفال ما بعد المباراة</v>
      </c>
      <c r="K41" s="4" t="str">
        <f ca="1">IFERROR(__xludf.DUMMYFUNCTION("GOOGLETRANSLATE(D41,""en"",""ar"")"),"ج) ذروة المباراة الحاسمة والرياضية")</f>
        <v>ج) ذروة المباراة الحاسمة والرياضية</v>
      </c>
      <c r="L41" s="4" t="str">
        <f ca="1">IFERROR(__xludf.DUMMYFUNCTION("GOOGLETRANSLATE(E41,""en"",""ar"")"),"هذه هي اللحظة الأكثر إثارة في مباراة مصارعة النوبة - وهي لحظة الرمي نفسها.")</f>
        <v>هذه هي اللحظة الأكثر إثارة في مباراة مصارعة النوبة - وهي لحظة الرمي نفسها.</v>
      </c>
      <c r="M41" s="4"/>
      <c r="N41" s="4"/>
      <c r="O41" s="4"/>
      <c r="P41" s="4"/>
      <c r="Q41" s="4"/>
      <c r="R41" s="4"/>
      <c r="S41" s="4"/>
      <c r="T41" s="4"/>
      <c r="U41" s="4"/>
      <c r="V41" s="4"/>
      <c r="W41" s="4"/>
      <c r="X41" s="4"/>
      <c r="Y41" s="4"/>
      <c r="Z41" s="4"/>
      <c r="AA41" s="4"/>
      <c r="AB41" s="4"/>
      <c r="AC41" s="4"/>
      <c r="AD41" s="4"/>
      <c r="AE41" s="4"/>
      <c r="AF41" s="4"/>
      <c r="AG41" s="4"/>
    </row>
    <row r="42" spans="1:33" ht="22.5" customHeight="1" x14ac:dyDescent="0.25">
      <c r="A42" s="2"/>
      <c r="B42" s="2"/>
      <c r="C42" s="2"/>
      <c r="D42" s="2"/>
      <c r="E42" s="2"/>
      <c r="F42" s="4"/>
      <c r="G42" s="4"/>
      <c r="H42" s="6" t="s">
        <v>61</v>
      </c>
      <c r="I42" s="4" t="str">
        <f ca="1">IFERROR(__xludf.DUMMYFUNCTION("GOOGLETRANSLATE(B42,""en"",""ar"")"),"ما هو الحدث الرئيسي الذي يجري بين المصارعين؟")</f>
        <v>ما هو الحدث الرئيسي الذي يجري بين المصارعين؟</v>
      </c>
      <c r="J42" s="4" t="str">
        <f ca="1">IFERROR(__xludf.DUMMYFUNCTION("GOOGLETRANSLATE(C42,""en"",""ar"")"),"أ) يتصافحان، ب) يتشاجران أو يتصارعان، ج) أحدهما يوجه لكمة للآخر، د) يؤديان رقصة")</f>
        <v>أ) يتصافحان، ب) يتشاجران أو يتصارعان، ج) أحدهما يوجه لكمة للآخر، د) يؤديان رقصة</v>
      </c>
      <c r="K42" s="4" t="str">
        <f ca="1">IFERROR(__xludf.DUMMYFUNCTION("GOOGLETRANSLATE(D42,""en"",""ar"")"),"ب) ينخرطون في اشتباك أو مصارعة")</f>
        <v>ب) ينخرطون في اشتباك أو مصارعة</v>
      </c>
      <c r="L42" s="4" t="str">
        <f ca="1">IFERROR(__xludf.DUMMYFUNCTION("GOOGLETRANSLATE(E42,""en"",""ar"")"),"يتشابك المصارعان، ويحاول كل منهما الحصول على قبضة قوية لتنفيذ رمية. هذا هو الصراع الأساسي في هذه الرياضة.")</f>
        <v>يتشابك المصارعان، ويحاول كل منهما الحصول على قبضة قوية لتنفيذ رمية. هذا هو الصراع الأساسي في هذه الرياضة.</v>
      </c>
      <c r="M42" s="4"/>
      <c r="N42" s="4"/>
      <c r="O42" s="4"/>
      <c r="P42" s="4"/>
      <c r="Q42" s="4"/>
      <c r="R42" s="4"/>
      <c r="S42" s="4"/>
      <c r="T42" s="4"/>
      <c r="U42" s="4"/>
      <c r="V42" s="4"/>
      <c r="W42" s="4"/>
      <c r="X42" s="4"/>
      <c r="Y42" s="4"/>
      <c r="Z42" s="4"/>
      <c r="AA42" s="4"/>
      <c r="AB42" s="4"/>
      <c r="AC42" s="4"/>
      <c r="AD42" s="4"/>
      <c r="AE42" s="4"/>
      <c r="AF42" s="4"/>
      <c r="AG42" s="4"/>
    </row>
    <row r="43" spans="1:33" ht="22.5" customHeight="1" x14ac:dyDescent="0.25">
      <c r="A43" s="2"/>
      <c r="B43" s="2"/>
      <c r="C43" s="2"/>
      <c r="D43" s="2"/>
      <c r="E43" s="2"/>
      <c r="F43" s="4"/>
      <c r="G43" s="4"/>
      <c r="H43" s="7" t="s">
        <v>61</v>
      </c>
      <c r="I43" s="4" t="str">
        <f ca="1">IFERROR(__xludf.DUMMYFUNCTION("GOOGLETRANSLATE(B43,""en"",""ar"")"),"ما نوع الملابس التي يرتديها المصارع الموجود على اليسار في الجزء السفلي من جسده؟")</f>
        <v>ما نوع الملابس التي يرتديها المصارع الموجود على اليسار في الجزء السفلي من جسده؟</v>
      </c>
      <c r="J43" s="4" t="str">
        <f ca="1">IFERROR(__xludf.DUMMYFUNCTION("GOOGLETRANSLATE(C43,""en"",""ar"")"),"أ) شورت أبيض سادة، ب) بنطال رياضي ضيق عصري، ج) شورت تقليدي بألوان زاهية، د) بنطال ثقيل")</f>
        <v>أ) شورت أبيض سادة، ب) بنطال رياضي ضيق عصري، ج) شورت تقليدي بألوان زاهية، د) بنطال ثقيل</v>
      </c>
      <c r="K43" s="4" t="str">
        <f ca="1">IFERROR(__xludf.DUMMYFUNCTION("GOOGLETRANSLATE(D43,""en"",""ar"")"),"ج) سراويل قصيرة تقليدية ذات ألوان زاهية")</f>
        <v>ج) سراويل قصيرة تقليدية ذات ألوان زاهية</v>
      </c>
      <c r="L43" s="4" t="str">
        <f ca="1">IFERROR(__xludf.DUMMYFUNCTION("GOOGLETRANSLATE(E43,""en"",""ar"")"),"سرواله القصير متعدد الألوان (أصفر، أزرق، أخضر)، وهي سمة شائعة في زي المصارعة التقليدي.")</f>
        <v>سرواله القصير متعدد الألوان (أصفر، أزرق، أخضر)، وهي سمة شائعة في زي المصارعة التقليدي.</v>
      </c>
      <c r="M43" s="4"/>
      <c r="N43" s="4"/>
      <c r="O43" s="4"/>
      <c r="P43" s="4"/>
      <c r="Q43" s="4"/>
      <c r="R43" s="4"/>
      <c r="S43" s="4"/>
      <c r="T43" s="4"/>
      <c r="U43" s="4"/>
      <c r="V43" s="4"/>
      <c r="W43" s="4"/>
      <c r="X43" s="4"/>
      <c r="Y43" s="4"/>
      <c r="Z43" s="4"/>
      <c r="AA43" s="4"/>
      <c r="AB43" s="4"/>
      <c r="AC43" s="4"/>
      <c r="AD43" s="4"/>
      <c r="AE43" s="4"/>
      <c r="AF43" s="4"/>
      <c r="AG43" s="4"/>
    </row>
    <row r="44" spans="1:33" ht="22.5" customHeight="1" x14ac:dyDescent="0.25">
      <c r="A44" s="2"/>
      <c r="B44" s="2"/>
      <c r="C44" s="2"/>
      <c r="D44" s="2"/>
      <c r="E44" s="2"/>
      <c r="F44" s="4"/>
      <c r="G44" s="4"/>
      <c r="H44" s="6" t="s">
        <v>61</v>
      </c>
      <c r="I44" s="4" t="str">
        <f ca="1">IFERROR(__xludf.DUMMYFUNCTION("GOOGLETRANSLATE(B44,""en"",""ar"")"),"ما هي المادة التي تغطي أجساد المصارعين؟")</f>
        <v>ما هي المادة التي تغطي أجساد المصارعين؟</v>
      </c>
      <c r="J44" s="4" t="str">
        <f ca="1">IFERROR(__xludf.DUMMYFUNCTION("GOOGLETRANSLATE(C44,""en"",""ar"")"),"أ) الطين، ب) الطلاء، ج) العرق، د) الرماد أو الغبار")</f>
        <v>أ) الطين، ب) الطلاء، ج) العرق، د) الرماد أو الغبار</v>
      </c>
      <c r="K44" s="4" t="str">
        <f ca="1">IFERROR(__xludf.DUMMYFUNCTION("GOOGLETRANSLATE(D44,""en"",""ar"")"),"د) الرماد أو الغبار")</f>
        <v>د) الرماد أو الغبار</v>
      </c>
      <c r="L44" s="4" t="str">
        <f ca="1">IFERROR(__xludf.DUMMYFUNCTION("GOOGLETRANSLATE(E44,""en"",""ar"")"),"المسحوق ذو اللون الفاتح الموجود على بشرتهم هو رماد أو غبار ناعم، يستخدم في طقوس معينة قبل إشعال النار.")</f>
        <v>المسحوق ذو اللون الفاتح الموجود على بشرتهم هو رماد أو غبار ناعم، يستخدم في طقوس معينة قبل إشعال النار.</v>
      </c>
      <c r="M44" s="4"/>
      <c r="N44" s="4"/>
      <c r="O44" s="4"/>
      <c r="P44" s="4"/>
      <c r="Q44" s="4"/>
      <c r="R44" s="4"/>
      <c r="S44" s="4"/>
      <c r="T44" s="4"/>
      <c r="U44" s="4"/>
      <c r="V44" s="4"/>
      <c r="W44" s="4"/>
      <c r="X44" s="4"/>
      <c r="Y44" s="4"/>
      <c r="Z44" s="4"/>
      <c r="AA44" s="4"/>
      <c r="AB44" s="4"/>
      <c r="AC44" s="4"/>
      <c r="AD44" s="4"/>
      <c r="AE44" s="4"/>
      <c r="AF44" s="4"/>
      <c r="AG44" s="4"/>
    </row>
    <row r="45" spans="1:33" ht="22.5" customHeight="1" x14ac:dyDescent="0.25">
      <c r="A45" s="2"/>
      <c r="B45" s="2"/>
      <c r="C45" s="2"/>
      <c r="D45" s="2"/>
      <c r="E45" s="2"/>
      <c r="F45" s="4"/>
      <c r="G45" s="4"/>
      <c r="H45" s="7" t="s">
        <v>61</v>
      </c>
      <c r="I45" s="4" t="str">
        <f ca="1">IFERROR(__xludf.DUMMYFUNCTION("GOOGLETRANSLATE(B45,""en"",""ar"")"),"ما هي مساحة المنافسة؟")</f>
        <v>ما هي مساحة المنافسة؟</v>
      </c>
      <c r="J45" s="4" t="str">
        <f ca="1">IFERROR(__xludf.DUMMYFUNCTION("GOOGLETRANSLATE(C45,""en"",""ar"")"),"أ) مسرح خشبي، ب) حفرة رملية، ج) حقل عشبي، د) أرضية خرسانية")</f>
        <v>أ) مسرح خشبي، ب) حفرة رملية، ج) حقل عشبي، د) أرضية خرسانية</v>
      </c>
      <c r="K45" s="4" t="str">
        <f ca="1">IFERROR(__xludf.DUMMYFUNCTION("GOOGLETRANSLATE(D45,""en"",""ar"")"),"ب) حفرة رمل")</f>
        <v>ب) حفرة رمل</v>
      </c>
      <c r="L45" s="4" t="str">
        <f ca="1">IFERROR(__xludf.DUMMYFUNCTION("GOOGLETRANSLATE(E45,""en"",""ar"")"),"إنهم يتصارعون على الرمال، وهي السطح التقليدي والآمن لهذه الرياضة عالية التأثير.")</f>
        <v>إنهم يتصارعون على الرمال، وهي السطح التقليدي والآمن لهذه الرياضة عالية التأثير.</v>
      </c>
      <c r="M45" s="4"/>
      <c r="N45" s="4"/>
      <c r="O45" s="4"/>
      <c r="P45" s="4"/>
      <c r="Q45" s="4"/>
      <c r="R45" s="4"/>
      <c r="S45" s="4"/>
      <c r="T45" s="4"/>
      <c r="U45" s="4"/>
      <c r="V45" s="4"/>
      <c r="W45" s="4"/>
      <c r="X45" s="4"/>
      <c r="Y45" s="4"/>
      <c r="Z45" s="4"/>
      <c r="AA45" s="4"/>
      <c r="AB45" s="4"/>
      <c r="AC45" s="4"/>
      <c r="AD45" s="4"/>
      <c r="AE45" s="4"/>
      <c r="AF45" s="4"/>
      <c r="AG45" s="4"/>
    </row>
    <row r="46" spans="1:33" ht="22.5" customHeight="1" x14ac:dyDescent="0.25">
      <c r="A46" s="2"/>
      <c r="B46" s="2"/>
      <c r="C46" s="2"/>
      <c r="D46" s="2"/>
      <c r="E46" s="2"/>
      <c r="F46" s="4"/>
      <c r="G46" s="4"/>
      <c r="H46" s="6" t="s">
        <v>61</v>
      </c>
      <c r="I46" s="4" t="str">
        <f ca="1">IFERROR(__xludf.DUMMYFUNCTION("GOOGLETRANSLATE(B46,""en"",""ar"")"),"ماذا يفعل الحشد في الخلفية؟")</f>
        <v>ماذا يفعل الحشد في الخلفية؟</v>
      </c>
      <c r="J46" s="4" t="str">
        <f ca="1">IFERROR(__xludf.DUMMYFUNCTION("GOOGLETRANSLATE(C46,""en"",""ar"")"),"أ) إنهم نائمون، ب) إنهم يشاهدون المباراة باهتمام، ج) إنهم يشاركون في المصارعة، د) إنهم بعيدون ولا يستطيعون رؤية الحدث")</f>
        <v>أ) إنهم نائمون، ب) إنهم يشاهدون المباراة باهتمام، ج) إنهم يشاركون في المصارعة، د) إنهم بعيدون ولا يستطيعون رؤية الحدث</v>
      </c>
      <c r="K46" s="4" t="str">
        <f ca="1">IFERROR(__xludf.DUMMYFUNCTION("GOOGLETRANSLATE(D46,""en"",""ar"")"),"ب) إنهم يتابعون المباراة باهتمام بالغ")</f>
        <v>ب) إنهم يتابعون المباراة باهتمام بالغ</v>
      </c>
      <c r="L46" s="4" t="str">
        <f ca="1">IFERROR(__xludf.DUMMYFUNCTION("GOOGLETRANSLATE(E46,""en"",""ar"")"),"يتجمع المتفرجون معاً ويركزون أنظارهم على المصارعين الاثنين في الحلبة.")</f>
        <v>يتجمع المتفرجون معاً ويركزون أنظارهم على المصارعين الاثنين في الحلبة.</v>
      </c>
      <c r="M46" s="4"/>
      <c r="N46" s="4"/>
      <c r="O46" s="4"/>
      <c r="P46" s="4"/>
      <c r="Q46" s="4"/>
      <c r="R46" s="4"/>
      <c r="S46" s="4"/>
      <c r="T46" s="4"/>
      <c r="U46" s="4"/>
      <c r="V46" s="4"/>
      <c r="W46" s="4"/>
      <c r="X46" s="4"/>
      <c r="Y46" s="4"/>
      <c r="Z46" s="4"/>
      <c r="AA46" s="4"/>
      <c r="AB46" s="4"/>
      <c r="AC46" s="4"/>
      <c r="AD46" s="4"/>
      <c r="AE46" s="4"/>
      <c r="AF46" s="4"/>
      <c r="AG46" s="4"/>
    </row>
    <row r="47" spans="1:33" ht="22.5" customHeight="1" x14ac:dyDescent="0.25">
      <c r="A47" s="2"/>
      <c r="B47" s="2"/>
      <c r="C47" s="2"/>
      <c r="D47" s="2"/>
      <c r="E47" s="2"/>
      <c r="F47" s="4"/>
      <c r="G47" s="4"/>
      <c r="H47" s="7" t="s">
        <v>61</v>
      </c>
      <c r="I47" s="4" t="str">
        <f ca="1">IFERROR(__xludf.DUMMYFUNCTION("GOOGLETRANSLATE(B47,""en"",""ar"")"),"ما الغرض من لفائف الساق التي يرتديها المصارع على اليسار؟")</f>
        <v>ما الغرض من لفائف الساق التي يرتديها المصارع على اليسار؟</v>
      </c>
      <c r="J47" s="4" t="str">
        <f ca="1">IFERROR(__xludf.DUMMYFUNCTION("GOOGLETRANSLATE(C47,""en"",""ar"")"),"أ) هي للزينة فقط، ب) لتوفير الدعم أو الحماية للمفاصل، ج) لإضافة وزن وجعل المباراة أصعب، د) لإخفاء الإصابة")</f>
        <v>أ) هي للزينة فقط، ب) لتوفير الدعم أو الحماية للمفاصل، ج) لإضافة وزن وجعل المباراة أصعب، د) لإخفاء الإصابة</v>
      </c>
      <c r="K47" s="4" t="str">
        <f ca="1">IFERROR(__xludf.DUMMYFUNCTION("GOOGLETRANSLATE(D47,""en"",""ar"")"),"ب) لتوفير الدعم أو الحماية للمفاصل")</f>
        <v>ب) لتوفير الدعم أو الحماية للمفاصل</v>
      </c>
      <c r="L47" s="4" t="str">
        <f ca="1">IFERROR(__xludf.DUMMYFUNCTION("GOOGLETRANSLATE(E47,""en"",""ar"")"),"هذه عبارة عن ضمادات أو واقيات رياضية، تشبه تلك التي يتم ارتداؤها في الرياضات الأخرى، لحماية الركبتين والساقين.")</f>
        <v>هذه عبارة عن ضمادات أو واقيات رياضية، تشبه تلك التي يتم ارتداؤها في الرياضات الأخرى، لحماية الركبتين والساقين.</v>
      </c>
      <c r="M47" s="4"/>
      <c r="N47" s="4"/>
      <c r="O47" s="4"/>
      <c r="P47" s="4"/>
      <c r="Q47" s="4"/>
      <c r="R47" s="4"/>
      <c r="S47" s="4"/>
      <c r="T47" s="4"/>
      <c r="U47" s="4"/>
      <c r="V47" s="4"/>
      <c r="W47" s="4"/>
      <c r="X47" s="4"/>
      <c r="Y47" s="4"/>
      <c r="Z47" s="4"/>
      <c r="AA47" s="4"/>
      <c r="AB47" s="4"/>
      <c r="AC47" s="4"/>
      <c r="AD47" s="4"/>
      <c r="AE47" s="4"/>
      <c r="AF47" s="4"/>
      <c r="AG47" s="4"/>
    </row>
    <row r="48" spans="1:33" ht="22.5" customHeight="1" x14ac:dyDescent="0.25">
      <c r="A48" s="2"/>
      <c r="B48" s="2"/>
      <c r="C48" s="2"/>
      <c r="D48" s="2"/>
      <c r="E48" s="2"/>
      <c r="F48" s="4"/>
      <c r="G48" s="4"/>
      <c r="H48" s="6" t="s">
        <v>61</v>
      </c>
      <c r="I48" s="4" t="str">
        <f ca="1">IFERROR(__xludf.DUMMYFUNCTION("GOOGLETRANSLATE(B48,""en"",""ar"")"),"الهدف الرئيسي لكلا الرجلين في هذا المنصب هو...")</f>
        <v>الهدف الرئيسي لكلا الرجلين في هذا المنصب هو...</v>
      </c>
      <c r="J48" s="4" t="str">
        <f ca="1">IFERROR(__xludf.DUMMYFUNCTION("GOOGLETRANSLATE(C48,""en"",""ar"")"),"أ) إرهاق الخصم، ب) زعزعة توازن الخصم لتنفيذ رمية، ج) الثبات على هذا الوضع لأطول فترة ممكنة، د) انتظار إشارة الحكم لبدء المباراة")</f>
        <v>أ) إرهاق الخصم، ب) زعزعة توازن الخصم لتنفيذ رمية، ج) الثبات على هذا الوضع لأطول فترة ممكنة، د) انتظار إشارة الحكم لبدء المباراة</v>
      </c>
      <c r="K48" s="4" t="str">
        <f ca="1">IFERROR(__xludf.DUMMYFUNCTION("GOOGLETRANSLATE(D48,""en"",""ar"")"),"ب) زعزعة توازن الخصم لتنفيذ رمية")</f>
        <v>ب) زعزعة توازن الخصم لتنفيذ رمية</v>
      </c>
      <c r="L48" s="4" t="str">
        <f ca="1">IFERROR(__xludf.DUMMYFUNCTION("GOOGLETRANSLATE(E48,""en"",""ar"")"),"من هذا الوضع المتشابك، يحاول كل مصارع استخدام الرافعة والقوة لزعزعة توازن الآخر وخلق فرصة لإسقاطه أرضاً.")</f>
        <v>من هذا الوضع المتشابك، يحاول كل مصارع استخدام الرافعة والقوة لزعزعة توازن الآخر وخلق فرصة لإسقاطه أرضاً.</v>
      </c>
      <c r="M48" s="4"/>
      <c r="N48" s="4"/>
      <c r="O48" s="4"/>
      <c r="P48" s="4"/>
      <c r="Q48" s="4"/>
      <c r="R48" s="4"/>
      <c r="S48" s="4"/>
      <c r="T48" s="4"/>
      <c r="U48" s="4"/>
      <c r="V48" s="4"/>
      <c r="W48" s="4"/>
      <c r="X48" s="4"/>
      <c r="Y48" s="4"/>
      <c r="Z48" s="4"/>
      <c r="AA48" s="4"/>
      <c r="AB48" s="4"/>
      <c r="AC48" s="4"/>
      <c r="AD48" s="4"/>
      <c r="AE48" s="4"/>
      <c r="AF48" s="4"/>
      <c r="AG48" s="4"/>
    </row>
    <row r="49" spans="1:33" ht="22.5" customHeight="1" x14ac:dyDescent="0.25">
      <c r="A49" s="2"/>
      <c r="B49" s="2"/>
      <c r="C49" s="2"/>
      <c r="D49" s="2"/>
      <c r="E49" s="2"/>
      <c r="F49" s="4"/>
      <c r="G49" s="4"/>
      <c r="H49" s="7" t="s">
        <v>61</v>
      </c>
      <c r="I49" s="4" t="str">
        <f ca="1">IFERROR(__xludf.DUMMYFUNCTION("GOOGLETRANSLATE(B49,""en"",""ar"")"),"يُعد الاحتكاك الجسدي في هذه الرياضة اختباراً لـ...")</f>
        <v>يُعد الاحتكاك الجسدي في هذه الرياضة اختباراً لـ...</v>
      </c>
      <c r="J49" s="4" t="str">
        <f ca="1">IFERROR(__xludf.DUMMYFUNCTION("GOOGLETRANSLATE(C49,""en"",""ar"")"),"أ) السرعة وخفة الحركة فقط، ب) الاستراتيجية الذهنية فقط، ج) القوة والتقنية الخالصة، د) الحظ فقط")</f>
        <v>أ) السرعة وخفة الحركة فقط، ب) الاستراتيجية الذهنية فقط، ج) القوة والتقنية الخالصة، د) الحظ فقط</v>
      </c>
      <c r="K49" s="4" t="str">
        <f ca="1">IFERROR(__xludf.DUMMYFUNCTION("GOOGLETRANSLATE(D49,""en"",""ar"")"),"ج) القوة الخالصة والتقنية")</f>
        <v>ج) القوة الخالصة والتقنية</v>
      </c>
      <c r="L49" s="4" t="str">
        <f ca="1">IFERROR(__xludf.DUMMYFUNCTION("GOOGLETRANSLATE(E49,""en"",""ar"")"),"يتطلب النجاح في مصارعة النوبة مزيجًا من القوة الخام، والمهارة في استخدام الرافعة، والتقنيات المتقنة.")</f>
        <v>يتطلب النجاح في مصارعة النوبة مزيجًا من القوة الخام، والمهارة في استخدام الرافعة، والتقنيات المتقنة.</v>
      </c>
      <c r="M49" s="4"/>
      <c r="N49" s="4"/>
      <c r="O49" s="4"/>
      <c r="P49" s="4"/>
      <c r="Q49" s="4"/>
      <c r="R49" s="4"/>
      <c r="S49" s="4"/>
      <c r="T49" s="4"/>
      <c r="U49" s="4"/>
      <c r="V49" s="4"/>
      <c r="W49" s="4"/>
      <c r="X49" s="4"/>
      <c r="Y49" s="4"/>
      <c r="Z49" s="4"/>
      <c r="AA49" s="4"/>
      <c r="AB49" s="4"/>
      <c r="AC49" s="4"/>
      <c r="AD49" s="4"/>
      <c r="AE49" s="4"/>
      <c r="AF49" s="4"/>
      <c r="AG49" s="4"/>
    </row>
    <row r="50" spans="1:33" ht="22.5" customHeight="1" x14ac:dyDescent="0.25">
      <c r="A50" s="2"/>
      <c r="B50" s="2"/>
      <c r="C50" s="2"/>
      <c r="D50" s="2"/>
      <c r="E50" s="2"/>
      <c r="F50" s="4"/>
      <c r="G50" s="4"/>
      <c r="H50" s="6" t="s">
        <v>61</v>
      </c>
      <c r="I50" s="4" t="str">
        <f ca="1">IFERROR(__xludf.DUMMYFUNCTION("GOOGLETRANSLATE(B50,""en"",""ar"")"),"تُجسّد هذه الصورة لحظة من...")</f>
        <v>تُجسّد هذه الصورة لحظة من...</v>
      </c>
      <c r="J50" s="4" t="str">
        <f ca="1">IFERROR(__xludf.DUMMYFUNCTION("GOOGLETRANSLATE(C50,""en"",""ar"")"),"أ) صراعٌ عنيف ومنافسةٌ بدنية، ب) طقوس ما قبل المباراة، ج) احتفال ما بعد المباراة، د) استراحة بين الجولات")</f>
        <v>أ) صراعٌ عنيف ومنافسةٌ بدنية، ب) طقوس ما قبل المباراة، ج) احتفال ما بعد المباراة، د) استراحة بين الجولات</v>
      </c>
      <c r="K50" s="4" t="str">
        <f ca="1">IFERROR(__xludf.DUMMYFUNCTION("GOOGLETRANSLATE(D50,""en"",""ar"")"),"أ) صراع عنيف ومنافسة جسدية")</f>
        <v>أ) صراع عنيف ومنافسة جسدية</v>
      </c>
      <c r="L50" s="4" t="str">
        <f ca="1">IFERROR(__xludf.DUMMYFUNCTION("GOOGLETRANSLATE(E50,""en"",""ar"")"),"تُظهر عضلات المصارعين المتوترة وقبضاتهم المحكمة أنهم في خضم معركة بدنية قوية.")</f>
        <v>تُظهر عضلات المصارعين المتوترة وقبضاتهم المحكمة أنهم في خضم معركة بدنية قوية.</v>
      </c>
      <c r="M50" s="4"/>
      <c r="N50" s="4"/>
      <c r="O50" s="4"/>
      <c r="P50" s="4"/>
      <c r="Q50" s="4"/>
      <c r="R50" s="4"/>
      <c r="S50" s="4"/>
      <c r="T50" s="4"/>
      <c r="U50" s="4"/>
      <c r="V50" s="4"/>
      <c r="W50" s="4"/>
      <c r="X50" s="4"/>
      <c r="Y50" s="4"/>
      <c r="Z50" s="4"/>
      <c r="AA50" s="4"/>
      <c r="AB50" s="4"/>
      <c r="AC50" s="4"/>
      <c r="AD50" s="4"/>
      <c r="AE50" s="4"/>
      <c r="AF50" s="4"/>
      <c r="AG50" s="4"/>
    </row>
    <row r="51" spans="1:33" ht="22.5" customHeight="1" x14ac:dyDescent="0.25">
      <c r="A51" s="2"/>
      <c r="B51" s="2"/>
      <c r="C51" s="2"/>
      <c r="D51" s="2"/>
      <c r="E51" s="2"/>
      <c r="F51" s="4"/>
      <c r="G51" s="4"/>
      <c r="H51" s="7" t="s">
        <v>61</v>
      </c>
      <c r="I51" s="4" t="str">
        <f ca="1">IFERROR(__xludf.DUMMYFUNCTION("GOOGLETRANSLATE(B51,""en"",""ar"")"),"أين يضع المصارع الموجود على اليمين رأسه؟")</f>
        <v>أين يضع المصارع الموجود على اليمين رأسه؟</v>
      </c>
      <c r="J51" s="4" t="str">
        <f ca="1">IFERROR(__xludf.DUMMYFUNCTION("GOOGLETRANSLATE(C51,""en"",""ar"")"),"أ) إنه ينظر بعيدًا عن خصمه، ب) إنه ينظر إلى الجمهور، ج) ملتصقًا بكتف خصمه ورقبته، د) إنه ينظر إلى السماء")</f>
        <v>أ) إنه ينظر بعيدًا عن خصمه، ب) إنه ينظر إلى الجمهور، ج) ملتصقًا بكتف خصمه ورقبته، د) إنه ينظر إلى السماء</v>
      </c>
      <c r="K51" s="4" t="str">
        <f ca="1">IFERROR(__xludf.DUMMYFUNCTION("GOOGLETRANSLATE(D51,""en"",""ar"")"),"ج) ملتصقًا بكتف خصمه ورقبته")</f>
        <v>ج) ملتصقًا بكتف خصمه ورقبته</v>
      </c>
      <c r="L51" s="4" t="str">
        <f ca="1">IFERROR(__xludf.DUMMYFUNCTION("GOOGLETRANSLATE(E51,""en"",""ar"")"),"هذه تقنية مصارعة شائعة للسيطرة على الجزء العلوي من جسم الخصم وحماية رأسه.")</f>
        <v>هذه تقنية مصارعة شائعة للسيطرة على الجزء العلوي من جسم الخصم وحماية رأسه.</v>
      </c>
      <c r="M51" s="4"/>
      <c r="N51" s="4"/>
      <c r="O51" s="4"/>
      <c r="P51" s="4"/>
      <c r="Q51" s="4"/>
      <c r="R51" s="4"/>
      <c r="S51" s="4"/>
      <c r="T51" s="4"/>
      <c r="U51" s="4"/>
      <c r="V51" s="4"/>
      <c r="W51" s="4"/>
      <c r="X51" s="4"/>
      <c r="Y51" s="4"/>
      <c r="Z51" s="4"/>
      <c r="AA51" s="4"/>
      <c r="AB51" s="4"/>
      <c r="AC51" s="4"/>
      <c r="AD51" s="4"/>
      <c r="AE51" s="4"/>
      <c r="AF51" s="4"/>
      <c r="AG51" s="4"/>
    </row>
    <row r="52" spans="1:33" ht="22.5" customHeight="1" x14ac:dyDescent="0.25">
      <c r="A52" s="2"/>
      <c r="B52" s="2"/>
      <c r="C52" s="2"/>
      <c r="D52" s="2"/>
      <c r="E52" s="2"/>
      <c r="F52" s="4"/>
      <c r="G52" s="4"/>
      <c r="H52" s="6" t="s">
        <v>62</v>
      </c>
      <c r="I52" s="4" t="str">
        <f ca="1">IFERROR(__xludf.DUMMYFUNCTION("GOOGLETRANSLATE(B52,""en"",""ar"")"),"ما هي اللحظة الحاسمة في المباراة التي تلتقطها هذه الصورة؟")</f>
        <v>ما هي اللحظة الحاسمة في المباراة التي تلتقطها هذه الصورة؟</v>
      </c>
      <c r="J52" s="4" t="str">
        <f ca="1">IFERROR(__xludf.DUMMYFUNCTION("GOOGLETRANSLATE(C52,""en"",""ar"")"),"أ) بدأ المصارعون المباراة للتو، ب) تم تنفيذ رمية ناجحة للتو، ج) يأخذ المصارعون استراحة، د) يتجادل المصارعون مع الحكم")</f>
        <v>أ) بدأ المصارعون المباراة للتو، ب) تم تنفيذ رمية ناجحة للتو، ج) يأخذ المصارعون استراحة، د) يتجادل المصارعون مع الحكم</v>
      </c>
      <c r="K52" s="4" t="str">
        <f ca="1">IFERROR(__xludf.DUMMYFUNCTION("GOOGLETRANSLATE(D52,""en"",""ar"")"),"ب) لقد تم رمي الكرة بنجاح")</f>
        <v>ب) لقد تم رمي الكرة بنجاح</v>
      </c>
      <c r="L52" s="4" t="str">
        <f ca="1">IFERROR(__xludf.DUMMYFUNCTION("GOOGLETRANSLATE(E52,""en"",""ar"")"),"أحد المصارعين ملقى على الأرض، والآخر واقف فوقه بعد أن أسقطه أرضًا. من المرجح أن تكون هذه نهاية المباراة.")</f>
        <v>أحد المصارعين ملقى على الأرض، والآخر واقف فوقه بعد أن أسقطه أرضًا. من المرجح أن تكون هذه نهاية المباراة.</v>
      </c>
      <c r="M52" s="4"/>
      <c r="N52" s="4"/>
      <c r="O52" s="4"/>
      <c r="P52" s="4"/>
      <c r="Q52" s="4"/>
      <c r="R52" s="4"/>
      <c r="S52" s="4"/>
      <c r="T52" s="4"/>
      <c r="U52" s="4"/>
      <c r="V52" s="4"/>
      <c r="W52" s="4"/>
      <c r="X52" s="4"/>
      <c r="Y52" s="4"/>
      <c r="Z52" s="4"/>
      <c r="AA52" s="4"/>
      <c r="AB52" s="4"/>
      <c r="AC52" s="4"/>
      <c r="AD52" s="4"/>
      <c r="AE52" s="4"/>
      <c r="AF52" s="4"/>
      <c r="AG52" s="4"/>
    </row>
    <row r="53" spans="1:33" ht="22.5" customHeight="1" x14ac:dyDescent="0.25">
      <c r="A53" s="2"/>
      <c r="B53" s="2"/>
      <c r="C53" s="2"/>
      <c r="D53" s="2"/>
      <c r="E53" s="2"/>
      <c r="F53" s="4"/>
      <c r="G53" s="4"/>
      <c r="H53" s="7" t="s">
        <v>62</v>
      </c>
      <c r="I53" s="4" t="str">
        <f ca="1">IFERROR(__xludf.DUMMYFUNCTION("GOOGLETRANSLATE(B53,""en"",""ar"")"),"ماذا تعني سحابة المسحوق الأبيض المتصاعدة من الأرض؟")</f>
        <v>ماذا تعني سحابة المسحوق الأبيض المتصاعدة من الأرض؟</v>
      </c>
      <c r="J53" s="4" t="str">
        <f ca="1">IFERROR(__xludf.DUMMYFUNCTION("GOOGLETRANSLATE(C53,""en"",""ar"")"),"أ) إنه دخان من حريق، ب) إنه غبار/رماد ناتج عن اصطدام جسم المصارع بالرمل، ج) إنه مؤثر خاص للجمهور، د) إنه بخار يتصاعد من الأرض الساخنة")</f>
        <v>أ) إنه دخان من حريق، ب) إنه غبار/رماد ناتج عن اصطدام جسم المصارع بالرمل، ج) إنه مؤثر خاص للجمهور، د) إنه بخار يتصاعد من الأرض الساخنة</v>
      </c>
      <c r="K53" s="4" t="str">
        <f ca="1">IFERROR(__xludf.DUMMYFUNCTION("GOOGLETRANSLATE(D53,""en"",""ar"")"),"ب) إنه الغبار/الرماد الناتج عن اصطدام جسم المصارع بالرمل")</f>
        <v>ب) إنه الغبار/الرماد الناتج عن اصطدام جسم المصارع بالرمل</v>
      </c>
      <c r="L53" s="4" t="str">
        <f ca="1">IFERROR(__xludf.DUMMYFUNCTION("GOOGLETRANSLATE(E53,""en"",""ar"")"),"أدى تأثير الرمية إلى تصاعد غبار الرمال والرماد من جلد المصارع في الهواء.")</f>
        <v>أدى تأثير الرمية إلى تصاعد غبار الرمال والرماد من جلد المصارع في الهواء.</v>
      </c>
      <c r="M53" s="4"/>
      <c r="N53" s="4"/>
      <c r="O53" s="4"/>
      <c r="P53" s="4"/>
      <c r="Q53" s="4"/>
      <c r="R53" s="4"/>
      <c r="S53" s="4"/>
      <c r="T53" s="4"/>
      <c r="U53" s="4"/>
      <c r="V53" s="4"/>
      <c r="W53" s="4"/>
      <c r="X53" s="4"/>
      <c r="Y53" s="4"/>
      <c r="Z53" s="4"/>
      <c r="AA53" s="4"/>
      <c r="AB53" s="4"/>
      <c r="AC53" s="4"/>
      <c r="AD53" s="4"/>
      <c r="AE53" s="4"/>
      <c r="AF53" s="4"/>
      <c r="AG53" s="4"/>
    </row>
    <row r="54" spans="1:33" ht="22.5" customHeight="1" x14ac:dyDescent="0.25">
      <c r="A54" s="2"/>
      <c r="B54" s="2"/>
      <c r="C54" s="2"/>
      <c r="D54" s="2"/>
      <c r="E54" s="2"/>
      <c r="F54" s="4"/>
      <c r="G54" s="4"/>
      <c r="H54" s="6" t="s">
        <v>62</v>
      </c>
      <c r="I54" s="4" t="str">
        <f ca="1">IFERROR(__xludf.DUMMYFUNCTION("GOOGLETRANSLATE(B54,""en"",""ar"")"),"خسر المصارع الموجود على الأرض المباراة لأن...")</f>
        <v>خسر المصارع الموجود على الأرض المباراة لأن...</v>
      </c>
      <c r="J54" s="4" t="str">
        <f ca="1">IFERROR(__xludf.DUMMYFUNCTION("GOOGLETRANSLATE(C54,""en"",""ar"")"),"أ) استسلم، ب) لامس ظهره الأرض، ج) دُفع خارج الحلبة، د) انتهى الوقت")</f>
        <v>أ) استسلم، ب) لامس ظهره الأرض، ج) دُفع خارج الحلبة، د) انتهى الوقت</v>
      </c>
      <c r="K54" s="4" t="str">
        <f ca="1">IFERROR(__xludf.DUMMYFUNCTION("GOOGLETRANSLATE(D54,""en"",""ar"")"),"ب) لقد لامس ظهره الأرض")</f>
        <v>ب) لقد لامس ظهره الأرض</v>
      </c>
      <c r="L54" s="4" t="str">
        <f ca="1">IFERROR(__xludf.DUMMYFUNCTION("GOOGLETRANSLATE(E54,""en"",""ar"")"),"في مصارعة النوبة، يفوز المصارع بالمباراة عندما ينجح في إلقاء خصمه على ظهره.")</f>
        <v>في مصارعة النوبة، يفوز المصارع بالمباراة عندما ينجح في إلقاء خصمه على ظهره.</v>
      </c>
      <c r="M54" s="4"/>
      <c r="N54" s="4"/>
      <c r="O54" s="4"/>
      <c r="P54" s="4"/>
      <c r="Q54" s="4"/>
      <c r="R54" s="4"/>
      <c r="S54" s="4"/>
      <c r="T54" s="4"/>
      <c r="U54" s="4"/>
      <c r="V54" s="4"/>
      <c r="W54" s="4"/>
      <c r="X54" s="4"/>
      <c r="Y54" s="4"/>
      <c r="Z54" s="4"/>
      <c r="AA54" s="4"/>
      <c r="AB54" s="4"/>
      <c r="AC54" s="4"/>
      <c r="AD54" s="4"/>
      <c r="AE54" s="4"/>
      <c r="AF54" s="4"/>
      <c r="AG54" s="4"/>
    </row>
    <row r="55" spans="1:33" ht="22.5" customHeight="1" x14ac:dyDescent="0.25">
      <c r="A55" s="2"/>
      <c r="B55" s="2"/>
      <c r="C55" s="2"/>
      <c r="D55" s="2"/>
      <c r="E55" s="2"/>
      <c r="F55" s="4"/>
      <c r="G55" s="4"/>
      <c r="H55" s="7" t="s">
        <v>62</v>
      </c>
      <c r="I55" s="4" t="str">
        <f ca="1">IFERROR(__xludf.DUMMYFUNCTION("GOOGLETRANSLATE(B55,""en"",""ar"")"),"ماذا يفعل المصارع الواقف؟")</f>
        <v>ماذا يفعل المصارع الواقف؟</v>
      </c>
      <c r="J55" s="4" t="str">
        <f ca="1">IFERROR(__xludf.DUMMYFUNCTION("GOOGLETRANSLATE(C55,""en"",""ar"")"),"أ) يساعد خصمه على النهوض، ب) يبتعد بعد تحقيق فوزه، ج) يستعد لمواصلة القتال، د) ينتظر إشارة الحكم")</f>
        <v>أ) يساعد خصمه على النهوض، ب) يبتعد بعد تحقيق فوزه، ج) يستعد لمواصلة القتال، د) ينتظر إشارة الحكم</v>
      </c>
      <c r="K55" s="4" t="str">
        <f ca="1">IFERROR(__xludf.DUMMYFUNCTION("GOOGLETRANSLATE(D55,""en"",""ar"")"),"ب) إنه يبتعد بعد تحقيق فوزه")</f>
        <v>ب) إنه يبتعد بعد تحقيق فوزه</v>
      </c>
      <c r="L55" s="4" t="str">
        <f ca="1">IFERROR(__xludf.DUMMYFUNCTION("GOOGLETRANSLATE(E55,""en"",""ar"")"),"لقد أكمل الحركة الفائزة وهو الآن ينفصل عن خصمه المهزوم.")</f>
        <v>لقد أكمل الحركة الفائزة وهو الآن ينفصل عن خصمه المهزوم.</v>
      </c>
      <c r="M55" s="4"/>
      <c r="N55" s="4"/>
      <c r="O55" s="4"/>
      <c r="P55" s="4"/>
      <c r="Q55" s="4"/>
      <c r="R55" s="4"/>
      <c r="S55" s="4"/>
      <c r="T55" s="4"/>
      <c r="U55" s="4"/>
      <c r="V55" s="4"/>
      <c r="W55" s="4"/>
      <c r="X55" s="4"/>
      <c r="Y55" s="4"/>
      <c r="Z55" s="4"/>
      <c r="AA55" s="4"/>
      <c r="AB55" s="4"/>
      <c r="AC55" s="4"/>
      <c r="AD55" s="4"/>
      <c r="AE55" s="4"/>
      <c r="AF55" s="4"/>
      <c r="AG55" s="4"/>
    </row>
    <row r="56" spans="1:33" ht="22.5" customHeight="1" x14ac:dyDescent="0.25">
      <c r="A56" s="2"/>
      <c r="B56" s="2"/>
      <c r="C56" s="2"/>
      <c r="D56" s="2"/>
      <c r="E56" s="2"/>
      <c r="F56" s="4"/>
      <c r="G56" s="4"/>
      <c r="H56" s="6" t="s">
        <v>62</v>
      </c>
      <c r="I56" s="4" t="str">
        <f ca="1">IFERROR(__xludf.DUMMYFUNCTION("GOOGLETRANSLATE(B56,""en"",""ar"")"),"المصارع الذي يرتدي القميص الأسود في وضع ضعيف. هذا يُظهر أهمية ماذا في المصارعة؟")</f>
        <v>المصارع الذي يرتدي القميص الأسود في وضع ضعيف. هذا يُظهر أهمية ماذا في المصارعة؟</v>
      </c>
      <c r="J56" s="4" t="str">
        <f ca="1">IFERROR(__xludf.DUMMYFUNCTION("GOOGLETRANSLATE(C56,""en"",""ar"")"),"أ) ارتداء سراويل قصيرة زاهية الألوان، ب) الدفاع القوي لتجنب السقوط، ج) الجدال مع الخصم، د) تناول وجبة جيدة قبل المباراة")</f>
        <v>أ) ارتداء سراويل قصيرة زاهية الألوان، ب) الدفاع القوي لتجنب السقوط، ج) الجدال مع الخصم، د) تناول وجبة جيدة قبل المباراة</v>
      </c>
      <c r="K56" s="4" t="str">
        <f ca="1">IFERROR(__xludf.DUMMYFUNCTION("GOOGLETRANSLATE(D56,""en"",""ar"")"),"ب) دفاع قوي لتجنب السقوط")</f>
        <v>ب) دفاع قوي لتجنب السقوط</v>
      </c>
      <c r="L56" s="4" t="str">
        <f ca="1">IFERROR(__xludf.DUMMYFUNCTION("GOOGLETRANSLATE(E56,""en"",""ar"")"),"حُسمت المباراة بفضل هجوم ناجح لأحد المصارعين وعجز الآخر عن الدفاع ضد محاولة الإسقاط.")</f>
        <v>حُسمت المباراة بفضل هجوم ناجح لأحد المصارعين وعجز الآخر عن الدفاع ضد محاولة الإسقاط.</v>
      </c>
      <c r="M56" s="4"/>
      <c r="N56" s="4"/>
      <c r="O56" s="4"/>
      <c r="P56" s="4"/>
      <c r="Q56" s="4"/>
      <c r="R56" s="4"/>
      <c r="S56" s="4"/>
      <c r="T56" s="4"/>
      <c r="U56" s="4"/>
      <c r="V56" s="4"/>
      <c r="W56" s="4"/>
      <c r="X56" s="4"/>
      <c r="Y56" s="4"/>
      <c r="Z56" s="4"/>
      <c r="AA56" s="4"/>
      <c r="AB56" s="4"/>
      <c r="AC56" s="4"/>
      <c r="AD56" s="4"/>
      <c r="AE56" s="4"/>
      <c r="AF56" s="4"/>
      <c r="AG56" s="4"/>
    </row>
    <row r="57" spans="1:33" ht="22.5" customHeight="1" x14ac:dyDescent="0.25">
      <c r="A57" s="2"/>
      <c r="B57" s="2"/>
      <c r="C57" s="2"/>
      <c r="D57" s="2"/>
      <c r="E57" s="2"/>
      <c r="F57" s="4"/>
      <c r="G57" s="4"/>
      <c r="H57" s="7" t="s">
        <v>62</v>
      </c>
      <c r="I57" s="4" t="str">
        <f ca="1">IFERROR(__xludf.DUMMYFUNCTION("GOOGLETRANSLATE(B57,""en"",""ar"")"),"ماذا يفعل الجمهور؟")</f>
        <v>ماذا يفعل الجمهور؟</v>
      </c>
      <c r="J57" s="4" t="str">
        <f ca="1">IFERROR(__xludf.DUMMYFUNCTION("GOOGLETRANSLATE(C57,""en"",""ar"")"),"أ) إنهم صامتون، ب) إنهم يغادرون جميعًا، ج) إنهم يتابعون نتيجة المباراة عن كثب، د) إنهم ينظرون إلى شيء آخر")</f>
        <v>أ) إنهم صامتون، ب) إنهم يغادرون جميعًا، ج) إنهم يتابعون نتيجة المباراة عن كثب، د) إنهم ينظرون إلى شيء آخر</v>
      </c>
      <c r="K57" s="4" t="str">
        <f ca="1">IFERROR(__xludf.DUMMYFUNCTION("GOOGLETRANSLATE(D57,""en"",""ar"")"),"ج) إنهم يراقبون عن كثب نتيجة المباراة")</f>
        <v>ج) إنهم يراقبون عن كثب نتيجة المباراة</v>
      </c>
      <c r="L57" s="4" t="str">
        <f ca="1">IFERROR(__xludf.DUMMYFUNCTION("GOOGLETRANSLATE(E57,""en"",""ar"")"),"يركز الحشد الكبير في الخلفية على الأحداث الجارية في الحلبة.")</f>
        <v>يركز الحشد الكبير في الخلفية على الأحداث الجارية في الحلبة.</v>
      </c>
      <c r="M57" s="4"/>
      <c r="N57" s="4"/>
      <c r="O57" s="4"/>
      <c r="P57" s="4"/>
      <c r="Q57" s="4"/>
      <c r="R57" s="4"/>
      <c r="S57" s="4"/>
      <c r="T57" s="4"/>
      <c r="U57" s="4"/>
      <c r="V57" s="4"/>
      <c r="W57" s="4"/>
      <c r="X57" s="4"/>
      <c r="Y57" s="4"/>
      <c r="Z57" s="4"/>
      <c r="AA57" s="4"/>
      <c r="AB57" s="4"/>
      <c r="AC57" s="4"/>
      <c r="AD57" s="4"/>
      <c r="AE57" s="4"/>
      <c r="AF57" s="4"/>
      <c r="AG57" s="4"/>
    </row>
    <row r="58" spans="1:33" ht="22.5" customHeight="1" x14ac:dyDescent="0.25">
      <c r="A58" s="2"/>
      <c r="B58" s="2"/>
      <c r="C58" s="2"/>
      <c r="D58" s="2"/>
      <c r="E58" s="2"/>
      <c r="F58" s="4"/>
      <c r="G58" s="4"/>
      <c r="H58" s="6" t="s">
        <v>62</v>
      </c>
      <c r="I58" s="4" t="str">
        <f ca="1">IFERROR(__xludf.DUMMYFUNCTION("GOOGLETRANSLATE(B58,""en"",""ar"")"),"تتضمن الملابس الملونة للمصارع المنتصر...")</f>
        <v>تتضمن الملابس الملونة للمصارع المنتصر...</v>
      </c>
      <c r="J58" s="4" t="str">
        <f ca="1">IFERROR(__xludf.DUMMYFUNCTION("GOOGLETRANSLATE(C58,""en"",""ar"")"),"أ) بلوزة حمراء وشورت متعدد الألوان، ب) شورت أسود سادة، ج) رداء طويل تقليدي، د) بدلة رياضية عصرية")</f>
        <v>أ) بلوزة حمراء وشورت متعدد الألوان، ب) شورت أسود سادة، ج) رداء طويل تقليدي، د) بدلة رياضية عصرية</v>
      </c>
      <c r="K58" s="4" t="str">
        <f ca="1">IFERROR(__xludf.DUMMYFUNCTION("GOOGLETRANSLATE(D58,""en"",""ar"")"),"أ) بلوزة حمراء وشورت متعدد الألوان")</f>
        <v>أ) بلوزة حمراء وشورت متعدد الألوان</v>
      </c>
      <c r="L58" s="4" t="str">
        <f ca="1">IFERROR(__xludf.DUMMYFUNCTION("GOOGLETRANSLATE(E58,""en"",""ar"")"),"يرتدي الفائز مزيجاً من قميص رياضي أحمر عصري وسروال مصارعة تقليدي بنقوش مميزة.")</f>
        <v>يرتدي الفائز مزيجاً من قميص رياضي أحمر عصري وسروال مصارعة تقليدي بنقوش مميزة.</v>
      </c>
      <c r="M58" s="4"/>
      <c r="N58" s="4"/>
      <c r="O58" s="4"/>
      <c r="P58" s="4"/>
      <c r="Q58" s="4"/>
      <c r="R58" s="4"/>
      <c r="S58" s="4"/>
      <c r="T58" s="4"/>
      <c r="U58" s="4"/>
      <c r="V58" s="4"/>
      <c r="W58" s="4"/>
      <c r="X58" s="4"/>
      <c r="Y58" s="4"/>
      <c r="Z58" s="4"/>
      <c r="AA58" s="4"/>
      <c r="AB58" s="4"/>
      <c r="AC58" s="4"/>
      <c r="AD58" s="4"/>
      <c r="AE58" s="4"/>
      <c r="AF58" s="4"/>
      <c r="AG58" s="4"/>
    </row>
    <row r="59" spans="1:33" ht="22.5" customHeight="1" x14ac:dyDescent="0.25">
      <c r="A59" s="2"/>
      <c r="B59" s="2"/>
      <c r="C59" s="2"/>
      <c r="D59" s="2"/>
      <c r="E59" s="2"/>
      <c r="F59" s="4"/>
      <c r="G59" s="4"/>
      <c r="H59" s="7" t="s">
        <v>62</v>
      </c>
      <c r="I59" s="4" t="str">
        <f ca="1">IFERROR(__xludf.DUMMYFUNCTION("GOOGLETRANSLATE(B59,""en"",""ar"")"),"تُجسّد هذه الصورة...")</f>
        <v>تُجسّد هذه الصورة...</v>
      </c>
      <c r="J59" s="4" t="str">
        <f ca="1">IFERROR(__xludf.DUMMYFUNCTION("GOOGLETRANSLATE(C59,""en"",""ar"")"),"أ) بداية المباراة، ب) ذروة المباراة ونهايتها، ج) طقوس ما قبل المباراة، د) حفل توزيع الجوائز")</f>
        <v>أ) بداية المباراة، ب) ذروة المباراة ونهايتها، ج) طقوس ما قبل المباراة، د) حفل توزيع الجوائز</v>
      </c>
      <c r="K59" s="4" t="str">
        <f ca="1">IFERROR(__xludf.DUMMYFUNCTION("GOOGLETRANSLATE(D59,""en"",""ar"")"),"ب) ذروة المباراة ونهايتها")</f>
        <v>ب) ذروة المباراة ونهايتها</v>
      </c>
      <c r="L59" s="4" t="str">
        <f ca="1">IFERROR(__xludf.DUMMYFUNCTION("GOOGLETRANSLATE(E59,""en"",""ar"")"),"هذه هي اللحظة الحاسمة التي تحدد الفائز والخاسر في النزال.")</f>
        <v>هذه هي اللحظة الحاسمة التي تحدد الفائز والخاسر في النزال.</v>
      </c>
      <c r="M59" s="4"/>
      <c r="N59" s="4"/>
      <c r="O59" s="4"/>
      <c r="P59" s="4"/>
      <c r="Q59" s="4"/>
      <c r="R59" s="4"/>
      <c r="S59" s="4"/>
      <c r="T59" s="4"/>
      <c r="U59" s="4"/>
      <c r="V59" s="4"/>
      <c r="W59" s="4"/>
      <c r="X59" s="4"/>
      <c r="Y59" s="4"/>
      <c r="Z59" s="4"/>
      <c r="AA59" s="4"/>
      <c r="AB59" s="4"/>
      <c r="AC59" s="4"/>
      <c r="AD59" s="4"/>
      <c r="AE59" s="4"/>
      <c r="AF59" s="4"/>
      <c r="AG59" s="4"/>
    </row>
    <row r="60" spans="1:33" ht="22.5" customHeight="1" x14ac:dyDescent="0.25">
      <c r="A60" s="2"/>
      <c r="B60" s="2"/>
      <c r="C60" s="2"/>
      <c r="D60" s="2"/>
      <c r="E60" s="2"/>
      <c r="F60" s="4"/>
      <c r="G60" s="4"/>
      <c r="H60" s="6" t="s">
        <v>62</v>
      </c>
      <c r="I60" s="4" t="str">
        <f ca="1">IFERROR(__xludf.DUMMYFUNCTION("GOOGLETRANSLATE(B60,""en"",""ar"")"),"المصارع على الأرض يتجهم، مما يدل على...")</f>
        <v>المصارع على الأرض يتجهم، مما يدل على...</v>
      </c>
      <c r="J60" s="4" t="str">
        <f ca="1">IFERROR(__xludf.DUMMYFUNCTION("GOOGLETRANSLATE(C60,""en"",""ar"")"),"أ) القوة البدنية للصدمة، ب) متعة المنافسة، ج) قلة الجهد الذي بذله، د) طرافة الموقف")</f>
        <v>أ) القوة البدنية للصدمة، ب) متعة المنافسة، ج) قلة الجهد الذي بذله، د) طرافة الموقف</v>
      </c>
      <c r="K60" s="4" t="str">
        <f ca="1">IFERROR(__xludf.DUMMYFUNCTION("GOOGLETRANSLATE(D60,""en"",""ar"")"),"أ) القوة الفيزيائية للصدمة")</f>
        <v>أ) القوة الفيزيائية للصدمة</v>
      </c>
      <c r="L60" s="4" t="str">
        <f ca="1">IFERROR(__xludf.DUMMYFUNCTION("GOOGLETRANSLATE(E60,""en"",""ar"")"),"يعكس تعبير وجهه الإجهاد البدني والقوة التي سقط بها على الأرض.")</f>
        <v>يعكس تعبير وجهه الإجهاد البدني والقوة التي سقط بها على الأرض.</v>
      </c>
      <c r="M60" s="4"/>
      <c r="N60" s="4"/>
      <c r="O60" s="4"/>
      <c r="P60" s="4"/>
      <c r="Q60" s="4"/>
      <c r="R60" s="4"/>
      <c r="S60" s="4"/>
      <c r="T60" s="4"/>
      <c r="U60" s="4"/>
      <c r="V60" s="4"/>
      <c r="W60" s="4"/>
      <c r="X60" s="4"/>
      <c r="Y60" s="4"/>
      <c r="Z60" s="4"/>
      <c r="AA60" s="4"/>
      <c r="AB60" s="4"/>
      <c r="AC60" s="4"/>
      <c r="AD60" s="4"/>
      <c r="AE60" s="4"/>
      <c r="AF60" s="4"/>
      <c r="AG60" s="4"/>
    </row>
    <row r="61" spans="1:33" ht="22.5" customHeight="1" x14ac:dyDescent="0.25">
      <c r="A61" s="2"/>
      <c r="B61" s="2"/>
      <c r="C61" s="2"/>
      <c r="D61" s="2"/>
      <c r="E61" s="2"/>
      <c r="F61" s="4"/>
      <c r="G61" s="4"/>
      <c r="H61" s="7" t="s">
        <v>62</v>
      </c>
      <c r="I61" s="4" t="str">
        <f ca="1">IFERROR(__xludf.DUMMYFUNCTION("GOOGLETRANSLATE(B61,""en"",""ar"")"),"رياضة المصارعة النوبية هي اختبار لـ...")</f>
        <v>رياضة المصارعة النوبية هي اختبار لـ...</v>
      </c>
      <c r="J61" s="4" t="str">
        <f ca="1">IFERROR(__xludf.DUMMYFUNCTION("GOOGLETRANSLATE(C61,""en"",""ar"")"),"أ) السرعة والقوة والتقنية، ب) القدرة على التحمل لمسافات طويلة، ج) القدرة على تحمل الألم، د) وضعيات احتفالية بحتة")</f>
        <v>أ) السرعة والقوة والتقنية، ب) القدرة على التحمل لمسافات طويلة، ج) القدرة على تحمل الألم، د) وضعيات احتفالية بحتة</v>
      </c>
      <c r="K61" s="4" t="str">
        <f ca="1">IFERROR(__xludf.DUMMYFUNCTION("GOOGLETRANSLATE(D61,""en"",""ar"")"),"أ) السرعة والقوة والتقنية")</f>
        <v>أ) السرعة والقوة والتقنية</v>
      </c>
      <c r="L61" s="4" t="str">
        <f ca="1">IFERROR(__xludf.DUMMYFUNCTION("GOOGLETRANSLATE(E61,""en"",""ar"")"),"هذه اللحظة هي نتيجة نجاح المصارع الفائز في الجمع بين جميع العناصر الرياضية الثلاثة.")</f>
        <v>هذه اللحظة هي نتيجة نجاح المصارع الفائز في الجمع بين جميع العناصر الرياضية الثلاثة.</v>
      </c>
      <c r="M61" s="4"/>
      <c r="N61" s="4"/>
      <c r="O61" s="4"/>
      <c r="P61" s="4"/>
      <c r="Q61" s="4"/>
      <c r="R61" s="4"/>
      <c r="S61" s="4"/>
      <c r="T61" s="4"/>
      <c r="U61" s="4"/>
      <c r="V61" s="4"/>
      <c r="W61" s="4"/>
      <c r="X61" s="4"/>
      <c r="Y61" s="4"/>
      <c r="Z61" s="4"/>
      <c r="AA61" s="4"/>
      <c r="AB61" s="4"/>
      <c r="AC61" s="4"/>
      <c r="AD61" s="4"/>
      <c r="AE61" s="4"/>
      <c r="AF61" s="4"/>
      <c r="AG61" s="4"/>
    </row>
    <row r="62" spans="1:33" ht="22.5" customHeight="1" x14ac:dyDescent="0.25">
      <c r="A62" s="2"/>
      <c r="B62" s="2"/>
      <c r="C62" s="2"/>
      <c r="D62" s="2"/>
      <c r="E62" s="2"/>
      <c r="F62" s="4"/>
      <c r="G62" s="4"/>
      <c r="H62" s="6" t="s">
        <v>63</v>
      </c>
      <c r="I62" s="4" t="str">
        <f ca="1">IFERROR(__xludf.DUMMYFUNCTION("GOOGLETRANSLATE(B62,""en"",""ar"")"),"ما هي المناورة التي يحاول المصارع الذي يرتدي القميص الوردي القيام بها؟")</f>
        <v>ما هي المناورة التي يحاول المصارع الذي يرتدي القميص الوردي القيام بها؟</v>
      </c>
      <c r="J62" s="4" t="str">
        <f ca="1">IFERROR(__xludf.DUMMYFUNCTION("GOOGLETRANSLATE(C62,""en"",""ar"")"),"أ) يحاول دفع خصمه بعيدًا، ب) يحاول رفع خصمه عن الأرض لرميه، ج) يحاول لكم خصمه، د) يصافح خصمه")</f>
        <v>أ) يحاول دفع خصمه بعيدًا، ب) يحاول رفع خصمه عن الأرض لرميه، ج) يحاول لكم خصمه، د) يصافح خصمه</v>
      </c>
      <c r="K62" s="4" t="str">
        <f ca="1">IFERROR(__xludf.DUMMYFUNCTION("GOOGLETRANSLATE(D62,""en"",""ar"")"),"ب) يحاول رفع خصمه عن الأرض لرميه")</f>
        <v>ب) يحاول رفع خصمه عن الأرض لرميه</v>
      </c>
      <c r="L62" s="4" t="str">
        <f ca="1">IFERROR(__xludf.DUMMYFUNCTION("GOOGLETRANSLATE(E62,""en"",""ar"")"),"يمسك بقوة حول خصر خصمه ويستخدم قوته لرفعه، وهو ما يمهد الطريق لضربة قاضية قوية.")</f>
        <v>يمسك بقوة حول خصر خصمه ويستخدم قوته لرفعه، وهو ما يمهد الطريق لضربة قاضية قوية.</v>
      </c>
      <c r="M62" s="4"/>
      <c r="N62" s="4"/>
      <c r="O62" s="4"/>
      <c r="P62" s="4"/>
      <c r="Q62" s="4"/>
      <c r="R62" s="4"/>
      <c r="S62" s="4"/>
      <c r="T62" s="4"/>
      <c r="U62" s="4"/>
      <c r="V62" s="4"/>
      <c r="W62" s="4"/>
      <c r="X62" s="4"/>
      <c r="Y62" s="4"/>
      <c r="Z62" s="4"/>
      <c r="AA62" s="4"/>
      <c r="AB62" s="4"/>
      <c r="AC62" s="4"/>
      <c r="AD62" s="4"/>
      <c r="AE62" s="4"/>
      <c r="AF62" s="4"/>
      <c r="AG62" s="4"/>
    </row>
    <row r="63" spans="1:33" ht="22.5" customHeight="1" x14ac:dyDescent="0.25">
      <c r="A63" s="2"/>
      <c r="B63" s="2"/>
      <c r="C63" s="2"/>
      <c r="D63" s="2"/>
      <c r="E63" s="2"/>
      <c r="F63" s="4"/>
      <c r="G63" s="4"/>
      <c r="H63" s="7" t="s">
        <v>63</v>
      </c>
      <c r="I63" s="4" t="str">
        <f ca="1">IFERROR(__xludf.DUMMYFUNCTION("GOOGLETRANSLATE(B63,""en"",""ar"")"),"ماذا يُظهر هذا الفعل عن مصارعة النوبة؟")</f>
        <v>ماذا يُظهر هذا الفعل عن مصارعة النوبة؟</v>
      </c>
      <c r="J63" s="4" t="str">
        <f ca="1">IFERROR(__xludf.DUMMYFUNCTION("GOOGLETRANSLATE(C63,""en"",""ar"")"),"أ) إنها ليست رياضة بدنية، ب) تعتمد بشكل كبير على القوة البدنية والرافعة، ج) إنها رياضة لا تتضمن احتكاكًا جسديًا، د) القواعد ليست مهمة")</f>
        <v>أ) إنها ليست رياضة بدنية، ب) تعتمد بشكل كبير على القوة البدنية والرافعة، ج) إنها رياضة لا تتضمن احتكاكًا جسديًا، د) القواعد ليست مهمة</v>
      </c>
      <c r="K63" s="4" t="str">
        <f ca="1">IFERROR(__xludf.DUMMYFUNCTION("GOOGLETRANSLATE(D63,""en"",""ar"")"),"ب) يعتمد بشكل كبير على القوة الخام والنفوذ")</f>
        <v>ب) يعتمد بشكل كبير على القوة الخام والنفوذ</v>
      </c>
      <c r="L63" s="4" t="str">
        <f ca="1">IFERROR(__xludf.DUMMYFUNCTION("GOOGLETRANSLATE(E63,""en"",""ar"")"),"يتطلب رفع رجل بالغ بنفس الحجم قدراً هائلاً من القوة والتقنية الصحيحة.")</f>
        <v>يتطلب رفع رجل بالغ بنفس الحجم قدراً هائلاً من القوة والتقنية الصحيحة.</v>
      </c>
      <c r="M63" s="4"/>
      <c r="N63" s="4"/>
      <c r="O63" s="4"/>
      <c r="P63" s="4"/>
      <c r="Q63" s="4"/>
      <c r="R63" s="4"/>
      <c r="S63" s="4"/>
      <c r="T63" s="4"/>
      <c r="U63" s="4"/>
      <c r="V63" s="4"/>
      <c r="W63" s="4"/>
      <c r="X63" s="4"/>
      <c r="Y63" s="4"/>
      <c r="Z63" s="4"/>
      <c r="AA63" s="4"/>
      <c r="AB63" s="4"/>
      <c r="AC63" s="4"/>
      <c r="AD63" s="4"/>
      <c r="AE63" s="4"/>
      <c r="AF63" s="4"/>
      <c r="AG63" s="4"/>
    </row>
    <row r="64" spans="1:33" ht="22.5" customHeight="1" x14ac:dyDescent="0.25">
      <c r="A64" s="2"/>
      <c r="B64" s="2"/>
      <c r="C64" s="2"/>
      <c r="D64" s="2"/>
      <c r="E64" s="2"/>
      <c r="F64" s="4"/>
      <c r="G64" s="4"/>
      <c r="H64" s="6" t="s">
        <v>63</v>
      </c>
      <c r="I64" s="4" t="str">
        <f ca="1">IFERROR(__xludf.DUMMYFUNCTION("GOOGLETRANSLATE(B64,""en"",""ar"")"),"من المرجح أن يكون المسحوق الأبيض الموجود على أجساد المصارعين رمادًا أو غبارًا. ما هو أحد استخداماته العملية؟")</f>
        <v>من المرجح أن يكون المسحوق الأبيض الموجود على أجساد المصارعين رمادًا أو غبارًا. ما هو أحد استخداماته العملية؟</v>
      </c>
      <c r="J64" s="4" t="str">
        <f ca="1">IFERROR(__xludf.DUMMYFUNCTION("GOOGLETRANSLATE(C64,""en"",""ar"")"),"أ) لجعلها أكثر انزلاقًا وأصعب في الإمساك بها، ب) لامتصاص العرق وتحسين التماسك، ج) للعمل كواقي من الشمس، د) لجعلها تبدو كالأشباح")</f>
        <v>أ) لجعلها أكثر انزلاقًا وأصعب في الإمساك بها، ب) لامتصاص العرق وتحسين التماسك، ج) للعمل كواقي من الشمس، د) لجعلها تبدو كالأشباح</v>
      </c>
      <c r="K64" s="4" t="str">
        <f ca="1">IFERROR(__xludf.DUMMYFUNCTION("GOOGLETRANSLATE(D64,""en"",""ar"")"),"ب) لامتصاص العرق وتحسين القبضة")</f>
        <v>ب) لامتصاص العرق وتحسين القبضة</v>
      </c>
      <c r="L64" s="4" t="str">
        <f ca="1">IFERROR(__xludf.DUMMYFUNCTION("GOOGLETRANSLATE(E64,""en"",""ar"")"),"تمامًا مثل الطباشير في الجمباز، يمكن أن يساعد الرماد المصارعين على الحفاظ على قبضة محكمة على خصومهم.")</f>
        <v>تمامًا مثل الطباشير في الجمباز، يمكن أن يساعد الرماد المصارعين على الحفاظ على قبضة محكمة على خصومهم.</v>
      </c>
      <c r="M64" s="4"/>
      <c r="N64" s="4"/>
      <c r="O64" s="4"/>
      <c r="P64" s="4"/>
      <c r="Q64" s="4"/>
      <c r="R64" s="4"/>
      <c r="S64" s="4"/>
      <c r="T64" s="4"/>
      <c r="U64" s="4"/>
      <c r="V64" s="4"/>
      <c r="W64" s="4"/>
      <c r="X64" s="4"/>
      <c r="Y64" s="4"/>
      <c r="Z64" s="4"/>
      <c r="AA64" s="4"/>
      <c r="AB64" s="4"/>
      <c r="AC64" s="4"/>
      <c r="AD64" s="4"/>
      <c r="AE64" s="4"/>
      <c r="AF64" s="4"/>
      <c r="AG64" s="4"/>
    </row>
    <row r="65" spans="1:33" ht="22.5" customHeight="1" x14ac:dyDescent="0.25">
      <c r="A65" s="2"/>
      <c r="B65" s="2"/>
      <c r="C65" s="2"/>
      <c r="D65" s="2"/>
      <c r="E65" s="2"/>
      <c r="F65" s="4"/>
      <c r="G65" s="4"/>
      <c r="H65" s="7" t="s">
        <v>63</v>
      </c>
      <c r="I65" s="4" t="str">
        <f ca="1">IFERROR(__xludf.DUMMYFUNCTION("GOOGLETRANSLATE(B65,""en"",""ar"")"),"يحاول المصارع الذي يتم رفعه التصدي للحركة عن طريق...")</f>
        <v>يحاول المصارع الذي يتم رفعه التصدي للحركة عن طريق...</v>
      </c>
      <c r="J65" s="4" t="str">
        <f ca="1">IFERROR(__xludf.DUMMYFUNCTION("GOOGLETRANSLATE(C65,""en"",""ar"")"),"أ) تباعد بين ساقيه وخفض مركز ثقله، ب) القفز لأعلى ولأسفل، ج) ترك نفسه تمامًا، د) إغلاق عينيه")</f>
        <v>أ) تباعد بين ساقيه وخفض مركز ثقله، ب) القفز لأعلى ولأسفل، ج) ترك نفسه تمامًا، د) إغلاق عينيه</v>
      </c>
      <c r="K65" s="4" t="str">
        <f ca="1">IFERROR(__xludf.DUMMYFUNCTION("GOOGLETRANSLATE(D65,""en"",""ar"")"),"أ) تباعد بين ساقيه وخفض مركز ثقله")</f>
        <v>أ) تباعد بين ساقيه وخفض مركز ثقله</v>
      </c>
      <c r="L65" s="4" t="str">
        <f ca="1">IFERROR(__xludf.DUMMYFUNCTION("GOOGLETRANSLATE(E65,""en"",""ar"")"),"يباعد بين ساقيه على نطاق واسع في محاولة لجعل رفعه أكثر صعوبة وللحفاظ على توازنه.")</f>
        <v>يباعد بين ساقيه على نطاق واسع في محاولة لجعل رفعه أكثر صعوبة وللحفاظ على توازنه.</v>
      </c>
      <c r="M65" s="4"/>
      <c r="N65" s="4"/>
      <c r="O65" s="4"/>
      <c r="P65" s="4"/>
      <c r="Q65" s="4"/>
      <c r="R65" s="4"/>
      <c r="S65" s="4"/>
      <c r="T65" s="4"/>
      <c r="U65" s="4"/>
      <c r="V65" s="4"/>
      <c r="W65" s="4"/>
      <c r="X65" s="4"/>
      <c r="Y65" s="4"/>
      <c r="Z65" s="4"/>
      <c r="AA65" s="4"/>
      <c r="AB65" s="4"/>
      <c r="AC65" s="4"/>
      <c r="AD65" s="4"/>
      <c r="AE65" s="4"/>
      <c r="AF65" s="4"/>
      <c r="AG65" s="4"/>
    </row>
    <row r="66" spans="1:33" ht="22.5" customHeight="1" x14ac:dyDescent="0.25">
      <c r="A66" s="2"/>
      <c r="B66" s="2"/>
      <c r="C66" s="2"/>
      <c r="D66" s="2"/>
      <c r="E66" s="2"/>
      <c r="F66" s="4"/>
      <c r="G66" s="4"/>
      <c r="H66" s="6" t="s">
        <v>63</v>
      </c>
      <c r="I66" s="4" t="str">
        <f ca="1">IFERROR(__xludf.DUMMYFUNCTION("GOOGLETRANSLATE(B66,""en"",""ar"")"),"ما الغرض من اللفافة البيضاء الموجودة على ركبة المصارع السفلية؟")</f>
        <v>ما الغرض من اللفافة البيضاء الموجودة على ركبة المصارع السفلية؟</v>
      </c>
      <c r="J66" s="4" t="str">
        <f ca="1">IFERROR(__xludf.DUMMYFUNCTION("GOOGLETRANSLATE(C66,""en"",""ar"")"),"أ) إنها زينة تقليدية، ب) إنها ضمادة رياضية للدعم أو لتغطية الإصابة، ج) إنها تحمل تميمة لجلب الحظ، د) إنها مكان لمسح يديه")</f>
        <v>أ) إنها زينة تقليدية، ب) إنها ضمادة رياضية للدعم أو لتغطية الإصابة، ج) إنها تحمل تميمة لجلب الحظ، د) إنها مكان لمسح يديه</v>
      </c>
      <c r="K66" s="4" t="str">
        <f ca="1">IFERROR(__xludf.DUMMYFUNCTION("GOOGLETRANSLATE(D66,""en"",""ar"")"),"ب) إنها ضمادة رياضية للدعم أو لتغطية الإصابة")</f>
        <v>ب) إنها ضمادة رياضية للدعم أو لتغطية الإصابة</v>
      </c>
      <c r="L66" s="4" t="str">
        <f ca="1">IFERROR(__xludf.DUMMYFUNCTION("GOOGLETRANSLATE(E66,""en"",""ar"")"),"هذا رباط رياضي حديث يُستخدم لتوفير الثبات لمفصل الركبة.")</f>
        <v>هذا رباط رياضي حديث يُستخدم لتوفير الثبات لمفصل الركبة.</v>
      </c>
      <c r="M66" s="4"/>
      <c r="N66" s="4"/>
      <c r="O66" s="4"/>
      <c r="P66" s="4"/>
      <c r="Q66" s="4"/>
      <c r="R66" s="4"/>
      <c r="S66" s="4"/>
      <c r="T66" s="4"/>
      <c r="U66" s="4"/>
      <c r="V66" s="4"/>
      <c r="W66" s="4"/>
      <c r="X66" s="4"/>
      <c r="Y66" s="4"/>
      <c r="Z66" s="4"/>
      <c r="AA66" s="4"/>
      <c r="AB66" s="4"/>
      <c r="AC66" s="4"/>
      <c r="AD66" s="4"/>
      <c r="AE66" s="4"/>
      <c r="AF66" s="4"/>
      <c r="AG66" s="4"/>
    </row>
    <row r="67" spans="1:33" ht="22.5" customHeight="1" x14ac:dyDescent="0.25">
      <c r="A67" s="2"/>
      <c r="B67" s="2"/>
      <c r="C67" s="2"/>
      <c r="D67" s="2"/>
      <c r="E67" s="2"/>
      <c r="F67" s="4"/>
      <c r="G67" s="4"/>
      <c r="H67" s="7" t="s">
        <v>63</v>
      </c>
      <c r="I67" s="4" t="str">
        <f ca="1">IFERROR(__xludf.DUMMYFUNCTION("GOOGLETRANSLATE(B67,""en"",""ar"")"),"يُبرز التركيز الشديد والعضلات المجهدة لدى كلا المصارعين...")</f>
        <v>يُبرز التركيز الشديد والعضلات المجهدة لدى كلا المصارعين...</v>
      </c>
      <c r="J67" s="4" t="str">
        <f ca="1">IFERROR(__xludf.DUMMYFUNCTION("GOOGLETRANSLATE(C67,""en"",""ar"")"),"أ) قلة الجهد المبذول في المباراة، ب) الجهد البدني الشديد المطلوب، ج) الطابع الكوميدي للرياضة، د) المباراة مُدبّرة وليست حقيقية")</f>
        <v>أ) قلة الجهد المبذول في المباراة، ب) الجهد البدني الشديد المطلوب، ج) الطابع الكوميدي للرياضة، د) المباراة مُدبّرة وليست حقيقية</v>
      </c>
      <c r="K67" s="4" t="str">
        <f ca="1">IFERROR(__xludf.DUMMYFUNCTION("GOOGLETRANSLATE(D67,""en"",""ar"")"),"ب) يتطلب الأمر جهدًا بدنيًا شديدًا")</f>
        <v>ب) يتطلب الأمر جهدًا بدنيًا شديدًا</v>
      </c>
      <c r="L67" s="4" t="str">
        <f ca="1">IFERROR(__xludf.DUMMYFUNCTION("GOOGLETRANSLATE(E67,""en"",""ar"")"),"هذه لحظة تتطلب أقصى جهد بدني من كل من المهاجم والمدافع.")</f>
        <v>هذه لحظة تتطلب أقصى جهد بدني من كل من المهاجم والمدافع.</v>
      </c>
      <c r="M67" s="4"/>
      <c r="N67" s="4"/>
      <c r="O67" s="4"/>
      <c r="P67" s="4"/>
      <c r="Q67" s="4"/>
      <c r="R67" s="4"/>
      <c r="S67" s="4"/>
      <c r="T67" s="4"/>
      <c r="U67" s="4"/>
      <c r="V67" s="4"/>
      <c r="W67" s="4"/>
      <c r="X67" s="4"/>
      <c r="Y67" s="4"/>
      <c r="Z67" s="4"/>
      <c r="AA67" s="4"/>
      <c r="AB67" s="4"/>
      <c r="AC67" s="4"/>
      <c r="AD67" s="4"/>
      <c r="AE67" s="4"/>
      <c r="AF67" s="4"/>
      <c r="AG67" s="4"/>
    </row>
    <row r="68" spans="1:33" ht="22.5" customHeight="1" x14ac:dyDescent="0.25">
      <c r="A68" s="2"/>
      <c r="B68" s="2"/>
      <c r="C68" s="2"/>
      <c r="D68" s="2"/>
      <c r="E68" s="2"/>
      <c r="F68" s="4"/>
      <c r="G68" s="4"/>
      <c r="H68" s="6" t="s">
        <v>63</v>
      </c>
      <c r="I68" s="4" t="str">
        <f ca="1">IFERROR(__xludf.DUMMYFUNCTION("GOOGLETRANSLATE(B68,""en"",""ar"")"),"الفائز في هذه المنافسة هو من يستطيع...")</f>
        <v>الفائز في هذه المنافسة هو من يستطيع...</v>
      </c>
      <c r="J68" s="4" t="str">
        <f ca="1">IFERROR(__xludf.DUMMYFUNCTION("GOOGLETRANSLATE(C68,""en"",""ar"")"),"أ) الثبات على الوضعية لأطول فترة ممكنة، ب) إتمام الرمية بنجاح أو صدّها بنجاح، ج) الصياح بأعلى صوت، د) حثّ الجمهور على الهتاف لهم")</f>
        <v>أ) الثبات على الوضعية لأطول فترة ممكنة، ب) إتمام الرمية بنجاح أو صدّها بنجاح، ج) الصياح بأعلى صوت، د) حثّ الجمهور على الهتاف لهم</v>
      </c>
      <c r="K68" s="4" t="str">
        <f ca="1">IFERROR(__xludf.DUMMYFUNCTION("GOOGLETRANSLATE(D68,""en"",""ar"")"),"ب) إكمال الرمية بنجاح أو الدفاع عنها بنجاح")</f>
        <v>ب) إكمال الرمية بنجاح أو الدفاع عنها بنجاح</v>
      </c>
      <c r="L68" s="4" t="str">
        <f ca="1">IFERROR(__xludf.DUMMYFUNCTION("GOOGLETRANSLATE(E68,""en"",""ar"")"),"تتوقف المباراة بأكملها على لحظات كهذه - تنفيذ حركة هجومية قوية في مواجهة دفاع قوي.")</f>
        <v>تتوقف المباراة بأكملها على لحظات كهذه - تنفيذ حركة هجومية قوية في مواجهة دفاع قوي.</v>
      </c>
      <c r="M68" s="4"/>
      <c r="N68" s="4"/>
      <c r="O68" s="4"/>
      <c r="P68" s="4"/>
      <c r="Q68" s="4"/>
      <c r="R68" s="4"/>
      <c r="S68" s="4"/>
      <c r="T68" s="4"/>
      <c r="U68" s="4"/>
      <c r="V68" s="4"/>
      <c r="W68" s="4"/>
      <c r="X68" s="4"/>
      <c r="Y68" s="4"/>
      <c r="Z68" s="4"/>
      <c r="AA68" s="4"/>
      <c r="AB68" s="4"/>
      <c r="AC68" s="4"/>
      <c r="AD68" s="4"/>
      <c r="AE68" s="4"/>
      <c r="AF68" s="4"/>
      <c r="AG68" s="4"/>
    </row>
    <row r="69" spans="1:33" ht="22.5" customHeight="1" x14ac:dyDescent="0.25">
      <c r="A69" s="2"/>
      <c r="B69" s="2"/>
      <c r="C69" s="2"/>
      <c r="D69" s="2"/>
      <c r="E69" s="2"/>
      <c r="F69" s="4"/>
      <c r="G69" s="4"/>
      <c r="H69" s="7" t="s">
        <v>63</v>
      </c>
      <c r="I69" s="4" t="str">
        <f ca="1">IFERROR(__xludf.DUMMYFUNCTION("GOOGLETRANSLATE(B69,""en"",""ar"")"),"أين رأس المصارع الذي يرتدي القميص الوردي؟")</f>
        <v>أين رأس المصارع الذي يرتدي القميص الوردي؟</v>
      </c>
      <c r="J69" s="4" t="str">
        <f ca="1">IFERROR(__xludf.DUMMYFUNCTION("GOOGLETRANSLATE(C69,""en"",""ar"")"),"أ) ينظر إلى السماء، ب) ملتصقًا بظهر خصمه، ج) ينظر إلى الجمهور، د) يدير ظهره للحدث")</f>
        <v>أ) ينظر إلى السماء، ب) ملتصقًا بظهر خصمه، ج) ينظر إلى الجمهور، د) يدير ظهره للحدث</v>
      </c>
      <c r="K69" s="4" t="str">
        <f ca="1">IFERROR(__xludf.DUMMYFUNCTION("GOOGLETRANSLATE(D69,""en"",""ar"")"),"ب) ملاصقًا بإحكام لظهر خصمه")</f>
        <v>ب) ملاصقًا بإحكام لظهر خصمه</v>
      </c>
      <c r="L69" s="4" t="str">
        <f ca="1">IFERROR(__xludf.DUMMYFUNCTION("GOOGLETRANSLATE(E69,""en"",""ar"")"),"إنه يحافظ على رأسه في وضع آمن وقوي، بالقرب من مركز ثقل خصمه لزيادة قوة رفعه إلى أقصى حد.")</f>
        <v>إنه يحافظ على رأسه في وضع آمن وقوي، بالقرب من مركز ثقل خصمه لزيادة قوة رفعه إلى أقصى حد.</v>
      </c>
      <c r="M69" s="4"/>
      <c r="N69" s="4"/>
      <c r="O69" s="4"/>
      <c r="P69" s="4"/>
      <c r="Q69" s="4"/>
      <c r="R69" s="4"/>
      <c r="S69" s="4"/>
      <c r="T69" s="4"/>
      <c r="U69" s="4"/>
      <c r="V69" s="4"/>
      <c r="W69" s="4"/>
      <c r="X69" s="4"/>
      <c r="Y69" s="4"/>
      <c r="Z69" s="4"/>
      <c r="AA69" s="4"/>
      <c r="AB69" s="4"/>
      <c r="AC69" s="4"/>
      <c r="AD69" s="4"/>
      <c r="AE69" s="4"/>
      <c r="AF69" s="4"/>
      <c r="AG69" s="4"/>
    </row>
    <row r="70" spans="1:33" ht="22.5" customHeight="1" x14ac:dyDescent="0.25">
      <c r="A70" s="2"/>
      <c r="B70" s="2"/>
      <c r="C70" s="2"/>
      <c r="D70" s="2"/>
      <c r="E70" s="2"/>
      <c r="F70" s="4"/>
      <c r="G70" s="4"/>
      <c r="H70" s="6" t="s">
        <v>63</v>
      </c>
      <c r="I70" s="4" t="str">
        <f ca="1">IFERROR(__xludf.DUMMYFUNCTION("GOOGLETRANSLATE(B70,""en"",""ar"")"),"تُستخدم الخلفية الضبابية للحشد لـ...")</f>
        <v>تُستخدم الخلفية الضبابية للحشد لـ...</v>
      </c>
      <c r="J70" s="4" t="str">
        <f ca="1">IFERROR(__xludf.DUMMYFUNCTION("GOOGLETRANSLATE(C70,""en"",""ar"")"),"أ) إظهار أن الجمهور ليس مهمًا، ب) التأكيد على الصراع الرئيسي بين المصارعين، ج) إخفاء هوية المتفرجين، د) الإشارة إلى أن الصورة التُقطت من مسافة بعيدة")</f>
        <v>أ) إظهار أن الجمهور ليس مهمًا، ب) التأكيد على الصراع الرئيسي بين المصارعين، ج) إخفاء هوية المتفرجين، د) الإشارة إلى أن الصورة التُقطت من مسافة بعيدة</v>
      </c>
      <c r="K70" s="4" t="str">
        <f ca="1">IFERROR(__xludf.DUMMYFUNCTION("GOOGLETRANSLATE(D70,""en"",""ar"")"),"ب) التركيز على الصراع المحوري بين المصارعين")</f>
        <v>ب) التركيز على الصراع المحوري بين المصارعين</v>
      </c>
      <c r="L70" s="4" t="str">
        <f ca="1">IFERROR(__xludf.DUMMYFUNCTION("GOOGLETRANSLATE(E70,""en"",""ar"")"),"يؤدي عمق المجال الضحل إلى توجيه عين المشاهد مباشرة إلى الحركة الشديدة في الحلبة.")</f>
        <v>يؤدي عمق المجال الضحل إلى توجيه عين المشاهد مباشرة إلى الحركة الشديدة في الحلبة.</v>
      </c>
      <c r="M70" s="4"/>
      <c r="N70" s="4"/>
      <c r="O70" s="4"/>
      <c r="P70" s="4"/>
      <c r="Q70" s="4"/>
      <c r="R70" s="4"/>
      <c r="S70" s="4"/>
      <c r="T70" s="4"/>
      <c r="U70" s="4"/>
      <c r="V70" s="4"/>
      <c r="W70" s="4"/>
      <c r="X70" s="4"/>
      <c r="Y70" s="4"/>
      <c r="Z70" s="4"/>
      <c r="AA70" s="4"/>
      <c r="AB70" s="4"/>
      <c r="AC70" s="4"/>
      <c r="AD70" s="4"/>
      <c r="AE70" s="4"/>
      <c r="AF70" s="4"/>
      <c r="AG70" s="4"/>
    </row>
    <row r="71" spans="1:33" ht="22.5" customHeight="1" x14ac:dyDescent="0.25">
      <c r="A71" s="2"/>
      <c r="B71" s="2"/>
      <c r="C71" s="2"/>
      <c r="D71" s="2"/>
      <c r="E71" s="2"/>
      <c r="F71" s="4"/>
      <c r="G71" s="4"/>
      <c r="H71" s="7" t="s">
        <v>63</v>
      </c>
      <c r="I71" s="4" t="str">
        <f ca="1">IFERROR(__xludf.DUMMYFUNCTION("GOOGLETRANSLATE(B71,""en"",""ar"")"),"تُعدّ هذه الصورة مثالاً قوياً على منافسة...")</f>
        <v>تُعدّ هذه الصورة مثالاً قوياً على منافسة...</v>
      </c>
      <c r="J71" s="4" t="str">
        <f ca="1">IFERROR(__xludf.DUMMYFUNCTION("GOOGLETRANSLATE(C71,""en"",""ar"")"),"أ) الإرادة، ب) السرعة، ج) القوة، د) جميع ما سبق")</f>
        <v>أ) الإرادة، ب) السرعة، ج) القوة، د) جميع ما سبق</v>
      </c>
      <c r="K71" s="4" t="str">
        <f ca="1">IFERROR(__xludf.DUMMYFUNCTION("GOOGLETRANSLATE(D71,""en"",""ar"")"),"د) جميع ما سبق")</f>
        <v>د) جميع ما سبق</v>
      </c>
      <c r="L71" s="4" t="str">
        <f ca="1">IFERROR(__xludf.DUMMYFUNCTION("GOOGLETRANSLATE(E71,""en"",""ar"")"),"هذه اللحظة هي اختبار للصلابة العقلية (الإرادة)، والسرعة الخاطفة، والأهم من ذلك كله، القوة البدنية المذهلة.")</f>
        <v>هذه اللحظة هي اختبار للصلابة العقلية (الإرادة)، والسرعة الخاطفة، والأهم من ذلك كله، القوة البدنية المذهلة.</v>
      </c>
      <c r="M71" s="4"/>
      <c r="N71" s="4"/>
      <c r="O71" s="4"/>
      <c r="P71" s="4"/>
      <c r="Q71" s="4"/>
      <c r="R71" s="4"/>
      <c r="S71" s="4"/>
      <c r="T71" s="4"/>
      <c r="U71" s="4"/>
      <c r="V71" s="4"/>
      <c r="W71" s="4"/>
      <c r="X71" s="4"/>
      <c r="Y71" s="4"/>
      <c r="Z71" s="4"/>
      <c r="AA71" s="4"/>
      <c r="AB71" s="4"/>
      <c r="AC71" s="4"/>
      <c r="AD71" s="4"/>
      <c r="AE71" s="4"/>
      <c r="AF71" s="4"/>
      <c r="AG71" s="4"/>
    </row>
    <row r="72" spans="1:33" ht="22.5" customHeight="1" x14ac:dyDescent="0.25">
      <c r="A72" s="2"/>
      <c r="B72" s="2"/>
      <c r="C72" s="2"/>
      <c r="D72" s="2"/>
      <c r="E72" s="2"/>
      <c r="F72" s="4"/>
      <c r="G72" s="4"/>
      <c r="H72" s="6" t="s">
        <v>64</v>
      </c>
      <c r="I72" s="4" t="str">
        <f ca="1">IFERROR(__xludf.DUMMYFUNCTION("GOOGLETRANSLATE(B72,""en"",""ar"")"),"ما الذي يفعله المصارع الموجود في المقدمة على الأرجح؟")</f>
        <v>ما الذي يفعله المصارع الموجود في المقدمة على الأرجح؟</v>
      </c>
      <c r="J72" s="4" t="str">
        <f ca="1">IFERROR(__xludf.DUMMYFUNCTION("GOOGLETRANSLATE(C72,""en"",""ar"")"),"أ) بدء المباراة، ب) الانسحاب بعد الفوز، ج) الجدال مع الحكم، د) أخذ استراحة بين الجولات")</f>
        <v>أ) بدء المباراة، ب) الانسحاب بعد الفوز، ج) الجدال مع الحكم، د) أخذ استراحة بين الجولات</v>
      </c>
      <c r="K72" s="4" t="str">
        <f ca="1">IFERROR(__xludf.DUMMYFUNCTION("GOOGLETRANSLATE(D72,""en"",""ar"")"),"ب) الانسحاب بعد تحقيق النصر")</f>
        <v>ب) الانسحاب بعد تحقيق النصر</v>
      </c>
      <c r="L72" s="4" t="str">
        <f ca="1">IFERROR(__xludf.DUMMYFUNCTION("GOOGLETRANSLATE(E72,""en"",""ar"")"),"إن خطواته الواثقة وإيماءات الاحتفال في الحشد توحي بأنه قد فاز للتو في مباراته.")</f>
        <v>إن خطواته الواثقة وإيماءات الاحتفال في الحشد توحي بأنه قد فاز للتو في مباراته.</v>
      </c>
      <c r="M72" s="4"/>
      <c r="N72" s="4"/>
      <c r="O72" s="4"/>
      <c r="P72" s="4"/>
      <c r="Q72" s="4"/>
      <c r="R72" s="4"/>
      <c r="S72" s="4"/>
      <c r="T72" s="4"/>
      <c r="U72" s="4"/>
      <c r="V72" s="4"/>
      <c r="W72" s="4"/>
      <c r="X72" s="4"/>
      <c r="Y72" s="4"/>
      <c r="Z72" s="4"/>
      <c r="AA72" s="4"/>
      <c r="AB72" s="4"/>
      <c r="AC72" s="4"/>
      <c r="AD72" s="4"/>
      <c r="AE72" s="4"/>
      <c r="AF72" s="4"/>
      <c r="AG72" s="4"/>
    </row>
    <row r="73" spans="1:33" ht="22.5" customHeight="1" x14ac:dyDescent="0.25">
      <c r="A73" s="2"/>
      <c r="B73" s="2"/>
      <c r="C73" s="2"/>
      <c r="D73" s="2"/>
      <c r="E73" s="2"/>
      <c r="F73" s="4"/>
      <c r="G73" s="4"/>
      <c r="H73" s="7" t="s">
        <v>64</v>
      </c>
      <c r="I73" s="4" t="str">
        <f ca="1">IFERROR(__xludf.DUMMYFUNCTION("GOOGLETRANSLATE(B73,""en"",""ar"")"),"ما هو الشيء المميز في سروال المصارع القصير؟")</f>
        <v>ما هو الشيء المميز في سروال المصارع القصير؟</v>
      </c>
      <c r="J73" s="4" t="str">
        <f ca="1">IFERROR(__xludf.DUMMYFUNCTION("GOOGLETRANSLATE(C73,""en"",""ar"")"),"أ) إنها ملابس مصارعة تقليدية لقبيلة النوبة، ب) إنها سراويل قصيرة من نادي برشلونة لكرة القدم، ج) إنها بسيطة وخالية من أي علامات، د) إنها مصنوعة من جلد سميك")</f>
        <v>أ) إنها ملابس مصارعة تقليدية لقبيلة النوبة، ب) إنها سراويل قصيرة من نادي برشلونة لكرة القدم، ج) إنها بسيطة وخالية من أي علامات، د) إنها مصنوعة من جلد سميك</v>
      </c>
      <c r="K73" s="4" t="str">
        <f ca="1">IFERROR(__xludf.DUMMYFUNCTION("GOOGLETRANSLATE(D73,""en"",""ar"")"),"ب) إنها سراويل قصيرة من نادي برشلونة لكرة القدم")</f>
        <v>ب) إنها سراويل قصيرة من نادي برشلونة لكرة القدم</v>
      </c>
      <c r="L73" s="4" t="str">
        <f ca="1">IFERROR(__xludf.DUMMYFUNCTION("GOOGLETRANSLATE(E73,""en"",""ar"")"),"يرتدي المصارع شورت رياضي حديث يحمل شعار فريق كرة القدم الإسباني الشهير، نادي برشلونة.")</f>
        <v>يرتدي المصارع شورت رياضي حديث يحمل شعار فريق كرة القدم الإسباني الشهير، نادي برشلونة.</v>
      </c>
      <c r="M73" s="4"/>
      <c r="N73" s="4"/>
      <c r="O73" s="4"/>
      <c r="P73" s="4"/>
      <c r="Q73" s="4"/>
      <c r="R73" s="4"/>
      <c r="S73" s="4"/>
      <c r="T73" s="4"/>
      <c r="U73" s="4"/>
      <c r="V73" s="4"/>
      <c r="W73" s="4"/>
      <c r="X73" s="4"/>
      <c r="Y73" s="4"/>
      <c r="Z73" s="4"/>
      <c r="AA73" s="4"/>
      <c r="AB73" s="4"/>
      <c r="AC73" s="4"/>
      <c r="AD73" s="4"/>
      <c r="AE73" s="4"/>
      <c r="AF73" s="4"/>
      <c r="AG73" s="4"/>
    </row>
    <row r="74" spans="1:33" ht="22.5" customHeight="1" x14ac:dyDescent="0.25">
      <c r="A74" s="2"/>
      <c r="B74" s="2"/>
      <c r="C74" s="2"/>
      <c r="D74" s="2"/>
      <c r="E74" s="2"/>
      <c r="F74" s="4"/>
      <c r="G74" s="4"/>
      <c r="H74" s="6" t="s">
        <v>64</v>
      </c>
      <c r="I74" s="4" t="str">
        <f ca="1">IFERROR(__xludf.DUMMYFUNCTION("GOOGLETRANSLATE(B74,""en"",""ar"")"),"ماذا يرمز إليه الرجل الذي يظهر في الخلفية رافعاً ذراعيه في الهواء؟")</f>
        <v>ماذا يرمز إليه الرجل الذي يظهر في الخلفية رافعاً ذراعيه في الهواء؟</v>
      </c>
      <c r="J74" s="4" t="str">
        <f ca="1">IFERROR(__xludf.DUMMYFUNCTION("GOOGLETRANSLATE(C74,""en"",""ar"")"),"أ) هو يستسلم، ب) هو يُشير إلى بداية المباراة، ج) هو يحتفل بالفوز، د) هو يقوم بتمارين الإطالة")</f>
        <v>أ) هو يستسلم، ب) هو يُشير إلى بداية المباراة، ج) هو يحتفل بالفوز، د) هو يقوم بتمارين الإطالة</v>
      </c>
      <c r="K74" s="4" t="str">
        <f ca="1">IFERROR(__xludf.DUMMYFUNCTION("GOOGLETRANSLATE(D74,""en"",""ar"")"),"ج) إنه يحتفل بالنصر")</f>
        <v>ج) إنه يحتفل بالنصر</v>
      </c>
      <c r="L74" s="4" t="str">
        <f ca="1">IFERROR(__xludf.DUMMYFUNCTION("GOOGLETRANSLATE(E74,""en"",""ar"")"),"رفع الذراعين علامة عالمية للاحتفال، على الأرجح لدعم المصارع الفائز.")</f>
        <v>رفع الذراعين علامة عالمية للاحتفال، على الأرجح لدعم المصارع الفائز.</v>
      </c>
      <c r="M74" s="4"/>
      <c r="N74" s="4"/>
      <c r="O74" s="4"/>
      <c r="P74" s="4"/>
      <c r="Q74" s="4"/>
      <c r="R74" s="4"/>
      <c r="S74" s="4"/>
      <c r="T74" s="4"/>
      <c r="U74" s="4"/>
      <c r="V74" s="4"/>
      <c r="W74" s="4"/>
      <c r="X74" s="4"/>
      <c r="Y74" s="4"/>
      <c r="Z74" s="4"/>
      <c r="AA74" s="4"/>
      <c r="AB74" s="4"/>
      <c r="AC74" s="4"/>
      <c r="AD74" s="4"/>
      <c r="AE74" s="4"/>
      <c r="AF74" s="4"/>
      <c r="AG74" s="4"/>
    </row>
    <row r="75" spans="1:33" ht="22.5" customHeight="1" x14ac:dyDescent="0.25">
      <c r="A75" s="2"/>
      <c r="B75" s="2"/>
      <c r="C75" s="2"/>
      <c r="D75" s="2"/>
      <c r="E75" s="2"/>
      <c r="F75" s="4"/>
      <c r="G75" s="4"/>
      <c r="H75" s="7" t="s">
        <v>64</v>
      </c>
      <c r="I75" s="4" t="str">
        <f ca="1">IFERROR(__xludf.DUMMYFUNCTION("GOOGLETRANSLATE(B75,""en"",""ar"")"),"ماذا يقول شكل جسم المصارع عن هذه الرياضة؟")</f>
        <v>ماذا يقول شكل جسم المصارع عن هذه الرياضة؟</v>
      </c>
      <c r="J75" s="4" t="str">
        <f ca="1">IFERROR(__xludf.DUMMYFUNCTION("GOOGLETRANSLATE(C75,""en"",""ar"")"),"أ) لا تتطلب لياقة بدنية عالية، ب) تُنمّي قوة عضلية عالية ووضوحًا في العضلات، ج) هي رياضة تعتمد بشكل أساسي على تمارين القلب، د) هي لعبة ذهنية أكثر منها بدنية")</f>
        <v>أ) لا تتطلب لياقة بدنية عالية، ب) تُنمّي قوة عضلية عالية ووضوحًا في العضلات، ج) هي رياضة تعتمد بشكل أساسي على تمارين القلب، د) هي لعبة ذهنية أكثر منها بدنية</v>
      </c>
      <c r="K75" s="4" t="str">
        <f ca="1">IFERROR(__xludf.DUMMYFUNCTION("GOOGLETRANSLATE(D75,""en"",""ar"")"),"ب) يطور مستوى عالٍ من القوة العضلية والوضوح العضلي")</f>
        <v>ب) يطور مستوى عالٍ من القوة العضلية والوضوح العضلي</v>
      </c>
      <c r="L75" s="4" t="str">
        <f ca="1">IFERROR(__xludf.DUMMYFUNCTION("GOOGLETRANSLATE(E75,""en"",""ar"")"),"يتمتع المصارع ببنية عضلية قوية للغاية، خاصة في الجزء العلوي من جسمه وجذعه، مما يدل على نتائج التدريب البدني المكثف.")</f>
        <v>يتمتع المصارع ببنية عضلية قوية للغاية، خاصة في الجزء العلوي من جسمه وجذعه، مما يدل على نتائج التدريب البدني المكثف.</v>
      </c>
      <c r="M75" s="4"/>
      <c r="N75" s="4"/>
      <c r="O75" s="4"/>
      <c r="P75" s="4"/>
      <c r="Q75" s="4"/>
      <c r="R75" s="4"/>
      <c r="S75" s="4"/>
      <c r="T75" s="4"/>
      <c r="U75" s="4"/>
      <c r="V75" s="4"/>
      <c r="W75" s="4"/>
      <c r="X75" s="4"/>
      <c r="Y75" s="4"/>
      <c r="Z75" s="4"/>
      <c r="AA75" s="4"/>
      <c r="AB75" s="4"/>
      <c r="AC75" s="4"/>
      <c r="AD75" s="4"/>
      <c r="AE75" s="4"/>
      <c r="AF75" s="4"/>
      <c r="AG75" s="4"/>
    </row>
    <row r="76" spans="1:33" ht="22.5" customHeight="1" x14ac:dyDescent="0.25">
      <c r="A76" s="2"/>
      <c r="B76" s="2"/>
      <c r="C76" s="2"/>
      <c r="D76" s="2"/>
      <c r="E76" s="2"/>
      <c r="F76" s="4"/>
      <c r="G76" s="4"/>
      <c r="H76" s="6" t="s">
        <v>64</v>
      </c>
      <c r="I76" s="4" t="str">
        <f ca="1">IFERROR(__xludf.DUMMYFUNCTION("GOOGLETRANSLATE(B76,""en"",""ar"")"),"المكان هو...")</f>
        <v>المكان هو...</v>
      </c>
      <c r="J76" s="4" t="str">
        <f ca="1">IFERROR(__xludf.DUMMYFUNCTION("GOOGLETRANSLATE(C76,""en"",""ar"")"),"أ) ساحة قرية تقليدية، ب) حلبة مصارعة حديثة مسيجة، ج) صالة ألعاب رياضية داخلية، د) حديقة عشبية")</f>
        <v>أ) ساحة قرية تقليدية، ب) حلبة مصارعة حديثة مسيجة، ج) صالة ألعاب رياضية داخلية، د) حديقة عشبية</v>
      </c>
      <c r="K76" s="4" t="str">
        <f ca="1">IFERROR(__xludf.DUMMYFUNCTION("GOOGLETRANSLATE(D76,""en"",""ar"")"),"ب) حلبة مصارعة حديثة ومسيّجة")</f>
        <v>ب) حلبة مصارعة حديثة ومسيّجة</v>
      </c>
      <c r="L76" s="4" t="str">
        <f ca="1">IFERROR(__xludf.DUMMYFUNCTION("GOOGLETRANSLATE(E76,""en"",""ar"")"),"يظهر سياج معدني أخضر وحشد كبير ومنظم، مما يشير إلى مكان رسمي للمنافسة.")</f>
        <v>يظهر سياج معدني أخضر وحشد كبير ومنظم، مما يشير إلى مكان رسمي للمنافسة.</v>
      </c>
      <c r="M76" s="4"/>
      <c r="N76" s="4"/>
      <c r="O76" s="4"/>
      <c r="P76" s="4"/>
      <c r="Q76" s="4"/>
      <c r="R76" s="4"/>
      <c r="S76" s="4"/>
      <c r="T76" s="4"/>
      <c r="U76" s="4"/>
      <c r="V76" s="4"/>
      <c r="W76" s="4"/>
      <c r="X76" s="4"/>
      <c r="Y76" s="4"/>
      <c r="Z76" s="4"/>
      <c r="AA76" s="4"/>
      <c r="AB76" s="4"/>
      <c r="AC76" s="4"/>
      <c r="AD76" s="4"/>
      <c r="AE76" s="4"/>
      <c r="AF76" s="4"/>
      <c r="AG76" s="4"/>
    </row>
    <row r="77" spans="1:33" ht="22.5" customHeight="1" x14ac:dyDescent="0.25">
      <c r="A77" s="2"/>
      <c r="B77" s="2"/>
      <c r="C77" s="2"/>
      <c r="D77" s="2"/>
      <c r="E77" s="2"/>
      <c r="F77" s="4"/>
      <c r="G77" s="4"/>
      <c r="H77" s="7" t="s">
        <v>64</v>
      </c>
      <c r="I77" s="4" t="str">
        <f ca="1">IFERROR(__xludf.DUMMYFUNCTION("GOOGLETRANSLATE(B77,""en"",""ar"")"),"ما هي الحالة النفسية للمصارع؟")</f>
        <v>ما هي الحالة النفسية للمصارع؟</v>
      </c>
      <c r="J77" s="4" t="str">
        <f ca="1">IFERROR(__xludf.DUMMYFUNCTION("GOOGLETRANSLATE(C77,""en"",""ar"")"),"أ) يبدو حزيناً ومنهزماً، ب) يبدو غاضباً وعدوانياً، ج) يبدو هادئاً وواثقاً ومركزاً، د) يبدو مرتبكاً وضائعاً")</f>
        <v>أ) يبدو حزيناً ومنهزماً، ب) يبدو غاضباً وعدوانياً، ج) يبدو هادئاً وواثقاً ومركزاً، د) يبدو مرتبكاً وضائعاً</v>
      </c>
      <c r="K77" s="4" t="str">
        <f ca="1">IFERROR(__xludf.DUMMYFUNCTION("GOOGLETRANSLATE(D77,""en"",""ar"")"),"ج) يبدو هادئاً وواثقاً ومركزاً")</f>
        <v>ج) يبدو هادئاً وواثقاً ومركزاً</v>
      </c>
      <c r="L77" s="4" t="str">
        <f ca="1">IFERROR(__xludf.DUMMYFUNCTION("GOOGLETRANSLATE(E77,""en"",""ar"")"),"على الرغم من الفوز، إلا أن تعبيره يعكس ثقة جدية بدلاً من الاحتفال العلني.")</f>
        <v>على الرغم من الفوز، إلا أن تعبيره يعكس ثقة جدية بدلاً من الاحتفال العلني.</v>
      </c>
      <c r="M77" s="4"/>
      <c r="N77" s="4"/>
      <c r="O77" s="4"/>
      <c r="P77" s="4"/>
      <c r="Q77" s="4"/>
      <c r="R77" s="4"/>
      <c r="S77" s="4"/>
      <c r="T77" s="4"/>
      <c r="U77" s="4"/>
      <c r="V77" s="4"/>
      <c r="W77" s="4"/>
      <c r="X77" s="4"/>
      <c r="Y77" s="4"/>
      <c r="Z77" s="4"/>
      <c r="AA77" s="4"/>
      <c r="AB77" s="4"/>
      <c r="AC77" s="4"/>
      <c r="AD77" s="4"/>
      <c r="AE77" s="4"/>
      <c r="AF77" s="4"/>
      <c r="AG77" s="4"/>
    </row>
    <row r="78" spans="1:33" ht="22.5" customHeight="1" x14ac:dyDescent="0.25">
      <c r="A78" s="2"/>
      <c r="B78" s="2"/>
      <c r="C78" s="2"/>
      <c r="D78" s="2"/>
      <c r="E78" s="2"/>
      <c r="F78" s="4"/>
      <c r="G78" s="4"/>
      <c r="H78" s="6" t="s">
        <v>64</v>
      </c>
      <c r="I78" s="4" t="str">
        <f ca="1">IFERROR(__xludf.DUMMYFUNCTION("GOOGLETRANSLATE(B78,""en"",""ar"")"),"يُظهر مزيج الرياضة الأفريقية التقليدية مع الملابس الرياضية العالمية الحديثة مثل شورتات نادي برشلونة...")</f>
        <v>يُظهر مزيج الرياضة الأفريقية التقليدية مع الملابس الرياضية العالمية الحديثة مثل شورتات نادي برشلونة...</v>
      </c>
      <c r="J78" s="4" t="str">
        <f ca="1">IFERROR(__xludf.DUMMYFUNCTION("GOOGLETRANSLATE(C78,""en"",""ar"")"),"أ) عزلة ثقافة النوبة، ب) تأثير العولمة على التقاليد المحلية، ج) تحول مصارعة النوبة إلى دوري كرة قدم احترافي، د) تراجع شعبية هذه الرياضة")</f>
        <v>أ) عزلة ثقافة النوبة، ب) تأثير العولمة على التقاليد المحلية، ج) تحول مصارعة النوبة إلى دوري كرة قدم احترافي، د) تراجع شعبية هذه الرياضة</v>
      </c>
      <c r="K78" s="4" t="str">
        <f ca="1">IFERROR(__xludf.DUMMYFUNCTION("GOOGLETRANSLATE(D78,""en"",""ar"")"),"ب) تأثير العولمة على التقاليد المحلية")</f>
        <v>ب) تأثير العولمة على التقاليد المحلية</v>
      </c>
      <c r="L78" s="4" t="str">
        <f ca="1">IFERROR(__xludf.DUMMYFUNCTION("GOOGLETRANSLATE(E78,""en"",""ar"")"),"إنه مثال مثالي على كيفية دمج العلامات التجارية العالمية والتأثيرات الثقافية في الممارسات التقليدية. 🌍")</f>
        <v>إنه مثال مثالي على كيفية دمج العلامات التجارية العالمية والتأثيرات الثقافية في الممارسات التقليدية. 🌍</v>
      </c>
      <c r="M78" s="4"/>
      <c r="N78" s="4"/>
      <c r="O78" s="4"/>
      <c r="P78" s="4"/>
      <c r="Q78" s="4"/>
      <c r="R78" s="4"/>
      <c r="S78" s="4"/>
      <c r="T78" s="4"/>
      <c r="U78" s="4"/>
      <c r="V78" s="4"/>
      <c r="W78" s="4"/>
      <c r="X78" s="4"/>
      <c r="Y78" s="4"/>
      <c r="Z78" s="4"/>
      <c r="AA78" s="4"/>
      <c r="AB78" s="4"/>
      <c r="AC78" s="4"/>
      <c r="AD78" s="4"/>
      <c r="AE78" s="4"/>
      <c r="AF78" s="4"/>
      <c r="AG78" s="4"/>
    </row>
    <row r="79" spans="1:33" ht="22.5" customHeight="1" x14ac:dyDescent="0.25">
      <c r="A79" s="2"/>
      <c r="B79" s="2"/>
      <c r="C79" s="2"/>
      <c r="D79" s="2"/>
      <c r="E79" s="2"/>
      <c r="F79" s="4"/>
      <c r="G79" s="4"/>
      <c r="H79" s="7" t="s">
        <v>64</v>
      </c>
      <c r="I79" s="4" t="str">
        <f ca="1">IFERROR(__xludf.DUMMYFUNCTION("GOOGLETRANSLATE(B79,""en"",""ar"")"),"ماذا يفعل الشخص الذي يرتدي الرداء الأبيض على اليمين؟")</f>
        <v>ماذا يفعل الشخص الذي يرتدي الرداء الأبيض على اليمين؟</v>
      </c>
      <c r="J79" s="4" t="str">
        <f ca="1">IFERROR(__xludf.DUMMYFUNCTION("GOOGLETRANSLATE(C79,""en"",""ar"")"),"أ) إنه يصارع، ب) إنه يدرب الفائز، ج) إنه يحتفل رافعاً يده، د) إنه نائم")</f>
        <v>أ) إنه يصارع، ب) إنه يدرب الفائز، ج) إنه يحتفل رافعاً يده، د) إنه نائم</v>
      </c>
      <c r="K79" s="4" t="str">
        <f ca="1">IFERROR(__xludf.DUMMYFUNCTION("GOOGLETRANSLATE(D79,""en"",""ar"")"),"ج) إنه يحتفل رافعاً يده")</f>
        <v>ج) إنه يحتفل رافعاً يده</v>
      </c>
      <c r="L79" s="4" t="str">
        <f ca="1">IFERROR(__xludf.DUMMYFUNCTION("GOOGLETRANSLATE(E79,""en"",""ar"")"),"ومثل الرجل الموجود في الخلفية، يرفع يده في إشارة إلى النصر أو الدعم.")</f>
        <v>ومثل الرجل الموجود في الخلفية، يرفع يده في إشارة إلى النصر أو الدعم.</v>
      </c>
      <c r="M79" s="4"/>
      <c r="N79" s="4"/>
      <c r="O79" s="4"/>
      <c r="P79" s="4"/>
      <c r="Q79" s="4"/>
      <c r="R79" s="4"/>
      <c r="S79" s="4"/>
      <c r="T79" s="4"/>
      <c r="U79" s="4"/>
      <c r="V79" s="4"/>
      <c r="W79" s="4"/>
      <c r="X79" s="4"/>
      <c r="Y79" s="4"/>
      <c r="Z79" s="4"/>
      <c r="AA79" s="4"/>
      <c r="AB79" s="4"/>
      <c r="AC79" s="4"/>
      <c r="AD79" s="4"/>
      <c r="AE79" s="4"/>
      <c r="AF79" s="4"/>
      <c r="AG79" s="4"/>
    </row>
    <row r="80" spans="1:33" ht="22.5" customHeight="1" x14ac:dyDescent="0.25">
      <c r="A80" s="2"/>
      <c r="B80" s="2"/>
      <c r="C80" s="2"/>
      <c r="D80" s="2"/>
      <c r="E80" s="2"/>
      <c r="F80" s="4"/>
      <c r="G80" s="4"/>
      <c r="H80" s="6" t="s">
        <v>64</v>
      </c>
      <c r="I80" s="4" t="str">
        <f ca="1">IFERROR(__xludf.DUMMYFUNCTION("GOOGLETRANSLATE(B80,""en"",""ar"")"),"واقي الركبة الموجود على ركبة المصارع اليمنى مخصص لـ...")</f>
        <v>واقي الركبة الموجود على ركبة المصارع اليمنى مخصص لـ...</v>
      </c>
      <c r="J80" s="4" t="str">
        <f ca="1">IFERROR(__xludf.DUMMYFUNCTION("GOOGLETRANSLATE(C80,""en"",""ar"")"),"أ) الزينة، ب) الدعم والحماية، ج) حمل غرض صغير، د) أحد متطلبات الزي الرسمي التقليدي")</f>
        <v>أ) الزينة، ب) الدعم والحماية، ج) حمل غرض صغير، د) أحد متطلبات الزي الرسمي التقليدي</v>
      </c>
      <c r="K80" s="4" t="str">
        <f ca="1">IFERROR(__xludf.DUMMYFUNCTION("GOOGLETRANSLATE(D80,""en"",""ar"")"),"ب) الدعم والحماية")</f>
        <v>ب) الدعم والحماية</v>
      </c>
      <c r="L80" s="4" t="str">
        <f ca="1">IFERROR(__xludf.DUMMYFUNCTION("GOOGLETRANSLATE(E80,""en"",""ar"")"),"إنها قطعة من المعدات الرياضية الحديثة تُستخدم لحماية مفصل الركبة من الإجهاد والصدمات.")</f>
        <v>إنها قطعة من المعدات الرياضية الحديثة تُستخدم لحماية مفصل الركبة من الإجهاد والصدمات.</v>
      </c>
      <c r="M80" s="4"/>
      <c r="N80" s="4"/>
      <c r="O80" s="4"/>
      <c r="P80" s="4"/>
      <c r="Q80" s="4"/>
      <c r="R80" s="4"/>
      <c r="S80" s="4"/>
      <c r="T80" s="4"/>
      <c r="U80" s="4"/>
      <c r="V80" s="4"/>
      <c r="W80" s="4"/>
      <c r="X80" s="4"/>
      <c r="Y80" s="4"/>
      <c r="Z80" s="4"/>
      <c r="AA80" s="4"/>
      <c r="AB80" s="4"/>
      <c r="AC80" s="4"/>
      <c r="AD80" s="4"/>
      <c r="AE80" s="4"/>
      <c r="AF80" s="4"/>
      <c r="AG80" s="4"/>
    </row>
    <row r="81" spans="1:33" ht="22.5" customHeight="1" x14ac:dyDescent="0.25">
      <c r="A81" s="2"/>
      <c r="B81" s="2"/>
      <c r="C81" s="2"/>
      <c r="D81" s="2"/>
      <c r="E81" s="2"/>
      <c r="F81" s="4"/>
      <c r="G81" s="4"/>
      <c r="H81" s="7" t="s">
        <v>64</v>
      </c>
      <c r="I81" s="4" t="str">
        <f ca="1">IFERROR(__xludf.DUMMYFUNCTION("GOOGLETRANSLATE(B81,""en"",""ar"")"),"تُجسّد هذه الصورة لحظة من...")</f>
        <v>تُجسّد هذه الصورة لحظة من...</v>
      </c>
      <c r="J81" s="4" t="str">
        <f ca="1">IFERROR(__xludf.DUMMYFUNCTION("GOOGLETRANSLATE(C81,""en"",""ar"")"),"أ) الهزيمة، ب) الانتصار، ج) التوتر قبل المباراة، د) استراحة محايدة في المباراة")</f>
        <v>أ) الهزيمة، ب) الانتصار، ج) التوتر قبل المباراة، د) استراحة محايدة في المباراة</v>
      </c>
      <c r="K81" s="4" t="str">
        <f ca="1">IFERROR(__xludf.DUMMYFUNCTION("GOOGLETRANSLATE(D81,""en"",""ar"")"),"ب) انتصار")</f>
        <v>ب) انتصار</v>
      </c>
      <c r="L81" s="4" t="str">
        <f ca="1">IFERROR(__xludf.DUMMYFUNCTION("GOOGLETRANSLATE(E81,""en"",""ar"")"),"هذا هو ممر الفائز، لحظة انتصار شخصي واعتراف عام.")</f>
        <v>هذا هو ممر الفائز، لحظة انتصار شخصي واعتراف عام.</v>
      </c>
      <c r="M81" s="4"/>
      <c r="N81" s="4"/>
      <c r="O81" s="4"/>
      <c r="P81" s="4"/>
      <c r="Q81" s="4"/>
      <c r="R81" s="4"/>
      <c r="S81" s="4"/>
      <c r="T81" s="4"/>
      <c r="U81" s="4"/>
      <c r="V81" s="4"/>
      <c r="W81" s="4"/>
      <c r="X81" s="4"/>
      <c r="Y81" s="4"/>
      <c r="Z81" s="4"/>
      <c r="AA81" s="4"/>
      <c r="AB81" s="4"/>
      <c r="AC81" s="4"/>
      <c r="AD81" s="4"/>
      <c r="AE81" s="4"/>
      <c r="AF81" s="4"/>
      <c r="AG81" s="4"/>
    </row>
    <row r="82" spans="1:33" ht="22.5" customHeight="1" x14ac:dyDescent="0.25">
      <c r="A82" s="2"/>
      <c r="B82" s="2"/>
      <c r="C82" s="2"/>
      <c r="D82" s="2"/>
      <c r="E82" s="2"/>
      <c r="F82" s="4"/>
      <c r="G82" s="4"/>
      <c r="H82" s="6" t="s">
        <v>65</v>
      </c>
      <c r="I82" s="4" t="str">
        <f ca="1">IFERROR(__xludf.DUMMYFUNCTION("GOOGLETRANSLATE(B82,""en"",""ar"")"),"ما الذي يميز أجواء هذه المباراة عن بعض المباريات الأخرى؟")</f>
        <v>ما الذي يميز أجواء هذه المباراة عن بعض المباريات الأخرى؟</v>
      </c>
      <c r="J82" s="4" t="str">
        <f ca="1">IFERROR(__xludf.DUMMYFUNCTION("GOOGLETRANSLATE(C82,""en"",""ar"")"),"أ) يُقام في ملعب حديث مُسيّج، ب) يُقام في بيئة ريفية تقليدية بدون حواجز رسمية، ج) يُقام في مكان مغلق، د) يُقام ليلاً")</f>
        <v>أ) يُقام في ملعب حديث مُسيّج، ب) يُقام في بيئة ريفية تقليدية بدون حواجز رسمية، ج) يُقام في مكان مغلق، د) يُقام ليلاً</v>
      </c>
      <c r="K82" s="4" t="str">
        <f ca="1">IFERROR(__xludf.DUMMYFUNCTION("GOOGLETRANSLATE(D82,""en"",""ar"")"),"ب) يقع في بيئة ريفية تقليدية أكثر، بدون أي حاجز رسمي")</f>
        <v>ب) يقع في بيئة ريفية تقليدية أكثر، بدون أي حاجز رسمي</v>
      </c>
      <c r="L82" s="4" t="str">
        <f ca="1">IFERROR(__xludf.DUMMYFUNCTION("GOOGLETRANSLATE(E82,""en"",""ar"")"),"يقف الجمهور أو يجلس في دائرة حول المصارعين، مما يشير إلى حدث أقل رسمية وأكثر تقليدية على طراز القرية.")</f>
        <v>يقف الجمهور أو يجلس في دائرة حول المصارعين، مما يشير إلى حدث أقل رسمية وأكثر تقليدية على طراز القرية.</v>
      </c>
      <c r="M82" s="4"/>
      <c r="N82" s="4"/>
      <c r="O82" s="4"/>
      <c r="P82" s="4"/>
      <c r="Q82" s="4"/>
      <c r="R82" s="4"/>
      <c r="S82" s="4"/>
      <c r="T82" s="4"/>
      <c r="U82" s="4"/>
      <c r="V82" s="4"/>
      <c r="W82" s="4"/>
      <c r="X82" s="4"/>
      <c r="Y82" s="4"/>
      <c r="Z82" s="4"/>
      <c r="AA82" s="4"/>
      <c r="AB82" s="4"/>
      <c r="AC82" s="4"/>
      <c r="AD82" s="4"/>
      <c r="AE82" s="4"/>
      <c r="AF82" s="4"/>
      <c r="AG82" s="4"/>
    </row>
    <row r="83" spans="1:33" ht="22.5" customHeight="1" x14ac:dyDescent="0.25">
      <c r="A83" s="2"/>
      <c r="B83" s="2"/>
      <c r="C83" s="2"/>
      <c r="D83" s="2"/>
      <c r="E83" s="2"/>
      <c r="F83" s="4"/>
      <c r="G83" s="4"/>
      <c r="H83" s="7" t="s">
        <v>65</v>
      </c>
      <c r="I83" s="4" t="str">
        <f ca="1">IFERROR(__xludf.DUMMYFUNCTION("GOOGLETRANSLATE(B83,""en"",""ar"")"),"ماذا يفعل المصارعان؟")</f>
        <v>ماذا يفعل المصارعان؟</v>
      </c>
      <c r="J83" s="4" t="str">
        <f ca="1">IFERROR(__xludf.DUMMYFUNCTION("GOOGLETRANSLATE(C83,""en"",""ar"")"),"أ) المصافحة، ب) الاشتباك في محاولة لتحقيق الأفضلية، ج) أداء رقصة، د) أخذ استراحة")</f>
        <v>أ) المصافحة، ب) الاشتباك في محاولة لتحقيق الأفضلية، ج) أداء رقصة، د) أخذ استراحة</v>
      </c>
      <c r="K83" s="4" t="str">
        <f ca="1">IFERROR(__xludf.DUMMYFUNCTION("GOOGLETRANSLATE(D83,""en"",""ar"")"),"ب) عالق في اشتباك، محاولاً الحصول على الأفضلية")</f>
        <v>ب) عالق في اشتباك، محاولاً الحصول على الأفضلية</v>
      </c>
      <c r="L83" s="4" t="str">
        <f ca="1">IFERROR(__xludf.DUMMYFUNCTION("GOOGLETRANSLATE(E83,""en"",""ar"")"),"يتشابكان معًا، ويحاول كل منهما استخدام قبضته لتجهيز رمية على الآخر.")</f>
        <v>يتشابكان معًا، ويحاول كل منهما استخدام قبضته لتجهيز رمية على الآخر.</v>
      </c>
      <c r="M83" s="4"/>
      <c r="N83" s="4"/>
      <c r="O83" s="4"/>
      <c r="P83" s="4"/>
      <c r="Q83" s="4"/>
      <c r="R83" s="4"/>
      <c r="S83" s="4"/>
      <c r="T83" s="4"/>
      <c r="U83" s="4"/>
      <c r="V83" s="4"/>
      <c r="W83" s="4"/>
      <c r="X83" s="4"/>
      <c r="Y83" s="4"/>
      <c r="Z83" s="4"/>
      <c r="AA83" s="4"/>
      <c r="AB83" s="4"/>
      <c r="AC83" s="4"/>
      <c r="AD83" s="4"/>
      <c r="AE83" s="4"/>
      <c r="AF83" s="4"/>
      <c r="AG83" s="4"/>
    </row>
    <row r="84" spans="1:33" ht="22.5" customHeight="1" x14ac:dyDescent="0.25">
      <c r="A84" s="2"/>
      <c r="B84" s="2"/>
      <c r="C84" s="2"/>
      <c r="D84" s="2"/>
      <c r="E84" s="2"/>
      <c r="F84" s="4"/>
      <c r="G84" s="4"/>
      <c r="H84" s="6" t="s">
        <v>65</v>
      </c>
      <c r="I84" s="4" t="str">
        <f ca="1">IFERROR(__xludf.DUMMYFUNCTION("GOOGLETRANSLATE(B84,""en"",""ar"")"),"ما دلالة الغبار الذي تثيره أقدامهم؟")</f>
        <v>ما دلالة الغبار الذي تثيره أقدامهم؟</v>
      </c>
      <c r="J84" s="4" t="str">
        <f ca="1">IFERROR(__xludf.DUMMYFUNCTION("GOOGLETRANSLATE(C84,""en"",""ar"")"),"أ) يُظهر أن الأرض مبتلة، ب) يُوضح حركتهم الديناميكية وصراعهم من أجل التوازن، ج) إنه تأثير خاص تم إنشاؤه للصورة، د) يعني بداية عاصفة رملية")</f>
        <v>أ) يُظهر أن الأرض مبتلة، ب) يُوضح حركتهم الديناميكية وصراعهم من أجل التوازن، ج) إنه تأثير خاص تم إنشاؤه للصورة، د) يعني بداية عاصفة رملية</v>
      </c>
      <c r="K84" s="4" t="str">
        <f ca="1">IFERROR(__xludf.DUMMYFUNCTION("GOOGLETRANSLATE(D84,""en"",""ar"")"),"ب) يوضح ذلك حركتهم الديناميكية وصراعهم من أجل ترسيخ أقدامهم")</f>
        <v>ب) يوضح ذلك حركتهم الديناميكية وصراعهم من أجل ترسيخ أقدامهم</v>
      </c>
      <c r="L84" s="4" t="str">
        <f ca="1">IFERROR(__xludf.DUMMYFUNCTION("GOOGLETRANSLATE(E84,""en"",""ar"")"),"إن الرمال المضطربة هي نتيجة مباشرة لحركات أرجلهم القوية أثناء دفعهم وسحبهم من أجل السيطرة.")</f>
        <v>إن الرمال المضطربة هي نتيجة مباشرة لحركات أرجلهم القوية أثناء دفعهم وسحبهم من أجل السيطرة.</v>
      </c>
      <c r="M84" s="4"/>
      <c r="N84" s="4"/>
      <c r="O84" s="4"/>
      <c r="P84" s="4"/>
      <c r="Q84" s="4"/>
      <c r="R84" s="4"/>
      <c r="S84" s="4"/>
      <c r="T84" s="4"/>
      <c r="U84" s="4"/>
      <c r="V84" s="4"/>
      <c r="W84" s="4"/>
      <c r="X84" s="4"/>
      <c r="Y84" s="4"/>
      <c r="Z84" s="4"/>
      <c r="AA84" s="4"/>
      <c r="AB84" s="4"/>
      <c r="AC84" s="4"/>
      <c r="AD84" s="4"/>
      <c r="AE84" s="4"/>
      <c r="AF84" s="4"/>
      <c r="AG84" s="4"/>
    </row>
    <row r="85" spans="1:33" ht="22.5" customHeight="1" x14ac:dyDescent="0.25">
      <c r="A85" s="2"/>
      <c r="B85" s="2"/>
      <c r="C85" s="2"/>
      <c r="D85" s="2"/>
      <c r="E85" s="2"/>
      <c r="F85" s="4"/>
      <c r="G85" s="4"/>
      <c r="H85" s="7" t="s">
        <v>65</v>
      </c>
      <c r="I85" s="4" t="str">
        <f ca="1">IFERROR(__xludf.DUMMYFUNCTION("GOOGLETRANSLATE(B85,""en"",""ar"")"),"ما هو الحيوان الظاهر في الخلفية على اليمين؟")</f>
        <v>ما هو الحيوان الظاهر في الخلفية على اليمين؟</v>
      </c>
      <c r="J85" s="4" t="str">
        <f ca="1">IFERROR(__xludf.DUMMYFUNCTION("GOOGLETRANSLATE(C85,""en"",""ar"")"),"أ) حصان، ب) جمل، ج) بقرة أو ثور، د) ماعز")</f>
        <v>أ) حصان، ب) جمل، ج) بقرة أو ثور، د) ماعز</v>
      </c>
      <c r="K85" s="4" t="str">
        <f ca="1">IFERROR(__xludf.DUMMYFUNCTION("GOOGLETRANSLATE(D85,""en"",""ar"")"),"ج) بقرة أو ثور")</f>
        <v>ج) بقرة أو ثور</v>
      </c>
      <c r="L85" s="4" t="str">
        <f ca="1">IFERROR(__xludf.DUMMYFUNCTION("GOOGLETRANSLATE(E85,""en"",""ar"")"),"يظهر حيوان بقري داكن اللون، من المحتمل أن يكون ثورًا أو بقرة، خلف الحشد مباشرة، وهو مشهد شائع في المناطق الريفية.")</f>
        <v>يظهر حيوان بقري داكن اللون، من المحتمل أن يكون ثورًا أو بقرة، خلف الحشد مباشرة، وهو مشهد شائع في المناطق الريفية.</v>
      </c>
      <c r="M85" s="4"/>
      <c r="N85" s="4"/>
      <c r="O85" s="4"/>
      <c r="P85" s="4"/>
      <c r="Q85" s="4"/>
      <c r="R85" s="4"/>
      <c r="S85" s="4"/>
      <c r="T85" s="4"/>
      <c r="U85" s="4"/>
      <c r="V85" s="4"/>
      <c r="W85" s="4"/>
      <c r="X85" s="4"/>
      <c r="Y85" s="4"/>
      <c r="Z85" s="4"/>
      <c r="AA85" s="4"/>
      <c r="AB85" s="4"/>
      <c r="AC85" s="4"/>
      <c r="AD85" s="4"/>
      <c r="AE85" s="4"/>
      <c r="AF85" s="4"/>
      <c r="AG85" s="4"/>
    </row>
    <row r="86" spans="1:33" ht="22.5" customHeight="1" x14ac:dyDescent="0.25">
      <c r="A86" s="2"/>
      <c r="B86" s="2"/>
      <c r="C86" s="2"/>
      <c r="D86" s="2"/>
      <c r="E86" s="2"/>
      <c r="F86" s="4"/>
      <c r="G86" s="4"/>
      <c r="H86" s="6" t="s">
        <v>65</v>
      </c>
      <c r="I86" s="4" t="str">
        <f ca="1">IFERROR(__xludf.DUMMYFUNCTION("GOOGLETRANSLATE(B86,""en"",""ar"")"),"يتألف حشد المتفرجين من...")</f>
        <v>يتألف حشد المتفرجين من...</v>
      </c>
      <c r="J86" s="4" t="str">
        <f ca="1">IFERROR(__xludf.DUMMYFUNCTION("GOOGLETRANSLATE(C86,""en"",""ar"")"),"أ) معظمهم سياح، ب) أفراد من المجتمع المحلي، ج) مصارعون آخرون ينتظرون دورهم، د) الحكام والقضاة")</f>
        <v>أ) معظمهم سياح، ب) أفراد من المجتمع المحلي، ج) مصارعون آخرون ينتظرون دورهم، د) الحكام والقضاة</v>
      </c>
      <c r="K86" s="4" t="str">
        <f ca="1">IFERROR(__xludf.DUMMYFUNCTION("GOOGLETRANSLATE(D86,""en"",""ar"")"),"ب) أفراد المجتمع المحلي")</f>
        <v>ب) أفراد المجتمع المحلي</v>
      </c>
      <c r="L86" s="4" t="str">
        <f ca="1">IFERROR(__xludf.DUMMYFUNCTION("GOOGLETRANSLATE(E86,""en"",""ar"")"),"يتميز هذا التجمع بطابع حدث مجتمعي، حيث يجتمع السكان المحليون لمشاهدة الرياضة التقليدية.")</f>
        <v>يتميز هذا التجمع بطابع حدث مجتمعي، حيث يجتمع السكان المحليون لمشاهدة الرياضة التقليدية.</v>
      </c>
      <c r="M86" s="4"/>
      <c r="N86" s="4"/>
      <c r="O86" s="4"/>
      <c r="P86" s="4"/>
      <c r="Q86" s="4"/>
      <c r="R86" s="4"/>
      <c r="S86" s="4"/>
      <c r="T86" s="4"/>
      <c r="U86" s="4"/>
      <c r="V86" s="4"/>
      <c r="W86" s="4"/>
      <c r="X86" s="4"/>
      <c r="Y86" s="4"/>
      <c r="Z86" s="4"/>
      <c r="AA86" s="4"/>
      <c r="AB86" s="4"/>
      <c r="AC86" s="4"/>
      <c r="AD86" s="4"/>
      <c r="AE86" s="4"/>
      <c r="AF86" s="4"/>
      <c r="AG86" s="4"/>
    </row>
    <row r="87" spans="1:33" ht="22.5" customHeight="1" x14ac:dyDescent="0.25">
      <c r="A87" s="2"/>
      <c r="B87" s="2"/>
      <c r="C87" s="2"/>
      <c r="D87" s="2"/>
      <c r="E87" s="2"/>
      <c r="F87" s="4"/>
      <c r="G87" s="4"/>
      <c r="H87" s="7" t="s">
        <v>65</v>
      </c>
      <c r="I87" s="4" t="str">
        <f ca="1">IFERROR(__xludf.DUMMYFUNCTION("GOOGLETRANSLATE(B87,""en"",""ar"")"),"المصارعون حفاة، وهذا يُعد ميزة لـ...")</f>
        <v>المصارعون حفاة، وهذا يُعد ميزة لـ...</v>
      </c>
      <c r="J87" s="4" t="str">
        <f ca="1">IFERROR(__xludf.DUMMYFUNCTION("GOOGLETRANSLATE(C87,""en"",""ar"")"),"أ) الجري بسرعة أكبر، ب) الحصول على ثبات أفضل على الرمال، ج) الحفاظ على نظافة أقدامهم، د) لا يوفر أي ميزة")</f>
        <v>أ) الجري بسرعة أكبر، ب) الحصول على ثبات أفضل على الرمال، ج) الحفاظ على نظافة أقدامهم، د) لا يوفر أي ميزة</v>
      </c>
      <c r="K87" s="4" t="str">
        <f ca="1">IFERROR(__xludf.DUMMYFUNCTION("GOOGLETRANSLATE(D87,""en"",""ar"")"),"ب) الحصول على ثبات أفضل في الرمال")</f>
        <v>ب) الحصول على ثبات أفضل في الرمال</v>
      </c>
      <c r="L87" s="4" t="str">
        <f ca="1">IFERROR(__xludf.DUMMYFUNCTION("GOOGLETRANSLATE(E87,""en"",""ar"")"),"إن المشي حافي القدمين يسمح للمصارعين بالشعور بالأرض واستخدام أصابع أقدامهم للحفر للحصول على قوة جر أفضل ورافعة أكبر.")</f>
        <v>إن المشي حافي القدمين يسمح للمصارعين بالشعور بالأرض واستخدام أصابع أقدامهم للحفر للحصول على قوة جر أفضل ورافعة أكبر.</v>
      </c>
      <c r="M87" s="4"/>
      <c r="N87" s="4"/>
      <c r="O87" s="4"/>
      <c r="P87" s="4"/>
      <c r="Q87" s="4"/>
      <c r="R87" s="4"/>
      <c r="S87" s="4"/>
      <c r="T87" s="4"/>
      <c r="U87" s="4"/>
      <c r="V87" s="4"/>
      <c r="W87" s="4"/>
      <c r="X87" s="4"/>
      <c r="Y87" s="4"/>
      <c r="Z87" s="4"/>
      <c r="AA87" s="4"/>
      <c r="AB87" s="4"/>
      <c r="AC87" s="4"/>
      <c r="AD87" s="4"/>
      <c r="AE87" s="4"/>
      <c r="AF87" s="4"/>
      <c r="AG87" s="4"/>
    </row>
    <row r="88" spans="1:33" ht="22.5" customHeight="1" x14ac:dyDescent="0.25">
      <c r="A88" s="2"/>
      <c r="B88" s="2"/>
      <c r="C88" s="2"/>
      <c r="D88" s="2"/>
      <c r="E88" s="2"/>
      <c r="F88" s="4"/>
      <c r="G88" s="4"/>
      <c r="H88" s="6" t="s">
        <v>65</v>
      </c>
      <c r="I88" s="4" t="str">
        <f ca="1">IFERROR(__xludf.DUMMYFUNCTION("GOOGLETRANSLATE(B88,""en"",""ar"")"),"ما هي القطعة العصرية التي يرتديها المصارع الموجود على اليسار؟")</f>
        <v>ما هي القطعة العصرية التي يرتديها المصارع الموجود على اليسار؟</v>
      </c>
      <c r="J88" s="4" t="str">
        <f ca="1">IFERROR(__xludf.DUMMYFUNCTION("GOOGLETRANSLATE(C88,""en"",""ar"")"),"أ) ساعة، ب) حزام، ج) نظارة شمسية، د) قبعة")</f>
        <v>أ) ساعة، ب) حزام، ج) نظارة شمسية، د) قبعة</v>
      </c>
      <c r="K88" s="4" t="str">
        <f ca="1">IFERROR(__xludf.DUMMYFUNCTION("GOOGLETRANSLATE(D88,""en"",""ar"")"),"ب) حزام")</f>
        <v>ب) حزام</v>
      </c>
      <c r="L88" s="4" t="str">
        <f ca="1">IFERROR(__xludf.DUMMYFUNCTION("GOOGLETRANSLATE(E88,""en"",""ar"")"),"يرتدي حزاماً عصرياً منسوجاً مع سرواله القصير.")</f>
        <v>يرتدي حزاماً عصرياً منسوجاً مع سرواله القصير.</v>
      </c>
      <c r="M88" s="4"/>
      <c r="N88" s="4"/>
      <c r="O88" s="4"/>
      <c r="P88" s="4"/>
      <c r="Q88" s="4"/>
      <c r="R88" s="4"/>
      <c r="S88" s="4"/>
      <c r="T88" s="4"/>
      <c r="U88" s="4"/>
      <c r="V88" s="4"/>
      <c r="W88" s="4"/>
      <c r="X88" s="4"/>
      <c r="Y88" s="4"/>
      <c r="Z88" s="4"/>
      <c r="AA88" s="4"/>
      <c r="AB88" s="4"/>
      <c r="AC88" s="4"/>
      <c r="AD88" s="4"/>
      <c r="AE88" s="4"/>
      <c r="AF88" s="4"/>
      <c r="AG88" s="4"/>
    </row>
    <row r="89" spans="1:33" ht="22.5" customHeight="1" x14ac:dyDescent="0.25">
      <c r="A89" s="2"/>
      <c r="B89" s="2"/>
      <c r="C89" s="2"/>
      <c r="D89" s="2"/>
      <c r="E89" s="2"/>
      <c r="F89" s="4"/>
      <c r="G89" s="4"/>
      <c r="H89" s="7" t="s">
        <v>65</v>
      </c>
      <c r="I89" s="4" t="str">
        <f ca="1">IFERROR(__xludf.DUMMYFUNCTION("GOOGLETRANSLATE(B89,""en"",""ar"")"),"تُظهر هذه الصورة النوبة وهي تتصارع كـ...")</f>
        <v>تُظهر هذه الصورة النوبة وهي تتصارع كـ...</v>
      </c>
      <c r="J89" s="4" t="str">
        <f ca="1">IFERROR(__xludf.DUMMYFUNCTION("GOOGLETRANSLATE(C89,""en"",""ar"")"),"أ) عرض تجاري ضخم، ب) جزء حيوي من حياة المجتمع، ج) رياضة حصرية للأثرياء، د) فن نادر جدًا ونادر الممارسة")</f>
        <v>أ) عرض تجاري ضخم، ب) جزء حيوي من حياة المجتمع، ج) رياضة حصرية للأثرياء، د) فن نادر جدًا ونادر الممارسة</v>
      </c>
      <c r="K89" s="4" t="str">
        <f ca="1">IFERROR(__xludf.DUMMYFUNCTION("GOOGLETRANSLATE(D89,""en"",""ar"")"),"ب) جزء حيوي من حياة المجتمع")</f>
        <v>ب) جزء حيوي من حياة المجتمع</v>
      </c>
      <c r="L89" s="4" t="str">
        <f ca="1">IFERROR(__xludf.DUMMYFUNCTION("GOOGLETRANSLATE(E89,""en"",""ar"")"),"يُظهر الجو غير الرسمي والجمهور المحلي المتفاعل أن هذه الرياضة جزء لا يتجزأ من التجمعات الاجتماعية في جبال النوبة.")</f>
        <v>يُظهر الجو غير الرسمي والجمهور المحلي المتفاعل أن هذه الرياضة جزء لا يتجزأ من التجمعات الاجتماعية في جبال النوبة.</v>
      </c>
      <c r="M89" s="4"/>
      <c r="N89" s="4"/>
      <c r="O89" s="4"/>
      <c r="P89" s="4"/>
      <c r="Q89" s="4"/>
      <c r="R89" s="4"/>
      <c r="S89" s="4"/>
      <c r="T89" s="4"/>
      <c r="U89" s="4"/>
      <c r="V89" s="4"/>
      <c r="W89" s="4"/>
      <c r="X89" s="4"/>
      <c r="Y89" s="4"/>
      <c r="Z89" s="4"/>
      <c r="AA89" s="4"/>
      <c r="AB89" s="4"/>
      <c r="AC89" s="4"/>
      <c r="AD89" s="4"/>
      <c r="AE89" s="4"/>
      <c r="AF89" s="4"/>
      <c r="AG89" s="4"/>
    </row>
    <row r="90" spans="1:33" ht="22.5" customHeight="1" x14ac:dyDescent="0.25">
      <c r="A90" s="2"/>
      <c r="B90" s="2"/>
      <c r="C90" s="2"/>
      <c r="D90" s="2"/>
      <c r="E90" s="2"/>
      <c r="F90" s="4"/>
      <c r="G90" s="4"/>
      <c r="H90" s="6" t="s">
        <v>65</v>
      </c>
      <c r="I90" s="4" t="str">
        <f ca="1">IFERROR(__xludf.DUMMYFUNCTION("GOOGLETRANSLATE(B90,""en"",""ar"")"),"وضعية المصارعين منخفضة على الأرض. لماذا؟")</f>
        <v>وضعية المصارعين منخفضة على الأرض. لماذا؟</v>
      </c>
      <c r="J90" s="4" t="str">
        <f ca="1">IFERROR(__xludf.DUMMYFUNCTION("GOOGLETRANSLATE(C90,""en"",""ar"")"),"أ) لتسهيل الرؤية، ب) لخفض مركز ثقلها وجعل رميها أصعب، ج) لأنها متعبة، د) إنها علامة احترام")</f>
        <v>أ) لتسهيل الرؤية، ب) لخفض مركز ثقلها وجعل رميها أصعب، ج) لأنها متعبة، د) إنها علامة احترام</v>
      </c>
      <c r="K90" s="4" t="str">
        <f ca="1">IFERROR(__xludf.DUMMYFUNCTION("GOOGLETRANSLATE(D90,""en"",""ar"")"),"ب) لخفض مركز ثقلها وجعل رميها أكثر صعوبة")</f>
        <v>ب) لخفض مركز ثقلها وجعل رميها أكثر صعوبة</v>
      </c>
      <c r="L90" s="4" t="str">
        <f ca="1">IFERROR(__xludf.DUMMYFUNCTION("GOOGLETRANSLATE(E90,""en"",""ar"")"),"يوفر مركز الثقل المنخفض الاستقرار ويجعل من الصعب على الخصم رفعك وزعزعة توازنك.")</f>
        <v>يوفر مركز الثقل المنخفض الاستقرار ويجعل من الصعب على الخصم رفعك وزعزعة توازنك.</v>
      </c>
      <c r="M90" s="4"/>
      <c r="N90" s="4"/>
      <c r="O90" s="4"/>
      <c r="P90" s="4"/>
      <c r="Q90" s="4"/>
      <c r="R90" s="4"/>
      <c r="S90" s="4"/>
      <c r="T90" s="4"/>
      <c r="U90" s="4"/>
      <c r="V90" s="4"/>
      <c r="W90" s="4"/>
      <c r="X90" s="4"/>
      <c r="Y90" s="4"/>
      <c r="Z90" s="4"/>
      <c r="AA90" s="4"/>
      <c r="AB90" s="4"/>
      <c r="AC90" s="4"/>
      <c r="AD90" s="4"/>
      <c r="AE90" s="4"/>
      <c r="AF90" s="4"/>
      <c r="AG90" s="4"/>
    </row>
    <row r="91" spans="1:33" ht="22.5" customHeight="1" x14ac:dyDescent="0.25">
      <c r="A91" s="2"/>
      <c r="B91" s="2"/>
      <c r="C91" s="2"/>
      <c r="D91" s="2"/>
      <c r="E91" s="2"/>
      <c r="F91" s="4"/>
      <c r="G91" s="4"/>
      <c r="H91" s="7" t="s">
        <v>65</v>
      </c>
      <c r="I91" s="4" t="str">
        <f ca="1">IFERROR(__xludf.DUMMYFUNCTION("GOOGLETRANSLATE(B91,""en"",""ar"")"),"تشير الإضاءة إلى أن المباراة جارية...")</f>
        <v>تشير الإضاءة إلى أن المباراة جارية...</v>
      </c>
      <c r="J91" s="4" t="str">
        <f ca="1">IFERROR(__xludf.DUMMYFUNCTION("GOOGLETRANSLATE(C91,""en"",""ar"")"),"أ) في الصباح الباكر أو في وقت متأخر من بعد الظهر، ب) في منتصف الليل، ج) في ذروة الظهيرة تحت أشعة الشمس الحارقة، د) في الداخل تحت الإضاءة الاصطناعية")</f>
        <v>أ) في الصباح الباكر أو في وقت متأخر من بعد الظهر، ب) في منتصف الليل، ج) في ذروة الظهيرة تحت أشعة الشمس الحارقة، د) في الداخل تحت الإضاءة الاصطناعية</v>
      </c>
      <c r="K91" s="4" t="str">
        <f ca="1">IFERROR(__xludf.DUMMYFUNCTION("GOOGLETRANSLATE(D91,""en"",""ar"")"),"أ) في الصباح الباكر أو في وقت متأخر من بعد الظهر")</f>
        <v>أ) في الصباح الباكر أو في وقت متأخر من بعد الظهر</v>
      </c>
      <c r="L91" s="4" t="str">
        <f ca="1">IFERROR(__xludf.DUMMYFUNCTION("GOOGLETRANSLATE(E91,""en"",""ar"")"),"يتميز الضوء الناعم والمائل بكون الشمس منخفضة في السماء، وهي الأوقات الأكثر برودة والأكثر شيوعًا لحدوث هذه الظواهر.")</f>
        <v>يتميز الضوء الناعم والمائل بكون الشمس منخفضة في السماء، وهي الأوقات الأكثر برودة والأكثر شيوعًا لحدوث هذه الظواهر.</v>
      </c>
      <c r="M91" s="4"/>
      <c r="N91" s="4"/>
      <c r="O91" s="4"/>
      <c r="P91" s="4"/>
      <c r="Q91" s="4"/>
      <c r="R91" s="4"/>
      <c r="S91" s="4"/>
      <c r="T91" s="4"/>
      <c r="U91" s="4"/>
      <c r="V91" s="4"/>
      <c r="W91" s="4"/>
      <c r="X91" s="4"/>
      <c r="Y91" s="4"/>
      <c r="Z91" s="4"/>
      <c r="AA91" s="4"/>
      <c r="AB91" s="4"/>
      <c r="AC91" s="4"/>
      <c r="AD91" s="4"/>
      <c r="AE91" s="4"/>
      <c r="AF91" s="4"/>
      <c r="AG91" s="4"/>
    </row>
    <row r="92" spans="1:33" ht="22.5" customHeight="1" x14ac:dyDescent="0.25">
      <c r="A92" s="2"/>
      <c r="B92" s="2"/>
      <c r="C92" s="2"/>
      <c r="D92" s="2"/>
      <c r="E92" s="2"/>
      <c r="F92" s="4"/>
      <c r="G92" s="4"/>
      <c r="H92" s="6" t="s">
        <v>66</v>
      </c>
      <c r="I92" s="4" t="str">
        <f ca="1">IFERROR(__xludf.DUMMYFUNCTION("GOOGLETRANSLATE(B92,""en"",""ar"")"),"ما الذي يحمله الرجل الذي يرتدي قميصاً أصفر في الخلفية؟")</f>
        <v>ما الذي يحمله الرجل الذي يرتدي قميصاً أصفر في الخلفية؟</v>
      </c>
      <c r="J92" s="4" t="str">
        <f ca="1">IFERROR(__xludf.DUMMYFUNCTION("GOOGLETRANSLATE(C92,""en"",""ar"")"),"أ) آلة موسيقية، ب) كاميرا، ج) مكبر صوت، د) علم")</f>
        <v>أ) آلة موسيقية، ب) كاميرا، ج) مكبر صوت، د) علم</v>
      </c>
      <c r="K92" s="4" t="str">
        <f ca="1">IFERROR(__xludf.DUMMYFUNCTION("GOOGLETRANSLATE(D92,""en"",""ar"")"),"ج) مكبر صوت")</f>
        <v>ج) مكبر صوت</v>
      </c>
      <c r="L92" s="4" t="str">
        <f ca="1">IFERROR(__xludf.DUMMYFUNCTION("GOOGLETRANSLATE(E92,""en"",""ar"")"),"إنه يحمل مكبر صوت، ومن المرجح أنه يعمل كمقدم للحفل أو مذيع أو حكم للحدث.")</f>
        <v>إنه يحمل مكبر صوت، ومن المرجح أنه يعمل كمقدم للحفل أو مذيع أو حكم للحدث.</v>
      </c>
      <c r="M92" s="4"/>
      <c r="N92" s="4"/>
      <c r="O92" s="4"/>
      <c r="P92" s="4"/>
      <c r="Q92" s="4"/>
      <c r="R92" s="4"/>
      <c r="S92" s="4"/>
      <c r="T92" s="4"/>
      <c r="U92" s="4"/>
      <c r="V92" s="4"/>
      <c r="W92" s="4"/>
      <c r="X92" s="4"/>
      <c r="Y92" s="4"/>
      <c r="Z92" s="4"/>
      <c r="AA92" s="4"/>
      <c r="AB92" s="4"/>
      <c r="AC92" s="4"/>
      <c r="AD92" s="4"/>
      <c r="AE92" s="4"/>
      <c r="AF92" s="4"/>
      <c r="AG92" s="4"/>
    </row>
    <row r="93" spans="1:33" ht="22.5" customHeight="1" x14ac:dyDescent="0.25">
      <c r="A93" s="2"/>
      <c r="B93" s="2"/>
      <c r="C93" s="2"/>
      <c r="D93" s="2"/>
      <c r="E93" s="2"/>
      <c r="F93" s="4"/>
      <c r="G93" s="4"/>
      <c r="H93" s="7" t="s">
        <v>66</v>
      </c>
      <c r="I93" s="4" t="str">
        <f ca="1">IFERROR(__xludf.DUMMYFUNCTION("GOOGLETRANSLATE(B93,""en"",""ar"")"),"ماذا يفعل المصارع الموجود في المقدمة؟")</f>
        <v>ماذا يفعل المصارع الموجود في المقدمة؟</v>
      </c>
      <c r="J93" s="4" t="str">
        <f ca="1">IFERROR(__xludf.DUMMYFUNCTION("GOOGLETRANSLATE(C93,""en"",""ar"")"),"أ) إنه يتصارع مع خصم، ب) إنه يستعد لمباراته، وربما يؤدي طقوسًا معينة، ج) إنه يحتفل بفوزه، د) إنه يتجادل مع المذيع")</f>
        <v>أ) إنه يتصارع مع خصم، ب) إنه يستعد لمباراته، وربما يؤدي طقوسًا معينة، ج) إنه يحتفل بفوزه، د) إنه يتجادل مع المذيع</v>
      </c>
      <c r="K93" s="4" t="str">
        <f ca="1">IFERROR(__xludf.DUMMYFUNCTION("GOOGLETRANSLATE(D93,""en"",""ar"")"),"ب) إنه يستعد لمباراته، وربما يؤدي طقوساً معينة.")</f>
        <v>ب) إنه يستعد لمباراته، وربما يؤدي طقوساً معينة.</v>
      </c>
      <c r="L93" s="4" t="str">
        <f ca="1">IFERROR(__xludf.DUMMYFUNCTION("GOOGLETRANSLATE(E93,""en"",""ar"")"),"يشير تعبيره المركز ووضعيته المنعزلة إلى أنه يستعد ذهنياً وجسدياً لمباراته القادمة.")</f>
        <v>يشير تعبيره المركز ووضعيته المنعزلة إلى أنه يستعد ذهنياً وجسدياً لمباراته القادمة.</v>
      </c>
      <c r="M93" s="4"/>
      <c r="N93" s="4"/>
      <c r="O93" s="4"/>
      <c r="P93" s="4"/>
      <c r="Q93" s="4"/>
      <c r="R93" s="4"/>
      <c r="S93" s="4"/>
      <c r="T93" s="4"/>
      <c r="U93" s="4"/>
      <c r="V93" s="4"/>
      <c r="W93" s="4"/>
      <c r="X93" s="4"/>
      <c r="Y93" s="4"/>
      <c r="Z93" s="4"/>
      <c r="AA93" s="4"/>
      <c r="AB93" s="4"/>
      <c r="AC93" s="4"/>
      <c r="AD93" s="4"/>
      <c r="AE93" s="4"/>
      <c r="AF93" s="4"/>
      <c r="AG93" s="4"/>
    </row>
    <row r="94" spans="1:33" ht="22.5" customHeight="1" x14ac:dyDescent="0.25">
      <c r="A94" s="2"/>
      <c r="B94" s="2"/>
      <c r="C94" s="2"/>
      <c r="D94" s="2"/>
      <c r="E94" s="2"/>
      <c r="F94" s="4"/>
      <c r="G94" s="4"/>
      <c r="H94" s="6" t="s">
        <v>66</v>
      </c>
      <c r="I94" s="4" t="str">
        <f ca="1">IFERROR(__xludf.DUMMYFUNCTION("GOOGLETRANSLATE(B94,""en"",""ar"")"),"ما الذي يتدلى من سروال المصارع القصير على وركه الأيسر؟")</f>
        <v>ما الذي يتدلى من سروال المصارع القصير على وركه الأيسر؟</v>
      </c>
      <c r="J94" s="4" t="str">
        <f ca="1">IFERROR(__xludf.DUMMYFUNCTION("GOOGLETRANSLATE(C94,""en"",""ar"")"),"أ) هاتف محمول، ب) زجاجة ماء، ج) حقيبة صغيرة أو محفظة، د) تميمة حظ")</f>
        <v>أ) هاتف محمول، ب) زجاجة ماء، ج) حقيبة صغيرة أو محفظة، د) تميمة حظ</v>
      </c>
      <c r="K94" s="4" t="str">
        <f ca="1">IFERROR(__xludf.DUMMYFUNCTION("GOOGLETRANSLATE(D94,""en"",""ar"")"),"ج) حقيبة صغيرة أو محفظة")</f>
        <v>ج) حقيبة صغيرة أو محفظة</v>
      </c>
      <c r="L94" s="4" t="str">
        <f ca="1">IFERROR(__xludf.DUMMYFUNCTION("GOOGLETRANSLATE(E94,""en"",""ar"")"),"توجد حقيبة صغيرة بيج اللون مثبتة على حزام سرواله القصير.")</f>
        <v>توجد حقيبة صغيرة بيج اللون مثبتة على حزام سرواله القصير.</v>
      </c>
      <c r="M94" s="4"/>
      <c r="N94" s="4"/>
      <c r="O94" s="4"/>
      <c r="P94" s="4"/>
      <c r="Q94" s="4"/>
      <c r="R94" s="4"/>
      <c r="S94" s="4"/>
      <c r="T94" s="4"/>
      <c r="U94" s="4"/>
      <c r="V94" s="4"/>
      <c r="W94" s="4"/>
      <c r="X94" s="4"/>
      <c r="Y94" s="4"/>
      <c r="Z94" s="4"/>
      <c r="AA94" s="4"/>
      <c r="AB94" s="4"/>
      <c r="AC94" s="4"/>
      <c r="AD94" s="4"/>
      <c r="AE94" s="4"/>
      <c r="AF94" s="4"/>
      <c r="AG94" s="4"/>
    </row>
    <row r="95" spans="1:33" ht="22.5" customHeight="1" x14ac:dyDescent="0.25">
      <c r="A95" s="2"/>
      <c r="B95" s="2"/>
      <c r="C95" s="2"/>
      <c r="D95" s="2"/>
      <c r="E95" s="2"/>
      <c r="F95" s="4"/>
      <c r="G95" s="4"/>
      <c r="H95" s="7" t="s">
        <v>66</v>
      </c>
      <c r="I95" s="4" t="str">
        <f ca="1">IFERROR(__xludf.DUMMYFUNCTION("GOOGLETRANSLATE(B95,""en"",""ar"")"),"الخلفية التي تقف وراء المصارع مليئة بـ...")</f>
        <v>الخلفية التي تقف وراء المصارع مليئة بـ...</v>
      </c>
      <c r="J95" s="4" t="str">
        <f ca="1">IFERROR(__xludf.DUMMYFUNCTION("GOOGLETRANSLATE(C95,""en"",""ar"")"),"أ) ساحة فارغة، ب) غابة كثيفة، ج) حشد كبير من المتفرجين، د) مسطح مائي")</f>
        <v>أ) ساحة فارغة، ب) غابة كثيفة، ج) حشد كبير من المتفرجين، د) مسطح مائي</v>
      </c>
      <c r="K95" s="4" t="str">
        <f ca="1">IFERROR(__xludf.DUMMYFUNCTION("GOOGLETRANSLATE(D95,""en"",""ar"")"),"ج) حشد كبير من المتفرجين")</f>
        <v>ج) حشد كبير من المتفرجين</v>
      </c>
      <c r="L95" s="4" t="str">
        <f ca="1">IFERROR(__xludf.DUMMYFUNCTION("GOOGLETRANSLATE(E95,""en"",""ar"")"),"مجموعة كبيرة من الناس تراقب من خلف المصارع.")</f>
        <v>مجموعة كبيرة من الناس تراقب من خلف المصارع.</v>
      </c>
      <c r="M95" s="4"/>
      <c r="N95" s="4"/>
      <c r="O95" s="4"/>
      <c r="P95" s="4"/>
      <c r="Q95" s="4"/>
      <c r="R95" s="4"/>
      <c r="S95" s="4"/>
      <c r="T95" s="4"/>
      <c r="U95" s="4"/>
      <c r="V95" s="4"/>
      <c r="W95" s="4"/>
      <c r="X95" s="4"/>
      <c r="Y95" s="4"/>
      <c r="Z95" s="4"/>
      <c r="AA95" s="4"/>
      <c r="AB95" s="4"/>
      <c r="AC95" s="4"/>
      <c r="AD95" s="4"/>
      <c r="AE95" s="4"/>
      <c r="AF95" s="4"/>
      <c r="AG95" s="4"/>
    </row>
    <row r="96" spans="1:33" ht="22.5" customHeight="1" x14ac:dyDescent="0.25">
      <c r="A96" s="2"/>
      <c r="B96" s="2"/>
      <c r="C96" s="2"/>
      <c r="D96" s="2"/>
      <c r="E96" s="2"/>
      <c r="F96" s="4"/>
      <c r="G96" s="4"/>
      <c r="H96" s="6" t="s">
        <v>66</v>
      </c>
      <c r="I96" s="4" t="str">
        <f ca="1">IFERROR(__xludf.DUMMYFUNCTION("GOOGLETRANSLATE(B96,""en"",""ar"")"),"إن استخدام مكبر صوت حديث إلى جانب الرياضة التقليدية يدل على...")</f>
        <v>إن استخدام مكبر صوت حديث إلى جانب الرياضة التقليدية يدل على...</v>
      </c>
      <c r="J96" s="4" t="str">
        <f ca="1">IFERROR(__xludf.DUMMYFUNCTION("GOOGLETRANSLATE(C96,""en"",""ar"")"),"أ) رفض جميع التقنيات الحديثة، ب) تسليع الرياضة بالكامل، ج) مزج الممارسات التقليدية بالأدوات الحديثة، د) عدم اهتمام المجتمع")</f>
        <v>أ) رفض جميع التقنيات الحديثة، ب) تسليع الرياضة بالكامل، ج) مزج الممارسات التقليدية بالأدوات الحديثة، د) عدم اهتمام المجتمع</v>
      </c>
      <c r="K96" s="4" t="str">
        <f ca="1">IFERROR(__xludf.DUMMYFUNCTION("GOOGLETRANSLATE(D96,""en"",""ar"")"),"ج) مزج الممارسات التقليدية مع الأدوات الحديثة")</f>
        <v>ج) مزج الممارسات التقليدية مع الأدوات الحديثة</v>
      </c>
      <c r="L96" s="4" t="str">
        <f ca="1">IFERROR(__xludf.DUMMYFUNCTION("GOOGLETRANSLATE(E96,""en"",""ar"")"),"يوضح ذلك كيف يتم دمج التكنولوجيا الحديثة في الفعاليات التقليدية للمساعدة في تنظيمها والتواصل مع الحشود الكبيرة.")</f>
        <v>يوضح ذلك كيف يتم دمج التكنولوجيا الحديثة في الفعاليات التقليدية للمساعدة في تنظيمها والتواصل مع الحشود الكبيرة.</v>
      </c>
      <c r="M96" s="4"/>
      <c r="N96" s="4"/>
      <c r="O96" s="4"/>
      <c r="P96" s="4"/>
      <c r="Q96" s="4"/>
      <c r="R96" s="4"/>
      <c r="S96" s="4"/>
      <c r="T96" s="4"/>
      <c r="U96" s="4"/>
      <c r="V96" s="4"/>
      <c r="W96" s="4"/>
      <c r="X96" s="4"/>
      <c r="Y96" s="4"/>
      <c r="Z96" s="4"/>
      <c r="AA96" s="4"/>
      <c r="AB96" s="4"/>
      <c r="AC96" s="4"/>
      <c r="AD96" s="4"/>
      <c r="AE96" s="4"/>
      <c r="AF96" s="4"/>
      <c r="AG96" s="4"/>
    </row>
    <row r="97" spans="1:33" ht="22.5" customHeight="1" x14ac:dyDescent="0.25">
      <c r="A97" s="2"/>
      <c r="B97" s="2"/>
      <c r="C97" s="2"/>
      <c r="D97" s="2"/>
      <c r="E97" s="2"/>
      <c r="F97" s="4"/>
      <c r="G97" s="4"/>
      <c r="H97" s="7" t="s">
        <v>66</v>
      </c>
      <c r="I97" s="4" t="str">
        <f ca="1">IFERROR(__xludf.DUMMYFUNCTION("GOOGLETRANSLATE(B97,""en"",""ar"")"),"ما الذي يرتديه المصارع على ذراعه اليسرى العلوية؟")</f>
        <v>ما الذي يرتديه المصارع على ذراعه اليسرى العلوية؟</v>
      </c>
      <c r="J97" s="4" t="str">
        <f ca="1">IFERROR(__xludf.DUMMYFUNCTION("GOOGLETRANSLATE(C97,""en"",""ar"")"),"أ) ساعة، ب) سوار مزخرف، ج) ضمادة، د) وشم")</f>
        <v>أ) ساعة، ب) سوار مزخرف، ج) ضمادة، د) وشم</v>
      </c>
      <c r="K97" s="4" t="str">
        <f ca="1">IFERROR(__xludf.DUMMYFUNCTION("GOOGLETRANSLATE(D97,""en"",""ar"")"),"ب) سوار مزخرف")</f>
        <v>ب) سوار مزخرف</v>
      </c>
      <c r="L97" s="4" t="str">
        <f ca="1">IFERROR(__xludf.DUMMYFUNCTION("GOOGLETRANSLATE(E97,""en"",""ar"")"),"يرتدي شريطاً أسود بسيطاً حول عضلة ذراعه، والذي قد يكون للزينة أو للدلالة على قريته أو مكانته الاجتماعية.")</f>
        <v>يرتدي شريطاً أسود بسيطاً حول عضلة ذراعه، والذي قد يكون للزينة أو للدلالة على قريته أو مكانته الاجتماعية.</v>
      </c>
      <c r="M97" s="4"/>
      <c r="N97" s="4"/>
      <c r="O97" s="4"/>
      <c r="P97" s="4"/>
      <c r="Q97" s="4"/>
      <c r="R97" s="4"/>
      <c r="S97" s="4"/>
      <c r="T97" s="4"/>
      <c r="U97" s="4"/>
      <c r="V97" s="4"/>
      <c r="W97" s="4"/>
      <c r="X97" s="4"/>
      <c r="Y97" s="4"/>
      <c r="Z97" s="4"/>
      <c r="AA97" s="4"/>
      <c r="AB97" s="4"/>
      <c r="AC97" s="4"/>
      <c r="AD97" s="4"/>
      <c r="AE97" s="4"/>
      <c r="AF97" s="4"/>
      <c r="AG97" s="4"/>
    </row>
    <row r="98" spans="1:33" ht="22.5" customHeight="1" x14ac:dyDescent="0.25">
      <c r="A98" s="2"/>
      <c r="B98" s="2"/>
      <c r="C98" s="2"/>
      <c r="D98" s="2"/>
      <c r="E98" s="2"/>
      <c r="F98" s="4"/>
      <c r="G98" s="4"/>
      <c r="H98" s="6" t="s">
        <v>66</v>
      </c>
      <c r="I98" s="4" t="str">
        <f ca="1">IFERROR(__xludf.DUMMYFUNCTION("GOOGLETRANSLATE(B98,""en"",""ar"")"),"الأرض عبارة عن تراب رملي ناعم، وهو مثالي للمصارعة لأنه...")</f>
        <v>الأرض عبارة عن تراب رملي ناعم، وهو مثالي للمصارعة لأنه...</v>
      </c>
      <c r="J98" s="4" t="str">
        <f ca="1">IFERROR(__xludf.DUMMYFUNCTION("GOOGLETRANSLATE(C98,""en"",""ar"")"),"أ) نظيف للغاية، ب) يوفر سطح هبوط ناعم، ج) يسمح بالجري السريع، د) ساخن للغاية")</f>
        <v>أ) نظيف للغاية، ب) يوفر سطح هبوط ناعم، ج) يسمح بالجري السريع، د) ساخن للغاية</v>
      </c>
      <c r="K98" s="4" t="str">
        <f ca="1">IFERROR(__xludf.DUMMYFUNCTION("GOOGLETRANSLATE(D98,""en"",""ar"")"),"ب) سطح هبوط ناعم")</f>
        <v>ب) سطح هبوط ناعم</v>
      </c>
      <c r="L98" s="4" t="str">
        <f ca="1">IFERROR(__xludf.DUMMYFUNCTION("GOOGLETRANSLATE(E98,""en"",""ar"")"),"يساعد الرمل على تخفيف تأثير الرميات القوية التي تعتبر أساسية في هذه الرياضة، مما يجعلها أكثر أمانًا للرياضيين.")</f>
        <v>يساعد الرمل على تخفيف تأثير الرميات القوية التي تعتبر أساسية في هذه الرياضة، مما يجعلها أكثر أمانًا للرياضيين.</v>
      </c>
      <c r="M98" s="4"/>
      <c r="N98" s="4"/>
      <c r="O98" s="4"/>
      <c r="P98" s="4"/>
      <c r="Q98" s="4"/>
      <c r="R98" s="4"/>
      <c r="S98" s="4"/>
      <c r="T98" s="4"/>
      <c r="U98" s="4"/>
      <c r="V98" s="4"/>
      <c r="W98" s="4"/>
      <c r="X98" s="4"/>
      <c r="Y98" s="4"/>
      <c r="Z98" s="4"/>
      <c r="AA98" s="4"/>
      <c r="AB98" s="4"/>
      <c r="AC98" s="4"/>
      <c r="AD98" s="4"/>
      <c r="AE98" s="4"/>
      <c r="AF98" s="4"/>
      <c r="AG98" s="4"/>
    </row>
    <row r="99" spans="1:33" ht="22.5" customHeight="1" x14ac:dyDescent="0.25">
      <c r="A99" s="2"/>
      <c r="B99" s="2"/>
      <c r="C99" s="2"/>
      <c r="D99" s="2"/>
      <c r="E99" s="2"/>
      <c r="F99" s="4"/>
      <c r="G99" s="4"/>
      <c r="H99" s="7" t="s">
        <v>66</v>
      </c>
      <c r="I99" s="4" t="str">
        <f ca="1">IFERROR(__xludf.DUMMYFUNCTION("GOOGLETRANSLATE(B99,""en"",""ar"")"),"موقف المصارع هو...")</f>
        <v>موقف المصارع هو...</v>
      </c>
      <c r="J99" s="4" t="str">
        <f ca="1">IFERROR(__xludf.DUMMYFUNCTION("GOOGLETRANSLATE(C99,""en"",""ar"")"),"أ) مسترخٍ وعفوي، ب) متوتر ومركز، ج) عدواني وغاضب، د) حزين ومكتئب")</f>
        <v>أ) مسترخٍ وعفوي، ب) متوتر ومركز، ج) عدواني وغاضب، د) حزين ومكتئب</v>
      </c>
      <c r="K99" s="4" t="str">
        <f ca="1">IFERROR(__xludf.DUMMYFUNCTION("GOOGLETRANSLATE(D99,""en"",""ar"")"),"ب) متوتر ومركز")</f>
        <v>ب) متوتر ومركز</v>
      </c>
      <c r="L99" s="4" t="str">
        <f ca="1">IFERROR(__xludf.DUMMYFUNCTION("GOOGLETRANSLATE(E99,""en"",""ar"")"),"جسده مهيأ للتحرك ونظراته ثابتة، مما يدل على مستوى عالٍ من التركيز قبل مباراته.")</f>
        <v>جسده مهيأ للتحرك ونظراته ثابتة، مما يدل على مستوى عالٍ من التركيز قبل مباراته.</v>
      </c>
      <c r="M99" s="4"/>
      <c r="N99" s="4"/>
      <c r="O99" s="4"/>
      <c r="P99" s="4"/>
      <c r="Q99" s="4"/>
      <c r="R99" s="4"/>
      <c r="S99" s="4"/>
      <c r="T99" s="4"/>
      <c r="U99" s="4"/>
      <c r="V99" s="4"/>
      <c r="W99" s="4"/>
      <c r="X99" s="4"/>
      <c r="Y99" s="4"/>
      <c r="Z99" s="4"/>
      <c r="AA99" s="4"/>
      <c r="AB99" s="4"/>
      <c r="AC99" s="4"/>
      <c r="AD99" s="4"/>
      <c r="AE99" s="4"/>
      <c r="AF99" s="4"/>
      <c r="AG99" s="4"/>
    </row>
    <row r="100" spans="1:33" ht="22.5" customHeight="1" x14ac:dyDescent="0.25">
      <c r="A100" s="2"/>
      <c r="B100" s="2"/>
      <c r="C100" s="2"/>
      <c r="D100" s="2"/>
      <c r="E100" s="2"/>
      <c r="F100" s="4"/>
      <c r="G100" s="4"/>
      <c r="H100" s="6" t="s">
        <v>66</v>
      </c>
      <c r="I100" s="4" t="str">
        <f ca="1">IFERROR(__xludf.DUMMYFUNCTION("GOOGLETRANSLATE(B100,""en"",""ar"")"),"ماذا يفعل المصارع بالمسحوق الأبيض الذي في يديه؟")</f>
        <v>ماذا يفعل المصارع بالمسحوق الأبيض الذي في يديه؟</v>
      </c>
      <c r="J100" s="4" t="str">
        <f ca="1">IFERROR(__xludf.DUMMYFUNCTION("GOOGLETRANSLATE(C100,""en"",""ar"")"),"أ) إنه يأكله، ب) من المحتمل أنه على وشك وضعه على جسده، ج) إنه يرميه على الحشد، د) إنه يستخدمه لرسم خط في الرمال")</f>
        <v>أ) إنه يأكله، ب) من المحتمل أنه على وشك وضعه على جسده، ج) إنه يرميه على الحشد، د) إنه يستخدمه لرسم خط في الرمال</v>
      </c>
      <c r="K100" s="4" t="str">
        <f ca="1">IFERROR(__xludf.DUMMYFUNCTION("GOOGLETRANSLATE(D100,""en"",""ar"")"),"ب) من المحتمل أنه على وشك تطبيقه على جسده")</f>
        <v>ب) من المحتمل أنه على وشك تطبيقه على جسده</v>
      </c>
      <c r="L100" s="4" t="str">
        <f ca="1">IFERROR(__xludf.DUMMYFUNCTION("GOOGLETRANSLATE(E100,""en"",""ar"")"),"يبدو أنه يحمل رماداً أو غباراً، وهي طقوس شائعة قبل المباراة حيث يغطي المصارعون أنفسهم به.")</f>
        <v>يبدو أنه يحمل رماداً أو غباراً، وهي طقوس شائعة قبل المباراة حيث يغطي المصارعون أنفسهم به.</v>
      </c>
      <c r="M100" s="4"/>
      <c r="N100" s="4"/>
      <c r="O100" s="4"/>
      <c r="P100" s="4"/>
      <c r="Q100" s="4"/>
      <c r="R100" s="4"/>
      <c r="S100" s="4"/>
      <c r="T100" s="4"/>
      <c r="U100" s="4"/>
      <c r="V100" s="4"/>
      <c r="W100" s="4"/>
      <c r="X100" s="4"/>
      <c r="Y100" s="4"/>
      <c r="Z100" s="4"/>
      <c r="AA100" s="4"/>
      <c r="AB100" s="4"/>
      <c r="AC100" s="4"/>
      <c r="AD100" s="4"/>
      <c r="AE100" s="4"/>
      <c r="AF100" s="4"/>
      <c r="AG100" s="4"/>
    </row>
    <row r="101" spans="1:33" ht="22.5" customHeight="1" x14ac:dyDescent="0.25">
      <c r="A101" s="2"/>
      <c r="B101" s="2"/>
      <c r="C101" s="2"/>
      <c r="D101" s="2"/>
      <c r="E101" s="2"/>
      <c r="F101" s="4"/>
      <c r="G101" s="4"/>
      <c r="H101" s="7" t="s">
        <v>66</v>
      </c>
      <c r="I101" s="4" t="str">
        <f ca="1">IFERROR(__xludf.DUMMYFUNCTION("GOOGLETRANSLATE(B101,""en"",""ar"")"),"من المحتمل أن تكون الأنماط الدائرية الملونة في الخلفية البعيدة جزءًا من...")</f>
        <v>من المحتمل أن تكون الأنماط الدائرية الملونة في الخلفية البعيدة جزءًا من...</v>
      </c>
      <c r="J101" s="4" t="str">
        <f ca="1">IFERROR(__xludf.DUMMYFUNCTION("GOOGLETRANSLATE(C101,""en"",""ar"")"),"أ) ملابس المتفرجين، ب) لافتة أو جدار مزخرف، ج) تشكيل صخري طبيعي، د) لوحة إعلانية")</f>
        <v>أ) ملابس المتفرجين، ب) لافتة أو جدار مزخرف، ج) تشكيل صخري طبيعي، د) لوحة إعلانية</v>
      </c>
      <c r="K101" s="4" t="str">
        <f ca="1">IFERROR(__xludf.DUMMYFUNCTION("GOOGLETRANSLATE(D101,""en"",""ar"")"),"ب) لافتة أو جدار مزخرف")</f>
        <v>ب) لافتة أو جدار مزخرف</v>
      </c>
      <c r="L101" s="4" t="str">
        <f ca="1">IFERROR(__xludf.DUMMYFUNCTION("GOOGLETRANSLATE(E101,""en"",""ar"")"),"يبدو أن الأنماط المتكررة جزء من خلفية مزخرفة لمنطقة المصارعة.")</f>
        <v>يبدو أن الأنماط المتكررة جزء من خلفية مزخرفة لمنطقة المصارعة.</v>
      </c>
      <c r="M101" s="4"/>
      <c r="N101" s="4"/>
      <c r="O101" s="4"/>
      <c r="P101" s="4"/>
      <c r="Q101" s="4"/>
      <c r="R101" s="4"/>
      <c r="S101" s="4"/>
      <c r="T101" s="4"/>
      <c r="U101" s="4"/>
      <c r="V101" s="4"/>
      <c r="W101" s="4"/>
      <c r="X101" s="4"/>
      <c r="Y101" s="4"/>
      <c r="Z101" s="4"/>
      <c r="AA101" s="4"/>
      <c r="AB101" s="4"/>
      <c r="AC101" s="4"/>
      <c r="AD101" s="4"/>
      <c r="AE101" s="4"/>
      <c r="AF101" s="4"/>
      <c r="AG101" s="4"/>
    </row>
    <row r="102" spans="1:33" ht="22.5" customHeight="1" x14ac:dyDescent="0.25">
      <c r="A102" s="2"/>
      <c r="B102" s="2"/>
      <c r="C102" s="2"/>
      <c r="D102" s="2"/>
      <c r="E102" s="2"/>
      <c r="F102" s="4"/>
      <c r="G102" s="4"/>
      <c r="H102" s="6" t="s">
        <v>67</v>
      </c>
      <c r="I102" s="4" t="str">
        <f ca="1">IFERROR(__xludf.DUMMYFUNCTION("GOOGLETRANSLATE(B102,""en"",""ar"")"),"ما الذي يحدث في هذه الصورة التاريخية؟")</f>
        <v>ما الذي يحدث في هذه الصورة التاريخية؟</v>
      </c>
      <c r="J102" s="4" t="str">
        <f ca="1">IFERROR(__xludf.DUMMYFUNCTION("GOOGLETRANSLATE(C102,""en"",""ar"")"),"أ) مصارعان يبدآن مباراة، ب) يتم الاحتفال بفوز مصارع بحمله على أكتاف مصارع آخر، ج) مصارع يتدرب بحمل مدربه، د) رجلان يستعرضان حركة مصارعة ببطء")</f>
        <v>أ) مصارعان يبدآن مباراة، ب) يتم الاحتفال بفوز مصارع بحمله على أكتاف مصارع آخر، ج) مصارع يتدرب بحمل مدربه، د) رجلان يستعرضان حركة مصارعة ببطء</v>
      </c>
      <c r="K102" s="4" t="str">
        <f ca="1">IFERROR(__xludf.DUMMYFUNCTION("GOOGLETRANSLATE(D102,""en"",""ar"")"),"ب) يتم الاحتفال بالمصارع المنتصر بحمله على أكتاف شخص آخر.")</f>
        <v>ب) يتم الاحتفال بالمصارع المنتصر بحمله على أكتاف شخص آخر.</v>
      </c>
      <c r="L102" s="4" t="str">
        <f ca="1">IFERROR(__xludf.DUMMYFUNCTION("GOOGLETRANSLATE(E102,""en"",""ar"")"),"هذه طريقة تقليدية لتكريم البطل بعد البطولة، حيث يتم استعراضه أمام المجتمع ليراها.")</f>
        <v>هذه طريقة تقليدية لتكريم البطل بعد البطولة، حيث يتم استعراضه أمام المجتمع ليراها.</v>
      </c>
      <c r="M102" s="4"/>
      <c r="N102" s="4"/>
      <c r="O102" s="4"/>
      <c r="P102" s="4"/>
      <c r="Q102" s="4"/>
      <c r="R102" s="4"/>
      <c r="S102" s="4"/>
      <c r="T102" s="4"/>
      <c r="U102" s="4"/>
      <c r="V102" s="4"/>
      <c r="W102" s="4"/>
      <c r="X102" s="4"/>
      <c r="Y102" s="4"/>
      <c r="Z102" s="4"/>
      <c r="AA102" s="4"/>
      <c r="AB102" s="4"/>
      <c r="AC102" s="4"/>
      <c r="AD102" s="4"/>
      <c r="AE102" s="4"/>
      <c r="AF102" s="4"/>
      <c r="AG102" s="4"/>
    </row>
    <row r="103" spans="1:33" ht="22.5" customHeight="1" x14ac:dyDescent="0.25">
      <c r="A103" s="2"/>
      <c r="B103" s="2"/>
      <c r="C103" s="2"/>
      <c r="D103" s="2"/>
      <c r="E103" s="2"/>
      <c r="F103" s="4"/>
      <c r="G103" s="4"/>
      <c r="H103" s="7" t="s">
        <v>67</v>
      </c>
      <c r="I103" s="4" t="str">
        <f ca="1">IFERROR(__xludf.DUMMYFUNCTION("GOOGLETRANSLATE(B103,""en"",""ar"")"),"يشير تنسيق الصورة بالأبيض والأسود وملابس الأشخاص إلى متى تم التقاط هذه الصورة؟")</f>
        <v>يشير تنسيق الصورة بالأبيض والأسود وملابس الأشخاص إلى متى تم التقاط هذه الصورة؟</v>
      </c>
      <c r="J103" s="4" t="str">
        <f ca="1">IFERROR(__xludf.DUMMYFUNCTION("GOOGLETRANSLATE(C103,""en"",""ar"")"),"أ) العام الماضي، باستخدام فلتر خاص، ب) في منتصف القرن العشرين، ج) ليلاً، في غياب أفلام ملونة، د) أثناء إعادة تمثيل تاريخي في العصر الحديث")</f>
        <v>أ) العام الماضي، باستخدام فلتر خاص، ب) في منتصف القرن العشرين، ج) ليلاً، في غياب أفلام ملونة، د) أثناء إعادة تمثيل تاريخي في العصر الحديث</v>
      </c>
      <c r="K103" s="4" t="str">
        <f ca="1">IFERROR(__xludf.DUMMYFUNCTION("GOOGLETRANSLATE(D103,""en"",""ar"")"),"ب) في منتصف القرن العشرين")</f>
        <v>ب) في منتصف القرن العشرين</v>
      </c>
      <c r="L103" s="4" t="str">
        <f ca="1">IFERROR(__xludf.DUMMYFUNCTION("GOOGLETRANSLATE(E103,""en"",""ar"")"),"هذه صورة شهيرة التقطها جورج رودجر في جبال النوبة عام 1949، والتي توثق هذه الرياضة في شكلها التقليدي.")</f>
        <v>هذه صورة شهيرة التقطها جورج رودجر في جبال النوبة عام 1949، والتي توثق هذه الرياضة في شكلها التقليدي.</v>
      </c>
      <c r="M103" s="4"/>
      <c r="N103" s="4"/>
      <c r="O103" s="4"/>
      <c r="P103" s="4"/>
      <c r="Q103" s="4"/>
      <c r="R103" s="4"/>
      <c r="S103" s="4"/>
      <c r="T103" s="4"/>
      <c r="U103" s="4"/>
      <c r="V103" s="4"/>
      <c r="W103" s="4"/>
      <c r="X103" s="4"/>
      <c r="Y103" s="4"/>
      <c r="Z103" s="4"/>
      <c r="AA103" s="4"/>
      <c r="AB103" s="4"/>
      <c r="AC103" s="4"/>
      <c r="AD103" s="4"/>
      <c r="AE103" s="4"/>
      <c r="AF103" s="4"/>
      <c r="AG103" s="4"/>
    </row>
    <row r="104" spans="1:33" ht="22.5" customHeight="1" x14ac:dyDescent="0.25">
      <c r="A104" s="2"/>
      <c r="B104" s="2"/>
      <c r="C104" s="2"/>
      <c r="D104" s="2"/>
      <c r="E104" s="2"/>
      <c r="F104" s="4"/>
      <c r="G104" s="4"/>
      <c r="H104" s="6" t="s">
        <v>67</v>
      </c>
      <c r="I104" s="4" t="str">
        <f ca="1">IFERROR(__xludf.DUMMYFUNCTION("GOOGLETRANSLATE(B104,""en"",""ar"")"),"ما الذي يمكن رؤيته في خلفية المشهد؟")</f>
        <v>ما الذي يمكن رؤيته في خلفية المشهد؟</v>
      </c>
      <c r="J104" s="4" t="str">
        <f ca="1">IFERROR(__xludf.DUMMYFUNCTION("GOOGLETRANSLATE(C104,""en"",""ar"")"),"أ) أفق مدينة حديثة، ب) ملعب كبير مزود بإضاءة كهربائية، ج) الحياة القروية التقليدية، بما في ذلك الطبول والرجال الذين يحملون الرماح، د) مسطح مائي كبير")</f>
        <v>أ) أفق مدينة حديثة، ب) ملعب كبير مزود بإضاءة كهربائية، ج) الحياة القروية التقليدية، بما في ذلك الطبول والرجال الذين يحملون الرماح، د) مسطح مائي كبير</v>
      </c>
      <c r="K104" s="4" t="str">
        <f ca="1">IFERROR(__xludf.DUMMYFUNCTION("GOOGLETRANSLATE(D104,""en"",""ar"")"),"ج) الحياة القروية التقليدية، بما في ذلك الطبل والرجال الذين يحملون الرماح")</f>
        <v>ج) الحياة القروية التقليدية، بما في ذلك الطبل والرجال الذين يحملون الرماح</v>
      </c>
      <c r="L104" s="4" t="str">
        <f ca="1">IFERROR(__xludf.DUMMYFUNCTION("GOOGLETRANSLATE(E104,""en"",""ar"")"),"تمتلئ الخلفية بأفراد المجتمع والآلات الموسيقية التقليدية والأسلحة، مما يسلط الضوء على السياق الثقافي للمصارعة.")</f>
        <v>تمتلئ الخلفية بأفراد المجتمع والآلات الموسيقية التقليدية والأسلحة، مما يسلط الضوء على السياق الثقافي للمصارعة.</v>
      </c>
      <c r="M104" s="4"/>
      <c r="N104" s="4"/>
      <c r="O104" s="4"/>
      <c r="P104" s="4"/>
      <c r="Q104" s="4"/>
      <c r="R104" s="4"/>
      <c r="S104" s="4"/>
      <c r="T104" s="4"/>
      <c r="U104" s="4"/>
      <c r="V104" s="4"/>
      <c r="W104" s="4"/>
      <c r="X104" s="4"/>
      <c r="Y104" s="4"/>
      <c r="Z104" s="4"/>
      <c r="AA104" s="4"/>
      <c r="AB104" s="4"/>
      <c r="AC104" s="4"/>
      <c r="AD104" s="4"/>
      <c r="AE104" s="4"/>
      <c r="AF104" s="4"/>
      <c r="AG104" s="4"/>
    </row>
    <row r="105" spans="1:33" ht="22.5" customHeight="1" x14ac:dyDescent="0.25">
      <c r="A105" s="2"/>
      <c r="B105" s="2"/>
      <c r="C105" s="2"/>
      <c r="D105" s="2"/>
      <c r="E105" s="2"/>
      <c r="F105" s="4"/>
      <c r="G105" s="4"/>
      <c r="H105" s="7" t="s">
        <v>67</v>
      </c>
      <c r="I105" s="4" t="str">
        <f ca="1">IFERROR(__xludf.DUMMYFUNCTION("GOOGLETRANSLATE(B105,""en"",""ar"")"),"يتكون زي المصارعين من...")</f>
        <v>يتكون زي المصارعين من...</v>
      </c>
      <c r="J105" s="4" t="str">
        <f ca="1">IFERROR(__xludf.DUMMYFUNCTION("GOOGLETRANSLATE(C105,""en"",""ar"")"),"أ) سراويل وقمصان رياضية حديثة، ب) أردية ثقيلة وأغطية رأس، ج) ملابس قليلة للغاية، مما يعكس شكلاً تقليدياً جداً للرياضة، د) جلود وفراء الحيوانات")</f>
        <v>أ) سراويل وقمصان رياضية حديثة، ب) أردية ثقيلة وأغطية رأس، ج) ملابس قليلة للغاية، مما يعكس شكلاً تقليدياً جداً للرياضة، د) جلود وفراء الحيوانات</v>
      </c>
      <c r="K105" s="4" t="str">
        <f ca="1">IFERROR(__xludf.DUMMYFUNCTION("GOOGLETRANSLATE(D105,""en"",""ar"")"),"ج) شبه انعدام الملابس، مما يعكس شكلاً تقليدياً للغاية لهذه الرياضة")</f>
        <v>ج) شبه انعدام الملابس، مما يعكس شكلاً تقليدياً للغاية لهذه الرياضة</v>
      </c>
      <c r="L105" s="4" t="str">
        <f ca="1">IFERROR(__xludf.DUMMYFUNCTION("GOOGLETRANSLATE(E105,""en"",""ar"")"),"في شكلها التقليدي، كان المصارعون يتنافسون بملابس قليلة أو بدون ملابس على الإطلاق.")</f>
        <v>في شكلها التقليدي، كان المصارعون يتنافسون بملابس قليلة أو بدون ملابس على الإطلاق.</v>
      </c>
      <c r="M105" s="4"/>
      <c r="N105" s="4"/>
      <c r="O105" s="4"/>
      <c r="P105" s="4"/>
      <c r="Q105" s="4"/>
      <c r="R105" s="4"/>
      <c r="S105" s="4"/>
      <c r="T105" s="4"/>
      <c r="U105" s="4"/>
      <c r="V105" s="4"/>
      <c r="W105" s="4"/>
      <c r="X105" s="4"/>
      <c r="Y105" s="4"/>
      <c r="Z105" s="4"/>
      <c r="AA105" s="4"/>
      <c r="AB105" s="4"/>
      <c r="AC105" s="4"/>
      <c r="AD105" s="4"/>
      <c r="AE105" s="4"/>
      <c r="AF105" s="4"/>
      <c r="AG105" s="4"/>
    </row>
    <row r="106" spans="1:33" ht="22.5" customHeight="1" x14ac:dyDescent="0.25">
      <c r="A106" s="2"/>
      <c r="B106" s="2"/>
      <c r="C106" s="2"/>
      <c r="D106" s="2"/>
      <c r="E106" s="2"/>
      <c r="F106" s="4"/>
      <c r="G106" s="4"/>
      <c r="H106" s="6" t="s">
        <v>67</v>
      </c>
      <c r="I106" s="4" t="str">
        <f ca="1">IFERROR(__xludf.DUMMYFUNCTION("GOOGLETRANSLATE(B106,""en"",""ar"")"),"ماذا يعني حمل المنتصر على الأكتاف؟")</f>
        <v>ماذا يعني حمل المنتصر على الأكتاف؟</v>
      </c>
      <c r="J106" s="4" t="str">
        <f ca="1">IFERROR(__xludf.DUMMYFUNCTION("GOOGLETRANSLATE(C106,""en"",""ar"")"),"أ) هو شكل من أشكال عقاب الخاسر، ب) هو علامة على شرف واحترام كبيرين للبطل، ج) هو الطريقة الوحيدة للخروج من حلبة المصارعة، د) هو أسلوب للتمدد بعد المباراة")</f>
        <v>أ) هو شكل من أشكال عقاب الخاسر، ب) هو علامة على شرف واحترام كبيرين للبطل، ج) هو الطريقة الوحيدة للخروج من حلبة المصارعة، د) هو أسلوب للتمدد بعد المباراة</v>
      </c>
      <c r="K106" s="4" t="str">
        <f ca="1">IFERROR(__xludf.DUMMYFUNCTION("GOOGLETRANSLATE(D106,""en"",""ar"")"),"ب) إنها علامة على شرف واحترام كبيرين للبطل")</f>
        <v>ب) إنها علامة على شرف واحترام كبيرين للبطل</v>
      </c>
      <c r="L106" s="4" t="str">
        <f ca="1">IFERROR(__xludf.DUMMYFUNCTION("GOOGLETRANSLATE(E106,""en"",""ar"")"),"هذا العمل الاحتفالي يرفع من شأن البطل، حرفياً ومجازياً، معترفاً بقوته ومهارته الفائقة.")</f>
        <v>هذا العمل الاحتفالي يرفع من شأن البطل، حرفياً ومجازياً، معترفاً بقوته ومهارته الفائقة.</v>
      </c>
      <c r="M106" s="4"/>
      <c r="N106" s="4"/>
      <c r="O106" s="4"/>
      <c r="P106" s="4"/>
      <c r="Q106" s="4"/>
      <c r="R106" s="4"/>
      <c r="S106" s="4"/>
      <c r="T106" s="4"/>
      <c r="U106" s="4"/>
      <c r="V106" s="4"/>
      <c r="W106" s="4"/>
      <c r="X106" s="4"/>
      <c r="Y106" s="4"/>
      <c r="Z106" s="4"/>
      <c r="AA106" s="4"/>
      <c r="AB106" s="4"/>
      <c r="AC106" s="4"/>
      <c r="AD106" s="4"/>
      <c r="AE106" s="4"/>
      <c r="AF106" s="4"/>
      <c r="AG106" s="4"/>
    </row>
    <row r="107" spans="1:33" ht="22.5" customHeight="1" x14ac:dyDescent="0.25">
      <c r="A107" s="2"/>
      <c r="B107" s="2"/>
      <c r="C107" s="2"/>
      <c r="D107" s="2"/>
      <c r="E107" s="2"/>
      <c r="F107" s="4"/>
      <c r="G107" s="4"/>
      <c r="H107" s="7" t="s">
        <v>67</v>
      </c>
      <c r="I107" s="4" t="str">
        <f ca="1">IFERROR(__xludf.DUMMYFUNCTION("GOOGLETRANSLATE(B107,""en"",""ar"")"),"يُظهر الجسد المثير للإعجاب للمصارع المنتصر أن مصارعة النوبة هي اختبار لـ...")</f>
        <v>يُظهر الجسد المثير للإعجاب للمصارع المنتصر أن مصارعة النوبة هي اختبار لـ...</v>
      </c>
      <c r="J107" s="4" t="str">
        <f ca="1">IFERROR(__xludf.DUMMYFUNCTION("GOOGLETRANSLATE(C107,""en"",""ar"")"),"أ) محض حظ، ب) استراتيجية ذهنية فقط، ج) لياقة بدنية وقوة فائقة، د) سرعة وتحمل، ولكن ليس قوة")</f>
        <v>أ) محض حظ، ب) استراتيجية ذهنية فقط، ج) لياقة بدنية وقوة فائقة، د) سرعة وتحمل، ولكن ليس قوة</v>
      </c>
      <c r="K107" s="4" t="str">
        <f ca="1">IFERROR(__xludf.DUMMYFUNCTION("GOOGLETRANSLATE(D107,""en"",""ar"")"),"ج) ذروة اللياقة البدنية والقوة")</f>
        <v>ج) ذروة اللياقة البدنية والقوة</v>
      </c>
      <c r="L107" s="4" t="str">
        <f ca="1">IFERROR(__xludf.DUMMYFUNCTION("GOOGLETRANSLATE(E107,""en"",""ar"")"),"تتطلب هذه الرياضة وتنمي مستوىً مذهلاً من القوة العضلية واللياقة البدنية. 💪")</f>
        <v>تتطلب هذه الرياضة وتنمي مستوىً مذهلاً من القوة العضلية واللياقة البدنية. 💪</v>
      </c>
      <c r="M107" s="4"/>
      <c r="N107" s="4"/>
      <c r="O107" s="4"/>
      <c r="P107" s="4"/>
      <c r="Q107" s="4"/>
      <c r="R107" s="4"/>
      <c r="S107" s="4"/>
      <c r="T107" s="4"/>
      <c r="U107" s="4"/>
      <c r="V107" s="4"/>
      <c r="W107" s="4"/>
      <c r="X107" s="4"/>
      <c r="Y107" s="4"/>
      <c r="Z107" s="4"/>
      <c r="AA107" s="4"/>
      <c r="AB107" s="4"/>
      <c r="AC107" s="4"/>
      <c r="AD107" s="4"/>
      <c r="AE107" s="4"/>
      <c r="AF107" s="4"/>
      <c r="AG107" s="4"/>
    </row>
    <row r="108" spans="1:33" ht="22.5" customHeight="1" x14ac:dyDescent="0.25">
      <c r="A108" s="2"/>
      <c r="B108" s="2"/>
      <c r="C108" s="2"/>
      <c r="D108" s="2"/>
      <c r="E108" s="2"/>
      <c r="F108" s="4"/>
      <c r="G108" s="4"/>
      <c r="H108" s="6" t="s">
        <v>67</v>
      </c>
      <c r="I108" s="4" t="str">
        <f ca="1">IFERROR(__xludf.DUMMYFUNCTION("GOOGLETRANSLATE(B108,""en"",""ar"")"),"ما الذي يرتديه الرجل الذي يُحمل على معصمه؟")</f>
        <v>ما الذي يرتديه الرجل الذي يُحمل على معصمه؟</v>
      </c>
      <c r="J108" s="4" t="str">
        <f ca="1">IFERROR(__xludf.DUMMYFUNCTION("GOOGLETRANSLATE(C108,""en"",""ar"")"),"أ) ساعة رقمية حديثة، ب) سوار بسيط، ج) ضمادة لجرح، د) لا شيء")</f>
        <v>أ) ساعة رقمية حديثة، ب) سوار بسيط، ج) ضمادة لجرح، د) لا شيء</v>
      </c>
      <c r="K108" s="4" t="str">
        <f ca="1">IFERROR(__xludf.DUMMYFUNCTION("GOOGLETRANSLATE(D108,""en"",""ar"")"),"ب) سوار بسيط")</f>
        <v>ب) سوار بسيط</v>
      </c>
      <c r="L108" s="4" t="str">
        <f ca="1">IFERROR(__xludf.DUMMYFUNCTION("GOOGLETRANSLATE(E108,""en"",""ar"")"),"يظهر سوار بسيط ورقيق على معصمه الأيسر.")</f>
        <v>يظهر سوار بسيط ورقيق على معصمه الأيسر.</v>
      </c>
      <c r="M108" s="4"/>
      <c r="N108" s="4"/>
      <c r="O108" s="4"/>
      <c r="P108" s="4"/>
      <c r="Q108" s="4"/>
      <c r="R108" s="4"/>
      <c r="S108" s="4"/>
      <c r="T108" s="4"/>
      <c r="U108" s="4"/>
      <c r="V108" s="4"/>
      <c r="W108" s="4"/>
      <c r="X108" s="4"/>
      <c r="Y108" s="4"/>
      <c r="Z108" s="4"/>
      <c r="AA108" s="4"/>
      <c r="AB108" s="4"/>
      <c r="AC108" s="4"/>
      <c r="AD108" s="4"/>
      <c r="AE108" s="4"/>
      <c r="AF108" s="4"/>
      <c r="AG108" s="4"/>
    </row>
    <row r="109" spans="1:33" ht="22.5" customHeight="1" x14ac:dyDescent="0.25">
      <c r="A109" s="2"/>
      <c r="B109" s="2"/>
      <c r="C109" s="2"/>
      <c r="D109" s="2"/>
      <c r="E109" s="2"/>
      <c r="F109" s="4"/>
      <c r="G109" s="4"/>
      <c r="H109" s="7" t="s">
        <v>67</v>
      </c>
      <c r="I109" s="4" t="str">
        <f ca="1">IFERROR(__xludf.DUMMYFUNCTION("GOOGLETRANSLATE(B109,""en"",""ar"")"),"جو المشهد هو جو...")</f>
        <v>جو المشهد هو جو...</v>
      </c>
      <c r="J109" s="4" t="str">
        <f ca="1">IFERROR(__xludf.DUMMYFUNCTION("GOOGLETRANSLATE(C109,""en"",""ar"")"),"أ) الحزن والحداد، ب) النشاط اليومي الروتيني، ج) الاحتفال الجماعي وتقديس الأبطال، د) الصراع المتوتر")</f>
        <v>أ) الحزن والحداد، ب) النشاط اليومي الروتيني، ج) الاحتفال الجماعي وتقديس الأبطال، د) الصراع المتوتر</v>
      </c>
      <c r="K109" s="4" t="str">
        <f ca="1">IFERROR(__xludf.DUMMYFUNCTION("GOOGLETRANSLATE(D109,""en"",""ar"")"),"ج) الاحتفال الجماعي وتقديس الأبطال")</f>
        <v>ج) الاحتفال الجماعي وتقديس الأبطال</v>
      </c>
      <c r="L109" s="4" t="str">
        <f ca="1">IFERROR(__xludf.DUMMYFUNCTION("GOOGLETRANSLATE(E109,""en"",""ar"")"),"يجتمع المجتمع بأكمله ليشهد ويحتفل بتتويج البطل.")</f>
        <v>يجتمع المجتمع بأكمله ليشهد ويحتفل بتتويج البطل.</v>
      </c>
      <c r="M109" s="4"/>
      <c r="N109" s="4"/>
      <c r="O109" s="4"/>
      <c r="P109" s="4"/>
      <c r="Q109" s="4"/>
      <c r="R109" s="4"/>
      <c r="S109" s="4"/>
      <c r="T109" s="4"/>
      <c r="U109" s="4"/>
      <c r="V109" s="4"/>
      <c r="W109" s="4"/>
      <c r="X109" s="4"/>
      <c r="Y109" s="4"/>
      <c r="Z109" s="4"/>
      <c r="AA109" s="4"/>
      <c r="AB109" s="4"/>
      <c r="AC109" s="4"/>
      <c r="AD109" s="4"/>
      <c r="AE109" s="4"/>
      <c r="AF109" s="4"/>
      <c r="AG109" s="4"/>
    </row>
    <row r="110" spans="1:33" ht="22.5" customHeight="1" x14ac:dyDescent="0.25">
      <c r="A110" s="2"/>
      <c r="B110" s="2"/>
      <c r="C110" s="2"/>
      <c r="D110" s="2"/>
      <c r="E110" s="2"/>
      <c r="F110" s="4"/>
      <c r="G110" s="4"/>
      <c r="H110" s="6" t="s">
        <v>67</v>
      </c>
      <c r="I110" s="4" t="str">
        <f ca="1">IFERROR(__xludf.DUMMYFUNCTION("GOOGLETRANSLATE(B110,""en"",""ar"")"),"على عكس المصارعة الحديثة، يفتقر هذا المشهد إلى...")</f>
        <v>على عكس المصارعة الحديثة، يفتقر هذا المشهد إلى...</v>
      </c>
      <c r="J110" s="4" t="str">
        <f ca="1">IFERROR(__xludf.DUMMYFUNCTION("GOOGLETRANSLATE(C110,""en"",""ar"")"),"أ) حشد من المتفرجين، ب) فائز واضح، ج) حلبة رسمية أو حكم، د) أي شكل من أشكال القواعد")</f>
        <v>أ) حشد من المتفرجين، ب) فائز واضح، ج) حلبة رسمية أو حكم، د) أي شكل من أشكال القواعد</v>
      </c>
      <c r="K110" s="4" t="str">
        <f ca="1">IFERROR(__xludf.DUMMYFUNCTION("GOOGLETRANSLATE(D110,""en"",""ar"")"),"ج) حلبة رسمية أو حكم")</f>
        <v>ج) حلبة رسمية أو حكم</v>
      </c>
      <c r="L110" s="4" t="str">
        <f ca="1">IFERROR(__xludf.DUMMYFUNCTION("GOOGLETRANSLATE(E110,""en"",""ar"")"),"يقام الحدث في منطقة مفتوحة داخل القرية، وليس في حلبة حديثة ذات تنظيم رسمي.")</f>
        <v>يقام الحدث في منطقة مفتوحة داخل القرية، وليس في حلبة حديثة ذات تنظيم رسمي.</v>
      </c>
      <c r="M110" s="4"/>
      <c r="N110" s="4"/>
      <c r="O110" s="4"/>
      <c r="P110" s="4"/>
      <c r="Q110" s="4"/>
      <c r="R110" s="4"/>
      <c r="S110" s="4"/>
      <c r="T110" s="4"/>
      <c r="U110" s="4"/>
      <c r="V110" s="4"/>
      <c r="W110" s="4"/>
      <c r="X110" s="4"/>
      <c r="Y110" s="4"/>
      <c r="Z110" s="4"/>
      <c r="AA110" s="4"/>
      <c r="AB110" s="4"/>
      <c r="AC110" s="4"/>
      <c r="AD110" s="4"/>
      <c r="AE110" s="4"/>
      <c r="AF110" s="4"/>
      <c r="AG110" s="4"/>
    </row>
    <row r="111" spans="1:33" ht="22.5" customHeight="1" x14ac:dyDescent="0.25">
      <c r="A111" s="2"/>
      <c r="B111" s="2"/>
      <c r="C111" s="2"/>
      <c r="D111" s="2"/>
      <c r="E111" s="2"/>
      <c r="F111" s="4"/>
      <c r="G111" s="4"/>
      <c r="H111" s="7" t="s">
        <v>67</v>
      </c>
      <c r="I111" s="4" t="str">
        <f ca="1">IFERROR(__xludf.DUMMYFUNCTION("GOOGLETRANSLATE(B111,""en"",""ar"")"),"تكتسب هذه الصورة أهمية لأنها...")</f>
        <v>تكتسب هذه الصورة أهمية لأنها...</v>
      </c>
      <c r="J111" s="4" t="str">
        <f ca="1">IFERROR(__xludf.DUMMYFUNCTION("GOOGLETRANSLATE(C111,""en"",""ar"")"),"أ) يُظهر التطور الحديث للرياضة، ب) يوثق تقليدًا ثقافيًا عريقًا، ج) هو الصورة الوحيدة التي التُقطت لمصارعة النوبة على الإطلاق، د) يروج لعلامة تجارية")</f>
        <v>أ) يُظهر التطور الحديث للرياضة، ب) يوثق تقليدًا ثقافيًا عريقًا، ج) هو الصورة الوحيدة التي التُقطت لمصارعة النوبة على الإطلاق، د) يروج لعلامة تجارية</v>
      </c>
      <c r="K111" s="4" t="str">
        <f ca="1">IFERROR(__xludf.DUMMYFUNCTION("GOOGLETRANSLATE(D111,""en"",""ar"")"),"ب) يوثق تقاليد ثقافية خالدة")</f>
        <v>ب) يوثق تقاليد ثقافية خالدة</v>
      </c>
      <c r="L111" s="4" t="str">
        <f ca="1">IFERROR(__xludf.DUMMYFUNCTION("GOOGLETRANSLATE(E111,""en"",""ar"")"),"إنها صورة مشهورة عالمياً تجسد جوهر مصارعة النوبة كجزء لا يتجزأ من تراثهم الثقافي.")</f>
        <v>إنها صورة مشهورة عالمياً تجسد جوهر مصارعة النوبة كجزء لا يتجزأ من تراثهم الثقافي.</v>
      </c>
      <c r="M111" s="4"/>
      <c r="N111" s="4"/>
      <c r="O111" s="4"/>
      <c r="P111" s="4"/>
      <c r="Q111" s="4"/>
      <c r="R111" s="4"/>
      <c r="S111" s="4"/>
      <c r="T111" s="4"/>
      <c r="U111" s="4"/>
      <c r="V111" s="4"/>
      <c r="W111" s="4"/>
      <c r="X111" s="4"/>
      <c r="Y111" s="4"/>
      <c r="Z111" s="4"/>
      <c r="AA111" s="4"/>
      <c r="AB111" s="4"/>
      <c r="AC111" s="4"/>
      <c r="AD111" s="4"/>
      <c r="AE111" s="4"/>
      <c r="AF111" s="4"/>
      <c r="AG111" s="4"/>
    </row>
    <row r="112" spans="1:33" ht="22.5" customHeight="1" x14ac:dyDescent="0.25">
      <c r="A112" s="2"/>
      <c r="B112" s="2"/>
      <c r="C112" s="2"/>
      <c r="D112" s="2"/>
      <c r="E112" s="2"/>
      <c r="F112" s="4"/>
      <c r="G112" s="4"/>
      <c r="H112" s="6" t="s">
        <v>68</v>
      </c>
      <c r="I112" s="4" t="str">
        <f ca="1">IFERROR(__xludf.DUMMYFUNCTION("GOOGLETRANSLATE(B112,""en"",""ar"")"),"ما هي المرحلة التي تم تصويرها من المباراة؟")</f>
        <v>ما هي المرحلة التي تم تصويرها من المباراة؟</v>
      </c>
      <c r="J112" s="4" t="str">
        <f ca="1">IFERROR(__xludf.DUMMYFUNCTION("GOOGLETRANSLATE(C112,""en"",""ar"")"),"أ) نهاية المباراة، ب) المصارعون يأخذون استراحة، ج) الاشتباك الأولي أو الاشتباك، د) المصافحة قبل المباراة")</f>
        <v>أ) نهاية المباراة، ب) المصارعون يأخذون استراحة، ج) الاشتباك الأولي أو الاشتباك، د) المصافحة قبل المباراة</v>
      </c>
      <c r="K112" s="4" t="str">
        <f ca="1">IFERROR(__xludf.DUMMYFUNCTION("GOOGLETRANSLATE(D112,""en"",""ar"")"),"ج) الاشتباك أو الإمساك الأولي")</f>
        <v>ج) الاشتباك أو الإمساك الأولي</v>
      </c>
      <c r="L112" s="4" t="str">
        <f ca="1">IFERROR(__xludf.DUMMYFUNCTION("GOOGLETRANSLATE(E112,""en"",""ar"")"),"يتشابك المصارعان معًا، ويختبران قوة بعضهما البعض، ويحاولان تثبيت قبضة مهيمنة لتجهيز عملية الرمي.")</f>
        <v>يتشابك المصارعان معًا، ويختبران قوة بعضهما البعض، ويحاولان تثبيت قبضة مهيمنة لتجهيز عملية الرمي.</v>
      </c>
      <c r="M112" s="4"/>
      <c r="N112" s="4"/>
      <c r="O112" s="4"/>
      <c r="P112" s="4"/>
      <c r="Q112" s="4"/>
      <c r="R112" s="4"/>
      <c r="S112" s="4"/>
      <c r="T112" s="4"/>
      <c r="U112" s="4"/>
      <c r="V112" s="4"/>
      <c r="W112" s="4"/>
      <c r="X112" s="4"/>
      <c r="Y112" s="4"/>
      <c r="Z112" s="4"/>
      <c r="AA112" s="4"/>
      <c r="AB112" s="4"/>
      <c r="AC112" s="4"/>
      <c r="AD112" s="4"/>
      <c r="AE112" s="4"/>
      <c r="AF112" s="4"/>
      <c r="AG112" s="4"/>
    </row>
    <row r="113" spans="1:33" ht="22.5" customHeight="1" x14ac:dyDescent="0.25">
      <c r="A113" s="2"/>
      <c r="B113" s="2"/>
      <c r="C113" s="2"/>
      <c r="D113" s="2"/>
      <c r="E113" s="2"/>
      <c r="F113" s="4"/>
      <c r="G113" s="4"/>
      <c r="H113" s="7" t="s">
        <v>68</v>
      </c>
      <c r="I113" s="4" t="str">
        <f ca="1">IFERROR(__xludf.DUMMYFUNCTION("GOOGLETRANSLATE(B113,""en"",""ar"")"),"ما هو الرجل الذي يرتدي قميصاً أبيض في الخلفية؟")</f>
        <v>ما هو الرجل الذي يرتدي قميصاً أبيض في الخلفية؟</v>
      </c>
      <c r="J113" s="4" t="str">
        <f ca="1">IFERROR(__xludf.DUMMYFUNCTION("GOOGLETRANSLATE(C113,""en"",""ar"")"),"أ) متفرج، ب) مدرب أحد المصارعين، ج) الحكم الذي يدير المباراة، د) صحفي")</f>
        <v>أ) متفرج، ب) مدرب أحد المصارعين، ج) الحكم الذي يدير المباراة، د) صحفي</v>
      </c>
      <c r="K113" s="4" t="str">
        <f ca="1">IFERROR(__xludf.DUMMYFUNCTION("GOOGLETRANSLATE(D113,""en"",""ar"")"),"ج) الحكم الذي يدير المباراة")</f>
        <v>ج) الحكم الذي يدير المباراة</v>
      </c>
      <c r="L113" s="4" t="str">
        <f ca="1">IFERROR(__xludf.DUMMYFUNCTION("GOOGLETRANSLATE(E113,""en"",""ar"")"),"إنه يقف داخل الحلبة مع المصارعين، ويراقب الأحداث عن كثب، وهذا هو دور الحكم.")</f>
        <v>إنه يقف داخل الحلبة مع المصارعين، ويراقب الأحداث عن كثب، وهذا هو دور الحكم.</v>
      </c>
      <c r="M113" s="4"/>
      <c r="N113" s="4"/>
      <c r="O113" s="4"/>
      <c r="P113" s="4"/>
      <c r="Q113" s="4"/>
      <c r="R113" s="4"/>
      <c r="S113" s="4"/>
      <c r="T113" s="4"/>
      <c r="U113" s="4"/>
      <c r="V113" s="4"/>
      <c r="W113" s="4"/>
      <c r="X113" s="4"/>
      <c r="Y113" s="4"/>
      <c r="Z113" s="4"/>
      <c r="AA113" s="4"/>
      <c r="AB113" s="4"/>
      <c r="AC113" s="4"/>
      <c r="AD113" s="4"/>
      <c r="AE113" s="4"/>
      <c r="AF113" s="4"/>
      <c r="AG113" s="4"/>
    </row>
    <row r="114" spans="1:33" ht="22.5" customHeight="1" x14ac:dyDescent="0.25">
      <c r="A114" s="2"/>
      <c r="B114" s="2"/>
      <c r="C114" s="2"/>
      <c r="D114" s="2"/>
      <c r="E114" s="2"/>
      <c r="F114" s="4"/>
      <c r="G114" s="4"/>
      <c r="H114" s="6" t="s">
        <v>68</v>
      </c>
      <c r="I114" s="4" t="str">
        <f ca="1">IFERROR(__xludf.DUMMYFUNCTION("GOOGLETRANSLATE(B114,""en"",""ar"")"),"ماذا تدل عليه الظلال الطويلة على الرمال؟")</f>
        <v>ماذا تدل عليه الظلال الطويلة على الرمال؟</v>
      </c>
      <c r="J114" s="4" t="str">
        <f ca="1">IFERROR(__xludf.DUMMYFUNCTION("GOOGLETRANSLATE(C114,""en"",""ar"")"),"أ) تُقام المباراة عند الظهر، ب) تُقام المباراة في وقت متأخر من بعد الظهر أو في الصباح الباكر، ج) تُقام المباراة في صالة مغلقة، د) إنه يوم غائم للغاية")</f>
        <v>أ) تُقام المباراة عند الظهر، ب) تُقام المباراة في وقت متأخر من بعد الظهر أو في الصباح الباكر، ج) تُقام المباراة في صالة مغلقة، د) إنه يوم غائم للغاية</v>
      </c>
      <c r="K114" s="4" t="str">
        <f ca="1">IFERROR(__xludf.DUMMYFUNCTION("GOOGLETRANSLATE(D114,""en"",""ar"")"),"ب) ستقام المباراة في وقت متأخر من بعد الظهر أو في الصباح الباكر")</f>
        <v>ب) ستقام المباراة في وقت متأخر من بعد الظهر أو في الصباح الباكر</v>
      </c>
      <c r="L114" s="4" t="str">
        <f ca="1">IFERROR(__xludf.DUMMYFUNCTION("GOOGLETRANSLATE(E114,""en"",""ar"")"),"تتشكل ظلال طويلة عندما تكون الشمس منخفضة في السماء، وهو وقت شائع لهذه الأحداث لتجنب حرارة منتصف النهار.")</f>
        <v>تتشكل ظلال طويلة عندما تكون الشمس منخفضة في السماء، وهو وقت شائع لهذه الأحداث لتجنب حرارة منتصف النهار.</v>
      </c>
      <c r="M114" s="4"/>
      <c r="N114" s="4"/>
      <c r="O114" s="4"/>
      <c r="P114" s="4"/>
      <c r="Q114" s="4"/>
      <c r="R114" s="4"/>
      <c r="S114" s="4"/>
      <c r="T114" s="4"/>
      <c r="U114" s="4"/>
      <c r="V114" s="4"/>
      <c r="W114" s="4"/>
      <c r="X114" s="4"/>
      <c r="Y114" s="4"/>
      <c r="Z114" s="4"/>
      <c r="AA114" s="4"/>
      <c r="AB114" s="4"/>
      <c r="AC114" s="4"/>
      <c r="AD114" s="4"/>
      <c r="AE114" s="4"/>
      <c r="AF114" s="4"/>
      <c r="AG114" s="4"/>
    </row>
    <row r="115" spans="1:33" ht="22.5" customHeight="1" x14ac:dyDescent="0.25">
      <c r="A115" s="2"/>
      <c r="B115" s="2"/>
      <c r="C115" s="2"/>
      <c r="D115" s="2"/>
      <c r="E115" s="2"/>
      <c r="F115" s="4"/>
      <c r="G115" s="4"/>
      <c r="H115" s="7" t="s">
        <v>68</v>
      </c>
      <c r="I115" s="4" t="str">
        <f ca="1">IFERROR(__xludf.DUMMYFUNCTION("GOOGLETRANSLATE(B115,""en"",""ar"")"),"ما هي المعدات الرياضية الحديثة التي يرتديها كلا المصارعين؟")</f>
        <v>ما هي المعدات الرياضية الحديثة التي يرتديها كلا المصارعين؟</v>
      </c>
      <c r="J115" s="4" t="str">
        <f ca="1">IFERROR(__xludf.DUMMYFUNCTION("GOOGLETRANSLATE(C115,""en"",""ar"")"),"أ) أحذية المصارعة، ب) واقي الرأس، ج) واقي الفم، د) واقي الركبة")</f>
        <v>أ) أحذية المصارعة، ب) واقي الرأس، ج) واقي الفم، د) واقي الركبة</v>
      </c>
      <c r="K115" s="4" t="str">
        <f ca="1">IFERROR(__xludf.DUMMYFUNCTION("GOOGLETRANSLATE(D115,""en"",""ar"")"),"د) واقيات الركبة")</f>
        <v>د) واقيات الركبة</v>
      </c>
      <c r="L115" s="4" t="str">
        <f ca="1">IFERROR(__xludf.DUMMYFUNCTION("GOOGLETRANSLATE(E115,""en"",""ar"")"),"يرتدي كلا الرجلين واقيات ركبة مرنة حديثة لحماية ودعم المفاصل.")</f>
        <v>يرتدي كلا الرجلين واقيات ركبة مرنة حديثة لحماية ودعم المفاصل.</v>
      </c>
      <c r="M115" s="4"/>
      <c r="N115" s="4"/>
      <c r="O115" s="4"/>
      <c r="P115" s="4"/>
      <c r="Q115" s="4"/>
      <c r="R115" s="4"/>
      <c r="S115" s="4"/>
      <c r="T115" s="4"/>
      <c r="U115" s="4"/>
      <c r="V115" s="4"/>
      <c r="W115" s="4"/>
      <c r="X115" s="4"/>
      <c r="Y115" s="4"/>
      <c r="Z115" s="4"/>
      <c r="AA115" s="4"/>
      <c r="AB115" s="4"/>
      <c r="AC115" s="4"/>
      <c r="AD115" s="4"/>
      <c r="AE115" s="4"/>
      <c r="AF115" s="4"/>
      <c r="AG115" s="4"/>
    </row>
    <row r="116" spans="1:33" ht="22.5" customHeight="1" x14ac:dyDescent="0.25">
      <c r="A116" s="2"/>
      <c r="B116" s="2"/>
      <c r="C116" s="2"/>
      <c r="D116" s="2"/>
      <c r="E116" s="2"/>
      <c r="F116" s="4"/>
      <c r="G116" s="4"/>
      <c r="H116" s="6" t="s">
        <v>68</v>
      </c>
      <c r="I116" s="4" t="str">
        <f ca="1">IFERROR(__xludf.DUMMYFUNCTION("GOOGLETRANSLATE(B116,""en"",""ar"")"),"لماذا المصارعون حفاة؟")</f>
        <v>لماذا المصارعون حفاة؟</v>
      </c>
      <c r="J116" s="4" t="str">
        <f ca="1">IFERROR(__xludf.DUMMYFUNCTION("GOOGLETRANSLATE(C116,""en"",""ar"")"),"أ) لا يملكون أحذية، ب) يسمح ذلك بثبات وحركة أفضل على الرمال، ج) يُعد ذلك عائقًا لجعل المباراة أصعب، د) تمنع القواعد ارتداء الأحذية")</f>
        <v>أ) لا يملكون أحذية، ب) يسمح ذلك بثبات وحركة أفضل على الرمال، ج) يُعد ذلك عائقًا لجعل المباراة أصعب، د) تمنع القواعد ارتداء الأحذية</v>
      </c>
      <c r="K116" s="4" t="str">
        <f ca="1">IFERROR(__xludf.DUMMYFUNCTION("GOOGLETRANSLATE(D116,""en"",""ar"")"),"ب) يسمح ذلك بقبضة وحركة أفضل على الرمال")</f>
        <v>ب) يسمح ذلك بقبضة وحركة أفضل على الرمال</v>
      </c>
      <c r="L116" s="4" t="str">
        <f ca="1">IFERROR(__xludf.DUMMYFUNCTION("GOOGLETRANSLATE(E116,""en"",""ar"")"),"المصارعة حافية القدمين هي ممارسة تقليدية وتوفر ميزة وظيفية، حيث تسمح للمصارعين بغرس أصابع أقدامهم في الرمال للحصول على قوة دفع أفضل.")</f>
        <v>المصارعة حافية القدمين هي ممارسة تقليدية وتوفر ميزة وظيفية، حيث تسمح للمصارعين بغرس أصابع أقدامهم في الرمال للحصول على قوة دفع أفضل.</v>
      </c>
      <c r="M116" s="4"/>
      <c r="N116" s="4"/>
      <c r="O116" s="4"/>
      <c r="P116" s="4"/>
      <c r="Q116" s="4"/>
      <c r="R116" s="4"/>
      <c r="S116" s="4"/>
      <c r="T116" s="4"/>
      <c r="U116" s="4"/>
      <c r="V116" s="4"/>
      <c r="W116" s="4"/>
      <c r="X116" s="4"/>
      <c r="Y116" s="4"/>
      <c r="Z116" s="4"/>
      <c r="AA116" s="4"/>
      <c r="AB116" s="4"/>
      <c r="AC116" s="4"/>
      <c r="AD116" s="4"/>
      <c r="AE116" s="4"/>
      <c r="AF116" s="4"/>
      <c r="AG116" s="4"/>
    </row>
    <row r="117" spans="1:33" ht="22.5" customHeight="1" x14ac:dyDescent="0.25">
      <c r="A117" s="2"/>
      <c r="B117" s="2"/>
      <c r="C117" s="2"/>
      <c r="D117" s="2"/>
      <c r="E117" s="2"/>
      <c r="F117" s="4"/>
      <c r="G117" s="4"/>
      <c r="H117" s="7" t="s">
        <v>68</v>
      </c>
      <c r="I117" s="4" t="str">
        <f ca="1">IFERROR(__xludf.DUMMYFUNCTION("GOOGLETRANSLATE(B117,""en"",""ar"")"),"ما سبب سحابة الغبار التي تتصاعد عند أقدام المصارعين؟")</f>
        <v>ما سبب سحابة الغبار التي تتصاعد عند أقدام المصارعين؟</v>
      </c>
      <c r="J117" s="4" t="str">
        <f ca="1">IFERROR(__xludf.DUMMYFUNCTION("GOOGLETRANSLATE(C117,""en"",""ar"")"),"أ) الرياح، ب) مؤثرات خاصة، ج) حركاتهم القوية وصراعهم من أجل التوازن، د) ركل الحكم للرمل")</f>
        <v>أ) الرياح، ب) مؤثرات خاصة، ج) حركاتهم القوية وصراعهم من أجل التوازن، د) ركل الحكم للرمل</v>
      </c>
      <c r="K117" s="4" t="str">
        <f ca="1">IFERROR(__xludf.DUMMYFUNCTION("GOOGLETRANSLATE(D117,""en"",""ar"")"),"ج) تحركاتهم القوية وصراعهم من أجل ترسيخ أقدامهم")</f>
        <v>ج) تحركاتهم القوية وصراعهم من أجل ترسيخ أقدامهم</v>
      </c>
      <c r="L117" s="4" t="str">
        <f ca="1">IFERROR(__xludf.DUMMYFUNCTION("GOOGLETRANSLATE(E117,""en"",""ar"")"),"وبينما يدفعون ويسحبون، تتحرك أقدامهم وتغوص في الرمال، مما يؤدي إلى إثارة الغبار.")</f>
        <v>وبينما يدفعون ويسحبون، تتحرك أقدامهم وتغوص في الرمال، مما يؤدي إلى إثارة الغبار.</v>
      </c>
      <c r="M117" s="4"/>
      <c r="N117" s="4"/>
      <c r="O117" s="4"/>
      <c r="P117" s="4"/>
      <c r="Q117" s="4"/>
      <c r="R117" s="4"/>
      <c r="S117" s="4"/>
      <c r="T117" s="4"/>
      <c r="U117" s="4"/>
      <c r="V117" s="4"/>
      <c r="W117" s="4"/>
      <c r="X117" s="4"/>
      <c r="Y117" s="4"/>
      <c r="Z117" s="4"/>
      <c r="AA117" s="4"/>
      <c r="AB117" s="4"/>
      <c r="AC117" s="4"/>
      <c r="AD117" s="4"/>
      <c r="AE117" s="4"/>
      <c r="AF117" s="4"/>
      <c r="AG117" s="4"/>
    </row>
    <row r="118" spans="1:33" ht="22.5" customHeight="1" x14ac:dyDescent="0.25">
      <c r="A118" s="2"/>
      <c r="B118" s="2"/>
      <c r="C118" s="2"/>
      <c r="D118" s="2"/>
      <c r="E118" s="2"/>
      <c r="F118" s="4"/>
      <c r="G118" s="4"/>
      <c r="H118" s="6" t="s">
        <v>68</v>
      </c>
      <c r="I118" s="4" t="str">
        <f ca="1">IFERROR(__xludf.DUMMYFUNCTION("GOOGLETRANSLATE(B118,""en"",""ar"")"),"مكان المباراة هو...")</f>
        <v>مكان المباراة هو...</v>
      </c>
      <c r="J118" s="4" t="str">
        <f ca="1">IFERROR(__xludf.DUMMYFUNCTION("GOOGLETRANSLATE(C118,""en"",""ar"")"),"أ) حقل عشبي، ب) ساحة رملية حديثة مسيجة، ج) ساحة قرية تقليدية، د) منصة خرسانية")</f>
        <v>أ) حقل عشبي، ب) ساحة رملية حديثة مسيجة، ج) ساحة قرية تقليدية، د) منصة خرسانية</v>
      </c>
      <c r="K118" s="4" t="str">
        <f ca="1">IFERROR(__xludf.DUMMYFUNCTION("GOOGLETRANSLATE(D118,""en"",""ar"")"),"ب) ساحة رملية حديثة مسيجة")</f>
        <v>ب) ساحة رملية حديثة مسيجة</v>
      </c>
      <c r="L118" s="4" t="str">
        <f ca="1">IFERROR(__xludf.DUMMYFUNCTION("GOOGLETRANSLATE(E118,""en"",""ar"")"),"يظهر سياج معدني أخضر اللون، يحيط بحفرة الرمل ويفصل المتنافسين عن الحشد الكبير والمنظم.")</f>
        <v>يظهر سياج معدني أخضر اللون، يحيط بحفرة الرمل ويفصل المتنافسين عن الحشد الكبير والمنظم.</v>
      </c>
      <c r="M118" s="4"/>
      <c r="N118" s="4"/>
      <c r="O118" s="4"/>
      <c r="P118" s="4"/>
      <c r="Q118" s="4"/>
      <c r="R118" s="4"/>
      <c r="S118" s="4"/>
      <c r="T118" s="4"/>
      <c r="U118" s="4"/>
      <c r="V118" s="4"/>
      <c r="W118" s="4"/>
      <c r="X118" s="4"/>
      <c r="Y118" s="4"/>
      <c r="Z118" s="4"/>
      <c r="AA118" s="4"/>
      <c r="AB118" s="4"/>
      <c r="AC118" s="4"/>
      <c r="AD118" s="4"/>
      <c r="AE118" s="4"/>
      <c r="AF118" s="4"/>
      <c r="AG118" s="4"/>
    </row>
    <row r="119" spans="1:33" ht="22.5" customHeight="1" x14ac:dyDescent="0.25">
      <c r="A119" s="2"/>
      <c r="B119" s="2"/>
      <c r="C119" s="2"/>
      <c r="D119" s="2"/>
      <c r="E119" s="2"/>
      <c r="F119" s="4"/>
      <c r="G119" s="4"/>
      <c r="H119" s="7" t="s">
        <v>68</v>
      </c>
      <c r="I119" s="4" t="str">
        <f ca="1">IFERROR(__xludf.DUMMYFUNCTION("GOOGLETRANSLATE(B119,""en"",""ar"")"),"الهدف الأساسي من هذا الوضع الثابت هو...")</f>
        <v>الهدف الأساسي من هذا الوضع الثابت هو...</v>
      </c>
      <c r="J119" s="4" t="str">
        <f ca="1">IFERROR(__xludf.DUMMYFUNCTION("GOOGLETRANSLATE(C119,""en"",""ar"")"),"أ) لكم الخصم، ب) زعزعة توازن الخصم وإسقاطه على ظهره، ج) تثبيت الخصم في هذا الوضع لأطول فترة ممكنة، د) دفع الخصم خارج الحلبة")</f>
        <v>أ) لكم الخصم، ب) زعزعة توازن الخصم وإسقاطه على ظهره، ج) تثبيت الخصم في هذا الوضع لأطول فترة ممكنة، د) دفع الخصم خارج الحلبة</v>
      </c>
      <c r="K119" s="4" t="str">
        <f ca="1">IFERROR(__xludf.DUMMYFUNCTION("GOOGLETRANSLATE(D119,""en"",""ar"")"),"ب) زعزعة توازن الخصم وإسقاطه على ظهره")</f>
        <v>ب) زعزعة توازن الخصم وإسقاطه على ظهره</v>
      </c>
      <c r="L119" s="4" t="str">
        <f ca="1">IFERROR(__xludf.DUMMYFUNCTION("GOOGLETRANSLATE(E119,""en"",""ar"")"),"هذا الاشتباك هو الإعداد للحركة الفائزة - وهي عملية إسقاط ناجحة.")</f>
        <v>هذا الاشتباك هو الإعداد للحركة الفائزة - وهي عملية إسقاط ناجحة.</v>
      </c>
      <c r="M119" s="4"/>
      <c r="N119" s="4"/>
      <c r="O119" s="4"/>
      <c r="P119" s="4"/>
      <c r="Q119" s="4"/>
      <c r="R119" s="4"/>
      <c r="S119" s="4"/>
      <c r="T119" s="4"/>
      <c r="U119" s="4"/>
      <c r="V119" s="4"/>
      <c r="W119" s="4"/>
      <c r="X119" s="4"/>
      <c r="Y119" s="4"/>
      <c r="Z119" s="4"/>
      <c r="AA119" s="4"/>
      <c r="AB119" s="4"/>
      <c r="AC119" s="4"/>
      <c r="AD119" s="4"/>
      <c r="AE119" s="4"/>
      <c r="AF119" s="4"/>
      <c r="AG119" s="4"/>
    </row>
    <row r="120" spans="1:33" ht="22.5" customHeight="1" x14ac:dyDescent="0.25">
      <c r="A120" s="2"/>
      <c r="B120" s="2"/>
      <c r="C120" s="2"/>
      <c r="D120" s="2"/>
      <c r="E120" s="2"/>
      <c r="F120" s="4"/>
      <c r="G120" s="4"/>
      <c r="H120" s="6" t="s">
        <v>68</v>
      </c>
      <c r="I120" s="4" t="str">
        <f ca="1">IFERROR(__xludf.DUMMYFUNCTION("GOOGLETRANSLATE(B120,""en"",""ar"")"),"المصارع الموجود على اليسار يدفع بقدمه الخلفية، مما يدل على أهمية ماذا في مصارعة النوبة؟")</f>
        <v>المصارع الموجود على اليسار يدفع بقدمه الخلفية، مما يدل على أهمية ماذا في مصارعة النوبة؟</v>
      </c>
      <c r="J120" s="4" t="str">
        <f ca="1">IFERROR(__xludf.DUMMYFUNCTION("GOOGLETRANSLATE(C120,""en"",""ar"")"),"أ) قوة الجزء العلوي من الجسم فقط، ب) استخدام قوة الساقين لتوليد القوة، ج) أن تكون أطول من خصمك، د) زي مرن")</f>
        <v>أ) قوة الجزء العلوي من الجسم فقط، ب) استخدام قوة الساقين لتوليد القوة، ج) أن تكون أطول من خصمك، د) زي مرن</v>
      </c>
      <c r="K120" s="4" t="str">
        <f ca="1">IFERROR(__xludf.DUMMYFUNCTION("GOOGLETRANSLATE(D120,""en"",""ar"")"),"ب) استخدام قوة دفع الساق لتوليد الطاقة")</f>
        <v>ب) استخدام قوة دفع الساق لتوليد الطاقة</v>
      </c>
      <c r="L120" s="4" t="str">
        <f ca="1">IFERROR(__xludf.DUMMYFUNCTION("GOOGLETRANSLATE(E120,""en"",""ar"")"),"لا تأتي قوة الرمي من الذراعين فقط؛ بل تتولد من الأرض عبر الساقين والجذع.")</f>
        <v>لا تأتي قوة الرمي من الذراعين فقط؛ بل تتولد من الأرض عبر الساقين والجذع.</v>
      </c>
      <c r="M120" s="4"/>
      <c r="N120" s="4"/>
      <c r="O120" s="4"/>
      <c r="P120" s="4"/>
      <c r="Q120" s="4"/>
      <c r="R120" s="4"/>
      <c r="S120" s="4"/>
      <c r="T120" s="4"/>
      <c r="U120" s="4"/>
      <c r="V120" s="4"/>
      <c r="W120" s="4"/>
      <c r="X120" s="4"/>
      <c r="Y120" s="4"/>
      <c r="Z120" s="4"/>
      <c r="AA120" s="4"/>
      <c r="AB120" s="4"/>
      <c r="AC120" s="4"/>
      <c r="AD120" s="4"/>
      <c r="AE120" s="4"/>
      <c r="AF120" s="4"/>
      <c r="AG120" s="4"/>
    </row>
    <row r="121" spans="1:33" ht="22.5" customHeight="1" x14ac:dyDescent="0.25">
      <c r="A121" s="2"/>
      <c r="B121" s="2"/>
      <c r="C121" s="2"/>
      <c r="D121" s="2"/>
      <c r="E121" s="2"/>
      <c r="F121" s="4"/>
      <c r="G121" s="4"/>
      <c r="H121" s="7" t="s">
        <v>68</v>
      </c>
      <c r="I121" s="4" t="str">
        <f ca="1">IFERROR(__xludf.DUMMYFUNCTION("GOOGLETRANSLATE(B121,""en"",""ar"")"),"يُعدّ التلامس الجسدي اختباراً لـ...")</f>
        <v>يُعدّ التلامس الجسدي اختباراً لـ...</v>
      </c>
      <c r="J121" s="4" t="str">
        <f ca="1">IFERROR(__xludf.DUMMYFUNCTION("GOOGLETRANSLATE(C121,""en"",""ar"")"),"أ) القوة الخالصة، ب) التقنية والرافعة، ج) التوازن والتحمل، د) جميع ما سبق")</f>
        <v>أ) القوة الخالصة، ب) التقنية والرافعة، ج) التوازن والتحمل، د) جميع ما سبق</v>
      </c>
      <c r="K121" s="4" t="str">
        <f ca="1">IFERROR(__xludf.DUMMYFUNCTION("GOOGLETRANSLATE(D121,""en"",""ar"")"),"د) جميع ما سبق")</f>
        <v>د) جميع ما سبق</v>
      </c>
      <c r="L121" s="4" t="str">
        <f ca="1">IFERROR(__xludf.DUMMYFUNCTION("GOOGLETRANSLATE(E121,""en"",""ar"")"),"مصارعة النوبة رياضة متكاملة، تتطلب مزيجًا من القوة الخام والتقنية الماهرة والقدرة على التحمل للتغلب على الخصم.")</f>
        <v>مصارعة النوبة رياضة متكاملة، تتطلب مزيجًا من القوة الخام والتقنية الماهرة والقدرة على التحمل للتغلب على الخصم.</v>
      </c>
      <c r="M121" s="4"/>
      <c r="N121" s="4"/>
      <c r="O121" s="4"/>
      <c r="P121" s="4"/>
      <c r="Q121" s="4"/>
      <c r="R121" s="4"/>
      <c r="S121" s="4"/>
      <c r="T121" s="4"/>
      <c r="U121" s="4"/>
      <c r="V121" s="4"/>
      <c r="W121" s="4"/>
      <c r="X121" s="4"/>
      <c r="Y121" s="4"/>
      <c r="Z121" s="4"/>
      <c r="AA121" s="4"/>
      <c r="AB121" s="4"/>
      <c r="AC121" s="4"/>
      <c r="AD121" s="4"/>
      <c r="AE121" s="4"/>
      <c r="AF121" s="4"/>
      <c r="AG121" s="4"/>
    </row>
    <row r="122" spans="1:33" ht="22.5" customHeight="1" x14ac:dyDescent="0.25">
      <c r="A122" s="2"/>
      <c r="B122" s="2"/>
      <c r="C122" s="2"/>
      <c r="D122" s="2"/>
      <c r="E122" s="2"/>
      <c r="F122" s="4"/>
      <c r="G122" s="4"/>
      <c r="H122" s="6" t="s">
        <v>69</v>
      </c>
      <c r="I122" s="4" t="str">
        <f ca="1">IFERROR(__xludf.DUMMYFUNCTION("GOOGLETRANSLATE(B122,""en"",""ar"")"),"ما هي المناورة المذهلة التي يقوم بها المصارع الذي يرتدي القميص الأزرق؟")</f>
        <v>ما هي المناورة المذهلة التي يقوم بها المصارع الذي يرتدي القميص الأزرق؟</v>
      </c>
      <c r="J122" s="4" t="str">
        <f ca="1">IFERROR(__xludf.DUMMYFUNCTION("GOOGLETRANSLATE(C122,""en"",""ar"")"),"أ) يدفع خصمه بعيدًا، ب) يرفع خصمه عن الأرض تمامًا، ج) يصافح خصمه، د) يتفادى هجومًا")</f>
        <v>أ) يدفع خصمه بعيدًا، ب) يرفع خصمه عن الأرض تمامًا، ج) يصافح خصمه، د) يتفادى هجومًا</v>
      </c>
      <c r="K122" s="4" t="str">
        <f ca="1">IFERROR(__xludf.DUMMYFUNCTION("GOOGLETRANSLATE(D122,""en"",""ar"")"),"ب) إنه يرفع خصمه بالكامل عن الأرض")</f>
        <v>ب) إنه يرفع خصمه بالكامل عن الأرض</v>
      </c>
      <c r="L122" s="4" t="str">
        <f ca="1">IFERROR(__xludf.DUMMYFUNCTION("GOOGLETRANSLATE(E122,""en"",""ar"")"),"هذا استعراض مذهل للقوة، حيث قام برفع جسد خصمه بالكامل في الهواء ليُهيئ نفسه لرمية قوية.")</f>
        <v>هذا استعراض مذهل للقوة، حيث قام برفع جسد خصمه بالكامل في الهواء ليُهيئ نفسه لرمية قوية.</v>
      </c>
      <c r="M122" s="4"/>
      <c r="N122" s="4"/>
      <c r="O122" s="4"/>
      <c r="P122" s="4"/>
      <c r="Q122" s="4"/>
      <c r="R122" s="4"/>
      <c r="S122" s="4"/>
      <c r="T122" s="4"/>
      <c r="U122" s="4"/>
      <c r="V122" s="4"/>
      <c r="W122" s="4"/>
      <c r="X122" s="4"/>
      <c r="Y122" s="4"/>
      <c r="Z122" s="4"/>
      <c r="AA122" s="4"/>
      <c r="AB122" s="4"/>
      <c r="AC122" s="4"/>
      <c r="AD122" s="4"/>
      <c r="AE122" s="4"/>
      <c r="AF122" s="4"/>
      <c r="AG122" s="4"/>
    </row>
    <row r="123" spans="1:33" ht="22.5" customHeight="1" x14ac:dyDescent="0.25">
      <c r="A123" s="2"/>
      <c r="B123" s="2"/>
      <c r="C123" s="2"/>
      <c r="D123" s="2"/>
      <c r="E123" s="2"/>
      <c r="F123" s="4"/>
      <c r="G123" s="4"/>
      <c r="H123" s="7" t="s">
        <v>69</v>
      </c>
      <c r="I123" s="4" t="str">
        <f ca="1">IFERROR(__xludf.DUMMYFUNCTION("GOOGLETRANSLATE(B123,""en"",""ar"")"),"ماذا تُظهر هذه الحركة عن القدرة البدنية للمصارع؟")</f>
        <v>ماذا تُظهر هذه الحركة عن القدرة البدنية للمصارع؟</v>
      </c>
      <c r="J123" s="4" t="str">
        <f ca="1">IFERROR(__xludf.DUMMYFUNCTION("GOOGLETRANSLATE(C123,""en"",""ar"")"),"أ) هو سريع جدًا لكنه ليس قويًا، ب) لديه قوة استثنائية، ج) هو راقص أفضل من كونه مصارعًا، د) هو ليس رياضيًا جدًا")</f>
        <v>أ) هو سريع جدًا لكنه ليس قويًا، ب) لديه قوة استثنائية، ج) هو راقص أفضل من كونه مصارعًا، د) هو ليس رياضيًا جدًا</v>
      </c>
      <c r="K123" s="4" t="str">
        <f ca="1">IFERROR(__xludf.DUMMYFUNCTION("GOOGLETRANSLATE(D123,""en"",""ar"")"),"ب) يتمتع بقوة استثنائية")</f>
        <v>ب) يتمتع بقوة استثنائية</v>
      </c>
      <c r="L123" s="4" t="str">
        <f ca="1">IFERROR(__xludf.DUMMYFUNCTION("GOOGLETRANSLATE(E123,""en"",""ar"")"),"إن رفع شخص ذي حجم ووزن مماثلين بهذه الطريقة يتطلب قوة هائلة، وخاصة في الساقين والظهر والجذع.")</f>
        <v>إن رفع شخص ذي حجم ووزن مماثلين بهذه الطريقة يتطلب قوة هائلة، وخاصة في الساقين والظهر والجذع.</v>
      </c>
      <c r="M123" s="4"/>
      <c r="N123" s="4"/>
      <c r="O123" s="4"/>
      <c r="P123" s="4"/>
      <c r="Q123" s="4"/>
      <c r="R123" s="4"/>
      <c r="S123" s="4"/>
      <c r="T123" s="4"/>
      <c r="U123" s="4"/>
      <c r="V123" s="4"/>
      <c r="W123" s="4"/>
      <c r="X123" s="4"/>
      <c r="Y123" s="4"/>
      <c r="Z123" s="4"/>
      <c r="AA123" s="4"/>
      <c r="AB123" s="4"/>
      <c r="AC123" s="4"/>
      <c r="AD123" s="4"/>
      <c r="AE123" s="4"/>
      <c r="AF123" s="4"/>
      <c r="AG123" s="4"/>
    </row>
    <row r="124" spans="1:33" ht="22.5" customHeight="1" x14ac:dyDescent="0.25">
      <c r="A124" s="2"/>
      <c r="B124" s="2"/>
      <c r="C124" s="2"/>
      <c r="D124" s="2"/>
      <c r="E124" s="2"/>
      <c r="F124" s="4"/>
      <c r="G124" s="4"/>
      <c r="H124" s="6" t="s">
        <v>69</v>
      </c>
      <c r="I124" s="4" t="str">
        <f ca="1">IFERROR(__xludf.DUMMYFUNCTION("GOOGLETRANSLATE(B124,""en"",""ar"")"),"ما هي حالة المصارع الذي يتم رفعه؟")</f>
        <v>ما هي حالة المصارع الذي يتم رفعه؟</v>
      </c>
      <c r="J124" s="4" t="str">
        <f ca="1">IFERROR(__xludf.DUMMYFUNCTION("GOOGLETRANSLATE(C124,""en"",""ar"")"),"أ) هو في وضع مهيمن، ب) هو في وضع ضعيف للغاية وعلى وشك السقوط، ج) هو في وضع محايد، د) هو على وشك التصدي للحركة")</f>
        <v>أ) هو في وضع مهيمن، ب) هو في وضع ضعيف للغاية وعلى وشك السقوط، ج) هو في وضع محايد، د) هو على وشك التصدي للحركة</v>
      </c>
      <c r="K124" s="4" t="str">
        <f ca="1">IFERROR(__xludf.DUMMYFUNCTION("GOOGLETRANSLATE(D124,""en"",""ar"")"),"ب) إنه ضعيف تماماً وعلى وشك السقوط")</f>
        <v>ب) إنه ضعيف تماماً وعلى وشك السقوط</v>
      </c>
      <c r="L124" s="4" t="str">
        <f ca="1">IFERROR(__xludf.DUMMYFUNCTION("GOOGLETRANSLATE(E124,""en"",""ar"")"),"بمجرد أن يصبح المصارع في الهواء بهذه الطريقة، يصبح من المستحيل تقريبًا الدفاع ضد عملية الإسقاط القادمة.")</f>
        <v>بمجرد أن يصبح المصارع في الهواء بهذه الطريقة، يصبح من المستحيل تقريبًا الدفاع ضد عملية الإسقاط القادمة.</v>
      </c>
      <c r="M124" s="4"/>
      <c r="N124" s="4"/>
      <c r="O124" s="4"/>
      <c r="P124" s="4"/>
      <c r="Q124" s="4"/>
      <c r="R124" s="4"/>
      <c r="S124" s="4"/>
      <c r="T124" s="4"/>
      <c r="U124" s="4"/>
      <c r="V124" s="4"/>
      <c r="W124" s="4"/>
      <c r="X124" s="4"/>
      <c r="Y124" s="4"/>
      <c r="Z124" s="4"/>
      <c r="AA124" s="4"/>
      <c r="AB124" s="4"/>
      <c r="AC124" s="4"/>
      <c r="AD124" s="4"/>
      <c r="AE124" s="4"/>
      <c r="AF124" s="4"/>
      <c r="AG124" s="4"/>
    </row>
    <row r="125" spans="1:33" ht="22.5" customHeight="1" x14ac:dyDescent="0.25">
      <c r="A125" s="2"/>
      <c r="B125" s="2"/>
      <c r="C125" s="2"/>
      <c r="D125" s="2"/>
      <c r="E125" s="2"/>
      <c r="F125" s="4"/>
      <c r="G125" s="4"/>
      <c r="H125" s="7" t="s">
        <v>69</v>
      </c>
      <c r="I125" s="4" t="str">
        <f ca="1">IFERROR(__xludf.DUMMYFUNCTION("GOOGLETRANSLATE(B125,""en"",""ar"")"),"من هو الرجل الذي يرتدي قميصاً أبيض ويراقب ما يحدث؟")</f>
        <v>من هو الرجل الذي يرتدي قميصاً أبيض ويراقب ما يحدث؟</v>
      </c>
      <c r="J125" s="4" t="str">
        <f ca="1">IFERROR(__xludf.DUMMYFUNCTION("GOOGLETRANSLATE(C125,""en"",""ar"")"),"أ) مدرب يعطي التعليمات، ب) متفرج دخل الحلبة، ج) الحكم، د) صحفي")</f>
        <v>أ) مدرب يعطي التعليمات، ب) متفرج دخل الحلبة، ج) الحكم، د) صحفي</v>
      </c>
      <c r="K125" s="4" t="str">
        <f ca="1">IFERROR(__xludf.DUMMYFUNCTION("GOOGLETRANSLATE(D125,""en"",""ar"")"),"ج) الحكم")</f>
        <v>ج) الحكم</v>
      </c>
      <c r="L125" s="4" t="str">
        <f ca="1">IFERROR(__xludf.DUMMYFUNCTION("GOOGLETRANSLATE(E125,""en"",""ar"")"),"هو المسؤول في الحلبة، يراقب الحركة عن كثب للتأكد من تنفيذها وفقًا للقواعد ولإعلان الفائز.")</f>
        <v>هو المسؤول في الحلبة، يراقب الحركة عن كثب للتأكد من تنفيذها وفقًا للقواعد ولإعلان الفائز.</v>
      </c>
      <c r="M125" s="4"/>
      <c r="N125" s="4"/>
      <c r="O125" s="4"/>
      <c r="P125" s="4"/>
      <c r="Q125" s="4"/>
      <c r="R125" s="4"/>
      <c r="S125" s="4"/>
      <c r="T125" s="4"/>
      <c r="U125" s="4"/>
      <c r="V125" s="4"/>
      <c r="W125" s="4"/>
      <c r="X125" s="4"/>
      <c r="Y125" s="4"/>
      <c r="Z125" s="4"/>
      <c r="AA125" s="4"/>
      <c r="AB125" s="4"/>
      <c r="AC125" s="4"/>
      <c r="AD125" s="4"/>
      <c r="AE125" s="4"/>
      <c r="AF125" s="4"/>
      <c r="AG125" s="4"/>
    </row>
    <row r="126" spans="1:33" ht="22.5" customHeight="1" x14ac:dyDescent="0.25">
      <c r="A126" s="2"/>
      <c r="B126" s="2"/>
      <c r="C126" s="2"/>
      <c r="D126" s="2"/>
      <c r="E126" s="2"/>
      <c r="F126" s="4"/>
      <c r="G126" s="4"/>
      <c r="H126" s="6" t="s">
        <v>69</v>
      </c>
      <c r="I126" s="4" t="str">
        <f ca="1">IFERROR(__xludf.DUMMYFUNCTION("GOOGLETRANSLATE(B126,""en"",""ar"")"),"ما هو الهدف النهائي من رفع الخصم بهذه الطريقة؟")</f>
        <v>ما هو الهدف النهائي من رفع الخصم بهذه الطريقة؟</v>
      </c>
      <c r="J126" s="4" t="str">
        <f ca="1">IFERROR(__xludf.DUMMYFUNCTION("GOOGLETRANSLATE(C126,""en"",""ar"")"),"أ) إبقائهم في الهواء لأطول فترة ممكنة، ب) رميهم على ظهورهم للفوز بالمباراة، ج) حملهم خارج الحلبة، د) استعراض مهاراتهم أمام الجمهور")</f>
        <v>أ) إبقائهم في الهواء لأطول فترة ممكنة، ب) رميهم على ظهورهم للفوز بالمباراة، ج) حملهم خارج الحلبة، د) استعراض مهاراتهم أمام الجمهور</v>
      </c>
      <c r="K126" s="4" t="str">
        <f ca="1">IFERROR(__xludf.DUMMYFUNCTION("GOOGLETRANSLATE(D126,""en"",""ar"")"),"ب) إلقائهم على ظهورهم للفوز بالمباراة")</f>
        <v>ب) إلقائهم على ظهورهم للفوز بالمباراة</v>
      </c>
      <c r="L126" s="4" t="str">
        <f ca="1">IFERROR(__xludf.DUMMYFUNCTION("GOOGLETRANSLATE(E126,""en"",""ar"")"),"هذه الرفعات هي بمثابة تمهيد للحركة النهائية والحاسمة المتمثلة في إلقاء الخصم على الأرض لضمان النصر.")</f>
        <v>هذه الرفعات هي بمثابة تمهيد للحركة النهائية والحاسمة المتمثلة في إلقاء الخصم على الأرض لضمان النصر.</v>
      </c>
      <c r="M126" s="4"/>
      <c r="N126" s="4"/>
      <c r="O126" s="4"/>
      <c r="P126" s="4"/>
      <c r="Q126" s="4"/>
      <c r="R126" s="4"/>
      <c r="S126" s="4"/>
      <c r="T126" s="4"/>
      <c r="U126" s="4"/>
      <c r="V126" s="4"/>
      <c r="W126" s="4"/>
      <c r="X126" s="4"/>
      <c r="Y126" s="4"/>
      <c r="Z126" s="4"/>
      <c r="AA126" s="4"/>
      <c r="AB126" s="4"/>
      <c r="AC126" s="4"/>
      <c r="AD126" s="4"/>
      <c r="AE126" s="4"/>
      <c r="AF126" s="4"/>
      <c r="AG126" s="4"/>
    </row>
    <row r="127" spans="1:33" ht="22.5" customHeight="1" x14ac:dyDescent="0.25">
      <c r="A127" s="2"/>
      <c r="B127" s="2"/>
      <c r="C127" s="2"/>
      <c r="D127" s="2"/>
      <c r="E127" s="2"/>
      <c r="F127" s="4"/>
      <c r="G127" s="4"/>
      <c r="H127" s="7" t="s">
        <v>69</v>
      </c>
      <c r="I127" s="4" t="str">
        <f ca="1">IFERROR(__xludf.DUMMYFUNCTION("GOOGLETRANSLATE(B127,""en"",""ar"")"),"ماذا يرتدي المصارع ذو الزي الأحمر على ركبته؟")</f>
        <v>ماذا يرتدي المصارع ذو الزي الأحمر على ركبته؟</v>
      </c>
      <c r="J127" s="4" t="str">
        <f ca="1">IFERROR(__xludf.DUMMYFUNCTION("GOOGLETRANSLATE(C127,""en"",""ar"")"),"أ) شريط زخرفي، ب) وشم، ج) واقي ركبة رياضي حديث، د) لا شيء")</f>
        <v>أ) شريط زخرفي، ب) وشم، ج) واقي ركبة رياضي حديث، د) لا شيء</v>
      </c>
      <c r="K127" s="4" t="str">
        <f ca="1">IFERROR(__xludf.DUMMYFUNCTION("GOOGLETRANSLATE(D127,""en"",""ar"")"),"ج) واقي ركبة رياضي حديث")</f>
        <v>ج) واقي ركبة رياضي حديث</v>
      </c>
      <c r="L127" s="4" t="str">
        <f ca="1">IFERROR(__xludf.DUMMYFUNCTION("GOOGLETRANSLATE(E127,""en"",""ar"")"),"وهو يرتدي واقي ركبة أسود مطاطي للدعم.")</f>
        <v>وهو يرتدي واقي ركبة أسود مطاطي للدعم.</v>
      </c>
      <c r="M127" s="4"/>
      <c r="N127" s="4"/>
      <c r="O127" s="4"/>
      <c r="P127" s="4"/>
      <c r="Q127" s="4"/>
      <c r="R127" s="4"/>
      <c r="S127" s="4"/>
      <c r="T127" s="4"/>
      <c r="U127" s="4"/>
      <c r="V127" s="4"/>
      <c r="W127" s="4"/>
      <c r="X127" s="4"/>
      <c r="Y127" s="4"/>
      <c r="Z127" s="4"/>
      <c r="AA127" s="4"/>
      <c r="AB127" s="4"/>
      <c r="AC127" s="4"/>
      <c r="AD127" s="4"/>
      <c r="AE127" s="4"/>
      <c r="AF127" s="4"/>
      <c r="AG127" s="4"/>
    </row>
    <row r="128" spans="1:33" ht="22.5" customHeight="1" x14ac:dyDescent="0.25">
      <c r="A128" s="2"/>
      <c r="B128" s="2"/>
      <c r="C128" s="2"/>
      <c r="D128" s="2"/>
      <c r="E128" s="2"/>
      <c r="F128" s="4"/>
      <c r="G128" s="4"/>
      <c r="H128" s="6" t="s">
        <v>69</v>
      </c>
      <c r="I128" s="4" t="str">
        <f ca="1">IFERROR(__xludf.DUMMYFUNCTION("GOOGLETRANSLATE(B128,""en"",""ar"")"),"ماذا يدل الغبار الذي تثيره قدم المصارع اليسرى؟")</f>
        <v>ماذا يدل الغبار الذي تثيره قدم المصارع اليسرى؟</v>
      </c>
      <c r="J128" s="4" t="str">
        <f ca="1">IFERROR(__xludf.DUMMYFUNCTION("GOOGLETRANSLATE(C128,""en"",""ar"")"),"أ) الأرض مبتلة، ب) القوة والعزم الهائلان المتولدان، ج) ينزلق ويفقد توازنه، د) المباراة قد بدأت للتو")</f>
        <v>أ) الأرض مبتلة، ب) القوة والعزم الهائلان المتولدان، ج) ينزلق ويفقد توازنه، د) المباراة قد بدأت للتو</v>
      </c>
      <c r="K128" s="4" t="str">
        <f ca="1">IFERROR(__xludf.DUMMYFUNCTION("GOOGLETRANSLATE(D128,""en"",""ar"")"),"ب) القوة والعزم الهائلان المتولدان")</f>
        <v>ب) القوة والعزم الهائلان المتولدان</v>
      </c>
      <c r="L128" s="4" t="str">
        <f ca="1">IFERROR(__xludf.DUMMYFUNCTION("GOOGLETRANSLATE(E128,""en"",""ar"")"),"يتم إزاحة الرمال بفعل القوة الهائلة لساقه التي تغرس في الأرض لتشغيل المصعد.")</f>
        <v>يتم إزاحة الرمال بفعل القوة الهائلة لساقه التي تغرس في الأرض لتشغيل المصعد.</v>
      </c>
      <c r="M128" s="4"/>
      <c r="N128" s="4"/>
      <c r="O128" s="4"/>
      <c r="P128" s="4"/>
      <c r="Q128" s="4"/>
      <c r="R128" s="4"/>
      <c r="S128" s="4"/>
      <c r="T128" s="4"/>
      <c r="U128" s="4"/>
      <c r="V128" s="4"/>
      <c r="W128" s="4"/>
      <c r="X128" s="4"/>
      <c r="Y128" s="4"/>
      <c r="Z128" s="4"/>
      <c r="AA128" s="4"/>
      <c r="AB128" s="4"/>
      <c r="AC128" s="4"/>
      <c r="AD128" s="4"/>
      <c r="AE128" s="4"/>
      <c r="AF128" s="4"/>
      <c r="AG128" s="4"/>
    </row>
    <row r="129" spans="1:33" ht="22.5" customHeight="1" x14ac:dyDescent="0.25">
      <c r="A129" s="2"/>
      <c r="B129" s="2"/>
      <c r="C129" s="2"/>
      <c r="D129" s="2"/>
      <c r="E129" s="2"/>
      <c r="F129" s="4"/>
      <c r="G129" s="4"/>
      <c r="H129" s="7" t="s">
        <v>69</v>
      </c>
      <c r="I129" s="4" t="str">
        <f ca="1">IFERROR(__xludf.DUMMYFUNCTION("GOOGLETRANSLATE(B129,""en"",""ar"")"),"هذه اللحظة هي __________ المباراة.")</f>
        <v>هذه اللحظة هي __________ المباراة.</v>
      </c>
      <c r="J129" s="4" t="str">
        <f ca="1">IFERROR(__xludf.DUMMYFUNCTION("GOOGLETRANSLATE(C129,""en"",""ar"")"),"أ) البداية، ب) الذروة، ج) نقطة المنتصف، د) النهاية")</f>
        <v>أ) البداية، ب) الذروة، ج) نقطة المنتصف، د) النهاية</v>
      </c>
      <c r="K129" s="4" t="str">
        <f ca="1">IFERROR(__xludf.DUMMYFUNCTION("GOOGLETRANSLATE(D129,""en"",""ar"")"),"ب) ذروة")</f>
        <v>ب) ذروة</v>
      </c>
      <c r="L129" s="4" t="str">
        <f ca="1">IFERROR(__xludf.DUMMYFUNCTION("GOOGLETRANSLATE(E129,""en"",""ar"")"),"هذه الرفعات القوية والمثيرة هي ذروة الحركة والخطوة التي ستحدد الفائز.")</f>
        <v>هذه الرفعات القوية والمثيرة هي ذروة الحركة والخطوة التي ستحدد الفائز.</v>
      </c>
      <c r="M129" s="4"/>
      <c r="N129" s="4"/>
      <c r="O129" s="4"/>
      <c r="P129" s="4"/>
      <c r="Q129" s="4"/>
      <c r="R129" s="4"/>
      <c r="S129" s="4"/>
      <c r="T129" s="4"/>
      <c r="U129" s="4"/>
      <c r="V129" s="4"/>
      <c r="W129" s="4"/>
      <c r="X129" s="4"/>
      <c r="Y129" s="4"/>
      <c r="Z129" s="4"/>
      <c r="AA129" s="4"/>
      <c r="AB129" s="4"/>
      <c r="AC129" s="4"/>
      <c r="AD129" s="4"/>
      <c r="AE129" s="4"/>
      <c r="AF129" s="4"/>
      <c r="AG129" s="4"/>
    </row>
    <row r="130" spans="1:33" ht="22.5" customHeight="1" x14ac:dyDescent="0.25">
      <c r="A130" s="2"/>
      <c r="B130" s="2"/>
      <c r="C130" s="2"/>
      <c r="D130" s="2"/>
      <c r="E130" s="2"/>
      <c r="F130" s="4"/>
      <c r="G130" s="4"/>
      <c r="H130" s="6" t="s">
        <v>69</v>
      </c>
      <c r="I130" s="4" t="str">
        <f ca="1">IFERROR(__xludf.DUMMYFUNCTION("GOOGLETRANSLATE(B130,""en"",""ar"")"),"المصارع الذي يرتدي اللون الأزرق يُظهر أداءً مثالياً...")</f>
        <v>المصارع الذي يرتدي اللون الأزرق يُظهر أداءً مثالياً...</v>
      </c>
      <c r="J130" s="4" t="str">
        <f ca="1">IFERROR(__xludf.DUMMYFUNCTION("GOOGLETRANSLATE(C130,""en"",""ar"")"),"أ) الشكل والتقنية، ب) الروح الرياضية من خلال مساعدة الخصم، ج) تجاهل القواعد، د) القدرة على الرقص")</f>
        <v>أ) الشكل والتقنية، ب) الروح الرياضية من خلال مساعدة الخصم، ج) تجاهل القواعد، د) القدرة على الرقص</v>
      </c>
      <c r="K130" s="4" t="str">
        <f ca="1">IFERROR(__xludf.DUMMYFUNCTION("GOOGLETRANSLATE(D130,""en"",""ar"")"),"أ) الشكل والتقنية")</f>
        <v>أ) الشكل والتقنية</v>
      </c>
      <c r="L130" s="4" t="str">
        <f ca="1">IFERROR(__xludf.DUMMYFUNCTION("GOOGLETRANSLATE(E130,""en"",""ar"")"),"وضعيته، مع مركز ثقل منخفض وخصمه ممسكًا به بقوة، تُظهر تقنية مصارعة ممتازة.")</f>
        <v>وضعيته، مع مركز ثقل منخفض وخصمه ممسكًا به بقوة، تُظهر تقنية مصارعة ممتازة.</v>
      </c>
      <c r="M130" s="4"/>
      <c r="N130" s="4"/>
      <c r="O130" s="4"/>
      <c r="P130" s="4"/>
      <c r="Q130" s="4"/>
      <c r="R130" s="4"/>
      <c r="S130" s="4"/>
      <c r="T130" s="4"/>
      <c r="U130" s="4"/>
      <c r="V130" s="4"/>
      <c r="W130" s="4"/>
      <c r="X130" s="4"/>
      <c r="Y130" s="4"/>
      <c r="Z130" s="4"/>
      <c r="AA130" s="4"/>
      <c r="AB130" s="4"/>
      <c r="AC130" s="4"/>
      <c r="AD130" s="4"/>
      <c r="AE130" s="4"/>
      <c r="AF130" s="4"/>
      <c r="AG130" s="4"/>
    </row>
    <row r="131" spans="1:33" ht="22.5" customHeight="1" x14ac:dyDescent="0.25">
      <c r="A131" s="2"/>
      <c r="B131" s="2"/>
      <c r="C131" s="2"/>
      <c r="D131" s="2"/>
      <c r="E131" s="2"/>
      <c r="F131" s="4"/>
      <c r="G131" s="4"/>
      <c r="H131" s="7" t="s">
        <v>69</v>
      </c>
      <c r="I131" s="4" t="str">
        <f ca="1">IFERROR(__xludf.DUMMYFUNCTION("GOOGLETRANSLATE(B131,""en"",""ar"")"),"الحشد في الخلفية هو...")</f>
        <v>الحشد في الخلفية هو...</v>
      </c>
      <c r="J131" s="4" t="str">
        <f ca="1">IFERROR(__xludf.DUMMYFUNCTION("GOOGLETRANSLATE(C131,""en"",""ar"")"),"أ) غير مرئي، ب) يركز بشدة على الرفع المثير، ج) ينظر بعيدًا، د) يشارك في المباراة")</f>
        <v>أ) غير مرئي، ب) يركز بشدة على الرفع المثير، ج) ينظر بعيدًا، د) يشارك في المباراة</v>
      </c>
      <c r="K131" s="4" t="str">
        <f ca="1">IFERROR(__xludf.DUMMYFUNCTION("GOOGLETRANSLATE(D131,""en"",""ar"")"),"ب) التركيز الشديد على الرفع الدرامي")</f>
        <v>ب) التركيز الشديد على الرفع الدرامي</v>
      </c>
      <c r="L131" s="4" t="str">
        <f ca="1">IFERROR(__xludf.DUMMYFUNCTION("GOOGLETRANSLATE(E131,""en"",""ar"")"),"يتابع جميع المتفرجين هذا العمل المذهل من القوة الذي يحدث في الحلبة.")</f>
        <v>يتابع جميع المتفرجين هذا العمل المذهل من القوة الذي يحدث في الحلبة.</v>
      </c>
      <c r="M131" s="4"/>
      <c r="N131" s="4"/>
      <c r="O131" s="4"/>
      <c r="P131" s="4"/>
      <c r="Q131" s="4"/>
      <c r="R131" s="4"/>
      <c r="S131" s="4"/>
      <c r="T131" s="4"/>
      <c r="U131" s="4"/>
      <c r="V131" s="4"/>
      <c r="W131" s="4"/>
      <c r="X131" s="4"/>
      <c r="Y131" s="4"/>
      <c r="Z131" s="4"/>
      <c r="AA131" s="4"/>
      <c r="AB131" s="4"/>
      <c r="AC131" s="4"/>
      <c r="AD131" s="4"/>
      <c r="AE131" s="4"/>
      <c r="AF131" s="4"/>
      <c r="AG131" s="4"/>
    </row>
    <row r="132" spans="1:33" ht="22.5" customHeight="1" x14ac:dyDescent="0.25">
      <c r="A132" s="2"/>
      <c r="B132" s="2"/>
      <c r="C132" s="2"/>
      <c r="D132" s="2"/>
      <c r="E132" s="2"/>
      <c r="F132" s="4"/>
      <c r="G132" s="4"/>
      <c r="H132" s="6" t="s">
        <v>70</v>
      </c>
      <c r="I132" s="4" t="str">
        <f ca="1">IFERROR(__xludf.DUMMYFUNCTION("GOOGLETRANSLATE(B132,""en"",""ar"")"),"تُظهر هذه الصورة مصارعًا وهو ينفذ أي نوع من الرميات؟")</f>
        <v>تُظهر هذه الصورة مصارعًا وهو ينفذ أي نوع من الرميات؟</v>
      </c>
      <c r="J132" s="4" t="str">
        <f ca="1">IFERROR(__xludf.DUMMYFUNCTION("GOOGLETRANSLATE(C132,""en"",""ar"")"),"أ) رحلة بسيطة، ب) إسقاط بطيء ومضني، ج) رمية رياضية بهلوانية للغاية، د) مناورة غير قانونية")</f>
        <v>أ) رحلة بسيطة، ب) إسقاط بطيء ومضني، ج) رمية رياضية بهلوانية للغاية، د) مناورة غير قانونية</v>
      </c>
      <c r="K132" s="4" t="str">
        <f ca="1">IFERROR(__xludf.DUMMYFUNCTION("GOOGLETRANSLATE(D132,""en"",""ar"")"),"ج) رمية رياضية وبهلوانية للغاية")</f>
        <v>ج) رمية رياضية وبهلوانية للغاية</v>
      </c>
      <c r="L132" s="4" t="str">
        <f ca="1">IFERROR(__xludf.DUMMYFUNCTION("GOOGLETRANSLATE(E132,""en"",""ar"")"),"المصارع الذي يتم إلقاؤه يكون مقلوباً رأساً على عقب تقريباً في الهواء، مما يُظهر الديناميكية والمهارة الرياضية المذهلة لهذه الرياضة.")</f>
        <v>المصارع الذي يتم إلقاؤه يكون مقلوباً رأساً على عقب تقريباً في الهواء، مما يُظهر الديناميكية والمهارة الرياضية المذهلة لهذه الرياضة.</v>
      </c>
      <c r="M132" s="4"/>
      <c r="N132" s="4"/>
      <c r="O132" s="4"/>
      <c r="P132" s="4"/>
      <c r="Q132" s="4"/>
      <c r="R132" s="4"/>
      <c r="S132" s="4"/>
      <c r="T132" s="4"/>
      <c r="U132" s="4"/>
      <c r="V132" s="4"/>
      <c r="W132" s="4"/>
      <c r="X132" s="4"/>
      <c r="Y132" s="4"/>
      <c r="Z132" s="4"/>
      <c r="AA132" s="4"/>
      <c r="AB132" s="4"/>
      <c r="AC132" s="4"/>
      <c r="AD132" s="4"/>
      <c r="AE132" s="4"/>
      <c r="AF132" s="4"/>
      <c r="AG132" s="4"/>
    </row>
    <row r="133" spans="1:33" ht="22.5" customHeight="1" x14ac:dyDescent="0.25">
      <c r="A133" s="2"/>
      <c r="B133" s="2"/>
      <c r="C133" s="2"/>
      <c r="D133" s="2"/>
      <c r="E133" s="2"/>
      <c r="F133" s="4"/>
      <c r="G133" s="4"/>
      <c r="H133" s="7" t="s">
        <v>70</v>
      </c>
      <c r="I133" s="4" t="str">
        <f ca="1">IFERROR(__xludf.DUMMYFUNCTION("GOOGLETRANSLATE(B133,""en"",""ar"")"),"ماذا سيحدث إذا سقط المصارع الذي يرتدي سروالاً قصيراً بيج اللون على ظهره؟")</f>
        <v>ماذا سيحدث إذا سقط المصارع الذي يرتدي سروالاً قصيراً بيج اللون على ظهره؟</v>
      </c>
      <c r="J133" s="4" t="str">
        <f ca="1">IFERROR(__xludf.DUMMYFUNCTION("GOOGLETRANSLATE(C133,""en"",""ar"")"),"أ) ستتوقف المباراة مؤقتًا ثم تُستأنف، ب) سيخسر المباراة، ج) سيسجل نقطة، د) لا شيء، ستستمر المباراة")</f>
        <v>أ) ستتوقف المباراة مؤقتًا ثم تُستأنف، ب) سيخسر المباراة، ج) سيسجل نقطة، د) لا شيء، ستستمر المباراة</v>
      </c>
      <c r="K133" s="4" t="str">
        <f ca="1">IFERROR(__xludf.DUMMYFUNCTION("GOOGLETRANSLATE(D133,""en"",""ar"")"),"ب) سيخسر المباراة")</f>
        <v>ب) سيخسر المباراة</v>
      </c>
      <c r="L133" s="4" t="str">
        <f ca="1">IFERROR(__xludf.DUMMYFUNCTION("GOOGLETRANSLATE(E133,""en"",""ar"")"),"يتحقق النصر في مصارعة النوبة عن طريق رمي الخصم بحيث يلامس ظهره الرمال.")</f>
        <v>يتحقق النصر في مصارعة النوبة عن طريق رمي الخصم بحيث يلامس ظهره الرمال.</v>
      </c>
      <c r="M133" s="4"/>
      <c r="N133" s="4"/>
      <c r="O133" s="4"/>
      <c r="P133" s="4"/>
      <c r="Q133" s="4"/>
      <c r="R133" s="4"/>
      <c r="S133" s="4"/>
      <c r="T133" s="4"/>
      <c r="U133" s="4"/>
      <c r="V133" s="4"/>
      <c r="W133" s="4"/>
      <c r="X133" s="4"/>
      <c r="Y133" s="4"/>
      <c r="Z133" s="4"/>
      <c r="AA133" s="4"/>
      <c r="AB133" s="4"/>
      <c r="AC133" s="4"/>
      <c r="AD133" s="4"/>
      <c r="AE133" s="4"/>
      <c r="AF133" s="4"/>
      <c r="AG133" s="4"/>
    </row>
    <row r="134" spans="1:33" ht="22.5" customHeight="1" x14ac:dyDescent="0.25">
      <c r="A134" s="2"/>
      <c r="B134" s="2"/>
      <c r="C134" s="2"/>
      <c r="D134" s="2"/>
      <c r="E134" s="2"/>
      <c r="F134" s="4"/>
      <c r="G134" s="4"/>
      <c r="H134" s="6" t="s">
        <v>70</v>
      </c>
      <c r="I134" s="4" t="str">
        <f ca="1">IFERROR(__xludf.DUMMYFUNCTION("GOOGLETRANSLATE(B134,""en"",""ar"")"),"ماذا تشير إليه سحابة الرمال البرتقالية الضخمة؟")</f>
        <v>ماذا تشير إليه سحابة الرمال البرتقالية الضخمة؟</v>
      </c>
      <c r="J134" s="4" t="str">
        <f ca="1">IFERROR(__xludf.DUMMYFUNCTION("GOOGLETRANSLATE(C134,""en"",""ar"")"),"أ) بدأت عاصفة رملية، ب) التأثير المتفجر لحركة سابقة أو صراع المصارعين، ج) المصارعون يقذفون الرمل على بعضهم البعض، د) أشار الحكم إلى نهاية الجولة")</f>
        <v>أ) بدأت عاصفة رملية، ب) التأثير المتفجر لحركة سابقة أو صراع المصارعين، ج) المصارعون يقذفون الرمل على بعضهم البعض، د) أشار الحكم إلى نهاية الجولة</v>
      </c>
      <c r="K134" s="4" t="str">
        <f ca="1">IFERROR(__xludf.DUMMYFUNCTION("GOOGLETRANSLATE(D134,""en"",""ar"")"),"ب) التأثير المتفجر لحركة سابقة أو صراع المصارعين")</f>
        <v>ب) التأثير المتفجر لحركة سابقة أو صراع المصارعين</v>
      </c>
      <c r="L134" s="4" t="str">
        <f ca="1">IFERROR(__xludf.DUMMYFUNCTION("GOOGLETRANSLATE(E134,""en"",""ar"")"),"تتطاير الرمال بفعل الحركات القوية والسريعة للمصارعين على الأرض.")</f>
        <v>تتطاير الرمال بفعل الحركات القوية والسريعة للمصارعين على الأرض.</v>
      </c>
      <c r="M134" s="4"/>
      <c r="N134" s="4"/>
      <c r="O134" s="4"/>
      <c r="P134" s="4"/>
      <c r="Q134" s="4"/>
      <c r="R134" s="4"/>
      <c r="S134" s="4"/>
      <c r="T134" s="4"/>
      <c r="U134" s="4"/>
      <c r="V134" s="4"/>
      <c r="W134" s="4"/>
      <c r="X134" s="4"/>
      <c r="Y134" s="4"/>
      <c r="Z134" s="4"/>
      <c r="AA134" s="4"/>
      <c r="AB134" s="4"/>
      <c r="AC134" s="4"/>
      <c r="AD134" s="4"/>
      <c r="AE134" s="4"/>
      <c r="AF134" s="4"/>
      <c r="AG134" s="4"/>
    </row>
    <row r="135" spans="1:33" ht="22.5" customHeight="1" x14ac:dyDescent="0.25">
      <c r="A135" s="2"/>
      <c r="B135" s="2"/>
      <c r="C135" s="2"/>
      <c r="D135" s="2"/>
      <c r="E135" s="2"/>
      <c r="F135" s="4"/>
      <c r="G135" s="4"/>
      <c r="H135" s="7" t="s">
        <v>70</v>
      </c>
      <c r="I135" s="4" t="str">
        <f ca="1">IFERROR(__xludf.DUMMYFUNCTION("GOOGLETRANSLATE(B135,""en"",""ar"")"),"المصارع الذي يقوم بالرمية يوضح...")</f>
        <v>المصارع الذي يقوم بالرمية يوضح...</v>
      </c>
      <c r="J135" s="4" t="str">
        <f ca="1">IFERROR(__xludf.DUMMYFUNCTION("GOOGLETRANSLATE(C135,""en"",""ar"")"),"أ) القوة البدنية الخام، ب) السرعة وخفة الحركة، ج) التوقيت والتقنية المثاليان، د) جميع ما سبق")</f>
        <v>أ) القوة البدنية الخام، ب) السرعة وخفة الحركة، ج) التوقيت والتقنية المثاليان، د) جميع ما سبق</v>
      </c>
      <c r="K135" s="4" t="str">
        <f ca="1">IFERROR(__xludf.DUMMYFUNCTION("GOOGLETRANSLATE(D135,""en"",""ar"")"),"د) جميع ما سبق")</f>
        <v>د) جميع ما سبق</v>
      </c>
      <c r="L135" s="4" t="str">
        <f ca="1">IFERROR(__xludf.DUMMYFUNCTION("GOOGLETRANSLATE(E135,""en"",""ar"")"),"إن رمية مذهلة كهذه، والتي تسمى أحيانًا رمية ""طائرة""، تتطلب مزيجًا مثاليًا من القوة للرفع، والسرعة للدوران، والتقنية للتنفيذ.")</f>
        <v>إن رمية مذهلة كهذه، والتي تسمى أحيانًا رمية "طائرة"، تتطلب مزيجًا مثاليًا من القوة للرفع، والسرعة للدوران، والتقنية للتنفيذ.</v>
      </c>
      <c r="M135" s="4"/>
      <c r="N135" s="4"/>
      <c r="O135" s="4"/>
      <c r="P135" s="4"/>
      <c r="Q135" s="4"/>
      <c r="R135" s="4"/>
      <c r="S135" s="4"/>
      <c r="T135" s="4"/>
      <c r="U135" s="4"/>
      <c r="V135" s="4"/>
      <c r="W135" s="4"/>
      <c r="X135" s="4"/>
      <c r="Y135" s="4"/>
      <c r="Z135" s="4"/>
      <c r="AA135" s="4"/>
      <c r="AB135" s="4"/>
      <c r="AC135" s="4"/>
      <c r="AD135" s="4"/>
      <c r="AE135" s="4"/>
      <c r="AF135" s="4"/>
      <c r="AG135" s="4"/>
    </row>
    <row r="136" spans="1:33" ht="22.5" customHeight="1" x14ac:dyDescent="0.25">
      <c r="A136" s="2"/>
      <c r="B136" s="2"/>
      <c r="C136" s="2"/>
      <c r="D136" s="2"/>
      <c r="E136" s="2"/>
      <c r="F136" s="4"/>
      <c r="G136" s="4"/>
      <c r="H136" s="6" t="s">
        <v>70</v>
      </c>
      <c r="I136" s="4" t="str">
        <f ca="1">IFERROR(__xludf.DUMMYFUNCTION("GOOGLETRANSLATE(B136,""en"",""ar"")"),"المكان عبارة عن ساحة حديثة، كما يتضح من...")</f>
        <v>المكان عبارة عن ساحة حديثة، كما يتضح من...</v>
      </c>
      <c r="J136" s="4" t="str">
        <f ca="1">IFERROR(__xludf.DUMMYFUNCTION("GOOGLETRANSLATE(C136,""en"",""ar"")"),"أ) أكواخ تقليدية في الخلفية، ب) سياج معدني أخضر ومقاعد منظمة للمتفرجين، ج) عدم وجود أي حشد، د) أرض صخرية غير مستوية")</f>
        <v>أ) أكواخ تقليدية في الخلفية، ب) سياج معدني أخضر ومقاعد منظمة للمتفرجين، ج) عدم وجود أي حشد، د) أرض صخرية غير مستوية</v>
      </c>
      <c r="K136" s="4" t="str">
        <f ca="1">IFERROR(__xludf.DUMMYFUNCTION("GOOGLETRANSLATE(D136,""en"",""ar"")"),"ب) سياج معدني أخضر ومقاعد منظمة للمتفرجين")</f>
        <v>ب) سياج معدني أخضر ومقاعد منظمة للمتفرجين</v>
      </c>
      <c r="L136" s="4" t="str">
        <f ca="1">IFERROR(__xludf.DUMMYFUNCTION("GOOGLETRANSLATE(E136,""en"",""ar"")"),"هذا مكان رسمي لممارسة الرياضة، وليس تجمعاً غير رسمي في القرية.")</f>
        <v>هذا مكان رسمي لممارسة الرياضة، وليس تجمعاً غير رسمي في القرية.</v>
      </c>
      <c r="M136" s="4"/>
      <c r="N136" s="4"/>
      <c r="O136" s="4"/>
      <c r="P136" s="4"/>
      <c r="Q136" s="4"/>
      <c r="R136" s="4"/>
      <c r="S136" s="4"/>
      <c r="T136" s="4"/>
      <c r="U136" s="4"/>
      <c r="V136" s="4"/>
      <c r="W136" s="4"/>
      <c r="X136" s="4"/>
      <c r="Y136" s="4"/>
      <c r="Z136" s="4"/>
      <c r="AA136" s="4"/>
      <c r="AB136" s="4"/>
      <c r="AC136" s="4"/>
      <c r="AD136" s="4"/>
      <c r="AE136" s="4"/>
      <c r="AF136" s="4"/>
      <c r="AG136" s="4"/>
    </row>
    <row r="137" spans="1:33" ht="22.5" customHeight="1" x14ac:dyDescent="0.25">
      <c r="A137" s="2"/>
      <c r="B137" s="2"/>
      <c r="C137" s="2"/>
      <c r="D137" s="2"/>
      <c r="E137" s="2"/>
      <c r="F137" s="4"/>
      <c r="G137" s="4"/>
      <c r="H137" s="7" t="s">
        <v>70</v>
      </c>
      <c r="I137" s="4" t="str">
        <f ca="1">IFERROR(__xludf.DUMMYFUNCTION("GOOGLETRANSLATE(B137,""en"",""ar"")"),"ما لون الشورت الذي يرتديه المصارع الذي يتم طرحه أرضاً؟")</f>
        <v>ما لون الشورت الذي يرتديه المصارع الذي يتم طرحه أرضاً؟</v>
      </c>
      <c r="J137" s="4" t="str">
        <f ca="1">IFERROR(__xludf.DUMMYFUNCTION("GOOGLETRANSLATE(C137,""en"",""ar"")"),"أ) أحمر، ب) بيج أو بني فاتح، ج) أسود، د) أخضر")</f>
        <v>أ) أحمر، ب) بيج أو بني فاتح، ج) أسود، د) أخضر</v>
      </c>
      <c r="K137" s="4" t="str">
        <f ca="1">IFERROR(__xludf.DUMMYFUNCTION("GOOGLETRANSLATE(D137,""en"",""ar"")"),"ب) بيج أو بني فاتح")</f>
        <v>ب) بيج أو بني فاتح</v>
      </c>
      <c r="L137" s="4" t="str">
        <f ca="1">IFERROR(__xludf.DUMMYFUNCTION("GOOGLETRANSLATE(E137,""en"",""ar"")"),"يرتدي سروالاً قصيراً بسيطاً فاتح اللون.")</f>
        <v>يرتدي سروالاً قصيراً بسيطاً فاتح اللون.</v>
      </c>
      <c r="M137" s="4"/>
      <c r="N137" s="4"/>
      <c r="O137" s="4"/>
      <c r="P137" s="4"/>
      <c r="Q137" s="4"/>
      <c r="R137" s="4"/>
      <c r="S137" s="4"/>
      <c r="T137" s="4"/>
      <c r="U137" s="4"/>
      <c r="V137" s="4"/>
      <c r="W137" s="4"/>
      <c r="X137" s="4"/>
      <c r="Y137" s="4"/>
      <c r="Z137" s="4"/>
      <c r="AA137" s="4"/>
      <c r="AB137" s="4"/>
      <c r="AC137" s="4"/>
      <c r="AD137" s="4"/>
      <c r="AE137" s="4"/>
      <c r="AF137" s="4"/>
      <c r="AG137" s="4"/>
    </row>
    <row r="138" spans="1:33" ht="22.5" customHeight="1" x14ac:dyDescent="0.25">
      <c r="A138" s="2"/>
      <c r="B138" s="2"/>
      <c r="C138" s="2"/>
      <c r="D138" s="2"/>
      <c r="E138" s="2"/>
      <c r="F138" s="4"/>
      <c r="G138" s="4"/>
      <c r="H138" s="6" t="s">
        <v>70</v>
      </c>
      <c r="I138" s="4" t="str">
        <f ca="1">IFERROR(__xludf.DUMMYFUNCTION("GOOGLETRANSLATE(B138,""en"",""ar"")"),"المصارع الذي يرتدي القميص الأحمر لديه جسم أسود على ذراعه. ما هو؟")</f>
        <v>المصارع الذي يرتدي القميص الأحمر لديه جسم أسود على ذراعه. ما هو؟</v>
      </c>
      <c r="J138" s="4" t="str">
        <f ca="1">IFERROR(__xludf.DUMMYFUNCTION("GOOGLETRANSLATE(C138,""en"",""ar"")"),"أ) ساعة، ب) سوار ذراع تقليدي، ج) ضمادة، د) كم")</f>
        <v>أ) ساعة، ب) سوار ذراع تقليدي، ج) ضمادة، د) كم</v>
      </c>
      <c r="K138" s="4" t="str">
        <f ca="1">IFERROR(__xludf.DUMMYFUNCTION("GOOGLETRANSLATE(D138,""en"",""ar"")"),"ب) شارة ذراع تقليدية")</f>
        <v>ب) شارة ذراع تقليدية</v>
      </c>
      <c r="L138" s="4" t="str">
        <f ca="1">IFERROR(__xludf.DUMMYFUNCTION("GOOGLETRANSLATE(E138,""en"",""ar"")"),"يمكن أن يكون هذا الشريط، الذي يُلبس على العضلة ذات الرأسين، جزءًا زخرفيًا أو رمزيًا من زي المصارع.")</f>
        <v>يمكن أن يكون هذا الشريط، الذي يُلبس على العضلة ذات الرأسين، جزءًا زخرفيًا أو رمزيًا من زي المصارع.</v>
      </c>
      <c r="M138" s="4"/>
      <c r="N138" s="4"/>
      <c r="O138" s="4"/>
      <c r="P138" s="4"/>
      <c r="Q138" s="4"/>
      <c r="R138" s="4"/>
      <c r="S138" s="4"/>
      <c r="T138" s="4"/>
      <c r="U138" s="4"/>
      <c r="V138" s="4"/>
      <c r="W138" s="4"/>
      <c r="X138" s="4"/>
      <c r="Y138" s="4"/>
      <c r="Z138" s="4"/>
      <c r="AA138" s="4"/>
      <c r="AB138" s="4"/>
      <c r="AC138" s="4"/>
      <c r="AD138" s="4"/>
      <c r="AE138" s="4"/>
      <c r="AF138" s="4"/>
      <c r="AG138" s="4"/>
    </row>
    <row r="139" spans="1:33" ht="22.5" customHeight="1" x14ac:dyDescent="0.25">
      <c r="A139" s="2"/>
      <c r="B139" s="2"/>
      <c r="C139" s="2"/>
      <c r="D139" s="2"/>
      <c r="E139" s="2"/>
      <c r="F139" s="4"/>
      <c r="G139" s="4"/>
      <c r="H139" s="7" t="s">
        <v>70</v>
      </c>
      <c r="I139" s="4" t="str">
        <f ca="1">IFERROR(__xludf.DUMMYFUNCTION("GOOGLETRANSLATE(B139,""en"",""ar"")"),"هذا النوع من الرمي الديناميكي عالي السعة هو...")</f>
        <v>هذا النوع من الرمي الديناميكي عالي السعة هو...</v>
      </c>
      <c r="J139" s="4" t="str">
        <f ca="1">IFERROR(__xludf.DUMMYFUNCTION("GOOGLETRANSLATE(C139,""en"",""ar"")"),"أ) شائع جدًا وسهل الأداء، ب) علامة على مهارة وقوة المصارع، ج) ممنوع بموجب قواعد الرياضة، د) غير فعال للفوز بالمباراة")</f>
        <v>أ) شائع جدًا وسهل الأداء، ب) علامة على مهارة وقوة المصارع، ج) ممنوع بموجب قواعد الرياضة، د) غير فعال للفوز بالمباراة</v>
      </c>
      <c r="K139" s="4" t="str">
        <f ca="1">IFERROR(__xludf.DUMMYFUNCTION("GOOGLETRANSLATE(D139,""en"",""ar"")"),"ب) علامة على مصارع ماهر وقوي للغاية")</f>
        <v>ب) علامة على مصارع ماهر وقوي للغاية</v>
      </c>
      <c r="L139" s="4" t="str">
        <f ca="1">IFERROR(__xludf.DUMMYFUNCTION("GOOGLETRANSLATE(E139,""en"",""ar"")"),"إن تنفيذ مثل هذه الرمية البهلوانية والفعالة هو علامة على مهارة مصارع النوبة النخبة.")</f>
        <v>إن تنفيذ مثل هذه الرمية البهلوانية والفعالة هو علامة على مهارة مصارع النوبة النخبة.</v>
      </c>
      <c r="M139" s="4"/>
      <c r="N139" s="4"/>
      <c r="O139" s="4"/>
      <c r="P139" s="4"/>
      <c r="Q139" s="4"/>
      <c r="R139" s="4"/>
      <c r="S139" s="4"/>
      <c r="T139" s="4"/>
      <c r="U139" s="4"/>
      <c r="V139" s="4"/>
      <c r="W139" s="4"/>
      <c r="X139" s="4"/>
      <c r="Y139" s="4"/>
      <c r="Z139" s="4"/>
      <c r="AA139" s="4"/>
      <c r="AB139" s="4"/>
      <c r="AC139" s="4"/>
      <c r="AD139" s="4"/>
      <c r="AE139" s="4"/>
      <c r="AF139" s="4"/>
      <c r="AG139" s="4"/>
    </row>
    <row r="140" spans="1:33" ht="22.5" customHeight="1" x14ac:dyDescent="0.25">
      <c r="A140" s="2"/>
      <c r="B140" s="2"/>
      <c r="C140" s="2"/>
      <c r="D140" s="2"/>
      <c r="E140" s="2"/>
      <c r="F140" s="4"/>
      <c r="G140" s="4"/>
      <c r="H140" s="6" t="s">
        <v>70</v>
      </c>
      <c r="I140" s="4" t="str">
        <f ca="1">IFERROR(__xludf.DUMMYFUNCTION("GOOGLETRANSLATE(B140,""en"",""ar"")"),"ما هو الجزء من جسم المصارع الذي يتم رميه والذي يكون في أعلى نقطة في الهواء؟")</f>
        <v>ما هو الجزء من جسم المصارع الذي يتم رميه والذي يكون في أعلى نقطة في الهواء؟</v>
      </c>
      <c r="J140" s="4" t="str">
        <f ca="1">IFERROR(__xludf.DUMMYFUNCTION("GOOGLETRANSLATE(C140,""en"",""ar"")"),"أ) رأسه، ب) يديه، ج) قدميه، د) ركبتيه")</f>
        <v>أ) رأسه، ب) يديه، ج) قدميه، د) ركبتيه</v>
      </c>
      <c r="K140" s="4" t="str">
        <f ca="1">IFERROR(__xludf.DUMMYFUNCTION("GOOGLETRANSLATE(D140,""en"",""ar"")"),"ج) قدميه")</f>
        <v>ج) قدميه</v>
      </c>
      <c r="L140" s="4" t="str">
        <f ca="1">IFERROR(__xludf.DUMMYFUNCTION("GOOGLETRANSLATE(E140,""en"",""ar"")"),"تتجه قدماه نحو السماء بينما يقلبه خصمه رأساً على عقب.")</f>
        <v>تتجه قدماه نحو السماء بينما يقلبه خصمه رأساً على عقب.</v>
      </c>
      <c r="M140" s="4"/>
      <c r="N140" s="4"/>
      <c r="O140" s="4"/>
      <c r="P140" s="4"/>
      <c r="Q140" s="4"/>
      <c r="R140" s="4"/>
      <c r="S140" s="4"/>
      <c r="T140" s="4"/>
      <c r="U140" s="4"/>
      <c r="V140" s="4"/>
      <c r="W140" s="4"/>
      <c r="X140" s="4"/>
      <c r="Y140" s="4"/>
      <c r="Z140" s="4"/>
      <c r="AA140" s="4"/>
      <c r="AB140" s="4"/>
      <c r="AC140" s="4"/>
      <c r="AD140" s="4"/>
      <c r="AE140" s="4"/>
      <c r="AF140" s="4"/>
      <c r="AG140" s="4"/>
    </row>
    <row r="141" spans="1:33" ht="22.5" customHeight="1" x14ac:dyDescent="0.25">
      <c r="A141" s="2"/>
      <c r="B141" s="2"/>
      <c r="C141" s="2"/>
      <c r="D141" s="2"/>
      <c r="E141" s="2"/>
      <c r="F141" s="4"/>
      <c r="G141" s="4"/>
      <c r="H141" s="7" t="s">
        <v>70</v>
      </c>
      <c r="I141" s="4" t="str">
        <f ca="1">IFERROR(__xludf.DUMMYFUNCTION("GOOGLETRANSLATE(B141,""en"",""ar"")"),"تجسد هذه الصورة وصف مصارعة النوبة بشكل مثالي على أنها...")</f>
        <v>تجسد هذه الصورة وصف مصارعة النوبة بشكل مثالي على أنها...</v>
      </c>
      <c r="J141" s="4" t="str">
        <f ca="1">IFERROR(__xludf.DUMMYFUNCTION("GOOGLETRANSLATE(C141,""en"",""ar"")"),"أ) رقصة احتفالية بطيئة، ب) رياضة السومو السودانية، ج) فن قتالي بدون احتكاك، د) رياضة بدون قواعد")</f>
        <v>أ) رقصة احتفالية بطيئة، ب) رياضة السومو السودانية، ج) فن قتالي بدون احتكاك، د) رياضة بدون قواعد</v>
      </c>
      <c r="K141" s="4" t="str">
        <f ca="1">IFERROR(__xludf.DUMMYFUNCTION("GOOGLETRANSLATE(D141,""en"",""ar"")"),"ب) ""السومو السوداني""")</f>
        <v>ب) "السومو السوداني"</v>
      </c>
      <c r="L141" s="4" t="str">
        <f ca="1">IFERROR(__xludf.DUMMYFUNCTION("GOOGLETRANSLATE(E141,""en"",""ar"")"),"مثل رياضة السومو، إنها رياضة مصارعة قوية ذات جذور ثقافية عميقة، وتركز على عمليات الإسقاط في حلبة محددة.")</f>
        <v>مثل رياضة السومو، إنها رياضة مصارعة قوية ذات جذور ثقافية عميقة، وتركز على عمليات الإسقاط في حلبة محددة.</v>
      </c>
      <c r="M141" s="4"/>
      <c r="N141" s="4"/>
      <c r="O141" s="4"/>
      <c r="P141" s="4"/>
      <c r="Q141" s="4"/>
      <c r="R141" s="4"/>
      <c r="S141" s="4"/>
      <c r="T141" s="4"/>
      <c r="U141" s="4"/>
      <c r="V141" s="4"/>
      <c r="W141" s="4"/>
      <c r="X141" s="4"/>
      <c r="Y141" s="4"/>
      <c r="Z141" s="4"/>
      <c r="AA141" s="4"/>
      <c r="AB141" s="4"/>
      <c r="AC141" s="4"/>
      <c r="AD141" s="4"/>
      <c r="AE141" s="4"/>
      <c r="AF141" s="4"/>
      <c r="AG141" s="4"/>
    </row>
    <row r="142" spans="1:33" ht="22.5" customHeight="1" x14ac:dyDescent="0.25">
      <c r="A142" s="2"/>
      <c r="B142" s="2"/>
      <c r="C142" s="2"/>
      <c r="D142" s="2"/>
      <c r="E142" s="2"/>
      <c r="F142" s="4"/>
      <c r="G142" s="4"/>
      <c r="H142" s="6" t="s">
        <v>71</v>
      </c>
      <c r="I142" s="4" t="str">
        <f ca="1">IFERROR(__xludf.DUMMYFUNCTION("GOOGLETRANSLATE(B142,""en"",""ar"")"),"ما هي نتيجة الفعل الموضح في الصورة؟")</f>
        <v>ما هي نتيجة الفعل الموضح في الصورة؟</v>
      </c>
      <c r="J142" s="4" t="str">
        <f ca="1">IFERROR(__xludf.DUMMYFUNCTION("GOOGLETRANSLATE(C142,""en"",""ar"")"),"أ) المباراة انتهت بالتعادل، ب) فاز المصارع الذي يرتدي السروال الأسود، ج) فاز المصارع الذي يرتدي السروال الفاتح اللون، د) المباراة على وشك البدء")</f>
        <v>أ) المباراة انتهت بالتعادل، ب) فاز المصارع الذي يرتدي السروال الأسود، ج) فاز المصارع الذي يرتدي السروال الفاتح اللون، د) المباراة على وشك البدء</v>
      </c>
      <c r="K142" s="4" t="str">
        <f ca="1">IFERROR(__xludf.DUMMYFUNCTION("GOOGLETRANSLATE(D142,""en"",""ar"")"),"ب) المصارع الذي يرتدي السروال الأسود قد فاز")</f>
        <v>ب) المصارع الذي يرتدي السروال الأسود قد فاز</v>
      </c>
      <c r="L142" s="4" t="str">
        <f ca="1">IFERROR(__xludf.DUMMYFUNCTION("GOOGLETRANSLATE(E142,""en"",""ar"")"),"إنه يقف فوق خصمه، الذي يرقد على الأرض وظهره يلامس الرمال، مما يدل على فوز واضح.")</f>
        <v>إنه يقف فوق خصمه، الذي يرقد على الأرض وظهره يلامس الرمال، مما يدل على فوز واضح.</v>
      </c>
      <c r="M142" s="4"/>
      <c r="N142" s="4"/>
      <c r="O142" s="4"/>
      <c r="P142" s="4"/>
      <c r="Q142" s="4"/>
      <c r="R142" s="4"/>
      <c r="S142" s="4"/>
      <c r="T142" s="4"/>
      <c r="U142" s="4"/>
      <c r="V142" s="4"/>
      <c r="W142" s="4"/>
      <c r="X142" s="4"/>
      <c r="Y142" s="4"/>
      <c r="Z142" s="4"/>
      <c r="AA142" s="4"/>
      <c r="AB142" s="4"/>
      <c r="AC142" s="4"/>
      <c r="AD142" s="4"/>
      <c r="AE142" s="4"/>
      <c r="AF142" s="4"/>
      <c r="AG142" s="4"/>
    </row>
    <row r="143" spans="1:33" ht="22.5" customHeight="1" x14ac:dyDescent="0.25">
      <c r="A143" s="2"/>
      <c r="B143" s="2"/>
      <c r="C143" s="2"/>
      <c r="D143" s="2"/>
      <c r="E143" s="2"/>
      <c r="F143" s="4"/>
      <c r="G143" s="4"/>
      <c r="H143" s="7" t="s">
        <v>71</v>
      </c>
      <c r="I143" s="4" t="str">
        <f ca="1">IFERROR(__xludf.DUMMYFUNCTION("GOOGLETRANSLATE(B143,""en"",""ar"")"),"من هو الرجل الضخم الذي يرتدي قميصاً أسود ويقف خلف المصارعين؟")</f>
        <v>من هو الرجل الضخم الذي يرتدي قميصاً أسود ويقف خلف المصارعين؟</v>
      </c>
      <c r="J143" s="4" t="str">
        <f ca="1">IFERROR(__xludf.DUMMYFUNCTION("GOOGLETRANSLATE(C143,""en"",""ar"")"),"أ) بطل العام السابق، ب) أحد المتفرجين الذين دخلوا الحلبة، ج) مدرب المصارع الخاسر، د) حكم المباراة")</f>
        <v>أ) بطل العام السابق، ب) أحد المتفرجين الذين دخلوا الحلبة، ج) مدرب المصارع الخاسر، د) حكم المباراة</v>
      </c>
      <c r="K143" s="4" t="str">
        <f ca="1">IFERROR(__xludf.DUMMYFUNCTION("GOOGLETRANSLATE(D143,""en"",""ar"")"),"د) حكم المباراة")</f>
        <v>د) حكم المباراة</v>
      </c>
      <c r="L143" s="4" t="str">
        <f ca="1">IFERROR(__xludf.DUMMYFUNCTION("GOOGLETRANSLATE(E143,""en"",""ar"")"),"هو المسؤول الذي يراقب اللحظة الأخيرة من المباراة لتأكيد الفوز.")</f>
        <v>هو المسؤول الذي يراقب اللحظة الأخيرة من المباراة لتأكيد الفوز.</v>
      </c>
      <c r="M143" s="4"/>
      <c r="N143" s="4"/>
      <c r="O143" s="4"/>
      <c r="P143" s="4"/>
      <c r="Q143" s="4"/>
      <c r="R143" s="4"/>
      <c r="S143" s="4"/>
      <c r="T143" s="4"/>
      <c r="U143" s="4"/>
      <c r="V143" s="4"/>
      <c r="W143" s="4"/>
      <c r="X143" s="4"/>
      <c r="Y143" s="4"/>
      <c r="Z143" s="4"/>
      <c r="AA143" s="4"/>
      <c r="AB143" s="4"/>
      <c r="AC143" s="4"/>
      <c r="AD143" s="4"/>
      <c r="AE143" s="4"/>
      <c r="AF143" s="4"/>
      <c r="AG143" s="4"/>
    </row>
    <row r="144" spans="1:33" ht="22.5" customHeight="1" x14ac:dyDescent="0.25">
      <c r="A144" s="2"/>
      <c r="B144" s="2"/>
      <c r="C144" s="2"/>
      <c r="D144" s="2"/>
      <c r="E144" s="2"/>
      <c r="F144" s="4"/>
      <c r="G144" s="4"/>
      <c r="H144" s="6" t="s">
        <v>71</v>
      </c>
      <c r="I144" s="4" t="str">
        <f ca="1">IFERROR(__xludf.DUMMYFUNCTION("GOOGLETRANSLATE(B144,""en"",""ar"")"),"المصارع على الأرض يكون ظهره على الرمال، وهو ما يعني في مصارعة النوبة...")</f>
        <v>المصارع على الأرض يكون ظهره على الرمال، وهو ما يعني في مصارعة النوبة...</v>
      </c>
      <c r="J144" s="4" t="str">
        <f ca="1">IFERROR(__xludf.DUMMYFUNCTION("GOOGLETRANSLATE(C144,""en"",""ar"")"),"أ) يحصل على استراحة لمدة 30 ثانية، ب) خسر النزال، ج) سجل نقطة، د) انتهت الجولة وسيتم إعادة ضبطها")</f>
        <v>أ) يحصل على استراحة لمدة 30 ثانية، ب) خسر النزال، ج) سجل نقطة، د) انتهت الجولة وسيتم إعادة ضبطها</v>
      </c>
      <c r="K144" s="4" t="str">
        <f ca="1">IFERROR(__xludf.DUMMYFUNCTION("GOOGLETRANSLATE(D144,""en"",""ar"")"),"ب) لقد خسر النزال")</f>
        <v>ب) لقد خسر النزال</v>
      </c>
      <c r="L144" s="4" t="str">
        <f ca="1">IFERROR(__xludf.DUMMYFUNCTION("GOOGLETRANSLATE(E144,""en"",""ar"")"),"الهدف الأساسي هو جعل ظهر خصمك يلامس الأرض؛ هذه هزيمة حاسمة.")</f>
        <v>الهدف الأساسي هو جعل ظهر خصمك يلامس الأرض؛ هذه هزيمة حاسمة.</v>
      </c>
      <c r="M144" s="4"/>
      <c r="N144" s="4"/>
      <c r="O144" s="4"/>
      <c r="P144" s="4"/>
      <c r="Q144" s="4"/>
      <c r="R144" s="4"/>
      <c r="S144" s="4"/>
      <c r="T144" s="4"/>
      <c r="U144" s="4"/>
      <c r="V144" s="4"/>
      <c r="W144" s="4"/>
      <c r="X144" s="4"/>
      <c r="Y144" s="4"/>
      <c r="Z144" s="4"/>
      <c r="AA144" s="4"/>
      <c r="AB144" s="4"/>
      <c r="AC144" s="4"/>
      <c r="AD144" s="4"/>
      <c r="AE144" s="4"/>
      <c r="AF144" s="4"/>
      <c r="AG144" s="4"/>
    </row>
    <row r="145" spans="1:33" ht="22.5" customHeight="1" x14ac:dyDescent="0.25">
      <c r="A145" s="2"/>
      <c r="B145" s="2"/>
      <c r="C145" s="2"/>
      <c r="D145" s="2"/>
      <c r="E145" s="2"/>
      <c r="F145" s="4"/>
      <c r="G145" s="4"/>
      <c r="H145" s="7" t="s">
        <v>71</v>
      </c>
      <c r="I145" s="4" t="str">
        <f ca="1">IFERROR(__xludf.DUMMYFUNCTION("GOOGLETRANSLATE(B145,""en"",""ar"")"),"ماذا يفعل المصارع ذو الرداء الأسود؟")</f>
        <v>ماذا يفعل المصارع ذو الرداء الأسود؟</v>
      </c>
      <c r="J145" s="4" t="str">
        <f ca="1">IFERROR(__xludf.DUMMYFUNCTION("GOOGLETRANSLATE(C145,""en"",""ar"")"),"أ) يساعد خصمه على النهوض، ب) يحتفل بفوزه، ج) يضمن بقاء خصمه أرضًا، د) ينظر إلى مدربه لتلقي التعليمات")</f>
        <v>أ) يساعد خصمه على النهوض، ب) يحتفل بفوزه، ج) يضمن بقاء خصمه أرضًا، د) ينظر إلى مدربه لتلقي التعليمات</v>
      </c>
      <c r="K145" s="4" t="str">
        <f ca="1">IFERROR(__xludf.DUMMYFUNCTION("GOOGLETRANSLATE(D145,""en"",""ar"")"),"ج) إنه يضمن بقاء خصمه أرضاً")</f>
        <v>ج) إنه يضمن بقاء خصمه أرضاً</v>
      </c>
      <c r="L145" s="4" t="str">
        <f ca="1">IFERROR(__xludf.DUMMYFUNCTION("GOOGLETRANSLATE(E145,""en"",""ar"")"),"يحافظ على الاتصال والوضع المهيمن، ويتأكد من اكتمال السقوط واعتراف الحكم به.")</f>
        <v>يحافظ على الاتصال والوضع المهيمن، ويتأكد من اكتمال السقوط واعتراف الحكم به.</v>
      </c>
      <c r="M145" s="4"/>
      <c r="N145" s="4"/>
      <c r="O145" s="4"/>
      <c r="P145" s="4"/>
      <c r="Q145" s="4"/>
      <c r="R145" s="4"/>
      <c r="S145" s="4"/>
      <c r="T145" s="4"/>
      <c r="U145" s="4"/>
      <c r="V145" s="4"/>
      <c r="W145" s="4"/>
      <c r="X145" s="4"/>
      <c r="Y145" s="4"/>
      <c r="Z145" s="4"/>
      <c r="AA145" s="4"/>
      <c r="AB145" s="4"/>
      <c r="AC145" s="4"/>
      <c r="AD145" s="4"/>
      <c r="AE145" s="4"/>
      <c r="AF145" s="4"/>
      <c r="AG145" s="4"/>
    </row>
    <row r="146" spans="1:33" ht="22.5" customHeight="1" x14ac:dyDescent="0.25">
      <c r="A146" s="2"/>
      <c r="B146" s="2"/>
      <c r="C146" s="2"/>
      <c r="D146" s="2"/>
      <c r="E146" s="2"/>
      <c r="F146" s="4"/>
      <c r="G146" s="4"/>
      <c r="H146" s="6" t="s">
        <v>71</v>
      </c>
      <c r="I146" s="4" t="str">
        <f ca="1">IFERROR(__xludf.DUMMYFUNCTION("GOOGLETRANSLATE(B146,""en"",""ar"")"),"ماذا يرتدي المصارعان على ركبتيهما؟")</f>
        <v>ماذا يرتدي المصارعان على ركبتيهما؟</v>
      </c>
      <c r="J146" s="4" t="str">
        <f ca="1">IFERROR(__xludf.DUMMYFUNCTION("GOOGLETRANSLATE(C146,""en"",""ar"")"),"أ) الزخارف التقليدية، ب) الدروع الثقيلة، ج) واقيات الركبة المرنة الحديثة، د) لا شيء")</f>
        <v>أ) الزخارف التقليدية، ب) الدروع الثقيلة، ج) واقيات الركبة المرنة الحديثة، د) لا شيء</v>
      </c>
      <c r="K146" s="4" t="str">
        <f ca="1">IFERROR(__xludf.DUMMYFUNCTION("GOOGLETRANSLATE(D146,""en"",""ar"")"),"ج) واقيات الركبة المرنة الحديثة")</f>
        <v>ج) واقيات الركبة المرنة الحديثة</v>
      </c>
      <c r="L146" s="4" t="str">
        <f ca="1">IFERROR(__xludf.DUMMYFUNCTION("GOOGLETRANSLATE(E146,""en"",""ar"")"),"يرتدي كلا الرياضيين واقيات ركبة زرقاء اللون لدعم المفاصل وحمايتها، مما يُظهر مزيجًا من المعدات الحديثة والرياضة التقليدية.")</f>
        <v>يرتدي كلا الرياضيين واقيات ركبة زرقاء اللون لدعم المفاصل وحمايتها، مما يُظهر مزيجًا من المعدات الحديثة والرياضة التقليدية.</v>
      </c>
      <c r="M146" s="4"/>
      <c r="N146" s="4"/>
      <c r="O146" s="4"/>
      <c r="P146" s="4"/>
      <c r="Q146" s="4"/>
      <c r="R146" s="4"/>
      <c r="S146" s="4"/>
      <c r="T146" s="4"/>
      <c r="U146" s="4"/>
      <c r="V146" s="4"/>
      <c r="W146" s="4"/>
      <c r="X146" s="4"/>
      <c r="Y146" s="4"/>
      <c r="Z146" s="4"/>
      <c r="AA146" s="4"/>
      <c r="AB146" s="4"/>
      <c r="AC146" s="4"/>
      <c r="AD146" s="4"/>
      <c r="AE146" s="4"/>
      <c r="AF146" s="4"/>
      <c r="AG146" s="4"/>
    </row>
    <row r="147" spans="1:33" ht="22.5" customHeight="1" x14ac:dyDescent="0.25">
      <c r="A147" s="2"/>
      <c r="B147" s="2"/>
      <c r="C147" s="2"/>
      <c r="D147" s="2"/>
      <c r="E147" s="2"/>
      <c r="F147" s="4"/>
      <c r="G147" s="4"/>
      <c r="H147" s="7" t="s">
        <v>71</v>
      </c>
      <c r="I147" s="4" t="str">
        <f ca="1">IFERROR(__xludf.DUMMYFUNCTION("GOOGLETRANSLATE(B147,""en"",""ar"")"),"ماذا تعني نفخة الغبار بجانب المصارع الساقط؟")</f>
        <v>ماذا تعني نفخة الغبار بجانب المصارع الساقط؟</v>
      </c>
      <c r="J147" s="4" t="str">
        <f ca="1">IFERROR(__xludf.DUMMYFUNCTION("GOOGLETRANSLATE(C147,""en"",""ar"")"),"أ) قوة الاصطدام، ب) بدء الحريق، ج) إشارة من الحكم، د) إلقاء البارود الاحتفالي")</f>
        <v>أ) قوة الاصطدام، ب) بدء الحريق، ج) إشارة من الحكم، د) إلقاء البارود الاحتفالي</v>
      </c>
      <c r="K147" s="4" t="str">
        <f ca="1">IFERROR(__xludf.DUMMYFUNCTION("GOOGLETRANSLATE(D147,""en"",""ar"")"),"أ) قوة الصدمة")</f>
        <v>أ) قوة الصدمة</v>
      </c>
      <c r="L147" s="4" t="str">
        <f ca="1">IFERROR(__xludf.DUMMYFUNCTION("GOOGLETRANSLATE(E147,""en"",""ar"")"),"أثار الغبار عندما تم إلقاء المصارع بقوة على الأرض الرملية.")</f>
        <v>أثار الغبار عندما تم إلقاء المصارع بقوة على الأرض الرملية.</v>
      </c>
      <c r="M147" s="4"/>
      <c r="N147" s="4"/>
      <c r="O147" s="4"/>
      <c r="P147" s="4"/>
      <c r="Q147" s="4"/>
      <c r="R147" s="4"/>
      <c r="S147" s="4"/>
      <c r="T147" s="4"/>
      <c r="U147" s="4"/>
      <c r="V147" s="4"/>
      <c r="W147" s="4"/>
      <c r="X147" s="4"/>
      <c r="Y147" s="4"/>
      <c r="Z147" s="4"/>
      <c r="AA147" s="4"/>
      <c r="AB147" s="4"/>
      <c r="AC147" s="4"/>
      <c r="AD147" s="4"/>
      <c r="AE147" s="4"/>
      <c r="AF147" s="4"/>
      <c r="AG147" s="4"/>
    </row>
    <row r="148" spans="1:33" ht="22.5" customHeight="1" x14ac:dyDescent="0.25">
      <c r="A148" s="2"/>
      <c r="B148" s="2"/>
      <c r="C148" s="2"/>
      <c r="D148" s="2"/>
      <c r="E148" s="2"/>
      <c r="F148" s="4"/>
      <c r="G148" s="4"/>
      <c r="H148" s="6" t="s">
        <v>71</v>
      </c>
      <c r="I148" s="4" t="str">
        <f ca="1">IFERROR(__xludf.DUMMYFUNCTION("GOOGLETRANSLATE(B148,""en"",""ar"")"),"يجلس الحشد في الخلفية خلف...")</f>
        <v>يجلس الحشد في الخلفية خلف...</v>
      </c>
      <c r="J148" s="4" t="str">
        <f ca="1">IFERROR(__xludf.DUMMYFUNCTION("GOOGLETRANSLATE(C148,""en"",""ar"")"),"أ) حاجز من الحبال، ب) سياج معدني أخضر، ج) جدار صلب، د) خط مرسوم في الرمال")</f>
        <v>أ) حاجز من الحبال، ب) سياج معدني أخضر، ج) جدار صلب، د) خط مرسوم في الرمال</v>
      </c>
      <c r="K148" s="4" t="str">
        <f ca="1">IFERROR(__xludf.DUMMYFUNCTION("GOOGLETRANSLATE(D148,""en"",""ar"")"),"ب) سياج معدني أخضر")</f>
        <v>ب) سياج معدني أخضر</v>
      </c>
      <c r="L148" s="4" t="str">
        <f ca="1">IFERROR(__xludf.DUMMYFUNCTION("GOOGLETRANSLATE(E148,""en"",""ar"")"),"يتواجد المتفرجون في مدرج خلف حاجز، وهو ما يميز حلبة مصارعة النوبة الحديثة والرسمية.")</f>
        <v>يتواجد المتفرجون في مدرج خلف حاجز، وهو ما يميز حلبة مصارعة النوبة الحديثة والرسمية.</v>
      </c>
      <c r="M148" s="4"/>
      <c r="N148" s="4"/>
      <c r="O148" s="4"/>
      <c r="P148" s="4"/>
      <c r="Q148" s="4"/>
      <c r="R148" s="4"/>
      <c r="S148" s="4"/>
      <c r="T148" s="4"/>
      <c r="U148" s="4"/>
      <c r="V148" s="4"/>
      <c r="W148" s="4"/>
      <c r="X148" s="4"/>
      <c r="Y148" s="4"/>
      <c r="Z148" s="4"/>
      <c r="AA148" s="4"/>
      <c r="AB148" s="4"/>
      <c r="AC148" s="4"/>
      <c r="AD148" s="4"/>
      <c r="AE148" s="4"/>
      <c r="AF148" s="4"/>
      <c r="AG148" s="4"/>
    </row>
    <row r="149" spans="1:33" ht="22.5" customHeight="1" x14ac:dyDescent="0.25">
      <c r="A149" s="2"/>
      <c r="B149" s="2"/>
      <c r="C149" s="2"/>
      <c r="D149" s="2"/>
      <c r="E149" s="2"/>
      <c r="F149" s="4"/>
      <c r="G149" s="4"/>
      <c r="H149" s="7" t="s">
        <v>71</v>
      </c>
      <c r="I149" s="4" t="str">
        <f ca="1">IFERROR(__xludf.DUMMYFUNCTION("GOOGLETRANSLATE(B149,""en"",""ar"")"),"وضعية المصارع الواقف هي...")</f>
        <v>وضعية المصارع الواقف هي...</v>
      </c>
      <c r="J149" s="4" t="str">
        <f ca="1">IFERROR(__xludf.DUMMYFUNCTION("GOOGLETRANSLATE(C149,""en"",""ar"")"),"أ) منتصر ومهيمن، ب) معتذر وحزين، ج) متعب ومرهق، د) مرتبك وغير متأكد")</f>
        <v>أ) منتصر ومهيمن، ب) معتذر وحزين، ج) متعب ومرهق، د) مرتبك وغير متأكد</v>
      </c>
      <c r="K149" s="4" t="str">
        <f ca="1">IFERROR(__xludf.DUMMYFUNCTION("GOOGLETRANSLATE(D149,""en"",""ar"")"),"أ) منتصر ومهيمن")</f>
        <v>أ) منتصر ومهيمن</v>
      </c>
      <c r="L149" s="4" t="str">
        <f ca="1">IFERROR(__xludf.DUMMYFUNCTION("GOOGLETRANSLATE(E149,""en"",""ar"")"),"يقف فوق خصمه المهزوم، في صورة واضحة للنصر.")</f>
        <v>يقف فوق خصمه المهزوم، في صورة واضحة للنصر.</v>
      </c>
      <c r="M149" s="4"/>
      <c r="N149" s="4"/>
      <c r="O149" s="4"/>
      <c r="P149" s="4"/>
      <c r="Q149" s="4"/>
      <c r="R149" s="4"/>
      <c r="S149" s="4"/>
      <c r="T149" s="4"/>
      <c r="U149" s="4"/>
      <c r="V149" s="4"/>
      <c r="W149" s="4"/>
      <c r="X149" s="4"/>
      <c r="Y149" s="4"/>
      <c r="Z149" s="4"/>
      <c r="AA149" s="4"/>
      <c r="AB149" s="4"/>
      <c r="AC149" s="4"/>
      <c r="AD149" s="4"/>
      <c r="AE149" s="4"/>
      <c r="AF149" s="4"/>
      <c r="AG149" s="4"/>
    </row>
    <row r="150" spans="1:33" ht="22.5" customHeight="1" x14ac:dyDescent="0.25">
      <c r="A150" s="2"/>
      <c r="B150" s="2"/>
      <c r="C150" s="2"/>
      <c r="D150" s="2"/>
      <c r="E150" s="2"/>
      <c r="F150" s="4"/>
      <c r="G150" s="4"/>
      <c r="H150" s="6" t="s">
        <v>71</v>
      </c>
      <c r="I150" s="4" t="str">
        <f ca="1">IFERROR(__xludf.DUMMYFUNCTION("GOOGLETRANSLATE(B150,""en"",""ar"")"),"تُجسد هذه الصورة لحظة...")</f>
        <v>تُجسد هذه الصورة لحظة...</v>
      </c>
      <c r="J150" s="4" t="str">
        <f ca="1">IFERROR(__xludf.DUMMYFUNCTION("GOOGLETRANSLATE(C150,""en"",""ar"")"),"أ) المصافحة قبل المباراة، ب) الرقصة الطقسية، ج) نهاية المنافسة الحاسمة، د) استراحة بين الجولات")</f>
        <v>أ) المصافحة قبل المباراة، ب) الرقصة الطقسية، ج) نهاية المنافسة الحاسمة، د) استراحة بين الجولات</v>
      </c>
      <c r="K150" s="4" t="str">
        <f ca="1">IFERROR(__xludf.DUMMYFUNCTION("GOOGLETRANSLATE(D150,""en"",""ar"")"),"ج) النهاية الحاسمة للمسابقة")</f>
        <v>ج) النهاية الحاسمة للمسابقة</v>
      </c>
      <c r="L150" s="4" t="str">
        <f ca="1">IFERROR(__xludf.DUMMYFUNCTION("GOOGLETRANSLATE(E150,""en"",""ar"")"),"هذه هي خاتمة النزال، مع فائز وخاسر واضحين.")</f>
        <v>هذه هي خاتمة النزال، مع فائز وخاسر واضحين.</v>
      </c>
      <c r="M150" s="4"/>
      <c r="N150" s="4"/>
      <c r="O150" s="4"/>
      <c r="P150" s="4"/>
      <c r="Q150" s="4"/>
      <c r="R150" s="4"/>
      <c r="S150" s="4"/>
      <c r="T150" s="4"/>
      <c r="U150" s="4"/>
      <c r="V150" s="4"/>
      <c r="W150" s="4"/>
      <c r="X150" s="4"/>
      <c r="Y150" s="4"/>
      <c r="Z150" s="4"/>
      <c r="AA150" s="4"/>
      <c r="AB150" s="4"/>
      <c r="AC150" s="4"/>
      <c r="AD150" s="4"/>
      <c r="AE150" s="4"/>
      <c r="AF150" s="4"/>
      <c r="AG150" s="4"/>
    </row>
    <row r="151" spans="1:33" ht="22.5" customHeight="1" x14ac:dyDescent="0.25">
      <c r="A151" s="2"/>
      <c r="B151" s="2"/>
      <c r="C151" s="2"/>
      <c r="D151" s="2"/>
      <c r="E151" s="2"/>
      <c r="F151" s="4"/>
      <c r="G151" s="4"/>
      <c r="H151" s="7" t="s">
        <v>71</v>
      </c>
      <c r="I151" s="4" t="str">
        <f ca="1">IFERROR(__xludf.DUMMYFUNCTION("GOOGLETRANSLATE(B151,""en"",""ar"")"),"ما لون الشورت الذي يرتديه المصارع الخاسر؟")</f>
        <v>ما لون الشورت الذي يرتديه المصارع الخاسر؟</v>
      </c>
      <c r="J151" s="4" t="str">
        <f ca="1">IFERROR(__xludf.DUMMYFUNCTION("GOOGLETRANSLATE(C151,""en"",""ar"")"),"أ) أسود، ب) أزرق، ج) أصفر مخضر، د) أحمر")</f>
        <v>أ) أسود، ب) أزرق، ج) أصفر مخضر، د) أحمر</v>
      </c>
      <c r="K151" s="4" t="str">
        <f ca="1">IFERROR(__xludf.DUMMYFUNCTION("GOOGLETRANSLATE(D151,""en"",""ar"")"),"ج) أصفر مخضر")</f>
        <v>ج) أصفر مخضر</v>
      </c>
      <c r="L151" s="4" t="str">
        <f ca="1">IFERROR(__xludf.DUMMYFUNCTION("GOOGLETRANSLATE(E151,""en"",""ar"")"),"يرتدي المصارع المهزوم سروالاً قصيراً زاهياً فاتح اللون.")</f>
        <v>يرتدي المصارع المهزوم سروالاً قصيراً زاهياً فاتح اللون.</v>
      </c>
      <c r="M151" s="4"/>
      <c r="N151" s="4"/>
      <c r="O151" s="4"/>
      <c r="P151" s="4"/>
      <c r="Q151" s="4"/>
      <c r="R151" s="4"/>
      <c r="S151" s="4"/>
      <c r="T151" s="4"/>
      <c r="U151" s="4"/>
      <c r="V151" s="4"/>
      <c r="W151" s="4"/>
      <c r="X151" s="4"/>
      <c r="Y151" s="4"/>
      <c r="Z151" s="4"/>
      <c r="AA151" s="4"/>
      <c r="AB151" s="4"/>
      <c r="AC151" s="4"/>
      <c r="AD151" s="4"/>
      <c r="AE151" s="4"/>
      <c r="AF151" s="4"/>
      <c r="AG151" s="4"/>
    </row>
    <row r="152" spans="1:33" ht="22.5" customHeight="1" x14ac:dyDescent="0.25">
      <c r="A152" s="2"/>
      <c r="B152" s="2"/>
      <c r="C152" s="2"/>
      <c r="D152" s="2"/>
      <c r="E152" s="2"/>
      <c r="F152" s="4"/>
      <c r="G152" s="4"/>
      <c r="H152" s="6" t="s">
        <v>72</v>
      </c>
      <c r="I152" s="4" t="str">
        <f ca="1">IFERROR(__xludf.DUMMYFUNCTION("GOOGLETRANSLATE(B152,""en"",""ar"")"),"تُجسّد هذه اللقطة المقربة لحظةً مؤثرةً من...")</f>
        <v>تُجسّد هذه اللقطة المقربة لحظةً مؤثرةً من...</v>
      </c>
      <c r="J152" s="4" t="str">
        <f ca="1">IFERROR(__xludf.DUMMYFUNCTION("GOOGLETRANSLATE(C152,""en"",""ar"")"),"أ) رمية عالية، ب) مصافحة قبل المباراة، ج) اشتباك أو مسك قوي، د) احتفال بعد المباراة")</f>
        <v>أ) رمية عالية، ب) مصافحة قبل المباراة، ج) اشتباك أو مسك قوي، د) احتفال بعد المباراة</v>
      </c>
      <c r="K152" s="4" t="str">
        <f ca="1">IFERROR(__xludf.DUMMYFUNCTION("GOOGLETRANSLATE(D152,""en"",""ar"")"),"ج) اشتباك قوي أو إمساك")</f>
        <v>ج) اشتباك قوي أو إمساك</v>
      </c>
      <c r="L152" s="4" t="str">
        <f ca="1">IFERROR(__xludf.DUMMYFUNCTION("GOOGLETRANSLATE(E152,""en"",""ar"")"),"يخوض المصارعان اختباراً للقوة الخالصة، حيث يحاول كل منهما التغلب على الآخر.")</f>
        <v>يخوض المصارعان اختباراً للقوة الخالصة، حيث يحاول كل منهما التغلب على الآخر.</v>
      </c>
      <c r="M152" s="4"/>
      <c r="N152" s="4"/>
      <c r="O152" s="4"/>
      <c r="P152" s="4"/>
      <c r="Q152" s="4"/>
      <c r="R152" s="4"/>
      <c r="S152" s="4"/>
      <c r="T152" s="4"/>
      <c r="U152" s="4"/>
      <c r="V152" s="4"/>
      <c r="W152" s="4"/>
      <c r="X152" s="4"/>
      <c r="Y152" s="4"/>
      <c r="Z152" s="4"/>
      <c r="AA152" s="4"/>
      <c r="AB152" s="4"/>
      <c r="AC152" s="4"/>
      <c r="AD152" s="4"/>
      <c r="AE152" s="4"/>
      <c r="AF152" s="4"/>
      <c r="AG152" s="4"/>
    </row>
    <row r="153" spans="1:33" ht="22.5" customHeight="1" x14ac:dyDescent="0.25">
      <c r="A153" s="2"/>
      <c r="B153" s="2"/>
      <c r="C153" s="2"/>
      <c r="D153" s="2"/>
      <c r="E153" s="2"/>
      <c r="F153" s="4"/>
      <c r="G153" s="4"/>
      <c r="H153" s="7" t="s">
        <v>72</v>
      </c>
      <c r="I153" s="4" t="str">
        <f ca="1">IFERROR(__xludf.DUMMYFUNCTION("GOOGLETRANSLATE(B153,""en"",""ar"")"),"ماذا يفعل المصارع الذي يرتدي قميصاً أحمر بلا أكمام؟")</f>
        <v>ماذا يفعل المصارع الذي يرتدي قميصاً أحمر بلا أكمام؟</v>
      </c>
      <c r="J153" s="4" t="str">
        <f ca="1">IFERROR(__xludf.DUMMYFUNCTION("GOOGLETRANSLATE(C153,""en"",""ar"")"),"أ) يحاول الإفلات من القبضة، ب) يمسك خصمه بقوة في خنق، ج) يدفع خصمه بعيدًا، د) يلوح للجمهور")</f>
        <v>أ) يحاول الإفلات من القبضة، ب) يمسك خصمه بقوة في خنق، ج) يدفع خصمه بعيدًا، د) يلوح للجمهور</v>
      </c>
      <c r="K153" s="4" t="str">
        <f ca="1">IFERROR(__xludf.DUMMYFUNCTION("GOOGLETRANSLATE(D153,""en"",""ar"")"),"ب) يمسك خصمه بقبضة رأس قوية")</f>
        <v>ب) يمسك خصمه بقبضة رأس قوية</v>
      </c>
      <c r="L153" s="4" t="str">
        <f ca="1">IFERROR(__xludf.DUMMYFUNCTION("GOOGLETRANSLATE(E153,""en"",""ar"")"),"يلف ذراعه بإحكام حول رأس خصمه ورقبته، وهو وضع مهيمن ومسيطر.")</f>
        <v>يلف ذراعه بإحكام حول رأس خصمه ورقبته، وهو وضع مهيمن ومسيطر.</v>
      </c>
      <c r="M153" s="4"/>
      <c r="N153" s="4"/>
      <c r="O153" s="4"/>
      <c r="P153" s="4"/>
      <c r="Q153" s="4"/>
      <c r="R153" s="4"/>
      <c r="S153" s="4"/>
      <c r="T153" s="4"/>
      <c r="U153" s="4"/>
      <c r="V153" s="4"/>
      <c r="W153" s="4"/>
      <c r="X153" s="4"/>
      <c r="Y153" s="4"/>
      <c r="Z153" s="4"/>
      <c r="AA153" s="4"/>
      <c r="AB153" s="4"/>
      <c r="AC153" s="4"/>
      <c r="AD153" s="4"/>
      <c r="AE153" s="4"/>
      <c r="AF153" s="4"/>
      <c r="AG153" s="4"/>
    </row>
    <row r="154" spans="1:33" ht="22.5" customHeight="1" x14ac:dyDescent="0.25">
      <c r="A154" s="2"/>
      <c r="B154" s="2"/>
      <c r="C154" s="2"/>
      <c r="D154" s="2"/>
      <c r="E154" s="2"/>
      <c r="F154" s="4"/>
      <c r="G154" s="4"/>
      <c r="H154" s="6" t="s">
        <v>72</v>
      </c>
      <c r="I154" s="4" t="str">
        <f ca="1">IFERROR(__xludf.DUMMYFUNCTION("GOOGLETRANSLATE(B154,""en"",""ar"")"),"يُظهر التعبير على وجه المصارع الذي يرتدي اللون الأحمر...")</f>
        <v>يُظهر التعبير على وجه المصارع الذي يرتدي اللون الأحمر...</v>
      </c>
      <c r="J154" s="4" t="str">
        <f ca="1">IFERROR(__xludf.DUMMYFUNCTION("GOOGLETRANSLATE(C154,""en"",""ar"")"),"أ) الخوف، ب) بذل جهد كبير وعزيمة قوية، ج) اللامبالاة العابرة، د) الفرح والضحك")</f>
        <v>أ) الخوف، ب) بذل جهد كبير وعزيمة قوية، ج) اللامبالاة العابرة، د) الفرح والضحك</v>
      </c>
      <c r="K154" s="4" t="str">
        <f ca="1">IFERROR(__xludf.DUMMYFUNCTION("GOOGLETRANSLATE(D154,""en"",""ar"")"),"ب) بذل جهد وتصميم كبيرين")</f>
        <v>ب) بذل جهد وتصميم كبيرين</v>
      </c>
      <c r="L154" s="4" t="str">
        <f ca="1">IFERROR(__xludf.DUMMYFUNCTION("GOOGLETRANSLATE(E154,""en"",""ar"")"),"عيناه مغمضتان ووجهه متوتر، مما يدل على القوة البدنية الهائلة التي يبذلها.")</f>
        <v>عيناه مغمضتان ووجهه متوتر، مما يدل على القوة البدنية الهائلة التي يبذلها.</v>
      </c>
      <c r="M154" s="4"/>
      <c r="N154" s="4"/>
      <c r="O154" s="4"/>
      <c r="P154" s="4"/>
      <c r="Q154" s="4"/>
      <c r="R154" s="4"/>
      <c r="S154" s="4"/>
      <c r="T154" s="4"/>
      <c r="U154" s="4"/>
      <c r="V154" s="4"/>
      <c r="W154" s="4"/>
      <c r="X154" s="4"/>
      <c r="Y154" s="4"/>
      <c r="Z154" s="4"/>
      <c r="AA154" s="4"/>
      <c r="AB154" s="4"/>
      <c r="AC154" s="4"/>
      <c r="AD154" s="4"/>
      <c r="AE154" s="4"/>
      <c r="AF154" s="4"/>
      <c r="AG154" s="4"/>
    </row>
    <row r="155" spans="1:33" ht="22.5" customHeight="1" x14ac:dyDescent="0.25">
      <c r="A155" s="2"/>
      <c r="B155" s="2"/>
      <c r="C155" s="2"/>
      <c r="D155" s="2"/>
      <c r="E155" s="2"/>
      <c r="F155" s="4"/>
      <c r="G155" s="4"/>
      <c r="H155" s="7" t="s">
        <v>72</v>
      </c>
      <c r="I155" s="4" t="str">
        <f ca="1">IFERROR(__xludf.DUMMYFUNCTION("GOOGLETRANSLATE(B155,""en"",""ar"")"),"ماذا يدل العرق على أجساد المصارعين؟")</f>
        <v>ماذا يدل العرق على أجساد المصارعين؟</v>
      </c>
      <c r="J155" s="4" t="str">
        <f ca="1">IFERROR(__xludf.DUMMYFUNCTION("GOOGLETRANSLATE(C155,""en"",""ar"")"),"أ) لقد بدأ المطر للتو، ب) لقد بدأوا المباراة للتو، ج) الجهد البدني الشديد للمباراة، د) لقد أتوا للتو من السباحة")</f>
        <v>أ) لقد بدأ المطر للتو، ب) لقد بدأوا المباراة للتو، ج) الجهد البدني الشديد للمباراة، د) لقد أتوا للتو من السباحة</v>
      </c>
      <c r="K155" s="4" t="str">
        <f ca="1">IFERROR(__xludf.DUMMYFUNCTION("GOOGLETRANSLATE(D155,""en"",""ar"")"),"ج) الجهد البدني الشديد للمباراة")</f>
        <v>ج) الجهد البدني الشديد للمباراة</v>
      </c>
      <c r="L155" s="4" t="str">
        <f ca="1">IFERROR(__xludf.DUMMYFUNCTION("GOOGLETRANSLATE(E155,""en"",""ar"")"),"يُعد العرق الظاهر مؤشراً واضحاً على الجهد الهائل والقدرة على التحمل المطلوبة لهذه الرياضة.")</f>
        <v>يُعد العرق الظاهر مؤشراً واضحاً على الجهد الهائل والقدرة على التحمل المطلوبة لهذه الرياضة.</v>
      </c>
      <c r="M155" s="4"/>
      <c r="N155" s="4"/>
      <c r="O155" s="4"/>
      <c r="P155" s="4"/>
      <c r="Q155" s="4"/>
      <c r="R155" s="4"/>
      <c r="S155" s="4"/>
      <c r="T155" s="4"/>
      <c r="U155" s="4"/>
      <c r="V155" s="4"/>
      <c r="W155" s="4"/>
      <c r="X155" s="4"/>
      <c r="Y155" s="4"/>
      <c r="Z155" s="4"/>
      <c r="AA155" s="4"/>
      <c r="AB155" s="4"/>
      <c r="AC155" s="4"/>
      <c r="AD155" s="4"/>
      <c r="AE155" s="4"/>
      <c r="AF155" s="4"/>
      <c r="AG155" s="4"/>
    </row>
    <row r="156" spans="1:33" ht="22.5" customHeight="1" x14ac:dyDescent="0.25">
      <c r="A156" s="2"/>
      <c r="B156" s="2"/>
      <c r="C156" s="2"/>
      <c r="D156" s="2"/>
      <c r="E156" s="2"/>
      <c r="F156" s="4"/>
      <c r="G156" s="4"/>
      <c r="H156" s="6" t="s">
        <v>72</v>
      </c>
      <c r="I156" s="4" t="str">
        <f ca="1">IFERROR(__xludf.DUMMYFUNCTION("GOOGLETRANSLATE(B156,""en"",""ar"")"),"ما نوع الشورت الذي يرتديه المصارع ذو القميص الأحمر؟")</f>
        <v>ما نوع الشورت الذي يرتديه المصارع ذو القميص الأحمر؟</v>
      </c>
      <c r="J156" s="4" t="str">
        <f ca="1">IFERROR(__xludf.DUMMYFUNCTION("GOOGLETRANSLATE(C156,""en"",""ar"")"),"أ) شورت رياضي عادي، ب) مئزر تقليدي، ج) شورت بنقشة مموهة، د) بنطال جينز")</f>
        <v>أ) شورت رياضي عادي، ب) مئزر تقليدي، ج) شورت بنقشة مموهة، د) بنطال جينز</v>
      </c>
      <c r="K156" s="4" t="str">
        <f ca="1">IFERROR(__xludf.DUMMYFUNCTION("GOOGLETRANSLATE(D156,""en"",""ar"")"),"ج) شورت بنقشة التمويه")</f>
        <v>ج) شورت بنقشة التمويه</v>
      </c>
      <c r="L156" s="4" t="str">
        <f ca="1">IFERROR(__xludf.DUMMYFUNCTION("GOOGLETRANSLATE(E156,""en"",""ar"")"),"سرواله القصير مزين بنمط تمويه عسكري حديث.")</f>
        <v>سرواله القصير مزين بنمط تمويه عسكري حديث.</v>
      </c>
      <c r="M156" s="4"/>
      <c r="N156" s="4"/>
      <c r="O156" s="4"/>
      <c r="P156" s="4"/>
      <c r="Q156" s="4"/>
      <c r="R156" s="4"/>
      <c r="S156" s="4"/>
      <c r="T156" s="4"/>
      <c r="U156" s="4"/>
      <c r="V156" s="4"/>
      <c r="W156" s="4"/>
      <c r="X156" s="4"/>
      <c r="Y156" s="4"/>
      <c r="Z156" s="4"/>
      <c r="AA156" s="4"/>
      <c r="AB156" s="4"/>
      <c r="AC156" s="4"/>
      <c r="AD156" s="4"/>
      <c r="AE156" s="4"/>
      <c r="AF156" s="4"/>
      <c r="AG156" s="4"/>
    </row>
    <row r="157" spans="1:33" ht="22.5" customHeight="1" x14ac:dyDescent="0.25">
      <c r="A157" s="2"/>
      <c r="B157" s="2"/>
      <c r="C157" s="2"/>
      <c r="D157" s="2"/>
      <c r="E157" s="2"/>
      <c r="F157" s="4"/>
      <c r="G157" s="4"/>
      <c r="H157" s="7" t="s">
        <v>72</v>
      </c>
      <c r="I157" s="4" t="str">
        <f ca="1">IFERROR(__xludf.DUMMYFUNCTION("GOOGLETRANSLATE(B157,""en"",""ar"")"),"هذا النوع من الإمساك، أو ""التشابك""، مصمم لـ...")</f>
        <v>هذا النوع من الإمساك، أو "التشابك"، مصمم لـ...</v>
      </c>
      <c r="J157" s="4" t="str">
        <f ca="1">IFERROR(__xludf.DUMMYFUNCTION("GOOGLETRANSLATE(C157,""en"",""ar"")"),"أ) السماح للمصارعين بالراحة، ب) السيطرة على الخصم وإعداد رمية، ج) أن تكون حركة دفاعية بحتة، د) تسجيل النقاط بناءً على الوقت")</f>
        <v>أ) السماح للمصارعين بالراحة، ب) السيطرة على الخصم وإعداد رمية، ج) أن تكون حركة دفاعية بحتة، د) تسجيل النقاط بناءً على الوقت</v>
      </c>
      <c r="K157" s="4" t="str">
        <f ca="1">IFERROR(__xludf.DUMMYFUNCTION("GOOGLETRANSLATE(D157,""en"",""ar"")"),"ب) السيطرة على الخصم وإعداد الرمية")</f>
        <v>ب) السيطرة على الخصم وإعداد الرمية</v>
      </c>
      <c r="L157" s="4" t="str">
        <f ca="1">IFERROR(__xludf.DUMMYFUNCTION("GOOGLETRANSLATE(E157,""en"",""ar"")"),"من خلال السيطرة على رأس وجسم خصمه، يعمل على زعزعة توازنه وتنفيذ عملية إسقاط ناجحة.")</f>
        <v>من خلال السيطرة على رأس وجسم خصمه، يعمل على زعزعة توازنه وتنفيذ عملية إسقاط ناجحة.</v>
      </c>
      <c r="M157" s="4"/>
      <c r="N157" s="4"/>
      <c r="O157" s="4"/>
      <c r="P157" s="4"/>
      <c r="Q157" s="4"/>
      <c r="R157" s="4"/>
      <c r="S157" s="4"/>
      <c r="T157" s="4"/>
      <c r="U157" s="4"/>
      <c r="V157" s="4"/>
      <c r="W157" s="4"/>
      <c r="X157" s="4"/>
      <c r="Y157" s="4"/>
      <c r="Z157" s="4"/>
      <c r="AA157" s="4"/>
      <c r="AB157" s="4"/>
      <c r="AC157" s="4"/>
      <c r="AD157" s="4"/>
      <c r="AE157" s="4"/>
      <c r="AF157" s="4"/>
      <c r="AG157" s="4"/>
    </row>
    <row r="158" spans="1:33" ht="22.5" customHeight="1" x14ac:dyDescent="0.25">
      <c r="A158" s="2"/>
      <c r="B158" s="2"/>
      <c r="C158" s="2"/>
      <c r="D158" s="2"/>
      <c r="E158" s="2"/>
      <c r="F158" s="4"/>
      <c r="G158" s="4"/>
      <c r="H158" s="6" t="s">
        <v>72</v>
      </c>
      <c r="I158" s="4" t="str">
        <f ca="1">IFERROR(__xludf.DUMMYFUNCTION("GOOGLETRANSLATE(B158,""en"",""ar"")"),"يحاول المصارع الموجود في الأسفل الدفاع عن نفسه عن طريق...")</f>
        <v>يحاول المصارع الموجود في الأسفل الدفاع عن نفسه عن طريق...</v>
      </c>
      <c r="J158" s="4" t="str">
        <f ca="1">IFERROR(__xludf.DUMMYFUNCTION("GOOGLETRANSLATE(C158,""en"",""ar"")"),"أ) دفع ذراع وجسم خصمه، ب) استدعاء الحكم، ج) تركه تمامًا، د) الاستسلام.")</f>
        <v>أ) دفع ذراع وجسم خصمه، ب) استدعاء الحكم، ج) تركه تمامًا، د) الاستسلام.</v>
      </c>
      <c r="K158" s="4" t="str">
        <f ca="1">IFERROR(__xludf.DUMMYFUNCTION("GOOGLETRANSLATE(D158,""en"",""ar"")"),"أ) دفع ذراع وجسم خصمه")</f>
        <v>أ) دفع ذراع وجسم خصمه</v>
      </c>
      <c r="L158" s="4" t="str">
        <f ca="1">IFERROR(__xludf.DUMMYFUNCTION("GOOGLETRANSLATE(E158,""en"",""ar"")"),"إنه يقاوم الإمساك بنشاط، محاولاً خلق مساحة ومنع تثبيت الخنق بشكل كامل.")</f>
        <v>إنه يقاوم الإمساك بنشاط، محاولاً خلق مساحة ومنع تثبيت الخنق بشكل كامل.</v>
      </c>
      <c r="M158" s="4"/>
      <c r="N158" s="4"/>
      <c r="O158" s="4"/>
      <c r="P158" s="4"/>
      <c r="Q158" s="4"/>
      <c r="R158" s="4"/>
      <c r="S158" s="4"/>
      <c r="T158" s="4"/>
      <c r="U158" s="4"/>
      <c r="V158" s="4"/>
      <c r="W158" s="4"/>
      <c r="X158" s="4"/>
      <c r="Y158" s="4"/>
      <c r="Z158" s="4"/>
      <c r="AA158" s="4"/>
      <c r="AB158" s="4"/>
      <c r="AC158" s="4"/>
      <c r="AD158" s="4"/>
      <c r="AE158" s="4"/>
      <c r="AF158" s="4"/>
      <c r="AG158" s="4"/>
    </row>
    <row r="159" spans="1:33" ht="22.5" customHeight="1" x14ac:dyDescent="0.25">
      <c r="A159" s="2"/>
      <c r="B159" s="2"/>
      <c r="C159" s="2"/>
      <c r="D159" s="2"/>
      <c r="E159" s="2"/>
      <c r="F159" s="4"/>
      <c r="G159" s="4"/>
      <c r="H159" s="7" t="s">
        <v>72</v>
      </c>
      <c r="I159" s="4" t="str">
        <f ca="1">IFERROR(__xludf.DUMMYFUNCTION("GOOGLETRANSLATE(B159,""en"",""ar"")"),"إضاءة المشهد هي...")</f>
        <v>إضاءة المشهد هي...</v>
      </c>
      <c r="J159" s="4" t="str">
        <f ca="1">IFERROR(__xludf.DUMMYFUNCTION("GOOGLETRANSLATE(C159,""en"",""ar"")"),"أ) مظلم وظليل، ب) ضوء الشمس الطبيعي الساطع، ج) إضاءة داخلية اصطناعية، د) من كشاف ضوئي واحد")</f>
        <v>أ) مظلم وظليل، ب) ضوء الشمس الطبيعي الساطع، ج) إضاءة داخلية اصطناعية، د) من كشاف ضوئي واحد</v>
      </c>
      <c r="K159" s="4" t="str">
        <f ca="1">IFERROR(__xludf.DUMMYFUNCTION("GOOGLETRANSLATE(D159,""en"",""ar"")"),"ب) ضوء الشمس الطبيعي الساطع")</f>
        <v>ب) ضوء الشمس الطبيعي الساطع</v>
      </c>
      <c r="L159" s="4" t="str">
        <f ca="1">IFERROR(__xludf.DUMMYFUNCTION("GOOGLETRANSLATE(E159,""en"",""ar"")"),"المشهد مضاء بأشعة الشمس القوية والمباشرة، مما يبرز عضلات الرياضيين وعرقهم.")</f>
        <v>المشهد مضاء بأشعة الشمس القوية والمباشرة، مما يبرز عضلات الرياضيين وعرقهم.</v>
      </c>
      <c r="M159" s="4"/>
      <c r="N159" s="4"/>
      <c r="O159" s="4"/>
      <c r="P159" s="4"/>
      <c r="Q159" s="4"/>
      <c r="R159" s="4"/>
      <c r="S159" s="4"/>
      <c r="T159" s="4"/>
      <c r="U159" s="4"/>
      <c r="V159" s="4"/>
      <c r="W159" s="4"/>
      <c r="X159" s="4"/>
      <c r="Y159" s="4"/>
      <c r="Z159" s="4"/>
      <c r="AA159" s="4"/>
      <c r="AB159" s="4"/>
      <c r="AC159" s="4"/>
      <c r="AD159" s="4"/>
      <c r="AE159" s="4"/>
      <c r="AF159" s="4"/>
      <c r="AG159" s="4"/>
    </row>
    <row r="160" spans="1:33" ht="22.5" customHeight="1" x14ac:dyDescent="0.25">
      <c r="A160" s="2"/>
      <c r="B160" s="2"/>
      <c r="C160" s="2"/>
      <c r="D160" s="2"/>
      <c r="E160" s="2"/>
      <c r="F160" s="4"/>
      <c r="G160" s="4"/>
      <c r="H160" s="6" t="s">
        <v>72</v>
      </c>
      <c r="I160" s="4" t="str">
        <f ca="1">IFERROR(__xludf.DUMMYFUNCTION("GOOGLETRANSLATE(B160,""en"",""ar"")"),"تمنح هذه اللقطة المقربة المشاهد...")</f>
        <v>تمنح هذه اللقطة المقربة المشاهد...</v>
      </c>
      <c r="J160" s="4" t="str">
        <f ca="1">IFERROR(__xludf.DUMMYFUNCTION("GOOGLETRANSLATE(C160,""en"",""ar"")"),"أ) رؤية كاملة للملعب بأكمله، ب) شعور حميمي وعميق بالتواجد في قلب المباراة، ج) رؤية واضحة للمتفرجين، د) شعور بالهدوء والسكينة")</f>
        <v>أ) رؤية كاملة للملعب بأكمله، ب) شعور حميمي وعميق بالتواجد في قلب المباراة، ج) رؤية واضحة للمتفرجين، د) شعور بالهدوء والسكينة</v>
      </c>
      <c r="K160" s="4" t="str">
        <f ca="1">IFERROR(__xludf.DUMMYFUNCTION("GOOGLETRANSLATE(D160,""en"",""ar"")"),"ب) شعور حميم وعميق بالتواجد في المباراة")</f>
        <v>ب) شعور حميم وعميق بالتواجد في المباراة</v>
      </c>
      <c r="L160" s="4" t="str">
        <f ca="1">IFERROR(__xludf.DUMMYFUNCTION("GOOGLETRANSLATE(E160,""en"",""ar"")"),"هذه اللقطة المقربة تجعل المشاهد يشعر بقوة وضغط المنافسة.")</f>
        <v>هذه اللقطة المقربة تجعل المشاهد يشعر بقوة وضغط المنافسة.</v>
      </c>
      <c r="M160" s="4"/>
      <c r="N160" s="4"/>
      <c r="O160" s="4"/>
      <c r="P160" s="4"/>
      <c r="Q160" s="4"/>
      <c r="R160" s="4"/>
      <c r="S160" s="4"/>
      <c r="T160" s="4"/>
      <c r="U160" s="4"/>
      <c r="V160" s="4"/>
      <c r="W160" s="4"/>
      <c r="X160" s="4"/>
      <c r="Y160" s="4"/>
      <c r="Z160" s="4"/>
      <c r="AA160" s="4"/>
      <c r="AB160" s="4"/>
      <c r="AC160" s="4"/>
      <c r="AD160" s="4"/>
      <c r="AE160" s="4"/>
      <c r="AF160" s="4"/>
      <c r="AG160" s="4"/>
    </row>
    <row r="161" spans="1:33" ht="22.5" customHeight="1" x14ac:dyDescent="0.25">
      <c r="A161" s="2"/>
      <c r="B161" s="2"/>
      <c r="C161" s="2"/>
      <c r="D161" s="2"/>
      <c r="E161" s="2"/>
      <c r="F161" s="4"/>
      <c r="G161" s="4"/>
      <c r="H161" s="7" t="s">
        <v>72</v>
      </c>
      <c r="I161" s="4" t="str">
        <f ca="1">IFERROR(__xludf.DUMMYFUNCTION("GOOGLETRANSLATE(B161,""en"",""ar"")"),"هذه الصورة هي بورتريه مؤثر لـ...")</f>
        <v>هذه الصورة هي بورتريه مؤثر لـ...</v>
      </c>
      <c r="J161" s="4" t="str">
        <f ca="1">IFERROR(__xludf.DUMMYFUNCTION("GOOGLETRANSLATE(C161,""en"",""ar"")"),"أ) مسابقة سرعة خالصة، ب) معركة قوة وتحمل، ج) رقصة طقوسية، د) مصافحة ودية")</f>
        <v>أ) مسابقة سرعة خالصة، ب) معركة قوة وتحمل، ج) رقصة طقوسية، د) مصافحة ودية</v>
      </c>
      <c r="K161" s="4" t="str">
        <f ca="1">IFERROR(__xludf.DUMMYFUNCTION("GOOGLETRANSLATE(D161,""en"",""ar"")"),"ب) معركة قوة وتحمل")</f>
        <v>ب) معركة قوة وتحمل</v>
      </c>
      <c r="L161" s="4" t="str">
        <f ca="1">IFERROR(__xludf.DUMMYFUNCTION("GOOGLETRANSLATE(E161,""en"",""ar"")"),"تجسد الصورة جوهر المصارعة بشكل مثالي باعتبارها منافسة شاقة للقوة البدنية.")</f>
        <v>تجسد الصورة جوهر المصارعة بشكل مثالي باعتبارها منافسة شاقة للقوة البدنية.</v>
      </c>
      <c r="M161" s="4"/>
      <c r="N161" s="4"/>
      <c r="O161" s="4"/>
      <c r="P161" s="4"/>
      <c r="Q161" s="4"/>
      <c r="R161" s="4"/>
      <c r="S161" s="4"/>
      <c r="T161" s="4"/>
      <c r="U161" s="4"/>
      <c r="V161" s="4"/>
      <c r="W161" s="4"/>
      <c r="X161" s="4"/>
      <c r="Y161" s="4"/>
      <c r="Z161" s="4"/>
      <c r="AA161" s="4"/>
      <c r="AB161" s="4"/>
      <c r="AC161" s="4"/>
      <c r="AD161" s="4"/>
      <c r="AE161" s="4"/>
      <c r="AF161" s="4"/>
      <c r="AG161" s="4"/>
    </row>
    <row r="162" spans="1:33" ht="22.5" customHeight="1" x14ac:dyDescent="0.25">
      <c r="A162" s="2"/>
      <c r="B162" s="2"/>
      <c r="C162" s="2"/>
      <c r="D162" s="2"/>
      <c r="E162" s="2"/>
      <c r="F162" s="4"/>
      <c r="G162" s="4"/>
      <c r="H162" s="6" t="s">
        <v>73</v>
      </c>
      <c r="I162" s="4" t="str">
        <f ca="1">IFERROR(__xludf.DUMMYFUNCTION("GOOGLETRANSLATE(B162,""en"",""ar"")"),"ماذا يفعل المصارع الذي يرتدي قميصاً أبيض بلا أكمام بخصمه؟")</f>
        <v>ماذا يفعل المصارع الذي يرتدي قميصاً أبيض بلا أكمام بخصمه؟</v>
      </c>
      <c r="J162" s="4" t="str">
        <f ca="1">IFERROR(__xludf.DUMMYFUNCTION("GOOGLETRANSLATE(C162,""en"",""ar"")"),"أ) هو يوجه له لكمة، ب) هو يضع يده على رأس خصمه، ج) هو يساعده على النهوض، د) هو يصافحه")</f>
        <v>أ) هو يوجه له لكمة، ب) هو يضع يده على رأس خصمه، ج) هو يساعده على النهوض، د) هو يصافحه</v>
      </c>
      <c r="K162" s="4" t="str">
        <f ca="1">IFERROR(__xludf.DUMMYFUNCTION("GOOGLETRANSLATE(D162,""en"",""ar"")"),"ب) يضع يده على رأس خصمه")</f>
        <v>ب) يضع يده على رأس خصمه</v>
      </c>
      <c r="L162" s="4" t="str">
        <f ca="1">IFERROR(__xludf.DUMMYFUNCTION("GOOGLETRANSLATE(E162,""en"",""ar"")"),"يمكن أن تكون هذه طريقة للتحكم في وضعية الخصم، أو شكلاً من أشكال الترهيب، أو تمهيداً للإمساك به.")</f>
        <v>يمكن أن تكون هذه طريقة للتحكم في وضعية الخصم، أو شكلاً من أشكال الترهيب، أو تمهيداً للإمساك به.</v>
      </c>
      <c r="M162" s="4"/>
      <c r="N162" s="4"/>
      <c r="O162" s="4"/>
      <c r="P162" s="4"/>
      <c r="Q162" s="4"/>
      <c r="R162" s="4"/>
      <c r="S162" s="4"/>
      <c r="T162" s="4"/>
      <c r="U162" s="4"/>
      <c r="V162" s="4"/>
      <c r="W162" s="4"/>
      <c r="X162" s="4"/>
      <c r="Y162" s="4"/>
      <c r="Z162" s="4"/>
      <c r="AA162" s="4"/>
      <c r="AB162" s="4"/>
      <c r="AC162" s="4"/>
      <c r="AD162" s="4"/>
      <c r="AE162" s="4"/>
      <c r="AF162" s="4"/>
      <c r="AG162" s="4"/>
    </row>
    <row r="163" spans="1:33" ht="22.5" customHeight="1" x14ac:dyDescent="0.25">
      <c r="A163" s="2"/>
      <c r="B163" s="2"/>
      <c r="C163" s="2"/>
      <c r="D163" s="2"/>
      <c r="E163" s="2"/>
      <c r="F163" s="4"/>
      <c r="G163" s="4"/>
      <c r="H163" s="7" t="s">
        <v>73</v>
      </c>
      <c r="I163" s="4" t="str">
        <f ca="1">IFERROR(__xludf.DUMMYFUNCTION("GOOGLETRANSLATE(B163,""en"",""ar"")"),"ما هي مرحلة المباراة الموضحة هنا؟")</f>
        <v>ما هي مرحلة المباراة الموضحة هنا؟</v>
      </c>
      <c r="J163" s="4" t="str">
        <f ca="1">IFERROR(__xludf.DUMMYFUNCTION("GOOGLETRANSLATE(C163,""en"",""ar"")"),"أ) نهاية المباراة، ب) مرحلة الدوران والتقييم الأولية، ج) رمية قوية، د) استراحة لشرب الماء")</f>
        <v>أ) نهاية المباراة، ب) مرحلة الدوران والتقييم الأولية، ج) رمية قوية، د) استراحة لشرب الماء</v>
      </c>
      <c r="K163" s="4" t="str">
        <f ca="1">IFERROR(__xludf.DUMMYFUNCTION("GOOGLETRANSLATE(D163,""en"",""ar"")"),"ب) مرحلة التقييم الأولي والتحديد")</f>
        <v>ب) مرحلة التقييم الأولي والتحديد</v>
      </c>
      <c r="L163" s="4" t="str">
        <f ca="1">IFERROR(__xludf.DUMMYFUNCTION("GOOGLETRANSLATE(E163,""en"",""ar"")"),"لم ينخرط المصارعون بعد بشكل كامل في الاشتباك؛ إنهم يتحركون ويختبرون ويبحثون عن ثغرة للهجوم.")</f>
        <v>لم ينخرط المصارعون بعد بشكل كامل في الاشتباك؛ إنهم يتحركون ويختبرون ويبحثون عن ثغرة للهجوم.</v>
      </c>
      <c r="M163" s="4"/>
      <c r="N163" s="4"/>
      <c r="O163" s="4"/>
      <c r="P163" s="4"/>
      <c r="Q163" s="4"/>
      <c r="R163" s="4"/>
      <c r="S163" s="4"/>
      <c r="T163" s="4"/>
      <c r="U163" s="4"/>
      <c r="V163" s="4"/>
      <c r="W163" s="4"/>
      <c r="X163" s="4"/>
      <c r="Y163" s="4"/>
      <c r="Z163" s="4"/>
      <c r="AA163" s="4"/>
      <c r="AB163" s="4"/>
      <c r="AC163" s="4"/>
      <c r="AD163" s="4"/>
      <c r="AE163" s="4"/>
      <c r="AF163" s="4"/>
      <c r="AG163" s="4"/>
    </row>
    <row r="164" spans="1:33" ht="22.5" customHeight="1" x14ac:dyDescent="0.25">
      <c r="A164" s="2"/>
      <c r="B164" s="2"/>
      <c r="C164" s="2"/>
      <c r="D164" s="2"/>
      <c r="E164" s="2"/>
      <c r="F164" s="4"/>
      <c r="G164" s="4"/>
      <c r="H164" s="6" t="s">
        <v>73</v>
      </c>
      <c r="I164" s="4" t="str">
        <f ca="1">IFERROR(__xludf.DUMMYFUNCTION("GOOGLETRANSLATE(B164,""en"",""ar"")"),"ما الذي يرتديه المصارع الموجود على اليسار على ساقه؟")</f>
        <v>ما الذي يرتديه المصارع الموجود على اليسار على ساقه؟</v>
      </c>
      <c r="J164" s="4" t="str">
        <f ca="1">IFERROR(__xludf.DUMMYFUNCTION("GOOGLETRANSLATE(C164,""en"",""ar"")"),"أ) زينة تقليدية، ب) دعامة أو ضمادة ساق حديثة وثقيلة، ج) واقي ساق للركل، د) وشم على الذراع")</f>
        <v>أ) زينة تقليدية، ب) دعامة أو ضمادة ساق حديثة وثقيلة، ج) واقي ساق للركل، د) وشم على الذراع</v>
      </c>
      <c r="K164" s="4" t="str">
        <f ca="1">IFERROR(__xludf.DUMMYFUNCTION("GOOGLETRANSLATE(D164,""en"",""ar"")"),"ب) دعامة أو ضمادة ساق حديثة وثقيلة")</f>
        <v>ب) دعامة أو ضمادة ساق حديثة وثقيلة</v>
      </c>
      <c r="L164" s="4" t="str">
        <f ca="1">IFERROR(__xludf.DUMMYFUNCTION("GOOGLETRANSLATE(E164,""en"",""ar"")"),"لديه ضمادة سميكة متعددة الطبقات على ساقه اليسرى، على الأرجح لحماية إصابة سابقة.")</f>
        <v>لديه ضمادة سميكة متعددة الطبقات على ساقه اليسرى، على الأرجح لحماية إصابة سابقة.</v>
      </c>
      <c r="M164" s="4"/>
      <c r="N164" s="4"/>
      <c r="O164" s="4"/>
      <c r="P164" s="4"/>
      <c r="Q164" s="4"/>
      <c r="R164" s="4"/>
      <c r="S164" s="4"/>
      <c r="T164" s="4"/>
      <c r="U164" s="4"/>
      <c r="V164" s="4"/>
      <c r="W164" s="4"/>
      <c r="X164" s="4"/>
      <c r="Y164" s="4"/>
      <c r="Z164" s="4"/>
      <c r="AA164" s="4"/>
      <c r="AB164" s="4"/>
      <c r="AC164" s="4"/>
      <c r="AD164" s="4"/>
      <c r="AE164" s="4"/>
      <c r="AF164" s="4"/>
      <c r="AG164" s="4"/>
    </row>
    <row r="165" spans="1:33" ht="22.5" customHeight="1" x14ac:dyDescent="0.25">
      <c r="A165" s="2"/>
      <c r="B165" s="2"/>
      <c r="C165" s="2"/>
      <c r="D165" s="2"/>
      <c r="E165" s="2"/>
      <c r="F165" s="4"/>
      <c r="G165" s="4"/>
      <c r="H165" s="7" t="s">
        <v>73</v>
      </c>
      <c r="I165" s="4" t="str">
        <f ca="1">IFERROR(__xludf.DUMMYFUNCTION("GOOGLETRANSLATE(B165,""en"",""ar"")"),"تتكون سحب الغبار عند أقدامهم بسبب...")</f>
        <v>تتكون سحب الغبار عند أقدامهم بسبب...</v>
      </c>
      <c r="J165" s="4" t="str">
        <f ca="1">IFERROR(__xludf.DUMMYFUNCTION("GOOGLETRANSLATE(C165,""en"",""ar"")"),"أ) الرياح، ب) حركتهم الديناميكية والمتقطعة، ج) آلة الدخان، د) الحكم")</f>
        <v>أ) الرياح، ب) حركتهم الديناميكية والمتقطعة، ج) آلة الدخان، د) الحكم</v>
      </c>
      <c r="K165" s="4" t="str">
        <f ca="1">IFERROR(__xludf.DUMMYFUNCTION("GOOGLETRANSLATE(D165,""en"",""ar"")"),"ب) حركتهم الديناميكية والمتقطعة")</f>
        <v>ب) حركتهم الديناميكية والمتقطعة</v>
      </c>
      <c r="L165" s="4" t="str">
        <f ca="1">IFERROR(__xludf.DUMMYFUNCTION("GOOGLETRANSLATE(E165,""en"",""ar"")"),"أثناء تحركهم حول الحلبة، تُزيح أقدامهم العارية الرمال الناعمة، مما يُحدث نفخات من الغبار.")</f>
        <v>أثناء تحركهم حول الحلبة، تُزيح أقدامهم العارية الرمال الناعمة، مما يُحدث نفخات من الغبار.</v>
      </c>
      <c r="M165" s="4"/>
      <c r="N165" s="4"/>
      <c r="O165" s="4"/>
      <c r="P165" s="4"/>
      <c r="Q165" s="4"/>
      <c r="R165" s="4"/>
      <c r="S165" s="4"/>
      <c r="T165" s="4"/>
      <c r="U165" s="4"/>
      <c r="V165" s="4"/>
      <c r="W165" s="4"/>
      <c r="X165" s="4"/>
      <c r="Y165" s="4"/>
      <c r="Z165" s="4"/>
      <c r="AA165" s="4"/>
      <c r="AB165" s="4"/>
      <c r="AC165" s="4"/>
      <c r="AD165" s="4"/>
      <c r="AE165" s="4"/>
      <c r="AF165" s="4"/>
      <c r="AG165" s="4"/>
    </row>
    <row r="166" spans="1:33" ht="22.5" customHeight="1" x14ac:dyDescent="0.25">
      <c r="A166" s="2"/>
      <c r="B166" s="2"/>
      <c r="C166" s="2"/>
      <c r="D166" s="2"/>
      <c r="E166" s="2"/>
      <c r="F166" s="4"/>
      <c r="G166" s="4"/>
      <c r="H166" s="6" t="s">
        <v>73</v>
      </c>
      <c r="I166" s="4" t="str">
        <f ca="1">IFERROR(__xludf.DUMMYFUNCTION("GOOGLETRANSLATE(B166,""en"",""ar"")"),"ماذا تتضمن عملية ""الجس"" هذه في بداية المباراة؟")</f>
        <v>ماذا تتضمن عملية "الجس" هذه في بداية المباراة؟</v>
      </c>
      <c r="J166" s="4" t="str">
        <f ca="1">IFERROR(__xludf.DUMMYFUNCTION("GOOGLETRANSLATE(C166,""en"",""ar"")"),"أ) اختبار للقوة الخالصة، ب) معركة نفسية وبحث عن قبضة محكمة، ج) المصارعون يتبادلون استراتيجياتهم، د) فترة راحة")</f>
        <v>أ) اختبار للقوة الخالصة، ب) معركة نفسية وبحث عن قبضة محكمة، ج) المصارعون يتبادلون استراتيجياتهم، د) فترة راحة</v>
      </c>
      <c r="K166" s="4" t="str">
        <f ca="1">IFERROR(__xludf.DUMMYFUNCTION("GOOGLETRANSLATE(D166,""en"",""ar"")"),"ب) معركة نفسية وبحث عن قبضة")</f>
        <v>ب) معركة نفسية وبحث عن قبضة</v>
      </c>
      <c r="L166" s="4" t="str">
        <f ca="1">IFERROR(__xludf.DUMMYFUNCTION("GOOGLETRANSLATE(E166,""en"",""ar"")"),"تُعد هذه المرحلة الأولية لعبة ذهنية بقدر ما هي لعبة بدنية، حيث يبحث كل مصارع عن نقطة ضعف أو فرصة للحصول على سيطرة مهيمنة.")</f>
        <v>تُعد هذه المرحلة الأولية لعبة ذهنية بقدر ما هي لعبة بدنية، حيث يبحث كل مصارع عن نقطة ضعف أو فرصة للحصول على سيطرة مهيمنة.</v>
      </c>
      <c r="M166" s="4"/>
      <c r="N166" s="4"/>
      <c r="O166" s="4"/>
      <c r="P166" s="4"/>
      <c r="Q166" s="4"/>
      <c r="R166" s="4"/>
      <c r="S166" s="4"/>
      <c r="T166" s="4"/>
      <c r="U166" s="4"/>
      <c r="V166" s="4"/>
      <c r="W166" s="4"/>
      <c r="X166" s="4"/>
      <c r="Y166" s="4"/>
      <c r="Z166" s="4"/>
      <c r="AA166" s="4"/>
      <c r="AB166" s="4"/>
      <c r="AC166" s="4"/>
      <c r="AD166" s="4"/>
      <c r="AE166" s="4"/>
      <c r="AF166" s="4"/>
      <c r="AG166" s="4"/>
    </row>
    <row r="167" spans="1:33" ht="22.5" customHeight="1" x14ac:dyDescent="0.25">
      <c r="A167" s="2"/>
      <c r="B167" s="2"/>
      <c r="C167" s="2"/>
      <c r="D167" s="2"/>
      <c r="E167" s="2"/>
      <c r="F167" s="4"/>
      <c r="G167" s="4"/>
      <c r="H167" s="7" t="s">
        <v>73</v>
      </c>
      <c r="I167" s="4" t="str">
        <f ca="1">IFERROR(__xludf.DUMMYFUNCTION("GOOGLETRANSLATE(B167,""en"",""ar"")"),"المكان عبارة عن ساحة حديثة، كما هو موضح في...")</f>
        <v>المكان عبارة عن ساحة حديثة، كما هو موضح في...</v>
      </c>
      <c r="J167" s="4" t="str">
        <f ca="1">IFERROR(__xludf.DUMMYFUNCTION("GOOGLETRANSLATE(C167,""en"",""ar"")"),"أ) أكواخ في الخلفية، ب) سياج معدني أخضر وجمهور في المدرج، ج) نوع الرمل المستخدم، د) غياب الحكم")</f>
        <v>أ) أكواخ في الخلفية، ب) سياج معدني أخضر وجمهور في المدرج، ج) نوع الرمل المستخدم، د) غياب الحكم</v>
      </c>
      <c r="K167" s="4" t="str">
        <f ca="1">IFERROR(__xludf.DUMMYFUNCTION("GOOGLETRANSLATE(D167,""en"",""ar"")"),"ب) سياج معدني أخضر وحشد في مدرج")</f>
        <v>ب) سياج معدني أخضر وحشد في مدرج</v>
      </c>
      <c r="L167" s="4" t="str">
        <f ca="1">IFERROR(__xludf.DUMMYFUNCTION("GOOGLETRANSLATE(E167,""en"",""ar"")"),"المكان رسمي، ويحتوي على هياكل لاحتواء الحدث وترتيب جلوس الجمهور.")</f>
        <v>المكان رسمي، ويحتوي على هياكل لاحتواء الحدث وترتيب جلوس الجمهور.</v>
      </c>
      <c r="M167" s="4"/>
      <c r="N167" s="4"/>
      <c r="O167" s="4"/>
      <c r="P167" s="4"/>
      <c r="Q167" s="4"/>
      <c r="R167" s="4"/>
      <c r="S167" s="4"/>
      <c r="T167" s="4"/>
      <c r="U167" s="4"/>
      <c r="V167" s="4"/>
      <c r="W167" s="4"/>
      <c r="X167" s="4"/>
      <c r="Y167" s="4"/>
      <c r="Z167" s="4"/>
      <c r="AA167" s="4"/>
      <c r="AB167" s="4"/>
      <c r="AC167" s="4"/>
      <c r="AD167" s="4"/>
      <c r="AE167" s="4"/>
      <c r="AF167" s="4"/>
      <c r="AG167" s="4"/>
    </row>
    <row r="168" spans="1:33" ht="22.5" customHeight="1" x14ac:dyDescent="0.25">
      <c r="A168" s="2"/>
      <c r="B168" s="2"/>
      <c r="C168" s="2"/>
      <c r="D168" s="2"/>
      <c r="E168" s="2"/>
      <c r="F168" s="4"/>
      <c r="G168" s="4"/>
      <c r="H168" s="6" t="s">
        <v>73</v>
      </c>
      <c r="I168" s="4" t="str">
        <f ca="1">IFERROR(__xludf.DUMMYFUNCTION("GOOGLETRANSLATE(B168,""en"",""ar"")"),"يوحي إضاءة المشهد، بوهجها الدافئ، بأنه...")</f>
        <v>يوحي إضاءة المشهد، بوهجها الدافئ، بأنه...</v>
      </c>
      <c r="J168" s="4" t="str">
        <f ca="1">IFERROR(__xludf.DUMMYFUNCTION("GOOGLETRANSLATE(C168,""en"",""ar"")"),"أ) منتصف النهار، ب) أواخر فترة ما بعد الظهر، ج) الليل، د) الفجر المبكر")</f>
        <v>أ) منتصف النهار، ب) أواخر فترة ما بعد الظهر، ج) الليل، د) الفجر المبكر</v>
      </c>
      <c r="K168" s="4" t="str">
        <f ca="1">IFERROR(__xludf.DUMMYFUNCTION("GOOGLETRANSLATE(D168,""en"",""ar"")"),"ب) أواخر فترة ما بعد الظهر")</f>
        <v>ب) أواخر فترة ما بعد الظهر</v>
      </c>
      <c r="L168" s="4" t="str">
        <f ca="1">IFERROR(__xludf.DUMMYFUNCTION("GOOGLETRANSLATE(E168,""en"",""ar"")"),"يخلق ضوء الشمس الدافئ والمائل (""الساعة الذهبية"") أجواءً مثيرة للمباراة.")</f>
        <v>يخلق ضوء الشمس الدافئ والمائل ("الساعة الذهبية") أجواءً مثيرة للمباراة.</v>
      </c>
      <c r="M168" s="4"/>
      <c r="N168" s="4"/>
      <c r="O168" s="4"/>
      <c r="P168" s="4"/>
      <c r="Q168" s="4"/>
      <c r="R168" s="4"/>
      <c r="S168" s="4"/>
      <c r="T168" s="4"/>
      <c r="U168" s="4"/>
      <c r="V168" s="4"/>
      <c r="W168" s="4"/>
      <c r="X168" s="4"/>
      <c r="Y168" s="4"/>
      <c r="Z168" s="4"/>
      <c r="AA168" s="4"/>
      <c r="AB168" s="4"/>
      <c r="AC168" s="4"/>
      <c r="AD168" s="4"/>
      <c r="AE168" s="4"/>
      <c r="AF168" s="4"/>
      <c r="AG168" s="4"/>
    </row>
    <row r="169" spans="1:33" ht="22.5" customHeight="1" x14ac:dyDescent="0.25">
      <c r="A169" s="2"/>
      <c r="B169" s="2"/>
      <c r="C169" s="2"/>
      <c r="D169" s="2"/>
      <c r="E169" s="2"/>
      <c r="F169" s="4"/>
      <c r="G169" s="4"/>
      <c r="H169" s="7" t="s">
        <v>73</v>
      </c>
      <c r="I169" s="4" t="str">
        <f ca="1">IFERROR(__xludf.DUMMYFUNCTION("GOOGLETRANSLATE(B169,""en"",""ar"")"),"المصارع الموجود على اليمين يرتدي...")</f>
        <v>المصارع الموجود على اليمين يرتدي...</v>
      </c>
      <c r="J169" s="4" t="str">
        <f ca="1">IFERROR(__xludf.DUMMYFUNCTION("GOOGLETRANSLATE(C169,""en"",""ar"")"),"أ) مئزر تقليدي، ب) ملابس رياضية حديثة (قميص بلا أكمام، شورت)، ج) رداء ثقيل، د) لا ملابس")</f>
        <v>أ) مئزر تقليدي، ب) ملابس رياضية حديثة (قميص بلا أكمام، شورت)، ج) رداء ثقيل، د) لا ملابس</v>
      </c>
      <c r="K169" s="4" t="str">
        <f ca="1">IFERROR(__xludf.DUMMYFUNCTION("GOOGLETRANSLATE(D169,""en"",""ar"")"),"ب) ملابس رياضية حديثة (قميص بلا أكمام، شورت)")</f>
        <v>ب) ملابس رياضية حديثة (قميص بلا أكمام، شورت)</v>
      </c>
      <c r="L169" s="4" t="str">
        <f ca="1">IFERROR(__xludf.DUMMYFUNCTION("GOOGLETRANSLATE(E169,""en"",""ar"")"),"يرتدي قميصًا أبيض بسيطًا بدون أكمام وسروالًا قصيرًا داكنًا، وهو زي شائع في مصارعة النوبة الحديثة.")</f>
        <v>يرتدي قميصًا أبيض بسيطًا بدون أكمام وسروالًا قصيرًا داكنًا، وهو زي شائع في مصارعة النوبة الحديثة.</v>
      </c>
      <c r="M169" s="4"/>
      <c r="N169" s="4"/>
      <c r="O169" s="4"/>
      <c r="P169" s="4"/>
      <c r="Q169" s="4"/>
      <c r="R169" s="4"/>
      <c r="S169" s="4"/>
      <c r="T169" s="4"/>
      <c r="U169" s="4"/>
      <c r="V169" s="4"/>
      <c r="W169" s="4"/>
      <c r="X169" s="4"/>
      <c r="Y169" s="4"/>
      <c r="Z169" s="4"/>
      <c r="AA169" s="4"/>
      <c r="AB169" s="4"/>
      <c r="AC169" s="4"/>
      <c r="AD169" s="4"/>
      <c r="AE169" s="4"/>
      <c r="AF169" s="4"/>
      <c r="AG169" s="4"/>
    </row>
    <row r="170" spans="1:33" ht="22.5" customHeight="1" x14ac:dyDescent="0.25">
      <c r="A170" s="2"/>
      <c r="B170" s="2"/>
      <c r="C170" s="2"/>
      <c r="D170" s="2"/>
      <c r="E170" s="2"/>
      <c r="F170" s="4"/>
      <c r="G170" s="4"/>
      <c r="H170" s="6" t="s">
        <v>73</v>
      </c>
      <c r="I170" s="4" t="str">
        <f ca="1">IFERROR(__xludf.DUMMYFUNCTION("GOOGLETRANSLATE(B170,""en"",""ar"")"),"وضع اليد على الرأس هو أسلوب يمكن استخدامه لـ...")</f>
        <v>وضع اليد على الرأس هو أسلوب يمكن استخدامه لـ...</v>
      </c>
      <c r="J170" s="4" t="str">
        <f ca="1">IFERROR(__xludf.DUMMYFUNCTION("GOOGLETRANSLATE(C170,""en"",""ar"")"),"أ) إجبار الخصم على خفض رأسه وكسر وضعيته، ب) تحية الخصم باحترام، ج) فحص درجة حرارته، د) مسح الغبار عن الخصم")</f>
        <v>أ) إجبار الخصم على خفض رأسه وكسر وضعيته، ب) تحية الخصم باحترام، ج) فحص درجة حرارته، د) مسح الغبار عن الخصم</v>
      </c>
      <c r="K170" s="4" t="str">
        <f ca="1">IFERROR(__xludf.DUMMYFUNCTION("GOOGLETRANSLATE(D170,""en"",""ar"")"),"أ) لإجبار الخصم على خفض رأسه وكسر وضعيته")</f>
        <v>أ) لإجبار الخصم على خفض رأسه وكسر وضعيته</v>
      </c>
      <c r="L170" s="4" t="str">
        <f ca="1">IFERROR(__xludf.DUMMYFUNCTION("GOOGLETRANSLATE(E170,""en"",""ar"")"),"من خلال التحكم في الرأس، يستطيع المصارع أن يعطل توازن خصمه وقاعدته، مما يجعله عرضة للرمي.")</f>
        <v>من خلال التحكم في الرأس، يستطيع المصارع أن يعطل توازن خصمه وقاعدته، مما يجعله عرضة للرمي.</v>
      </c>
      <c r="M170" s="4"/>
      <c r="N170" s="4"/>
      <c r="O170" s="4"/>
      <c r="P170" s="4"/>
      <c r="Q170" s="4"/>
      <c r="R170" s="4"/>
      <c r="S170" s="4"/>
      <c r="T170" s="4"/>
      <c r="U170" s="4"/>
      <c r="V170" s="4"/>
      <c r="W170" s="4"/>
      <c r="X170" s="4"/>
      <c r="Y170" s="4"/>
      <c r="Z170" s="4"/>
      <c r="AA170" s="4"/>
      <c r="AB170" s="4"/>
      <c r="AC170" s="4"/>
      <c r="AD170" s="4"/>
      <c r="AE170" s="4"/>
      <c r="AF170" s="4"/>
      <c r="AG170" s="4"/>
    </row>
    <row r="171" spans="1:33" ht="22.5" customHeight="1" x14ac:dyDescent="0.25">
      <c r="A171" s="2"/>
      <c r="B171" s="2"/>
      <c r="C171" s="2"/>
      <c r="D171" s="2"/>
      <c r="E171" s="2"/>
      <c r="F171" s="4"/>
      <c r="G171" s="4"/>
      <c r="H171" s="7" t="s">
        <v>73</v>
      </c>
      <c r="I171" s="4" t="str">
        <f ca="1">IFERROR(__xludf.DUMMYFUNCTION("GOOGLETRANSLATE(B171,""en"",""ar"")"),"تُجسّد الصورة لحظة من...")</f>
        <v>تُجسّد الصورة لحظة من...</v>
      </c>
      <c r="J171" s="4" t="str">
        <f ca="1">IFERROR(__xludf.DUMMYFUNCTION("GOOGLETRANSLATE(C171,""en"",""ar"")"),"أ) عملٌ متفجر، ب) توترٌ هادئ، ج) احتفالٌ بالنصر، د) هزيمةٌ واضحة")</f>
        <v>أ) عملٌ متفجر، ب) توترٌ هادئ، ج) احتفالٌ بالنصر، د) هزيمةٌ واضحة</v>
      </c>
      <c r="K171" s="4" t="str">
        <f ca="1">IFERROR(__xludf.DUMMYFUNCTION("GOOGLETRANSLATE(D171,""en"",""ar"")"),"ب) هدوء وتوتر")</f>
        <v>ب) هدوء وتوتر</v>
      </c>
      <c r="L171" s="4" t="str">
        <f ca="1">IFERROR(__xludf.DUMMYFUNCTION("GOOGLETRANSLATE(E171,""en"",""ar"")"),"هذا هو الهدوء الذي يسبق العاصفة، لحظة من التوتر الشديد بينما يستعد المصارعون للاشتباك.")</f>
        <v>هذا هو الهدوء الذي يسبق العاصفة، لحظة من التوتر الشديد بينما يستعد المصارعون للاشتباك.</v>
      </c>
      <c r="M171" s="4"/>
      <c r="N171" s="4"/>
      <c r="O171" s="4"/>
      <c r="P171" s="4"/>
      <c r="Q171" s="4"/>
      <c r="R171" s="4"/>
      <c r="S171" s="4"/>
      <c r="T171" s="4"/>
      <c r="U171" s="4"/>
      <c r="V171" s="4"/>
      <c r="W171" s="4"/>
      <c r="X171" s="4"/>
      <c r="Y171" s="4"/>
      <c r="Z171" s="4"/>
      <c r="AA171" s="4"/>
      <c r="AB171" s="4"/>
      <c r="AC171" s="4"/>
      <c r="AD171" s="4"/>
      <c r="AE171" s="4"/>
      <c r="AF171" s="4"/>
      <c r="AG171" s="4"/>
    </row>
    <row r="172" spans="1:33" ht="22.5" customHeight="1" x14ac:dyDescent="0.25">
      <c r="A172" s="2"/>
      <c r="B172" s="2"/>
      <c r="C172" s="2"/>
      <c r="D172" s="2"/>
      <c r="E172" s="2"/>
      <c r="F172" s="4"/>
      <c r="G172" s="4"/>
      <c r="H172" s="6" t="s">
        <v>74</v>
      </c>
      <c r="I172" s="4" t="str">
        <f ca="1">IFERROR(__xludf.DUMMYFUNCTION("GOOGLETRANSLATE(B172,""en"",""ar"")"),"تشير الصورة بالأبيض والأسود والمكان إلى أن هذا...")</f>
        <v>تشير الصورة بالأبيض والأسود والمكان إلى أن هذا...</v>
      </c>
      <c r="J172" s="4" t="str">
        <f ca="1">IFERROR(__xludf.DUMMYFUNCTION("GOOGLETRANSLATE(C172,""en"",""ar"")"),"أ) مباراة بطولة حديثة، ب) صورة تاريخية لمباراة قروية تقليدية، ج) صورة معدلة رقميًا، د) جلسة تدريبية داخلية")</f>
        <v>أ) مباراة بطولة حديثة، ب) صورة تاريخية لمباراة قروية تقليدية، ج) صورة معدلة رقميًا، د) جلسة تدريبية داخلية</v>
      </c>
      <c r="K172" s="4" t="str">
        <f ca="1">IFERROR(__xludf.DUMMYFUNCTION("GOOGLETRANSLATE(D172,""en"",""ar"")"),"ب) صورة تاريخية لمباراة كرة سلة تقليدية في قرية")</f>
        <v>ب) صورة تاريخية لمباراة كرة سلة تقليدية في قرية</v>
      </c>
      <c r="L172" s="4" t="str">
        <f ca="1">IFERROR(__xludf.DUMMYFUNCTION("GOOGLETRANSLATE(E172,""en"",""ar"")"),"يشير غياب المرافق الحديثة، والزي التقليدي، والتنسيق أحادي اللون، إلى أن الصورة توثق هذه الرياضة في ماضيها الأكثر تقليدية.")</f>
        <v>يشير غياب المرافق الحديثة، والزي التقليدي، والتنسيق أحادي اللون، إلى أن الصورة توثق هذه الرياضة في ماضيها الأكثر تقليدية.</v>
      </c>
      <c r="M172" s="4"/>
      <c r="N172" s="4"/>
      <c r="O172" s="4"/>
      <c r="P172" s="4"/>
      <c r="Q172" s="4"/>
      <c r="R172" s="4"/>
      <c r="S172" s="4"/>
      <c r="T172" s="4"/>
      <c r="U172" s="4"/>
      <c r="V172" s="4"/>
      <c r="W172" s="4"/>
      <c r="X172" s="4"/>
      <c r="Y172" s="4"/>
      <c r="Z172" s="4"/>
      <c r="AA172" s="4"/>
      <c r="AB172" s="4"/>
      <c r="AC172" s="4"/>
      <c r="AD172" s="4"/>
      <c r="AE172" s="4"/>
      <c r="AF172" s="4"/>
      <c r="AG172" s="4"/>
    </row>
    <row r="173" spans="1:33" ht="22.5" customHeight="1" x14ac:dyDescent="0.25">
      <c r="A173" s="2"/>
      <c r="B173" s="2"/>
      <c r="C173" s="2"/>
      <c r="D173" s="2"/>
      <c r="E173" s="2"/>
      <c r="F173" s="4"/>
      <c r="G173" s="4"/>
      <c r="H173" s="7" t="s">
        <v>74</v>
      </c>
      <c r="I173" s="4" t="str">
        <f ca="1">IFERROR(__xludf.DUMMYFUNCTION("GOOGLETRANSLATE(B173,""en"",""ar"")"),"ما الذي يشكل ""الحلبة"" أو الحدود لهذه المباراة في المصارعة؟")</f>
        <v>ما الذي يشكل "الحلبة" أو الحدود لهذه المباراة في المصارعة؟</v>
      </c>
      <c r="J173" s="4" t="str">
        <f ca="1">IFERROR(__xludf.DUMMYFUNCTION("GOOGLETRANSLATE(C173,""en"",""ar"")"),"أ) سياج معدني حديث، ب) دائرة من المتفرجين من المجتمع المحلي، ج) حاجز من الحبال، د) خط مرسوم على الرمال")</f>
        <v>أ) سياج معدني حديث، ب) دائرة من المتفرجين من المجتمع المحلي، ج) حاجز من الحبال، د) خط مرسوم على الرمال</v>
      </c>
      <c r="K173" s="4" t="str">
        <f ca="1">IFERROR(__xludf.DUMMYFUNCTION("GOOGLETRANSLATE(D173,""en"",""ar"")"),"ب) دائرة من المتفرجين من المجتمع المحلي")</f>
        <v>ب) دائرة من المتفرجين من المجتمع المحلي</v>
      </c>
      <c r="L173" s="4" t="str">
        <f ca="1">IFERROR(__xludf.DUMMYFUNCTION("GOOGLETRANSLATE(E173,""en"",""ar"")"),"يشكل أفراد القرية أنفسهم منطقة المصارعة من خلال التجمع في دائرة، مما يخلق جواً حميماً وجماعياً.")</f>
        <v>يشكل أفراد القرية أنفسهم منطقة المصارعة من خلال التجمع في دائرة، مما يخلق جواً حميماً وجماعياً.</v>
      </c>
      <c r="M173" s="4"/>
      <c r="N173" s="4"/>
      <c r="O173" s="4"/>
      <c r="P173" s="4"/>
      <c r="Q173" s="4"/>
      <c r="R173" s="4"/>
      <c r="S173" s="4"/>
      <c r="T173" s="4"/>
      <c r="U173" s="4"/>
      <c r="V173" s="4"/>
      <c r="W173" s="4"/>
      <c r="X173" s="4"/>
      <c r="Y173" s="4"/>
      <c r="Z173" s="4"/>
      <c r="AA173" s="4"/>
      <c r="AB173" s="4"/>
      <c r="AC173" s="4"/>
      <c r="AD173" s="4"/>
      <c r="AE173" s="4"/>
      <c r="AF173" s="4"/>
      <c r="AG173" s="4"/>
    </row>
    <row r="174" spans="1:33" ht="22.5" customHeight="1" x14ac:dyDescent="0.25">
      <c r="A174" s="2"/>
      <c r="B174" s="2"/>
      <c r="C174" s="2"/>
      <c r="D174" s="2"/>
      <c r="E174" s="2"/>
      <c r="F174" s="4"/>
      <c r="G174" s="4"/>
      <c r="H174" s="6" t="s">
        <v>74</v>
      </c>
      <c r="I174" s="4" t="str">
        <f ca="1">IFERROR(__xludf.DUMMYFUNCTION("GOOGLETRANSLATE(B174,""en"",""ar"")"),"ما هي المادة التي يتكون منها المبنى الموجود في الخلفية؟")</f>
        <v>ما هي المادة التي يتكون منها المبنى الموجود في الخلفية؟</v>
      </c>
      <c r="J174" s="4" t="str">
        <f ca="1">IFERROR(__xludf.DUMMYFUNCTION("GOOGLETRANSLATE(C174,""en"",""ar"")"),"أ) الخرسانة والفولاذ، ب) المواد الطبيعية مثل الخشب والقش، ج) الطوب والملاط، د) الزجاج والمعادن")</f>
        <v>أ) الخرسانة والفولاذ، ب) المواد الطبيعية مثل الخشب والقش، ج) الطوب والملاط، د) الزجاج والمعادن</v>
      </c>
      <c r="K174" s="4" t="str">
        <f ca="1">IFERROR(__xludf.DUMMYFUNCTION("GOOGLETRANSLATE(D174,""en"",""ar"")"),"ب) مواد طبيعية مثل الخشب والقش")</f>
        <v>ب) مواد طبيعية مثل الخشب والقش</v>
      </c>
      <c r="L174" s="4" t="str">
        <f ca="1">IFERROR(__xludf.DUMMYFUNCTION("GOOGLETRANSLATE(E174,""en"",""ar"")"),"يظهر كوخ أو مأوى تقليدي بسقف من القش، مما يعزز الطابع الريفي والتاريخي للمكان.")</f>
        <v>يظهر كوخ أو مأوى تقليدي بسقف من القش، مما يعزز الطابع الريفي والتاريخي للمكان.</v>
      </c>
      <c r="M174" s="4"/>
      <c r="N174" s="4"/>
      <c r="O174" s="4"/>
      <c r="P174" s="4"/>
      <c r="Q174" s="4"/>
      <c r="R174" s="4"/>
      <c r="S174" s="4"/>
      <c r="T174" s="4"/>
      <c r="U174" s="4"/>
      <c r="V174" s="4"/>
      <c r="W174" s="4"/>
      <c r="X174" s="4"/>
      <c r="Y174" s="4"/>
      <c r="Z174" s="4"/>
      <c r="AA174" s="4"/>
      <c r="AB174" s="4"/>
      <c r="AC174" s="4"/>
      <c r="AD174" s="4"/>
      <c r="AE174" s="4"/>
      <c r="AF174" s="4"/>
      <c r="AG174" s="4"/>
    </row>
    <row r="175" spans="1:33" ht="22.5" customHeight="1" x14ac:dyDescent="0.25">
      <c r="A175" s="2"/>
      <c r="B175" s="2"/>
      <c r="C175" s="2"/>
      <c r="D175" s="2"/>
      <c r="E175" s="2"/>
      <c r="F175" s="4"/>
      <c r="G175" s="4"/>
      <c r="H175" s="7" t="s">
        <v>74</v>
      </c>
      <c r="I175" s="4" t="str">
        <f ca="1">IFERROR(__xludf.DUMMYFUNCTION("GOOGLETRANSLATE(B175,""en"",""ar"")"),"كم عدد المصارعين الذين يشاركون بنشاط في المركز؟")</f>
        <v>كم عدد المصارعين الذين يشاركون بنشاط في المركز؟</v>
      </c>
      <c r="J175" s="4" t="str">
        <f ca="1">IFERROR(__xludf.DUMMYFUNCTION("GOOGLETRANSLATE(C175,""en"",""ar"")"),"أ) اثنان، ب) ثلاثة، ج) أربعة، د) خمسة")</f>
        <v>أ) اثنان، ب) ثلاثة، ج) أربعة، د) خمسة</v>
      </c>
      <c r="K175" s="4" t="str">
        <f ca="1">IFERROR(__xludf.DUMMYFUNCTION("GOOGLETRANSLATE(D175,""en"",""ar"")"),"ج) أربعة")</f>
        <v>ج) أربعة</v>
      </c>
      <c r="L175" s="4" t="str">
        <f ca="1">IFERROR(__xludf.DUMMYFUNCTION("GOOGLETRANSLATE(E175,""en"",""ar"")"),"يبدو أن هناك مباراتين متزامنتين أو أسلوب مصارعة ""الفرق الثنائية"" يحدث داخل نفس الحلبة.")</f>
        <v>يبدو أن هناك مباراتين متزامنتين أو أسلوب مصارعة "الفرق الثنائية" يحدث داخل نفس الحلبة.</v>
      </c>
      <c r="M175" s="4"/>
      <c r="N175" s="4"/>
      <c r="O175" s="4"/>
      <c r="P175" s="4"/>
      <c r="Q175" s="4"/>
      <c r="R175" s="4"/>
      <c r="S175" s="4"/>
      <c r="T175" s="4"/>
      <c r="U175" s="4"/>
      <c r="V175" s="4"/>
      <c r="W175" s="4"/>
      <c r="X175" s="4"/>
      <c r="Y175" s="4"/>
      <c r="Z175" s="4"/>
      <c r="AA175" s="4"/>
      <c r="AB175" s="4"/>
      <c r="AC175" s="4"/>
      <c r="AD175" s="4"/>
      <c r="AE175" s="4"/>
      <c r="AF175" s="4"/>
      <c r="AG175" s="4"/>
    </row>
    <row r="176" spans="1:33" ht="22.5" customHeight="1" x14ac:dyDescent="0.25">
      <c r="A176" s="2"/>
      <c r="B176" s="2"/>
      <c r="C176" s="2"/>
      <c r="D176" s="2"/>
      <c r="E176" s="2"/>
      <c r="F176" s="4"/>
      <c r="G176" s="4"/>
      <c r="H176" s="6" t="s">
        <v>74</v>
      </c>
      <c r="I176" s="4" t="str">
        <f ca="1">IFERROR(__xludf.DUMMYFUNCTION("GOOGLETRANSLATE(B176,""en"",""ar"")"),"ما نوع الزي التقليدي الذي يرتديه المصارعون؟")</f>
        <v>ما نوع الزي التقليدي الذي يرتديه المصارعون؟</v>
      </c>
      <c r="J176" s="4" t="str">
        <f ca="1">IFERROR(__xludf.DUMMYFUNCTION("GOOGLETRANSLATE(C176,""en"",""ar"")"),"أ) سراويل قصيرة وقمصان عصرية، ب) مآزر وأربطة ساق مزخرفة، ج) دروع ثقيلة، د) لا شيء على الإطلاق")</f>
        <v>أ) سراويل قصيرة وقمصان عصرية، ب) مآزر وأربطة ساق مزخرفة، ج) دروع ثقيلة، د) لا شيء على الإطلاق</v>
      </c>
      <c r="K176" s="4" t="str">
        <f ca="1">IFERROR(__xludf.DUMMYFUNCTION("GOOGLETRANSLATE(D176,""en"",""ar"")"),"ب) مآزر وأربطة ساق مزخرفة")</f>
        <v>ب) مآزر وأربطة ساق مزخرفة</v>
      </c>
      <c r="L176" s="4" t="str">
        <f ca="1">IFERROR(__xludf.DUMMYFUNCTION("GOOGLETRANSLATE(E176,""en"",""ar"")"),"يرتدي المتنافسون سراويل قصيرة بسيطة أو مآزر، ويرتدي بعضهم أربطة أو لفائف تقليدية حول سيقانهم.")</f>
        <v>يرتدي المتنافسون سراويل قصيرة بسيطة أو مآزر، ويرتدي بعضهم أربطة أو لفائف تقليدية حول سيقانهم.</v>
      </c>
      <c r="M176" s="4"/>
      <c r="N176" s="4"/>
      <c r="O176" s="4"/>
      <c r="P176" s="4"/>
      <c r="Q176" s="4"/>
      <c r="R176" s="4"/>
      <c r="S176" s="4"/>
      <c r="T176" s="4"/>
      <c r="U176" s="4"/>
      <c r="V176" s="4"/>
      <c r="W176" s="4"/>
      <c r="X176" s="4"/>
      <c r="Y176" s="4"/>
      <c r="Z176" s="4"/>
      <c r="AA176" s="4"/>
      <c r="AB176" s="4"/>
      <c r="AC176" s="4"/>
      <c r="AD176" s="4"/>
      <c r="AE176" s="4"/>
      <c r="AF176" s="4"/>
      <c r="AG176" s="4"/>
    </row>
    <row r="177" spans="1:33" ht="22.5" customHeight="1" x14ac:dyDescent="0.25">
      <c r="A177" s="2"/>
      <c r="B177" s="2"/>
      <c r="C177" s="2"/>
      <c r="D177" s="2"/>
      <c r="E177" s="2"/>
      <c r="F177" s="4"/>
      <c r="G177" s="4"/>
      <c r="H177" s="7" t="s">
        <v>74</v>
      </c>
      <c r="I177" s="4" t="str">
        <f ca="1">IFERROR(__xludf.DUMMYFUNCTION("GOOGLETRANSLATE(B177,""en"",""ar"")"),"تُبرز هذه الصورة مصارعة النوبة كـ...")</f>
        <v>تُبرز هذه الصورة مصارعة النوبة كـ...</v>
      </c>
      <c r="J177" s="4" t="str">
        <f ca="1">IFERROR(__xludf.DUMMYFUNCTION("GOOGLETRANSLATE(C177,""en"",""ar"")"),"أ) مشروع تجاري، ب) حدث اجتماعي وثقافي هام، ج) نشاط فردي، د) رياضة خاصة بكبار السن في القرية")</f>
        <v>أ) مشروع تجاري، ب) حدث اجتماعي وثقافي هام، ج) نشاط فردي، د) رياضة خاصة بكبار السن في القرية</v>
      </c>
      <c r="K177" s="4" t="str">
        <f ca="1">IFERROR(__xludf.DUMMYFUNCTION("GOOGLETRANSLATE(D177,""en"",""ar"")"),"ب) حدث اجتماعي وثقافي هام")</f>
        <v>ب) حدث اجتماعي وثقافي هام</v>
      </c>
      <c r="L177" s="4" t="str">
        <f ca="1">IFERROR(__xludf.DUMMYFUNCTION("GOOGLETRANSLATE(E177,""en"",""ar"")"),"يُظهر الحشد الكبير والمتفاعل، بالإضافة إلى أجواء القرية، أن المصارعة جزء أساسي من النسيج الاجتماعي للمجتمع.")</f>
        <v>يُظهر الحشد الكبير والمتفاعل، بالإضافة إلى أجواء القرية، أن المصارعة جزء أساسي من النسيج الاجتماعي للمجتمع.</v>
      </c>
      <c r="M177" s="4"/>
      <c r="N177" s="4"/>
      <c r="O177" s="4"/>
      <c r="P177" s="4"/>
      <c r="Q177" s="4"/>
      <c r="R177" s="4"/>
      <c r="S177" s="4"/>
      <c r="T177" s="4"/>
      <c r="U177" s="4"/>
      <c r="V177" s="4"/>
      <c r="W177" s="4"/>
      <c r="X177" s="4"/>
      <c r="Y177" s="4"/>
      <c r="Z177" s="4"/>
      <c r="AA177" s="4"/>
      <c r="AB177" s="4"/>
      <c r="AC177" s="4"/>
      <c r="AD177" s="4"/>
      <c r="AE177" s="4"/>
      <c r="AF177" s="4"/>
      <c r="AG177" s="4"/>
    </row>
    <row r="178" spans="1:33" ht="22.5" customHeight="1" x14ac:dyDescent="0.25">
      <c r="A178" s="2"/>
      <c r="B178" s="2"/>
      <c r="C178" s="2"/>
      <c r="D178" s="2"/>
      <c r="E178" s="2"/>
      <c r="F178" s="4"/>
      <c r="G178" s="4"/>
      <c r="H178" s="6" t="s">
        <v>74</v>
      </c>
      <c r="I178" s="4" t="str">
        <f ca="1">IFERROR(__xludf.DUMMYFUNCTION("GOOGLETRANSLATE(B178,""en"",""ar"")"),"المشهد في الخلفية هو...")</f>
        <v>المشهد في الخلفية هو...</v>
      </c>
      <c r="J178" s="4" t="str">
        <f ca="1">IFERROR(__xludf.DUMMYFUNCTION("GOOGLETRANSLATE(C178,""en"",""ar"")"),"أ) صحراء منبسطة، ب) غابة كثيفة، ج) منطقة جبلية قاحلة، د) ساحل محيطي")</f>
        <v>أ) صحراء منبسطة، ب) غابة كثيفة، ج) منطقة جبلية قاحلة، د) ساحل محيطي</v>
      </c>
      <c r="K178" s="4" t="str">
        <f ca="1">IFERROR(__xludf.DUMMYFUNCTION("GOOGLETRANSLATE(D178,""en"",""ar"")"),"ج) تلال ومناطق قاحلة")</f>
        <v>ج) تلال ومناطق قاحلة</v>
      </c>
      <c r="L178" s="4" t="str">
        <f ca="1">IFERROR(__xludf.DUMMYFUNCTION("GOOGLETRANSLATE(E178,""en"",""ar"")"),"تتميز منطقة جبال النوبة بتلالها وبيئتها الجافة الشبيهة بالسافانا.")</f>
        <v>تتميز منطقة جبال النوبة بتلالها وبيئتها الجافة الشبيهة بالسافانا.</v>
      </c>
      <c r="M178" s="4"/>
      <c r="N178" s="4"/>
      <c r="O178" s="4"/>
      <c r="P178" s="4"/>
      <c r="Q178" s="4"/>
      <c r="R178" s="4"/>
      <c r="S178" s="4"/>
      <c r="T178" s="4"/>
      <c r="U178" s="4"/>
      <c r="V178" s="4"/>
      <c r="W178" s="4"/>
      <c r="X178" s="4"/>
      <c r="Y178" s="4"/>
      <c r="Z178" s="4"/>
      <c r="AA178" s="4"/>
      <c r="AB178" s="4"/>
      <c r="AC178" s="4"/>
      <c r="AD178" s="4"/>
      <c r="AE178" s="4"/>
      <c r="AF178" s="4"/>
      <c r="AG178" s="4"/>
    </row>
    <row r="179" spans="1:33" ht="22.5" customHeight="1" x14ac:dyDescent="0.25">
      <c r="A179" s="2"/>
      <c r="B179" s="2"/>
      <c r="C179" s="2"/>
      <c r="D179" s="2"/>
      <c r="E179" s="2"/>
      <c r="F179" s="4"/>
      <c r="G179" s="4"/>
      <c r="H179" s="7" t="s">
        <v>74</v>
      </c>
      <c r="I179" s="4" t="str">
        <f ca="1">IFERROR(__xludf.DUMMYFUNCTION("GOOGLETRANSLATE(B179,""en"",""ar"")"),"النبرة العامة للصورة هي...")</f>
        <v>النبرة العامة للصورة هي...</v>
      </c>
      <c r="J179" s="4" t="str">
        <f ca="1">IFERROR(__xludf.DUMMYFUNCTION("GOOGLETRANSLATE(C179,""en"",""ar"")"),"أ) مُصطنع ورسمي، ب) عفوي، حيوي، وأصيل، ج) هادئ ومُتصنّع، د) قاتم ومُرعب")</f>
        <v>أ) مُصطنع ورسمي، ب) عفوي، حيوي، وأصيل، ج) هادئ ومُتصنّع، د) قاتم ومُرعب</v>
      </c>
      <c r="K179" s="4" t="str">
        <f ca="1">IFERROR(__xludf.DUMMYFUNCTION("GOOGLETRANSLATE(D179,""en"",""ar"")"),"ب) خام، وحيوي، وأصيل")</f>
        <v>ب) خام، وحيوي، وأصيل</v>
      </c>
      <c r="L179" s="4" t="str">
        <f ca="1">IFERROR(__xludf.DUMMYFUNCTION("GOOGLETRANSLATE(E179,""en"",""ar"")"),"تجسد الصورة الطاقة الحقيقية والعفوية لمباراة مصارعة تقليدية في المجتمع.")</f>
        <v>تجسد الصورة الطاقة الحقيقية والعفوية لمباراة مصارعة تقليدية في المجتمع.</v>
      </c>
      <c r="M179" s="4"/>
      <c r="N179" s="4"/>
      <c r="O179" s="4"/>
      <c r="P179" s="4"/>
      <c r="Q179" s="4"/>
      <c r="R179" s="4"/>
      <c r="S179" s="4"/>
      <c r="T179" s="4"/>
      <c r="U179" s="4"/>
      <c r="V179" s="4"/>
      <c r="W179" s="4"/>
      <c r="X179" s="4"/>
      <c r="Y179" s="4"/>
      <c r="Z179" s="4"/>
      <c r="AA179" s="4"/>
      <c r="AB179" s="4"/>
      <c r="AC179" s="4"/>
      <c r="AD179" s="4"/>
      <c r="AE179" s="4"/>
      <c r="AF179" s="4"/>
      <c r="AG179" s="4"/>
    </row>
    <row r="180" spans="1:33" ht="22.5" customHeight="1" x14ac:dyDescent="0.25">
      <c r="A180" s="2"/>
      <c r="B180" s="2"/>
      <c r="C180" s="2"/>
      <c r="D180" s="2"/>
      <c r="E180" s="2"/>
      <c r="F180" s="4"/>
      <c r="G180" s="4"/>
      <c r="H180" s="6" t="s">
        <v>74</v>
      </c>
      <c r="I180" s="4" t="str">
        <f ca="1">IFERROR(__xludf.DUMMYFUNCTION("GOOGLETRANSLATE(B180,""en"",""ar"")"),"يرفع الرجال على اليمين أيديهم في إشارة دفاعية أو تحضيرية، مما يدل على...")</f>
        <v>يرفع الرجال على اليمين أيديهم في إشارة دفاعية أو تحضيرية، مما يدل على...</v>
      </c>
      <c r="J180" s="4" t="str">
        <f ca="1">IFERROR(__xludf.DUMMYFUNCTION("GOOGLETRANSLATE(C180,""en"",""ar"")"),"أ) إنهم يستسلمون، ب) إنهم على وشك بدء الاشتباك، ج) إنهم يحجبون الشمس عن أعينهم، د) إنهم يلوحون للحشد")</f>
        <v>أ) إنهم يستسلمون، ب) إنهم على وشك بدء الاشتباك، ج) إنهم يحجبون الشمس عن أعينهم، د) إنهم يلوحون للحشد</v>
      </c>
      <c r="K180" s="4" t="str">
        <f ca="1">IFERROR(__xludf.DUMMYFUNCTION("GOOGLETRANSLATE(D180,""en"",""ar"")"),"ب) هم على وشك البدء في الاشتباك")</f>
        <v>ب) هم على وشك البدء في الاشتباك</v>
      </c>
      <c r="L180" s="4" t="str">
        <f ca="1">IFERROR(__xludf.DUMMYFUNCTION("GOOGLETRANSLATE(E180,""en"",""ar"")"),"هذه وضعية استعداد شائعة في العديد من أشكال المصارعة التقليدية، حيث يتم رفع اليدين للاشتباك أو صد قبضة الخصم.")</f>
        <v>هذه وضعية استعداد شائعة في العديد من أشكال المصارعة التقليدية، حيث يتم رفع اليدين للاشتباك أو صد قبضة الخصم.</v>
      </c>
      <c r="M180" s="4"/>
      <c r="N180" s="4"/>
      <c r="O180" s="4"/>
      <c r="P180" s="4"/>
      <c r="Q180" s="4"/>
      <c r="R180" s="4"/>
      <c r="S180" s="4"/>
      <c r="T180" s="4"/>
      <c r="U180" s="4"/>
      <c r="V180" s="4"/>
      <c r="W180" s="4"/>
      <c r="X180" s="4"/>
      <c r="Y180" s="4"/>
      <c r="Z180" s="4"/>
      <c r="AA180" s="4"/>
      <c r="AB180" s="4"/>
      <c r="AC180" s="4"/>
      <c r="AD180" s="4"/>
      <c r="AE180" s="4"/>
      <c r="AF180" s="4"/>
      <c r="AG180" s="4"/>
    </row>
    <row r="181" spans="1:33" ht="22.5" customHeight="1" x14ac:dyDescent="0.25">
      <c r="A181" s="2"/>
      <c r="B181" s="2"/>
      <c r="C181" s="2"/>
      <c r="D181" s="2"/>
      <c r="E181" s="2"/>
      <c r="F181" s="4"/>
      <c r="G181" s="4"/>
      <c r="H181" s="7" t="s">
        <v>74</v>
      </c>
      <c r="I181" s="4" t="str">
        <f ca="1">IFERROR(__xludf.DUMMYFUNCTION("GOOGLETRANSLATE(B181,""en"",""ar"")"),"تُعد هذه الصورة وثيقة قيّمة لـ...")</f>
        <v>تُعد هذه الصورة وثيقة قيّمة لـ...</v>
      </c>
      <c r="J181" s="4" t="str">
        <f ca="1">IFERROR(__xludf.DUMMYFUNCTION("GOOGLETRANSLATE(C181,""en"",""ar"")"),"أ) القواعد الحديثة للرياضة، ب) التاريخ الحي والجذور الثقافية لمصارعة النوبة، ج) إدخال التكنولوجيا في الرياضة، د) الجوانب المالية للمصارعة")</f>
        <v>أ) القواعد الحديثة للرياضة، ب) التاريخ الحي والجذور الثقافية لمصارعة النوبة، ج) إدخال التكنولوجيا في الرياضة، د) الجوانب المالية للمصارعة</v>
      </c>
      <c r="K181" s="4" t="str">
        <f ca="1">IFERROR(__xludf.DUMMYFUNCTION("GOOGLETRANSLATE(D181,""en"",""ar"")"),"ب) التاريخ الحي والجذور الثقافية لمصارعة النوبة")</f>
        <v>ب) التاريخ الحي والجذور الثقافية لمصارعة النوبة</v>
      </c>
      <c r="L181" s="4" t="str">
        <f ca="1">IFERROR(__xludf.DUMMYFUNCTION("GOOGLETRANSLATE(E181,""en"",""ar"")"),"إنها توفر نافذة على كيفية ممارسة هذه الرياضة تقليدياً، كجزء أساسي من حياة القرية.")</f>
        <v>إنها توفر نافذة على كيفية ممارسة هذه الرياضة تقليدياً، كجزء أساسي من حياة القرية.</v>
      </c>
      <c r="M181" s="4"/>
      <c r="N181" s="4"/>
      <c r="O181" s="4"/>
      <c r="P181" s="4"/>
      <c r="Q181" s="4"/>
      <c r="R181" s="4"/>
      <c r="S181" s="4"/>
      <c r="T181" s="4"/>
      <c r="U181" s="4"/>
      <c r="V181" s="4"/>
      <c r="W181" s="4"/>
      <c r="X181" s="4"/>
      <c r="Y181" s="4"/>
      <c r="Z181" s="4"/>
      <c r="AA181" s="4"/>
      <c r="AB181" s="4"/>
      <c r="AC181" s="4"/>
      <c r="AD181" s="4"/>
      <c r="AE181" s="4"/>
      <c r="AF181" s="4"/>
      <c r="AG181" s="4"/>
    </row>
    <row r="182" spans="1:33" ht="22.5" customHeight="1" x14ac:dyDescent="0.25">
      <c r="A182" s="2"/>
      <c r="B182" s="2"/>
      <c r="C182" s="2"/>
      <c r="D182" s="2"/>
      <c r="E182" s="2"/>
      <c r="F182" s="4"/>
      <c r="G182" s="4"/>
      <c r="H182" s="6" t="s">
        <v>75</v>
      </c>
      <c r="I182" s="4" t="str">
        <f ca="1">IFERROR(__xludf.DUMMYFUNCTION("GOOGLETRANSLATE(B182,""en"",""ar"")"),"ماذا يفعل المصارعان في المقدمة؟")</f>
        <v>ماذا يفعل المصارعان في المقدمة؟</v>
      </c>
      <c r="J182" s="4" t="str">
        <f ca="1">IFERROR(__xludf.DUMMYFUNCTION("GOOGLETRANSLATE(C182,""en"",""ar"")"),"أ) إنهم يتصارعون بنشاط، ب) إنهم يستريحون على الأرض بين المباريات، ج) إنهم يحتجون على قرار الحكم، د) إنهم يقومون بالإحماء قبل المباراة")</f>
        <v>أ) إنهم يتصارعون بنشاط، ب) إنهم يستريحون على الأرض بين المباريات، ج) إنهم يحتجون على قرار الحكم، د) إنهم يقومون بالإحماء قبل المباراة</v>
      </c>
      <c r="K182" s="4" t="str">
        <f ca="1">IFERROR(__xludf.DUMMYFUNCTION("GOOGLETRANSLATE(D182,""en"",""ar"")"),"ب) إنهم يستريحون على الأرض بين المباريات")</f>
        <v>ب) إنهم يستريحون على الأرض بين المباريات</v>
      </c>
      <c r="L182" s="4" t="str">
        <f ca="1">IFERROR(__xludf.DUMMYFUNCTION("GOOGLETRANSLATE(E182,""en"",""ar"")"),"يجلسون في وضعية استرخاء داخل الحلبة، على الأرجح ينتظرون مباراتهم التالية أو انتهوا للتو من إحداها.")</f>
        <v>يجلسون في وضعية استرخاء داخل الحلبة، على الأرجح ينتظرون مباراتهم التالية أو انتهوا للتو من إحداها.</v>
      </c>
      <c r="M182" s="4"/>
      <c r="N182" s="4"/>
      <c r="O182" s="4"/>
      <c r="P182" s="4"/>
      <c r="Q182" s="4"/>
      <c r="R182" s="4"/>
      <c r="S182" s="4"/>
      <c r="T182" s="4"/>
      <c r="U182" s="4"/>
      <c r="V182" s="4"/>
      <c r="W182" s="4"/>
      <c r="X182" s="4"/>
      <c r="Y182" s="4"/>
      <c r="Z182" s="4"/>
      <c r="AA182" s="4"/>
      <c r="AB182" s="4"/>
      <c r="AC182" s="4"/>
      <c r="AD182" s="4"/>
      <c r="AE182" s="4"/>
      <c r="AF182" s="4"/>
      <c r="AG182" s="4"/>
    </row>
    <row r="183" spans="1:33" ht="22.5" customHeight="1" x14ac:dyDescent="0.25">
      <c r="A183" s="2"/>
      <c r="B183" s="2"/>
      <c r="C183" s="2"/>
      <c r="D183" s="2"/>
      <c r="E183" s="2"/>
      <c r="F183" s="4"/>
      <c r="G183" s="4"/>
      <c r="H183" s="7" t="s">
        <v>75</v>
      </c>
      <c r="I183" s="4" t="str">
        <f ca="1">IFERROR(__xludf.DUMMYFUNCTION("GOOGLETRANSLATE(B183,""en"",""ar"")"),"ما الذي يغطي وجه وجسم المصارع الذي ينظر إلى الكاميرا؟")</f>
        <v>ما الذي يغطي وجه وجسم المصارع الذي ينظر إلى الكاميرا؟</v>
      </c>
      <c r="J183" s="4" t="str">
        <f ca="1">IFERROR(__xludf.DUMMYFUNCTION("GOOGLETRANSLATE(C183,""en"",""ar"")"),"أ) الطين، ب) طلاء احتفالي ملون، ج) رماد أو غبار أبيض، د) واقي من الشمس")</f>
        <v>أ) الطين، ب) طلاء احتفالي ملون، ج) رماد أو غبار أبيض، د) واقي من الشمس</v>
      </c>
      <c r="K183" s="4" t="str">
        <f ca="1">IFERROR(__xludf.DUMMYFUNCTION("GOOGLETRANSLATE(D183,""en"",""ar"")"),"ج) الرماد الأبيض أو الغبار")</f>
        <v>ج) الرماد الأبيض أو الغبار</v>
      </c>
      <c r="L183" s="4" t="str">
        <f ca="1">IFERROR(__xludf.DUMMYFUNCTION("GOOGLETRANSLATE(E183,""en"",""ar"")"),"لقد وضع كمية كبيرة من الرماد الأبيض أو الغبار على جسده ووجهه، وهو طقس شائع.")</f>
        <v>لقد وضع كمية كبيرة من الرماد الأبيض أو الغبار على جسده ووجهه، وهو طقس شائع.</v>
      </c>
      <c r="M183" s="4"/>
      <c r="N183" s="4"/>
      <c r="O183" s="4"/>
      <c r="P183" s="4"/>
      <c r="Q183" s="4"/>
      <c r="R183" s="4"/>
      <c r="S183" s="4"/>
      <c r="T183" s="4"/>
      <c r="U183" s="4"/>
      <c r="V183" s="4"/>
      <c r="W183" s="4"/>
      <c r="X183" s="4"/>
      <c r="Y183" s="4"/>
      <c r="Z183" s="4"/>
      <c r="AA183" s="4"/>
      <c r="AB183" s="4"/>
      <c r="AC183" s="4"/>
      <c r="AD183" s="4"/>
      <c r="AE183" s="4"/>
      <c r="AF183" s="4"/>
      <c r="AG183" s="4"/>
    </row>
    <row r="184" spans="1:33" ht="22.5" customHeight="1" x14ac:dyDescent="0.25">
      <c r="A184" s="2"/>
      <c r="B184" s="2"/>
      <c r="C184" s="2"/>
      <c r="D184" s="2"/>
      <c r="E184" s="2"/>
      <c r="F184" s="4"/>
      <c r="G184" s="4"/>
      <c r="H184" s="6" t="s">
        <v>75</v>
      </c>
      <c r="I184" s="4" t="str">
        <f ca="1">IFERROR(__xludf.DUMMYFUNCTION("GOOGLETRANSLATE(B184,""en"",""ar"")"),"ما هو الخط الأبيض على الأرض أمامهم؟")</f>
        <v>ما هو الخط الأبيض على الأرض أمامهم؟</v>
      </c>
      <c r="J184" s="4" t="str">
        <f ca="1">IFERROR(__xludf.DUMMYFUNCTION("GOOGLETRANSLATE(C184,""en"",""ar"")"),"أ) صدع في الأرض، ب) خط بداية سباق جري، ج) خط حدود حلبة المصارعة، د) حبل مدفون")</f>
        <v>أ) صدع في الأرض، ب) خط بداية سباق جري، ج) خط حدود حلبة المصارعة، د) حبل مدفون</v>
      </c>
      <c r="K184" s="4" t="str">
        <f ca="1">IFERROR(__xludf.DUMMYFUNCTION("GOOGLETRANSLATE(D184,""en"",""ar"")"),"ج) خط حدود حلبة المصارعة")</f>
        <v>ج) خط حدود حلبة المصارعة</v>
      </c>
      <c r="L184" s="4" t="str">
        <f ca="1">IFERROR(__xludf.DUMMYFUNCTION("GOOGLETRANSLATE(E184,""en"",""ar"")"),"يشير الخط الأبيض الدائري إلى منطقة المنافسة الرسمية.")</f>
        <v>يشير الخط الأبيض الدائري إلى منطقة المنافسة الرسمية.</v>
      </c>
      <c r="M184" s="4"/>
      <c r="N184" s="4"/>
      <c r="O184" s="4"/>
      <c r="P184" s="4"/>
      <c r="Q184" s="4"/>
      <c r="R184" s="4"/>
      <c r="S184" s="4"/>
      <c r="T184" s="4"/>
      <c r="U184" s="4"/>
      <c r="V184" s="4"/>
      <c r="W184" s="4"/>
      <c r="X184" s="4"/>
      <c r="Y184" s="4"/>
      <c r="Z184" s="4"/>
      <c r="AA184" s="4"/>
      <c r="AB184" s="4"/>
      <c r="AC184" s="4"/>
      <c r="AD184" s="4"/>
      <c r="AE184" s="4"/>
      <c r="AF184" s="4"/>
      <c r="AG184" s="4"/>
    </row>
    <row r="185" spans="1:33" ht="22.5" customHeight="1" x14ac:dyDescent="0.25">
      <c r="A185" s="2"/>
      <c r="B185" s="2"/>
      <c r="C185" s="2"/>
      <c r="D185" s="2"/>
      <c r="E185" s="2"/>
      <c r="F185" s="4"/>
      <c r="G185" s="4"/>
      <c r="H185" s="7" t="s">
        <v>75</v>
      </c>
      <c r="I185" s="4" t="str">
        <f ca="1">IFERROR(__xludf.DUMMYFUNCTION("GOOGLETRANSLATE(B185,""en"",""ar"")"),"المصارع الموجود على اليسار لديه تسريحة شعر مميزة. ما هي؟")</f>
        <v>المصارع الموجود على اليسار لديه تسريحة شعر مميزة. ما هي؟</v>
      </c>
      <c r="J185" s="4" t="str">
        <f ca="1">IFERROR(__xludf.DUMMYFUNCTION("GOOGLETRANSLATE(C185,""en"",""ar"")"),"أ) شعر طويل منسدل، ب) رأس محلوق بالكامل، ج) تسريحة شعر منقوشة أو مقسمة، د) يرتدي باروكة")</f>
        <v>أ) شعر طويل منسدل، ب) رأس محلوق بالكامل، ج) تسريحة شعر منقوشة أو مقسمة، د) يرتدي باروكة</v>
      </c>
      <c r="K185" s="4" t="str">
        <f ca="1">IFERROR(__xludf.DUMMYFUNCTION("GOOGLETRANSLATE(D185,""en"",""ar"")"),"ج) تسريحة شعر منقوشة أو مقسمة إلى أقسام")</f>
        <v>ج) تسريحة شعر منقوشة أو مقسمة إلى أقسام</v>
      </c>
      <c r="L185" s="4" t="str">
        <f ca="1">IFERROR(__xludf.DUMMYFUNCTION("GOOGLETRANSLATE(E185,""en"",""ar"")"),"تم قص شعره بطريقة تخلق نمطاً مميزاً على فروة رأسه.")</f>
        <v>تم قص شعره بطريقة تخلق نمطاً مميزاً على فروة رأسه.</v>
      </c>
      <c r="M185" s="4"/>
      <c r="N185" s="4"/>
      <c r="O185" s="4"/>
      <c r="P185" s="4"/>
      <c r="Q185" s="4"/>
      <c r="R185" s="4"/>
      <c r="S185" s="4"/>
      <c r="T185" s="4"/>
      <c r="U185" s="4"/>
      <c r="V185" s="4"/>
      <c r="W185" s="4"/>
      <c r="X185" s="4"/>
      <c r="Y185" s="4"/>
      <c r="Z185" s="4"/>
      <c r="AA185" s="4"/>
      <c r="AB185" s="4"/>
      <c r="AC185" s="4"/>
      <c r="AD185" s="4"/>
      <c r="AE185" s="4"/>
      <c r="AF185" s="4"/>
      <c r="AG185" s="4"/>
    </row>
    <row r="186" spans="1:33" ht="22.5" customHeight="1" x14ac:dyDescent="0.25">
      <c r="A186" s="2"/>
      <c r="B186" s="2"/>
      <c r="C186" s="2"/>
      <c r="D186" s="2"/>
      <c r="E186" s="2"/>
      <c r="F186" s="4"/>
      <c r="G186" s="4"/>
      <c r="H186" s="6" t="s">
        <v>75</v>
      </c>
      <c r="I186" s="4" t="str">
        <f ca="1">IFERROR(__xludf.DUMMYFUNCTION("GOOGLETRANSLATE(B186,""en"",""ar"")"),"ما هو مكان انعقاد هذا الحدث؟")</f>
        <v>ما هو مكان انعقاد هذا الحدث؟</v>
      </c>
      <c r="J186" s="4" t="str">
        <f ca="1">IFERROR(__xludf.DUMMYFUNCTION("GOOGLETRANSLATE(C186,""en"",""ar"")"),"أ) ملعب حديث مغلق، ب) تجمع مجتمعي تقليدي غير رسمي، ج) قاعة تدريب داخلية، د) موقع صحراوي ناءٍ بدون متفرجين")</f>
        <v>أ) ملعب حديث مغلق، ب) تجمع مجتمعي تقليدي غير رسمي، ج) قاعة تدريب داخلية، د) موقع صحراوي ناءٍ بدون متفرجين</v>
      </c>
      <c r="K186" s="4" t="str">
        <f ca="1">IFERROR(__xludf.DUMMYFUNCTION("GOOGLETRANSLATE(D186,""en"",""ar"")"),"ب) تجمع مجتمعي تقليدي وغير رسمي")</f>
        <v>ب) تجمع مجتمعي تقليدي وغير رسمي</v>
      </c>
      <c r="L186" s="4" t="str">
        <f ca="1">IFERROR(__xludf.DUMMYFUNCTION("GOOGLETRANSLATE(E186,""en"",""ar"")"),"يجلس الجمهور على مقربة من الحدث على أرض الملعب، ويبدو أن المكان عبارة عن مساحة مفتوحة في الهواء الطلق في قرية أو بلدة.")</f>
        <v>يجلس الجمهور على مقربة من الحدث على أرض الملعب، ويبدو أن المكان عبارة عن مساحة مفتوحة في الهواء الطلق في قرية أو بلدة.</v>
      </c>
      <c r="M186" s="4"/>
      <c r="N186" s="4"/>
      <c r="O186" s="4"/>
      <c r="P186" s="4"/>
      <c r="Q186" s="4"/>
      <c r="R186" s="4"/>
      <c r="S186" s="4"/>
      <c r="T186" s="4"/>
      <c r="U186" s="4"/>
      <c r="V186" s="4"/>
      <c r="W186" s="4"/>
      <c r="X186" s="4"/>
      <c r="Y186" s="4"/>
      <c r="Z186" s="4"/>
      <c r="AA186" s="4"/>
      <c r="AB186" s="4"/>
      <c r="AC186" s="4"/>
      <c r="AD186" s="4"/>
      <c r="AE186" s="4"/>
      <c r="AF186" s="4"/>
      <c r="AG186" s="4"/>
    </row>
    <row r="187" spans="1:33" ht="22.5" customHeight="1" x14ac:dyDescent="0.25">
      <c r="A187" s="2"/>
      <c r="B187" s="2"/>
      <c r="C187" s="2"/>
      <c r="D187" s="2"/>
      <c r="E187" s="2"/>
      <c r="F187" s="4"/>
      <c r="G187" s="4"/>
      <c r="H187" s="7" t="s">
        <v>75</v>
      </c>
      <c r="I187" s="4" t="str">
        <f ca="1">IFERROR(__xludf.DUMMYFUNCTION("GOOGLETRANSLATE(B187,""en"",""ar"")"),"ماذا يرتدي المصارع الذي ينظر إلى الكاميرا على يديه/معصميه؟")</f>
        <v>ماذا يرتدي المصارع الذي ينظر إلى الكاميرا على يديه/معصميه؟</v>
      </c>
      <c r="J187" s="4" t="str">
        <f ca="1">IFERROR(__xludf.DUMMYFUNCTION("GOOGLETRANSLATE(C187,""en"",""ar"")"),"أ) قفازات الملاكمة الحديثة، ب) الأساور التقليدية، ج) الشريط اللاصق الرياضي أو الضمادات، د) لا شيء")</f>
        <v>أ) قفازات الملاكمة الحديثة، ب) الأساور التقليدية، ج) الشريط اللاصق الرياضي أو الضمادات، د) لا شيء</v>
      </c>
      <c r="K187" s="4" t="str">
        <f ca="1">IFERROR(__xludf.DUMMYFUNCTION("GOOGLETRANSLATE(D187,""en"",""ar"")"),"ج) شريط لاصق رياضي أو ضمادات")</f>
        <v>ج) شريط لاصق رياضي أو ضمادات</v>
      </c>
      <c r="L187" s="4" t="str">
        <f ca="1">IFERROR(__xludf.DUMMYFUNCTION("GOOGLETRANSLATE(E187,""en"",""ar"")"),"يرتدي أربطة رياضية بيضاء حول معصميه ويديه، وهي وسيلة حديثة للدعم والحماية.")</f>
        <v>يرتدي أربطة رياضية بيضاء حول معصميه ويديه، وهي وسيلة حديثة للدعم والحماية.</v>
      </c>
      <c r="M187" s="4"/>
      <c r="N187" s="4"/>
      <c r="O187" s="4"/>
      <c r="P187" s="4"/>
      <c r="Q187" s="4"/>
      <c r="R187" s="4"/>
      <c r="S187" s="4"/>
      <c r="T187" s="4"/>
      <c r="U187" s="4"/>
      <c r="V187" s="4"/>
      <c r="W187" s="4"/>
      <c r="X187" s="4"/>
      <c r="Y187" s="4"/>
      <c r="Z187" s="4"/>
      <c r="AA187" s="4"/>
      <c r="AB187" s="4"/>
      <c r="AC187" s="4"/>
      <c r="AD187" s="4"/>
      <c r="AE187" s="4"/>
      <c r="AF187" s="4"/>
      <c r="AG187" s="4"/>
    </row>
    <row r="188" spans="1:33" ht="22.5" customHeight="1" x14ac:dyDescent="0.25">
      <c r="A188" s="2"/>
      <c r="B188" s="2"/>
      <c r="C188" s="2"/>
      <c r="D188" s="2"/>
      <c r="E188" s="2"/>
      <c r="F188" s="4"/>
      <c r="G188" s="4"/>
      <c r="H188" s="6" t="s">
        <v>75</v>
      </c>
      <c r="I188" s="4" t="str">
        <f ca="1">IFERROR(__xludf.DUMMYFUNCTION("GOOGLETRANSLATE(B188,""en"",""ar"")"),"ما هو الجو العام للمشهد؟")</f>
        <v>ما هو الجو العام للمشهد؟</v>
      </c>
      <c r="J188" s="4" t="str">
        <f ca="1">IFERROR(__xludf.DUMMYFUNCTION("GOOGLETRANSLATE(C188,""en"",""ar"")"),"أ) متوتر وعدواني، ب) عفوي ومسترخٍ، ج) حزين وكئيب، د) صاخب وفوضوي")</f>
        <v>أ) متوتر وعدواني، ب) عفوي ومسترخٍ، ج) حزين وكئيب، د) صاخب وفوضوي</v>
      </c>
      <c r="K188" s="4" t="str">
        <f ca="1">IFERROR(__xludf.DUMMYFUNCTION("GOOGLETRANSLATE(D188,""en"",""ar"")"),"ب) غير رسمي ومريح")</f>
        <v>ب) غير رسمي ومريح</v>
      </c>
      <c r="L188" s="4" t="str">
        <f ca="1">IFERROR(__xludf.DUMMYFUNCTION("GOOGLETRANSLATE(E188,""en"",""ar"")"),"هذه لحظة استراحة، وليست منافسة حقيقية. يبدو المصارعون هادئين، والجمهور متجمع بشكل غير رسمي.")</f>
        <v>هذه لحظة استراحة، وليست منافسة حقيقية. يبدو المصارعون هادئين، والجمهور متجمع بشكل غير رسمي.</v>
      </c>
      <c r="M188" s="4"/>
      <c r="N188" s="4"/>
      <c r="O188" s="4"/>
      <c r="P188" s="4"/>
      <c r="Q188" s="4"/>
      <c r="R188" s="4"/>
      <c r="S188" s="4"/>
      <c r="T188" s="4"/>
      <c r="U188" s="4"/>
      <c r="V188" s="4"/>
      <c r="W188" s="4"/>
      <c r="X188" s="4"/>
      <c r="Y188" s="4"/>
      <c r="Z188" s="4"/>
      <c r="AA188" s="4"/>
      <c r="AB188" s="4"/>
      <c r="AC188" s="4"/>
      <c r="AD188" s="4"/>
      <c r="AE188" s="4"/>
      <c r="AF188" s="4"/>
      <c r="AG188" s="4"/>
    </row>
    <row r="189" spans="1:33" ht="22.5" customHeight="1" x14ac:dyDescent="0.25">
      <c r="A189" s="2"/>
      <c r="B189" s="2"/>
      <c r="C189" s="2"/>
      <c r="D189" s="2"/>
      <c r="E189" s="2"/>
      <c r="F189" s="4"/>
      <c r="G189" s="4"/>
      <c r="H189" s="7" t="s">
        <v>75</v>
      </c>
      <c r="I189" s="4" t="str">
        <f ca="1">IFERROR(__xludf.DUMMYFUNCTION("GOOGLETRANSLATE(B189,""en"",""ar"")"),"قد يكون وضع الرماد بهذا النمط المتعمد على الوجه من أجل...")</f>
        <v>قد يكون وضع الرماد بهذا النمط المتعمد على الوجه من أجل...</v>
      </c>
      <c r="J189" s="4" t="str">
        <f ca="1">IFERROR(__xludf.DUMMYFUNCTION("GOOGLETRANSLATE(C189,""en"",""ar"")"),"أ) ترهيب الخصم، ب) الهوية الشخصية أو القبلية، ج) الأغراض الطقوسية، د) جميع ما سبق")</f>
        <v>أ) ترهيب الخصم، ب) الهوية الشخصية أو القبلية، ج) الأغراض الطقوسية، د) جميع ما سبق</v>
      </c>
      <c r="K189" s="4" t="str">
        <f ca="1">IFERROR(__xludf.DUMMYFUNCTION("GOOGLETRANSLATE(D189,""en"",""ar"")"),"د) جميع ما سبق")</f>
        <v>د) جميع ما سبق</v>
      </c>
      <c r="L189" s="4" t="str">
        <f ca="1">IFERROR(__xludf.DUMMYFUNCTION("GOOGLETRANSLATE(E189,""en"",""ar"")"),"يخدم الرماد أغراضاً متعددة: يمكن أن يكون طقساً لاستحضار القوة، وطريقة لتحديد الهوية، ووسيلة لخلق مظهر مخيف للخصم.")</f>
        <v>يخدم الرماد أغراضاً متعددة: يمكن أن يكون طقساً لاستحضار القوة، وطريقة لتحديد الهوية، ووسيلة لخلق مظهر مخيف للخصم.</v>
      </c>
      <c r="M189" s="4"/>
      <c r="N189" s="4"/>
      <c r="O189" s="4"/>
      <c r="P189" s="4"/>
      <c r="Q189" s="4"/>
      <c r="R189" s="4"/>
      <c r="S189" s="4"/>
      <c r="T189" s="4"/>
      <c r="U189" s="4"/>
      <c r="V189" s="4"/>
      <c r="W189" s="4"/>
      <c r="X189" s="4"/>
      <c r="Y189" s="4"/>
      <c r="Z189" s="4"/>
      <c r="AA189" s="4"/>
      <c r="AB189" s="4"/>
      <c r="AC189" s="4"/>
      <c r="AD189" s="4"/>
      <c r="AE189" s="4"/>
      <c r="AF189" s="4"/>
      <c r="AG189" s="4"/>
    </row>
    <row r="190" spans="1:33" ht="22.5" customHeight="1" x14ac:dyDescent="0.25">
      <c r="A190" s="2"/>
      <c r="B190" s="2"/>
      <c r="C190" s="2"/>
      <c r="D190" s="2"/>
      <c r="E190" s="2"/>
      <c r="F190" s="4"/>
      <c r="G190" s="4"/>
      <c r="H190" s="6" t="s">
        <v>75</v>
      </c>
      <c r="I190" s="4" t="str">
        <f ca="1">IFERROR(__xludf.DUMMYFUNCTION("GOOGLETRANSLATE(B190,""en"",""ar"")"),"ماذا يرتدي المصارع الذي يرتدي القميص الأصفر في قدميه؟")</f>
        <v>ماذا يرتدي المصارع الذي يرتدي القميص الأصفر في قدميه؟</v>
      </c>
      <c r="J190" s="4" t="str">
        <f ca="1">IFERROR(__xludf.DUMMYFUNCTION("GOOGLETRANSLATE(C190,""en"",""ar"")"),"أ) أحذية المصارعة، ب) أحذية ثقيلة، ج) صنادل بسيطة أو شباشب، د) حافي القدمين")</f>
        <v>أ) أحذية المصارعة، ب) أحذية ثقيلة، ج) صنادل بسيطة أو شباشب، د) حافي القدمين</v>
      </c>
      <c r="K190" s="4" t="str">
        <f ca="1">IFERROR(__xludf.DUMMYFUNCTION("GOOGLETRANSLATE(D190,""en"",""ar"")"),"ج) الصنادل البسيطة أو الشبشب")</f>
        <v>ج) الصنادل البسيطة أو الشبشب</v>
      </c>
      <c r="L190" s="4" t="str">
        <f ca="1">IFERROR(__xludf.DUMMYFUNCTION("GOOGLETRANSLATE(E190,""en"",""ar"")"),"يرتدي صندلاً عادياً، مما يشير إلى أنه يستريح وليس على وشك المنافسة.")</f>
        <v>يرتدي صندلاً عادياً، مما يشير إلى أنه يستريح وليس على وشك المنافسة.</v>
      </c>
      <c r="M190" s="4"/>
      <c r="N190" s="4"/>
      <c r="O190" s="4"/>
      <c r="P190" s="4"/>
      <c r="Q190" s="4"/>
      <c r="R190" s="4"/>
      <c r="S190" s="4"/>
      <c r="T190" s="4"/>
      <c r="U190" s="4"/>
      <c r="V190" s="4"/>
      <c r="W190" s="4"/>
      <c r="X190" s="4"/>
      <c r="Y190" s="4"/>
      <c r="Z190" s="4"/>
      <c r="AA190" s="4"/>
      <c r="AB190" s="4"/>
      <c r="AC190" s="4"/>
      <c r="AD190" s="4"/>
      <c r="AE190" s="4"/>
      <c r="AF190" s="4"/>
      <c r="AG190" s="4"/>
    </row>
    <row r="191" spans="1:33" ht="22.5" customHeight="1" x14ac:dyDescent="0.25">
      <c r="A191" s="2"/>
      <c r="B191" s="2"/>
      <c r="C191" s="2"/>
      <c r="D191" s="2"/>
      <c r="E191" s="2"/>
      <c r="F191" s="4"/>
      <c r="G191" s="4"/>
      <c r="H191" s="7" t="s">
        <v>75</v>
      </c>
      <c r="I191" s="4" t="str">
        <f ca="1">IFERROR(__xludf.DUMMYFUNCTION("GOOGLETRANSLATE(B191,""en"",""ar"")"),"تُتيح هذه الصورة نظرة جيدة على...")</f>
        <v>تُتيح هذه الصورة نظرة جيدة على...</v>
      </c>
      <c r="J191" s="4" t="str">
        <f ca="1">IFERROR(__xludf.DUMMYFUNCTION("GOOGLETRANSLATE(C191,""en"",""ar"")"),"أ) اللحظة الأخيرة من مباراة البطولة، ب) الجوانب الثقافية والطقوسية للرياضة، بما يتجاوز مجرد القتال، ج) القواعد واللوائح الحديثة، د) الرعاة التجاريون للحدث")</f>
        <v>أ) اللحظة الأخيرة من مباراة البطولة، ب) الجوانب الثقافية والطقوسية للرياضة، بما يتجاوز مجرد القتال، ج) القواعد واللوائح الحديثة، د) الرعاة التجاريون للحدث</v>
      </c>
      <c r="K191" s="4" t="str">
        <f ca="1">IFERROR(__xludf.DUMMYFUNCTION("GOOGLETRANSLATE(D191,""en"",""ar"")"),"ب) الجوانب الثقافية والطقوسية للرياضة، بما يتجاوز مجرد القتال")</f>
        <v>ب) الجوانب الثقافية والطقوسية للرياضة، بما يتجاوز مجرد القتال</v>
      </c>
      <c r="L191" s="4" t="str">
        <f ca="1">IFERROR(__xludf.DUMMYFUNCTION("GOOGLETRANSLATE(E191,""en"",""ar"")"),"يركز هذا العمل على استعدادات المصارعين، وتزيين حلباتهم، واللحظات الهادئة، التي تُعد جزءًا لا يتجزأ من التقاليد مثل المصارعة نفسها.")</f>
        <v>يركز هذا العمل على استعدادات المصارعين، وتزيين حلباتهم، واللحظات الهادئة، التي تُعد جزءًا لا يتجزأ من التقاليد مثل المصارعة نفسها.</v>
      </c>
      <c r="M191" s="4"/>
      <c r="N191" s="4"/>
      <c r="O191" s="4"/>
      <c r="P191" s="4"/>
      <c r="Q191" s="4"/>
      <c r="R191" s="4"/>
      <c r="S191" s="4"/>
      <c r="T191" s="4"/>
      <c r="U191" s="4"/>
      <c r="V191" s="4"/>
      <c r="W191" s="4"/>
      <c r="X191" s="4"/>
      <c r="Y191" s="4"/>
      <c r="Z191" s="4"/>
      <c r="AA191" s="4"/>
      <c r="AB191" s="4"/>
      <c r="AC191" s="4"/>
      <c r="AD191" s="4"/>
      <c r="AE191" s="4"/>
      <c r="AF191" s="4"/>
      <c r="AG191" s="4"/>
    </row>
    <row r="192" spans="1:33" ht="22.5" customHeight="1" x14ac:dyDescent="0.25">
      <c r="A192" s="2"/>
      <c r="B192" s="2"/>
      <c r="C192" s="2"/>
      <c r="D192" s="2"/>
      <c r="E192" s="2"/>
      <c r="F192" s="4"/>
      <c r="G192" s="4"/>
      <c r="H192" s="6" t="s">
        <v>76</v>
      </c>
      <c r="I192" s="4" t="str">
        <f ca="1">IFERROR(__xludf.DUMMYFUNCTION("GOOGLETRANSLATE(B192,""en"",""ar"")"),"تُجسّد هذه اللقطة المقربة لحظةً مؤثرةً من...")</f>
        <v>تُجسّد هذه اللقطة المقربة لحظةً مؤثرةً من...</v>
      </c>
      <c r="J192" s="4" t="str">
        <f ca="1">IFERROR(__xludf.DUMMYFUNCTION("GOOGLETRANSLATE(C192,""en"",""ar"")"),"أ) رمية عالية، ب) مصافحة قبل المباراة، ج) اشتباك أو مسك قوي، د) احتفال بعد المباراة")</f>
        <v>أ) رمية عالية، ب) مصافحة قبل المباراة، ج) اشتباك أو مسك قوي، د) احتفال بعد المباراة</v>
      </c>
      <c r="K192" s="4" t="str">
        <f ca="1">IFERROR(__xludf.DUMMYFUNCTION("GOOGLETRANSLATE(D192,""en"",""ar"")"),"ج) اشتباك قوي أو إمساك")</f>
        <v>ج) اشتباك قوي أو إمساك</v>
      </c>
      <c r="L192" s="4" t="str">
        <f ca="1">IFERROR(__xludf.DUMMYFUNCTION("GOOGLETRANSLATE(E192,""en"",""ar"")"),"يخوض المصارعان اختباراً للقوة الخالصة، حيث يحاول كل منهما التغلب على الآخر.")</f>
        <v>يخوض المصارعان اختباراً للقوة الخالصة، حيث يحاول كل منهما التغلب على الآخر.</v>
      </c>
      <c r="M192" s="4"/>
      <c r="N192" s="4"/>
      <c r="O192" s="4"/>
      <c r="P192" s="4"/>
      <c r="Q192" s="4"/>
      <c r="R192" s="4"/>
      <c r="S192" s="4"/>
      <c r="T192" s="4"/>
      <c r="U192" s="4"/>
      <c r="V192" s="4"/>
      <c r="W192" s="4"/>
      <c r="X192" s="4"/>
      <c r="Y192" s="4"/>
      <c r="Z192" s="4"/>
      <c r="AA192" s="4"/>
      <c r="AB192" s="4"/>
      <c r="AC192" s="4"/>
      <c r="AD192" s="4"/>
      <c r="AE192" s="4"/>
      <c r="AF192" s="4"/>
      <c r="AG192" s="4"/>
    </row>
    <row r="193" spans="1:33" ht="22.5" customHeight="1" x14ac:dyDescent="0.25">
      <c r="A193" s="2"/>
      <c r="B193" s="2"/>
      <c r="C193" s="2"/>
      <c r="D193" s="2"/>
      <c r="E193" s="2"/>
      <c r="F193" s="4"/>
      <c r="G193" s="4"/>
      <c r="H193" s="7" t="s">
        <v>76</v>
      </c>
      <c r="I193" s="4" t="str">
        <f ca="1">IFERROR(__xludf.DUMMYFUNCTION("GOOGLETRANSLATE(B193,""en"",""ar"")"),"ماذا يدل عليه العرق على أجساد المصارعين؟")</f>
        <v>ماذا يدل عليه العرق على أجساد المصارعين؟</v>
      </c>
      <c r="J193" s="4" t="str">
        <f ca="1">IFERROR(__xludf.DUMMYFUNCTION("GOOGLETRANSLATE(C193,""en"",""ar"")"),"أ) الجو بارد، ب) الجهد البدني الشديد للمباراة، ج) لقد وضعوا الزيت على أجسامهم للتو، د) لقد أمطرت للتو")</f>
        <v>أ) الجو بارد، ب) الجهد البدني الشديد للمباراة، ج) لقد وضعوا الزيت على أجسامهم للتو، د) لقد أمطرت للتو</v>
      </c>
      <c r="K193" s="4" t="str">
        <f ca="1">IFERROR(__xludf.DUMMYFUNCTION("GOOGLETRANSLATE(D193,""en"",""ar"")"),"ب) الجهد البدني الشديد للمباراة")</f>
        <v>ب) الجهد البدني الشديد للمباراة</v>
      </c>
      <c r="L193" s="4" t="str">
        <f ca="1">IFERROR(__xludf.DUMMYFUNCTION("GOOGLETRANSLATE(E193,""en"",""ar"")"),"إن العرق الظاهر دليل على الجهد والطاقة الهائلة المبذولة.")</f>
        <v>إن العرق الظاهر دليل على الجهد والطاقة الهائلة المبذولة.</v>
      </c>
      <c r="M193" s="4"/>
      <c r="N193" s="4"/>
      <c r="O193" s="4"/>
      <c r="P193" s="4"/>
      <c r="Q193" s="4"/>
      <c r="R193" s="4"/>
      <c r="S193" s="4"/>
      <c r="T193" s="4"/>
      <c r="U193" s="4"/>
      <c r="V193" s="4"/>
      <c r="W193" s="4"/>
      <c r="X193" s="4"/>
      <c r="Y193" s="4"/>
      <c r="Z193" s="4"/>
      <c r="AA193" s="4"/>
      <c r="AB193" s="4"/>
      <c r="AC193" s="4"/>
      <c r="AD193" s="4"/>
      <c r="AE193" s="4"/>
      <c r="AF193" s="4"/>
      <c r="AG193" s="4"/>
    </row>
    <row r="194" spans="1:33" ht="22.5" customHeight="1" x14ac:dyDescent="0.25">
      <c r="A194" s="2"/>
      <c r="B194" s="2"/>
      <c r="C194" s="2"/>
      <c r="D194" s="2"/>
      <c r="E194" s="2"/>
      <c r="F194" s="4"/>
      <c r="G194" s="4"/>
      <c r="H194" s="6" t="s">
        <v>76</v>
      </c>
      <c r="I194" s="4" t="str">
        <f ca="1">IFERROR(__xludf.DUMMYFUNCTION("GOOGLETRANSLATE(B194,""en"",""ar"")"),"ماذا يفعل المصارع الذي يرتدي قميصاً أبيض بلا أكمام؟")</f>
        <v>ماذا يفعل المصارع الذي يرتدي قميصاً أبيض بلا أكمام؟</v>
      </c>
      <c r="J194" s="4" t="str">
        <f ca="1">IFERROR(__xludf.DUMMYFUNCTION("GOOGLETRANSLATE(C194,""en"",""ar"")"),"أ) دفع خصمه بعيدًا، ب) محاولة الإمساك بذراع خصمه ورأسه، ج) التلويح للجمهور، د) إراحة رأسه على كتف خصمه")</f>
        <v>أ) دفع خصمه بعيدًا، ب) محاولة الإمساك بذراع خصمه ورأسه، ج) التلويح للجمهور، د) إراحة رأسه على كتف خصمه</v>
      </c>
      <c r="K194" s="4" t="str">
        <f ca="1">IFERROR(__xludf.DUMMYFUNCTION("GOOGLETRANSLATE(D194,""en"",""ar"")"),"ب) محاولة تثبيت ذراع ورأس خصمه")</f>
        <v>ب) محاولة تثبيت ذراع ورأس خصمه</v>
      </c>
      <c r="L194" s="4" t="str">
        <f ca="1">IFERROR(__xludf.DUMMYFUNCTION("GOOGLETRANSLATE(E194,""en"",""ar"")"),"إنه يعمل بنشاط على السيطرة على الجزء العلوي من جسم خصمه لتهيئة الفرصة لتنفيذ عملية إسقاط.")</f>
        <v>إنه يعمل بنشاط على السيطرة على الجزء العلوي من جسم خصمه لتهيئة الفرصة لتنفيذ عملية إسقاط.</v>
      </c>
      <c r="M194" s="4"/>
      <c r="N194" s="4"/>
      <c r="O194" s="4"/>
      <c r="P194" s="4"/>
      <c r="Q194" s="4"/>
      <c r="R194" s="4"/>
      <c r="S194" s="4"/>
      <c r="T194" s="4"/>
      <c r="U194" s="4"/>
      <c r="V194" s="4"/>
      <c r="W194" s="4"/>
      <c r="X194" s="4"/>
      <c r="Y194" s="4"/>
      <c r="Z194" s="4"/>
      <c r="AA194" s="4"/>
      <c r="AB194" s="4"/>
      <c r="AC194" s="4"/>
      <c r="AD194" s="4"/>
      <c r="AE194" s="4"/>
      <c r="AF194" s="4"/>
      <c r="AG194" s="4"/>
    </row>
    <row r="195" spans="1:33" ht="22.5" customHeight="1" x14ac:dyDescent="0.25">
      <c r="A195" s="2"/>
      <c r="B195" s="2"/>
      <c r="C195" s="2"/>
      <c r="D195" s="2"/>
      <c r="E195" s="2"/>
      <c r="F195" s="4"/>
      <c r="G195" s="4"/>
      <c r="H195" s="7" t="s">
        <v>76</v>
      </c>
      <c r="I195" s="4" t="str">
        <f ca="1">IFERROR(__xludf.DUMMYFUNCTION("GOOGLETRANSLATE(B195,""en"",""ar"")"),"ماذا يفعل المصارع الذي يرتدي القميص الوردي للدفاع عن نفسه؟")</f>
        <v>ماذا يفعل المصارع الذي يرتدي القميص الوردي للدفاع عن نفسه؟</v>
      </c>
      <c r="J195" s="4" t="str">
        <f ca="1">IFERROR(__xludf.DUMMYFUNCTION("GOOGLETRANSLATE(C195,""en"",""ar"")"),"أ) يحاول فك قبضة خصمه، ب) لا يدافع عن نفسه، ج) ينادي الحكم، د) يبتعد عن الاشتباك")</f>
        <v>أ) يحاول فك قبضة خصمه، ب) لا يدافع عن نفسه، ج) ينادي الحكم، د) يبتعد عن الاشتباك</v>
      </c>
      <c r="K195" s="4" t="str">
        <f ca="1">IFERROR(__xludf.DUMMYFUNCTION("GOOGLETRANSLATE(D195,""en"",""ar"")"),"أ) إنه يحاول فك قبضة خصمه")</f>
        <v>أ) إنه يحاول فك قبضة خصمه</v>
      </c>
      <c r="L195" s="4" t="str">
        <f ca="1">IFERROR(__xludf.DUMMYFUNCTION("GOOGLETRANSLATE(E195,""en"",""ar"")"),"يمسك بذراعي خصمه بإحكام، محاولاً منعه من الحصول على سيطرة تامة.")</f>
        <v>يمسك بذراعي خصمه بإحكام، محاولاً منعه من الحصول على سيطرة تامة.</v>
      </c>
      <c r="M195" s="4"/>
      <c r="N195" s="4"/>
      <c r="O195" s="4"/>
      <c r="P195" s="4"/>
      <c r="Q195" s="4"/>
      <c r="R195" s="4"/>
      <c r="S195" s="4"/>
      <c r="T195" s="4"/>
      <c r="U195" s="4"/>
      <c r="V195" s="4"/>
      <c r="W195" s="4"/>
      <c r="X195" s="4"/>
      <c r="Y195" s="4"/>
      <c r="Z195" s="4"/>
      <c r="AA195" s="4"/>
      <c r="AB195" s="4"/>
      <c r="AC195" s="4"/>
      <c r="AD195" s="4"/>
      <c r="AE195" s="4"/>
      <c r="AF195" s="4"/>
      <c r="AG195" s="4"/>
    </row>
    <row r="196" spans="1:33" ht="22.5" customHeight="1" x14ac:dyDescent="0.25">
      <c r="A196" s="2"/>
      <c r="B196" s="2"/>
      <c r="C196" s="2"/>
      <c r="D196" s="2"/>
      <c r="E196" s="2"/>
      <c r="F196" s="4"/>
      <c r="G196" s="4"/>
      <c r="H196" s="6" t="s">
        <v>76</v>
      </c>
      <c r="I196" s="4" t="str">
        <f ca="1">IFERROR(__xludf.DUMMYFUNCTION("GOOGLETRANSLATE(B196,""en"",""ar"")"),"المصارعون مغطّون بمسحوق فاتح اللون. ما هذا؟")</f>
        <v>المصارعون مغطّون بمسحوق فاتح اللون. ما هذا؟</v>
      </c>
      <c r="J196" s="4" t="str">
        <f ca="1">IFERROR(__xludf.DUMMYFUNCTION("GOOGLETRANSLATE(C196,""en"",""ar"")"),"أ) واقي الشمس، ب) الدقيق، ج) الرماد أو الغبار، د) الطلاء")</f>
        <v>أ) واقي الشمس، ب) الدقيق، ج) الرماد أو الغبار، د) الطلاء</v>
      </c>
      <c r="K196" s="4" t="str">
        <f ca="1">IFERROR(__xludf.DUMMYFUNCTION("GOOGLETRANSLATE(D196,""en"",""ar"")"),"ج) الرماد أو الغبار")</f>
        <v>ج) الرماد أو الغبار</v>
      </c>
      <c r="L196" s="4" t="str">
        <f ca="1">IFERROR(__xludf.DUMMYFUNCTION("GOOGLETRANSLATE(E196,""en"",""ar"")"),"هذا هو الرماد أو الغبار التقليدي الذي يوضع قبل المباراة، والذي يتم خلطه الآن بالعرق.")</f>
        <v>هذا هو الرماد أو الغبار التقليدي الذي يوضع قبل المباراة، والذي يتم خلطه الآن بالعرق.</v>
      </c>
      <c r="M196" s="4"/>
      <c r="N196" s="4"/>
      <c r="O196" s="4"/>
      <c r="P196" s="4"/>
      <c r="Q196" s="4"/>
      <c r="R196" s="4"/>
      <c r="S196" s="4"/>
      <c r="T196" s="4"/>
      <c r="U196" s="4"/>
      <c r="V196" s="4"/>
      <c r="W196" s="4"/>
      <c r="X196" s="4"/>
      <c r="Y196" s="4"/>
      <c r="Z196" s="4"/>
      <c r="AA196" s="4"/>
      <c r="AB196" s="4"/>
      <c r="AC196" s="4"/>
      <c r="AD196" s="4"/>
      <c r="AE196" s="4"/>
      <c r="AF196" s="4"/>
      <c r="AG196" s="4"/>
    </row>
    <row r="197" spans="1:33" ht="22.5" customHeight="1" x14ac:dyDescent="0.25">
      <c r="A197" s="2"/>
      <c r="B197" s="2"/>
      <c r="C197" s="2"/>
      <c r="D197" s="2"/>
      <c r="E197" s="2"/>
      <c r="F197" s="4"/>
      <c r="G197" s="4"/>
      <c r="H197" s="7" t="s">
        <v>76</v>
      </c>
      <c r="I197" s="4" t="str">
        <f ca="1">IFERROR(__xludf.DUMMYFUNCTION("GOOGLETRANSLATE(B197,""en"",""ar"")"),"الشريط الأخضر الموجود على معصم المصارع الأيسر هو...")</f>
        <v>الشريط الأخضر الموجود على معصم المصارع الأيسر هو...</v>
      </c>
      <c r="J197" s="4" t="str">
        <f ca="1">IFERROR(__xludf.DUMMYFUNCTION("GOOGLETRANSLATE(C197,""en"",""ar"")"),"أ) ساعة يد، ب) سوار زينة بسيط، ج) سوار تعريف طبي، د) جزء من قفاز")</f>
        <v>أ) ساعة يد، ب) سوار زينة بسيط، ج) سوار تعريف طبي، د) جزء من قفاز</v>
      </c>
      <c r="K197" s="4" t="str">
        <f ca="1">IFERROR(__xludf.DUMMYFUNCTION("GOOGLETRANSLATE(D197,""en"",""ar"")"),"ب) سوار زخرفي بسيط")</f>
        <v>ب) سوار زخرفي بسيط</v>
      </c>
      <c r="L197" s="4" t="str">
        <f ca="1">IFERROR(__xludf.DUMMYFUNCTION("GOOGLETRANSLATE(E197,""en"",""ar"")"),"إنه سوار معصم بسيط وملون، يمكن استخدامه للزينة الشخصية أو لتمثيل فريق أو قرية.")</f>
        <v>إنه سوار معصم بسيط وملون، يمكن استخدامه للزينة الشخصية أو لتمثيل فريق أو قرية.</v>
      </c>
      <c r="M197" s="4"/>
      <c r="N197" s="4"/>
      <c r="O197" s="4"/>
      <c r="P197" s="4"/>
      <c r="Q197" s="4"/>
      <c r="R197" s="4"/>
      <c r="S197" s="4"/>
      <c r="T197" s="4"/>
      <c r="U197" s="4"/>
      <c r="V197" s="4"/>
      <c r="W197" s="4"/>
      <c r="X197" s="4"/>
      <c r="Y197" s="4"/>
      <c r="Z197" s="4"/>
      <c r="AA197" s="4"/>
      <c r="AB197" s="4"/>
      <c r="AC197" s="4"/>
      <c r="AD197" s="4"/>
      <c r="AE197" s="4"/>
      <c r="AF197" s="4"/>
      <c r="AG197" s="4"/>
    </row>
    <row r="198" spans="1:33" ht="22.5" customHeight="1" x14ac:dyDescent="0.25">
      <c r="A198" s="2"/>
      <c r="B198" s="2"/>
      <c r="C198" s="2"/>
      <c r="D198" s="2"/>
      <c r="E198" s="2"/>
      <c r="F198" s="4"/>
      <c r="G198" s="4"/>
      <c r="H198" s="6" t="s">
        <v>76</v>
      </c>
      <c r="I198" s="4" t="str">
        <f ca="1">IFERROR(__xludf.DUMMYFUNCTION("GOOGLETRANSLATE(B198,""en"",""ar"")"),"تشير السراويل القصيرة الممزقة للمصارع على اليمين إلى...")</f>
        <v>تشير السراويل القصيرة الممزقة للمصارع على اليمين إلى...</v>
      </c>
      <c r="J198" s="4" t="str">
        <f ca="1">IFERROR(__xludf.DUMMYFUNCTION("GOOGLETRANSLATE(C198,""en"",""ar"")"),"أ) الملابس جديدة وعالية الجودة، ب) الرياضة قاسية على الملابس، ج) هو ليس منافسًا جادًا، د) هذا زي رسمي")</f>
        <v>أ) الملابس جديدة وعالية الجودة، ب) الرياضة قاسية على الملابس، ج) هو ليس منافسًا جادًا، د) هذا زي رسمي</v>
      </c>
      <c r="K198" s="4" t="str">
        <f ca="1">IFERROR(__xludf.DUMMYFUNCTION("GOOGLETRANSLATE(D198,""en"",""ar"")"),"ب) هذه الرياضة تُتلف الملابس بشدة")</f>
        <v>ب) هذه الرياضة تُتلف الملابس بشدة</v>
      </c>
      <c r="L198" s="4" t="str">
        <f ca="1">IFERROR(__xludf.DUMMYFUNCTION("GOOGLETRANSLATE(E198,""en"",""ar"")"),"يمكن أن يؤدي الإجهاد والاحتكاك الهائلان في المصارعة إلى تمزيق الملابس وإتلافها بسهولة.")</f>
        <v>يمكن أن يؤدي الإجهاد والاحتكاك الهائلان في المصارعة إلى تمزيق الملابس وإتلافها بسهولة.</v>
      </c>
      <c r="M198" s="4"/>
      <c r="N198" s="4"/>
      <c r="O198" s="4"/>
      <c r="P198" s="4"/>
      <c r="Q198" s="4"/>
      <c r="R198" s="4"/>
      <c r="S198" s="4"/>
      <c r="T198" s="4"/>
      <c r="U198" s="4"/>
      <c r="V198" s="4"/>
      <c r="W198" s="4"/>
      <c r="X198" s="4"/>
      <c r="Y198" s="4"/>
      <c r="Z198" s="4"/>
      <c r="AA198" s="4"/>
      <c r="AB198" s="4"/>
      <c r="AC198" s="4"/>
      <c r="AD198" s="4"/>
      <c r="AE198" s="4"/>
      <c r="AF198" s="4"/>
      <c r="AG198" s="4"/>
    </row>
    <row r="199" spans="1:33" ht="22.5" customHeight="1" x14ac:dyDescent="0.25">
      <c r="A199" s="2"/>
      <c r="B199" s="2"/>
      <c r="C199" s="2"/>
      <c r="D199" s="2"/>
      <c r="E199" s="2"/>
      <c r="F199" s="4"/>
      <c r="G199" s="4"/>
      <c r="H199" s="7" t="s">
        <v>76</v>
      </c>
      <c r="I199" s="4" t="str">
        <f ca="1">IFERROR(__xludf.DUMMYFUNCTION("GOOGLETRANSLATE(B199,""en"",""ar"")"),"هذه الصورة عرض قوي لـ...")</f>
        <v>هذه الصورة عرض قوي لـ...</v>
      </c>
      <c r="J199" s="4" t="str">
        <f ca="1">IFERROR(__xludf.DUMMYFUNCTION("GOOGLETRANSLATE(C199,""en"",""ar"")"),"أ) السرعة وخفة الحركة، ب) الرشاقة والأناقة، ج) القوة البدنية والتحمل، د) فن قتالي بدون احتكاك")</f>
        <v>أ) السرعة وخفة الحركة، ب) الرشاقة والأناقة، ج) القوة البدنية والتحمل، د) فن قتالي بدون احتكاك</v>
      </c>
      <c r="K199" s="4" t="str">
        <f ca="1">IFERROR(__xludf.DUMMYFUNCTION("GOOGLETRANSLATE(D199,""en"",""ar"")"),"ج) القوة البدنية والتحمل")</f>
        <v>ج) القوة البدنية والتحمل</v>
      </c>
      <c r="L199" s="4" t="str">
        <f ca="1">IFERROR(__xludf.DUMMYFUNCTION("GOOGLETRANSLATE(E199,""en"",""ar"")"),"ينصب التركيز بالكامل على القوة البدنية الهائلة والقدرة على التحمل اللازمة للتصارع مع خصم قوي.")</f>
        <v>ينصب التركيز بالكامل على القوة البدنية الهائلة والقدرة على التحمل اللازمة للتصارع مع خصم قوي.</v>
      </c>
      <c r="M199" s="4"/>
      <c r="N199" s="4"/>
      <c r="O199" s="4"/>
      <c r="P199" s="4"/>
      <c r="Q199" s="4"/>
      <c r="R199" s="4"/>
      <c r="S199" s="4"/>
      <c r="T199" s="4"/>
      <c r="U199" s="4"/>
      <c r="V199" s="4"/>
      <c r="W199" s="4"/>
      <c r="X199" s="4"/>
      <c r="Y199" s="4"/>
      <c r="Z199" s="4"/>
      <c r="AA199" s="4"/>
      <c r="AB199" s="4"/>
      <c r="AC199" s="4"/>
      <c r="AD199" s="4"/>
      <c r="AE199" s="4"/>
      <c r="AF199" s="4"/>
      <c r="AG199" s="4"/>
    </row>
    <row r="200" spans="1:33" ht="22.5" customHeight="1" x14ac:dyDescent="0.25">
      <c r="A200" s="2"/>
      <c r="B200" s="2"/>
      <c r="C200" s="2"/>
      <c r="D200" s="2"/>
      <c r="E200" s="2"/>
      <c r="F200" s="4"/>
      <c r="G200" s="4"/>
      <c r="H200" s="6" t="s">
        <v>76</v>
      </c>
      <c r="I200" s="4" t="str">
        <f ca="1">IFERROR(__xludf.DUMMYFUNCTION("GOOGLETRANSLATE(B200,""en"",""ar"")"),"تم وضع رؤوس المصارعين...")</f>
        <v>تم وضع رؤوس المصارعين...</v>
      </c>
      <c r="J200" s="4" t="str">
        <f ca="1">IFERROR(__xludf.DUMMYFUNCTION("GOOGLETRANSLATE(C200,""en"",""ar"")"),"أ) متباعدين عن بعضهم البعض، ب) متقاربين، متلاصقين، ج) ينظرون إلى السماء، د) ينظرون إلى الحشد")</f>
        <v>أ) متباعدين عن بعضهم البعض، ب) متقاربين، متلاصقين، ج) ينظرون إلى السماء، د) ينظرون إلى الحشد</v>
      </c>
      <c r="K200" s="4" t="str">
        <f ca="1">IFERROR(__xludf.DUMMYFUNCTION("GOOGLETRANSLATE(D200,""en"",""ar"")"),"ب) متقاربين، يضغطون على بعضهم البعض")</f>
        <v>ب) متقاربين، يضغطون على بعضهم البعض</v>
      </c>
      <c r="L200" s="4" t="str">
        <f ca="1">IFERROR(__xludf.DUMMYFUNCTION("GOOGLETRANSLATE(E200,""en"",""ar"")"),"في الاشتباكات القريبة، يضغط المصارعون رؤوسهم معًا للحصول على قوة أكبر والسيطرة.")</f>
        <v>في الاشتباكات القريبة، يضغط المصارعون رؤوسهم معًا للحصول على قوة أكبر والسيطرة.</v>
      </c>
      <c r="M200" s="4"/>
      <c r="N200" s="4"/>
      <c r="O200" s="4"/>
      <c r="P200" s="4"/>
      <c r="Q200" s="4"/>
      <c r="R200" s="4"/>
      <c r="S200" s="4"/>
      <c r="T200" s="4"/>
      <c r="U200" s="4"/>
      <c r="V200" s="4"/>
      <c r="W200" s="4"/>
      <c r="X200" s="4"/>
      <c r="Y200" s="4"/>
      <c r="Z200" s="4"/>
      <c r="AA200" s="4"/>
      <c r="AB200" s="4"/>
      <c r="AC200" s="4"/>
      <c r="AD200" s="4"/>
      <c r="AE200" s="4"/>
      <c r="AF200" s="4"/>
      <c r="AG200" s="4"/>
    </row>
    <row r="201" spans="1:33" ht="22.5" customHeight="1" x14ac:dyDescent="0.25">
      <c r="A201" s="2"/>
      <c r="B201" s="2"/>
      <c r="C201" s="2"/>
      <c r="D201" s="2"/>
      <c r="E201" s="2"/>
      <c r="F201" s="4"/>
      <c r="G201" s="4"/>
      <c r="H201" s="7" t="s">
        <v>76</v>
      </c>
      <c r="I201" s="4" t="str">
        <f ca="1">IFERROR(__xludf.DUMMYFUNCTION("GOOGLETRANSLATE(B201,""en"",""ar"")"),"يساعد عمق المجال الضحل (الخلفية الضبابية) على...")</f>
        <v>يساعد عمق المجال الضحل (الخلفية الضبابية) على...</v>
      </c>
      <c r="J201" s="4" t="str">
        <f ca="1">IFERROR(__xludf.DUMMYFUNCTION("GOOGLETRANSLATE(C201,""en"",""ar"")"),"أ) إظهار الحلبة بأكملها، ب) عزل المصارعين والتركيز على صراعهما، ج) إخفاء الحكم، د) جعل المصارعين ينظران إلى مسافة أبعد")</f>
        <v>أ) إظهار الحلبة بأكملها، ب) عزل المصارعين والتركيز على صراعهما، ج) إخفاء الحكم، د) جعل المصارعين ينظران إلى مسافة أبعد</v>
      </c>
      <c r="K201" s="4" t="str">
        <f ca="1">IFERROR(__xludf.DUMMYFUNCTION("GOOGLETRANSLATE(D201,""en"",""ar"")"),"ب) اعزل المصارعين وركز على صراعهما")</f>
        <v>ب) اعزل المصارعين وركز على صراعهما</v>
      </c>
      <c r="L201" s="4" t="str">
        <f ca="1">IFERROR(__xludf.DUMMYFUNCTION("GOOGLETRANSLATE(E201,""en"",""ar"")"),"من خلال تشويش صورة المتفرجين، يركز المصور انتباه المشاهد بالكامل على الصراع الشديد للقوة في المقدمة.")</f>
        <v>من خلال تشويش صورة المتفرجين، يركز المصور انتباه المشاهد بالكامل على الصراع الشديد للقوة في المقدمة.</v>
      </c>
      <c r="M201" s="4"/>
      <c r="N201" s="4"/>
      <c r="O201" s="4"/>
      <c r="P201" s="4"/>
      <c r="Q201" s="4"/>
      <c r="R201" s="4"/>
      <c r="S201" s="4"/>
      <c r="T201" s="4"/>
      <c r="U201" s="4"/>
      <c r="V201" s="4"/>
      <c r="W201" s="4"/>
      <c r="X201" s="4"/>
      <c r="Y201" s="4"/>
      <c r="Z201" s="4"/>
      <c r="AA201" s="4"/>
      <c r="AB201" s="4"/>
      <c r="AC201" s="4"/>
      <c r="AD201" s="4"/>
      <c r="AE201" s="4"/>
      <c r="AF201" s="4"/>
      <c r="AG201" s="4"/>
    </row>
    <row r="202" spans="1:33" ht="22.5" customHeight="1" x14ac:dyDescent="0.25">
      <c r="A202" s="2"/>
      <c r="B202" s="2"/>
      <c r="C202" s="2"/>
      <c r="D202" s="2"/>
      <c r="E202" s="2"/>
      <c r="F202" s="4"/>
      <c r="G202" s="4"/>
      <c r="H202" s="6" t="s">
        <v>77</v>
      </c>
      <c r="I202" s="4" t="str">
        <f ca="1">IFERROR(__xludf.DUMMYFUNCTION("GOOGLETRANSLATE(B202,""en"",""ar"")"),"ما هي المناورة المذهلة التي يقوم بها المصارع الذي يرتدي قميصًا أبيض بلا أكمام؟")</f>
        <v>ما هي المناورة المذهلة التي يقوم بها المصارع الذي يرتدي قميصًا أبيض بلا أكمام؟</v>
      </c>
      <c r="J202" s="4" t="str">
        <f ca="1">IFERROR(__xludf.DUMMYFUNCTION("GOOGLETRANSLATE(C202,""en"",""ar"")"),"أ) عرقلة بسيطة بالساق، ب) رمية ""طائرة"" عالية الارتفاع، ج) صدة دفاعية، د) مصافحة قبل المباراة")</f>
        <v>أ) عرقلة بسيطة بالساق، ب) رمية "طائرة" عالية الارتفاع، ج) صدة دفاعية، د) مصافحة قبل المباراة</v>
      </c>
      <c r="K202" s="4" t="str">
        <f ca="1">IFERROR(__xludf.DUMMYFUNCTION("GOOGLETRANSLATE(D202,""en"",""ar"")"),"ب) رمية ""طائرة"" ذات سعة عالية")</f>
        <v>ب) رمية "طائرة" ذات سعة عالية</v>
      </c>
      <c r="L202" s="4" t="str">
        <f ca="1">IFERROR(__xludf.DUMMYFUNCTION("GOOGLETRANSLATE(E202,""en"",""ar"")"),"هذه رمية رياضية وقوية بشكل لا يصدق حيث يتم رفع الخصم عالياً في الهواء، مما يُظهر ذروة تقنية هذه الرياضة.")</f>
        <v>هذه رمية رياضية وقوية بشكل لا يصدق حيث يتم رفع الخصم عالياً في الهواء، مما يُظهر ذروة تقنية هذه الرياضة.</v>
      </c>
      <c r="M202" s="4"/>
      <c r="N202" s="4"/>
      <c r="O202" s="4"/>
      <c r="P202" s="4"/>
      <c r="Q202" s="4"/>
      <c r="R202" s="4"/>
      <c r="S202" s="4"/>
      <c r="T202" s="4"/>
      <c r="U202" s="4"/>
      <c r="V202" s="4"/>
      <c r="W202" s="4"/>
      <c r="X202" s="4"/>
      <c r="Y202" s="4"/>
      <c r="Z202" s="4"/>
      <c r="AA202" s="4"/>
      <c r="AB202" s="4"/>
      <c r="AC202" s="4"/>
      <c r="AD202" s="4"/>
      <c r="AE202" s="4"/>
      <c r="AF202" s="4"/>
      <c r="AG202" s="4"/>
    </row>
    <row r="203" spans="1:33" ht="22.5" customHeight="1" x14ac:dyDescent="0.25">
      <c r="A203" s="2"/>
      <c r="B203" s="2"/>
      <c r="C203" s="2"/>
      <c r="D203" s="2"/>
      <c r="E203" s="2"/>
      <c r="F203" s="4"/>
      <c r="G203" s="4"/>
      <c r="H203" s="7" t="s">
        <v>77</v>
      </c>
      <c r="I203" s="4" t="str">
        <f ca="1">IFERROR(__xludf.DUMMYFUNCTION("GOOGLETRANSLATE(B203,""en"",""ar"")"),"ما هو الهدف النهائي من هذه الرمية؟")</f>
        <v>ما هو الهدف النهائي من هذه الرمية؟</v>
      </c>
      <c r="J203" s="4" t="str">
        <f ca="1">IFERROR(__xludf.DUMMYFUNCTION("GOOGLETRANSLATE(C203,""en"",""ar"")"),"أ) إنزال الخصم على قدميه، ب) إخراج الخصم من الحلبة، ج) جعل ظهر الخصم يلامس الرمل للفوز بالمباراة، د) إبقاء الخصم في الهواء لأطول فترة ممكنة")</f>
        <v>أ) إنزال الخصم على قدميه، ب) إخراج الخصم من الحلبة، ج) جعل ظهر الخصم يلامس الرمل للفوز بالمباراة، د) إبقاء الخصم في الهواء لأطول فترة ممكنة</v>
      </c>
      <c r="K203" s="4" t="str">
        <f ca="1">IFERROR(__xludf.DUMMYFUNCTION("GOOGLETRANSLATE(D203,""en"",""ar"")"),"ج) جعل ظهر الخصم يلامس الرمال للفوز بالمباراة")</f>
        <v>ج) جعل ظهر الخصم يلامس الرمال للفوز بالمباراة</v>
      </c>
      <c r="L203" s="4" t="str">
        <f ca="1">IFERROR(__xludf.DUMMYFUNCTION("GOOGLETRANSLATE(E203,""en"",""ar"")"),"يتحقق النصر في مصارعة النوبة عندما يلامس أي جزء من ظهر الخصم الأرض.")</f>
        <v>يتحقق النصر في مصارعة النوبة عندما يلامس أي جزء من ظهر الخصم الأرض.</v>
      </c>
      <c r="M203" s="4"/>
      <c r="N203" s="4"/>
      <c r="O203" s="4"/>
      <c r="P203" s="4"/>
      <c r="Q203" s="4"/>
      <c r="R203" s="4"/>
      <c r="S203" s="4"/>
      <c r="T203" s="4"/>
      <c r="U203" s="4"/>
      <c r="V203" s="4"/>
      <c r="W203" s="4"/>
      <c r="X203" s="4"/>
      <c r="Y203" s="4"/>
      <c r="Z203" s="4"/>
      <c r="AA203" s="4"/>
      <c r="AB203" s="4"/>
      <c r="AC203" s="4"/>
      <c r="AD203" s="4"/>
      <c r="AE203" s="4"/>
      <c r="AF203" s="4"/>
      <c r="AG203" s="4"/>
    </row>
    <row r="204" spans="1:33" ht="22.5" customHeight="1" x14ac:dyDescent="0.25">
      <c r="A204" s="2"/>
      <c r="B204" s="2"/>
      <c r="C204" s="2"/>
      <c r="D204" s="2"/>
      <c r="E204" s="2"/>
      <c r="F204" s="4"/>
      <c r="G204" s="4"/>
      <c r="H204" s="6" t="s">
        <v>77</v>
      </c>
      <c r="I204" s="4" t="str">
        <f ca="1">IFERROR(__xludf.DUMMYFUNCTION("GOOGLETRANSLATE(B204,""en"",""ar"")"),"تتطلب هذه الخطوة مزيجًا من...")</f>
        <v>تتطلب هذه الخطوة مزيجًا من...</v>
      </c>
      <c r="J204" s="4" t="str">
        <f ca="1">IFERROR(__xludf.DUMMYFUNCTION("GOOGLETRANSLATE(C204,""en"",""ar"")"),"أ) القوة والتوازن والتوقيت، ب) السرعة فقط، ج) الحظ فقط، د) القدرة على التحدث مع الخصم")</f>
        <v>أ) القوة والتوازن والتوقيت، ب) السرعة فقط، ج) الحظ فقط، د) القدرة على التحدث مع الخصم</v>
      </c>
      <c r="K204" s="4" t="str">
        <f ca="1">IFERROR(__xludf.DUMMYFUNCTION("GOOGLETRANSLATE(D204,""en"",""ar"")"),"أ) القوة والتوازن والتوقيت")</f>
        <v>أ) القوة والتوازن والتوقيت</v>
      </c>
      <c r="L204" s="4" t="str">
        <f ca="1">IFERROR(__xludf.DUMMYFUNCTION("GOOGLETRANSLATE(E204,""en"",""ar"")"),"إن تنفيذ رمية بهذه التعقيد والقوة يتطلب مزيجًا مثاليًا من القوة الخام للرفع، والتوقيت الدقيق للتنفيذ، والتوازن المذهل للبقاء واقفًا.")</f>
        <v>إن تنفيذ رمية بهذه التعقيد والقوة يتطلب مزيجًا مثاليًا من القوة الخام للرفع، والتوقيت الدقيق للتنفيذ، والتوازن المذهل للبقاء واقفًا.</v>
      </c>
      <c r="M204" s="4"/>
      <c r="N204" s="4"/>
      <c r="O204" s="4"/>
      <c r="P204" s="4"/>
      <c r="Q204" s="4"/>
      <c r="R204" s="4"/>
      <c r="S204" s="4"/>
      <c r="T204" s="4"/>
      <c r="U204" s="4"/>
      <c r="V204" s="4"/>
      <c r="W204" s="4"/>
      <c r="X204" s="4"/>
      <c r="Y204" s="4"/>
      <c r="Z204" s="4"/>
      <c r="AA204" s="4"/>
      <c r="AB204" s="4"/>
      <c r="AC204" s="4"/>
      <c r="AD204" s="4"/>
      <c r="AE204" s="4"/>
      <c r="AF204" s="4"/>
      <c r="AG204" s="4"/>
    </row>
    <row r="205" spans="1:33" ht="22.5" customHeight="1" x14ac:dyDescent="0.25">
      <c r="A205" s="2"/>
      <c r="B205" s="2"/>
      <c r="C205" s="2"/>
      <c r="D205" s="2"/>
      <c r="E205" s="2"/>
      <c r="F205" s="4"/>
      <c r="G205" s="4"/>
      <c r="H205" s="7" t="s">
        <v>77</v>
      </c>
      <c r="I205" s="4" t="str">
        <f ca="1">IFERROR(__xludf.DUMMYFUNCTION("GOOGLETRANSLATE(B205,""en"",""ar"")"),"ما الذي يمسك به المصارع بإحكام أثناء تنفيذ الرمية؟")</f>
        <v>ما الذي يمسك به المصارع بإحكام أثناء تنفيذ الرمية؟</v>
      </c>
      <c r="J205" s="4" t="str">
        <f ca="1">IFERROR(__xludf.DUMMYFUNCTION("GOOGLETRANSLATE(C205,""en"",""ar"")"),"أ) ساقي خصمه، ب) ذراعي خصمه، ج) خصر خصمه وجذعه، د) رأس خصمه")</f>
        <v>أ) ساقي خصمه، ب) ذراعي خصمه، ج) خصر خصمه وجذعه، د) رأس خصمه</v>
      </c>
      <c r="K205" s="4" t="str">
        <f ca="1">IFERROR(__xludf.DUMMYFUNCTION("GOOGLETRANSLATE(D205,""en"",""ar"")"),"ج) خصر وجذع خصمه")</f>
        <v>ج) خصر وجذع خصمه</v>
      </c>
      <c r="L205" s="4" t="str">
        <f ca="1">IFERROR(__xludf.DUMMYFUNCTION("GOOGLETRANSLATE(E205,""en"",""ar"")"),"يمسك بإحكام حول منتصف جسم الخصم، والذي يعمل كمركز ثقل للرفع والرمي.")</f>
        <v>يمسك بإحكام حول منتصف جسم الخصم، والذي يعمل كمركز ثقل للرفع والرمي.</v>
      </c>
      <c r="M205" s="4"/>
      <c r="N205" s="4"/>
      <c r="O205" s="4"/>
      <c r="P205" s="4"/>
      <c r="Q205" s="4"/>
      <c r="R205" s="4"/>
      <c r="S205" s="4"/>
      <c r="T205" s="4"/>
      <c r="U205" s="4"/>
      <c r="V205" s="4"/>
      <c r="W205" s="4"/>
      <c r="X205" s="4"/>
      <c r="Y205" s="4"/>
      <c r="Z205" s="4"/>
      <c r="AA205" s="4"/>
      <c r="AB205" s="4"/>
      <c r="AC205" s="4"/>
      <c r="AD205" s="4"/>
      <c r="AE205" s="4"/>
      <c r="AF205" s="4"/>
      <c r="AG205" s="4"/>
    </row>
    <row r="206" spans="1:33" ht="22.5" customHeight="1" x14ac:dyDescent="0.25">
      <c r="A206" s="2"/>
      <c r="B206" s="2"/>
      <c r="C206" s="2"/>
      <c r="D206" s="2"/>
      <c r="E206" s="2"/>
      <c r="F206" s="4"/>
      <c r="G206" s="4"/>
      <c r="H206" s="6" t="s">
        <v>77</v>
      </c>
      <c r="I206" s="4" t="str">
        <f ca="1">IFERROR(__xludf.DUMMYFUNCTION("GOOGLETRANSLATE(B206,""en"",""ar"")"),"تظهر الخلفية حشدًا كبيرًا خلف سياج أخضر، مما يشير إلى أن المباراة تجري في...")</f>
        <v>تظهر الخلفية حشدًا كبيرًا خلف سياج أخضر، مما يشير إلى أن المباراة تجري في...</v>
      </c>
      <c r="J206" s="4" t="str">
        <f ca="1">IFERROR(__xludf.DUMMYFUNCTION("GOOGLETRANSLATE(C206,""en"",""ar"")"),"أ) ساحة قرية تقليدية، ب) ساحة حديثة ورسمية، ج) منشأة تدريب خاصة، د) حديقة عامة")</f>
        <v>أ) ساحة قرية تقليدية، ب) ساحة حديثة ورسمية، ج) منشأة تدريب خاصة، د) حديقة عامة</v>
      </c>
      <c r="K206" s="4" t="str">
        <f ca="1">IFERROR(__xludf.DUMMYFUNCTION("GOOGLETRANSLATE(D206,""en"",""ar"")"),"ب) ساحة حديثة ورسمية")</f>
        <v>ب) ساحة حديثة ورسمية</v>
      </c>
      <c r="L206" s="4" t="str">
        <f ca="1">IFERROR(__xludf.DUMMYFUNCTION("GOOGLETRANSLATE(E206,""en"",""ar"")"),"يُعد السياج والمقاعد المنظمة لعدد كبير من المتفرجين من سمات حلبة مصارعة النوبة الحديثة.")</f>
        <v>يُعد السياج والمقاعد المنظمة لعدد كبير من المتفرجين من سمات حلبة مصارعة النوبة الحديثة.</v>
      </c>
      <c r="M206" s="4"/>
      <c r="N206" s="4"/>
      <c r="O206" s="4"/>
      <c r="P206" s="4"/>
      <c r="Q206" s="4"/>
      <c r="R206" s="4"/>
      <c r="S206" s="4"/>
      <c r="T206" s="4"/>
      <c r="U206" s="4"/>
      <c r="V206" s="4"/>
      <c r="W206" s="4"/>
      <c r="X206" s="4"/>
      <c r="Y206" s="4"/>
      <c r="Z206" s="4"/>
      <c r="AA206" s="4"/>
      <c r="AB206" s="4"/>
      <c r="AC206" s="4"/>
      <c r="AD206" s="4"/>
      <c r="AE206" s="4"/>
      <c r="AF206" s="4"/>
      <c r="AG206" s="4"/>
    </row>
    <row r="207" spans="1:33" ht="22.5" customHeight="1" x14ac:dyDescent="0.25">
      <c r="A207" s="2"/>
      <c r="B207" s="2"/>
      <c r="C207" s="2"/>
      <c r="D207" s="2"/>
      <c r="E207" s="2"/>
      <c r="F207" s="4"/>
      <c r="G207" s="4"/>
      <c r="H207" s="7" t="s">
        <v>77</v>
      </c>
      <c r="I207" s="4" t="str">
        <f ca="1">IFERROR(__xludf.DUMMYFUNCTION("GOOGLETRANSLATE(B207,""en"",""ar"")"),"كلا المصارعين في الهواء، مما يجسد...")</f>
        <v>كلا المصارعين في الهواء، مما يجسد...</v>
      </c>
      <c r="J207" s="4" t="str">
        <f ca="1">IFERROR(__xludf.DUMMYFUNCTION("GOOGLETRANSLATE(C207,""en"",""ar"")"),"أ) لحظة راحة، ب) ذروة النشاط الرياضي، ج) بداية المباراة، د) مخالفة للقواعد")</f>
        <v>أ) لحظة راحة، ب) ذروة النشاط الرياضي، ج) بداية المباراة، د) مخالفة للقواعد</v>
      </c>
      <c r="K207" s="4" t="str">
        <f ca="1">IFERROR(__xludf.DUMMYFUNCTION("GOOGLETRANSLATE(D207,""en"",""ar"")"),"ب) ذروة النشاط الرياضي")</f>
        <v>ب) ذروة النشاط الرياضي</v>
      </c>
      <c r="L207" s="4" t="str">
        <f ca="1">IFERROR(__xludf.DUMMYFUNCTION("GOOGLETRANSLATE(E207,""en"",""ar"")"),"هذه هي اللحظة الأكثر ديناميكية في المناورة، والتي جمدها المصور في الزمن.")</f>
        <v>هذه هي اللحظة الأكثر ديناميكية في المناورة، والتي جمدها المصور في الزمن.</v>
      </c>
      <c r="M207" s="4"/>
      <c r="N207" s="4"/>
      <c r="O207" s="4"/>
      <c r="P207" s="4"/>
      <c r="Q207" s="4"/>
      <c r="R207" s="4"/>
      <c r="S207" s="4"/>
      <c r="T207" s="4"/>
      <c r="U207" s="4"/>
      <c r="V207" s="4"/>
      <c r="W207" s="4"/>
      <c r="X207" s="4"/>
      <c r="Y207" s="4"/>
      <c r="Z207" s="4"/>
      <c r="AA207" s="4"/>
      <c r="AB207" s="4"/>
      <c r="AC207" s="4"/>
      <c r="AD207" s="4"/>
      <c r="AE207" s="4"/>
      <c r="AF207" s="4"/>
      <c r="AG207" s="4"/>
    </row>
    <row r="208" spans="1:33" ht="22.5" customHeight="1" x14ac:dyDescent="0.25">
      <c r="A208" s="2"/>
      <c r="B208" s="2"/>
      <c r="C208" s="2"/>
      <c r="D208" s="2"/>
      <c r="E208" s="2"/>
      <c r="F208" s="4"/>
      <c r="G208" s="4"/>
      <c r="H208" s="6" t="s">
        <v>77</v>
      </c>
      <c r="I208" s="4" t="str">
        <f ca="1">IFERROR(__xludf.DUMMYFUNCTION("GOOGLETRANSLATE(B208,""en"",""ar"")"),"ما لون الشورت الذي يرتديه المصارع الذي يتم طرحه أرضاً؟")</f>
        <v>ما لون الشورت الذي يرتديه المصارع الذي يتم طرحه أرضاً؟</v>
      </c>
      <c r="J208" s="4" t="str">
        <f ca="1">IFERROR(__xludf.DUMMYFUNCTION("GOOGLETRANSLATE(C208,""en"",""ar"")"),"أ) أحمر وأسود، ب) أخضر وأصفر، ج) أبيض سادة، د) أزرق")</f>
        <v>أ) أحمر وأسود، ب) أخضر وأصفر، ج) أبيض سادة، د) أزرق</v>
      </c>
      <c r="K208" s="4" t="str">
        <f ca="1">IFERROR(__xludf.DUMMYFUNCTION("GOOGLETRANSLATE(D208,""en"",""ar"")"),"ب) الأخضر والأصفر")</f>
        <v>ب) الأخضر والأصفر</v>
      </c>
      <c r="L208" s="4" t="str">
        <f ca="1">IFERROR(__xludf.DUMMYFUNCTION("GOOGLETRANSLATE(E208,""en"",""ar"")"),"يرتدي سروالاً قصيراً بلونين، أخضر من الخلف وأصفر من الأمام.")</f>
        <v>يرتدي سروالاً قصيراً بلونين، أخضر من الخلف وأصفر من الأمام.</v>
      </c>
      <c r="M208" s="4"/>
      <c r="N208" s="4"/>
      <c r="O208" s="4"/>
      <c r="P208" s="4"/>
      <c r="Q208" s="4"/>
      <c r="R208" s="4"/>
      <c r="S208" s="4"/>
      <c r="T208" s="4"/>
      <c r="U208" s="4"/>
      <c r="V208" s="4"/>
      <c r="W208" s="4"/>
      <c r="X208" s="4"/>
      <c r="Y208" s="4"/>
      <c r="Z208" s="4"/>
      <c r="AA208" s="4"/>
      <c r="AB208" s="4"/>
      <c r="AC208" s="4"/>
      <c r="AD208" s="4"/>
      <c r="AE208" s="4"/>
      <c r="AF208" s="4"/>
      <c r="AG208" s="4"/>
    </row>
    <row r="209" spans="1:33" ht="22.5" customHeight="1" x14ac:dyDescent="0.25">
      <c r="A209" s="2"/>
      <c r="B209" s="2"/>
      <c r="C209" s="2"/>
      <c r="D209" s="2"/>
      <c r="E209" s="2"/>
      <c r="F209" s="4"/>
      <c r="G209" s="4"/>
      <c r="H209" s="7" t="s">
        <v>77</v>
      </c>
      <c r="I209" s="4" t="str">
        <f ca="1">IFERROR(__xludf.DUMMYFUNCTION("GOOGLETRANSLATE(B209,""en"",""ar"")"),"يُظهر تناثر الرمال...")</f>
        <v>يُظهر تناثر الرمال...</v>
      </c>
      <c r="J209" s="4" t="str">
        <f ca="1">IFERROR(__xludf.DUMMYFUNCTION("GOOGLETRANSLATE(C209,""en"",""ar"")"),"أ) الأرض مبتلة، ب) القوة الانفجارية المتولدة من أقدام المصارعين، ج) الرياح تهب بشدة، د) تم استخدام مؤثر خاص")</f>
        <v>أ) الأرض مبتلة، ب) القوة الانفجارية المتولدة من أقدام المصارعين، ج) الرياح تهب بشدة، د) تم استخدام مؤثر خاص</v>
      </c>
      <c r="K209" s="4" t="str">
        <f ca="1">IFERROR(__xludf.DUMMYFUNCTION("GOOGLETRANSLATE(D209,""en"",""ar"")"),"ب) القوة الانفجارية المتولدة من أقدام المصارعين")</f>
        <v>ب) القوة الانفجارية المتولدة من أقدام المصارعين</v>
      </c>
      <c r="L209" s="4" t="str">
        <f ca="1">IFERROR(__xludf.DUMMYFUNCTION("GOOGLETRANSLATE(E209,""en"",""ar"")"),"إن الغبار ناتج عن القوة الهائلة التي تُبذل على الأرض لبدء عملية الرفع القوية هذه.")</f>
        <v>إن الغبار ناتج عن القوة الهائلة التي تُبذل على الأرض لبدء عملية الرفع القوية هذه.</v>
      </c>
      <c r="M209" s="4"/>
      <c r="N209" s="4"/>
      <c r="O209" s="4"/>
      <c r="P209" s="4"/>
      <c r="Q209" s="4"/>
      <c r="R209" s="4"/>
      <c r="S209" s="4"/>
      <c r="T209" s="4"/>
      <c r="U209" s="4"/>
      <c r="V209" s="4"/>
      <c r="W209" s="4"/>
      <c r="X209" s="4"/>
      <c r="Y209" s="4"/>
      <c r="Z209" s="4"/>
      <c r="AA209" s="4"/>
      <c r="AB209" s="4"/>
      <c r="AC209" s="4"/>
      <c r="AD209" s="4"/>
      <c r="AE209" s="4"/>
      <c r="AF209" s="4"/>
      <c r="AG209" s="4"/>
    </row>
    <row r="210" spans="1:33" ht="22.5" customHeight="1" x14ac:dyDescent="0.25">
      <c r="A210" s="2"/>
      <c r="B210" s="2"/>
      <c r="C210" s="2"/>
      <c r="D210" s="2"/>
      <c r="E210" s="2"/>
      <c r="F210" s="4"/>
      <c r="G210" s="4"/>
      <c r="H210" s="6" t="s">
        <v>77</v>
      </c>
      <c r="I210" s="4" t="str">
        <f ca="1">IFERROR(__xludf.DUMMYFUNCTION("GOOGLETRANSLATE(B210,""en"",""ar"")"),"تُعد خطوط الكهرباء المرئية في السماء علامة على...")</f>
        <v>تُعد خطوط الكهرباء المرئية في السماء علامة على...</v>
      </c>
      <c r="J210" s="4" t="str">
        <f ca="1">IFERROR(__xludf.DUMMYFUNCTION("GOOGLETRANSLATE(C210,""en"",""ar"")"),"أ) الطبيعة النائية وغير المطورة للموقع، ب) مزيج الرياضة التقليدية مع البيئة الحديثة، ج) اقتراب عاصفة، د) القرب من المطار")</f>
        <v>أ) الطبيعة النائية وغير المطورة للموقع، ب) مزيج الرياضة التقليدية مع البيئة الحديثة، ج) اقتراب عاصفة، د) القرب من المطار</v>
      </c>
      <c r="K210" s="4" t="str">
        <f ca="1">IFERROR(__xludf.DUMMYFUNCTION("GOOGLETRANSLATE(D210,""en"",""ar"")"),"ب) مزيج الرياضة التقليدية مع البيئة الحديثة")</f>
        <v>ب) مزيج الرياضة التقليدية مع البيئة الحديثة</v>
      </c>
      <c r="L210" s="4" t="str">
        <f ca="1">IFERROR(__xludf.DUMMYFUNCTION("GOOGLETRANSLATE(E210,""en"",""ar"")"),"تُقام منافسات المصارعة التقليدية في موقع يتمتع ببنية تحتية حديثة.")</f>
        <v>تُقام منافسات المصارعة التقليدية في موقع يتمتع ببنية تحتية حديثة.</v>
      </c>
      <c r="M210" s="4"/>
      <c r="N210" s="4"/>
      <c r="O210" s="4"/>
      <c r="P210" s="4"/>
      <c r="Q210" s="4"/>
      <c r="R210" s="4"/>
      <c r="S210" s="4"/>
      <c r="T210" s="4"/>
      <c r="U210" s="4"/>
      <c r="V210" s="4"/>
      <c r="W210" s="4"/>
      <c r="X210" s="4"/>
      <c r="Y210" s="4"/>
      <c r="Z210" s="4"/>
      <c r="AA210" s="4"/>
      <c r="AB210" s="4"/>
      <c r="AC210" s="4"/>
      <c r="AD210" s="4"/>
      <c r="AE210" s="4"/>
      <c r="AF210" s="4"/>
      <c r="AG210" s="4"/>
    </row>
    <row r="211" spans="1:33" ht="22.5" customHeight="1" x14ac:dyDescent="0.25">
      <c r="A211" s="2"/>
      <c r="B211" s="2"/>
      <c r="C211" s="2"/>
      <c r="D211" s="2"/>
      <c r="E211" s="2"/>
      <c r="F211" s="4"/>
      <c r="G211" s="4"/>
      <c r="H211" s="7" t="s">
        <v>77</v>
      </c>
      <c r="I211" s="4" t="str">
        <f ca="1">IFERROR(__xludf.DUMMYFUNCTION("GOOGLETRANSLATE(B211,""en"",""ar"")"),"تُظهر هذه الصورة بوضوح أن مصارعة النوبة ليست مجرد مصارعة، بل هي أيضاً...")</f>
        <v>تُظهر هذه الصورة بوضوح أن مصارعة النوبة ليست مجرد مصارعة، بل هي أيضاً...</v>
      </c>
      <c r="J211" s="4" t="str">
        <f ca="1">IFERROR(__xludf.DUMMYFUNCTION("GOOGLETRANSLATE(C211,""en"",""ar"")"),"أ) نوع من الجمباز، ب) رقصة بطيئة الإيقاع، ج) رياضة لا تتطلب احتكاكًا جسديًا، د) احتفالية بحتة")</f>
        <v>أ) نوع من الجمباز، ب) رقصة بطيئة الإيقاع، ج) رياضة لا تتطلب احتكاكًا جسديًا، د) احتفالية بحتة</v>
      </c>
      <c r="K211" s="4" t="str">
        <f ca="1">IFERROR(__xludf.DUMMYFUNCTION("GOOGLETRANSLATE(D211,""en"",""ar"")"),"أ) شكل من أشكال الجمباز")</f>
        <v>أ) شكل من أشكال الجمباز</v>
      </c>
      <c r="L211" s="4" t="str">
        <f ca="1">IFERROR(__xludf.DUMMYFUNCTION("GOOGLETRANSLATE(E211,""en"",""ar"")"),"إن مستوى اللياقة البدنية والمرونة والمهارة الهوائية التي تظهر في رميات كهذه تضاهي مستوى الجمباز أو الألعاب البهلوانية.")</f>
        <v>إن مستوى اللياقة البدنية والمرونة والمهارة الهوائية التي تظهر في رميات كهذه تضاهي مستوى الجمباز أو الألعاب البهلوانية.</v>
      </c>
      <c r="M211" s="4"/>
      <c r="N211" s="4"/>
      <c r="O211" s="4"/>
      <c r="P211" s="4"/>
      <c r="Q211" s="4"/>
      <c r="R211" s="4"/>
      <c r="S211" s="4"/>
      <c r="T211" s="4"/>
      <c r="U211" s="4"/>
      <c r="V211" s="4"/>
      <c r="W211" s="4"/>
      <c r="X211" s="4"/>
      <c r="Y211" s="4"/>
      <c r="Z211" s="4"/>
      <c r="AA211" s="4"/>
      <c r="AB211" s="4"/>
      <c r="AC211" s="4"/>
      <c r="AD211" s="4"/>
      <c r="AE211" s="4"/>
      <c r="AF211" s="4"/>
      <c r="AG211" s="4"/>
    </row>
    <row r="212" spans="1:33" ht="22.5" customHeight="1" x14ac:dyDescent="0.25">
      <c r="A212" s="2"/>
      <c r="B212" s="2"/>
      <c r="C212" s="2"/>
      <c r="D212" s="2"/>
      <c r="E212" s="2"/>
      <c r="F212" s="4"/>
      <c r="G212" s="4"/>
      <c r="H212" s="6" t="s">
        <v>78</v>
      </c>
      <c r="I212" s="4" t="str">
        <f ca="1">IFERROR(__xludf.DUMMYFUNCTION("GOOGLETRANSLATE(B212,""en"",""ar"")"),"جودة الصورة بالأبيض والأسود والحبيبية، بالإضافة إلى الملابس، توحي بأنها...")</f>
        <v>جودة الصورة بالأبيض والأسود والحبيبية، بالإضافة إلى الملابس، توحي بأنها...</v>
      </c>
      <c r="J212" s="4" t="str">
        <f ca="1">IFERROR(__xludf.DUMMYFUNCTION("GOOGLETRANSLATE(C212,""en"",""ar"")"),"أ) مباراة حديثة مع فلتر عتيق، ب) صورة تاريخية لمباراة احتفالية، ج) مباراة ليلية، د) صورة مُنشأة رقميًا")</f>
        <v>أ) مباراة حديثة مع فلتر عتيق، ب) صورة تاريخية لمباراة احتفالية، ج) مباراة ليلية، د) صورة مُنشأة رقميًا</v>
      </c>
      <c r="K212" s="4" t="str">
        <f ca="1">IFERROR(__xludf.DUMMYFUNCTION("GOOGLETRANSLATE(D212,""en"",""ar"")"),"ب) صورة تاريخية لمباراة احتفالية")</f>
        <v>ب) صورة تاريخية لمباراة احتفالية</v>
      </c>
      <c r="L212" s="4" t="str">
        <f ca="1">IFERROR(__xludf.DUMMYFUNCTION("GOOGLETRANSLATE(E212,""en"",""ar"")"),"تجسد هذه الصورة شكلاً تقليدياً وطقسياً للغاية من أشكال الرياضة في الماضي، ويتضح ذلك من خلال الزي وجودة الفيلم.")</f>
        <v>تجسد هذه الصورة شكلاً تقليدياً وطقسياً للغاية من أشكال الرياضة في الماضي، ويتضح ذلك من خلال الزي وجودة الفيلم.</v>
      </c>
      <c r="M212" s="4"/>
      <c r="N212" s="4"/>
      <c r="O212" s="4"/>
      <c r="P212" s="4"/>
      <c r="Q212" s="4"/>
      <c r="R212" s="4"/>
      <c r="S212" s="4"/>
      <c r="T212" s="4"/>
      <c r="U212" s="4"/>
      <c r="V212" s="4"/>
      <c r="W212" s="4"/>
      <c r="X212" s="4"/>
      <c r="Y212" s="4"/>
      <c r="Z212" s="4"/>
      <c r="AA212" s="4"/>
      <c r="AB212" s="4"/>
      <c r="AC212" s="4"/>
      <c r="AD212" s="4"/>
      <c r="AE212" s="4"/>
      <c r="AF212" s="4"/>
      <c r="AG212" s="4"/>
    </row>
    <row r="213" spans="1:33" ht="22.5" customHeight="1" x14ac:dyDescent="0.25">
      <c r="A213" s="2"/>
      <c r="B213" s="2"/>
      <c r="C213" s="2"/>
      <c r="D213" s="2"/>
      <c r="E213" s="2"/>
      <c r="F213" s="4"/>
      <c r="G213" s="4"/>
      <c r="H213" s="7" t="s">
        <v>78</v>
      </c>
      <c r="I213" s="4" t="str">
        <f ca="1">IFERROR(__xludf.DUMMYFUNCTION("GOOGLETRANSLATE(B213,""en"",""ar"")"),"ما هي الملابس التي يرتديها المصارعون والتي تتميز بطابعها الاحتفالي والزخرفي؟")</f>
        <v>ما هي الملابس التي يرتديها المصارعون والتي تتميز بطابعها الاحتفالي والزخرفي؟</v>
      </c>
      <c r="J213" s="4" t="str">
        <f ca="1">IFERROR(__xludf.DUMMYFUNCTION("GOOGLETRANSLATE(C213,""en"",""ar"")"),"أ) سراويل رياضية حديثة، ب) دروع ثقيلة، ج) الريش والفراء وغيرها من الزينة الطبيعية، د) لا شيء على الإطلاق")</f>
        <v>أ) سراويل رياضية حديثة، ب) دروع ثقيلة، ج) الريش والفراء وغيرها من الزينة الطبيعية، د) لا شيء على الإطلاق</v>
      </c>
      <c r="K213" s="4" t="str">
        <f ca="1">IFERROR(__xludf.DUMMYFUNCTION("GOOGLETRANSLATE(D213,""en"",""ar"")"),"ج) الريش والفراء والزينة الطبيعية الأخرى")</f>
        <v>ج) الريش والفراء والزينة الطبيعية الأخرى</v>
      </c>
      <c r="L213" s="4" t="str">
        <f ca="1">IFERROR(__xludf.DUMMYFUNCTION("GOOGLETRANSLATE(E213,""en"",""ar"")"),"يتزين المصارعون بعناصر تقليدية متقنة مثل أغطية الرأس المزينة بالريش وزينة ذيول الحيوانات، مما يشير إلى مناسبة خاصة.")</f>
        <v>يتزين المصارعون بعناصر تقليدية متقنة مثل أغطية الرأس المزينة بالريش وزينة ذيول الحيوانات، مما يشير إلى مناسبة خاصة.</v>
      </c>
      <c r="M213" s="4"/>
      <c r="N213" s="4"/>
      <c r="O213" s="4"/>
      <c r="P213" s="4"/>
      <c r="Q213" s="4"/>
      <c r="R213" s="4"/>
      <c r="S213" s="4"/>
      <c r="T213" s="4"/>
      <c r="U213" s="4"/>
      <c r="V213" s="4"/>
      <c r="W213" s="4"/>
      <c r="X213" s="4"/>
      <c r="Y213" s="4"/>
      <c r="Z213" s="4"/>
      <c r="AA213" s="4"/>
      <c r="AB213" s="4"/>
      <c r="AC213" s="4"/>
      <c r="AD213" s="4"/>
      <c r="AE213" s="4"/>
      <c r="AF213" s="4"/>
      <c r="AG213" s="4"/>
    </row>
    <row r="214" spans="1:33" ht="22.5" customHeight="1" x14ac:dyDescent="0.25">
      <c r="A214" s="2"/>
      <c r="B214" s="2"/>
      <c r="C214" s="2"/>
      <c r="D214" s="2"/>
      <c r="E214" s="2"/>
      <c r="F214" s="4"/>
      <c r="G214" s="4"/>
      <c r="H214" s="6" t="s">
        <v>78</v>
      </c>
      <c r="I214" s="4" t="str">
        <f ca="1">IFERROR(__xludf.DUMMYFUNCTION("GOOGLETRANSLATE(B214,""en"",""ar"")"),"ماذا يُعبّر عنه ضبابية الحركة في الصورة؟")</f>
        <v>ماذا يُعبّر عنه ضبابية الحركة في الصورة؟</v>
      </c>
      <c r="J214" s="4" t="str">
        <f ca="1">IFERROR(__xludf.DUMMYFUNCTION("GOOGLETRANSLATE(C214,""en"",""ar"")"),"أ) كانت يد المصور ترتجف، ب) الحركة السريعة والمكثفة للمصارعين، ج) كانت المباراة تُعرض بالحركة البطيئة، د) كانت الكاميرا غير واضحة")</f>
        <v>أ) كانت يد المصور ترتجف، ب) الحركة السريعة والمكثفة للمصارعين، ج) كانت المباراة تُعرض بالحركة البطيئة، د) كانت الكاميرا غير واضحة</v>
      </c>
      <c r="K214" s="4" t="str">
        <f ca="1">IFERROR(__xludf.DUMMYFUNCTION("GOOGLETRANSLATE(D214,""en"",""ar"")"),"ب) الحركة المكثفة والسريعة للمصارعين")</f>
        <v>ب) الحركة المكثفة والسريعة للمصارعين</v>
      </c>
      <c r="L214" s="4" t="str">
        <f ca="1">IFERROR(__xludf.DUMMYFUNCTION("GOOGLETRANSLATE(E214,""en"",""ar"")"),"إن التشويش ناتج عن تحرك المصارعين بسرعة أثناء التعريض، مما أدى إلى التقاط الطاقة الديناميكية للحظة.")</f>
        <v>إن التشويش ناتج عن تحرك المصارعين بسرعة أثناء التعريض، مما أدى إلى التقاط الطاقة الديناميكية للحظة.</v>
      </c>
      <c r="M214" s="4"/>
      <c r="N214" s="4"/>
      <c r="O214" s="4"/>
      <c r="P214" s="4"/>
      <c r="Q214" s="4"/>
      <c r="R214" s="4"/>
      <c r="S214" s="4"/>
      <c r="T214" s="4"/>
      <c r="U214" s="4"/>
      <c r="V214" s="4"/>
      <c r="W214" s="4"/>
      <c r="X214" s="4"/>
      <c r="Y214" s="4"/>
      <c r="Z214" s="4"/>
      <c r="AA214" s="4"/>
      <c r="AB214" s="4"/>
      <c r="AC214" s="4"/>
      <c r="AD214" s="4"/>
      <c r="AE214" s="4"/>
      <c r="AF214" s="4"/>
      <c r="AG214" s="4"/>
    </row>
    <row r="215" spans="1:33" ht="22.5" customHeight="1" x14ac:dyDescent="0.25">
      <c r="A215" s="2"/>
      <c r="B215" s="2"/>
      <c r="C215" s="2"/>
      <c r="D215" s="2"/>
      <c r="E215" s="2"/>
      <c r="F215" s="4"/>
      <c r="G215" s="4"/>
      <c r="H215" s="7" t="s">
        <v>78</v>
      </c>
      <c r="I215" s="4" t="str">
        <f ca="1">IFERROR(__xludf.DUMMYFUNCTION("GOOGLETRANSLATE(B215,""en"",""ar"")"),"من هم الأشخاص الذين يحملون الرماح في الخلفية؟")</f>
        <v>من هم الأشخاص الذين يحملون الرماح في الخلفية؟</v>
      </c>
      <c r="J215" s="4" t="str">
        <f ca="1">IFERROR(__xludf.DUMMYFUNCTION("GOOGLETRANSLATE(C215,""en"",""ar"")"),"أ) هم مصارعون آخرون ينتظرون دورهم في المنافسة، ب) هم حكام، ج) هم أفراد من المجتمع، ربما يعملون كحرس شرف أو مسؤولين، د) هم صيادون عابرون")</f>
        <v>أ) هم مصارعون آخرون ينتظرون دورهم في المنافسة، ب) هم حكام، ج) هم أفراد من المجتمع، ربما يعملون كحرس شرف أو مسؤولين، د) هم صيادون عابرون</v>
      </c>
      <c r="K215" s="4" t="str">
        <f ca="1">IFERROR(__xludf.DUMMYFUNCTION("GOOGLETRANSLATE(D215,""en"",""ar"")"),"ج) هم أعضاء في المجتمع، وربما يعملون كحرس شرف أو مسؤولين.")</f>
        <v>ج) هم أعضاء في المجتمع، وربما يعملون كحرس شرف أو مسؤولين.</v>
      </c>
      <c r="L215" s="4" t="str">
        <f ca="1">IFERROR(__xludf.DUMMYFUNCTION("GOOGLETRANSLATE(E215,""en"",""ar"")"),"في البيئات التقليدية، كان أعضاء المجتمع المحترمون، والذين كانوا مسلحين أحياناً بالرماح الاحتفالية، يحيطون بالمصارعين.")</f>
        <v>في البيئات التقليدية، كان أعضاء المجتمع المحترمون، والذين كانوا مسلحين أحياناً بالرماح الاحتفالية، يحيطون بالمصارعين.</v>
      </c>
      <c r="M215" s="4"/>
      <c r="N215" s="4"/>
      <c r="O215" s="4"/>
      <c r="P215" s="4"/>
      <c r="Q215" s="4"/>
      <c r="R215" s="4"/>
      <c r="S215" s="4"/>
      <c r="T215" s="4"/>
      <c r="U215" s="4"/>
      <c r="V215" s="4"/>
      <c r="W215" s="4"/>
      <c r="X215" s="4"/>
      <c r="Y215" s="4"/>
      <c r="Z215" s="4"/>
      <c r="AA215" s="4"/>
      <c r="AB215" s="4"/>
      <c r="AC215" s="4"/>
      <c r="AD215" s="4"/>
      <c r="AE215" s="4"/>
      <c r="AF215" s="4"/>
      <c r="AG215" s="4"/>
    </row>
    <row r="216" spans="1:33" ht="22.5" customHeight="1" x14ac:dyDescent="0.25">
      <c r="A216" s="2"/>
      <c r="B216" s="2"/>
      <c r="C216" s="2"/>
      <c r="D216" s="2"/>
      <c r="E216" s="2"/>
      <c r="F216" s="4"/>
      <c r="G216" s="4"/>
      <c r="H216" s="6" t="s">
        <v>78</v>
      </c>
      <c r="I216" s="4" t="str">
        <f ca="1">IFERROR(__xludf.DUMMYFUNCTION("GOOGLETRANSLATE(B216,""en"",""ar"")"),"الجو العام للمشهد هو...")</f>
        <v>الجو العام للمشهد هو...</v>
      </c>
      <c r="J216" s="4" t="str">
        <f ca="1">IFERROR(__xludf.DUMMYFUNCTION("GOOGLETRANSLATE(C216,""en"",""ar"")"),"أ) هادئ ومنظم، ب) شديد الطقوس وفوضوي، ج) حزين وكئيب، د) حديث وتجاري")</f>
        <v>أ) هادئ ومنظم، ب) شديد الطقوس وفوضوي، ج) حزين وكئيب، د) حديث وتجاري</v>
      </c>
      <c r="K216" s="4" t="str">
        <f ca="1">IFERROR(__xludf.DUMMYFUNCTION("GOOGLETRANSLATE(D216,""en"",""ar"")"),"ب) طقوسية وفوضوية للغاية")</f>
        <v>ب) طقوسية وفوضوية للغاية</v>
      </c>
      <c r="L216" s="4" t="str">
        <f ca="1">IFERROR(__xludf.DUMMYFUNCTION("GOOGLETRANSLATE(E216,""en"",""ar"")"),"يخلق مزيج الملابس الاحتفالية والحركة المكثفة والحشد المكتظ أجواءً طقوسية قوية.")</f>
        <v>يخلق مزيج الملابس الاحتفالية والحركة المكثفة والحشد المكتظ أجواءً طقوسية قوية.</v>
      </c>
      <c r="M216" s="4"/>
      <c r="N216" s="4"/>
      <c r="O216" s="4"/>
      <c r="P216" s="4"/>
      <c r="Q216" s="4"/>
      <c r="R216" s="4"/>
      <c r="S216" s="4"/>
      <c r="T216" s="4"/>
      <c r="U216" s="4"/>
      <c r="V216" s="4"/>
      <c r="W216" s="4"/>
      <c r="X216" s="4"/>
      <c r="Y216" s="4"/>
      <c r="Z216" s="4"/>
      <c r="AA216" s="4"/>
      <c r="AB216" s="4"/>
      <c r="AC216" s="4"/>
      <c r="AD216" s="4"/>
      <c r="AE216" s="4"/>
      <c r="AF216" s="4"/>
      <c r="AG216" s="4"/>
    </row>
    <row r="217" spans="1:33" ht="22.5" customHeight="1" x14ac:dyDescent="0.25">
      <c r="A217" s="2"/>
      <c r="B217" s="2"/>
      <c r="C217" s="2"/>
      <c r="D217" s="2"/>
      <c r="E217" s="2"/>
      <c r="F217" s="4"/>
      <c r="G217" s="4"/>
      <c r="H217" s="7" t="s">
        <v>78</v>
      </c>
      <c r="I217" s="4" t="str">
        <f ca="1">IFERROR(__xludf.DUMMYFUNCTION("GOOGLETRANSLATE(B217,""en"",""ar"")"),"يبدو أن المصارعة تجري في أين؟")</f>
        <v>يبدو أن المصارعة تجري في أين؟</v>
      </c>
      <c r="J217" s="4" t="str">
        <f ca="1">IFERROR(__xludf.DUMMYFUNCTION("GOOGLETRANSLATE(C217,""en"",""ar"")"),"أ) في ساحة حديثة مسيجة، ب) على منصة خشبية مرتفعة، ج) في ساحة قرية مفتوحة، د) في الداخل")</f>
        <v>أ) في ساحة حديثة مسيجة، ب) على منصة خشبية مرتفعة، ج) في ساحة قرية مفتوحة، د) في الداخل</v>
      </c>
      <c r="K217" s="4" t="str">
        <f ca="1">IFERROR(__xludf.DUMMYFUNCTION("GOOGLETRANSLATE(D217,""en"",""ar"")"),"ج) في فسحة مفتوحة في قرية")</f>
        <v>ج) في فسحة مفتوحة في قرية</v>
      </c>
      <c r="L217" s="4" t="str">
        <f ca="1">IFERROR(__xludf.DUMMYFUNCTION("GOOGLETRANSLATE(E217,""en"",""ar"")"),"المكان طبيعي تماماً، حيث يشكل المجتمع حدود مساحة المصارعة.")</f>
        <v>المكان طبيعي تماماً، حيث يشكل المجتمع حدود مساحة المصارعة.</v>
      </c>
      <c r="M217" s="4"/>
      <c r="N217" s="4"/>
      <c r="O217" s="4"/>
      <c r="P217" s="4"/>
      <c r="Q217" s="4"/>
      <c r="R217" s="4"/>
      <c r="S217" s="4"/>
      <c r="T217" s="4"/>
      <c r="U217" s="4"/>
      <c r="V217" s="4"/>
      <c r="W217" s="4"/>
      <c r="X217" s="4"/>
      <c r="Y217" s="4"/>
      <c r="Z217" s="4"/>
      <c r="AA217" s="4"/>
      <c r="AB217" s="4"/>
      <c r="AC217" s="4"/>
      <c r="AD217" s="4"/>
      <c r="AE217" s="4"/>
      <c r="AF217" s="4"/>
      <c r="AG217" s="4"/>
    </row>
    <row r="218" spans="1:33" ht="22.5" customHeight="1" x14ac:dyDescent="0.25">
      <c r="A218" s="2"/>
      <c r="B218" s="2"/>
      <c r="C218" s="2"/>
      <c r="D218" s="2"/>
      <c r="E218" s="2"/>
      <c r="F218" s="4"/>
      <c r="G218" s="4"/>
      <c r="H218" s="6" t="s">
        <v>78</v>
      </c>
      <c r="I218" s="4" t="str">
        <f ca="1">IFERROR(__xludf.DUMMYFUNCTION("GOOGLETRANSLATE(B218,""en"",""ar"")"),"ما هو الهدف الأساسي في هذا الصراع؟")</f>
        <v>ما هو الهدف الأساسي في هذا الصراع؟</v>
      </c>
      <c r="J218" s="4" t="str">
        <f ca="1">IFERROR(__xludf.DUMMYFUNCTION("GOOGLETRANSLATE(C218,""en"",""ar"")"),"أ) تثبيت الخصم لأطول فترة ممكنة، ب) دفع الخصم خارج الدائرة، ج) رمي الخصم على ظهره، د) إضحاك الخصم")</f>
        <v>أ) تثبيت الخصم لأطول فترة ممكنة، ب) دفع الخصم خارج الدائرة، ج) رمي الخصم على ظهره، د) إضحاك الخصم</v>
      </c>
      <c r="K218" s="4" t="str">
        <f ca="1">IFERROR(__xludf.DUMMYFUNCTION("GOOGLETRANSLATE(D218,""en"",""ar"")"),"ج) إلقاء الخصم على ظهره")</f>
        <v>ج) إلقاء الخصم على ظهره</v>
      </c>
      <c r="L218" s="4" t="str">
        <f ca="1">IFERROR(__xludf.DUMMYFUNCTION("GOOGLETRANSLATE(E218,""en"",""ar"")"),"على الرغم من العناصر الطقوسية، إلا أن الهدف الأساسي للرياضة يبقى كما هو: تحقيق إسقاط الخصم أرضاً.")</f>
        <v>على الرغم من العناصر الطقوسية، إلا أن الهدف الأساسي للرياضة يبقى كما هو: تحقيق إسقاط الخصم أرضاً.</v>
      </c>
      <c r="M218" s="4"/>
      <c r="N218" s="4"/>
      <c r="O218" s="4"/>
      <c r="P218" s="4"/>
      <c r="Q218" s="4"/>
      <c r="R218" s="4"/>
      <c r="S218" s="4"/>
      <c r="T218" s="4"/>
      <c r="U218" s="4"/>
      <c r="V218" s="4"/>
      <c r="W218" s="4"/>
      <c r="X218" s="4"/>
      <c r="Y218" s="4"/>
      <c r="Z218" s="4"/>
      <c r="AA218" s="4"/>
      <c r="AB218" s="4"/>
      <c r="AC218" s="4"/>
      <c r="AD218" s="4"/>
      <c r="AE218" s="4"/>
      <c r="AF218" s="4"/>
      <c r="AG218" s="4"/>
    </row>
    <row r="219" spans="1:33" ht="22.5" customHeight="1" x14ac:dyDescent="0.25">
      <c r="A219" s="2"/>
      <c r="B219" s="2"/>
      <c r="C219" s="2"/>
      <c r="D219" s="2"/>
      <c r="E219" s="2"/>
      <c r="F219" s="4"/>
      <c r="G219" s="4"/>
      <c r="H219" s="7" t="s">
        <v>78</v>
      </c>
      <c r="I219" s="4" t="str">
        <f ca="1">IFERROR(__xludf.DUMMYFUNCTION("GOOGLETRANSLATE(B219,""en"",""ar"")"),"تُبرز هذه الصورة العلاقة الوثيقة بين مصارعة النوبة و...")</f>
        <v>تُبرز هذه الصورة العلاقة الوثيقة بين مصارعة النوبة و...</v>
      </c>
      <c r="J219" s="4" t="str">
        <f ca="1">IFERROR(__xludf.DUMMYFUNCTION("GOOGLETRANSLATE(C219,""en"",""ar"")"),"أ) علوم الرياضة الحديثة، ب) الرعاية التجارية، ج) الطقوس والاحتفالات وهوية المجتمع، د) المنافسة الدولية")</f>
        <v>أ) علوم الرياضة الحديثة، ب) الرعاية التجارية، ج) الطقوس والاحتفالات وهوية المجتمع، د) المنافسة الدولية</v>
      </c>
      <c r="K219" s="4" t="str">
        <f ca="1">IFERROR(__xludf.DUMMYFUNCTION("GOOGLETRANSLATE(D219,""en"",""ar"")"),"ج) الطقوس والاحتفالات وهوية المجتمع")</f>
        <v>ج) الطقوس والاحتفالات وهوية المجتمع</v>
      </c>
      <c r="L219" s="4" t="str">
        <f ca="1">IFERROR(__xludf.DUMMYFUNCTION("GOOGLETRANSLATE(E219,""en"",""ar"")"),"هذا أكثر من مجرد رياضة؛ إنه عرض ثقافي، وطقوس عبور، وجزء أساسي من تراث المجتمع.")</f>
        <v>هذا أكثر من مجرد رياضة؛ إنه عرض ثقافي، وطقوس عبور، وجزء أساسي من تراث المجتمع.</v>
      </c>
      <c r="M219" s="4"/>
      <c r="N219" s="4"/>
      <c r="O219" s="4"/>
      <c r="P219" s="4"/>
      <c r="Q219" s="4"/>
      <c r="R219" s="4"/>
      <c r="S219" s="4"/>
      <c r="T219" s="4"/>
      <c r="U219" s="4"/>
      <c r="V219" s="4"/>
      <c r="W219" s="4"/>
      <c r="X219" s="4"/>
      <c r="Y219" s="4"/>
      <c r="Z219" s="4"/>
      <c r="AA219" s="4"/>
      <c r="AB219" s="4"/>
      <c r="AC219" s="4"/>
      <c r="AD219" s="4"/>
      <c r="AE219" s="4"/>
      <c r="AF219" s="4"/>
      <c r="AG219" s="4"/>
    </row>
    <row r="220" spans="1:33" ht="22.5" customHeight="1" x14ac:dyDescent="0.25">
      <c r="A220" s="2"/>
      <c r="B220" s="2"/>
      <c r="C220" s="2"/>
      <c r="D220" s="2"/>
      <c r="E220" s="2"/>
      <c r="F220" s="4"/>
      <c r="G220" s="4"/>
      <c r="H220" s="6" t="s">
        <v>78</v>
      </c>
      <c r="I220" s="4" t="str">
        <f ca="1">IFERROR(__xludf.DUMMYFUNCTION("GOOGLETRANSLATE(B220,""en"",""ar"")"),"يُضفي الغبار أو الدخان الموجود في الهواء مزيداً من الواقعية على المشهد...")</f>
        <v>يُضفي الغبار أو الدخان الموجود في الهواء مزيداً من الواقعية على المشهد...</v>
      </c>
      <c r="J220" s="4" t="str">
        <f ca="1">IFERROR(__xludf.DUMMYFUNCTION("GOOGLETRANSLATE(C220,""en"",""ar"")"),"أ) إحساس بالنظافة، ب) طابع عصري، ج) جو درامي وغامض، د) مزاج فكاهي")</f>
        <v>أ) إحساس بالنظافة، ب) طابع عصري، ج) جو درامي وغامض، د) مزاج فكاهي</v>
      </c>
      <c r="K220" s="4" t="str">
        <f ca="1">IFERROR(__xludf.DUMMYFUNCTION("GOOGLETRANSLATE(D220,""en"",""ar"")"),"ج) جو درامي وغامض")</f>
        <v>ج) جو درامي وغامض</v>
      </c>
      <c r="L220" s="4" t="str">
        <f ca="1">IFERROR(__xludf.DUMMYFUNCTION("GOOGLETRANSLATE(E220,""en"",""ar"")"),"يُخفي الهواء الضبابي التفاصيل ويضيف إلى الشعور الخام والخالد والقوي للصورة.")</f>
        <v>يُخفي الهواء الضبابي التفاصيل ويضيف إلى الشعور الخام والخالد والقوي للصورة.</v>
      </c>
      <c r="M220" s="4"/>
      <c r="N220" s="4"/>
      <c r="O220" s="4"/>
      <c r="P220" s="4"/>
      <c r="Q220" s="4"/>
      <c r="R220" s="4"/>
      <c r="S220" s="4"/>
      <c r="T220" s="4"/>
      <c r="U220" s="4"/>
      <c r="V220" s="4"/>
      <c r="W220" s="4"/>
      <c r="X220" s="4"/>
      <c r="Y220" s="4"/>
      <c r="Z220" s="4"/>
      <c r="AA220" s="4"/>
      <c r="AB220" s="4"/>
      <c r="AC220" s="4"/>
      <c r="AD220" s="4"/>
      <c r="AE220" s="4"/>
      <c r="AF220" s="4"/>
      <c r="AG220" s="4"/>
    </row>
    <row r="221" spans="1:33" ht="22.5" customHeight="1" x14ac:dyDescent="0.25">
      <c r="A221" s="2"/>
      <c r="B221" s="2"/>
      <c r="C221" s="2"/>
      <c r="D221" s="2"/>
      <c r="E221" s="2"/>
      <c r="F221" s="4"/>
      <c r="G221" s="4"/>
      <c r="H221" s="7" t="s">
        <v>78</v>
      </c>
      <c r="I221" s="4" t="str">
        <f ca="1">IFERROR(__xludf.DUMMYFUNCTION("GOOGLETRANSLATE(B221,""en"",""ar"")"),"أجساد المصارعين...")</f>
        <v>أجساد المصارعين...</v>
      </c>
      <c r="J221" s="4" t="str">
        <f ca="1">IFERROR(__xludf.DUMMYFUNCTION("GOOGLETRANSLATE(C221,""en"",""ar"")"),"أ) مغطاة بملابس رياضية حديثة، ب) مطلية بألوان زاهية، ج) مزينة بأشياء تقليدية ولكنها عارية في باقي جسدها، د) مخفية بأردية ثقيلة")</f>
        <v>أ) مغطاة بملابس رياضية حديثة، ب) مطلية بألوان زاهية، ج) مزينة بأشياء تقليدية ولكنها عارية في باقي جسدها، د) مخفية بأردية ثقيلة</v>
      </c>
      <c r="K221" s="4" t="str">
        <f ca="1">IFERROR(__xludf.DUMMYFUNCTION("GOOGLETRANSLATE(D221,""en"",""ar"")"),"ج) مزينة بعناصر تقليدية ولكنها خالية من العناصر الأخرى")</f>
        <v>ج) مزينة بعناصر تقليدية ولكنها خالية من العناصر الأخرى</v>
      </c>
      <c r="L221" s="4" t="str">
        <f ca="1">IFERROR(__xludf.DUMMYFUNCTION("GOOGLETRANSLATE(E221,""en"",""ar"")"),"ملابسهم بسيطة، وتركز على العناصر الزخرفية التقليدية بدلاً من الملابس الحديثة.")</f>
        <v>ملابسهم بسيطة، وتركز على العناصر الزخرفية التقليدية بدلاً من الملابس الحديثة.</v>
      </c>
      <c r="M221" s="4"/>
      <c r="N221" s="4"/>
      <c r="O221" s="4"/>
      <c r="P221" s="4"/>
      <c r="Q221" s="4"/>
      <c r="R221" s="4"/>
      <c r="S221" s="4"/>
      <c r="T221" s="4"/>
      <c r="U221" s="4"/>
      <c r="V221" s="4"/>
      <c r="W221" s="4"/>
      <c r="X221" s="4"/>
      <c r="Y221" s="4"/>
      <c r="Z221" s="4"/>
      <c r="AA221" s="4"/>
      <c r="AB221" s="4"/>
      <c r="AC221" s="4"/>
      <c r="AD221" s="4"/>
      <c r="AE221" s="4"/>
      <c r="AF221" s="4"/>
      <c r="AG221" s="4"/>
    </row>
    <row r="222" spans="1:33" ht="22.5" customHeight="1" x14ac:dyDescent="0.25">
      <c r="A222" s="2"/>
      <c r="B222" s="2"/>
      <c r="C222" s="2"/>
      <c r="D222" s="2"/>
      <c r="E222" s="2"/>
      <c r="F222" s="4"/>
      <c r="G222" s="4"/>
      <c r="H222" s="6" t="s">
        <v>79</v>
      </c>
      <c r="I222" s="4" t="str">
        <f ca="1">IFERROR(__xludf.DUMMYFUNCTION("GOOGLETRANSLATE(B222,""en"",""ar"")"),"ما هي السمة الأكثر تميزاً في زي المصارعين؟")</f>
        <v>ما هي السمة الأكثر تميزاً في زي المصارعين؟</v>
      </c>
      <c r="J222" s="4" t="str">
        <f ca="1">IFERROR(__xludf.DUMMYFUNCTION("GOOGLETRANSLATE(C222,""en"",""ar"")"),"أ) يرتدون قمصانًا بلا أكمام وسراويل قصيرة عصرية، ب) يرتدون مآزر مصنوعة من جلد النمر، ج) يرتدون ملابس ثقيلة مبطنة، د) يرتدون بدلات رسمية")</f>
        <v>أ) يرتدون قمصانًا بلا أكمام وسراويل قصيرة عصرية، ب) يرتدون مآزر مصنوعة من جلد النمر، ج) يرتدون ملابس ثقيلة مبطنة، د) يرتدون بدلات رسمية</v>
      </c>
      <c r="K222" s="4" t="str">
        <f ca="1">IFERROR(__xludf.DUMMYFUNCTION("GOOGLETRANSLATE(D222,""en"",""ar"")"),"ب) إنهم يرتدون مآزر مصنوعة من جلد النمر")</f>
        <v>ب) إنهم يرتدون مآزر مصنوعة من جلد النمر</v>
      </c>
      <c r="L222" s="4" t="str">
        <f ca="1">IFERROR(__xludf.DUMMYFUNCTION("GOOGLETRANSLATE(E222,""en"",""ar"")"),"يرتدي كلا المصارعين ملابس تقليدية مصنوعة من جلود النمور.")</f>
        <v>يرتدي كلا المصارعين ملابس تقليدية مصنوعة من جلود النمور.</v>
      </c>
      <c r="M222" s="4"/>
      <c r="N222" s="4"/>
      <c r="O222" s="4"/>
      <c r="P222" s="4"/>
      <c r="Q222" s="4"/>
      <c r="R222" s="4"/>
      <c r="S222" s="4"/>
      <c r="T222" s="4"/>
      <c r="U222" s="4"/>
      <c r="V222" s="4"/>
      <c r="W222" s="4"/>
      <c r="X222" s="4"/>
      <c r="Y222" s="4"/>
      <c r="Z222" s="4"/>
      <c r="AA222" s="4"/>
      <c r="AB222" s="4"/>
      <c r="AC222" s="4"/>
      <c r="AD222" s="4"/>
      <c r="AE222" s="4"/>
      <c r="AF222" s="4"/>
      <c r="AG222" s="4"/>
    </row>
    <row r="223" spans="1:33" ht="22.5" customHeight="1" x14ac:dyDescent="0.25">
      <c r="A223" s="2"/>
      <c r="B223" s="2"/>
      <c r="C223" s="2"/>
      <c r="D223" s="2"/>
      <c r="E223" s="2"/>
      <c r="F223" s="4"/>
      <c r="G223" s="4"/>
      <c r="H223" s="7" t="s">
        <v>79</v>
      </c>
      <c r="I223" s="4" t="str">
        <f ca="1">IFERROR(__xludf.DUMMYFUNCTION("GOOGLETRANSLATE(B223,""en"",""ar"")"),"في العديد من الثقافات، بما في ذلك ثقافة النوبة، ماذا يرمز النمر؟")</f>
        <v>في العديد من الثقافات، بما في ذلك ثقافة النوبة، ماذا يرمز النمر؟</v>
      </c>
      <c r="J223" s="4" t="str">
        <f ca="1">IFERROR(__xludf.DUMMYFUNCTION("GOOGLETRANSLATE(C223,""en"",""ar"")"),"أ) السلام والطمأنينة، ب) الضعف والخوف، ج) القوة والسلطة والمكانة الرفيعة، د) التواضع والحياء")</f>
        <v>أ) السلام والطمأنينة، ب) الضعف والخوف، ج) القوة والسلطة والمكانة الرفيعة، د) التواضع والحياء</v>
      </c>
      <c r="K223" s="4" t="str">
        <f ca="1">IFERROR(__xludf.DUMMYFUNCTION("GOOGLETRANSLATE(D223,""en"",""ar"")"),"ج) القوة والسلطة والمكانة الرفيعة")</f>
        <v>ج) القوة والسلطة والمكانة الرفيعة</v>
      </c>
      <c r="L223" s="4" t="str">
        <f ca="1">IFERROR(__xludf.DUMMYFUNCTION("GOOGLETRANSLATE(E223,""en"",""ar"")"),"ارتداء جلد حيوان مفترس قوي كالنمر هو وسيلة يستخدمها المصارع للدلالة على قوته وبراعته. 🐆")</f>
        <v>ارتداء جلد حيوان مفترس قوي كالنمر هو وسيلة يستخدمها المصارع للدلالة على قوته وبراعته. 🐆</v>
      </c>
      <c r="M223" s="4"/>
      <c r="N223" s="4"/>
      <c r="O223" s="4"/>
      <c r="P223" s="4"/>
      <c r="Q223" s="4"/>
      <c r="R223" s="4"/>
      <c r="S223" s="4"/>
      <c r="T223" s="4"/>
      <c r="U223" s="4"/>
      <c r="V223" s="4"/>
      <c r="W223" s="4"/>
      <c r="X223" s="4"/>
      <c r="Y223" s="4"/>
      <c r="Z223" s="4"/>
      <c r="AA223" s="4"/>
      <c r="AB223" s="4"/>
      <c r="AC223" s="4"/>
      <c r="AD223" s="4"/>
      <c r="AE223" s="4"/>
      <c r="AF223" s="4"/>
      <c r="AG223" s="4"/>
    </row>
    <row r="224" spans="1:33" ht="22.5" customHeight="1" x14ac:dyDescent="0.25">
      <c r="A224" s="2"/>
      <c r="B224" s="2"/>
      <c r="C224" s="2"/>
      <c r="D224" s="2"/>
      <c r="E224" s="2"/>
      <c r="F224" s="4"/>
      <c r="G224" s="4"/>
      <c r="H224" s="6" t="s">
        <v>79</v>
      </c>
      <c r="I224" s="4" t="str">
        <f ca="1">IFERROR(__xludf.DUMMYFUNCTION("GOOGLETRANSLATE(B224,""en"",""ar"")"),"من هو الشخص الذي يرتدي القميص الوردي في الخلفية؟")</f>
        <v>من هو الشخص الذي يرتدي القميص الوردي في الخلفية؟</v>
      </c>
      <c r="J224" s="4" t="str">
        <f ca="1">IFERROR(__xludf.DUMMYFUNCTION("GOOGLETRANSLATE(C224,""en"",""ar"")"),"أ) متفرج، ب) مدرب، ج) حكم، د) مصارع آخر")</f>
        <v>أ) متفرج، ب) مدرب، ج) حكم، د) مصارع آخر</v>
      </c>
      <c r="K224" s="4" t="str">
        <f ca="1">IFERROR(__xludf.DUMMYFUNCTION("GOOGLETRANSLATE(D224,""en"",""ar"")"),"ج) الحكم")</f>
        <v>ج) الحكم</v>
      </c>
      <c r="L224" s="4" t="str">
        <f ca="1">IFERROR(__xludf.DUMMYFUNCTION("GOOGLETRANSLATE(E224,""en"",""ar"")"),"إنه يقف في الحلبة ويراقب المباراة، ويؤدي دور الحكم.")</f>
        <v>إنه يقف في الحلبة ويراقب المباراة، ويؤدي دور الحكم.</v>
      </c>
      <c r="M224" s="4"/>
      <c r="N224" s="4"/>
      <c r="O224" s="4"/>
      <c r="P224" s="4"/>
      <c r="Q224" s="4"/>
      <c r="R224" s="4"/>
      <c r="S224" s="4"/>
      <c r="T224" s="4"/>
      <c r="U224" s="4"/>
      <c r="V224" s="4"/>
      <c r="W224" s="4"/>
      <c r="X224" s="4"/>
      <c r="Y224" s="4"/>
      <c r="Z224" s="4"/>
      <c r="AA224" s="4"/>
      <c r="AB224" s="4"/>
      <c r="AC224" s="4"/>
      <c r="AD224" s="4"/>
      <c r="AE224" s="4"/>
      <c r="AF224" s="4"/>
      <c r="AG224" s="4"/>
    </row>
    <row r="225" spans="1:33" ht="22.5" customHeight="1" x14ac:dyDescent="0.25">
      <c r="A225" s="2"/>
      <c r="B225" s="2"/>
      <c r="C225" s="2"/>
      <c r="D225" s="2"/>
      <c r="E225" s="2"/>
      <c r="F225" s="4"/>
      <c r="G225" s="4"/>
      <c r="H225" s="7" t="s">
        <v>79</v>
      </c>
      <c r="I225" s="4" t="str">
        <f ca="1">IFERROR(__xludf.DUMMYFUNCTION("GOOGLETRANSLATE(B225,""en"",""ar"")"),"ما هي طبيعة سطح أرضية منطقة المصارعة؟")</f>
        <v>ما هي طبيعة سطح أرضية منطقة المصارعة؟</v>
      </c>
      <c r="J225" s="4" t="str">
        <f ca="1">IFERROR(__xludf.DUMMYFUNCTION("GOOGLETRANSLATE(C225,""en"",""ar"")"),"أ) سطح صخري صلب، ب) حقل عشبي، ج) منصة خشبية، د) فسحة أرض جرداء مغبرة")</f>
        <v>أ) سطح صخري صلب، ب) حقل عشبي، ج) منصة خشبية، د) فسحة أرض جرداء مغبرة</v>
      </c>
      <c r="K225" s="4" t="str">
        <f ca="1">IFERROR(__xludf.DUMMYFUNCTION("GOOGLETRANSLATE(D225,""en"",""ar"")"),"د) فسحة أرض جرداء مغبرة")</f>
        <v>د) فسحة أرض جرداء مغبرة</v>
      </c>
      <c r="L225" s="4" t="str">
        <f ca="1">IFERROR(__xludf.DUMMYFUNCTION("GOOGLETRANSLATE(E225,""en"",""ar"")"),"إن الغبار المتصاعد يدل على أنهم يتصارعون على أرض طبيعية غير مُجهزة.")</f>
        <v>إن الغبار المتصاعد يدل على أنهم يتصارعون على أرض طبيعية غير مُجهزة.</v>
      </c>
      <c r="M225" s="4"/>
      <c r="N225" s="4"/>
      <c r="O225" s="4"/>
      <c r="P225" s="4"/>
      <c r="Q225" s="4"/>
      <c r="R225" s="4"/>
      <c r="S225" s="4"/>
      <c r="T225" s="4"/>
      <c r="U225" s="4"/>
      <c r="V225" s="4"/>
      <c r="W225" s="4"/>
      <c r="X225" s="4"/>
      <c r="Y225" s="4"/>
      <c r="Z225" s="4"/>
      <c r="AA225" s="4"/>
      <c r="AB225" s="4"/>
      <c r="AC225" s="4"/>
      <c r="AD225" s="4"/>
      <c r="AE225" s="4"/>
      <c r="AF225" s="4"/>
      <c r="AG225" s="4"/>
    </row>
    <row r="226" spans="1:33" ht="22.5" customHeight="1" x14ac:dyDescent="0.25">
      <c r="A226" s="2"/>
      <c r="B226" s="2"/>
      <c r="C226" s="2"/>
      <c r="D226" s="2"/>
      <c r="E226" s="2"/>
      <c r="F226" s="4"/>
      <c r="G226" s="4"/>
      <c r="H226" s="6" t="s">
        <v>79</v>
      </c>
      <c r="I226" s="4" t="str">
        <f ca="1">IFERROR(__xludf.DUMMYFUNCTION("GOOGLETRANSLATE(B226,""en"",""ar"")"),"ماذا يفعل المصارعون؟")</f>
        <v>ماذا يفعل المصارعون؟</v>
      </c>
      <c r="J226" s="4" t="str">
        <f ca="1">IFERROR(__xludf.DUMMYFUNCTION("GOOGLETRANSLATE(C226,""en"",""ar"")"),"أ) يتصافحون، ب) هم في وضعية انحناء منخفضة، ج) يحتفلون بالنصر، د) يؤدون رقصة طقسية")</f>
        <v>أ) يتصافحون، ب) هم في وضعية انحناء منخفضة، ج) يحتفلون بالنصر، د) يؤدون رقصة طقسية</v>
      </c>
      <c r="K226" s="4" t="str">
        <f ca="1">IFERROR(__xludf.DUMMYFUNCTION("GOOGLETRANSLATE(D226,""en"",""ar"")"),"ب) إنهم في وضعية اشتباك منخفضة ومنخفضة.")</f>
        <v>ب) إنهم في وضعية اشتباك منخفضة ومنخفضة.</v>
      </c>
      <c r="L226" s="4" t="str">
        <f ca="1">IFERROR(__xludf.DUMMYFUNCTION("GOOGLETRANSLATE(E226,""en"",""ar"")"),"إنهم يخوضون صراعاً، ويحاول كل منهم الحصول على القوة اللازمة لتنفيذ الرمية.")</f>
        <v>إنهم يخوضون صراعاً، ويحاول كل منهم الحصول على القوة اللازمة لتنفيذ الرمية.</v>
      </c>
      <c r="M226" s="4"/>
      <c r="N226" s="4"/>
      <c r="O226" s="4"/>
      <c r="P226" s="4"/>
      <c r="Q226" s="4"/>
      <c r="R226" s="4"/>
      <c r="S226" s="4"/>
      <c r="T226" s="4"/>
      <c r="U226" s="4"/>
      <c r="V226" s="4"/>
      <c r="W226" s="4"/>
      <c r="X226" s="4"/>
      <c r="Y226" s="4"/>
      <c r="Z226" s="4"/>
      <c r="AA226" s="4"/>
      <c r="AB226" s="4"/>
      <c r="AC226" s="4"/>
      <c r="AD226" s="4"/>
      <c r="AE226" s="4"/>
      <c r="AF226" s="4"/>
      <c r="AG226" s="4"/>
    </row>
    <row r="227" spans="1:33" ht="22.5" customHeight="1" x14ac:dyDescent="0.25">
      <c r="A227" s="2"/>
      <c r="B227" s="2"/>
      <c r="C227" s="2"/>
      <c r="D227" s="2"/>
      <c r="E227" s="2"/>
      <c r="F227" s="4"/>
      <c r="G227" s="4"/>
      <c r="H227" s="7" t="s">
        <v>79</v>
      </c>
      <c r="I227" s="4" t="str">
        <f ca="1">IFERROR(__xludf.DUMMYFUNCTION("GOOGLETRANSLATE(B227,""en"",""ar"")"),"ما الذي لا يزال ملتصقاً بجلد النمر الذي كان يرتديه المصارع على اليمين؟")</f>
        <v>ما الذي لا يزال ملتصقاً بجلد النمر الذي كان يرتديه المصارع على اليمين؟</v>
      </c>
      <c r="J227" s="4" t="str">
        <f ca="1">IFERROR(__xludf.DUMMYFUNCTION("GOOGLETRANSLATE(C227,""en"",""ar"")"),"أ) الرأس والكفوف الأمامية، ب) الذيل، ج) أجراس الزينة، د) بطاقة السعر")</f>
        <v>أ) الرأس والكفوف الأمامية، ب) الذيل، ج) أجراس الزينة، د) بطاقة السعر</v>
      </c>
      <c r="K227" s="4" t="str">
        <f ca="1">IFERROR(__xludf.DUMMYFUNCTION("GOOGLETRANSLATE(D227,""en"",""ar"")"),"أ) الرأس والكفوف الأمامية")</f>
        <v>أ) الرأس والكفوف الأمامية</v>
      </c>
      <c r="L227" s="4" t="str">
        <f ca="1">IFERROR(__xludf.DUMMYFUNCTION("GOOGLETRANSLATE(E227,""en"",""ar"")"),"رأس النمر بالكامل ومخالبه الأمامية جزء من الثوب، وهي تتدلى على ظهره.")</f>
        <v>رأس النمر بالكامل ومخالبه الأمامية جزء من الثوب، وهي تتدلى على ظهره.</v>
      </c>
      <c r="M227" s="4"/>
      <c r="N227" s="4"/>
      <c r="O227" s="4"/>
      <c r="P227" s="4"/>
      <c r="Q227" s="4"/>
      <c r="R227" s="4"/>
      <c r="S227" s="4"/>
      <c r="T227" s="4"/>
      <c r="U227" s="4"/>
      <c r="V227" s="4"/>
      <c r="W227" s="4"/>
      <c r="X227" s="4"/>
      <c r="Y227" s="4"/>
      <c r="Z227" s="4"/>
      <c r="AA227" s="4"/>
      <c r="AB227" s="4"/>
      <c r="AC227" s="4"/>
      <c r="AD227" s="4"/>
      <c r="AE227" s="4"/>
      <c r="AF227" s="4"/>
      <c r="AG227" s="4"/>
    </row>
    <row r="228" spans="1:33" ht="22.5" customHeight="1" x14ac:dyDescent="0.25">
      <c r="A228" s="2"/>
      <c r="B228" s="2"/>
      <c r="C228" s="2"/>
      <c r="D228" s="2"/>
      <c r="E228" s="2"/>
      <c r="F228" s="4"/>
      <c r="G228" s="4"/>
      <c r="H228" s="6" t="s">
        <v>79</v>
      </c>
      <c r="I228" s="4" t="str">
        <f ca="1">IFERROR(__xludf.DUMMYFUNCTION("GOOGLETRANSLATE(B228,""en"",""ar"")"),"يوحي هذا النمط من اللباس بأن هذا...")</f>
        <v>يوحي هذا النمط من اللباس بأن هذا...</v>
      </c>
      <c r="J228" s="4" t="str">
        <f ca="1">IFERROR(__xludf.DUMMYFUNCTION("GOOGLETRANSLATE(C228,""en"",""ar"")"),"أ) جلسة تدريب غير رسمية، ب) مباراة مهمة أو احتفالية للغاية، ج) مباراة للمبتدئين، د) بطولة حديثة برعاية جهة رسمية")</f>
        <v>أ) جلسة تدريب غير رسمية، ب) مباراة مهمة أو احتفالية للغاية، ج) مباراة للمبتدئين، د) بطولة حديثة برعاية جهة رسمية</v>
      </c>
      <c r="K228" s="4" t="str">
        <f ca="1">IFERROR(__xludf.DUMMYFUNCTION("GOOGLETRANSLATE(D228,""en"",""ar"")"),"ب) مباراة مهمة للغاية أو احتفالية")</f>
        <v>ب) مباراة مهمة للغاية أو احتفالية</v>
      </c>
      <c r="L228" s="4" t="str">
        <f ca="1">IFERROR(__xludf.DUMMYFUNCTION("GOOGLETRANSLATE(E228,""en"",""ar"")"),"إن استخدام أزياء ذات أهمية كبيرة وتقليدية مثل جلود النمور يشير إلى أن هذه المباراة ذات أهمية بالغة.")</f>
        <v>إن استخدام أزياء ذات أهمية كبيرة وتقليدية مثل جلود النمور يشير إلى أن هذه المباراة ذات أهمية بالغة.</v>
      </c>
      <c r="M228" s="4"/>
      <c r="N228" s="4"/>
      <c r="O228" s="4"/>
      <c r="P228" s="4"/>
      <c r="Q228" s="4"/>
      <c r="R228" s="4"/>
      <c r="S228" s="4"/>
      <c r="T228" s="4"/>
      <c r="U228" s="4"/>
      <c r="V228" s="4"/>
      <c r="W228" s="4"/>
      <c r="X228" s="4"/>
      <c r="Y228" s="4"/>
      <c r="Z228" s="4"/>
      <c r="AA228" s="4"/>
      <c r="AB228" s="4"/>
      <c r="AC228" s="4"/>
      <c r="AD228" s="4"/>
      <c r="AE228" s="4"/>
      <c r="AF228" s="4"/>
      <c r="AG228" s="4"/>
    </row>
    <row r="229" spans="1:33" ht="22.5" customHeight="1" x14ac:dyDescent="0.25">
      <c r="A229" s="2"/>
      <c r="B229" s="2"/>
      <c r="C229" s="2"/>
      <c r="D229" s="2"/>
      <c r="E229" s="2"/>
      <c r="F229" s="4"/>
      <c r="G229" s="4"/>
      <c r="H229" s="7" t="s">
        <v>79</v>
      </c>
      <c r="I229" s="4" t="str">
        <f ca="1">IFERROR(__xludf.DUMMYFUNCTION("GOOGLETRANSLATE(B229,""en"",""ar"")"),"الحشد في الخلفية هو...")</f>
        <v>الحشد في الخلفية هو...</v>
      </c>
      <c r="J229" s="4" t="str">
        <f ca="1">IFERROR(__xludf.DUMMYFUNCTION("GOOGLETRANSLATE(C229,""en"",""ar"")"),"أ) صغير جدًا وبعيد، ب) تجمع جماهيري كبير يشاهد باهتمام، ج) جالسين في ملعب حديث، د) غير منتبهين")</f>
        <v>أ) صغير جدًا وبعيد، ب) تجمع جماهيري كبير يشاهد باهتمام، ج) جالسين في ملعب حديث، د) غير منتبهين</v>
      </c>
      <c r="K229" s="4" t="str">
        <f ca="1">IFERROR(__xludf.DUMMYFUNCTION("GOOGLETRANSLATE(D229,""en"",""ar"")"),"ب) تجمع جماهيري كبير يراقب باهتمام")</f>
        <v>ب) تجمع جماهيري كبير يراقب باهتمام</v>
      </c>
      <c r="L229" s="4" t="str">
        <f ca="1">IFERROR(__xludf.DUMMYFUNCTION("GOOGLETRANSLATE(E229,""en"",""ar"")"),"تجمع حشد كبير من المتفرجين لمشاهدة المباراة المهمة.")</f>
        <v>تجمع حشد كبير من المتفرجين لمشاهدة المباراة المهمة.</v>
      </c>
      <c r="M229" s="4"/>
      <c r="N229" s="4"/>
      <c r="O229" s="4"/>
      <c r="P229" s="4"/>
      <c r="Q229" s="4"/>
      <c r="R229" s="4"/>
      <c r="S229" s="4"/>
      <c r="T229" s="4"/>
      <c r="U229" s="4"/>
      <c r="V229" s="4"/>
      <c r="W229" s="4"/>
      <c r="X229" s="4"/>
      <c r="Y229" s="4"/>
      <c r="Z229" s="4"/>
      <c r="AA229" s="4"/>
      <c r="AB229" s="4"/>
      <c r="AC229" s="4"/>
      <c r="AD229" s="4"/>
      <c r="AE229" s="4"/>
      <c r="AF229" s="4"/>
      <c r="AG229" s="4"/>
    </row>
    <row r="230" spans="1:33" ht="22.5" customHeight="1" x14ac:dyDescent="0.25">
      <c r="A230" s="2"/>
      <c r="B230" s="2"/>
      <c r="C230" s="2"/>
      <c r="D230" s="2"/>
      <c r="E230" s="2"/>
      <c r="F230" s="4"/>
      <c r="G230" s="4"/>
      <c r="H230" s="6" t="s">
        <v>79</v>
      </c>
      <c r="I230" s="4" t="str">
        <f ca="1">IFERROR(__xludf.DUMMYFUNCTION("GOOGLETRANSLATE(B230,""en"",""ar"")"),"ماذا يرتدي المصارع الموجود على اليسار على ذراعيه وكاحليه؟")</f>
        <v>ماذا يرتدي المصارع الموجود على اليسار على ذراعيه وكاحليه؟</v>
      </c>
      <c r="J230" s="4" t="str">
        <f ca="1">IFERROR(__xludf.DUMMYFUNCTION("GOOGLETRANSLATE(C230,""en"",""ar"")"),"أ) ساعات حديثة، ب) أربطة الذراع والكاحل التقليدية، ج) أوزان ثقيلة للتدريب، د) ضمادات للإصابات")</f>
        <v>أ) ساعات حديثة، ب) أربطة الذراع والكاحل التقليدية، ج) أوزان ثقيلة للتدريب، د) ضمادات للإصابات</v>
      </c>
      <c r="K230" s="4" t="str">
        <f ca="1">IFERROR(__xludf.DUMMYFUNCTION("GOOGLETRANSLATE(D230,""en"",""ar"")"),"ب) الأساور التقليدية للذراع والكاحل")</f>
        <v>ب) الأساور التقليدية للذراع والكاحل</v>
      </c>
      <c r="L230" s="4" t="str">
        <f ca="1">IFERROR(__xludf.DUMMYFUNCTION("GOOGLETRANSLATE(E230,""en"",""ar"")"),"يرتدي أربطة بسيطة وتقليدية كجزء من زي المصارعة الخاص به.")</f>
        <v>يرتدي أربطة بسيطة وتقليدية كجزء من زي المصارعة الخاص به.</v>
      </c>
      <c r="M230" s="4"/>
      <c r="N230" s="4"/>
      <c r="O230" s="4"/>
      <c r="P230" s="4"/>
      <c r="Q230" s="4"/>
      <c r="R230" s="4"/>
      <c r="S230" s="4"/>
      <c r="T230" s="4"/>
      <c r="U230" s="4"/>
      <c r="V230" s="4"/>
      <c r="W230" s="4"/>
      <c r="X230" s="4"/>
      <c r="Y230" s="4"/>
      <c r="Z230" s="4"/>
      <c r="AA230" s="4"/>
      <c r="AB230" s="4"/>
      <c r="AC230" s="4"/>
      <c r="AD230" s="4"/>
      <c r="AE230" s="4"/>
      <c r="AF230" s="4"/>
      <c r="AG230" s="4"/>
    </row>
    <row r="231" spans="1:33" ht="22.5" customHeight="1" x14ac:dyDescent="0.25">
      <c r="A231" s="2"/>
      <c r="B231" s="2"/>
      <c r="C231" s="2"/>
      <c r="D231" s="2"/>
      <c r="E231" s="2"/>
      <c r="F231" s="4"/>
      <c r="G231" s="4"/>
      <c r="H231" s="7" t="s">
        <v>79</v>
      </c>
      <c r="I231" s="4" t="str">
        <f ca="1">IFERROR(__xludf.DUMMYFUNCTION("GOOGLETRANSLATE(B231,""en"",""ar"")"),"الصورة تلتقط...")</f>
        <v>الصورة تلتقط...</v>
      </c>
      <c r="J231" s="4" t="str">
        <f ca="1">IFERROR(__xludf.DUMMYFUNCTION("GOOGLETRANSLATE(C231,""en"",""ar"")"),"أ) تحديث رياضة المصارعة النوبية، ب) الجذور التقليدية والرمزية العميقة لهذه الرياضة، ج) الجانب الفكاهي للمنافسة، د) قواعد وأنظمة هذه الرياضة")</f>
        <v>أ) تحديث رياضة المصارعة النوبية، ب) الجذور التقليدية والرمزية العميقة لهذه الرياضة، ج) الجانب الفكاهي للمنافسة، د) قواعد وأنظمة هذه الرياضة</v>
      </c>
      <c r="K231" s="4" t="str">
        <f ca="1">IFERROR(__xludf.DUMMYFUNCTION("GOOGLETRANSLATE(D231,""en"",""ar"")"),"ب) الجذور التقليدية والرمزية العميقة للرياضة")</f>
        <v>ب) الجذور التقليدية والرمزية العميقة للرياضة</v>
      </c>
      <c r="L231" s="4" t="str">
        <f ca="1">IFERROR(__xludf.DUMMYFUNCTION("GOOGLETRANSLATE(E231,""en"",""ar"")"),"إن استخدام جلود النمور يربط هذه الرياضة بشكل مباشر بتقاليد تتعلق بالطبيعة والقوة والمكانة الاجتماعية.")</f>
        <v>إن استخدام جلود النمور يربط هذه الرياضة بشكل مباشر بتقاليد تتعلق بالطبيعة والقوة والمكانة الاجتماعية.</v>
      </c>
      <c r="M231" s="4"/>
      <c r="N231" s="4"/>
      <c r="O231" s="4"/>
      <c r="P231" s="4"/>
      <c r="Q231" s="4"/>
      <c r="R231" s="4"/>
      <c r="S231" s="4"/>
      <c r="T231" s="4"/>
      <c r="U231" s="4"/>
      <c r="V231" s="4"/>
      <c r="W231" s="4"/>
      <c r="X231" s="4"/>
      <c r="Y231" s="4"/>
      <c r="Z231" s="4"/>
      <c r="AA231" s="4"/>
      <c r="AB231" s="4"/>
      <c r="AC231" s="4"/>
      <c r="AD231" s="4"/>
      <c r="AE231" s="4"/>
      <c r="AF231" s="4"/>
      <c r="AG231" s="4"/>
    </row>
    <row r="232" spans="1:33" ht="22.5" customHeight="1" x14ac:dyDescent="0.25">
      <c r="A232" s="2"/>
      <c r="B232" s="2"/>
      <c r="C232" s="2"/>
      <c r="D232" s="2"/>
      <c r="E232" s="2"/>
      <c r="F232" s="4"/>
      <c r="G232" s="4"/>
      <c r="H232" s="6" t="s">
        <v>80</v>
      </c>
      <c r="I232" s="4" t="str">
        <f ca="1">IFERROR(__xludf.DUMMYFUNCTION("GOOGLETRANSLATE(B232,""en"",""ar"")"),"ماذا يفعل المصارع الموجود في المنتصف؟")</f>
        <v>ماذا يفعل المصارع الموجود في المنتصف؟</v>
      </c>
      <c r="J232" s="4" t="str">
        <f ca="1">IFERROR(__xludf.DUMMYFUNCTION("GOOGLETRANSLATE(C232,""en"",""ar"")"),"أ) هو يبدأ مباراة، ب) هو يتجادل مع الحكم، ج) هو يحتفل بالفوز، ربما برقصة تقليدية، د) هو يساعد مصارعًا آخر مصابًا")</f>
        <v>أ) هو يبدأ مباراة، ب) هو يتجادل مع الحكم، ج) هو يحتفل بالفوز، ربما برقصة تقليدية، د) هو يساعد مصارعًا آخر مصابًا</v>
      </c>
      <c r="K232" s="4" t="str">
        <f ca="1">IFERROR(__xludf.DUMMYFUNCTION("GOOGLETRANSLATE(D232,""en"",""ar"")"),"ج) إنه يحتفل بالنصر، ربما برقصة تقليدية")</f>
        <v>ج) إنه يحتفل بالنصر، ربما برقصة تقليدية</v>
      </c>
      <c r="L232" s="4" t="str">
        <f ca="1">IFERROR(__xludf.DUMMYFUNCTION("GOOGLETRANSLATE(E232,""en"",""ar"")"),"تشير وضعيته الديناميكية والميدالية التي حول رقبته إلى أنه يحتفل بالفوز، ومن المرجح أنه يؤدي رقصة النصر.")</f>
        <v>تشير وضعيته الديناميكية والميدالية التي حول رقبته إلى أنه يحتفل بالفوز، ومن المرجح أنه يؤدي رقصة النصر.</v>
      </c>
      <c r="M232" s="4"/>
      <c r="N232" s="4"/>
      <c r="O232" s="4"/>
      <c r="P232" s="4"/>
      <c r="Q232" s="4"/>
      <c r="R232" s="4"/>
      <c r="S232" s="4"/>
      <c r="T232" s="4"/>
      <c r="U232" s="4"/>
      <c r="V232" s="4"/>
      <c r="W232" s="4"/>
      <c r="X232" s="4"/>
      <c r="Y232" s="4"/>
      <c r="Z232" s="4"/>
      <c r="AA232" s="4"/>
      <c r="AB232" s="4"/>
      <c r="AC232" s="4"/>
      <c r="AD232" s="4"/>
      <c r="AE232" s="4"/>
      <c r="AF232" s="4"/>
      <c r="AG232" s="4"/>
    </row>
    <row r="233" spans="1:33" ht="22.5" customHeight="1" x14ac:dyDescent="0.25">
      <c r="A233" s="2"/>
      <c r="B233" s="2"/>
      <c r="C233" s="2"/>
      <c r="D233" s="2"/>
      <c r="E233" s="2"/>
      <c r="F233" s="4"/>
      <c r="G233" s="4"/>
      <c r="H233" s="7" t="s">
        <v>80</v>
      </c>
      <c r="I233" s="4" t="str">
        <f ca="1">IFERROR(__xludf.DUMMYFUNCTION("GOOGLETRANSLATE(B233,""en"",""ar"")"),"ما الذي يرتديه المصارع حول رقبته؟")</f>
        <v>ما الذي يرتديه المصارع حول رقبته؟</v>
      </c>
      <c r="J233" s="4" t="str">
        <f ca="1">IFERROR(__xludf.DUMMYFUNCTION("GOOGLETRANSLATE(C233,""en"",""ar"")"),"أ) قلادة تقليدية، ب) ميدالية فائز حديثة الطراز على شريط، ج) منشفة، د) صفارة")</f>
        <v>أ) قلادة تقليدية، ب) ميدالية فائز حديثة الطراز على شريط، ج) منشفة، د) صفارة</v>
      </c>
      <c r="K233" s="4" t="str">
        <f ca="1">IFERROR(__xludf.DUMMYFUNCTION("GOOGLETRANSLATE(D233,""en"",""ar"")"),"ب) ميدالية فائز حديثة الطراز على شريط")</f>
        <v>ب) ميدالية فائز حديثة الطراز على شريط</v>
      </c>
      <c r="L233" s="4" t="str">
        <f ca="1">IFERROR(__xludf.DUMMYFUNCTION("GOOGLETRANSLATE(E233,""en"",""ar"")"),"وهو يرتدي ميدالية ذهبية اللون، وهي رمز حديث للنصر مأخوذ من الرياضات الدولية.")</f>
        <v>وهو يرتدي ميدالية ذهبية اللون، وهي رمز حديث للنصر مأخوذ من الرياضات الدولية.</v>
      </c>
      <c r="M233" s="4"/>
      <c r="N233" s="4"/>
      <c r="O233" s="4"/>
      <c r="P233" s="4"/>
      <c r="Q233" s="4"/>
      <c r="R233" s="4"/>
      <c r="S233" s="4"/>
      <c r="T233" s="4"/>
      <c r="U233" s="4"/>
      <c r="V233" s="4"/>
      <c r="W233" s="4"/>
      <c r="X233" s="4"/>
      <c r="Y233" s="4"/>
      <c r="Z233" s="4"/>
      <c r="AA233" s="4"/>
      <c r="AB233" s="4"/>
      <c r="AC233" s="4"/>
      <c r="AD233" s="4"/>
      <c r="AE233" s="4"/>
      <c r="AF233" s="4"/>
      <c r="AG233" s="4"/>
    </row>
    <row r="234" spans="1:33" ht="22.5" customHeight="1" x14ac:dyDescent="0.25">
      <c r="A234" s="2"/>
      <c r="B234" s="2"/>
      <c r="C234" s="2"/>
      <c r="D234" s="2"/>
      <c r="E234" s="2"/>
      <c r="F234" s="4"/>
      <c r="G234" s="4"/>
      <c r="H234" s="6" t="s">
        <v>80</v>
      </c>
      <c r="I234" s="4" t="str">
        <f ca="1">IFERROR(__xludf.DUMMYFUNCTION("GOOGLETRANSLATE(B234,""en"",""ar"")"),"ماذا كُتب على القميص الذي يرتديه الرجل على اليمين؟")</f>
        <v>ماذا كُتب على القميص الذي يرتديه الرجل على اليمين؟</v>
      </c>
      <c r="J234" s="4" t="str">
        <f ca="1">IFERROR(__xludf.DUMMYFUNCTION("GOOGLETRANSLATE(C234,""en"",""ar"")"),"أ) السودان، ب) النوبة، ج) إيطاليا، د) البطل")</f>
        <v>أ) السودان، ب) النوبة، ج) إيطاليا، د) البطل</v>
      </c>
      <c r="K234" s="4" t="str">
        <f ca="1">IFERROR(__xludf.DUMMYFUNCTION("GOOGLETRANSLATE(D234,""en"",""ar"")"),"ج) إيطاليا")</f>
        <v>ج) إيطاليا</v>
      </c>
      <c r="L234" s="4" t="str">
        <f ca="1">IFERROR(__xludf.DUMMYFUNCTION("GOOGLETRANSLATE(E234,""en"",""ar"")"),"الرجل الذي يحتفل مع المصارع يرتدي قميصاً رمادياً كُتب عليه ""إيطاليا"" وألوان العلم الإيطالي. 🇮🇹")</f>
        <v>الرجل الذي يحتفل مع المصارع يرتدي قميصاً رمادياً كُتب عليه "إيطاليا" وألوان العلم الإيطالي. 🇮🇹</v>
      </c>
      <c r="M234" s="4"/>
      <c r="N234" s="4"/>
      <c r="O234" s="4"/>
      <c r="P234" s="4"/>
      <c r="Q234" s="4"/>
      <c r="R234" s="4"/>
      <c r="S234" s="4"/>
      <c r="T234" s="4"/>
      <c r="U234" s="4"/>
      <c r="V234" s="4"/>
      <c r="W234" s="4"/>
      <c r="X234" s="4"/>
      <c r="Y234" s="4"/>
      <c r="Z234" s="4"/>
      <c r="AA234" s="4"/>
      <c r="AB234" s="4"/>
      <c r="AC234" s="4"/>
      <c r="AD234" s="4"/>
      <c r="AE234" s="4"/>
      <c r="AF234" s="4"/>
      <c r="AG234" s="4"/>
    </row>
    <row r="235" spans="1:33" ht="22.5" customHeight="1" x14ac:dyDescent="0.25">
      <c r="A235" s="2"/>
      <c r="B235" s="2"/>
      <c r="C235" s="2"/>
      <c r="D235" s="2"/>
      <c r="E235" s="2"/>
      <c r="F235" s="4"/>
      <c r="G235" s="4"/>
      <c r="H235" s="7" t="s">
        <v>80</v>
      </c>
      <c r="I235" s="4" t="str">
        <f ca="1">IFERROR(__xludf.DUMMYFUNCTION("GOOGLETRANSLATE(B235,""en"",""ar"")"),"زي المصارع عبارة عن مزيج من...")</f>
        <v>زي المصارع عبارة عن مزيج من...</v>
      </c>
      <c r="J235" s="4" t="str">
        <f ca="1">IFERROR(__xludf.DUMMYFUNCTION("GOOGLETRANSLATE(C235,""en"",""ar"")"),"أ) ملابس رياضية حديثة فقط، ب) ملابس تقليدية فقط، ج) عناصر تقليدية وحديثة، د) بدلة رسمية")</f>
        <v>أ) ملابس رياضية حديثة فقط، ب) ملابس تقليدية فقط، ج) عناصر تقليدية وحديثة، د) بدلة رسمية</v>
      </c>
      <c r="K235" s="4" t="str">
        <f ca="1">IFERROR(__xludf.DUMMYFUNCTION("GOOGLETRANSLATE(D235,""en"",""ar"")"),"ج) العناصر التقليدية والحديثة")</f>
        <v>ج) العناصر التقليدية والحديثة</v>
      </c>
      <c r="L235" s="4" t="str">
        <f ca="1">IFERROR(__xludf.DUMMYFUNCTION("GOOGLETRANSLATE(E235,""en"",""ar"")"),"يرتدي مئزراً تقليدياً مزخرفاً، ولكنه يرتدي أيضاً أربطة معصم حديثة وميدالية.")</f>
        <v>يرتدي مئزراً تقليدياً مزخرفاً، ولكنه يرتدي أيضاً أربطة معصم حديثة وميدالية.</v>
      </c>
      <c r="M235" s="4"/>
      <c r="N235" s="4"/>
      <c r="O235" s="4"/>
      <c r="P235" s="4"/>
      <c r="Q235" s="4"/>
      <c r="R235" s="4"/>
      <c r="S235" s="4"/>
      <c r="T235" s="4"/>
      <c r="U235" s="4"/>
      <c r="V235" s="4"/>
      <c r="W235" s="4"/>
      <c r="X235" s="4"/>
      <c r="Y235" s="4"/>
      <c r="Z235" s="4"/>
      <c r="AA235" s="4"/>
      <c r="AB235" s="4"/>
      <c r="AC235" s="4"/>
      <c r="AD235" s="4"/>
      <c r="AE235" s="4"/>
      <c r="AF235" s="4"/>
      <c r="AG235" s="4"/>
    </row>
    <row r="236" spans="1:33" ht="22.5" customHeight="1" x14ac:dyDescent="0.25">
      <c r="A236" s="2"/>
      <c r="B236" s="2"/>
      <c r="C236" s="2"/>
      <c r="D236" s="2"/>
      <c r="E236" s="2"/>
      <c r="F236" s="4"/>
      <c r="G236" s="4"/>
      <c r="H236" s="6" t="s">
        <v>80</v>
      </c>
      <c r="I236" s="4" t="str">
        <f ca="1">IFERROR(__xludf.DUMMYFUNCTION("GOOGLETRANSLATE(B236,""en"",""ar"")"),"ما الذي تم تطبيقه على جسد المصارع؟")</f>
        <v>ما الذي تم تطبيقه على جسد المصارع؟</v>
      </c>
      <c r="J236" s="4" t="str">
        <f ca="1">IFERROR(__xludf.DUMMYFUNCTION("GOOGLETRANSLATE(C236,""en"",""ar"")"),"أ) الماء، ب) واقي الشمس، ج) طلاء ملون، د) طبقة سميكة من الغبار أو الرماد")</f>
        <v>أ) الماء، ب) واقي الشمس، ج) طلاء ملون، د) طبقة سميكة من الغبار أو الرماد</v>
      </c>
      <c r="K236" s="4" t="str">
        <f ca="1">IFERROR(__xludf.DUMMYFUNCTION("GOOGLETRANSLATE(D236,""en"",""ar"")"),"د) طبقة سميكة من الغبار أو الرماد")</f>
        <v>د) طبقة سميكة من الغبار أو الرماد</v>
      </c>
      <c r="L236" s="4" t="str">
        <f ca="1">IFERROR(__xludf.DUMMYFUNCTION("GOOGLETRANSLATE(E236,""en"",""ar"")"),"إنه مغطى بالغبار أو الرماد التقليدي المستخدم في مصارعة النوبة، والذي يختلط الآن بالعرق.")</f>
        <v>إنه مغطى بالغبار أو الرماد التقليدي المستخدم في مصارعة النوبة، والذي يختلط الآن بالعرق.</v>
      </c>
      <c r="M236" s="4"/>
      <c r="N236" s="4"/>
      <c r="O236" s="4"/>
      <c r="P236" s="4"/>
      <c r="Q236" s="4"/>
      <c r="R236" s="4"/>
      <c r="S236" s="4"/>
      <c r="T236" s="4"/>
      <c r="U236" s="4"/>
      <c r="V236" s="4"/>
      <c r="W236" s="4"/>
      <c r="X236" s="4"/>
      <c r="Y236" s="4"/>
      <c r="Z236" s="4"/>
      <c r="AA236" s="4"/>
      <c r="AB236" s="4"/>
      <c r="AC236" s="4"/>
      <c r="AD236" s="4"/>
      <c r="AE236" s="4"/>
      <c r="AF236" s="4"/>
      <c r="AG236" s="4"/>
    </row>
    <row r="237" spans="1:33" ht="22.5" customHeight="1" x14ac:dyDescent="0.25">
      <c r="A237" s="2"/>
      <c r="B237" s="2"/>
      <c r="C237" s="2"/>
      <c r="D237" s="2"/>
      <c r="E237" s="2"/>
      <c r="F237" s="4"/>
      <c r="G237" s="4"/>
      <c r="H237" s="7" t="s">
        <v>80</v>
      </c>
      <c r="I237" s="4" t="str">
        <f ca="1">IFERROR(__xludf.DUMMYFUNCTION("GOOGLETRANSLATE(B237,""en"",""ar"")"),"من المرجح أن يكون الأشخاص المحيطون بالمصارع...")</f>
        <v>من المرجح أن يكون الأشخاص المحيطون بالمصارع...</v>
      </c>
      <c r="J237" s="4" t="str">
        <f ca="1">IFERROR(__xludf.DUMMYFUNCTION("GOOGLETRANSLATE(C237,""en"",""ar"")"),"أ) خصومه، ب) أعضاء فريقه، أصدقاؤه، أو مؤيدوه، ج) حكام المباراة، د) المتفرجون المحايدون")</f>
        <v>أ) خصومه، ب) أعضاء فريقه، أصدقاؤه، أو مؤيدوه، ج) حكام المباراة، د) المتفرجون المحايدون</v>
      </c>
      <c r="K237" s="4" t="str">
        <f ca="1">IFERROR(__xludf.DUMMYFUNCTION("GOOGLETRANSLATE(D237,""en"",""ar"")"),"ب) أعضاء فريقه أو أصدقائه أو مؤيديه")</f>
        <v>ب) أعضاء فريقه أو أصدقائه أو مؤيديه</v>
      </c>
      <c r="L237" s="4" t="str">
        <f ca="1">IFERROR(__xludf.DUMMYFUNCTION("GOOGLETRANSLATE(E237,""en"",""ar"")"),"إنهم يحتفلون معه، مما يدل على أنهم جزء من حاشيته أو مجتمعه.")</f>
        <v>إنهم يحتفلون معه، مما يدل على أنهم جزء من حاشيته أو مجتمعه.</v>
      </c>
      <c r="M237" s="4"/>
      <c r="N237" s="4"/>
      <c r="O237" s="4"/>
      <c r="P237" s="4"/>
      <c r="Q237" s="4"/>
      <c r="R237" s="4"/>
      <c r="S237" s="4"/>
      <c r="T237" s="4"/>
      <c r="U237" s="4"/>
      <c r="V237" s="4"/>
      <c r="W237" s="4"/>
      <c r="X237" s="4"/>
      <c r="Y237" s="4"/>
      <c r="Z237" s="4"/>
      <c r="AA237" s="4"/>
      <c r="AB237" s="4"/>
      <c r="AC237" s="4"/>
      <c r="AD237" s="4"/>
      <c r="AE237" s="4"/>
      <c r="AF237" s="4"/>
      <c r="AG237" s="4"/>
    </row>
    <row r="238" spans="1:33" ht="22.5" customHeight="1" x14ac:dyDescent="0.25">
      <c r="A238" s="2"/>
      <c r="B238" s="2"/>
      <c r="C238" s="2"/>
      <c r="D238" s="2"/>
      <c r="E238" s="2"/>
      <c r="F238" s="4"/>
      <c r="G238" s="4"/>
      <c r="H238" s="6" t="s">
        <v>80</v>
      </c>
      <c r="I238" s="4" t="str">
        <f ca="1">IFERROR(__xludf.DUMMYFUNCTION("GOOGLETRANSLATE(B238,""en"",""ar"")"),"من المرجح أن تكون الإيماءة التي يقوم بها المصارع بيديه (إصبعان ممدودان من كل يد) جزءًا من...")</f>
        <v>من المرجح أن تكون الإيماءة التي يقوم بها المصارع بيديه (إصبعان ممدودان من كل يد) جزءًا من...</v>
      </c>
      <c r="J238" s="4" t="str">
        <f ca="1">IFERROR(__xludf.DUMMYFUNCTION("GOOGLETRANSLATE(C238,""en"",""ar"")"),"أ) رمز سري لمدربه، ب) رقصة النصر أو لفتة شخصية، ج) تحية شائعة، د) علامة على الهزيمة")</f>
        <v>أ) رمز سري لمدربه، ب) رقصة النصر أو لفتة شخصية، ج) تحية شائعة، د) علامة على الهزيمة</v>
      </c>
      <c r="K238" s="4" t="str">
        <f ca="1">IFERROR(__xludf.DUMMYFUNCTION("GOOGLETRANSLATE(D238,""en"",""ar"")"),"ب) رقصة النصر أو لفتة شخصية")</f>
        <v>ب) رقصة النصر أو لفتة شخصية</v>
      </c>
      <c r="L238" s="4" t="str">
        <f ca="1">IFERROR(__xludf.DUMMYFUNCTION("GOOGLETRANSLATE(E238,""en"",""ar"")"),"من المرجح أن تكون هذه لفتة شخصية أو رمزية يستخدمها كجزء من احتفاله.")</f>
        <v>من المرجح أن تكون هذه لفتة شخصية أو رمزية يستخدمها كجزء من احتفاله.</v>
      </c>
      <c r="M238" s="4"/>
      <c r="N238" s="4"/>
      <c r="O238" s="4"/>
      <c r="P238" s="4"/>
      <c r="Q238" s="4"/>
      <c r="R238" s="4"/>
      <c r="S238" s="4"/>
      <c r="T238" s="4"/>
      <c r="U238" s="4"/>
      <c r="V238" s="4"/>
      <c r="W238" s="4"/>
      <c r="X238" s="4"/>
      <c r="Y238" s="4"/>
      <c r="Z238" s="4"/>
      <c r="AA238" s="4"/>
      <c r="AB238" s="4"/>
      <c r="AC238" s="4"/>
      <c r="AD238" s="4"/>
      <c r="AE238" s="4"/>
      <c r="AF238" s="4"/>
      <c r="AG238" s="4"/>
    </row>
    <row r="239" spans="1:33" ht="22.5" customHeight="1" x14ac:dyDescent="0.25">
      <c r="A239" s="2"/>
      <c r="B239" s="2"/>
      <c r="C239" s="2"/>
      <c r="D239" s="2"/>
      <c r="E239" s="2"/>
      <c r="F239" s="4"/>
      <c r="G239" s="4"/>
      <c r="H239" s="7" t="s">
        <v>80</v>
      </c>
      <c r="I239" s="4" t="str">
        <f ca="1">IFERROR(__xludf.DUMMYFUNCTION("GOOGLETRANSLATE(B239,""en"",""ar"")"),"إن وجود ميدالية ومؤيد يرتدي قميصًا كُتب عليه ""إيطاليا"" يدل على...")</f>
        <v>إن وجود ميدالية ومؤيد يرتدي قميصًا كُتب عليه "إيطاليا" يدل على...</v>
      </c>
      <c r="J239" s="4" t="str">
        <f ca="1">IFERROR(__xludf.DUMMYFUNCTION("GOOGLETRANSLATE(C239,""en"",""ar"")"),"أ) العزلة التامة لثقافة النوبة، ب) تأثير الثقافة العالمية على الرياضة التقليدية، ج) أن المصارع من إيطاليا، د) أن المباراة أقيمت في إيطاليا")</f>
        <v>أ) العزلة التامة لثقافة النوبة، ب) تأثير الثقافة العالمية على الرياضة التقليدية، ج) أن المصارع من إيطاليا، د) أن المباراة أقيمت في إيطاليا</v>
      </c>
      <c r="K239" s="4" t="str">
        <f ca="1">IFERROR(__xludf.DUMMYFUNCTION("GOOGLETRANSLATE(D239,""en"",""ar"")"),"ب) تأثير الثقافة العالمية على الرياضة التقليدية")</f>
        <v>ب) تأثير الثقافة العالمية على الرياضة التقليدية</v>
      </c>
      <c r="L239" s="4" t="str">
        <f ca="1">IFERROR(__xludf.DUMMYFUNCTION("GOOGLETRANSLATE(E239,""en"",""ar"")"),"أصبحت الجوائز الحديثة مثل الميداليات والملابس من جميع أنحاء العالم جزءًا من مشهد مصارعة النوبة.")</f>
        <v>أصبحت الجوائز الحديثة مثل الميداليات والملابس من جميع أنحاء العالم جزءًا من مشهد مصارعة النوبة.</v>
      </c>
      <c r="M239" s="4"/>
      <c r="N239" s="4"/>
      <c r="O239" s="4"/>
      <c r="P239" s="4"/>
      <c r="Q239" s="4"/>
      <c r="R239" s="4"/>
      <c r="S239" s="4"/>
      <c r="T239" s="4"/>
      <c r="U239" s="4"/>
      <c r="V239" s="4"/>
      <c r="W239" s="4"/>
      <c r="X239" s="4"/>
      <c r="Y239" s="4"/>
      <c r="Z239" s="4"/>
      <c r="AA239" s="4"/>
      <c r="AB239" s="4"/>
      <c r="AC239" s="4"/>
      <c r="AD239" s="4"/>
      <c r="AE239" s="4"/>
      <c r="AF239" s="4"/>
      <c r="AG239" s="4"/>
    </row>
    <row r="240" spans="1:33" ht="22.5" customHeight="1" x14ac:dyDescent="0.25">
      <c r="A240" s="2"/>
      <c r="B240" s="2"/>
      <c r="C240" s="2"/>
      <c r="D240" s="2"/>
      <c r="E240" s="2"/>
      <c r="F240" s="4"/>
      <c r="G240" s="4"/>
      <c r="H240" s="6" t="s">
        <v>80</v>
      </c>
      <c r="I240" s="4" t="str">
        <f ca="1">IFERROR(__xludf.DUMMYFUNCTION("GOOGLETRANSLATE(B240,""en"",""ar"")"),"يبدو المكان وكأنه ساحة حديثة بسبب...")</f>
        <v>يبدو المكان وكأنه ساحة حديثة بسبب...</v>
      </c>
      <c r="J240" s="4" t="str">
        <f ca="1">IFERROR(__xludf.DUMMYFUNCTION("GOOGLETRANSLATE(C240,""en"",""ar"")"),"أ) قلة الحضور، ب) أكواخ من القش في الخلفية، ج) سياج أخضر وأضواء الملعب في الخلفية، د) ملعب عشبي")</f>
        <v>أ) قلة الحضور، ب) أكواخ من القش في الخلفية، ج) سياج أخضر وأضواء الملعب في الخلفية، د) ملعب عشبي</v>
      </c>
      <c r="K240" s="4" t="str">
        <f ca="1">IFERROR(__xludf.DUMMYFUNCTION("GOOGLETRANSLATE(D240,""en"",""ar"")"),"ج) سياج أخضر وأضواء ملعب في الخلفية")</f>
        <v>ج) سياج أخضر وأضواء ملعب في الخلفية</v>
      </c>
      <c r="L240" s="4" t="str">
        <f ca="1">IFERROR(__xludf.DUMMYFUNCTION("GOOGLETRANSLATE(E240,""en"",""ar"")"),"تظهر هذه المباني الحديثة خلف مكان الاحتفال.")</f>
        <v>تظهر هذه المباني الحديثة خلف مكان الاحتفال.</v>
      </c>
      <c r="M240" s="4"/>
      <c r="N240" s="4"/>
      <c r="O240" s="4"/>
      <c r="P240" s="4"/>
      <c r="Q240" s="4"/>
      <c r="R240" s="4"/>
      <c r="S240" s="4"/>
      <c r="T240" s="4"/>
      <c r="U240" s="4"/>
      <c r="V240" s="4"/>
      <c r="W240" s="4"/>
      <c r="X240" s="4"/>
      <c r="Y240" s="4"/>
      <c r="Z240" s="4"/>
      <c r="AA240" s="4"/>
      <c r="AB240" s="4"/>
      <c r="AC240" s="4"/>
      <c r="AD240" s="4"/>
      <c r="AE240" s="4"/>
      <c r="AF240" s="4"/>
      <c r="AG240" s="4"/>
    </row>
    <row r="241" spans="1:33" ht="22.5" customHeight="1" x14ac:dyDescent="0.25">
      <c r="A241" s="2"/>
      <c r="B241" s="2"/>
      <c r="C241" s="2"/>
      <c r="D241" s="2"/>
      <c r="E241" s="2"/>
      <c r="F241" s="4"/>
      <c r="G241" s="4"/>
      <c r="H241" s="7" t="s">
        <v>80</v>
      </c>
      <c r="I241" s="4" t="str">
        <f ca="1">IFERROR(__xludf.DUMMYFUNCTION("GOOGLETRANSLATE(B241,""en"",""ar"")"),"تُجسد هذه الصورة لحظة...")</f>
        <v>تُجسد هذه الصورة لحظة...</v>
      </c>
      <c r="J241" s="4" t="str">
        <f ca="1">IFERROR(__xludf.DUMMYFUNCTION("GOOGLETRANSLATE(C241,""en"",""ar"")"),"أ) التوتر قبل المباراة، ب) الصراع أثناء المباراة، ج) الفرحة بعد المباراة، د) حفل رسمي")</f>
        <v>أ) التوتر قبل المباراة، ب) الصراع أثناء المباراة، ج) الفرحة بعد المباراة، د) حفل رسمي</v>
      </c>
      <c r="K241" s="4" t="str">
        <f ca="1">IFERROR(__xludf.DUMMYFUNCTION("GOOGLETRANSLATE(D241,""en"",""ar"")"),"ج) ابتهاج ما بعد المباراة")</f>
        <v>ج) ابتهاج ما بعد المباراة</v>
      </c>
      <c r="L241" s="4" t="str">
        <f ca="1">IFERROR(__xludf.DUMMYFUNCTION("GOOGLETRANSLATE(E241,""en"",""ar"")"),"الصورة تعكس الطاقة والرقص والفرحة التي تغمر احتفالاً بنصر تحقق بشق الأنفس.")</f>
        <v>الصورة تعكس الطاقة والرقص والفرحة التي تغمر احتفالاً بنصر تحقق بشق الأنفس.</v>
      </c>
      <c r="M241" s="4"/>
      <c r="N241" s="4"/>
      <c r="O241" s="4"/>
      <c r="P241" s="4"/>
      <c r="Q241" s="4"/>
      <c r="R241" s="4"/>
      <c r="S241" s="4"/>
      <c r="T241" s="4"/>
      <c r="U241" s="4"/>
      <c r="V241" s="4"/>
      <c r="W241" s="4"/>
      <c r="X241" s="4"/>
      <c r="Y241" s="4"/>
      <c r="Z241" s="4"/>
      <c r="AA241" s="4"/>
      <c r="AB241" s="4"/>
      <c r="AC241" s="4"/>
      <c r="AD241" s="4"/>
      <c r="AE241" s="4"/>
      <c r="AF241" s="4"/>
      <c r="AG241" s="4"/>
    </row>
    <row r="242" spans="1:33" ht="22.5" customHeight="1" x14ac:dyDescent="0.25">
      <c r="A242" s="2"/>
      <c r="B242" s="2"/>
      <c r="C242" s="2"/>
      <c r="D242" s="2"/>
      <c r="E242" s="2"/>
      <c r="F242" s="4"/>
      <c r="G242" s="4"/>
      <c r="H242" s="6" t="s">
        <v>81</v>
      </c>
      <c r="I242" s="4" t="str">
        <f ca="1">IFERROR(__xludf.DUMMYFUNCTION("GOOGLETRANSLATE(B242,""en"",""ar"")"),"ما الذي توضحه هذه الصورة بوضوح؟")</f>
        <v>ما الذي توضحه هذه الصورة بوضوح؟</v>
      </c>
      <c r="J242" s="4" t="str">
        <f ca="1">IFERROR(__xludf.DUMMYFUNCTION("GOOGLETRANSLATE(C242,""en"",""ar"")"),"أ) بداية مباراة مصارعة، ب) لحظة فوز وهزيمة، ج) مصارعان يستريحان، د) جلسة تدريبية")</f>
        <v>أ) بداية مباراة مصارعة، ب) لحظة فوز وهزيمة، ج) مصارعان يستريحان، د) جلسة تدريبية</v>
      </c>
      <c r="K242" s="4" t="str">
        <f ca="1">IFERROR(__xludf.DUMMYFUNCTION("GOOGLETRANSLATE(D242,""en"",""ar"")"),"ب) لحظة النصر والهزيمة")</f>
        <v>ب) لحظة النصر والهزيمة</v>
      </c>
      <c r="L242" s="4" t="str">
        <f ca="1">IFERROR(__xludf.DUMMYFUNCTION("GOOGLETRANSLATE(E242,""en"",""ar"")"),"يقف أحد المصارعين شامخاً في وضعية النصر، بينما الآخر ملقى على الأرض في وضعية الهزيمة.")</f>
        <v>يقف أحد المصارعين شامخاً في وضعية النصر، بينما الآخر ملقى على الأرض في وضعية الهزيمة.</v>
      </c>
      <c r="M242" s="4"/>
      <c r="N242" s="4"/>
      <c r="O242" s="4"/>
      <c r="P242" s="4"/>
      <c r="Q242" s="4"/>
      <c r="R242" s="4"/>
      <c r="S242" s="4"/>
      <c r="T242" s="4"/>
      <c r="U242" s="4"/>
      <c r="V242" s="4"/>
      <c r="W242" s="4"/>
      <c r="X242" s="4"/>
      <c r="Y242" s="4"/>
      <c r="Z242" s="4"/>
      <c r="AA242" s="4"/>
      <c r="AB242" s="4"/>
      <c r="AC242" s="4"/>
      <c r="AD242" s="4"/>
      <c r="AE242" s="4"/>
      <c r="AF242" s="4"/>
      <c r="AG242" s="4"/>
    </row>
    <row r="243" spans="1:33" ht="22.5" customHeight="1" x14ac:dyDescent="0.25">
      <c r="A243" s="2"/>
      <c r="B243" s="2"/>
      <c r="C243" s="2"/>
      <c r="D243" s="2"/>
      <c r="E243" s="2"/>
      <c r="F243" s="4"/>
      <c r="G243" s="4"/>
      <c r="H243" s="7" t="s">
        <v>81</v>
      </c>
      <c r="I243" s="4" t="str">
        <f ca="1">IFERROR(__xludf.DUMMYFUNCTION("GOOGLETRANSLATE(B243,""en"",""ar"")"),"ماذا يفعل المصارع الموجود على الأرض؟")</f>
        <v>ماذا يفعل المصارع الموجود على الأرض؟</v>
      </c>
      <c r="J243" s="4" t="str">
        <f ca="1">IFERROR(__xludf.DUMMYFUNCTION("GOOGLETRANSLATE(C243,""en"",""ar"")"),"أ) إنه يمارس الرياضة، ب) إنه راكع بعد خسارته المباراة للتو، ج) إنه يربط حذاءه، د) إنه يبحث عن شيء مفقود")</f>
        <v>أ) إنه يمارس الرياضة، ب) إنه راكع بعد خسارته المباراة للتو، ج) إنه يربط حذاءه، د) إنه يبحث عن شيء مفقود</v>
      </c>
      <c r="K243" s="4" t="str">
        <f ca="1">IFERROR(__xludf.DUMMYFUNCTION("GOOGLETRANSLATE(D243,""en"",""ar"")"),"ب) إنه راكع، بعد أن خسر المباراة للتو")</f>
        <v>ب) إنه راكع، بعد أن خسر المباراة للتو</v>
      </c>
      <c r="L243" s="4" t="str">
        <f ca="1">IFERROR(__xludf.DUMMYFUNCTION("GOOGLETRANSLATE(E243,""en"",""ar"")"),"هذه الوضعية تدل على هزيمته في النزال.")</f>
        <v>هذه الوضعية تدل على هزيمته في النزال.</v>
      </c>
      <c r="M243" s="4"/>
      <c r="N243" s="4"/>
      <c r="O243" s="4"/>
      <c r="P243" s="4"/>
      <c r="Q243" s="4"/>
      <c r="R243" s="4"/>
      <c r="S243" s="4"/>
      <c r="T243" s="4"/>
      <c r="U243" s="4"/>
      <c r="V243" s="4"/>
      <c r="W243" s="4"/>
      <c r="X243" s="4"/>
      <c r="Y243" s="4"/>
      <c r="Z243" s="4"/>
      <c r="AA243" s="4"/>
      <c r="AB243" s="4"/>
      <c r="AC243" s="4"/>
      <c r="AD243" s="4"/>
      <c r="AE243" s="4"/>
      <c r="AF243" s="4"/>
      <c r="AG243" s="4"/>
    </row>
    <row r="244" spans="1:33" ht="22.5" customHeight="1" x14ac:dyDescent="0.25">
      <c r="A244" s="2"/>
      <c r="B244" s="2"/>
      <c r="C244" s="2"/>
      <c r="D244" s="2"/>
      <c r="E244" s="2"/>
      <c r="F244" s="4"/>
      <c r="G244" s="4"/>
      <c r="H244" s="6" t="s">
        <v>81</v>
      </c>
      <c r="I244" s="4" t="str">
        <f ca="1">IFERROR(__xludf.DUMMYFUNCTION("GOOGLETRANSLATE(B244,""en"",""ar"")"),"ماذا يفعل المصارع المنتصر بيده اليمنى؟")</f>
        <v>ماذا يفعل المصارع المنتصر بيده اليمنى؟</v>
      </c>
      <c r="J244" s="4" t="str">
        <f ca="1">IFERROR(__xludf.DUMMYFUNCTION("GOOGLETRANSLATE(C244,""en"",""ar"")"),"أ) يصافح خصمه، ب) يرفع قبضته في إشارة انتصار، ج) يشير إلى الحكم، د) يلوح للجمهور")</f>
        <v>أ) يصافح خصمه، ب) يرفع قبضته في إشارة انتصار، ج) يشير إلى الحكم، د) يلوح للجمهور</v>
      </c>
      <c r="K244" s="4" t="str">
        <f ca="1">IFERROR(__xludf.DUMMYFUNCTION("GOOGLETRANSLATE(D244,""en"",""ar"")"),"ب) إنه يرفع قبضته في إشارة إلى النصر")</f>
        <v>ب) إنه يرفع قبضته في إشارة إلى النصر</v>
      </c>
      <c r="L244" s="4" t="str">
        <f ca="1">IFERROR(__xludf.DUMMYFUNCTION("GOOGLETRANSLATE(E244,""en"",""ar"")"),"قبضته المرفوعة رمز كلاسيكي للنصر والقوة.")</f>
        <v>قبضته المرفوعة رمز كلاسيكي للنصر والقوة.</v>
      </c>
      <c r="M244" s="4"/>
      <c r="N244" s="4"/>
      <c r="O244" s="4"/>
      <c r="P244" s="4"/>
      <c r="Q244" s="4"/>
      <c r="R244" s="4"/>
      <c r="S244" s="4"/>
      <c r="T244" s="4"/>
      <c r="U244" s="4"/>
      <c r="V244" s="4"/>
      <c r="W244" s="4"/>
      <c r="X244" s="4"/>
      <c r="Y244" s="4"/>
      <c r="Z244" s="4"/>
      <c r="AA244" s="4"/>
      <c r="AB244" s="4"/>
      <c r="AC244" s="4"/>
      <c r="AD244" s="4"/>
      <c r="AE244" s="4"/>
      <c r="AF244" s="4"/>
      <c r="AG244" s="4"/>
    </row>
    <row r="245" spans="1:33" ht="22.5" customHeight="1" x14ac:dyDescent="0.25">
      <c r="A245" s="2"/>
      <c r="B245" s="2"/>
      <c r="C245" s="2"/>
      <c r="D245" s="2"/>
      <c r="E245" s="2"/>
      <c r="F245" s="4"/>
      <c r="G245" s="4"/>
      <c r="H245" s="7" t="s">
        <v>81</v>
      </c>
      <c r="I245" s="4" t="str">
        <f ca="1">IFERROR(__xludf.DUMMYFUNCTION("GOOGLETRANSLATE(B245,""en"",""ar"")"),"ما هي المادة التي تغطي جسد المنتصر؟")</f>
        <v>ما هي المادة التي تغطي جسد المنتصر؟</v>
      </c>
      <c r="J245" s="4" t="str">
        <f ca="1">IFERROR(__xludf.DUMMYFUNCTION("GOOGLETRANSLATE(C245,""en"",""ar"")"),"أ) طلاء أحمر، ب) طين، ج) غبار أو رماد، د) واقي من الشمس")</f>
        <v>أ) طلاء أحمر، ب) طين، ج) غبار أو رماد، د) واقي من الشمس</v>
      </c>
      <c r="K245" s="4" t="str">
        <f ca="1">IFERROR(__xludf.DUMMYFUNCTION("GOOGLETRANSLATE(D245,""en"",""ar"")"),"ج) الغبار أو الرماد")</f>
        <v>ج) الغبار أو الرماد</v>
      </c>
      <c r="L245" s="4" t="str">
        <f ca="1">IFERROR(__xludf.DUMMYFUNCTION("GOOGLETRANSLATE(E245,""en"",""ar"")"),"إنه مغطى بغبار بني محمر من حلبة المصارعة، وهو دليل على الصراع الشديد.")</f>
        <v>إنه مغطى بغبار بني محمر من حلبة المصارعة، وهو دليل على الصراع الشديد.</v>
      </c>
      <c r="M245" s="4"/>
      <c r="N245" s="4"/>
      <c r="O245" s="4"/>
      <c r="P245" s="4"/>
      <c r="Q245" s="4"/>
      <c r="R245" s="4"/>
      <c r="S245" s="4"/>
      <c r="T245" s="4"/>
      <c r="U245" s="4"/>
      <c r="V245" s="4"/>
      <c r="W245" s="4"/>
      <c r="X245" s="4"/>
      <c r="Y245" s="4"/>
      <c r="Z245" s="4"/>
      <c r="AA245" s="4"/>
      <c r="AB245" s="4"/>
      <c r="AC245" s="4"/>
      <c r="AD245" s="4"/>
      <c r="AE245" s="4"/>
      <c r="AF245" s="4"/>
      <c r="AG245" s="4"/>
    </row>
    <row r="246" spans="1:33" ht="22.5" customHeight="1" x14ac:dyDescent="0.25">
      <c r="A246" s="2"/>
      <c r="B246" s="2"/>
      <c r="C246" s="2"/>
      <c r="D246" s="2"/>
      <c r="E246" s="2"/>
      <c r="F246" s="4"/>
      <c r="G246" s="4"/>
      <c r="H246" s="6" t="s">
        <v>81</v>
      </c>
      <c r="I246" s="4" t="str">
        <f ca="1">IFERROR(__xludf.DUMMYFUNCTION("GOOGLETRANSLATE(B246,""en"",""ar"")"),"الرجل الذي يرتدي السترة السوداء والحمراء هو على الأرجح...")</f>
        <v>الرجل الذي يرتدي السترة السوداء والحمراء هو على الأرجح...</v>
      </c>
      <c r="J246" s="4" t="str">
        <f ca="1">IFERROR(__xludf.DUMMYFUNCTION("GOOGLETRANSLATE(C246,""en"",""ar"")"),"أ) متفرج، ب) مدرب أو مساعد مدرب، ج) مصارع زميل، د) حارس أمن")</f>
        <v>أ) متفرج، ب) مدرب أو مساعد مدرب، ج) مصارع زميل، د) حارس أمن</v>
      </c>
      <c r="K246" s="4" t="str">
        <f ca="1">IFERROR(__xludf.DUMMYFUNCTION("GOOGLETRANSLATE(D246,""en"",""ar"")"),"ب) مدرب أو مساعد مدرب")</f>
        <v>ب) مدرب أو مساعد مدرب</v>
      </c>
      <c r="L246" s="4" t="str">
        <f ca="1">IFERROR(__xludf.DUMMYFUNCTION("GOOGLETRANSLATE(E246,""en"",""ar"")"),"يتمركز بالقرب من المصارعين، ويراقب النتيجة، ويؤدي دوراً مشابهاً لدور المدرب أو المساعد في الملاكمة.")</f>
        <v>يتمركز بالقرب من المصارعين، ويراقب النتيجة، ويؤدي دوراً مشابهاً لدور المدرب أو المساعد في الملاكمة.</v>
      </c>
      <c r="M246" s="4"/>
      <c r="N246" s="4"/>
      <c r="O246" s="4"/>
      <c r="P246" s="4"/>
      <c r="Q246" s="4"/>
      <c r="R246" s="4"/>
      <c r="S246" s="4"/>
      <c r="T246" s="4"/>
      <c r="U246" s="4"/>
      <c r="V246" s="4"/>
      <c r="W246" s="4"/>
      <c r="X246" s="4"/>
      <c r="Y246" s="4"/>
      <c r="Z246" s="4"/>
      <c r="AA246" s="4"/>
      <c r="AB246" s="4"/>
      <c r="AC246" s="4"/>
      <c r="AD246" s="4"/>
      <c r="AE246" s="4"/>
      <c r="AF246" s="4"/>
      <c r="AG246" s="4"/>
    </row>
    <row r="247" spans="1:33" ht="22.5" customHeight="1" x14ac:dyDescent="0.25">
      <c r="A247" s="2"/>
      <c r="B247" s="2"/>
      <c r="C247" s="2"/>
      <c r="D247" s="2"/>
      <c r="E247" s="2"/>
      <c r="F247" s="4"/>
      <c r="G247" s="4"/>
      <c r="H247" s="7" t="s">
        <v>81</v>
      </c>
      <c r="I247" s="4" t="str">
        <f ca="1">IFERROR(__xludf.DUMMYFUNCTION("GOOGLETRANSLATE(B247,""en"",""ar"")"),"ما الذي يرتديه المصارع المنتصر على ركبته اليمنى؟")</f>
        <v>ما الذي يرتديه المصارع المنتصر على ركبته اليمنى؟</v>
      </c>
      <c r="J247" s="4" t="str">
        <f ca="1">IFERROR(__xludf.DUMMYFUNCTION("GOOGLETRANSLATE(C247,""en"",""ar"")"),"أ) شريط زخرفي، ب) وشم، ج) دعامة ركبة بسيطة مبطنة، د) قطعة درع")</f>
        <v>أ) شريط زخرفي، ب) وشم، ج) دعامة ركبة بسيطة مبطنة، د) قطعة درع</v>
      </c>
      <c r="K247" s="4" t="str">
        <f ca="1">IFERROR(__xludf.DUMMYFUNCTION("GOOGLETRANSLATE(D247,""en"",""ar"")"),"ج) دعامة ركبة بسيطة ومبطنة")</f>
        <v>ج) دعامة ركبة بسيطة ومبطنة</v>
      </c>
      <c r="L247" s="4" t="str">
        <f ca="1">IFERROR(__xludf.DUMMYFUNCTION("GOOGLETRANSLATE(E247,""en"",""ar"")"),"يرتدي واقياً للركبة سهل الارتداء للحماية، وهو قطعة من المعدات الرياضية الحديثة.")</f>
        <v>يرتدي واقياً للركبة سهل الارتداء للحماية، وهو قطعة من المعدات الرياضية الحديثة.</v>
      </c>
      <c r="M247" s="4"/>
      <c r="N247" s="4"/>
      <c r="O247" s="4"/>
      <c r="P247" s="4"/>
      <c r="Q247" s="4"/>
      <c r="R247" s="4"/>
      <c r="S247" s="4"/>
      <c r="T247" s="4"/>
      <c r="U247" s="4"/>
      <c r="V247" s="4"/>
      <c r="W247" s="4"/>
      <c r="X247" s="4"/>
      <c r="Y247" s="4"/>
      <c r="Z247" s="4"/>
      <c r="AA247" s="4"/>
      <c r="AB247" s="4"/>
      <c r="AC247" s="4"/>
      <c r="AD247" s="4"/>
      <c r="AE247" s="4"/>
      <c r="AF247" s="4"/>
      <c r="AG247" s="4"/>
    </row>
    <row r="248" spans="1:33" ht="22.5" customHeight="1" x14ac:dyDescent="0.25">
      <c r="A248" s="2"/>
      <c r="B248" s="2"/>
      <c r="C248" s="2"/>
      <c r="D248" s="2"/>
      <c r="E248" s="2"/>
      <c r="F248" s="4"/>
      <c r="G248" s="4"/>
      <c r="H248" s="6" t="s">
        <v>81</v>
      </c>
      <c r="I248" s="4" t="str">
        <f ca="1">IFERROR(__xludf.DUMMYFUNCTION("GOOGLETRANSLATE(B248,""en"",""ar"")"),"يُظهر المصارع المهزوم الاحترام أو يُقر بالهزيمة من خلال...")</f>
        <v>يُظهر المصارع المهزوم الاحترام أو يُقر بالهزيمة من خلال...</v>
      </c>
      <c r="J248" s="4" t="str">
        <f ca="1">IFERROR(__xludf.DUMMYFUNCTION("GOOGLETRANSLATE(C248,""en"",""ar"")"),"أ) الجدال مع الفائز، ب) البقاء على الأرض في وضعية خضوع، ج) مغادرة الحلبة فوراً، د) المطالبة بمباراة إعادة")</f>
        <v>أ) الجدال مع الفائز، ب) البقاء على الأرض في وضعية خضوع، ج) مغادرة الحلبة فوراً، د) المطالبة بمباراة إعادة</v>
      </c>
      <c r="K248" s="4" t="str">
        <f ca="1">IFERROR(__xludf.DUMMYFUNCTION("GOOGLETRANSLATE(D248,""en"",""ar"")"),"ب) البقاء على الأرض في وضعية خاضعة")</f>
        <v>ب) البقاء على الأرض في وضعية خاضعة</v>
      </c>
      <c r="L248" s="4" t="str">
        <f ca="1">IFERROR(__xludf.DUMMYFUNCTION("GOOGLETRANSLATE(E248,""en"",""ar"")"),"في العديد من تقاليد المصارعة، يبقى الخاسر على الأرض للحظة للدلالة بوضوح على فوز خصمه.")</f>
        <v>في العديد من تقاليد المصارعة، يبقى الخاسر على الأرض للحظة للدلالة بوضوح على فوز خصمه.</v>
      </c>
      <c r="M248" s="4"/>
      <c r="N248" s="4"/>
      <c r="O248" s="4"/>
      <c r="P248" s="4"/>
      <c r="Q248" s="4"/>
      <c r="R248" s="4"/>
      <c r="S248" s="4"/>
      <c r="T248" s="4"/>
      <c r="U248" s="4"/>
      <c r="V248" s="4"/>
      <c r="W248" s="4"/>
      <c r="X248" s="4"/>
      <c r="Y248" s="4"/>
      <c r="Z248" s="4"/>
      <c r="AA248" s="4"/>
      <c r="AB248" s="4"/>
      <c r="AC248" s="4"/>
      <c r="AD248" s="4"/>
      <c r="AE248" s="4"/>
      <c r="AF248" s="4"/>
      <c r="AG248" s="4"/>
    </row>
    <row r="249" spans="1:33" ht="22.5" customHeight="1" x14ac:dyDescent="0.25">
      <c r="A249" s="2"/>
      <c r="B249" s="2"/>
      <c r="C249" s="2"/>
      <c r="D249" s="2"/>
      <c r="E249" s="2"/>
      <c r="F249" s="4"/>
      <c r="G249" s="4"/>
      <c r="H249" s="7" t="s">
        <v>81</v>
      </c>
      <c r="I249" s="4" t="str">
        <f ca="1">IFERROR(__xludf.DUMMYFUNCTION("GOOGLETRANSLATE(B249,""en"",""ar"")"),"يرفع الحشد في الخلفية أيديهم، على الأرجح في حالة...")</f>
        <v>يرفع الحشد في الخلفية أيديهم، على الأرجح في حالة...</v>
      </c>
      <c r="J249" s="4" t="str">
        <f ca="1">IFERROR(__xludf.DUMMYFUNCTION("GOOGLETRANSLATE(C249,""en"",""ar"")"),"أ) حجب أعينهم عن الشمس، ب) الاحتجاج على النتيجة، ج) تشجيع الفائز، د) التصويت للفائز")</f>
        <v>أ) حجب أعينهم عن الشمس، ب) الاحتجاج على النتيجة، ج) تشجيع الفائز، د) التصويت للفائز</v>
      </c>
      <c r="K249" s="4" t="str">
        <f ca="1">IFERROR(__xludf.DUMMYFUNCTION("GOOGLETRANSLATE(D249,""en"",""ar"")"),"ج) تشجيع الفائز")</f>
        <v>ج) تشجيع الفائز</v>
      </c>
      <c r="L249" s="4" t="str">
        <f ca="1">IFERROR(__xludf.DUMMYFUNCTION("GOOGLETRANSLATE(E249,""en"",""ar"")"),"تُعدّ الأيدي المرفوعة في الحشد جزءاً من الاحتفال والتصفيق للفائز.")</f>
        <v>تُعدّ الأيدي المرفوعة في الحشد جزءاً من الاحتفال والتصفيق للفائز.</v>
      </c>
      <c r="M249" s="4"/>
      <c r="N249" s="4"/>
      <c r="O249" s="4"/>
      <c r="P249" s="4"/>
      <c r="Q249" s="4"/>
      <c r="R249" s="4"/>
      <c r="S249" s="4"/>
      <c r="T249" s="4"/>
      <c r="U249" s="4"/>
      <c r="V249" s="4"/>
      <c r="W249" s="4"/>
      <c r="X249" s="4"/>
      <c r="Y249" s="4"/>
      <c r="Z249" s="4"/>
      <c r="AA249" s="4"/>
      <c r="AB249" s="4"/>
      <c r="AC249" s="4"/>
      <c r="AD249" s="4"/>
      <c r="AE249" s="4"/>
      <c r="AF249" s="4"/>
      <c r="AG249" s="4"/>
    </row>
    <row r="250" spans="1:33" ht="22.5" customHeight="1" x14ac:dyDescent="0.25">
      <c r="A250" s="2"/>
      <c r="B250" s="2"/>
      <c r="C250" s="2"/>
      <c r="D250" s="2"/>
      <c r="E250" s="2"/>
      <c r="F250" s="4"/>
      <c r="G250" s="4"/>
      <c r="H250" s="6" t="s">
        <v>81</v>
      </c>
      <c r="I250" s="4" t="str">
        <f ca="1">IFERROR(__xludf.DUMMYFUNCTION("GOOGLETRANSLATE(B250,""en"",""ar"")"),"الفائز يرتدي...")</f>
        <v>الفائز يرتدي...</v>
      </c>
      <c r="J250" s="4" t="str">
        <f ca="1">IFERROR(__xludf.DUMMYFUNCTION("GOOGLETRANSLATE(C250,""en"",""ar"")"),"أ) بنطال طويل، ب) مئزر تقليدي، ج) شورت رياضي بسيط برباط، د) لا يرتدي ملابس على الجزء السفلي من جسمه")</f>
        <v>أ) بنطال طويل، ب) مئزر تقليدي، ج) شورت رياضي بسيط برباط، د) لا يرتدي ملابس على الجزء السفلي من جسمه</v>
      </c>
      <c r="K250" s="4" t="str">
        <f ca="1">IFERROR(__xludf.DUMMYFUNCTION("GOOGLETRANSLATE(D250,""en"",""ar"")"),"ج) شورت رياضي بسيط برباط")</f>
        <v>ج) شورت رياضي بسيط برباط</v>
      </c>
      <c r="L250" s="4" t="str">
        <f ca="1">IFERROR(__xludf.DUMMYFUNCTION("GOOGLETRANSLATE(E250,""en"",""ar"")"),"إنه يرتدي ملابس رياضية عصرية وعملية.")</f>
        <v>إنه يرتدي ملابس رياضية عصرية وعملية.</v>
      </c>
      <c r="M250" s="4"/>
      <c r="N250" s="4"/>
      <c r="O250" s="4"/>
      <c r="P250" s="4"/>
      <c r="Q250" s="4"/>
      <c r="R250" s="4"/>
      <c r="S250" s="4"/>
      <c r="T250" s="4"/>
      <c r="U250" s="4"/>
      <c r="V250" s="4"/>
      <c r="W250" s="4"/>
      <c r="X250" s="4"/>
      <c r="Y250" s="4"/>
      <c r="Z250" s="4"/>
      <c r="AA250" s="4"/>
      <c r="AB250" s="4"/>
      <c r="AC250" s="4"/>
      <c r="AD250" s="4"/>
      <c r="AE250" s="4"/>
      <c r="AF250" s="4"/>
      <c r="AG250" s="4"/>
    </row>
    <row r="251" spans="1:33" ht="22.5" customHeight="1" x14ac:dyDescent="0.25">
      <c r="A251" s="2"/>
      <c r="B251" s="2"/>
      <c r="C251" s="2"/>
      <c r="D251" s="2"/>
      <c r="E251" s="2"/>
      <c r="F251" s="4"/>
      <c r="G251" s="4"/>
      <c r="H251" s="7" t="s">
        <v>81</v>
      </c>
      <c r="I251" s="4" t="str">
        <f ca="1">IFERROR(__xludf.DUMMYFUNCTION("GOOGLETRANSLATE(B251,""en"",""ar"")"),"هذا المشهد يجسد...")</f>
        <v>هذا المشهد يجسد...</v>
      </c>
      <c r="J251" s="4" t="str">
        <f ca="1">IFERROR(__xludf.DUMMYFUNCTION("GOOGLETRANSLATE(C251,""en"",""ar"")"),"أ) طقوس ما قبل المباراة، ب) الحسم في نتيجة النزال، ج) الجهد البدني المبذول في التدريب، د) روح الزمالة بين الخصوم")</f>
        <v>أ) طقوس ما قبل المباراة، ب) الحسم في نتيجة النزال، ج) الجهد البدني المبذول في التدريب، د) روح الزمالة بين الخصوم</v>
      </c>
      <c r="K251" s="4" t="str">
        <f ca="1">IFERROR(__xludf.DUMMYFUNCTION("GOOGLETRANSLATE(D251,""en"",""ar"")"),"ب) النتيجة الحاسمة للمبارزة")</f>
        <v>ب) النتيجة الحاسمة للمبارزة</v>
      </c>
      <c r="L251" s="4" t="str">
        <f ca="1">IFERROR(__xludf.DUMMYFUNCTION("GOOGLETRANSLATE(E251,""en"",""ar"")"),"تُظهر الصورة النتيجة النهائية والواضحة لمباراة المصارعة.")</f>
        <v>تُظهر الصورة النتيجة النهائية والواضحة لمباراة المصارعة.</v>
      </c>
      <c r="M251" s="4"/>
      <c r="N251" s="4"/>
      <c r="O251" s="4"/>
      <c r="P251" s="4"/>
      <c r="Q251" s="4"/>
      <c r="R251" s="4"/>
      <c r="S251" s="4"/>
      <c r="T251" s="4"/>
      <c r="U251" s="4"/>
      <c r="V251" s="4"/>
      <c r="W251" s="4"/>
      <c r="X251" s="4"/>
      <c r="Y251" s="4"/>
      <c r="Z251" s="4"/>
      <c r="AA251" s="4"/>
      <c r="AB251" s="4"/>
      <c r="AC251" s="4"/>
      <c r="AD251" s="4"/>
      <c r="AE251" s="4"/>
      <c r="AF251" s="4"/>
      <c r="AG251" s="4"/>
    </row>
    <row r="252" spans="1:33" ht="22.5" customHeight="1" x14ac:dyDescent="0.25">
      <c r="A252" s="2"/>
      <c r="B252" s="2"/>
      <c r="C252" s="2"/>
      <c r="D252" s="2"/>
      <c r="E252" s="2"/>
      <c r="F252" s="4"/>
      <c r="G252" s="4"/>
      <c r="H252" s="6" t="s">
        <v>82</v>
      </c>
      <c r="I252" s="4" t="str">
        <f ca="1">IFERROR(__xludf.DUMMYFUNCTION("GOOGLETRANSLATE(B252,""en"",""ar"")"),"ما الذي يحدث في مباراة المصارعة هذه؟")</f>
        <v>ما الذي يحدث في مباراة المصارعة هذه؟</v>
      </c>
      <c r="J252" s="4" t="str">
        <f ca="1">IFERROR(__xludf.DUMMYFUNCTION("GOOGLETRANSLATE(C252,""en"",""ar"")"),"أ) يقف المصارعان ويدوران حول بعضهما البعض، ب) يقوم أحد المصارعين بحركة رمي مذهلة، ج) يتصارع المصارعان على الأرض، د) انتهت المباراة ويتصافحان")</f>
        <v>أ) يقف المصارعان ويدوران حول بعضهما البعض، ب) يقوم أحد المصارعين بحركة رمي مذهلة، ج) يتصارع المصارعان على الأرض، د) انتهت المباراة ويتصافحان</v>
      </c>
      <c r="K252" s="4" t="str">
        <f ca="1">IFERROR(__xludf.DUMMYFUNCTION("GOOGLETRANSLATE(D252,""en"",""ar"")"),"ج) يتصارع المصارعون على الأرض")</f>
        <v>ج) يتصارع المصارعون على الأرض</v>
      </c>
      <c r="L252" s="4" t="str">
        <f ca="1">IFERROR(__xludf.DUMMYFUNCTION("GOOGLETRANSLATE(E252,""en"",""ar"")"),"انتقلت المباراة إلى الأرض، حيث يخوض المصارعان صراعاً متقارباً وشديداً للسيطرة على الوضع.")</f>
        <v>انتقلت المباراة إلى الأرض، حيث يخوض المصارعان صراعاً متقارباً وشديداً للسيطرة على الوضع.</v>
      </c>
      <c r="M252" s="4"/>
      <c r="N252" s="4"/>
      <c r="O252" s="4"/>
      <c r="P252" s="4"/>
      <c r="Q252" s="4"/>
      <c r="R252" s="4"/>
      <c r="S252" s="4"/>
      <c r="T252" s="4"/>
      <c r="U252" s="4"/>
      <c r="V252" s="4"/>
      <c r="W252" s="4"/>
      <c r="X252" s="4"/>
      <c r="Y252" s="4"/>
      <c r="Z252" s="4"/>
      <c r="AA252" s="4"/>
      <c r="AB252" s="4"/>
      <c r="AC252" s="4"/>
      <c r="AD252" s="4"/>
      <c r="AE252" s="4"/>
      <c r="AF252" s="4"/>
      <c r="AG252" s="4"/>
    </row>
    <row r="253" spans="1:33" ht="22.5" customHeight="1" x14ac:dyDescent="0.25">
      <c r="A253" s="2"/>
      <c r="B253" s="2"/>
      <c r="C253" s="2"/>
      <c r="D253" s="2"/>
      <c r="E253" s="2"/>
      <c r="F253" s="4"/>
      <c r="G253" s="4"/>
      <c r="H253" s="7" t="s">
        <v>82</v>
      </c>
      <c r="I253" s="4" t="str">
        <f ca="1">IFERROR(__xludf.DUMMYFUNCTION("GOOGLETRANSLATE(B253,""en"",""ar"")"),"ما الذي يجعل هذا المشهد مختلفًا عن العديد من صور مصارعة النوبة؟")</f>
        <v>ما الذي يجعل هذا المشهد مختلفًا عن العديد من صور مصارعة النوبة؟</v>
      </c>
      <c r="J253" s="4" t="str">
        <f ca="1">IFERROR(__xludf.DUMMYFUNCTION("GOOGLETRANSLATE(C253,""en"",""ar"")"),"أ) يركز على المصارعة الأرضية بدلاً من الرمية من وضعية الوقوف، ب) لا يوجد متفرجون، ج) يُقام في مكان مغلق، د) يرتدي المصارعون معدات واقية ثقيلة")</f>
        <v>أ) يركز على المصارعة الأرضية بدلاً من الرمية من وضعية الوقوف، ب) لا يوجد متفرجون، ج) يُقام في مكان مغلق، د) يرتدي المصارعون معدات واقية ثقيلة</v>
      </c>
      <c r="K253" s="4" t="str">
        <f ca="1">IFERROR(__xludf.DUMMYFUNCTION("GOOGLETRANSLATE(D253,""en"",""ar"")"),"أ) يركز على المصارعة الأرضية بدلاً من الرمية من وضعية الوقوف")</f>
        <v>أ) يركز على المصارعة الأرضية بدلاً من الرمية من وضعية الوقوف</v>
      </c>
      <c r="L253" s="4" t="str">
        <f ca="1">IFERROR(__xludf.DUMMYFUNCTION("GOOGLETRANSLATE(E253,""en"",""ar"")"),"على الرغم من أن الهدف الأساسي هو الرمية، إلا أن القتال يمكن أن يستمر أحيانًا على الأرض، كما هو موضح هنا.")</f>
        <v>على الرغم من أن الهدف الأساسي هو الرمية، إلا أن القتال يمكن أن يستمر أحيانًا على الأرض، كما هو موضح هنا.</v>
      </c>
      <c r="M253" s="4"/>
      <c r="N253" s="4"/>
      <c r="O253" s="4"/>
      <c r="P253" s="4"/>
      <c r="Q253" s="4"/>
      <c r="R253" s="4"/>
      <c r="S253" s="4"/>
      <c r="T253" s="4"/>
      <c r="U253" s="4"/>
      <c r="V253" s="4"/>
      <c r="W253" s="4"/>
      <c r="X253" s="4"/>
      <c r="Y253" s="4"/>
      <c r="Z253" s="4"/>
      <c r="AA253" s="4"/>
      <c r="AB253" s="4"/>
      <c r="AC253" s="4"/>
      <c r="AD253" s="4"/>
      <c r="AE253" s="4"/>
      <c r="AF253" s="4"/>
      <c r="AG253" s="4"/>
    </row>
    <row r="254" spans="1:33" ht="22.5" customHeight="1" x14ac:dyDescent="0.25">
      <c r="A254" s="2"/>
      <c r="B254" s="2"/>
      <c r="C254" s="2"/>
      <c r="D254" s="2"/>
      <c r="E254" s="2"/>
      <c r="F254" s="4"/>
      <c r="G254" s="4"/>
      <c r="H254" s="6" t="s">
        <v>82</v>
      </c>
      <c r="I254" s="4" t="str">
        <f ca="1">IFERROR(__xludf.DUMMYFUNCTION("GOOGLETRANSLATE(B254,""en"",""ar"")"),"يبدو أن الإعداد هو...")</f>
        <v>يبدو أن الإعداد هو...</v>
      </c>
      <c r="J254" s="4" t="str">
        <f ca="1">IFERROR(__xludf.DUMMYFUNCTION("GOOGLETRANSLATE(C254,""en"",""ar"")"),"أ) ملعب حديث مُسيّج، ب) ساحة قرية تقليدية غير رسمية، ج) صالة رياضية خاصة، د) حديقة عشبية")</f>
        <v>أ) ملعب حديث مُسيّج، ب) ساحة قرية تقليدية غير رسمية، ج) صالة رياضية خاصة، د) حديقة عشبية</v>
      </c>
      <c r="K254" s="4" t="str">
        <f ca="1">IFERROR(__xludf.DUMMYFUNCTION("GOOGLETRANSLATE(D254,""en"",""ar"")"),"ب) فسحة قرية تقليدية غير رسمية")</f>
        <v>ب) فسحة قرية تقليدية غير رسمية</v>
      </c>
      <c r="L254" s="4" t="str">
        <f ca="1">IFERROR(__xludf.DUMMYFUNCTION("GOOGLETRANSLATE(E254,""en"",""ar"")"),"الحشد موجود في الخلفية بدون حواجز رسمية، والأرض بسيطة، أرض جرداء.")</f>
        <v>الحشد موجود في الخلفية بدون حواجز رسمية، والأرض بسيطة، أرض جرداء.</v>
      </c>
      <c r="M254" s="4"/>
      <c r="N254" s="4"/>
      <c r="O254" s="4"/>
      <c r="P254" s="4"/>
      <c r="Q254" s="4"/>
      <c r="R254" s="4"/>
      <c r="S254" s="4"/>
      <c r="T254" s="4"/>
      <c r="U254" s="4"/>
      <c r="V254" s="4"/>
      <c r="W254" s="4"/>
      <c r="X254" s="4"/>
      <c r="Y254" s="4"/>
      <c r="Z254" s="4"/>
      <c r="AA254" s="4"/>
      <c r="AB254" s="4"/>
      <c r="AC254" s="4"/>
      <c r="AD254" s="4"/>
      <c r="AE254" s="4"/>
      <c r="AF254" s="4"/>
      <c r="AG254" s="4"/>
    </row>
    <row r="255" spans="1:33" ht="22.5" customHeight="1" x14ac:dyDescent="0.25">
      <c r="A255" s="2"/>
      <c r="B255" s="2"/>
      <c r="C255" s="2"/>
      <c r="D255" s="2"/>
      <c r="E255" s="2"/>
      <c r="F255" s="4"/>
      <c r="G255" s="4"/>
      <c r="H255" s="7" t="s">
        <v>82</v>
      </c>
      <c r="I255" s="4" t="str">
        <f ca="1">IFERROR(__xludf.DUMMYFUNCTION("GOOGLETRANSLATE(B255,""en"",""ar"")"),"ماذا يدل الغبار المحيط بالمصارعين؟")</f>
        <v>ماذا يدل الغبار المحيط بالمصارعين؟</v>
      </c>
      <c r="J255" s="4" t="str">
        <f ca="1">IFERROR(__xludf.DUMMYFUNCTION("GOOGLETRANSLATE(C255,""en"",""ar"")"),"أ) الجو عاصف للغاية، ب) إنهم يتحركون ويكافحون بشدة، ج) الأرض مبتلة، د) تم إخماد حريق للتو")</f>
        <v>أ) الجو عاصف للغاية، ب) إنهم يتحركون ويكافحون بشدة، ج) الأرض مبتلة، د) تم إخماد حريق للتو</v>
      </c>
      <c r="K255" s="4" t="str">
        <f ca="1">IFERROR(__xludf.DUMMYFUNCTION("GOOGLETRANSLATE(D255,""en"",""ar"")"),"ب) إنهم يتحركون ويكافحون بشدة")</f>
        <v>ب) إنهم يتحركون ويكافحون بشدة</v>
      </c>
      <c r="L255" s="4" t="str">
        <f ca="1">IFERROR(__xludf.DUMMYFUNCTION("GOOGLETRANSLATE(E255,""en"",""ar"")"),"حركتهم على الأرض الجافة تثير سحابة ناعمة من الغبار.")</f>
        <v>حركتهم على الأرض الجافة تثير سحابة ناعمة من الغبار.</v>
      </c>
      <c r="M255" s="4"/>
      <c r="N255" s="4"/>
      <c r="O255" s="4"/>
      <c r="P255" s="4"/>
      <c r="Q255" s="4"/>
      <c r="R255" s="4"/>
      <c r="S255" s="4"/>
      <c r="T255" s="4"/>
      <c r="U255" s="4"/>
      <c r="V255" s="4"/>
      <c r="W255" s="4"/>
      <c r="X255" s="4"/>
      <c r="Y255" s="4"/>
      <c r="Z255" s="4"/>
      <c r="AA255" s="4"/>
      <c r="AB255" s="4"/>
      <c r="AC255" s="4"/>
      <c r="AD255" s="4"/>
      <c r="AE255" s="4"/>
      <c r="AF255" s="4"/>
      <c r="AG255" s="4"/>
    </row>
    <row r="256" spans="1:33" ht="22.5" customHeight="1" x14ac:dyDescent="0.25">
      <c r="A256" s="2"/>
      <c r="B256" s="2"/>
      <c r="C256" s="2"/>
      <c r="D256" s="2"/>
      <c r="E256" s="2"/>
      <c r="F256" s="4"/>
      <c r="G256" s="4"/>
      <c r="H256" s="6" t="s">
        <v>82</v>
      </c>
      <c r="I256" s="4" t="str">
        <f ca="1">IFERROR(__xludf.DUMMYFUNCTION("GOOGLETRANSLATE(B256,""en"",""ar"")"),"ما نوع الملابس العصرية التي يرتديها كلا المصارعين؟")</f>
        <v>ما نوع الملابس العصرية التي يرتديها كلا المصارعين؟</v>
      </c>
      <c r="J256" s="4" t="str">
        <f ca="1">IFERROR(__xludf.DUMMYFUNCTION("GOOGLETRANSLATE(C256,""en"",""ar"")"),"أ) قمصان بأكمام طويلة، ب) سترات ثقيلة، ج) قمصان رياضية بدون أكمام، د) قمصان رسمية")</f>
        <v>أ) قمصان بأكمام طويلة، ب) سترات ثقيلة، ج) قمصان رياضية بدون أكمام، د) قمصان رسمية</v>
      </c>
      <c r="K256" s="4" t="str">
        <f ca="1">IFERROR(__xludf.DUMMYFUNCTION("GOOGLETRANSLATE(D256,""en"",""ar"")"),"ج) قمصان رياضية بدون أكمام")</f>
        <v>ج) قمصان رياضية بدون أكمام</v>
      </c>
      <c r="L256" s="4" t="str">
        <f ca="1">IFERROR(__xludf.DUMMYFUNCTION("GOOGLETRANSLATE(E256,""en"",""ar"")"),"كلاهما يرتديان قمصان رياضية بسيطة بلا أكمام.")</f>
        <v>كلاهما يرتديان قمصان رياضية بسيطة بلا أكمام.</v>
      </c>
      <c r="M256" s="4"/>
      <c r="N256" s="4"/>
      <c r="O256" s="4"/>
      <c r="P256" s="4"/>
      <c r="Q256" s="4"/>
      <c r="R256" s="4"/>
      <c r="S256" s="4"/>
      <c r="T256" s="4"/>
      <c r="U256" s="4"/>
      <c r="V256" s="4"/>
      <c r="W256" s="4"/>
      <c r="X256" s="4"/>
      <c r="Y256" s="4"/>
      <c r="Z256" s="4"/>
      <c r="AA256" s="4"/>
      <c r="AB256" s="4"/>
      <c r="AC256" s="4"/>
      <c r="AD256" s="4"/>
      <c r="AE256" s="4"/>
      <c r="AF256" s="4"/>
      <c r="AG256" s="4"/>
    </row>
    <row r="257" spans="1:33" ht="22.5" customHeight="1" x14ac:dyDescent="0.25">
      <c r="A257" s="2"/>
      <c r="B257" s="2"/>
      <c r="C257" s="2"/>
      <c r="D257" s="2"/>
      <c r="E257" s="2"/>
      <c r="F257" s="4"/>
      <c r="G257" s="4"/>
      <c r="H257" s="7" t="s">
        <v>82</v>
      </c>
      <c r="I257" s="4" t="str">
        <f ca="1">IFERROR(__xludf.DUMMYFUNCTION("GOOGLETRANSLATE(B257,""en"",""ar"")"),"ماذا يحاول المصارع الموجود في الأعلى أن يفعل؟")</f>
        <v>ماذا يحاول المصارع الموجود في الأعلى أن يفعل؟</v>
      </c>
      <c r="J257" s="4" t="str">
        <f ca="1">IFERROR(__xludf.DUMMYFUNCTION("GOOGLETRANSLATE(C257,""en"",""ar"")"),"أ) دع خصمه يقف، ب) ثبت كتفي خصمه على الأرض، ج) سيطر على خصمه واقلبه على ظهره، د) دغدغ خصمه")</f>
        <v>أ) دع خصمه يقف، ب) ثبت كتفي خصمه على الأرض، ج) سيطر على خصمه واقلبه على ظهره، د) دغدغ خصمه</v>
      </c>
      <c r="K257" s="4" t="str">
        <f ca="1">IFERROR(__xludf.DUMMYFUNCTION("GOOGLETRANSLATE(D257,""en"",""ar"")"),"ج) السيطرة على خصمه وقلبه على ظهره")</f>
        <v>ج) السيطرة على خصمه وقلبه على ظهره</v>
      </c>
      <c r="L257" s="4" t="str">
        <f ca="1">IFERROR(__xludf.DUMMYFUNCTION("GOOGLETRANSLATE(E257,""en"",""ar"")"),"حتى على الأرض، يبقى الهدف واحداً: التلاعب بالخصم حتى يلامس ظهره الأرض لضمان الفوز.")</f>
        <v>حتى على الأرض، يبقى الهدف واحداً: التلاعب بالخصم حتى يلامس ظهره الأرض لضمان الفوز.</v>
      </c>
      <c r="M257" s="4"/>
      <c r="N257" s="4"/>
      <c r="O257" s="4"/>
      <c r="P257" s="4"/>
      <c r="Q257" s="4"/>
      <c r="R257" s="4"/>
      <c r="S257" s="4"/>
      <c r="T257" s="4"/>
      <c r="U257" s="4"/>
      <c r="V257" s="4"/>
      <c r="W257" s="4"/>
      <c r="X257" s="4"/>
      <c r="Y257" s="4"/>
      <c r="Z257" s="4"/>
      <c r="AA257" s="4"/>
      <c r="AB257" s="4"/>
      <c r="AC257" s="4"/>
      <c r="AD257" s="4"/>
      <c r="AE257" s="4"/>
      <c r="AF257" s="4"/>
      <c r="AG257" s="4"/>
    </row>
    <row r="258" spans="1:33" ht="22.5" customHeight="1" x14ac:dyDescent="0.25">
      <c r="A258" s="2"/>
      <c r="B258" s="2"/>
      <c r="C258" s="2"/>
      <c r="D258" s="2"/>
      <c r="E258" s="2"/>
      <c r="F258" s="4"/>
      <c r="G258" s="4"/>
      <c r="H258" s="6" t="s">
        <v>82</v>
      </c>
      <c r="I258" s="4" t="str">
        <f ca="1">IFERROR(__xludf.DUMMYFUNCTION("GOOGLETRANSLATE(B258,""en"",""ar"")"),"الخلفية الضبابية ذات الملابس الملونة تنتمي إلى...")</f>
        <v>الخلفية الضبابية ذات الملابس الملونة تنتمي إلى...</v>
      </c>
      <c r="J258" s="4" t="str">
        <f ca="1">IFERROR(__xludf.DUMMYFUNCTION("GOOGLETRANSLATE(C258,""en"",""ar"")"),"أ) مصارعون آخرون، ب) مناظر طبيعية، ج) متفرجون، د) مبانٍ")</f>
        <v>أ) مصارعون آخرون، ب) مناظر طبيعية، ج) متفرجون، د) مبانٍ</v>
      </c>
      <c r="K258" s="4" t="str">
        <f ca="1">IFERROR(__xludf.DUMMYFUNCTION("GOOGLETRANSLATE(D258,""en"",""ar"")"),"ج) المتفرجون")</f>
        <v>ج) المتفرجون</v>
      </c>
      <c r="L258" s="4" t="str">
        <f ca="1">IFERROR(__xludf.DUMMYFUNCTION("GOOGLETRANSLATE(E258,""en"",""ar"")"),"الألوان غير الواضحة هي ملابس الحشد الكبير من أفراد المجتمع الذين يشاهدون المباراة.")</f>
        <v>الألوان غير الواضحة هي ملابس الحشد الكبير من أفراد المجتمع الذين يشاهدون المباراة.</v>
      </c>
      <c r="M258" s="4"/>
      <c r="N258" s="4"/>
      <c r="O258" s="4"/>
      <c r="P258" s="4"/>
      <c r="Q258" s="4"/>
      <c r="R258" s="4"/>
      <c r="S258" s="4"/>
      <c r="T258" s="4"/>
      <c r="U258" s="4"/>
      <c r="V258" s="4"/>
      <c r="W258" s="4"/>
      <c r="X258" s="4"/>
      <c r="Y258" s="4"/>
      <c r="Z258" s="4"/>
      <c r="AA258" s="4"/>
      <c r="AB258" s="4"/>
      <c r="AC258" s="4"/>
      <c r="AD258" s="4"/>
      <c r="AE258" s="4"/>
      <c r="AF258" s="4"/>
      <c r="AG258" s="4"/>
    </row>
    <row r="259" spans="1:33" ht="22.5" customHeight="1" x14ac:dyDescent="0.25">
      <c r="A259" s="2"/>
      <c r="B259" s="2"/>
      <c r="C259" s="2"/>
      <c r="D259" s="2"/>
      <c r="E259" s="2"/>
      <c r="F259" s="4"/>
      <c r="G259" s="4"/>
      <c r="H259" s="7" t="s">
        <v>82</v>
      </c>
      <c r="I259" s="4" t="str">
        <f ca="1">IFERROR(__xludf.DUMMYFUNCTION("GOOGLETRANSLATE(B259,""en"",""ar"")"),"المصارع الموجود في الأسفل في...")</f>
        <v>المصارع الموجود في الأسفل في...</v>
      </c>
      <c r="J259" s="4" t="str">
        <f ca="1">IFERROR(__xludf.DUMMYFUNCTION("GOOGLETRANSLATE(C259,""en"",""ar"")"),"أ) وضعية مهيمنة، وضعية الفوز، ب) وضعية دفاعية، وضعية الضعف، ج) وضعية محايدة، وضعية الراحة، د) وضعية مريحة، وضعية الاسترخاء")</f>
        <v>أ) وضعية مهيمنة، وضعية الفوز، ب) وضعية دفاعية، وضعية الضعف، ج) وضعية محايدة، وضعية الراحة، د) وضعية مريحة، وضعية الاسترخاء</v>
      </c>
      <c r="K259" s="4" t="str">
        <f ca="1">IFERROR(__xludf.DUMMYFUNCTION("GOOGLETRANSLATE(D259,""en"",""ar"")"),"ب) وضع دفاعي، وضع ضعيف")</f>
        <v>ب) وضع دفاعي، وضع ضعيف</v>
      </c>
      <c r="L259" s="4" t="str">
        <f ca="1">IFERROR(__xludf.DUMMYFUNCTION("GOOGLETRANSLATE(E259,""en"",""ar"")"),"هو على وشك الخسارة في المباراة، لذا فهو في وضع صعب للغاية.")</f>
        <v>هو على وشك الخسارة في المباراة، لذا فهو في وضع صعب للغاية.</v>
      </c>
      <c r="M259" s="4"/>
      <c r="N259" s="4"/>
      <c r="O259" s="4"/>
      <c r="P259" s="4"/>
      <c r="Q259" s="4"/>
      <c r="R259" s="4"/>
      <c r="S259" s="4"/>
      <c r="T259" s="4"/>
      <c r="U259" s="4"/>
      <c r="V259" s="4"/>
      <c r="W259" s="4"/>
      <c r="X259" s="4"/>
      <c r="Y259" s="4"/>
      <c r="Z259" s="4"/>
      <c r="AA259" s="4"/>
      <c r="AB259" s="4"/>
      <c r="AC259" s="4"/>
      <c r="AD259" s="4"/>
      <c r="AE259" s="4"/>
      <c r="AF259" s="4"/>
      <c r="AG259" s="4"/>
    </row>
    <row r="260" spans="1:33" ht="22.5" customHeight="1" x14ac:dyDescent="0.25">
      <c r="A260" s="2"/>
      <c r="B260" s="2"/>
      <c r="C260" s="2"/>
      <c r="D260" s="2"/>
      <c r="E260" s="2"/>
      <c r="F260" s="4"/>
      <c r="G260" s="4"/>
      <c r="H260" s="6" t="s">
        <v>82</v>
      </c>
      <c r="I260" s="4" t="str">
        <f ca="1">IFERROR(__xludf.DUMMYFUNCTION("GOOGLETRANSLATE(B260,""en"",""ar"")"),"يبدو أن المباراة متكافئة للغاية، وهذا دليل على مهارة المصارعين...")</f>
        <v>يبدو أن المباراة متكافئة للغاية، وهذا دليل على مهارة المصارعين...</v>
      </c>
      <c r="J260" s="4" t="str">
        <f ca="1">IFERROR(__xludf.DUMMYFUNCTION("GOOGLETRANSLATE(C260,""en"",""ar"")"),"أ) نقص المهارة، ب) تشابه القوة ومستوى المهارة، ج) عدم الاهتمام بالفوز، د) التقدم في السن")</f>
        <v>أ) نقص المهارة، ب) تشابه القوة ومستوى المهارة، ج) عدم الاهتمام بالفوز، د) التقدم في السن</v>
      </c>
      <c r="K260" s="4" t="str">
        <f ca="1">IFERROR(__xludf.DUMMYFUNCTION("GOOGLETRANSLATE(D260,""en"",""ar"")"),"ب) مستوى مماثل من القوة والمهارة")</f>
        <v>ب) مستوى مماثل من القوة والمهارة</v>
      </c>
      <c r="L260" s="4" t="str">
        <f ca="1">IFERROR(__xludf.DUMMYFUNCTION("GOOGLETRANSLATE(E260,""en"",""ar"")"),"يُظهر الصراع الشديد والمتبادل على الأرض أن كلا المتنافسين ماهران وقويان.")</f>
        <v>يُظهر الصراع الشديد والمتبادل على الأرض أن كلا المتنافسين ماهران وقويان.</v>
      </c>
      <c r="M260" s="4"/>
      <c r="N260" s="4"/>
      <c r="O260" s="4"/>
      <c r="P260" s="4"/>
      <c r="Q260" s="4"/>
      <c r="R260" s="4"/>
      <c r="S260" s="4"/>
      <c r="T260" s="4"/>
      <c r="U260" s="4"/>
      <c r="V260" s="4"/>
      <c r="W260" s="4"/>
      <c r="X260" s="4"/>
      <c r="Y260" s="4"/>
      <c r="Z260" s="4"/>
      <c r="AA260" s="4"/>
      <c r="AB260" s="4"/>
      <c r="AC260" s="4"/>
      <c r="AD260" s="4"/>
      <c r="AE260" s="4"/>
      <c r="AF260" s="4"/>
      <c r="AG260" s="4"/>
    </row>
    <row r="261" spans="1:33" ht="22.5" customHeight="1" x14ac:dyDescent="0.25">
      <c r="A261" s="2"/>
      <c r="B261" s="2"/>
      <c r="C261" s="2"/>
      <c r="D261" s="2"/>
      <c r="E261" s="2"/>
      <c r="F261" s="4"/>
      <c r="G261" s="4"/>
      <c r="H261" s="7" t="s">
        <v>82</v>
      </c>
      <c r="I261" s="4" t="str">
        <f ca="1">IFERROR(__xludf.DUMMYFUNCTION("GOOGLETRANSLATE(B261,""en"",""ar"")"),"تُجسّد هذه الصورة...")</f>
        <v>تُجسّد هذه الصورة...</v>
      </c>
      <c r="J261" s="4" t="str">
        <f ca="1">IFERROR(__xludf.DUMMYFUNCTION("GOOGLETRANSLATE(C261,""en"",""ar"")"),"أ) روعة الرياضة وحركتها الراقصة، ب) الواقع القاسي والواقعي للصراع، ج) طقوس ما قبل المباراة، د) احتفال ما بعد المباراة")</f>
        <v>أ) روعة الرياضة وحركتها الراقصة، ب) الواقع القاسي والواقعي للصراع، ج) طقوس ما قبل المباراة، د) احتفال ما بعد المباراة</v>
      </c>
      <c r="K261" s="4" t="str">
        <f ca="1">IFERROR(__xludf.DUMMYFUNCTION("GOOGLETRANSLATE(D261,""en"",""ar"")"),"ب) الواقع القاسي والصريح للصراع")</f>
        <v>ب) الواقع القاسي والصريح للصراع</v>
      </c>
      <c r="L261" s="4" t="str">
        <f ca="1">IFERROR(__xludf.DUMMYFUNCTION("GOOGLETRANSLATE(E261,""en"",""ar"")"),"هذا ليس رمية مذهلة، بل هو العمل الصعب والمرهق وغير الجذاب المتمثل في المصارعة على الأرض.")</f>
        <v>هذا ليس رمية مذهلة، بل هو العمل الصعب والمرهق وغير الجذاب المتمثل في المصارعة على الأرض.</v>
      </c>
      <c r="M261" s="4"/>
      <c r="N261" s="4"/>
      <c r="O261" s="4"/>
      <c r="P261" s="4"/>
      <c r="Q261" s="4"/>
      <c r="R261" s="4"/>
      <c r="S261" s="4"/>
      <c r="T261" s="4"/>
      <c r="U261" s="4"/>
      <c r="V261" s="4"/>
      <c r="W261" s="4"/>
      <c r="X261" s="4"/>
      <c r="Y261" s="4"/>
      <c r="Z261" s="4"/>
      <c r="AA261" s="4"/>
      <c r="AB261" s="4"/>
      <c r="AC261" s="4"/>
      <c r="AD261" s="4"/>
      <c r="AE261" s="4"/>
      <c r="AF261" s="4"/>
      <c r="AG261" s="4"/>
    </row>
    <row r="262" spans="1:33" ht="22.5" customHeight="1" x14ac:dyDescent="0.25">
      <c r="A262" s="2"/>
      <c r="B262" s="2"/>
      <c r="C262" s="2"/>
      <c r="D262" s="2"/>
      <c r="E262" s="2"/>
      <c r="F262" s="4"/>
      <c r="G262" s="4"/>
      <c r="H262" s="6" t="s">
        <v>83</v>
      </c>
      <c r="I262" s="4" t="str">
        <f ca="1">IFERROR(__xludf.DUMMYFUNCTION("GOOGLETRANSLATE(B262,""en"",""ar"")"),"ما الذي توحي به جودة الصورة بالأبيض والأسود؟")</f>
        <v>ما الذي توحي به جودة الصورة بالأبيض والأسود؟</v>
      </c>
      <c r="J262" s="4" t="str">
        <f ca="1">IFERROR(__xludf.DUMMYFUNCTION("GOOGLETRANSLATE(C262,""en"",""ar"")"),"أ) مباراة حديثة باستخدام فلتر كاميرا خاص، ب) مباراة ليلية تحت أضواء ساطعة، ج) شكل تاريخي أو تقليدي للرياضة من الماضي، د) جلسة تدريبية تحت المطر")</f>
        <v>أ) مباراة حديثة باستخدام فلتر كاميرا خاص، ب) مباراة ليلية تحت أضواء ساطعة، ج) شكل تاريخي أو تقليدي للرياضة من الماضي، د) جلسة تدريبية تحت المطر</v>
      </c>
      <c r="K262" s="4" t="str">
        <f ca="1">IFERROR(__xludf.DUMMYFUNCTION("GOOGLETRANSLATE(D262,""en"",""ar"")"),"ج) شكل تاريخي أو تقليدي للرياضة من الماضي")</f>
        <v>ج) شكل تاريخي أو تقليدي للرياضة من الماضي</v>
      </c>
      <c r="L262" s="4" t="str">
        <f ca="1">IFERROR(__xludf.DUMMYFUNCTION("GOOGLETRANSLATE(E262,""en"",""ar"")"),"تشير الصورة أحادية اللون والزي التقليدي البسيط إلى أن هذه الصورة التُقطت قبل عقود، لتجسد الرياضة في حالتها التاريخية. ⏳")</f>
        <v>تشير الصورة أحادية اللون والزي التقليدي البسيط إلى أن هذه الصورة التُقطت قبل عقود، لتجسد الرياضة في حالتها التاريخية. ⏳</v>
      </c>
      <c r="M262" s="4"/>
      <c r="N262" s="4"/>
      <c r="O262" s="4"/>
      <c r="P262" s="4"/>
      <c r="Q262" s="4"/>
      <c r="R262" s="4"/>
      <c r="S262" s="4"/>
      <c r="T262" s="4"/>
      <c r="U262" s="4"/>
      <c r="V262" s="4"/>
      <c r="W262" s="4"/>
      <c r="X262" s="4"/>
      <c r="Y262" s="4"/>
      <c r="Z262" s="4"/>
      <c r="AA262" s="4"/>
      <c r="AB262" s="4"/>
      <c r="AC262" s="4"/>
      <c r="AD262" s="4"/>
      <c r="AE262" s="4"/>
      <c r="AF262" s="4"/>
      <c r="AG262" s="4"/>
    </row>
    <row r="263" spans="1:33" ht="22.5" customHeight="1" x14ac:dyDescent="0.25">
      <c r="A263" s="2"/>
      <c r="B263" s="2"/>
      <c r="C263" s="2"/>
      <c r="D263" s="2"/>
      <c r="E263" s="2"/>
      <c r="F263" s="4"/>
      <c r="G263" s="4"/>
      <c r="H263" s="7" t="s">
        <v>83</v>
      </c>
      <c r="I263" s="4" t="str">
        <f ca="1">IFERROR(__xludf.DUMMYFUNCTION("GOOGLETRANSLATE(B263,""en"",""ar"")"),"ما هي وضعية المصارعين؟")</f>
        <v>ما هي وضعية المصارعين؟</v>
      </c>
      <c r="J263" s="4" t="str">
        <f ca="1">IFERROR(__xludf.DUMMYFUNCTION("GOOGLETRANSLATE(C263,""en"",""ar"")"),"أ) يقفون منتصبين ويتصافحون، ب) هم في وضعية منخفضة ومنحنية استعدادًا للمواجهة، ج) أحدهم على الأرض بعد هزيمته، د) يحتفلون بالنصر")</f>
        <v>أ) يقفون منتصبين ويتصافحون، ب) هم في وضعية منخفضة ومنحنية استعدادًا للمواجهة، ج) أحدهم على الأرض بعد هزيمته، د) يحتفلون بالنصر</v>
      </c>
      <c r="K263" s="4" t="str">
        <f ca="1">IFERROR(__xludf.DUMMYFUNCTION("GOOGLETRANSLATE(D263,""en"",""ar"")"),"ب) هم في وضعية منخفضة، منحنية، قبل بدء الاشتباك")</f>
        <v>ب) هم في وضعية منخفضة، منحنية، قبل بدء الاشتباك</v>
      </c>
      <c r="L263" s="4" t="str">
        <f ca="1">IFERROR(__xludf.DUMMYFUNCTION("GOOGLETRANSLATE(E263,""en"",""ar"")"),"هذا هو الوضع الاستعدادي في المصارعة، حيث يكون المتنافسون متوازنين ومستعدين لبدء الإمساك أو الرد على خصمهم.")</f>
        <v>هذا هو الوضع الاستعدادي في المصارعة، حيث يكون المتنافسون متوازنين ومستعدين لبدء الإمساك أو الرد على خصمهم.</v>
      </c>
      <c r="M263" s="4"/>
      <c r="N263" s="4"/>
      <c r="O263" s="4"/>
      <c r="P263" s="4"/>
      <c r="Q263" s="4"/>
      <c r="R263" s="4"/>
      <c r="S263" s="4"/>
      <c r="T263" s="4"/>
      <c r="U263" s="4"/>
      <c r="V263" s="4"/>
      <c r="W263" s="4"/>
      <c r="X263" s="4"/>
      <c r="Y263" s="4"/>
      <c r="Z263" s="4"/>
      <c r="AA263" s="4"/>
      <c r="AB263" s="4"/>
      <c r="AC263" s="4"/>
      <c r="AD263" s="4"/>
      <c r="AE263" s="4"/>
      <c r="AF263" s="4"/>
      <c r="AG263" s="4"/>
    </row>
    <row r="264" spans="1:33" ht="22.5" customHeight="1" x14ac:dyDescent="0.25">
      <c r="A264" s="2"/>
      <c r="B264" s="2"/>
      <c r="C264" s="2"/>
      <c r="D264" s="2"/>
      <c r="E264" s="2"/>
      <c r="F264" s="4"/>
      <c r="G264" s="4"/>
      <c r="H264" s="6" t="s">
        <v>83</v>
      </c>
      <c r="I264" s="4" t="str">
        <f ca="1">IFERROR(__xludf.DUMMYFUNCTION("GOOGLETRANSLATE(B264,""en"",""ar"")"),"يبدو أن الجسم الملتصق بظهر المصارع على اليمين هو...")</f>
        <v>يبدو أن الجسم الملتصق بظهر المصارع على اليمين هو...</v>
      </c>
      <c r="J264" s="4" t="str">
        <f ca="1">IFERROR(__xludf.DUMMYFUNCTION("GOOGLETRANSLATE(C264,""en"",""ar"")"),"أ) حقيبة خصر عصرية، ب) قرع أو قرعة تقليدية، ج) طبل صغير، د) كيس رمل للترجيح")</f>
        <v>أ) حقيبة خصر عصرية، ب) قرع أو قرعة تقليدية، ج) طبل صغير، د) كيس رمل للترجيح</v>
      </c>
      <c r="K264" s="4" t="str">
        <f ca="1">IFERROR(__xludf.DUMMYFUNCTION("GOOGLETRANSLATE(D264,""en"",""ar"")"),"ب) قرع تقليدي أو قرع العسل")</f>
        <v>ب) قرع تقليدي أو قرع العسل</v>
      </c>
      <c r="L264" s="4" t="str">
        <f ca="1">IFERROR(__xludf.DUMMYFUNCTION("GOOGLETRANSLATE(E264,""en"",""ar"")"),"يمكن أن تكون هذه العناصر جزءًا من الزي الاحتفالي أو الطقوسي في مصارعة النوبة التقليدية.")</f>
        <v>يمكن أن تكون هذه العناصر جزءًا من الزي الاحتفالي أو الطقوسي في مصارعة النوبة التقليدية.</v>
      </c>
      <c r="M264" s="4"/>
      <c r="N264" s="4"/>
      <c r="O264" s="4"/>
      <c r="P264" s="4"/>
      <c r="Q264" s="4"/>
      <c r="R264" s="4"/>
      <c r="S264" s="4"/>
      <c r="T264" s="4"/>
      <c r="U264" s="4"/>
      <c r="V264" s="4"/>
      <c r="W264" s="4"/>
      <c r="X264" s="4"/>
      <c r="Y264" s="4"/>
      <c r="Z264" s="4"/>
      <c r="AA264" s="4"/>
      <c r="AB264" s="4"/>
      <c r="AC264" s="4"/>
      <c r="AD264" s="4"/>
      <c r="AE264" s="4"/>
      <c r="AF264" s="4"/>
      <c r="AG264" s="4"/>
    </row>
    <row r="265" spans="1:33" ht="22.5" customHeight="1" x14ac:dyDescent="0.25">
      <c r="A265" s="2"/>
      <c r="B265" s="2"/>
      <c r="C265" s="2"/>
      <c r="D265" s="2"/>
      <c r="E265" s="2"/>
      <c r="F265" s="4"/>
      <c r="G265" s="4"/>
      <c r="H265" s="7" t="s">
        <v>83</v>
      </c>
      <c r="I265" s="4" t="str">
        <f ca="1">IFERROR(__xludf.DUMMYFUNCTION("GOOGLETRANSLATE(B265,""en"",""ar"")"),"الحشد في الخلفية هو...")</f>
        <v>الحشد في الخلفية هو...</v>
      </c>
      <c r="J265" s="4" t="str">
        <f ca="1">IFERROR(__xludf.DUMMYFUNCTION("GOOGLETRANSLATE(C265,""en"",""ar"")"),"أ) الجلوس في مدرج حديث، ب) المشاهدة من مسافة بعيدة، ج) الوقوف متقاربين، مشكلين دائرة بشرية حول المصارعين، د) عدم الانتباه للمباراة")</f>
        <v>أ) الجلوس في مدرج حديث، ب) المشاهدة من مسافة بعيدة، ج) الوقوف متقاربين، مشكلين دائرة بشرية حول المصارعين، د) عدم الانتباه للمباراة</v>
      </c>
      <c r="K265" s="4" t="str">
        <f ca="1">IFERROR(__xludf.DUMMYFUNCTION("GOOGLETRANSLATE(D265,""en"",""ar"")"),"ج) الوقوف على مقربة من بعضهم البعض، وتشكيل دائرة بشرية حول المصارعين")</f>
        <v>ج) الوقوف على مقربة من بعضهم البعض، وتشكيل دائرة بشرية حول المصارعين</v>
      </c>
      <c r="L265" s="4" t="str">
        <f ca="1">IFERROR(__xludf.DUMMYFUNCTION("GOOGLETRANSLATE(E265,""en"",""ar"")"),"في البيئات التقليدية، يشكل المجتمع حدود الدائرة، مما يخلق جواً حميماً وعميقاً.")</f>
        <v>في البيئات التقليدية، يشكل المجتمع حدود الدائرة، مما يخلق جواً حميماً وعميقاً.</v>
      </c>
      <c r="M265" s="4"/>
      <c r="N265" s="4"/>
      <c r="O265" s="4"/>
      <c r="P265" s="4"/>
      <c r="Q265" s="4"/>
      <c r="R265" s="4"/>
      <c r="S265" s="4"/>
      <c r="T265" s="4"/>
      <c r="U265" s="4"/>
      <c r="V265" s="4"/>
      <c r="W265" s="4"/>
      <c r="X265" s="4"/>
      <c r="Y265" s="4"/>
      <c r="Z265" s="4"/>
      <c r="AA265" s="4"/>
      <c r="AB265" s="4"/>
      <c r="AC265" s="4"/>
      <c r="AD265" s="4"/>
      <c r="AE265" s="4"/>
      <c r="AF265" s="4"/>
      <c r="AG265" s="4"/>
    </row>
    <row r="266" spans="1:33" ht="22.5" customHeight="1" x14ac:dyDescent="0.25">
      <c r="A266" s="2"/>
      <c r="B266" s="2"/>
      <c r="C266" s="2"/>
      <c r="D266" s="2"/>
      <c r="E266" s="2"/>
      <c r="F266" s="4"/>
      <c r="G266" s="4"/>
      <c r="H266" s="6" t="s">
        <v>83</v>
      </c>
      <c r="I266" s="4" t="str">
        <f ca="1">IFERROR(__xludf.DUMMYFUNCTION("GOOGLETRANSLATE(B266,""en"",""ar"")"),"الأساور الموجودة على معصم المصارع الأيسر هي...")</f>
        <v>الأساور الموجودة على معصم المصارع الأيسر هي...</v>
      </c>
      <c r="J266" s="4" t="str">
        <f ca="1">IFERROR(__xludf.DUMMYFUNCTION("GOOGLETRANSLATE(C266,""en"",""ar"")"),"أ) أجهزة تتبع اللياقة البدنية الحديثة، ب) جزء من زي المصارعة التقليدي، ج) الأصفاد، د) غير مرئي")</f>
        <v>أ) أجهزة تتبع اللياقة البدنية الحديثة، ب) جزء من زي المصارعة التقليدي، ج) الأصفاد، د) غير مرئي</v>
      </c>
      <c r="K266" s="4" t="str">
        <f ca="1">IFERROR(__xludf.DUMMYFUNCTION("GOOGLETRANSLATE(D266,""en"",""ar"")"),"ب) جزء من زي المصارعة التقليدي")</f>
        <v>ب) جزء من زي المصارعة التقليدي</v>
      </c>
      <c r="L266" s="4" t="str">
        <f ca="1">IFERROR(__xludf.DUMMYFUNCTION("GOOGLETRANSLATE(E266,""en"",""ar"")"),"تُعد الأساور البسيطة أو أربطة الذراع عنصرًا زخرفيًا شائعًا لدى المصارعين.")</f>
        <v>تُعد الأساور البسيطة أو أربطة الذراع عنصرًا زخرفيًا شائعًا لدى المصارعين.</v>
      </c>
      <c r="M266" s="4"/>
      <c r="N266" s="4"/>
      <c r="O266" s="4"/>
      <c r="P266" s="4"/>
      <c r="Q266" s="4"/>
      <c r="R266" s="4"/>
      <c r="S266" s="4"/>
      <c r="T266" s="4"/>
      <c r="U266" s="4"/>
      <c r="V266" s="4"/>
      <c r="W266" s="4"/>
      <c r="X266" s="4"/>
      <c r="Y266" s="4"/>
      <c r="Z266" s="4"/>
      <c r="AA266" s="4"/>
      <c r="AB266" s="4"/>
      <c r="AC266" s="4"/>
      <c r="AD266" s="4"/>
      <c r="AE266" s="4"/>
      <c r="AF266" s="4"/>
      <c r="AG266" s="4"/>
    </row>
    <row r="267" spans="1:33" ht="22.5" customHeight="1" x14ac:dyDescent="0.25">
      <c r="A267" s="2"/>
      <c r="B267" s="2"/>
      <c r="C267" s="2"/>
      <c r="D267" s="2"/>
      <c r="E267" s="2"/>
      <c r="F267" s="4"/>
      <c r="G267" s="4"/>
      <c r="H267" s="7" t="s">
        <v>83</v>
      </c>
      <c r="I267" s="4" t="str">
        <f ca="1">IFERROR(__xludf.DUMMYFUNCTION("GOOGLETRANSLATE(B267,""en"",""ar"")"),"أجساد المصارعين عارية، ولا يرتدين سوى قطعة قماش تغطي منطقة العانة، مما يبرز...")</f>
        <v>أجساد المصارعين عارية، ولا يرتدين سوى قطعة قماش تغطي منطقة العانة، مما يبرز...</v>
      </c>
      <c r="J267" s="4" t="str">
        <f ca="1">IFERROR(__xludf.DUMMYFUNCTION("GOOGLETRANSLATE(C267,""en"",""ar"")"),"أ) لوائح السلامة الحديثة، ب) أهمية البنية الجسدية والقوة الطبيعية للمصارعين، ج) ظروف الطقس البارد، د) الرعاة التجاريون للحدث")</f>
        <v>أ) لوائح السلامة الحديثة، ب) أهمية البنية الجسدية والقوة الطبيعية للمصارعين، ج) ظروف الطقس البارد، د) الرعاة التجاريون للحدث</v>
      </c>
      <c r="K267" s="4" t="str">
        <f ca="1">IFERROR(__xludf.DUMMYFUNCTION("GOOGLETRANSLATE(D267,""en"",""ar"")"),"ب) أهمية البنية الجسدية الطبيعية وقوة المصارعين")</f>
        <v>ب) أهمية البنية الجسدية الطبيعية وقوة المصارعين</v>
      </c>
      <c r="L267" s="4" t="str">
        <f ca="1">IFERROR(__xludf.DUMMYFUNCTION("GOOGLETRANSLATE(E267,""en"",""ar"")"),"إن عدم ارتداء الملابس يؤكد على الجسم الرياضي والطبيعة البدنية الخالصة للمسابقة.")</f>
        <v>إن عدم ارتداء الملابس يؤكد على الجسم الرياضي والطبيعة البدنية الخالصة للمسابقة.</v>
      </c>
      <c r="M267" s="4"/>
      <c r="N267" s="4"/>
      <c r="O267" s="4"/>
      <c r="P267" s="4"/>
      <c r="Q267" s="4"/>
      <c r="R267" s="4"/>
      <c r="S267" s="4"/>
      <c r="T267" s="4"/>
      <c r="U267" s="4"/>
      <c r="V267" s="4"/>
      <c r="W267" s="4"/>
      <c r="X267" s="4"/>
      <c r="Y267" s="4"/>
      <c r="Z267" s="4"/>
      <c r="AA267" s="4"/>
      <c r="AB267" s="4"/>
      <c r="AC267" s="4"/>
      <c r="AD267" s="4"/>
      <c r="AE267" s="4"/>
      <c r="AF267" s="4"/>
      <c r="AG267" s="4"/>
    </row>
    <row r="268" spans="1:33" ht="22.5" customHeight="1" x14ac:dyDescent="0.25">
      <c r="A268" s="2"/>
      <c r="B268" s="2"/>
      <c r="C268" s="2"/>
      <c r="D268" s="2"/>
      <c r="E268" s="2"/>
      <c r="F268" s="4"/>
      <c r="G268" s="4"/>
      <c r="H268" s="6" t="s">
        <v>83</v>
      </c>
      <c r="I268" s="4" t="str">
        <f ca="1">IFERROR(__xludf.DUMMYFUNCTION("GOOGLETRANSLATE(B268,""en"",""ar"")"),"ما هي منطقة المنافسة أو ""الحلبة""؟")</f>
        <v>ما هي منطقة المنافسة أو "الحلبة"؟</v>
      </c>
      <c r="J268" s="4" t="str">
        <f ca="1">IFERROR(__xludf.DUMMYFUNCTION("GOOGLETRANSLATE(C268,""en"",""ar"")"),"أ) ساحة حديثة مسيجة، ب) منصة مرتفعة ومبطنة، ج) رقعة أرض جرداء بسيطة، د) حقل عشبي")</f>
        <v>أ) ساحة حديثة مسيجة، ب) منصة مرتفعة ومبطنة، ج) رقعة أرض جرداء بسيطة، د) حقل عشبي</v>
      </c>
      <c r="K268" s="4" t="str">
        <f ca="1">IFERROR(__xludf.DUMMYFUNCTION("GOOGLETRANSLATE(D268,""en"",""ar"")"),"ج) رقعة بسيطة من الأرض المجردة والعارية")</f>
        <v>ج) رقعة بسيطة من الأرض المجردة والعارية</v>
      </c>
      <c r="L268" s="4" t="str">
        <f ca="1">IFERROR(__xludf.DUMMYFUNCTION("GOOGLETRANSLATE(E268,""en"",""ar"")"),"المكان تقليدي للغاية، حيث تقام المباراة على أرض الملعب، محاطة بالمجتمع المحلي، دون وجود بنية تحتية حديثة.")</f>
        <v>المكان تقليدي للغاية، حيث تقام المباراة على أرض الملعب، محاطة بالمجتمع المحلي، دون وجود بنية تحتية حديثة.</v>
      </c>
      <c r="M268" s="4"/>
      <c r="N268" s="4"/>
      <c r="O268" s="4"/>
      <c r="P268" s="4"/>
      <c r="Q268" s="4"/>
      <c r="R268" s="4"/>
      <c r="S268" s="4"/>
      <c r="T268" s="4"/>
      <c r="U268" s="4"/>
      <c r="V268" s="4"/>
      <c r="W268" s="4"/>
      <c r="X268" s="4"/>
      <c r="Y268" s="4"/>
      <c r="Z268" s="4"/>
      <c r="AA268" s="4"/>
      <c r="AB268" s="4"/>
      <c r="AC268" s="4"/>
      <c r="AD268" s="4"/>
      <c r="AE268" s="4"/>
      <c r="AF268" s="4"/>
      <c r="AG268" s="4"/>
    </row>
    <row r="269" spans="1:33" ht="22.5" customHeight="1" x14ac:dyDescent="0.25">
      <c r="A269" s="2"/>
      <c r="B269" s="2"/>
      <c r="C269" s="2"/>
      <c r="D269" s="2"/>
      <c r="E269" s="2"/>
      <c r="F269" s="4"/>
      <c r="G269" s="4"/>
      <c r="H269" s="7" t="s">
        <v>83</v>
      </c>
      <c r="I269" s="4" t="str">
        <f ca="1">IFERROR(__xludf.DUMMYFUNCTION("GOOGLETRANSLATE(B269,""en"",""ar"")"),"تُبرز هذه الصورة مصارعة النوبة كـ...")</f>
        <v>تُبرز هذه الصورة مصارعة النوبة كـ...</v>
      </c>
      <c r="J269" s="4" t="str">
        <f ca="1">IFERROR(__xludf.DUMMYFUNCTION("GOOGLETRANSLATE(C269,""en"",""ar"")"),"أ) رياضة تجارية حديثة، ب) تقاليد ثقافية راسخة، ج) شكل من أشكال الترفيه للسياح، د) لعبة مبتكرة حديثًا")</f>
        <v>أ) رياضة تجارية حديثة، ب) تقاليد ثقافية راسخة، ج) شكل من أشكال الترفيه للسياح، د) لعبة مبتكرة حديثًا</v>
      </c>
      <c r="K269" s="4" t="str">
        <f ca="1">IFERROR(__xludf.DUMMYFUNCTION("GOOGLETRANSLATE(D269,""en"",""ar"")"),"ب) تقاليد ثقافية راسخة")</f>
        <v>ب) تقاليد ثقافية راسخة</v>
      </c>
      <c r="L269" s="4" t="str">
        <f ca="1">IFERROR(__xludf.DUMMYFUNCTION("GOOGLETRANSLATE(E269,""en"",""ar"")"),"تُظهر الطبيعة التاريخية للصورة هذه الرياضة كممارسة عريقة تُعدّ أساسية لهوية النوبة.")</f>
        <v>تُظهر الطبيعة التاريخية للصورة هذه الرياضة كممارسة عريقة تُعدّ أساسية لهوية النوبة.</v>
      </c>
      <c r="M269" s="4"/>
      <c r="N269" s="4"/>
      <c r="O269" s="4"/>
      <c r="P269" s="4"/>
      <c r="Q269" s="4"/>
      <c r="R269" s="4"/>
      <c r="S269" s="4"/>
      <c r="T269" s="4"/>
      <c r="U269" s="4"/>
      <c r="V269" s="4"/>
      <c r="W269" s="4"/>
      <c r="X269" s="4"/>
      <c r="Y269" s="4"/>
      <c r="Z269" s="4"/>
      <c r="AA269" s="4"/>
      <c r="AB269" s="4"/>
      <c r="AC269" s="4"/>
      <c r="AD269" s="4"/>
      <c r="AE269" s="4"/>
      <c r="AF269" s="4"/>
      <c r="AG269" s="4"/>
    </row>
    <row r="270" spans="1:33" ht="22.5" customHeight="1" x14ac:dyDescent="0.25">
      <c r="A270" s="2"/>
      <c r="B270" s="2"/>
      <c r="C270" s="2"/>
      <c r="D270" s="2"/>
      <c r="E270" s="2"/>
      <c r="F270" s="4"/>
      <c r="G270" s="4"/>
      <c r="H270" s="6" t="s">
        <v>83</v>
      </c>
      <c r="I270" s="4" t="str">
        <f ca="1">IFERROR(__xludf.DUMMYFUNCTION("GOOGLETRANSLATE(B270,""en"",""ar"")"),"ما هو الهدف الأساسي في هذه الرياضة؟")</f>
        <v>ما هو الهدف الأساسي في هذه الرياضة؟</v>
      </c>
      <c r="J270" s="4" t="str">
        <f ca="1">IFERROR(__xludf.DUMMYFUNCTION("GOOGLETRANSLATE(C270,""en"",""ar"")"),"أ) تثبيت كتفي الخصم على الأرض لمدة ثلاث ثوانٍ، ب) رفع الخصم فوق رأسك، ج) رمي الخصم على ظهره، د) إخراج الخصم من الحلبة بالقوة")</f>
        <v>أ) تثبيت كتفي الخصم على الأرض لمدة ثلاث ثوانٍ، ب) رفع الخصم فوق رأسك، ج) رمي الخصم على ظهره، د) إخراج الخصم من الحلبة بالقوة</v>
      </c>
      <c r="K270" s="4" t="str">
        <f ca="1">IFERROR(__xludf.DUMMYFUNCTION("GOOGLETRANSLATE(D270,""en"",""ar"")"),"ج) إلقاء الخصم على ظهره")</f>
        <v>ج) إلقاء الخصم على ظهره</v>
      </c>
      <c r="L270" s="4" t="str">
        <f ca="1">IFERROR(__xludf.DUMMYFUNCTION("GOOGLETRANSLATE(E270,""en"",""ar"")"),"الفائز في مصارعة النوبة هو من ينجح في طرح خصمه أرضاً بحيث يلامس ظهره الأرض.")</f>
        <v>الفائز في مصارعة النوبة هو من ينجح في طرح خصمه أرضاً بحيث يلامس ظهره الأرض.</v>
      </c>
      <c r="M270" s="4"/>
      <c r="N270" s="4"/>
      <c r="O270" s="4"/>
      <c r="P270" s="4"/>
      <c r="Q270" s="4"/>
      <c r="R270" s="4"/>
      <c r="S270" s="4"/>
      <c r="T270" s="4"/>
      <c r="U270" s="4"/>
      <c r="V270" s="4"/>
      <c r="W270" s="4"/>
      <c r="X270" s="4"/>
      <c r="Y270" s="4"/>
      <c r="Z270" s="4"/>
      <c r="AA270" s="4"/>
      <c r="AB270" s="4"/>
      <c r="AC270" s="4"/>
      <c r="AD270" s="4"/>
      <c r="AE270" s="4"/>
      <c r="AF270" s="4"/>
      <c r="AG270" s="4"/>
    </row>
    <row r="271" spans="1:33" ht="22.5" customHeight="1" x14ac:dyDescent="0.25">
      <c r="A271" s="2"/>
      <c r="B271" s="2"/>
      <c r="C271" s="2"/>
      <c r="D271" s="2"/>
      <c r="E271" s="2"/>
      <c r="F271" s="4"/>
      <c r="G271" s="4"/>
      <c r="H271" s="7" t="s">
        <v>83</v>
      </c>
      <c r="I271" s="4" t="str">
        <f ca="1">IFERROR(__xludf.DUMMYFUNCTION("GOOGLETRANSLATE(B271,""en"",""ar"")"),"تُظهر التعابير الشديدة على وجوه المصارعين...")</f>
        <v>تُظهر التعابير الشديدة على وجوه المصارعين...</v>
      </c>
      <c r="J271" s="4" t="str">
        <f ca="1">IFERROR(__xludf.DUMMYFUNCTION("GOOGLETRANSLATE(C271,""en"",""ar"")"),"أ) إنهم لا يأخذون المباراة على محمل الجد، ب) إنهم متعبون ويريدون التوقف، ج) تركيزهم العميق واستعدادهم للقتال، د) إنهم مشتتون بسبب الجمهور")</f>
        <v>أ) إنهم لا يأخذون المباراة على محمل الجد، ب) إنهم متعبون ويريدون التوقف، ج) تركيزهم العميق واستعدادهم للقتال، د) إنهم مشتتون بسبب الجمهور</v>
      </c>
      <c r="K271" s="4" t="str">
        <f ca="1">IFERROR(__xludf.DUMMYFUNCTION("GOOGLETRANSLATE(D271,""en"",""ar"")"),"ج) تركيزهم العميق واستعدادهم للقتال")</f>
        <v>ج) تركيزهم العميق واستعدادهم للقتال</v>
      </c>
      <c r="L271" s="4" t="str">
        <f ca="1">IFERROR(__xludf.DUMMYFUNCTION("GOOGLETRANSLATE(E271,""en"",""ar"")"),"تكشف نظراتهم المركزة عن العقلية الجادة والتنافسية المطلوبة لهذه الرياضة.")</f>
        <v>تكشف نظراتهم المركزة عن العقلية الجادة والتنافسية المطلوبة لهذه الرياضة.</v>
      </c>
      <c r="M271" s="4"/>
      <c r="N271" s="4"/>
      <c r="O271" s="4"/>
      <c r="P271" s="4"/>
      <c r="Q271" s="4"/>
      <c r="R271" s="4"/>
      <c r="S271" s="4"/>
      <c r="T271" s="4"/>
      <c r="U271" s="4"/>
      <c r="V271" s="4"/>
      <c r="W271" s="4"/>
      <c r="X271" s="4"/>
      <c r="Y271" s="4"/>
      <c r="Z271" s="4"/>
      <c r="AA271" s="4"/>
      <c r="AB271" s="4"/>
      <c r="AC271" s="4"/>
      <c r="AD271" s="4"/>
      <c r="AE271" s="4"/>
      <c r="AF271" s="4"/>
      <c r="AG271" s="4"/>
    </row>
    <row r="272" spans="1:33" ht="22.5" customHeight="1" x14ac:dyDescent="0.25">
      <c r="A272" s="2"/>
      <c r="B272" s="2"/>
      <c r="C272" s="2"/>
      <c r="D272" s="2"/>
      <c r="E272" s="2"/>
      <c r="F272" s="4"/>
      <c r="G272" s="4"/>
      <c r="H272" s="6" t="s">
        <v>84</v>
      </c>
      <c r="I272" s="4" t="str">
        <f ca="1">IFERROR(__xludf.DUMMYFUNCTION("GOOGLETRANSLATE(B272,""en"",""ar"")"),"ما هو التفاعل الذي يحدث في هذه الصورة؟")</f>
        <v>ما هو التفاعل الذي يحدث في هذه الصورة؟</v>
      </c>
      <c r="J272" s="4" t="str">
        <f ca="1">IFERROR(__xludf.DUMMYFUNCTION("GOOGLETRANSLATE(C272,""en"",""ar"")"),"أ) مصارع يتجادل مع الحكم، ب) رجل كبير في السن يُسدي نصيحة أو يدعو لمصارع، ج) متفرج يشتري تذكرة من مصارع، د) مصارعان على وشك بدء مباراة")</f>
        <v>أ) مصارع يتجادل مع الحكم، ب) رجل كبير في السن يُسدي نصيحة أو يدعو لمصارع، ج) متفرج يشتري تذكرة من مصارع، د) مصارعان على وشك بدء مباراة</v>
      </c>
      <c r="K272" s="4" t="str">
        <f ca="1">IFERROR(__xludf.DUMMYFUNCTION("GOOGLETRANSLATE(D272,""en"",""ar"")"),"ب) رجل كبير في السن يقدم نصيحة أو دعاءً لمصارع")</f>
        <v>ب) رجل كبير في السن يقدم نصيحة أو دعاءً لمصارع</v>
      </c>
      <c r="L272" s="4" t="str">
        <f ca="1">IFERROR(__xludf.DUMMYFUNCTION("GOOGLETRANSLATE(E272,""en"",""ar"")"),"تشير لفتة لمس رأس المصارع الحميمة إلى لحظة من التوجيه أو التدريب أو البركة التقليدية قبل المباراة.")</f>
        <v>تشير لفتة لمس رأس المصارع الحميمة إلى لحظة من التوجيه أو التدريب أو البركة التقليدية قبل المباراة.</v>
      </c>
      <c r="M272" s="4"/>
      <c r="N272" s="4"/>
      <c r="O272" s="4"/>
      <c r="P272" s="4"/>
      <c r="Q272" s="4"/>
      <c r="R272" s="4"/>
      <c r="S272" s="4"/>
      <c r="T272" s="4"/>
      <c r="U272" s="4"/>
      <c r="V272" s="4"/>
      <c r="W272" s="4"/>
      <c r="X272" s="4"/>
      <c r="Y272" s="4"/>
      <c r="Z272" s="4"/>
      <c r="AA272" s="4"/>
      <c r="AB272" s="4"/>
      <c r="AC272" s="4"/>
      <c r="AD272" s="4"/>
      <c r="AE272" s="4"/>
      <c r="AF272" s="4"/>
      <c r="AG272" s="4"/>
    </row>
    <row r="273" spans="1:33" ht="22.5" customHeight="1" x14ac:dyDescent="0.25">
      <c r="A273" s="2"/>
      <c r="B273" s="2"/>
      <c r="C273" s="2"/>
      <c r="D273" s="2"/>
      <c r="E273" s="2"/>
      <c r="F273" s="4"/>
      <c r="G273" s="4"/>
      <c r="H273" s="7" t="s">
        <v>84</v>
      </c>
      <c r="I273" s="4" t="str">
        <f ca="1">IFERROR(__xludf.DUMMYFUNCTION("GOOGLETRANSLATE(B273,""en"",""ar"")"),"من المرجح أن يكون الرجل الأكبر سناً...")</f>
        <v>من المرجح أن يكون الرجل الأكبر سناً...</v>
      </c>
      <c r="J273" s="4" t="str">
        <f ca="1">IFERROR(__xludf.DUMMYFUNCTION("GOOGLETRANSLATE(C273,""en"",""ar"")"),"أ) مصارع منافس، ب) مدرب أو أحد كبار السن أو أحد أفراد العائلة، ج) بائع يبيع بضائع، د) صحفي يجري مقابلة")</f>
        <v>أ) مصارع منافس، ب) مدرب أو أحد كبار السن أو أحد أفراد العائلة، ج) بائع يبيع بضائع، د) صحفي يجري مقابلة</v>
      </c>
      <c r="K273" s="4" t="str">
        <f ca="1">IFERROR(__xludf.DUMMYFUNCTION("GOOGLETRANSLATE(D273,""en"",""ar"")"),"ب) مدرب أو أحد كبار السن أو أحد أفراد الأسرة")</f>
        <v>ب) مدرب أو أحد كبار السن أو أحد أفراد الأسرة</v>
      </c>
      <c r="L273" s="4" t="str">
        <f ca="1">IFERROR(__xludf.DUMMYFUNCTION("GOOGLETRANSLATE(E273,""en"",""ar"")"),"عادةً ما يقوم بهذا الدور الداعم والتوجيهي شخص كبير السن محترم، أو مدرب، أو قريب.")</f>
        <v>عادةً ما يقوم بهذا الدور الداعم والتوجيهي شخص كبير السن محترم، أو مدرب، أو قريب.</v>
      </c>
      <c r="M273" s="4"/>
      <c r="N273" s="4"/>
      <c r="O273" s="4"/>
      <c r="P273" s="4"/>
      <c r="Q273" s="4"/>
      <c r="R273" s="4"/>
      <c r="S273" s="4"/>
      <c r="T273" s="4"/>
      <c r="U273" s="4"/>
      <c r="V273" s="4"/>
      <c r="W273" s="4"/>
      <c r="X273" s="4"/>
      <c r="Y273" s="4"/>
      <c r="Z273" s="4"/>
      <c r="AA273" s="4"/>
      <c r="AB273" s="4"/>
      <c r="AC273" s="4"/>
      <c r="AD273" s="4"/>
      <c r="AE273" s="4"/>
      <c r="AF273" s="4"/>
      <c r="AG273" s="4"/>
    </row>
    <row r="274" spans="1:33" ht="22.5" customHeight="1" x14ac:dyDescent="0.25">
      <c r="A274" s="2"/>
      <c r="B274" s="2"/>
      <c r="C274" s="2"/>
      <c r="D274" s="2"/>
      <c r="E274" s="2"/>
      <c r="F274" s="4"/>
      <c r="G274" s="4"/>
      <c r="H274" s="6" t="s">
        <v>84</v>
      </c>
      <c r="I274" s="4" t="str">
        <f ca="1">IFERROR(__xludf.DUMMYFUNCTION("GOOGLETRANSLATE(B274,""en"",""ar"")"),"ما الذي يضعه الرجل المسن بالقرب من أذن المصارع؟")</f>
        <v>ما الذي يضعه الرجل المسن بالقرب من أذن المصارع؟</v>
      </c>
      <c r="J274" s="4" t="str">
        <f ca="1">IFERROR(__xludf.DUMMYFUNCTION("GOOGLETRANSLATE(C274,""en"",""ar"")"),"أ) قطعة مجوهرات، ب) قطعة ورق، ربما نقود أو تعويذة مكتوبة، ج) سماعة أذن، د) زهرة")</f>
        <v>أ) قطعة مجوهرات، ب) قطعة ورق، ربما نقود أو تعويذة مكتوبة، ج) سماعة أذن، د) زهرة</v>
      </c>
      <c r="K274" s="4" t="str">
        <f ca="1">IFERROR(__xludf.DUMMYFUNCTION("GOOGLETRANSLATE(D274,""en"",""ar"")"),"ب) قطعة من الورق، ربما نقود أو تعويذة مكتوبة")</f>
        <v>ب) قطعة من الورق، ربما نقود أو تعويذة مكتوبة</v>
      </c>
      <c r="L274" s="4" t="str">
        <f ca="1">IFERROR(__xludf.DUMMYFUNCTION("GOOGLETRANSLATE(E274,""en"",""ar"")"),"يبدو أنها قطعة مطوية من الورق أو ورقة نقدية، والتي قد تكون جائزة أو دفعة مالية أو بركة تقليدية.")</f>
        <v>يبدو أنها قطعة مطوية من الورق أو ورقة نقدية، والتي قد تكون جائزة أو دفعة مالية أو بركة تقليدية.</v>
      </c>
      <c r="M274" s="4"/>
      <c r="N274" s="4"/>
      <c r="O274" s="4"/>
      <c r="P274" s="4"/>
      <c r="Q274" s="4"/>
      <c r="R274" s="4"/>
      <c r="S274" s="4"/>
      <c r="T274" s="4"/>
      <c r="U274" s="4"/>
      <c r="V274" s="4"/>
      <c r="W274" s="4"/>
      <c r="X274" s="4"/>
      <c r="Y274" s="4"/>
      <c r="Z274" s="4"/>
      <c r="AA274" s="4"/>
      <c r="AB274" s="4"/>
      <c r="AC274" s="4"/>
      <c r="AD274" s="4"/>
      <c r="AE274" s="4"/>
      <c r="AF274" s="4"/>
      <c r="AG274" s="4"/>
    </row>
    <row r="275" spans="1:33" ht="22.5" customHeight="1" x14ac:dyDescent="0.25">
      <c r="A275" s="2"/>
      <c r="B275" s="2"/>
      <c r="C275" s="2"/>
      <c r="D275" s="2"/>
      <c r="E275" s="2"/>
      <c r="F275" s="4"/>
      <c r="G275" s="4"/>
      <c r="H275" s="7" t="s">
        <v>84</v>
      </c>
      <c r="I275" s="4" t="str">
        <f ca="1">IFERROR(__xludf.DUMMYFUNCTION("GOOGLETRANSLATE(B275,""en"",""ar"")"),"المكان عبارة عن حلبة مصارعة حديثة، كما هو موضح في...")</f>
        <v>المكان عبارة عن حلبة مصارعة حديثة، كما هو موضح في...</v>
      </c>
      <c r="J275" s="4" t="str">
        <f ca="1">IFERROR(__xludf.DUMMYFUNCTION("GOOGLETRANSLATE(C275,""en"",""ar"")"),"أ) أكواخ تقليدية في الخلفية، ب) سياج معدني أخضر وأضواء الملعب، ج) صحراء مفتوحة خالية من الجمهور، د) الملابس التقليدية للمصارعين")</f>
        <v>أ) أكواخ تقليدية في الخلفية، ب) سياج معدني أخضر وأضواء الملعب، ج) صحراء مفتوحة خالية من الجمهور، د) الملابس التقليدية للمصارعين</v>
      </c>
      <c r="K275" s="4" t="str">
        <f ca="1">IFERROR(__xludf.DUMMYFUNCTION("GOOGLETRANSLATE(D275,""en"",""ar"")"),"ب) سياج معدني أخضر وأضواء الملعب")</f>
        <v>ب) سياج معدني أخضر وأضواء الملعب</v>
      </c>
      <c r="L275" s="4" t="str">
        <f ca="1">IFERROR(__xludf.DUMMYFUNCTION("GOOGLETRANSLATE(E275,""en"",""ar"")"),"يُعدّ السور وأعمدة الإنارة الطويلة علامات واضحة على وجود ساحة رسمية وحديثة.")</f>
        <v>يُعدّ السور وأعمدة الإنارة الطويلة علامات واضحة على وجود ساحة رسمية وحديثة.</v>
      </c>
      <c r="M275" s="4"/>
      <c r="N275" s="4"/>
      <c r="O275" s="4"/>
      <c r="P275" s="4"/>
      <c r="Q275" s="4"/>
      <c r="R275" s="4"/>
      <c r="S275" s="4"/>
      <c r="T275" s="4"/>
      <c r="U275" s="4"/>
      <c r="V275" s="4"/>
      <c r="W275" s="4"/>
      <c r="X275" s="4"/>
      <c r="Y275" s="4"/>
      <c r="Z275" s="4"/>
      <c r="AA275" s="4"/>
      <c r="AB275" s="4"/>
      <c r="AC275" s="4"/>
      <c r="AD275" s="4"/>
      <c r="AE275" s="4"/>
      <c r="AF275" s="4"/>
      <c r="AG275" s="4"/>
    </row>
    <row r="276" spans="1:33" ht="22.5" customHeight="1" x14ac:dyDescent="0.25">
      <c r="A276" s="2"/>
      <c r="B276" s="2"/>
      <c r="C276" s="2"/>
      <c r="D276" s="2"/>
      <c r="E276" s="2"/>
      <c r="F276" s="4"/>
      <c r="G276" s="4"/>
      <c r="H276" s="6" t="s">
        <v>84</v>
      </c>
      <c r="I276" s="4" t="str">
        <f ca="1">IFERROR(__xludf.DUMMYFUNCTION("GOOGLETRANSLATE(B276,""en"",""ar"")"),"زي المصارع مزيج من الأزياء التقليدية والحديثة. ما هو العنصر التقليدي فيه؟")</f>
        <v>زي المصارع مزيج من الأزياء التقليدية والحديثة. ما هو العنصر التقليدي فيه؟</v>
      </c>
      <c r="J276" s="4" t="str">
        <f ca="1">IFERROR(__xludf.DUMMYFUNCTION("GOOGLETRANSLATE(C276,""en"",""ar"")"),"أ) قميص رياضي بدون أكمام، ب) مئزر مزخرف بالخرز والشرابات، ج) سوار المعصم، د) تسريحة الشعر")</f>
        <v>أ) قميص رياضي بدون أكمام، ب) مئزر مزخرف بالخرز والشرابات، ج) سوار المعصم، د) تسريحة الشعر</v>
      </c>
      <c r="K276" s="4" t="str">
        <f ca="1">IFERROR(__xludf.DUMMYFUNCTION("GOOGLETRANSLATE(D276,""en"",""ar"")"),"ب) المئزر المزخرف بالخرز والشرابات")</f>
        <v>ب) المئزر المزخرف بالخرز والشرابات</v>
      </c>
      <c r="L276" s="4" t="str">
        <f ca="1">IFERROR(__xludf.DUMMYFUNCTION("GOOGLETRANSLATE(E276,""en"",""ar"")"),"يرتدي مئزراً تقليدياً ملوناً ومزخرفاً فوق سرواله القصير العصري.")</f>
        <v>يرتدي مئزراً تقليدياً ملوناً ومزخرفاً فوق سرواله القصير العصري.</v>
      </c>
      <c r="M276" s="4"/>
      <c r="N276" s="4"/>
      <c r="O276" s="4"/>
      <c r="P276" s="4"/>
      <c r="Q276" s="4"/>
      <c r="R276" s="4"/>
      <c r="S276" s="4"/>
      <c r="T276" s="4"/>
      <c r="U276" s="4"/>
      <c r="V276" s="4"/>
      <c r="W276" s="4"/>
      <c r="X276" s="4"/>
      <c r="Y276" s="4"/>
      <c r="Z276" s="4"/>
      <c r="AA276" s="4"/>
      <c r="AB276" s="4"/>
      <c r="AC276" s="4"/>
      <c r="AD276" s="4"/>
      <c r="AE276" s="4"/>
      <c r="AF276" s="4"/>
      <c r="AG276" s="4"/>
    </row>
    <row r="277" spans="1:33" ht="22.5" customHeight="1" x14ac:dyDescent="0.25">
      <c r="A277" s="2"/>
      <c r="B277" s="2"/>
      <c r="C277" s="2"/>
      <c r="D277" s="2"/>
      <c r="E277" s="2"/>
      <c r="F277" s="4"/>
      <c r="G277" s="4"/>
      <c r="H277" s="7" t="s">
        <v>84</v>
      </c>
      <c r="I277" s="4" t="str">
        <f ca="1">IFERROR(__xludf.DUMMYFUNCTION("GOOGLETRANSLATE(B277,""en"",""ar"")"),"المصارع مغطى بمسحوق فاتح اللون، وهو...")</f>
        <v>المصارع مغطى بمسحوق فاتح اللون، وهو...</v>
      </c>
      <c r="J277" s="4" t="str">
        <f ca="1">IFERROR(__xludf.DUMMYFUNCTION("GOOGLETRANSLATE(C277,""en"",""ar"")"),"أ) واقي الشمس، ب) غبار أو رماد من طقوس ما قبل المباراة، ج) دقيق للطبخ، د) بودرة التلك")</f>
        <v>أ) واقي الشمس، ب) غبار أو رماد من طقوس ما قبل المباراة، ج) دقيق للطبخ، د) بودرة التلك</v>
      </c>
      <c r="K277" s="4" t="str">
        <f ca="1">IFERROR(__xludf.DUMMYFUNCTION("GOOGLETRANSLATE(D277,""en"",""ar"")"),"ب) غبار أو رماد من طقوس ما قبل المباراة")</f>
        <v>ب) غبار أو رماد من طقوس ما قبل المباراة</v>
      </c>
      <c r="L277" s="4" t="str">
        <f ca="1">IFERROR(__xludf.DUMMYFUNCTION("GOOGLETRANSLATE(E277,""en"",""ar"")"),"هذا تقليد شائع في مصارعة النوبة من أجل التماسك وللإعداد الروحي أو النفسي.")</f>
        <v>هذا تقليد شائع في مصارعة النوبة من أجل التماسك وللإعداد الروحي أو النفسي.</v>
      </c>
      <c r="M277" s="4"/>
      <c r="N277" s="4"/>
      <c r="O277" s="4"/>
      <c r="P277" s="4"/>
      <c r="Q277" s="4"/>
      <c r="R277" s="4"/>
      <c r="S277" s="4"/>
      <c r="T277" s="4"/>
      <c r="U277" s="4"/>
      <c r="V277" s="4"/>
      <c r="W277" s="4"/>
      <c r="X277" s="4"/>
      <c r="Y277" s="4"/>
      <c r="Z277" s="4"/>
      <c r="AA277" s="4"/>
      <c r="AB277" s="4"/>
      <c r="AC277" s="4"/>
      <c r="AD277" s="4"/>
      <c r="AE277" s="4"/>
      <c r="AF277" s="4"/>
      <c r="AG277" s="4"/>
    </row>
    <row r="278" spans="1:33" ht="22.5" customHeight="1" x14ac:dyDescent="0.25">
      <c r="A278" s="2"/>
      <c r="B278" s="2"/>
      <c r="C278" s="2"/>
      <c r="D278" s="2"/>
      <c r="E278" s="2"/>
      <c r="F278" s="4"/>
      <c r="G278" s="4"/>
      <c r="H278" s="6" t="s">
        <v>84</v>
      </c>
      <c r="I278" s="4" t="str">
        <f ca="1">IFERROR(__xludf.DUMMYFUNCTION("GOOGLETRANSLATE(B278,""en"",""ar"")"),"الرجل المسن يرتدي...")</f>
        <v>الرجل المسن يرتدي...</v>
      </c>
      <c r="J278" s="4" t="str">
        <f ca="1">IFERROR(__xludf.DUMMYFUNCTION("GOOGLETRANSLATE(C278,""en"",""ar"")"),"أ) زي المصارعة، ب) رداء تقليدي، ج) ملابس عصرية غير رسمية (قميص بأزرار)، د) بدلة رسمية")</f>
        <v>أ) زي المصارعة، ب) رداء تقليدي، ج) ملابس عصرية غير رسمية (قميص بأزرار)، د) بدلة رسمية</v>
      </c>
      <c r="K278" s="4" t="str">
        <f ca="1">IFERROR(__xludf.DUMMYFUNCTION("GOOGLETRANSLATE(D278,""en"",""ar"")"),"ج) ملابس عصرية غير رسمية (قميص بأزرار)")</f>
        <v>ج) ملابس عصرية غير رسمية (قميص بأزرار)</v>
      </c>
      <c r="L278" s="4" t="str">
        <f ca="1">IFERROR(__xludf.DUMMYFUNCTION("GOOGLETRANSLATE(E278,""en"",""ar"")"),"يتناقض قميصه البسيط والعصري مع الزي المتخصص للمصارع.")</f>
        <v>يتناقض قميصه البسيط والعصري مع الزي المتخصص للمصارع.</v>
      </c>
      <c r="M278" s="4"/>
      <c r="N278" s="4"/>
      <c r="O278" s="4"/>
      <c r="P278" s="4"/>
      <c r="Q278" s="4"/>
      <c r="R278" s="4"/>
      <c r="S278" s="4"/>
      <c r="T278" s="4"/>
      <c r="U278" s="4"/>
      <c r="V278" s="4"/>
      <c r="W278" s="4"/>
      <c r="X278" s="4"/>
      <c r="Y278" s="4"/>
      <c r="Z278" s="4"/>
      <c r="AA278" s="4"/>
      <c r="AB278" s="4"/>
      <c r="AC278" s="4"/>
      <c r="AD278" s="4"/>
      <c r="AE278" s="4"/>
      <c r="AF278" s="4"/>
      <c r="AG278" s="4"/>
    </row>
    <row r="279" spans="1:33" ht="22.5" customHeight="1" x14ac:dyDescent="0.25">
      <c r="A279" s="2"/>
      <c r="B279" s="2"/>
      <c r="C279" s="2"/>
      <c r="D279" s="2"/>
      <c r="E279" s="2"/>
      <c r="F279" s="4"/>
      <c r="G279" s="4"/>
      <c r="H279" s="7" t="s">
        <v>84</v>
      </c>
      <c r="I279" s="4" t="str">
        <f ca="1">IFERROR(__xludf.DUMMYFUNCTION("GOOGLETRANSLATE(B279,""en"",""ar"")"),"هذه الصورة تجسد...")</f>
        <v>هذه الصورة تجسد...</v>
      </c>
      <c r="J279" s="4" t="str">
        <f ca="1">IFERROR(__xludf.DUMMYFUNCTION("GOOGLETRANSLATE(C279,""en"",""ar"")"),"أ) لحظة عمل عنيف وشديد، ب) لحظة هادئة وشخصية وسط حدث عام، ج) احتفال بالنصر، د) جدال متوتر")</f>
        <v>أ) لحظة عمل عنيف وشديد، ب) لحظة هادئة وشخصية وسط حدث عام، ج) احتفال بالنصر، د) جدال متوتر</v>
      </c>
      <c r="K279" s="4" t="str">
        <f ca="1">IFERROR(__xludf.DUMMYFUNCTION("GOOGLETRANSLATE(D279,""en"",""ar"")"),"ب) لحظة هادئة وشخصية وسط حدث عام")</f>
        <v>ب) لحظة هادئة وشخصية وسط حدث عام</v>
      </c>
      <c r="L279" s="4" t="str">
        <f ca="1">IFERROR(__xludf.DUMMYFUNCTION("GOOGLETRANSLATE(E279,""en"",""ar"")"),"وسط ضجيج وإثارة الساحة، هذه لحظة من التفاعل الهادئ والمركز بين شخصين.")</f>
        <v>وسط ضجيج وإثارة الساحة، هذه لحظة من التفاعل الهادئ والمركز بين شخصين.</v>
      </c>
      <c r="M279" s="4"/>
      <c r="N279" s="4"/>
      <c r="O279" s="4"/>
      <c r="P279" s="4"/>
      <c r="Q279" s="4"/>
      <c r="R279" s="4"/>
      <c r="S279" s="4"/>
      <c r="T279" s="4"/>
      <c r="U279" s="4"/>
      <c r="V279" s="4"/>
      <c r="W279" s="4"/>
      <c r="X279" s="4"/>
      <c r="Y279" s="4"/>
      <c r="Z279" s="4"/>
      <c r="AA279" s="4"/>
      <c r="AB279" s="4"/>
      <c r="AC279" s="4"/>
      <c r="AD279" s="4"/>
      <c r="AE279" s="4"/>
      <c r="AF279" s="4"/>
      <c r="AG279" s="4"/>
    </row>
    <row r="280" spans="1:33" ht="22.5" customHeight="1" x14ac:dyDescent="0.25">
      <c r="A280" s="2"/>
      <c r="B280" s="2"/>
      <c r="C280" s="2"/>
      <c r="D280" s="2"/>
      <c r="E280" s="2"/>
      <c r="F280" s="4"/>
      <c r="G280" s="4"/>
      <c r="H280" s="6" t="s">
        <v>84</v>
      </c>
      <c r="I280" s="4" t="str">
        <f ca="1">IFERROR(__xludf.DUMMYFUNCTION("GOOGLETRANSLATE(B280,""en"",""ar"")"),"المصارع يدير ظهره للكاميرا، مما يوجه انتباه المشاهد إلى...")</f>
        <v>المصارع يدير ظهره للكاميرا، مما يوجه انتباه المشاهد إلى...</v>
      </c>
      <c r="J280" s="4" t="str">
        <f ca="1">IFERROR(__xludf.DUMMYFUNCTION("GOOGLETRANSLATE(C280,""en"",""ar"")"),"أ) قوة المصارع، ب) الجمهور في الخلفية، ج) إيماءات وتعبيرات الرجل الأكبر سنًا، د) حاجز الحلبة")</f>
        <v>أ) قوة المصارع، ب) الجمهور في الخلفية، ج) إيماءات وتعبيرات الرجل الأكبر سنًا، د) حاجز الحلبة</v>
      </c>
      <c r="K280" s="4" t="str">
        <f ca="1">IFERROR(__xludf.DUMMYFUNCTION("GOOGLETRANSLATE(D280,""en"",""ar"")"),"ج) إيماءات وتعبيرات الرجل المسن")</f>
        <v>ج) إيماءات وتعبيرات الرجل المسن</v>
      </c>
      <c r="L280" s="4" t="str">
        <f ca="1">IFERROR(__xludf.DUMMYFUNCTION("GOOGLETRANSLATE(E280,""en"",""ar"")"),"من خلال إخفاء وجه المصارع، تؤكد الصورة على حركة وانفعال الرجل الذي يقدم النصيحة أو البركة.")</f>
        <v>من خلال إخفاء وجه المصارع، تؤكد الصورة على حركة وانفعال الرجل الذي يقدم النصيحة أو البركة.</v>
      </c>
      <c r="M280" s="4"/>
      <c r="N280" s="4"/>
      <c r="O280" s="4"/>
      <c r="P280" s="4"/>
      <c r="Q280" s="4"/>
      <c r="R280" s="4"/>
      <c r="S280" s="4"/>
      <c r="T280" s="4"/>
      <c r="U280" s="4"/>
      <c r="V280" s="4"/>
      <c r="W280" s="4"/>
      <c r="X280" s="4"/>
      <c r="Y280" s="4"/>
      <c r="Z280" s="4"/>
      <c r="AA280" s="4"/>
      <c r="AB280" s="4"/>
      <c r="AC280" s="4"/>
      <c r="AD280" s="4"/>
      <c r="AE280" s="4"/>
      <c r="AF280" s="4"/>
      <c r="AG280" s="4"/>
    </row>
    <row r="281" spans="1:33" ht="22.5" customHeight="1" x14ac:dyDescent="0.25">
      <c r="A281" s="2"/>
      <c r="B281" s="2"/>
      <c r="C281" s="2"/>
      <c r="D281" s="2"/>
      <c r="E281" s="2"/>
      <c r="F281" s="4"/>
      <c r="G281" s="4"/>
      <c r="H281" s="7" t="s">
        <v>84</v>
      </c>
      <c r="I281" s="4" t="str">
        <f ca="1">IFERROR(__xludf.DUMMYFUNCTION("GOOGLETRANSLATE(B281,""en"",""ar"")"),"يوحي الضوء الذهبي للمشهد بأنه...")</f>
        <v>يوحي الضوء الذهبي للمشهد بأنه...</v>
      </c>
      <c r="J281" s="4" t="str">
        <f ca="1">IFERROR(__xludf.DUMMYFUNCTION("GOOGLETRANSLATE(C281,""en"",""ar"")"),"أ) منتصف النهار، ب) أواخر فترة ما بعد الظهر، قرب غروب الشمس، ج) الليل تحت الأضواء الاصطناعية، د) الصباح الباكر قبل شروق الشمس")</f>
        <v>أ) منتصف النهار، ب) أواخر فترة ما بعد الظهر، قرب غروب الشمس، ج) الليل تحت الأضواء الاصطناعية، د) الصباح الباكر قبل شروق الشمس</v>
      </c>
      <c r="K281" s="4" t="str">
        <f ca="1">IFERROR(__xludf.DUMMYFUNCTION("GOOGLETRANSLATE(D281,""en"",""ar"")"),"ب) أواخر فترة ما بعد الظهر، قرب غروب الشمس")</f>
        <v>ب) أواخر فترة ما بعد الظهر، قرب غروب الشمس</v>
      </c>
      <c r="L281" s="4" t="str">
        <f ca="1">IFERROR(__xludf.DUMMYFUNCTION("GOOGLETRANSLATE(E281,""en"",""ar"")"),"يخلق الضوء الدافئ والناعم المعروف باسم ""الساعة الذهبية"" جواً حميماً ومحترماً للمشهد.")</f>
        <v>يخلق الضوء الدافئ والناعم المعروف باسم "الساعة الذهبية" جواً حميماً ومحترماً للمشهد.</v>
      </c>
      <c r="M281" s="4"/>
      <c r="N281" s="4"/>
      <c r="O281" s="4"/>
      <c r="P281" s="4"/>
      <c r="Q281" s="4"/>
      <c r="R281" s="4"/>
      <c r="S281" s="4"/>
      <c r="T281" s="4"/>
      <c r="U281" s="4"/>
      <c r="V281" s="4"/>
      <c r="W281" s="4"/>
      <c r="X281" s="4"/>
      <c r="Y281" s="4"/>
      <c r="Z281" s="4"/>
      <c r="AA281" s="4"/>
      <c r="AB281" s="4"/>
      <c r="AC281" s="4"/>
      <c r="AD281" s="4"/>
      <c r="AE281" s="4"/>
      <c r="AF281" s="4"/>
      <c r="AG281" s="4"/>
    </row>
    <row r="282" spans="1:33" ht="22.5" customHeight="1" x14ac:dyDescent="0.25">
      <c r="A282" s="2"/>
      <c r="B282" s="2"/>
      <c r="C282" s="2"/>
      <c r="D282" s="2"/>
      <c r="E282" s="2"/>
      <c r="F282" s="4"/>
      <c r="G282" s="4"/>
      <c r="H282" s="6" t="s">
        <v>85</v>
      </c>
      <c r="I282" s="4" t="str">
        <f ca="1">IFERROR(__xludf.DUMMYFUNCTION("GOOGLETRANSLATE(B282,""en"",""ar"")"),"ما هي أبرز سمة في خلفية هذا المشهد؟")</f>
        <v>ما هي أبرز سمة في خلفية هذا المشهد؟</v>
      </c>
      <c r="J282" s="4" t="str">
        <f ca="1">IFERROR(__xludf.DUMMYFUNCTION("GOOGLETRANSLATE(C282,""en"",""ar"")"),"أ) أفق مدينة حديثة، ب) مسطح مائي كبير، ج) مبنى ذو مئذنة، تحت غروب شمس خلاب، د) غابة كثيفة")</f>
        <v>أ) أفق مدينة حديثة، ب) مسطح مائي كبير، ج) مبنى ذو مئذنة، تحت غروب شمس خلاب، د) غابة كثيفة</v>
      </c>
      <c r="K282" s="4" t="str">
        <f ca="1">IFERROR(__xludf.DUMMYFUNCTION("GOOGLETRANSLATE(D282,""en"",""ar"")"),"ج) مبنى ذو مئذنة، تحت غروب شمس خلاب")</f>
        <v>ج) مبنى ذو مئذنة، تحت غروب شمس خلاب</v>
      </c>
      <c r="L282" s="4" t="str">
        <f ca="1">IFERROR(__xludf.DUMMYFUNCTION("GOOGLETRANSLATE(E282,""en"",""ar"")"),"يظهر بوضوح شكل المسجد أو مبنى مشابه ذو مئذنة في مواجهة غروب الشمس.")</f>
        <v>يظهر بوضوح شكل المسجد أو مبنى مشابه ذو مئذنة في مواجهة غروب الشمس.</v>
      </c>
      <c r="M282" s="4"/>
      <c r="N282" s="4"/>
      <c r="O282" s="4"/>
      <c r="P282" s="4"/>
      <c r="Q282" s="4"/>
      <c r="R282" s="4"/>
      <c r="S282" s="4"/>
      <c r="T282" s="4"/>
      <c r="U282" s="4"/>
      <c r="V282" s="4"/>
      <c r="W282" s="4"/>
      <c r="X282" s="4"/>
      <c r="Y282" s="4"/>
      <c r="Z282" s="4"/>
      <c r="AA282" s="4"/>
      <c r="AB282" s="4"/>
      <c r="AC282" s="4"/>
      <c r="AD282" s="4"/>
      <c r="AE282" s="4"/>
      <c r="AF282" s="4"/>
      <c r="AG282" s="4"/>
    </row>
    <row r="283" spans="1:33" ht="22.5" customHeight="1" x14ac:dyDescent="0.25">
      <c r="A283" s="2"/>
      <c r="B283" s="2"/>
      <c r="C283" s="2"/>
      <c r="D283" s="2"/>
      <c r="E283" s="2"/>
      <c r="F283" s="4"/>
      <c r="G283" s="4"/>
      <c r="H283" s="7" t="s">
        <v>85</v>
      </c>
      <c r="I283" s="4" t="str">
        <f ca="1">IFERROR(__xludf.DUMMYFUNCTION("GOOGLETRANSLATE(B283,""en"",""ar"")"),"ماذا يوحي هذا العنصر الخلفي عن المجتمع؟")</f>
        <v>ماذا يوحي هذا العنصر الخلفي عن المجتمع؟</v>
      </c>
      <c r="J283" s="4" t="str">
        <f ca="1">IFERROR(__xludf.DUMMYFUNCTION("GOOGLETRANSLATE(C283,""en"",""ar"")"),"أ) ليس لها هوية دينية محددة، ب) هي جماعة يشكل الإسلام فيها عنصرًا ثقافيًا هامًا، ج) هي تجمع علماني غير ديني، د) تقع في أوروبا")</f>
        <v>أ) ليس لها هوية دينية محددة، ب) هي جماعة يشكل الإسلام فيها عنصرًا ثقافيًا هامًا، ج) هي تجمع علماني غير ديني، د) تقع في أوروبا</v>
      </c>
      <c r="K283" s="4" t="str">
        <f ca="1">IFERROR(__xludf.DUMMYFUNCTION("GOOGLETRANSLATE(D283,""en"",""ar"")"),"ب) هو مجتمع يشكل فيه الإسلام عنصراً ثقافياً هاماً")</f>
        <v>ب) هو مجتمع يشكل فيه الإسلام عنصراً ثقافياً هاماً</v>
      </c>
      <c r="L283" s="4" t="str">
        <f ca="1">IFERROR(__xludf.DUMMYFUNCTION("GOOGLETRANSLATE(E283,""en"",""ar"")"),"يشير وجود المئذنة إلى المشهد الثقافي للمجتمع الذي تُمارس فيه هذه الرياضة التقليدية.")</f>
        <v>يشير وجود المئذنة إلى المشهد الثقافي للمجتمع الذي تُمارس فيه هذه الرياضة التقليدية.</v>
      </c>
      <c r="M283" s="4"/>
      <c r="N283" s="4"/>
      <c r="O283" s="4"/>
      <c r="P283" s="4"/>
      <c r="Q283" s="4"/>
      <c r="R283" s="4"/>
      <c r="S283" s="4"/>
      <c r="T283" s="4"/>
      <c r="U283" s="4"/>
      <c r="V283" s="4"/>
      <c r="W283" s="4"/>
      <c r="X283" s="4"/>
      <c r="Y283" s="4"/>
      <c r="Z283" s="4"/>
      <c r="AA283" s="4"/>
      <c r="AB283" s="4"/>
      <c r="AC283" s="4"/>
      <c r="AD283" s="4"/>
      <c r="AE283" s="4"/>
      <c r="AF283" s="4"/>
      <c r="AG283" s="4"/>
    </row>
    <row r="284" spans="1:33" ht="22.5" customHeight="1" x14ac:dyDescent="0.25">
      <c r="A284" s="2"/>
      <c r="B284" s="2"/>
      <c r="C284" s="2"/>
      <c r="D284" s="2"/>
      <c r="E284" s="2"/>
      <c r="F284" s="4"/>
      <c r="G284" s="4"/>
      <c r="H284" s="6" t="s">
        <v>85</v>
      </c>
      <c r="I284" s="4" t="str">
        <f ca="1">IFERROR(__xludf.DUMMYFUNCTION("GOOGLETRANSLATE(B284,""en"",""ar"")"),"تشير إضاءة الصورة إلى أن المباراة تجري في...")</f>
        <v>تشير إضاءة الصورة إلى أن المباراة تجري في...</v>
      </c>
      <c r="J284" s="4" t="str">
        <f ca="1">IFERROR(__xludf.DUMMYFUNCTION("GOOGLETRANSLATE(C284,""en"",""ar"")"),"أ) منتصف النهار، ب) غروب الشمس، ج) منتصف الليل، د) الفجر")</f>
        <v>أ) منتصف النهار، ب) غروب الشمس، ج) منتصف الليل، د) الفجر</v>
      </c>
      <c r="K284" s="4" t="str">
        <f ca="1">IFERROR(__xludf.DUMMYFUNCTION("GOOGLETRANSLATE(D284,""en"",""ar"")"),"ب) غروب الشمس")</f>
        <v>ب) غروب الشمس</v>
      </c>
      <c r="L284" s="4" t="str">
        <f ca="1">IFERROR(__xludf.DUMMYFUNCTION("GOOGLETRANSLATE(E284,""en"",""ar"")"),"الشمس منخفضة في الأفق، مما يخلق وهجًا ساطعًا ويلقي بظلال طويلة، وهو ما يميز غروب الشمس.")</f>
        <v>الشمس منخفضة في الأفق، مما يخلق وهجًا ساطعًا ويلقي بظلال طويلة، وهو ما يميز غروب الشمس.</v>
      </c>
      <c r="M284" s="4"/>
      <c r="N284" s="4"/>
      <c r="O284" s="4"/>
      <c r="P284" s="4"/>
      <c r="Q284" s="4"/>
      <c r="R284" s="4"/>
      <c r="S284" s="4"/>
      <c r="T284" s="4"/>
      <c r="U284" s="4"/>
      <c r="V284" s="4"/>
      <c r="W284" s="4"/>
      <c r="X284" s="4"/>
      <c r="Y284" s="4"/>
      <c r="Z284" s="4"/>
      <c r="AA284" s="4"/>
      <c r="AB284" s="4"/>
      <c r="AC284" s="4"/>
      <c r="AD284" s="4"/>
      <c r="AE284" s="4"/>
      <c r="AF284" s="4"/>
      <c r="AG284" s="4"/>
    </row>
    <row r="285" spans="1:33" ht="22.5" customHeight="1" x14ac:dyDescent="0.25">
      <c r="A285" s="2"/>
      <c r="B285" s="2"/>
      <c r="C285" s="2"/>
      <c r="D285" s="2"/>
      <c r="E285" s="2"/>
      <c r="F285" s="4"/>
      <c r="G285" s="4"/>
      <c r="H285" s="7" t="s">
        <v>85</v>
      </c>
      <c r="I285" s="4" t="str">
        <f ca="1">IFERROR(__xludf.DUMMYFUNCTION("GOOGLETRANSLATE(B285,""en"",""ar"")"),"حشد المتفرجين هو...")</f>
        <v>حشد المتفرجين هو...</v>
      </c>
      <c r="J285" s="4" t="str">
        <f ca="1">IFERROR(__xludf.DUMMYFUNCTION("GOOGLETRANSLATE(C285,""en"",""ar"")"),"أ) صغير ويجلس في ملعب رسمي، ب) تجمع جماهيري كبير جدًا، يجلس معظمه على الأرض، ج) غير موجود، د) مشاهدة الحدث على شاشة كبيرة")</f>
        <v>أ) صغير ويجلس في ملعب رسمي، ب) تجمع جماهيري كبير جدًا، يجلس معظمه على الأرض، ج) غير موجود، د) مشاهدة الحدث على شاشة كبيرة</v>
      </c>
      <c r="K285" s="4" t="str">
        <f ca="1">IFERROR(__xludf.DUMMYFUNCTION("GOOGLETRANSLATE(D285,""en"",""ar"")"),"ب) تجمع جماهيري كبير جداً، يجلس معظم أفراده على الأرض")</f>
        <v>ب) تجمع جماهيري كبير جداً، يجلس معظم أفراده على الأرض</v>
      </c>
      <c r="L285" s="4" t="str">
        <f ca="1">IFERROR(__xludf.DUMMYFUNCTION("GOOGLETRANSLATE(E285,""en"",""ar"")"),"يتجمع حشد هائل من الناس حول منطقة المصارعة، مما يدل على أهمية هذه الرياضة للمجتمع.")</f>
        <v>يتجمع حشد هائل من الناس حول منطقة المصارعة، مما يدل على أهمية هذه الرياضة للمجتمع.</v>
      </c>
      <c r="M285" s="4"/>
      <c r="N285" s="4"/>
      <c r="O285" s="4"/>
      <c r="P285" s="4"/>
      <c r="Q285" s="4"/>
      <c r="R285" s="4"/>
      <c r="S285" s="4"/>
      <c r="T285" s="4"/>
      <c r="U285" s="4"/>
      <c r="V285" s="4"/>
      <c r="W285" s="4"/>
      <c r="X285" s="4"/>
      <c r="Y285" s="4"/>
      <c r="Z285" s="4"/>
      <c r="AA285" s="4"/>
      <c r="AB285" s="4"/>
      <c r="AC285" s="4"/>
      <c r="AD285" s="4"/>
      <c r="AE285" s="4"/>
      <c r="AF285" s="4"/>
      <c r="AG285" s="4"/>
    </row>
    <row r="286" spans="1:33" ht="22.5" customHeight="1" x14ac:dyDescent="0.25">
      <c r="A286" s="2"/>
      <c r="B286" s="2"/>
      <c r="C286" s="2"/>
      <c r="D286" s="2"/>
      <c r="E286" s="2"/>
      <c r="F286" s="4"/>
      <c r="G286" s="4"/>
      <c r="H286" s="6" t="s">
        <v>85</v>
      </c>
      <c r="I286" s="4" t="str">
        <f ca="1">IFERROR(__xludf.DUMMYFUNCTION("GOOGLETRANSLATE(B286,""en"",""ar"")"),"كيف يتم تعريف حلبة المصارعة؟")</f>
        <v>كيف يتم تعريف حلبة المصارعة؟</v>
      </c>
      <c r="J286" s="4" t="str">
        <f ca="1">IFERROR(__xludf.DUMMYFUNCTION("GOOGLETRANSLATE(C286,""en"",""ar"")"),"أ) بواسطة سياج معدني حديث، ب) بواسطة المتفرجين الجالسين في دائرة كبيرة، ج) بواسطة منصة مرتفعة، د) بواسطة حاجز من الحبال")</f>
        <v>أ) بواسطة سياج معدني حديث، ب) بواسطة المتفرجين الجالسين في دائرة كبيرة، ج) بواسطة منصة مرتفعة، د) بواسطة حاجز من الحبال</v>
      </c>
      <c r="K286" s="4" t="str">
        <f ca="1">IFERROR(__xludf.DUMMYFUNCTION("GOOGLETRANSLATE(D286,""en"",""ar"")"),"ب) من قبل المتفرجين الجالسين في دائرة كبيرة")</f>
        <v>ب) من قبل المتفرجين الجالسين في دائرة كبيرة</v>
      </c>
      <c r="L286" s="4" t="str">
        <f ca="1">IFERROR(__xludf.DUMMYFUNCTION("GOOGLETRANSLATE(E286,""en"",""ar"")"),"يشكل المجتمع نفسه حدود منطقة المنافسة في هذا السياق التقليدي.")</f>
        <v>يشكل المجتمع نفسه حدود منطقة المنافسة في هذا السياق التقليدي.</v>
      </c>
      <c r="M286" s="4"/>
      <c r="N286" s="4"/>
      <c r="O286" s="4"/>
      <c r="P286" s="4"/>
      <c r="Q286" s="4"/>
      <c r="R286" s="4"/>
      <c r="S286" s="4"/>
      <c r="T286" s="4"/>
      <c r="U286" s="4"/>
      <c r="V286" s="4"/>
      <c r="W286" s="4"/>
      <c r="X286" s="4"/>
      <c r="Y286" s="4"/>
      <c r="Z286" s="4"/>
      <c r="AA286" s="4"/>
      <c r="AB286" s="4"/>
      <c r="AC286" s="4"/>
      <c r="AD286" s="4"/>
      <c r="AE286" s="4"/>
      <c r="AF286" s="4"/>
      <c r="AG286" s="4"/>
    </row>
    <row r="287" spans="1:33" ht="22.5" customHeight="1" x14ac:dyDescent="0.25">
      <c r="A287" s="2"/>
      <c r="B287" s="2"/>
      <c r="C287" s="2"/>
      <c r="D287" s="2"/>
      <c r="E287" s="2"/>
      <c r="F287" s="4"/>
      <c r="G287" s="4"/>
      <c r="H287" s="7" t="s">
        <v>85</v>
      </c>
      <c r="I287" s="4" t="str">
        <f ca="1">IFERROR(__xludf.DUMMYFUNCTION("GOOGLETRANSLATE(B287,""en"",""ar"")"),"ماذا يرتدي المصارعون؟")</f>
        <v>ماذا يرتدي المصارعون؟</v>
      </c>
      <c r="J287" s="4" t="str">
        <f ca="1">IFERROR(__xludf.DUMMYFUNCTION("GOOGLETRANSLATE(C287,""en"",""ar"")"),"أ) دروع ثقيلة واقية، ب) ملابس رياضية حديثة تحمل علامات تجارية، ج) سراويل قصيرة بسيطة فاتحة اللون أو مآزر، د) أردية احتفالية مزخرفة")</f>
        <v>أ) دروع ثقيلة واقية، ب) ملابس رياضية حديثة تحمل علامات تجارية، ج) سراويل قصيرة بسيطة فاتحة اللون أو مآزر، د) أردية احتفالية مزخرفة</v>
      </c>
      <c r="K287" s="4" t="str">
        <f ca="1">IFERROR(__xludf.DUMMYFUNCTION("GOOGLETRANSLATE(D287,""en"",""ar"")"),"ج) سراويل قصيرة بسيطة فاتحة اللون أو قطع قماش تغطي العورة")</f>
        <v>ج) سراويل قصيرة بسيطة فاتحة اللون أو قطع قماش تغطي العورة</v>
      </c>
      <c r="L287" s="4" t="str">
        <f ca="1">IFERROR(__xludf.DUMMYFUNCTION("GOOGLETRANSLATE(E287,""en"",""ar"")"),"ملابسهم بسيطة للغاية، مما يعكس تطابقاً تقليدياً أو أقل رسمية.")</f>
        <v>ملابسهم بسيطة للغاية، مما يعكس تطابقاً تقليدياً أو أقل رسمية.</v>
      </c>
      <c r="M287" s="4"/>
      <c r="N287" s="4"/>
      <c r="O287" s="4"/>
      <c r="P287" s="4"/>
      <c r="Q287" s="4"/>
      <c r="R287" s="4"/>
      <c r="S287" s="4"/>
      <c r="T287" s="4"/>
      <c r="U287" s="4"/>
      <c r="V287" s="4"/>
      <c r="W287" s="4"/>
      <c r="X287" s="4"/>
      <c r="Y287" s="4"/>
      <c r="Z287" s="4"/>
      <c r="AA287" s="4"/>
      <c r="AB287" s="4"/>
      <c r="AC287" s="4"/>
      <c r="AD287" s="4"/>
      <c r="AE287" s="4"/>
      <c r="AF287" s="4"/>
      <c r="AG287" s="4"/>
    </row>
    <row r="288" spans="1:33" ht="22.5" customHeight="1" x14ac:dyDescent="0.25">
      <c r="A288" s="2"/>
      <c r="B288" s="2"/>
      <c r="C288" s="2"/>
      <c r="D288" s="2"/>
      <c r="E288" s="2"/>
      <c r="F288" s="4"/>
      <c r="G288" s="4"/>
      <c r="H288" s="6" t="s">
        <v>85</v>
      </c>
      <c r="I288" s="4" t="str">
        <f ca="1">IFERROR(__xludf.DUMMYFUNCTION("GOOGLETRANSLATE(B288,""en"",""ar"")"),"من هو الرجل الذي يرتدي قميصاً مخططاً ويقف في الحلبة؟")</f>
        <v>من هو الرجل الذي يرتدي قميصاً مخططاً ويقف في الحلبة؟</v>
      </c>
      <c r="J288" s="4" t="str">
        <f ca="1">IFERROR(__xludf.DUMMYFUNCTION("GOOGLETRANSLATE(C288,""en"",""ar"")"),"أ) هو المصارع البطل، ب) هو متفرج تدخل، ج) من المرجح أنه الحكم، د) هو مدرب أحد المصارعين")</f>
        <v>أ) هو المصارع البطل، ب) هو متفرج تدخل، ج) من المرجح أنه الحكم، د) هو مدرب أحد المصارعين</v>
      </c>
      <c r="K288" s="4" t="str">
        <f ca="1">IFERROR(__xludf.DUMMYFUNCTION("GOOGLETRANSLATE(D288,""en"",""ar"")"),"ج) من المرجح أنه الحكم")</f>
        <v>ج) من المرجح أنه الحكم</v>
      </c>
      <c r="L288" s="4" t="str">
        <f ca="1">IFERROR(__xludf.DUMMYFUNCTION("GOOGLETRANSLATE(E288,""en"",""ar"")"),"هو الشخص الوحيد الذي يقف على مقربة من المصارعين، وهو في وضع يسمح له بإدارة المباراة.")</f>
        <v>هو الشخص الوحيد الذي يقف على مقربة من المصارعين، وهو في وضع يسمح له بإدارة المباراة.</v>
      </c>
      <c r="M288" s="4"/>
      <c r="N288" s="4"/>
      <c r="O288" s="4"/>
      <c r="P288" s="4"/>
      <c r="Q288" s="4"/>
      <c r="R288" s="4"/>
      <c r="S288" s="4"/>
      <c r="T288" s="4"/>
      <c r="U288" s="4"/>
      <c r="V288" s="4"/>
      <c r="W288" s="4"/>
      <c r="X288" s="4"/>
      <c r="Y288" s="4"/>
      <c r="Z288" s="4"/>
      <c r="AA288" s="4"/>
      <c r="AB288" s="4"/>
      <c r="AC288" s="4"/>
      <c r="AD288" s="4"/>
      <c r="AE288" s="4"/>
      <c r="AF288" s="4"/>
      <c r="AG288" s="4"/>
    </row>
    <row r="289" spans="1:33" ht="22.5" customHeight="1" x14ac:dyDescent="0.25">
      <c r="A289" s="2"/>
      <c r="B289" s="2"/>
      <c r="C289" s="2"/>
      <c r="D289" s="2"/>
      <c r="E289" s="2"/>
      <c r="F289" s="4"/>
      <c r="G289" s="4"/>
      <c r="H289" s="7" t="s">
        <v>85</v>
      </c>
      <c r="I289" s="4" t="str">
        <f ca="1">IFERROR(__xludf.DUMMYFUNCTION("GOOGLETRANSLATE(B289,""en"",""ar"")"),"الجو العام الذي تعكسه هذه الصورة هو...")</f>
        <v>الجو العام الذي تعكسه هذه الصورة هو...</v>
      </c>
      <c r="J289" s="4" t="str">
        <f ca="1">IFERROR(__xludf.DUMMYFUNCTION("GOOGLETRANSLATE(C289,""en"",""ar"")"),"أ) حديثة، تجارية، وسريعة الوتيرة، ب) تقليدية، جماعية، وملحمية، ج) صغيرة، خاصة، وغير رسمية، د) متوترة، عدائية، وغير ودية")</f>
        <v>أ) حديثة، تجارية، وسريعة الوتيرة، ب) تقليدية، جماعية، وملحمية، ج) صغيرة، خاصة، وغير رسمية، د) متوترة، عدائية، وغير ودية</v>
      </c>
      <c r="K289" s="4" t="str">
        <f ca="1">IFERROR(__xludf.DUMMYFUNCTION("GOOGLETRANSLATE(D289,""en"",""ar"")"),"ب) تقليدي، جماعي، وملحمي")</f>
        <v>ب) تقليدي، جماعي، وملحمي</v>
      </c>
      <c r="L289" s="4" t="str">
        <f ca="1">IFERROR(__xludf.DUMMYFUNCTION("GOOGLETRANSLATE(E289,""en"",""ar"")"),"إن الجمع بين غروب الشمس الدرامي والحشد الهائل والرياضة القديمة يخلق مشهداً قوياً وملحمياً.")</f>
        <v>إن الجمع بين غروب الشمس الدرامي والحشد الهائل والرياضة القديمة يخلق مشهداً قوياً وملحمياً.</v>
      </c>
      <c r="M289" s="4"/>
      <c r="N289" s="4"/>
      <c r="O289" s="4"/>
      <c r="P289" s="4"/>
      <c r="Q289" s="4"/>
      <c r="R289" s="4"/>
      <c r="S289" s="4"/>
      <c r="T289" s="4"/>
      <c r="U289" s="4"/>
      <c r="V289" s="4"/>
      <c r="W289" s="4"/>
      <c r="X289" s="4"/>
      <c r="Y289" s="4"/>
      <c r="Z289" s="4"/>
      <c r="AA289" s="4"/>
      <c r="AB289" s="4"/>
      <c r="AC289" s="4"/>
      <c r="AD289" s="4"/>
      <c r="AE289" s="4"/>
      <c r="AF289" s="4"/>
      <c r="AG289" s="4"/>
    </row>
    <row r="290" spans="1:33" ht="22.5" customHeight="1" x14ac:dyDescent="0.25">
      <c r="A290" s="2"/>
      <c r="B290" s="2"/>
      <c r="C290" s="2"/>
      <c r="D290" s="2"/>
      <c r="E290" s="2"/>
      <c r="F290" s="4"/>
      <c r="G290" s="4"/>
      <c r="H290" s="6" t="s">
        <v>85</v>
      </c>
      <c r="I290" s="4" t="str">
        <f ca="1">IFERROR(__xludf.DUMMYFUNCTION("GOOGLETRANSLATE(B290,""en"",""ar"")"),"المصارعون في المرحلة الأولى من المباراة، ماذا يفعلون؟")</f>
        <v>المصارعون في المرحلة الأولى من المباراة، ماذا يفعلون؟</v>
      </c>
      <c r="J290" s="4" t="str">
        <f ca="1">IFERROR(__xludf.DUMMYFUNCTION("GOOGLETRANSLATE(C290,""en"",""ar"")"),"أ) المصافحة، ب) الدوران والاستعداد للاشتباك، ج) الاحتفال بالفوز، د) أخذ استراحة")</f>
        <v>أ) المصافحة، ب) الدوران والاستعداد للاشتباك، ج) الاحتفال بالفوز، د) أخذ استراحة</v>
      </c>
      <c r="K290" s="4" t="str">
        <f ca="1">IFERROR(__xludf.DUMMYFUNCTION("GOOGLETRANSLATE(D290,""en"",""ar"")"),"ب) الدوران والاستعداد للاشتباك")</f>
        <v>ب) الدوران والاستعداد للاشتباك</v>
      </c>
      <c r="L290" s="4" t="str">
        <f ca="1">IFERROR(__xludf.DUMMYFUNCTION("GOOGLETRANSLATE(E290,""en"",""ar"")"),"إنهم في وضعية منخفضة، يتحركون وينتظرون اللحظة المناسبة للاشتباك.")</f>
        <v>إنهم في وضعية منخفضة، يتحركون وينتظرون اللحظة المناسبة للاشتباك.</v>
      </c>
      <c r="M290" s="4"/>
      <c r="N290" s="4"/>
      <c r="O290" s="4"/>
      <c r="P290" s="4"/>
      <c r="Q290" s="4"/>
      <c r="R290" s="4"/>
      <c r="S290" s="4"/>
      <c r="T290" s="4"/>
      <c r="U290" s="4"/>
      <c r="V290" s="4"/>
      <c r="W290" s="4"/>
      <c r="X290" s="4"/>
      <c r="Y290" s="4"/>
      <c r="Z290" s="4"/>
      <c r="AA290" s="4"/>
      <c r="AB290" s="4"/>
      <c r="AC290" s="4"/>
      <c r="AD290" s="4"/>
      <c r="AE290" s="4"/>
      <c r="AF290" s="4"/>
      <c r="AG290" s="4"/>
    </row>
    <row r="291" spans="1:33" ht="22.5" customHeight="1" x14ac:dyDescent="0.25">
      <c r="A291" s="2"/>
      <c r="B291" s="2"/>
      <c r="C291" s="2"/>
      <c r="D291" s="2"/>
      <c r="E291" s="2"/>
      <c r="F291" s="4"/>
      <c r="G291" s="4"/>
      <c r="H291" s="7" t="s">
        <v>85</v>
      </c>
      <c r="I291" s="4" t="str">
        <f ca="1">IFERROR(__xludf.DUMMYFUNCTION("GOOGLETRANSLATE(B291,""en"",""ar"")"),"تُظهر هذه الصورة أن مصارعة النوبة أكثر من مجرد رياضة، إنها...")</f>
        <v>تُظهر هذه الصورة أن مصارعة النوبة أكثر من مجرد رياضة، إنها...</v>
      </c>
      <c r="J291" s="4" t="str">
        <f ca="1">IFERROR(__xludf.DUMMYFUNCTION("GOOGLETRANSLATE(C291,""en"",""ar"")"),"أ) وسيلة لتسوية النزاعات القانونية، ب) معلم سياحي رئيسي، ج) جزء أساسي من الحياة الاجتماعية والثقافية للمجتمع، د) تدريب عسكري إلزامي")</f>
        <v>أ) وسيلة لتسوية النزاعات القانونية، ب) معلم سياحي رئيسي، ج) جزء أساسي من الحياة الاجتماعية والثقافية للمجتمع، د) تدريب عسكري إلزامي</v>
      </c>
      <c r="K291" s="4" t="str">
        <f ca="1">IFERROR(__xludf.DUMMYFUNCTION("GOOGLETRANSLATE(D291,""en"",""ar"")"),"ج) جزء أساسي من الحياة الاجتماعية والثقافية للمجتمع")</f>
        <v>ج) جزء أساسي من الحياة الاجتماعية والثقافية للمجتمع</v>
      </c>
      <c r="L291" s="4" t="str">
        <f ca="1">IFERROR(__xludf.DUMMYFUNCTION("GOOGLETRANSLATE(E291,""en"",""ar"")"),"يؤكد الحضور الكبير من المجتمع المحلي على دورها كحدث اجتماعي رئيسي.")</f>
        <v>يؤكد الحضور الكبير من المجتمع المحلي على دورها كحدث اجتماعي رئيسي.</v>
      </c>
      <c r="M291" s="4"/>
      <c r="N291" s="4"/>
      <c r="O291" s="4"/>
      <c r="P291" s="4"/>
      <c r="Q291" s="4"/>
      <c r="R291" s="4"/>
      <c r="S291" s="4"/>
      <c r="T291" s="4"/>
      <c r="U291" s="4"/>
      <c r="V291" s="4"/>
      <c r="W291" s="4"/>
      <c r="X291" s="4"/>
      <c r="Y291" s="4"/>
      <c r="Z291" s="4"/>
      <c r="AA291" s="4"/>
      <c r="AB291" s="4"/>
      <c r="AC291" s="4"/>
      <c r="AD291" s="4"/>
      <c r="AE291" s="4"/>
      <c r="AF291" s="4"/>
      <c r="AG291" s="4"/>
    </row>
    <row r="292" spans="1:33" ht="22.5" customHeight="1" x14ac:dyDescent="0.25">
      <c r="A292" s="2"/>
      <c r="B292" s="2"/>
      <c r="C292" s="2"/>
      <c r="D292" s="2"/>
      <c r="E292" s="2"/>
      <c r="F292" s="4"/>
      <c r="G292" s="4"/>
      <c r="H292" s="6" t="s">
        <v>86</v>
      </c>
      <c r="I292" s="4" t="str">
        <f ca="1">IFERROR(__xludf.DUMMYFUNCTION("GOOGLETRANSLATE(B292,""en"",""ar"")"),"ماذا يفعل الرجل الموجود في وسط الصورة؟")</f>
        <v>ماذا يفعل الرجل الموجود في وسط الصورة؟</v>
      </c>
      <c r="J292" s="4" t="str">
        <f ca="1">IFERROR(__xludf.DUMMYFUNCTION("GOOGLETRANSLATE(C292,""en"",""ar"")"),"أ) هو يصارع خصماً، ب) هو يدخل الحلبة أو الساحة، ج) هو جالس ويشاهد المباريات، د) هو حكم مباراة")</f>
        <v>أ) هو يصارع خصماً، ب) هو يدخل الحلبة أو الساحة، ج) هو جالس ويشاهد المباريات، د) هو حكم مباراة</v>
      </c>
      <c r="K292" s="4" t="str">
        <f ca="1">IFERROR(__xludf.DUMMYFUNCTION("GOOGLETRANSLATE(D292,""en"",""ar"")"),"ب) إنه يدخل الحلبة أو الساحة")</f>
        <v>ب) إنه يدخل الحلبة أو الساحة</v>
      </c>
      <c r="L292" s="4" t="str">
        <f ca="1">IFERROR(__xludf.DUMMYFUNCTION("GOOGLETRANSLATE(E292,""en"",""ar"")"),"إنه يمشي بخطى واثقة، متمركزاً بين الحشد والمساحة المفتوحة، كما لو كان يدخل.")</f>
        <v>إنه يمشي بخطى واثقة، متمركزاً بين الحشد والمساحة المفتوحة، كما لو كان يدخل.</v>
      </c>
      <c r="M292" s="4"/>
      <c r="N292" s="4"/>
      <c r="O292" s="4"/>
      <c r="P292" s="4"/>
      <c r="Q292" s="4"/>
      <c r="R292" s="4"/>
      <c r="S292" s="4"/>
      <c r="T292" s="4"/>
      <c r="U292" s="4"/>
      <c r="V292" s="4"/>
      <c r="W292" s="4"/>
      <c r="X292" s="4"/>
      <c r="Y292" s="4"/>
      <c r="Z292" s="4"/>
      <c r="AA292" s="4"/>
      <c r="AB292" s="4"/>
      <c r="AC292" s="4"/>
      <c r="AD292" s="4"/>
      <c r="AE292" s="4"/>
      <c r="AF292" s="4"/>
      <c r="AG292" s="4"/>
    </row>
    <row r="293" spans="1:33" ht="22.5" customHeight="1" x14ac:dyDescent="0.25">
      <c r="A293" s="2"/>
      <c r="B293" s="2"/>
      <c r="C293" s="2"/>
      <c r="D293" s="2"/>
      <c r="E293" s="2"/>
      <c r="F293" s="4"/>
      <c r="G293" s="4"/>
      <c r="H293" s="7" t="s">
        <v>86</v>
      </c>
      <c r="I293" s="4" t="str">
        <f ca="1">IFERROR(__xludf.DUMMYFUNCTION("GOOGLETRANSLATE(B293,""en"",""ar"")"),"كيف يمكن تمييز هذا الرجل عن الحشد المحيط به؟")</f>
        <v>كيف يمكن تمييز هذا الرجل عن الحشد المحيط به؟</v>
      </c>
      <c r="J293" s="4" t="str">
        <f ca="1">IFERROR(__xludf.DUMMYFUNCTION("GOOGLETRANSLATE(C293,""en"",""ar"")"),"أ) هو الوحيد الجالس، ب) هو مصارع، يُعرف ببنيته الجسدية وملابسه الخفيفة، ج) يرتدي بدلة رسمية، د) هو أكبر سناً بكثير من أي شخص آخر")</f>
        <v>أ) هو الوحيد الجالس، ب) هو مصارع، يُعرف ببنيته الجسدية وملابسه الخفيفة، ج) يرتدي بدلة رسمية، د) هو أكبر سناً بكثير من أي شخص آخر</v>
      </c>
      <c r="K293" s="4" t="str">
        <f ca="1">IFERROR(__xludf.DUMMYFUNCTION("GOOGLETRANSLATE(D293,""en"",""ar"")"),"ب) إنه مصارع، يُعرف ببنيته الجسدية وملابسه الخفيفة.")</f>
        <v>ب) إنه مصارع، يُعرف ببنيته الجسدية وملابسه الخفيفة.</v>
      </c>
      <c r="L293" s="4" t="str">
        <f ca="1">IFERROR(__xludf.DUMMYFUNCTION("GOOGLETRANSLATE(E293,""en"",""ar"")"),"بنيته الرياضية وعدم ارتدائه قميصاً يميزانه بوضوح كواحد من المنافسين، مما يجعله محط الأنظار.")</f>
        <v>بنيته الرياضية وعدم ارتدائه قميصاً يميزانه بوضوح كواحد من المنافسين، مما يجعله محط الأنظار.</v>
      </c>
      <c r="M293" s="4"/>
      <c r="N293" s="4"/>
      <c r="O293" s="4"/>
      <c r="P293" s="4"/>
      <c r="Q293" s="4"/>
      <c r="R293" s="4"/>
      <c r="S293" s="4"/>
      <c r="T293" s="4"/>
      <c r="U293" s="4"/>
      <c r="V293" s="4"/>
      <c r="W293" s="4"/>
      <c r="X293" s="4"/>
      <c r="Y293" s="4"/>
      <c r="Z293" s="4"/>
      <c r="AA293" s="4"/>
      <c r="AB293" s="4"/>
      <c r="AC293" s="4"/>
      <c r="AD293" s="4"/>
      <c r="AE293" s="4"/>
      <c r="AF293" s="4"/>
      <c r="AG293" s="4"/>
    </row>
    <row r="294" spans="1:33" ht="22.5" customHeight="1" x14ac:dyDescent="0.25">
      <c r="A294" s="2"/>
      <c r="B294" s="2"/>
      <c r="C294" s="2"/>
      <c r="D294" s="2"/>
      <c r="E294" s="2"/>
      <c r="F294" s="4"/>
      <c r="G294" s="4"/>
      <c r="H294" s="6" t="s">
        <v>86</v>
      </c>
      <c r="I294" s="4" t="str">
        <f ca="1">IFERROR(__xludf.DUMMYFUNCTION("GOOGLETRANSLATE(B294,""en"",""ar"")"),"ماذا يفعل الحشد؟")</f>
        <v>ماذا يفعل الحشد؟</v>
      </c>
      <c r="J294" s="4" t="str">
        <f ca="1">IFERROR(__xludf.DUMMYFUNCTION("GOOGLETRANSLATE(C294,""en"",""ar"")"),"أ) يتجاهلون المصارع، ب) يقفون جميعًا ويهتفون، ج) يجلسون متقاربين ويشاهدون الحدث، د) يشاركون في المصارعة")</f>
        <v>أ) يتجاهلون المصارع، ب) يقفون جميعًا ويهتفون، ج) يجلسون متقاربين ويشاهدون الحدث، د) يشاركون في المصارعة</v>
      </c>
      <c r="K294" s="4" t="str">
        <f ca="1">IFERROR(__xludf.DUMMYFUNCTION("GOOGLETRANSLATE(D294,""en"",""ar"")"),"ج) يجلسون متقاربين، ويشاهدون الحدث")</f>
        <v>ج) يجلسون متقاربين، ويشاهدون الحدث</v>
      </c>
      <c r="L294" s="4" t="str">
        <f ca="1">IFERROR(__xludf.DUMMYFUNCTION("GOOGLETRANSLATE(E294,""en"",""ar"")"),"يتجمع المتفرجون معاً، يجلسون على الأرض وعلى المقاعد، مما يخلق جمهوراً حميماً ولكنه كبير.")</f>
        <v>يتجمع المتفرجون معاً، يجلسون على الأرض وعلى المقاعد، مما يخلق جمهوراً حميماً ولكنه كبير.</v>
      </c>
      <c r="M294" s="4"/>
      <c r="N294" s="4"/>
      <c r="O294" s="4"/>
      <c r="P294" s="4"/>
      <c r="Q294" s="4"/>
      <c r="R294" s="4"/>
      <c r="S294" s="4"/>
      <c r="T294" s="4"/>
      <c r="U294" s="4"/>
      <c r="V294" s="4"/>
      <c r="W294" s="4"/>
      <c r="X294" s="4"/>
      <c r="Y294" s="4"/>
      <c r="Z294" s="4"/>
      <c r="AA294" s="4"/>
      <c r="AB294" s="4"/>
      <c r="AC294" s="4"/>
      <c r="AD294" s="4"/>
      <c r="AE294" s="4"/>
      <c r="AF294" s="4"/>
      <c r="AG294" s="4"/>
    </row>
    <row r="295" spans="1:33" ht="22.5" customHeight="1" x14ac:dyDescent="0.25">
      <c r="A295" s="2"/>
      <c r="B295" s="2"/>
      <c r="C295" s="2"/>
      <c r="D295" s="2"/>
      <c r="E295" s="2"/>
      <c r="F295" s="4"/>
      <c r="G295" s="4"/>
      <c r="H295" s="7" t="s">
        <v>86</v>
      </c>
      <c r="I295" s="4" t="str">
        <f ca="1">IFERROR(__xludf.DUMMYFUNCTION("GOOGLETRANSLATE(B295,""en"",""ar"")"),"ما هو سلوك المصارع أو موقفه؟")</f>
        <v>ما هو سلوك المصارع أو موقفه؟</v>
      </c>
      <c r="J295" s="4" t="str">
        <f ca="1">IFERROR(__xludf.DUMMYFUNCTION("GOOGLETRANSLATE(C295,""en"",""ar"")"),"أ) متوتر وخائف، ب) حزين ومنهزم، ج) واثق وفخور، د) غاضب وعدواني")</f>
        <v>أ) متوتر وخائف، ب) حزين ومنهزم، ج) واثق وفخور، د) غاضب وعدواني</v>
      </c>
      <c r="K295" s="4" t="str">
        <f ca="1">IFERROR(__xludf.DUMMYFUNCTION("GOOGLETRANSLATE(D295,""en"",""ar"")"),"ج) واثق وفخور")</f>
        <v>ج) واثق وفخور</v>
      </c>
      <c r="L295" s="4" t="str">
        <f ca="1">IFERROR(__xludf.DUMMYFUNCTION("GOOGLETRANSLATE(E295,""en"",""ar"")"),"يمشي ورأسه مرفوع، وعلى وجهه تعبير هادئ وواثق، يليق ببطل أو رياضي ماهر.")</f>
        <v>يمشي ورأسه مرفوع، وعلى وجهه تعبير هادئ وواثق، يليق ببطل أو رياضي ماهر.</v>
      </c>
      <c r="M295" s="4"/>
      <c r="N295" s="4"/>
      <c r="O295" s="4"/>
      <c r="P295" s="4"/>
      <c r="Q295" s="4"/>
      <c r="R295" s="4"/>
      <c r="S295" s="4"/>
      <c r="T295" s="4"/>
      <c r="U295" s="4"/>
      <c r="V295" s="4"/>
      <c r="W295" s="4"/>
      <c r="X295" s="4"/>
      <c r="Y295" s="4"/>
      <c r="Z295" s="4"/>
      <c r="AA295" s="4"/>
      <c r="AB295" s="4"/>
      <c r="AC295" s="4"/>
      <c r="AD295" s="4"/>
      <c r="AE295" s="4"/>
      <c r="AF295" s="4"/>
      <c r="AG295" s="4"/>
    </row>
    <row r="296" spans="1:33" ht="22.5" customHeight="1" x14ac:dyDescent="0.25">
      <c r="A296" s="2"/>
      <c r="B296" s="2"/>
      <c r="C296" s="2"/>
      <c r="D296" s="2"/>
      <c r="E296" s="2"/>
      <c r="F296" s="4"/>
      <c r="G296" s="4"/>
      <c r="H296" s="6" t="s">
        <v>86</v>
      </c>
      <c r="I296" s="4" t="str">
        <f ca="1">IFERROR(__xludf.DUMMYFUNCTION("GOOGLETRANSLATE(B296,""en"",""ar"")"),"ماذا يرتدي على الجزء السفلي من جسده؟")</f>
        <v>ماذا يرتدي على الجزء السفلي من جسده؟</v>
      </c>
      <c r="J296" s="4" t="str">
        <f ca="1">IFERROR(__xludf.DUMMYFUNCTION("GOOGLETRANSLATE(C296,""en"",""ar"")"),"أ) مئزر تقليدي فقط، ب) شورت رياضي حديث مع جوارب حمراء ضيقة أو شورت ضاغط تحته، ج) بنطال طويل وحذاء برقبة طويلة، د) لا شيء")</f>
        <v>أ) مئزر تقليدي فقط، ب) شورت رياضي حديث مع جوارب حمراء ضيقة أو شورت ضاغط تحته، ج) بنطال طويل وحذاء برقبة طويلة، د) لا شيء</v>
      </c>
      <c r="K296" s="4" t="str">
        <f ca="1">IFERROR(__xludf.DUMMYFUNCTION("GOOGLETRANSLATE(D296,""en"",""ar"")"),"ب) شورت رياضي عصري مع جوارب ضيقة حمراء أو شورت ضاغط تحته")</f>
        <v>ب) شورت رياضي عصري مع جوارب ضيقة حمراء أو شورت ضاغط تحته</v>
      </c>
      <c r="L296" s="4" t="str">
        <f ca="1">IFERROR(__xludf.DUMMYFUNCTION("GOOGLETRANSLATE(E296,""en"",""ar"")"),"يرتدي مزيجاً من الملابس الرياضية الحديثة.")</f>
        <v>يرتدي مزيجاً من الملابس الرياضية الحديثة.</v>
      </c>
      <c r="M296" s="4"/>
      <c r="N296" s="4"/>
      <c r="O296" s="4"/>
      <c r="P296" s="4"/>
      <c r="Q296" s="4"/>
      <c r="R296" s="4"/>
      <c r="S296" s="4"/>
      <c r="T296" s="4"/>
      <c r="U296" s="4"/>
      <c r="V296" s="4"/>
      <c r="W296" s="4"/>
      <c r="X296" s="4"/>
      <c r="Y296" s="4"/>
      <c r="Z296" s="4"/>
      <c r="AA296" s="4"/>
      <c r="AB296" s="4"/>
      <c r="AC296" s="4"/>
      <c r="AD296" s="4"/>
      <c r="AE296" s="4"/>
      <c r="AF296" s="4"/>
      <c r="AG296" s="4"/>
    </row>
    <row r="297" spans="1:33" ht="22.5" customHeight="1" x14ac:dyDescent="0.25">
      <c r="A297" s="2"/>
      <c r="B297" s="2"/>
      <c r="C297" s="2"/>
      <c r="D297" s="2"/>
      <c r="E297" s="2"/>
      <c r="F297" s="4"/>
      <c r="G297" s="4"/>
      <c r="H297" s="7" t="s">
        <v>86</v>
      </c>
      <c r="I297" s="4" t="str">
        <f ca="1">IFERROR(__xludf.DUMMYFUNCTION("GOOGLETRANSLATE(B297,""en"",""ar"")"),"تُبرز هذه الصورة دور المصارع في المجتمع كـ...")</f>
        <v>تُبرز هذه الصورة دور المصارع في المجتمع كـ...</v>
      </c>
      <c r="J297" s="4" t="str">
        <f ca="1">IFERROR(__xludf.DUMMYFUNCTION("GOOGLETRANSLATE(C297,""en"",""ar"")"),"أ) زعيم سياسي، ب) شخصية مشهورة أو محور الحدث، ج) حكم، د) متفرج عادي")</f>
        <v>أ) زعيم سياسي، ب) شخصية مشهورة أو محور الحدث، ج) حكم، د) متفرج عادي</v>
      </c>
      <c r="K297" s="4" t="str">
        <f ca="1">IFERROR(__xludf.DUMMYFUNCTION("GOOGLETRANSLATE(D297,""en"",""ar"")"),"ب) شخصية مشهورة أو محور الحدث")</f>
        <v>ب) شخصية مشهورة أو محور الحدث</v>
      </c>
      <c r="L297" s="4" t="str">
        <f ca="1">IFERROR(__xludf.DUMMYFUNCTION("GOOGLETRANSLATE(E297,""en"",""ar"")"),"مثل المصارع الذي يدخل الحلبة، فهو محور اهتمام الحشد بأكمله.")</f>
        <v>مثل المصارع الذي يدخل الحلبة، فهو محور اهتمام الحشد بأكمله.</v>
      </c>
      <c r="M297" s="4"/>
      <c r="N297" s="4"/>
      <c r="O297" s="4"/>
      <c r="P297" s="4"/>
      <c r="Q297" s="4"/>
      <c r="R297" s="4"/>
      <c r="S297" s="4"/>
      <c r="T297" s="4"/>
      <c r="U297" s="4"/>
      <c r="V297" s="4"/>
      <c r="W297" s="4"/>
      <c r="X297" s="4"/>
      <c r="Y297" s="4"/>
      <c r="Z297" s="4"/>
      <c r="AA297" s="4"/>
      <c r="AB297" s="4"/>
      <c r="AC297" s="4"/>
      <c r="AD297" s="4"/>
      <c r="AE297" s="4"/>
      <c r="AF297" s="4"/>
      <c r="AG297" s="4"/>
    </row>
    <row r="298" spans="1:33" ht="22.5" customHeight="1" x14ac:dyDescent="0.25">
      <c r="A298" s="2"/>
      <c r="B298" s="2"/>
      <c r="C298" s="2"/>
      <c r="D298" s="2"/>
      <c r="E298" s="2"/>
      <c r="F298" s="4"/>
      <c r="G298" s="4"/>
      <c r="H298" s="6" t="s">
        <v>86</v>
      </c>
      <c r="I298" s="4" t="str">
        <f ca="1">IFERROR(__xludf.DUMMYFUNCTION("GOOGLETRANSLATE(B298,""en"",""ar"")"),"يبدو أن الإعداد هو...")</f>
        <v>يبدو أن الإعداد هو...</v>
      </c>
      <c r="J298" s="4" t="str">
        <f ca="1">IFERROR(__xludf.DUMMYFUNCTION("GOOGLETRANSLATE(C298,""en"",""ar"")"),"أ) صالة رياضية داخلية، ب) ساحة خارجية، ج) صحراء نائية خالية من المتفرجين، د) حقل عشبي")</f>
        <v>أ) صالة رياضية داخلية، ب) ساحة خارجية، ج) صحراء نائية خالية من المتفرجين، د) حقل عشبي</v>
      </c>
      <c r="K298" s="4" t="str">
        <f ca="1">IFERROR(__xludf.DUMMYFUNCTION("GOOGLETRANSLATE(D298,""en"",""ar"")"),"ب) ساحة خارجية")</f>
        <v>ب) ساحة خارجية</v>
      </c>
      <c r="L298" s="4" t="str">
        <f ca="1">IFERROR(__xludf.DUMMYFUNCTION("GOOGLETRANSLATE(E298,""en"",""ar"")"),"يقام الحدث في الهواء الطلق، بحضور حشد كبير ومنظم، ويبدو أن هناك حفرة رملية.")</f>
        <v>يقام الحدث في الهواء الطلق، بحضور حشد كبير ومنظم، ويبدو أن هناك حفرة رملية.</v>
      </c>
      <c r="M298" s="4"/>
      <c r="N298" s="4"/>
      <c r="O298" s="4"/>
      <c r="P298" s="4"/>
      <c r="Q298" s="4"/>
      <c r="R298" s="4"/>
      <c r="S298" s="4"/>
      <c r="T298" s="4"/>
      <c r="U298" s="4"/>
      <c r="V298" s="4"/>
      <c r="W298" s="4"/>
      <c r="X298" s="4"/>
      <c r="Y298" s="4"/>
      <c r="Z298" s="4"/>
      <c r="AA298" s="4"/>
      <c r="AB298" s="4"/>
      <c r="AC298" s="4"/>
      <c r="AD298" s="4"/>
      <c r="AE298" s="4"/>
      <c r="AF298" s="4"/>
      <c r="AG298" s="4"/>
    </row>
    <row r="299" spans="1:33" ht="22.5" customHeight="1" x14ac:dyDescent="0.25">
      <c r="A299" s="2"/>
      <c r="B299" s="2"/>
      <c r="C299" s="2"/>
      <c r="D299" s="2"/>
      <c r="E299" s="2"/>
      <c r="F299" s="4"/>
      <c r="G299" s="4"/>
      <c r="H299" s="7" t="s">
        <v>86</v>
      </c>
      <c r="I299" s="4" t="str">
        <f ca="1">IFERROR(__xludf.DUMMYFUNCTION("GOOGLETRANSLATE(B299,""en"",""ar"")"),"الإضاءة في الصورة هي...")</f>
        <v>الإضاءة في الصورة هي...</v>
      </c>
      <c r="J299" s="4" t="str">
        <f ca="1">IFERROR(__xludf.DUMMYFUNCTION("GOOGLETRANSLATE(C299,""en"",""ar"")"),"أ) ضوء خافت، قادم من بقعة ضوء واحدة، ب) ضوء طبيعي ناعم، على الأرجح من يوم غائم أو خلال المساء، ج) ضوء شمس قوي في منتصف النهار، د) قادم من نار المخيم")</f>
        <v>أ) ضوء خافت، قادم من بقعة ضوء واحدة، ب) ضوء طبيعي ناعم، على الأرجح من يوم غائم أو خلال المساء، ج) ضوء شمس قوي في منتصف النهار، د) قادم من نار المخيم</v>
      </c>
      <c r="K299" s="4" t="str">
        <f ca="1">IFERROR(__xludf.DUMMYFUNCTION("GOOGLETRANSLATE(D299,""en"",""ar"")"),"ب) ضوء طبيعي ناعم، غالباً ما يكون ناتجاً عن يوم غائم أو خلال المساء")</f>
        <v>ب) ضوء طبيعي ناعم، غالباً ما يكون ناتجاً عن يوم غائم أو خلال المساء</v>
      </c>
      <c r="L299" s="4" t="str">
        <f ca="1">IFERROR(__xludf.DUMMYFUNCTION("GOOGLETRANSLATE(E299,""en"",""ar"")"),"الضوء متساوٍ ولا يخلق ظلالاً قاسية، مما يشير إلى أنه ليس منتصف النهار.")</f>
        <v>الضوء متساوٍ ولا يخلق ظلالاً قاسية، مما يشير إلى أنه ليس منتصف النهار.</v>
      </c>
      <c r="M299" s="4"/>
      <c r="N299" s="4"/>
      <c r="O299" s="4"/>
      <c r="P299" s="4"/>
      <c r="Q299" s="4"/>
      <c r="R299" s="4"/>
      <c r="S299" s="4"/>
      <c r="T299" s="4"/>
      <c r="U299" s="4"/>
      <c r="V299" s="4"/>
      <c r="W299" s="4"/>
      <c r="X299" s="4"/>
      <c r="Y299" s="4"/>
      <c r="Z299" s="4"/>
      <c r="AA299" s="4"/>
      <c r="AB299" s="4"/>
      <c r="AC299" s="4"/>
      <c r="AD299" s="4"/>
      <c r="AE299" s="4"/>
      <c r="AF299" s="4"/>
      <c r="AG299" s="4"/>
    </row>
    <row r="300" spans="1:33" ht="22.5" customHeight="1" x14ac:dyDescent="0.25">
      <c r="A300" s="2"/>
      <c r="B300" s="2"/>
      <c r="C300" s="2"/>
      <c r="D300" s="2"/>
      <c r="E300" s="2"/>
      <c r="F300" s="4"/>
      <c r="G300" s="4"/>
      <c r="H300" s="6" t="s">
        <v>86</v>
      </c>
      <c r="I300" s="4" t="str">
        <f ca="1">IFERROR(__xludf.DUMMYFUNCTION("GOOGLETRANSLATE(B300,""en"",""ar"")"),"ما الذي يظهر على معصم المصارع الأيسر؟")</f>
        <v>ما الذي يظهر على معصم المصارع الأيسر؟</v>
      </c>
      <c r="J300" s="4" t="str">
        <f ca="1">IFERROR(__xludf.DUMMYFUNCTION("GOOGLETRANSLATE(C300,""en"",""ar"")"),"أ) ساعة، ب) سوار معصم أحمر، ج) ضمادة، د) وشم")</f>
        <v>أ) ساعة، ب) سوار معصم أحمر، ج) ضمادة، د) وشم</v>
      </c>
      <c r="K300" s="4" t="str">
        <f ca="1">IFERROR(__xludf.DUMMYFUNCTION("GOOGLETRANSLATE(D300,""en"",""ar"")"),"ب) سوار معصم أحمر")</f>
        <v>ب) سوار معصم أحمر</v>
      </c>
      <c r="L300" s="4" t="str">
        <f ca="1">IFERROR(__xludf.DUMMYFUNCTION("GOOGLETRANSLATE(E300,""en"",""ar"")"),"يرتدي سواراً أحمر بسيطاً على معصمه، والذي قد يكون للزينة أو لتمييز فريقه.")</f>
        <v>يرتدي سواراً أحمر بسيطاً على معصمه، والذي قد يكون للزينة أو لتمييز فريقه.</v>
      </c>
      <c r="M300" s="4"/>
      <c r="N300" s="4"/>
      <c r="O300" s="4"/>
      <c r="P300" s="4"/>
      <c r="Q300" s="4"/>
      <c r="R300" s="4"/>
      <c r="S300" s="4"/>
      <c r="T300" s="4"/>
      <c r="U300" s="4"/>
      <c r="V300" s="4"/>
      <c r="W300" s="4"/>
      <c r="X300" s="4"/>
      <c r="Y300" s="4"/>
      <c r="Z300" s="4"/>
      <c r="AA300" s="4"/>
      <c r="AB300" s="4"/>
      <c r="AC300" s="4"/>
      <c r="AD300" s="4"/>
      <c r="AE300" s="4"/>
      <c r="AF300" s="4"/>
      <c r="AG300" s="4"/>
    </row>
    <row r="301" spans="1:33" ht="22.5" customHeight="1" x14ac:dyDescent="0.25">
      <c r="A301" s="2"/>
      <c r="B301" s="2"/>
      <c r="C301" s="2"/>
      <c r="D301" s="2"/>
      <c r="E301" s="2"/>
      <c r="F301" s="4"/>
      <c r="G301" s="4"/>
      <c r="H301" s="7" t="s">
        <v>86</v>
      </c>
      <c r="I301" s="4" t="str">
        <f ca="1">IFERROR(__xludf.DUMMYFUNCTION("GOOGLETRANSLATE(B301,""en"",""ar"")"),"إن طريقة جلوس الجمهور على الأرض، بالقرب الشديد من الحدث، تخلق...")</f>
        <v>إن طريقة جلوس الجمهور على الأرض، بالقرب الشديد من الحدث، تخلق...</v>
      </c>
      <c r="J301" s="4" t="str">
        <f ca="1">IFERROR(__xludf.DUMMYFUNCTION("GOOGLETRANSLATE(C301,""en"",""ar"")"),"أ) جو رسمي وجاف للغاية، ب) جو حميمي وتفاعلي للغاية، ج) وضع خطير وغير مسيطر عليه، د) بيئة هادئة ونائمة")</f>
        <v>أ) جو رسمي وجاف للغاية، ب) جو حميمي وتفاعلي للغاية، ج) وضع خطير وغير مسيطر عليه، د) بيئة هادئة ونائمة</v>
      </c>
      <c r="K301" s="4" t="str">
        <f ca="1">IFERROR(__xludf.DUMMYFUNCTION("GOOGLETRANSLATE(D301,""en"",""ar"")"),"ب) جو حميمي وتفاعلي للغاية")</f>
        <v>ب) جو حميمي وتفاعلي للغاية</v>
      </c>
      <c r="L301" s="4" t="str">
        <f ca="1">IFERROR(__xludf.DUMMYFUNCTION("GOOGLETRANSLATE(E301,""en"",""ar"")"),"إن وجود المتفرجين على مقربة شديدة يجعل الحدث يبدو جماعياً وتشاركياً للغاية.")</f>
        <v>إن وجود المتفرجين على مقربة شديدة يجعل الحدث يبدو جماعياً وتشاركياً للغاية.</v>
      </c>
      <c r="M301" s="4"/>
      <c r="N301" s="4"/>
      <c r="O301" s="4"/>
      <c r="P301" s="4"/>
      <c r="Q301" s="4"/>
      <c r="R301" s="4"/>
      <c r="S301" s="4"/>
      <c r="T301" s="4"/>
      <c r="U301" s="4"/>
      <c r="V301" s="4"/>
      <c r="W301" s="4"/>
      <c r="X301" s="4"/>
      <c r="Y301" s="4"/>
      <c r="Z301" s="4"/>
      <c r="AA301" s="4"/>
      <c r="AB301" s="4"/>
      <c r="AC301" s="4"/>
      <c r="AD301" s="4"/>
      <c r="AE301" s="4"/>
      <c r="AF301" s="4"/>
      <c r="AG301" s="4"/>
    </row>
    <row r="302" spans="1:33"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spans="1:33"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spans="1:33"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spans="1:33"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spans="1:33"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spans="1:33"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spans="1:33"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spans="1:33"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spans="1:33"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spans="1:33"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spans="1:33"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spans="1:33"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spans="1:33"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spans="1:33"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spans="1:33"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spans="1:33"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spans="1:33"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spans="1:33"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spans="1:33"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spans="1:33"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spans="1:33"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spans="1:33"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spans="1:33"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spans="1:33"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spans="1:33"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spans="1:33"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spans="1:33"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spans="1:33"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spans="1:33"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spans="1:33"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spans="1:33"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spans="1:33"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spans="1:33"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spans="1:33"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spans="1:33"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spans="1:33"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spans="1:33"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spans="1:33"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spans="1:33"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spans="1:33"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spans="1:33"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spans="1:33"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spans="1:33"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spans="1:33"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spans="1:33"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spans="1:33"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spans="1:33"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spans="1:33"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spans="1:33"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spans="1:33"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spans="1:33"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spans="1:33"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spans="1:33"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spans="1:33"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spans="1:33"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spans="1:33"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spans="1:33"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spans="1:33"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spans="1:33"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spans="1:33"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spans="1:33"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spans="1:33"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spans="1:33"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spans="1:33"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spans="1:33"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spans="1:33"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spans="1:33"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spans="1:33"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spans="1:33"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spans="1:33"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spans="1:33"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spans="1:33"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spans="1:33"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spans="1:33"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spans="1:33"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spans="1:33"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spans="1:33"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spans="1:33"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spans="1:33"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spans="1:33"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spans="1:33"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spans="1:33"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spans="1:33"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spans="1:33"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spans="1:33"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spans="1:33"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spans="1:33"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spans="1:33"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spans="1:33"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spans="1:33"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spans="1:33"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spans="1:33"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spans="1:33"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spans="1:33"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spans="1:33"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spans="1:33"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spans="1:33"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spans="1:33"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spans="1:33"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spans="1:33"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spans="1:33"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spans="1:33"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spans="1:33"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spans="1:33"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spans="1:33"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spans="1:33"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spans="1:33"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spans="1:33"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spans="1:33"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spans="1:33"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spans="1:33"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spans="1:33"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spans="1:33"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spans="1:33"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spans="1:33"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spans="1:33"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spans="1:33"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spans="1:33"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spans="1:33"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spans="1:33"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spans="1:33"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spans="1:33"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spans="1:33"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spans="1:33"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spans="1:33"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spans="1:33"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spans="1:33"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spans="1:33"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spans="1:33"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spans="1:33"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spans="1:33"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spans="1:33"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spans="1:33"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spans="1:33"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spans="1:33"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spans="1:33"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spans="1:33"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spans="1:33"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spans="1:33"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spans="1:33"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spans="1:33"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spans="1:33"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spans="1:33"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spans="1:33"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spans="1:33"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spans="1:33"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spans="1:33"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spans="1:33"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spans="1:33"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spans="1:33"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spans="1:33"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spans="1:33"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spans="1:33"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spans="1:33"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spans="1:33"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spans="1:33"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spans="1:33"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spans="1:33"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spans="1:33"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spans="1:33"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spans="1:33"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spans="1:33"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spans="1:33"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spans="1:33"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spans="1:33"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spans="1:33"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spans="1:33"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spans="1:33"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spans="1:33"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spans="1:33"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spans="1:33"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spans="1:33"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spans="1:33"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spans="1:33"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spans="1:33"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spans="1:33"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spans="1:33"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spans="1:33"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spans="1:33"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spans="1:33"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spans="1:33"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spans="1:33"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spans="1:33"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spans="1:33"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spans="1:33"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spans="1:33"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spans="1:33"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spans="1:33"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spans="1:33"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spans="1:33"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spans="1:33"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spans="1:33"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spans="1:33"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spans="1:33"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spans="1:33"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spans="1:33"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spans="1:33"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spans="1:33"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spans="1:33"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spans="1:33"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spans="1:33"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spans="1:33"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spans="1:33"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spans="1:33"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spans="1:33"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spans="1:33"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spans="1:33"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spans="1:33"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spans="1:33"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spans="1:33"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spans="1:33"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spans="1:33"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spans="1:33"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spans="1:33"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spans="1:33"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spans="1:33"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spans="1:33"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spans="1:33"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spans="1:33"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spans="1:33"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spans="1:33"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spans="1:33"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spans="1:33"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spans="1:33"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spans="1:33"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spans="1:33"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spans="1:33"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spans="1:33"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spans="1:33"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spans="1:33"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spans="1:33"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spans="1:33"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spans="1:33"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spans="1:33"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spans="1:33"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spans="1:33"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spans="1:33"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spans="1:33"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spans="1:33"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spans="1:33"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spans="1:33"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spans="1:33"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spans="1:33"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spans="1:33"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spans="1:33"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spans="1:33"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spans="1:33"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spans="1:33"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spans="1:33"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spans="1:33"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spans="1:33"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spans="1:33"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spans="1:33"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spans="1:33"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spans="1:33"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spans="1:33"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spans="1:33"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spans="1:33"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spans="1:33"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spans="1:33"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spans="1:33"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spans="1:33"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spans="1:33"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spans="1:33"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spans="1:33"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spans="1:33"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spans="1:33"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spans="1:33"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spans="1:33"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spans="1:33"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spans="1:33"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spans="1:33"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spans="1:33"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spans="1:33"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spans="1:33"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spans="1:33"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spans="1:33"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spans="1:33"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spans="1:33"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spans="1:33"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spans="1:33"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spans="1:33"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spans="1:33"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spans="1:33"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spans="1:33"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spans="1:33"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spans="1:33"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spans="1:33"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spans="1:33"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spans="1:33"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spans="1:33"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spans="1:33"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spans="1:33"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spans="1:33"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spans="1:33"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spans="1:33"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spans="1:33"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spans="1:33"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spans="1:33"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spans="1:33"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spans="1:33"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spans="1:33"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spans="1:33"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spans="1:33"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spans="1:33"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spans="1:33"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spans="1:33"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spans="1:33"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spans="1:33"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spans="1:33"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spans="1:33"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spans="1:33"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spans="1:33"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spans="1:33"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spans="1:33"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spans="1:33"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spans="1:33"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spans="1:33"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spans="1:33"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spans="1:33"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spans="1:33"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spans="1:33"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spans="1:33"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spans="1:33"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spans="1:33"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spans="1:33"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spans="1:33"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spans="1:33"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spans="1:33"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spans="1:33"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spans="1:33"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spans="1:33"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spans="1:33"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spans="1:33"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spans="1:33"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spans="1:33"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spans="1:33"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spans="1:33"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spans="1:33"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spans="1:33"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spans="1:33"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spans="1:33"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spans="1:33"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spans="1:33"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spans="1:33"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spans="1:33"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spans="1:33"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spans="1:33"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spans="1:33"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spans="1:33"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spans="1:33"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spans="1:33"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spans="1:33"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spans="1:33"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spans="1:33"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spans="1:33"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spans="1:33"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spans="1:33"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spans="1:33"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spans="1:33"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spans="1:33"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spans="1:33"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spans="1:33"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spans="1:33"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spans="1:33"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spans="1:33"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spans="1:33"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spans="1:33"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spans="1:33"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spans="1:33"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spans="1:33"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spans="1:33"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spans="1:33"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spans="1:33"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spans="1:33"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spans="1:33"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spans="1:33"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spans="1:33"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spans="1:33"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spans="1:33"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spans="1:33"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spans="1:33"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spans="1:33"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spans="1:33"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spans="1:33"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spans="1:33"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spans="1:33"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spans="1:33"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spans="1:33"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spans="1:33"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spans="1:33"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spans="1:33"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spans="1:33"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spans="1:33"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spans="1:33"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spans="1:33"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spans="1:33"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spans="1:33"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spans="1:33"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spans="1:33"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spans="1:33"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spans="1:33"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spans="1:33"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spans="1:33"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spans="1:33"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spans="1:33"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spans="1:33"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spans="1:33"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spans="1:33"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spans="1:33"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spans="1:33"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spans="1:33"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spans="1:33"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spans="1:33"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spans="1:33"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spans="1:33"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spans="1:33"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spans="1:33"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spans="1:33"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spans="1:33"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spans="1:33"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spans="1:33"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spans="1:33"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spans="1:33"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spans="1:33"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spans="1:33"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spans="1:33"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spans="1:33"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spans="1:33"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spans="1:33"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spans="1:33"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spans="1:33"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spans="1:33"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spans="1:33"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spans="1:33"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spans="1:33"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spans="1:33"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spans="1:33"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spans="1:33"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spans="1:33"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spans="1:33"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spans="1:33"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spans="1:33"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spans="1:33"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spans="1:33"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spans="1:33"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spans="1:33"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spans="1:33"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spans="1:33"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spans="1:33"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spans="1:33"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spans="1:33"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spans="1:33"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spans="1:33"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spans="1:33"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spans="1:33"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spans="1:33"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spans="1:33"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spans="1:33"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spans="1:33"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spans="1:33"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spans="1:33"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spans="1:33"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spans="1:33"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spans="1:33"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spans="1:33"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spans="1:33"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spans="1:33"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spans="1:33"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spans="1:33"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spans="1:33"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spans="1:33"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spans="1:33"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spans="1:33"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spans="1:33"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spans="1:33"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spans="1:33"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spans="1:33"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spans="1:33"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spans="1:33"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spans="1:33"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spans="1:33"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spans="1:33"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spans="1:33"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spans="1:33"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spans="1:33"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spans="1:33"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spans="1:33"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spans="1:33"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spans="1:33"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spans="1:33"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spans="1:33"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spans="1:33"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spans="1:33"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spans="1:33"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spans="1:33"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spans="1:33"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spans="1:33"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spans="1:33"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spans="1:33"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spans="1:33"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spans="1:33"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spans="1:33"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spans="1:33"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spans="1:33"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spans="1:33"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spans="1:33"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spans="1:33"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spans="1:33"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spans="1:33"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spans="1:33"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spans="1:33"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spans="1:33"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spans="1:33"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spans="1:33"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spans="1:33"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spans="1:33"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spans="1:33"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spans="1:33"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spans="1:33"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spans="1:33"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spans="1:33"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spans="1:33"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spans="1:33"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spans="1:33"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spans="1:33"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spans="1:33"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spans="1:33"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spans="1:33"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spans="1:33"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spans="1:33"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spans="1:33"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spans="1:33"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spans="1:33"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spans="1:33"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spans="1:33"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spans="1:33"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spans="1:33"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spans="1:33"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spans="1:33"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spans="1:33"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spans="1:33"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spans="1:33"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spans="1:33"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spans="1:33"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spans="1:33"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spans="1:33"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spans="1:33"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spans="1:33"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spans="1:33"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spans="1:33"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spans="1:33"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spans="1:33"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spans="1:33"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spans="1:33"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spans="1:33"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spans="1:33"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spans="1:33"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spans="1:33"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spans="1:33"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spans="1:33"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spans="1:33"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spans="1:33"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spans="1:33"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spans="1:33"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spans="1:33"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spans="1:33"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spans="1:33"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spans="1:33"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spans="1:33"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spans="1:33"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spans="1:33"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spans="1:33"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spans="1:33"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spans="1:33"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spans="1:33"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spans="1:33"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spans="1:33"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spans="1:33"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spans="1:33"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spans="1:33"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spans="1:33"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spans="1:33"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spans="1:33"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spans="1:33"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spans="1:33"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spans="1:33"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spans="1:33"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spans="1:33"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spans="1:33"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spans="1:33"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spans="1:33"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spans="1:33"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spans="1:33"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spans="1:33"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spans="1:33"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spans="1:33"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spans="1:33"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spans="1:33"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spans="1:33"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spans="1:33"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spans="1:33"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spans="1:33"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spans="1:33"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spans="1:33"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spans="1:33"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spans="1:33"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spans="1:33"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spans="1:33"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spans="1:33"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spans="1:33"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spans="1:33"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spans="1:33"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spans="1:33"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spans="1:33"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spans="1:33"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spans="1:33"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spans="1:33"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spans="1:33"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spans="1:33"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spans="1:33"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spans="1:33"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spans="1:33"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spans="1:33"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spans="1:33"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spans="1:33"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spans="1:33"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spans="1:33"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spans="1:33"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spans="1:33"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spans="1:33"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spans="1:33"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spans="1:33"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spans="1:33"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spans="1:33"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spans="1:33"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spans="1:33"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spans="1:33"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spans="1:33"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spans="1:33"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spans="1:33"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spans="1:33"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spans="1:33"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spans="1:33"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spans="1:33"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spans="1:33"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spans="1:33"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spans="1:33"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spans="1:33"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spans="1:33"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spans="1:33"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spans="1:33"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spans="1:33"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spans="1:33"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spans="1:33"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spans="1:33"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spans="1:33"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spans="1:33"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spans="1:33"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spans="1:33"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spans="1:33"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spans="1:33"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spans="1:33"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spans="1:33"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spans="1:33"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spans="1:33"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spans="1:33"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spans="1:33"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spans="1:33"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spans="1:33"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spans="1:33"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spans="1:33"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spans="1:33"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spans="1:33"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spans="1:33"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spans="1:33"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spans="1:33"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spans="1:33"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spans="1:33"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spans="1:33"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spans="1:33"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spans="1:33"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spans="1:33"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spans="1:33"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spans="1:33"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spans="1:33"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spans="1:33"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spans="1:33"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spans="1:33"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spans="1:33"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spans="1:33"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spans="1:33"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G1000"/>
  <sheetViews>
    <sheetView workbookViewId="0">
      <pane ySplit="1" topLeftCell="A2" activePane="bottomLeft" state="frozen"/>
      <selection pane="bottomLeft" activeCell="G1" sqref="A1:G1048576"/>
    </sheetView>
  </sheetViews>
  <sheetFormatPr defaultColWidth="12.6640625" defaultRowHeight="15.75" customHeight="1" x14ac:dyDescent="0.25"/>
  <sheetData>
    <row r="1" spans="1:33" ht="22.5" customHeight="1" x14ac:dyDescent="0.25">
      <c r="A1" s="1"/>
      <c r="B1" s="1"/>
      <c r="C1" s="1"/>
      <c r="D1" s="1"/>
      <c r="E1" s="1"/>
      <c r="F1" s="4"/>
      <c r="G1" s="4"/>
      <c r="H1" s="8" t="s">
        <v>0</v>
      </c>
      <c r="I1" s="8" t="s">
        <v>1</v>
      </c>
      <c r="J1" s="8" t="s">
        <v>2</v>
      </c>
      <c r="K1" s="8" t="s">
        <v>3</v>
      </c>
      <c r="L1" s="8" t="s">
        <v>4</v>
      </c>
      <c r="M1" s="4"/>
      <c r="N1" s="4"/>
      <c r="O1" s="4"/>
      <c r="P1" s="4"/>
      <c r="Q1" s="4"/>
      <c r="R1" s="4"/>
      <c r="S1" s="4"/>
      <c r="T1" s="4"/>
      <c r="U1" s="4"/>
      <c r="V1" s="4"/>
      <c r="W1" s="4"/>
      <c r="X1" s="4"/>
      <c r="Y1" s="4"/>
      <c r="Z1" s="4"/>
      <c r="AA1" s="4"/>
      <c r="AB1" s="4"/>
      <c r="AC1" s="4"/>
      <c r="AD1" s="4"/>
      <c r="AE1" s="4"/>
      <c r="AF1" s="4"/>
      <c r="AG1" s="4"/>
    </row>
    <row r="2" spans="1:33" ht="22.5" customHeight="1" x14ac:dyDescent="0.25">
      <c r="A2" s="2"/>
      <c r="B2" s="2"/>
      <c r="C2" s="2"/>
      <c r="D2" s="2"/>
      <c r="E2" s="2"/>
      <c r="F2" s="4"/>
      <c r="G2" s="4"/>
      <c r="H2" s="6" t="s">
        <v>87</v>
      </c>
      <c r="I2" s="4" t="str">
        <f ca="1">IFERROR(__xludf.DUMMYFUNCTION("GOOGLETRANSLATE(B2,""en"",""ar"")"),"هذا النوع من القتال بالعصي، الذي يُمارس أمام معبد قديم، هو فن قتالي تقليدي من أي بلد؟")</f>
        <v>هذا النوع من القتال بالعصي، الذي يُمارس أمام معبد قديم، هو فن قتالي تقليدي من أي بلد؟</v>
      </c>
      <c r="J2" s="4" t="str">
        <f ca="1">IFERROR(__xludf.DUMMYFUNCTION("GOOGLETRANSLATE(C2,""en"",""ar"")"),"أ) السودان، ب) إثيوبيا، ج) نيجيريا، د) مصر")</f>
        <v>أ) السودان، ب) إثيوبيا، ج) نيجيريا، د) مصر</v>
      </c>
      <c r="K2" s="4" t="str">
        <f ca="1">IFERROR(__xludf.DUMMYFUNCTION("GOOGLETRANSLATE(D2,""en"",""ar"")"),"د) مصر")</f>
        <v>د) مصر</v>
      </c>
      <c r="L2" s="4" t="str">
        <f ca="1">IFERROR(__xludf.DUMMYFUNCTION("GOOGLETRANSLATE(E2,""en"",""ar"")"),"هذا هو فن التحتيب، وهو فن قتالي مصري قديم. ويبدو أن الخلفية هي مجمع معبد الكرنك أو الأقصر، مما يؤكد الطابع المصري للمكان.")</f>
        <v>هذا هو فن التحتيب، وهو فن قتالي مصري قديم. ويبدو أن الخلفية هي مجمع معبد الكرنك أو الأقصر، مما يؤكد الطابع المصري للمكان.</v>
      </c>
      <c r="M2" s="4"/>
      <c r="N2" s="4"/>
      <c r="O2" s="4"/>
      <c r="P2" s="4"/>
      <c r="Q2" s="4"/>
      <c r="R2" s="4"/>
      <c r="S2" s="4"/>
      <c r="T2" s="4"/>
      <c r="U2" s="4"/>
      <c r="V2" s="4"/>
      <c r="W2" s="4"/>
      <c r="X2" s="4"/>
      <c r="Y2" s="4"/>
      <c r="Z2" s="4"/>
      <c r="AA2" s="4"/>
      <c r="AB2" s="4"/>
      <c r="AC2" s="4"/>
      <c r="AD2" s="4"/>
      <c r="AE2" s="4"/>
      <c r="AF2" s="4"/>
      <c r="AG2" s="4"/>
    </row>
    <row r="3" spans="1:33" ht="22.5" customHeight="1" x14ac:dyDescent="0.25">
      <c r="A3" s="2"/>
      <c r="B3" s="2"/>
      <c r="C3" s="2"/>
      <c r="D3" s="2"/>
      <c r="E3" s="2"/>
      <c r="F3" s="4"/>
      <c r="G3" s="4"/>
      <c r="H3" s="7" t="s">
        <v>87</v>
      </c>
      <c r="I3" s="4" t="str">
        <f ca="1">IFERROR(__xludf.DUMMYFUNCTION("GOOGLETRANSLATE(B3,""en"",""ar"")"),"ما هو اسم الرداء الطويل التقليدي الذي يرتديه الممارس؟")</f>
        <v>ما هو اسم الرداء الطويل التقليدي الذي يرتديه الممارس؟</v>
      </c>
      <c r="J3" s="4" t="str">
        <f ca="1">IFERROR(__xludf.DUMMYFUNCTION("GOOGLETRANSLATE(C3,""en"",""ar"")"),"أ) توغا، ب) كيمونو، ج) جلابية، د) نقبة")</f>
        <v>أ) توغا، ب) كيمونو، ج) جلابية، د) نقبة</v>
      </c>
      <c r="K3" s="4" t="str">
        <f ca="1">IFERROR(__xludf.DUMMYFUNCTION("GOOGLETRANSLATE(D3,""en"",""ar"")"),"ج) الجلابية")</f>
        <v>ج) الجلابية</v>
      </c>
      <c r="L3" s="4" t="str">
        <f ca="1">IFERROR(__xludf.DUMMYFUNCTION("GOOGLETRANSLATE(E3,""en"",""ar"")"),"الجلابية هي رداء تقليدي يصل إلى الكاحل، وهو شائع في مصر والسودان.")</f>
        <v>الجلابية هي رداء تقليدي يصل إلى الكاحل، وهو شائع في مصر والسودان.</v>
      </c>
      <c r="M3" s="4"/>
      <c r="N3" s="4"/>
      <c r="O3" s="4"/>
      <c r="P3" s="4"/>
      <c r="Q3" s="4"/>
      <c r="R3" s="4"/>
      <c r="S3" s="4"/>
      <c r="T3" s="4"/>
      <c r="U3" s="4"/>
      <c r="V3" s="4"/>
      <c r="W3" s="4"/>
      <c r="X3" s="4"/>
      <c r="Y3" s="4"/>
      <c r="Z3" s="4"/>
      <c r="AA3" s="4"/>
      <c r="AB3" s="4"/>
      <c r="AC3" s="4"/>
      <c r="AD3" s="4"/>
      <c r="AE3" s="4"/>
      <c r="AF3" s="4"/>
      <c r="AG3" s="4"/>
    </row>
    <row r="4" spans="1:33" ht="22.5" customHeight="1" x14ac:dyDescent="0.25">
      <c r="A4" s="2"/>
      <c r="B4" s="2"/>
      <c r="C4" s="2"/>
      <c r="D4" s="2"/>
      <c r="E4" s="2"/>
      <c r="F4" s="4"/>
      <c r="G4" s="4"/>
      <c r="H4" s="6" t="s">
        <v>87</v>
      </c>
      <c r="I4" s="4" t="str">
        <f ca="1">IFERROR(__xludf.DUMMYFUNCTION("GOOGLETRANSLATE(B4,""en"",""ar"")"),"يُعرف العصا الخشبية الطويلة المستخدمة في هذا الفن القتالي باسم...")</f>
        <v>يُعرف العصا الخشبية الطويلة المستخدمة في هذا الفن القتالي باسم...</v>
      </c>
      <c r="J4" s="4" t="str">
        <f ca="1">IFERROR(__xludf.DUMMYFUNCTION("GOOGLETRANSLATE(C4,""en"",""ar"")"),"أ) أسيجاي، ب) آسا، ج) إيكو، د) بو")</f>
        <v>أ) أسيجاي، ب) آسا، ج) إيكو، د) بو</v>
      </c>
      <c r="K4" s="4" t="str">
        <f ca="1">IFERROR(__xludf.DUMMYFUNCTION("GOOGLETRANSLATE(D4,""en"",""ar"")"),"ب) آسا")</f>
        <v>ب) آسا</v>
      </c>
      <c r="L4" s="4" t="str">
        <f ca="1">IFERROR(__xludf.DUMMYFUNCTION("GOOGLETRANSLATE(E4,""en"",""ar"")"),"في لغة التحطيب، يُطلق على العصا تقليدياً اسم ""آسا"".")</f>
        <v>في لغة التحطيب، يُطلق على العصا تقليدياً اسم "آسا".</v>
      </c>
      <c r="M4" s="4"/>
      <c r="N4" s="4"/>
      <c r="O4" s="4"/>
      <c r="P4" s="4"/>
      <c r="Q4" s="4"/>
      <c r="R4" s="4"/>
      <c r="S4" s="4"/>
      <c r="T4" s="4"/>
      <c r="U4" s="4"/>
      <c r="V4" s="4"/>
      <c r="W4" s="4"/>
      <c r="X4" s="4"/>
      <c r="Y4" s="4"/>
      <c r="Z4" s="4"/>
      <c r="AA4" s="4"/>
      <c r="AB4" s="4"/>
      <c r="AC4" s="4"/>
      <c r="AD4" s="4"/>
      <c r="AE4" s="4"/>
      <c r="AF4" s="4"/>
      <c r="AG4" s="4"/>
    </row>
    <row r="5" spans="1:33" ht="22.5" customHeight="1" x14ac:dyDescent="0.25">
      <c r="A5" s="2"/>
      <c r="B5" s="2"/>
      <c r="C5" s="2"/>
      <c r="D5" s="2"/>
      <c r="E5" s="2"/>
      <c r="F5" s="4"/>
      <c r="G5" s="4"/>
      <c r="H5" s="7" t="s">
        <v>87</v>
      </c>
      <c r="I5" s="4" t="str">
        <f ca="1">IFERROR(__xludf.DUMMYFUNCTION("GOOGLETRANSLATE(B5,""en"",""ar"")"),"وضعية الرجل الديناميكية هي جزء من...")</f>
        <v>وضعية الرجل الديناميكية هي جزء من...</v>
      </c>
      <c r="J5" s="4" t="str">
        <f ca="1">IFERROR(__xludf.DUMMYFUNCTION("GOOGLETRANSLATE(C5,""en"",""ar"")"),"أ) الرقص الطقوسي وفنون الدفاع عن النفس، ب) عرض مسرحي حديث، ج) مراسم دينية، د) تمرين إحماء فقط")</f>
        <v>أ) الرقص الطقوسي وفنون الدفاع عن النفس، ب) عرض مسرحي حديث، ج) مراسم دينية، د) تمرين إحماء فقط</v>
      </c>
      <c r="K5" s="4" t="str">
        <f ca="1">IFERROR(__xludf.DUMMYFUNCTION("GOOGLETRANSLATE(D5,""en"",""ar"")"),"أ) الرقص الطقوسي وفنون الدفاع عن النفس")</f>
        <v>أ) الرقص الطقوسي وفنون الدفاع عن النفس</v>
      </c>
      <c r="L5" s="4" t="str">
        <f ca="1">IFERROR(__xludf.DUMMYFUNCTION("GOOGLETRANSLATE(E5,""en"",""ar"")"),"يُعتبر التحتيب شكلاً قتالياً ورقصة في آن واحد، وغالباً ما يكون مصحوباً بالموسيقى، حيث يمزج بين المهارة القتالية والتعبير الفني.")</f>
        <v>يُعتبر التحتيب شكلاً قتالياً ورقصة في آن واحد، وغالباً ما يكون مصحوباً بالموسيقى، حيث يمزج بين المهارة القتالية والتعبير الفني.</v>
      </c>
      <c r="M5" s="4"/>
      <c r="N5" s="4"/>
      <c r="O5" s="4"/>
      <c r="P5" s="4"/>
      <c r="Q5" s="4"/>
      <c r="R5" s="4"/>
      <c r="S5" s="4"/>
      <c r="T5" s="4"/>
      <c r="U5" s="4"/>
      <c r="V5" s="4"/>
      <c r="W5" s="4"/>
      <c r="X5" s="4"/>
      <c r="Y5" s="4"/>
      <c r="Z5" s="4"/>
      <c r="AA5" s="4"/>
      <c r="AB5" s="4"/>
      <c r="AC5" s="4"/>
      <c r="AD5" s="4"/>
      <c r="AE5" s="4"/>
      <c r="AF5" s="4"/>
      <c r="AG5" s="4"/>
    </row>
    <row r="6" spans="1:33" ht="22.5" customHeight="1" x14ac:dyDescent="0.25">
      <c r="A6" s="2"/>
      <c r="B6" s="2"/>
      <c r="C6" s="2"/>
      <c r="D6" s="2"/>
      <c r="E6" s="2"/>
      <c r="F6" s="4"/>
      <c r="G6" s="4"/>
      <c r="H6" s="6" t="s">
        <v>87</v>
      </c>
      <c r="I6" s="4" t="str">
        <f ca="1">IFERROR(__xludf.DUMMYFUNCTION("GOOGLETRANSLATE(B6,""en"",""ar"")"),"ماذا يفعل الأشخاص الجالسون في الخلفية؟")</f>
        <v>ماذا يفعل الأشخاص الجالسون في الخلفية؟</v>
      </c>
      <c r="J6" s="4" t="str">
        <f ca="1">IFERROR(__xludf.DUMMYFUNCTION("GOOGLETRANSLATE(C6,""en"",""ar"")"),"أ) يشاركون في القتال، ب) يشاهدون العرض أو المباراة، ج) يبيعون التذكارات، د) ينتظرون الحافلة")</f>
        <v>أ) يشاركون في القتال، ب) يشاهدون العرض أو المباراة، ج) يبيعون التذكارات، د) ينتظرون الحافلة</v>
      </c>
      <c r="K6" s="4" t="str">
        <f ca="1">IFERROR(__xludf.DUMMYFUNCTION("GOOGLETRANSLATE(D6,""en"",""ar"")"),"ب) إنهم يشاهدون العرض أو المباراة")</f>
        <v>ب) إنهم يشاهدون العرض أو المباراة</v>
      </c>
      <c r="L6" s="4" t="str">
        <f ca="1">IFERROR(__xludf.DUMMYFUNCTION("GOOGLETRANSLATE(E6,""en"",""ar"")"),"إنهم متفرجون، وبعضهم يحمل عصياً أيضاً، مما يوحي بأنهم زملاء في الممارسة.")</f>
        <v>إنهم متفرجون، وبعضهم يحمل عصياً أيضاً، مما يوحي بأنهم زملاء في الممارسة.</v>
      </c>
      <c r="M6" s="4"/>
      <c r="N6" s="4"/>
      <c r="O6" s="4"/>
      <c r="P6" s="4"/>
      <c r="Q6" s="4"/>
      <c r="R6" s="4"/>
      <c r="S6" s="4"/>
      <c r="T6" s="4"/>
      <c r="U6" s="4"/>
      <c r="V6" s="4"/>
      <c r="W6" s="4"/>
      <c r="X6" s="4"/>
      <c r="Y6" s="4"/>
      <c r="Z6" s="4"/>
      <c r="AA6" s="4"/>
      <c r="AB6" s="4"/>
      <c r="AC6" s="4"/>
      <c r="AD6" s="4"/>
      <c r="AE6" s="4"/>
      <c r="AF6" s="4"/>
      <c r="AG6" s="4"/>
    </row>
    <row r="7" spans="1:33" ht="22.5" customHeight="1" x14ac:dyDescent="0.25">
      <c r="A7" s="2"/>
      <c r="B7" s="2"/>
      <c r="C7" s="2"/>
      <c r="D7" s="2"/>
      <c r="E7" s="2"/>
      <c r="F7" s="4"/>
      <c r="G7" s="4"/>
      <c r="H7" s="7" t="s">
        <v>87</v>
      </c>
      <c r="I7" s="4" t="str">
        <f ca="1">IFERROR(__xludf.DUMMYFUNCTION("GOOGLETRANSLATE(B7,""en"",""ar"")"),"غطاء الرأس الأبيض الذي يرتديه الرجل هو نوع من...")</f>
        <v>غطاء الرأس الأبيض الذي يرتديه الرجل هو نوع من...</v>
      </c>
      <c r="J7" s="4" t="str">
        <f ca="1">IFERROR(__xludf.DUMMYFUNCTION("GOOGLETRANSLATE(C7,""en"",""ar"")"),"أ) خوذة، ب) عمامة، ج) قبعة بيسبول، د) تاج")</f>
        <v>أ) خوذة، ب) عمامة، ج) قبعة بيسبول، د) تاج</v>
      </c>
      <c r="K7" s="4" t="str">
        <f ca="1">IFERROR(__xludf.DUMMYFUNCTION("GOOGLETRANSLATE(D7,""en"",""ar"")"),"ب) عمامة")</f>
        <v>ب) عمامة</v>
      </c>
      <c r="L7" s="4" t="str">
        <f ca="1">IFERROR(__xludf.DUMMYFUNCTION("GOOGLETRANSLATE(E7,""en"",""ar"")"),"وهو يرتدي عمامة تقليدية، وهي شكل شائع من أغطية الرأس في المنطقة.")</f>
        <v>وهو يرتدي عمامة تقليدية، وهي شكل شائع من أغطية الرأس في المنطقة.</v>
      </c>
      <c r="M7" s="4"/>
      <c r="N7" s="4"/>
      <c r="O7" s="4"/>
      <c r="P7" s="4"/>
      <c r="Q7" s="4"/>
      <c r="R7" s="4"/>
      <c r="S7" s="4"/>
      <c r="T7" s="4"/>
      <c r="U7" s="4"/>
      <c r="V7" s="4"/>
      <c r="W7" s="4"/>
      <c r="X7" s="4"/>
      <c r="Y7" s="4"/>
      <c r="Z7" s="4"/>
      <c r="AA7" s="4"/>
      <c r="AB7" s="4"/>
      <c r="AC7" s="4"/>
      <c r="AD7" s="4"/>
      <c r="AE7" s="4"/>
      <c r="AF7" s="4"/>
      <c r="AG7" s="4"/>
    </row>
    <row r="8" spans="1:33" ht="22.5" customHeight="1" x14ac:dyDescent="0.25">
      <c r="A8" s="2"/>
      <c r="B8" s="2"/>
      <c r="C8" s="2"/>
      <c r="D8" s="2"/>
      <c r="E8" s="2"/>
      <c r="F8" s="4"/>
      <c r="G8" s="4"/>
      <c r="H8" s="6" t="s">
        <v>87</v>
      </c>
      <c r="I8" s="4" t="str">
        <f ca="1">IFERROR(__xludf.DUMMYFUNCTION("GOOGLETRANSLATE(B8,""en"",""ar"")"),"يمكن تتبع أصول التحطب إلى...")</f>
        <v>يمكن تتبع أصول التحطب إلى...</v>
      </c>
      <c r="J8" s="4" t="str">
        <f ca="1">IFERROR(__xludf.DUMMYFUNCTION("GOOGLETRANSLATE(C8,""en"",""ar"")"),"أ) القرن العشرون، ب) الإمبراطورية الرومانية، ج) مصر القديمة، مع النقوش البارزة الموجودة في المقابر، د) أوروبا في العصور الوسطى")</f>
        <v>أ) القرن العشرون، ب) الإمبراطورية الرومانية، ج) مصر القديمة، مع النقوش البارزة الموجودة في المقابر، د) أوروبا في العصور الوسطى</v>
      </c>
      <c r="K8" s="4" t="str">
        <f ca="1">IFERROR(__xludf.DUMMYFUNCTION("GOOGLETRANSLATE(D8,""en"",""ar"")"),"ج) مصر القديمة، مع نقوش بارزة وُجدت في المقابر")</f>
        <v>ج) مصر القديمة، مع نقوش بارزة وُجدت في المقابر</v>
      </c>
      <c r="L8" s="4" t="str">
        <f ca="1">IFERROR(__xludf.DUMMYFUNCTION("GOOGLETRANSLATE(E8,""en"",""ar"")"),"توجد رسومات لفنون القتال بالعصي تشبه فن التحتيب على جدران المقابر المصرية القديمة التي يعود تاريخها إلى آلاف السنين.")</f>
        <v>توجد رسومات لفنون القتال بالعصي تشبه فن التحتيب على جدران المقابر المصرية القديمة التي يعود تاريخها إلى آلاف السنين.</v>
      </c>
      <c r="M8" s="4"/>
      <c r="N8" s="4"/>
      <c r="O8" s="4"/>
      <c r="P8" s="4"/>
      <c r="Q8" s="4"/>
      <c r="R8" s="4"/>
      <c r="S8" s="4"/>
      <c r="T8" s="4"/>
      <c r="U8" s="4"/>
      <c r="V8" s="4"/>
      <c r="W8" s="4"/>
      <c r="X8" s="4"/>
      <c r="Y8" s="4"/>
      <c r="Z8" s="4"/>
      <c r="AA8" s="4"/>
      <c r="AB8" s="4"/>
      <c r="AC8" s="4"/>
      <c r="AD8" s="4"/>
      <c r="AE8" s="4"/>
      <c r="AF8" s="4"/>
      <c r="AG8" s="4"/>
    </row>
    <row r="9" spans="1:33" ht="22.5" customHeight="1" x14ac:dyDescent="0.25">
      <c r="A9" s="2"/>
      <c r="B9" s="2"/>
      <c r="C9" s="2"/>
      <c r="D9" s="2"/>
      <c r="E9" s="2"/>
      <c r="F9" s="4"/>
      <c r="G9" s="4"/>
      <c r="H9" s="7" t="s">
        <v>87</v>
      </c>
      <c r="I9" s="4" t="str">
        <f ca="1">IFERROR(__xludf.DUMMYFUNCTION("GOOGLETRANSLATE(B9,""en"",""ar"")"),"يُقام هذا العرض في...")</f>
        <v>يُقام هذا العرض في...</v>
      </c>
      <c r="J9" s="4" t="str">
        <f ca="1">IFERROR(__xludf.DUMMYFUNCTION("GOOGLETRANSLATE(C9,""en"",""ar"")"),"أ) حقل عشبي، ب) ساحة عامة أو فناء مرصوف، ج) صحراء رملية، د) فسحة غابية")</f>
        <v>أ) حقل عشبي، ب) ساحة عامة أو فناء مرصوف، ج) صحراء رملية، د) فسحة غابية</v>
      </c>
      <c r="K9" s="4" t="str">
        <f ca="1">IFERROR(__xludf.DUMMYFUNCTION("GOOGLETRANSLATE(D9,""en"",""ar"")"),"ب) ساحة عامة مرصوفة أو فناء")</f>
        <v>ب) ساحة عامة مرصوفة أو فناء</v>
      </c>
      <c r="L9" s="4" t="str">
        <f ca="1">IFERROR(__xludf.DUMMYFUNCTION("GOOGLETRANSLATE(E9,""en"",""ar"")"),"الأرض مصنوعة من أحجار رصف كبيرة ومسطحة، وهي سمة مميزة للمنطقة الواقعة أمام موقع تاريخي رئيسي.")</f>
        <v>الأرض مصنوعة من أحجار رصف كبيرة ومسطحة، وهي سمة مميزة للمنطقة الواقعة أمام موقع تاريخي رئيسي.</v>
      </c>
      <c r="M9" s="4"/>
      <c r="N9" s="4"/>
      <c r="O9" s="4"/>
      <c r="P9" s="4"/>
      <c r="Q9" s="4"/>
      <c r="R9" s="4"/>
      <c r="S9" s="4"/>
      <c r="T9" s="4"/>
      <c r="U9" s="4"/>
      <c r="V9" s="4"/>
      <c r="W9" s="4"/>
      <c r="X9" s="4"/>
      <c r="Y9" s="4"/>
      <c r="Z9" s="4"/>
      <c r="AA9" s="4"/>
      <c r="AB9" s="4"/>
      <c r="AC9" s="4"/>
      <c r="AD9" s="4"/>
      <c r="AE9" s="4"/>
      <c r="AF9" s="4"/>
      <c r="AG9" s="4"/>
    </row>
    <row r="10" spans="1:33" ht="22.5" customHeight="1" x14ac:dyDescent="0.25">
      <c r="A10" s="2"/>
      <c r="B10" s="2"/>
      <c r="C10" s="2"/>
      <c r="D10" s="2"/>
      <c r="E10" s="2"/>
      <c r="F10" s="4"/>
      <c r="G10" s="4"/>
      <c r="H10" s="6" t="s">
        <v>87</v>
      </c>
      <c r="I10" s="4" t="str">
        <f ca="1">IFERROR(__xludf.DUMMYFUNCTION("GOOGLETRANSLATE(B10,""en"",""ar"")"),"ماذا يفعل الرجل الموجود في أقصى اليمين؟")</f>
        <v>ماذا يفعل الرجل الموجود في أقصى اليمين؟</v>
      </c>
      <c r="J10" s="4" t="str">
        <f ca="1">IFERROR(__xludf.DUMMYFUNCTION("GOOGLETRANSLATE(C10,""en"",""ar"")"),"أ) هو يشارك في القتال، ب) هو يصور أو يلتقط صورة للحدث، ج) هو نائم، د) هو يعزف على آلة موسيقية")</f>
        <v>أ) هو يشارك في القتال، ب) هو يصور أو يلتقط صورة للحدث، ج) هو نائم، د) هو يعزف على آلة موسيقية</v>
      </c>
      <c r="K10" s="4" t="str">
        <f ca="1">IFERROR(__xludf.DUMMYFUNCTION("GOOGLETRANSLATE(D10,""en"",""ar"")"),"ب) يقوم بتصوير الحدث أو التقاط صورة له")</f>
        <v>ب) يقوم بتصوير الحدث أو التقاط صورة له</v>
      </c>
      <c r="L10" s="4" t="str">
        <f ca="1">IFERROR(__xludf.DUMMYFUNCTION("GOOGLETRANSLATE(E10,""en"",""ar"")"),"إنه يحمل جهازاً، على الأرجح كاميرا أو هاتف محمول، لتصوير الأداء.")</f>
        <v>إنه يحمل جهازاً، على الأرجح كاميرا أو هاتف محمول، لتصوير الأداء.</v>
      </c>
      <c r="M10" s="4"/>
      <c r="N10" s="4"/>
      <c r="O10" s="4"/>
      <c r="P10" s="4"/>
      <c r="Q10" s="4"/>
      <c r="R10" s="4"/>
      <c r="S10" s="4"/>
      <c r="T10" s="4"/>
      <c r="U10" s="4"/>
      <c r="V10" s="4"/>
      <c r="W10" s="4"/>
      <c r="X10" s="4"/>
      <c r="Y10" s="4"/>
      <c r="Z10" s="4"/>
      <c r="AA10" s="4"/>
      <c r="AB10" s="4"/>
      <c r="AC10" s="4"/>
      <c r="AD10" s="4"/>
      <c r="AE10" s="4"/>
      <c r="AF10" s="4"/>
      <c r="AG10" s="4"/>
    </row>
    <row r="11" spans="1:33" ht="22.5" customHeight="1" x14ac:dyDescent="0.25">
      <c r="A11" s="2"/>
      <c r="B11" s="2"/>
      <c r="C11" s="2"/>
      <c r="D11" s="2"/>
      <c r="E11" s="2"/>
      <c r="F11" s="4"/>
      <c r="G11" s="4"/>
      <c r="H11" s="7" t="s">
        <v>87</v>
      </c>
      <c r="I11" s="4" t="str">
        <f ca="1">IFERROR(__xludf.DUMMYFUNCTION("GOOGLETRANSLATE(B11,""en"",""ar"")"),"تعترف اليونسكو بـ""تحبت"" باعتبارها...")</f>
        <v>تعترف اليونسكو بـ"تحبت" باعتبارها...</v>
      </c>
      <c r="J11" s="4" t="str">
        <f ca="1">IFERROR(__xludf.DUMMYFUNCTION("GOOGLETRANSLATE(C11,""en"",""ar"")"),"أ) أخطر رياضة في العالم، ب) تراث ثقافي غير مادي للبشرية، ج) رياضة أولمبية، د) شكل من أشكال التأمل")</f>
        <v>أ) أخطر رياضة في العالم، ب) تراث ثقافي غير مادي للبشرية، ج) رياضة أولمبية، د) شكل من أشكال التأمل</v>
      </c>
      <c r="K11" s="4" t="str">
        <f ca="1">IFERROR(__xludf.DUMMYFUNCTION("GOOGLETRANSLATE(D11,""en"",""ar"")"),"ب) التراث الثقافي غير المادي للبشرية")</f>
        <v>ب) التراث الثقافي غير المادي للبشرية</v>
      </c>
      <c r="L11" s="4" t="str">
        <f ca="1">IFERROR(__xludf.DUMMYFUNCTION("GOOGLETRANSLATE(E11,""en"",""ar"")"),"في عام 2016، اعترفت اليونسكو رسمياً بـ""تحطيب"" لأهميتها الثقافية وقيمتها التاريخية.")</f>
        <v>في عام 2016، اعترفت اليونسكو رسمياً بـ"تحطيب" لأهميتها الثقافية وقيمتها التاريخية.</v>
      </c>
      <c r="M11" s="4"/>
      <c r="N11" s="4"/>
      <c r="O11" s="4"/>
      <c r="P11" s="4"/>
      <c r="Q11" s="4"/>
      <c r="R11" s="4"/>
      <c r="S11" s="4"/>
      <c r="T11" s="4"/>
      <c r="U11" s="4"/>
      <c r="V11" s="4"/>
      <c r="W11" s="4"/>
      <c r="X11" s="4"/>
      <c r="Y11" s="4"/>
      <c r="Z11" s="4"/>
      <c r="AA11" s="4"/>
      <c r="AB11" s="4"/>
      <c r="AC11" s="4"/>
      <c r="AD11" s="4"/>
      <c r="AE11" s="4"/>
      <c r="AF11" s="4"/>
      <c r="AG11" s="4"/>
    </row>
    <row r="12" spans="1:33" ht="22.5" customHeight="1" x14ac:dyDescent="0.25">
      <c r="A12" s="2"/>
      <c r="B12" s="2"/>
      <c r="C12" s="2"/>
      <c r="D12" s="2"/>
      <c r="E12" s="2"/>
      <c r="F12" s="4"/>
      <c r="G12" s="4"/>
      <c r="H12" s="6" t="s">
        <v>88</v>
      </c>
      <c r="I12" s="4" t="str">
        <f ca="1">IFERROR(__xludf.DUMMYFUNCTION("GOOGLETRANSLATE(B12,""en"",""ar"")"),"ما هو المعلم البارز الظاهر في خلفية هذه الصورة؟")</f>
        <v>ما هو المعلم البارز الظاهر في خلفية هذه الصورة؟</v>
      </c>
      <c r="J12" s="4" t="str">
        <f ca="1">IFERROR(__xludf.DUMMYFUNCTION("GOOGLETRANSLATE(C12,""en"",""ar"")"),"أ) برج إيفل، ب) الكولوسيوم، ج) الهرم الأكبر في الجيزة، د) تاج محل")</f>
        <v>أ) برج إيفل، ب) الكولوسيوم، ج) الهرم الأكبر في الجيزة، د) تاج محل</v>
      </c>
      <c r="K12" s="4" t="str">
        <f ca="1">IFERROR(__xludf.DUMMYFUNCTION("GOOGLETRANSLATE(D12,""en"",""ar"")"),"ج) الهرم الأكبر في الجيزة")</f>
        <v>ج) الهرم الأكبر في الجيزة</v>
      </c>
      <c r="L12" s="4" t="str">
        <f ca="1">IFERROR(__xludf.DUMMYFUNCTION("GOOGLETRANSLATE(E12,""en"",""ar"")"),"يظهر الشكل المميز لأحد أهرامات الجيزة بوضوح في الخلفية الضبابية، مما يؤكد أن هذا المشهد يقع في مصر. 🇪🇬")</f>
        <v>يظهر الشكل المميز لأحد أهرامات الجيزة بوضوح في الخلفية الضبابية، مما يؤكد أن هذا المشهد يقع في مصر. 🇪🇬</v>
      </c>
      <c r="M12" s="4"/>
      <c r="N12" s="4"/>
      <c r="O12" s="4"/>
      <c r="P12" s="4"/>
      <c r="Q12" s="4"/>
      <c r="R12" s="4"/>
      <c r="S12" s="4"/>
      <c r="T12" s="4"/>
      <c r="U12" s="4"/>
      <c r="V12" s="4"/>
      <c r="W12" s="4"/>
      <c r="X12" s="4"/>
      <c r="Y12" s="4"/>
      <c r="Z12" s="4"/>
      <c r="AA12" s="4"/>
      <c r="AB12" s="4"/>
      <c r="AC12" s="4"/>
      <c r="AD12" s="4"/>
      <c r="AE12" s="4"/>
      <c r="AF12" s="4"/>
      <c r="AG12" s="4"/>
    </row>
    <row r="13" spans="1:33" ht="22.5" customHeight="1" x14ac:dyDescent="0.25">
      <c r="A13" s="2"/>
      <c r="B13" s="2"/>
      <c r="C13" s="2"/>
      <c r="D13" s="2"/>
      <c r="E13" s="2"/>
      <c r="F13" s="4"/>
      <c r="G13" s="4"/>
      <c r="H13" s="7" t="s">
        <v>88</v>
      </c>
      <c r="I13" s="4" t="str">
        <f ca="1">IFERROR(__xludf.DUMMYFUNCTION("GOOGLETRANSLATE(B13,""en"",""ar"")"),"يمارس الرجلان نوعًا من القتال بالعصي يسمى...")</f>
        <v>يمارس الرجلان نوعًا من القتال بالعصي يسمى...</v>
      </c>
      <c r="J13" s="4" t="str">
        <f ca="1">IFERROR(__xludf.DUMMYFUNCTION("GOOGLETRANSLATE(C13,""en"",""ar"")"),"أ) مصارعة النوبة، ب) قتال الزولو بالعصا، ج) التحطيب، د) الكابويرا")</f>
        <v>أ) مصارعة النوبة، ب) قتال الزولو بالعصا، ج) التحطيب، د) الكابويرا</v>
      </c>
      <c r="K13" s="4" t="str">
        <f ca="1">IFERROR(__xludf.DUMMYFUNCTION("GOOGLETRANSLATE(D13,""en"",""ar"")"),"ج) التحييد")</f>
        <v>ج) التحييد</v>
      </c>
      <c r="L13" s="4" t="str">
        <f ca="1">IFERROR(__xludf.DUMMYFUNCTION("GOOGLETRANSLATE(E13,""en"",""ar"")"),"هذا هو فن القتال بالعصا المصري التقليدي.")</f>
        <v>هذا هو فن القتال بالعصا المصري التقليدي.</v>
      </c>
      <c r="M13" s="4"/>
      <c r="N13" s="4"/>
      <c r="O13" s="4"/>
      <c r="P13" s="4"/>
      <c r="Q13" s="4"/>
      <c r="R13" s="4"/>
      <c r="S13" s="4"/>
      <c r="T13" s="4"/>
      <c r="U13" s="4"/>
      <c r="V13" s="4"/>
      <c r="W13" s="4"/>
      <c r="X13" s="4"/>
      <c r="Y13" s="4"/>
      <c r="Z13" s="4"/>
      <c r="AA13" s="4"/>
      <c r="AB13" s="4"/>
      <c r="AC13" s="4"/>
      <c r="AD13" s="4"/>
      <c r="AE13" s="4"/>
      <c r="AF13" s="4"/>
      <c r="AG13" s="4"/>
    </row>
    <row r="14" spans="1:33" ht="22.5" customHeight="1" x14ac:dyDescent="0.25">
      <c r="A14" s="2"/>
      <c r="B14" s="2"/>
      <c r="C14" s="2"/>
      <c r="D14" s="2"/>
      <c r="E14" s="2"/>
      <c r="F14" s="4"/>
      <c r="G14" s="4"/>
      <c r="H14" s="6" t="s">
        <v>88</v>
      </c>
      <c r="I14" s="4" t="str">
        <f ca="1">IFERROR(__xludf.DUMMYFUNCTION("GOOGLETRANSLATE(B14,""en"",""ar"")"),"ما الغرض من الأوشحة الحمراء التي يرتديها الرجال؟")</f>
        <v>ما الغرض من الأوشحة الحمراء التي يرتديها الرجال؟</v>
      </c>
      <c r="J14" s="4" t="str">
        <f ca="1">IFERROR(__xludf.DUMMYFUNCTION("GOOGLETRANSLATE(C14,""en"",""ar"")"),"أ) هي للزينة فقط، ب) يمكن أن تكون جزءًا من الزي الرسمي التقليدي وتدل على الرتبة أو الانتماء، ج) تُستخدم لحمل الأسلحة، د) هي نوع من ضمادات الإسعافات الأولية")</f>
        <v>أ) هي للزينة فقط، ب) يمكن أن تكون جزءًا من الزي الرسمي التقليدي وتدل على الرتبة أو الانتماء، ج) تُستخدم لحمل الأسلحة، د) هي نوع من ضمادات الإسعافات الأولية</v>
      </c>
      <c r="K14" s="4" t="str">
        <f ca="1">IFERROR(__xludf.DUMMYFUNCTION("GOOGLETRANSLATE(D14,""en"",""ar"")"),"ب) يمكن أن تكون جزءًا من الزي الرسمي التقليدي وتدل على الرتبة أو الانتماء.")</f>
        <v>ب) يمكن أن تكون جزءًا من الزي الرسمي التقليدي وتدل على الرتبة أو الانتماء.</v>
      </c>
      <c r="L14" s="4" t="str">
        <f ca="1">IFERROR(__xludf.DUMMYFUNCTION("GOOGLETRANSLATE(E14,""en"",""ar"")"),"في العديد من فنون الدفاع عن النفس، تُستخدم الأحزمة أو الأشرطة للدلالة على مستوى المهارة أو ببساطة كجزء من الزي التقليدي.")</f>
        <v>في العديد من فنون الدفاع عن النفس، تُستخدم الأحزمة أو الأشرطة للدلالة على مستوى المهارة أو ببساطة كجزء من الزي التقليدي.</v>
      </c>
      <c r="M14" s="4"/>
      <c r="N14" s="4"/>
      <c r="O14" s="4"/>
      <c r="P14" s="4"/>
      <c r="Q14" s="4"/>
      <c r="R14" s="4"/>
      <c r="S14" s="4"/>
      <c r="T14" s="4"/>
      <c r="U14" s="4"/>
      <c r="V14" s="4"/>
      <c r="W14" s="4"/>
      <c r="X14" s="4"/>
      <c r="Y14" s="4"/>
      <c r="Z14" s="4"/>
      <c r="AA14" s="4"/>
      <c r="AB14" s="4"/>
      <c r="AC14" s="4"/>
      <c r="AD14" s="4"/>
      <c r="AE14" s="4"/>
      <c r="AF14" s="4"/>
      <c r="AG14" s="4"/>
    </row>
    <row r="15" spans="1:33" ht="22.5" customHeight="1" x14ac:dyDescent="0.25">
      <c r="A15" s="2"/>
      <c r="B15" s="2"/>
      <c r="C15" s="2"/>
      <c r="D15" s="2"/>
      <c r="E15" s="2"/>
      <c r="F15" s="4"/>
      <c r="G15" s="4"/>
      <c r="H15" s="7" t="s">
        <v>88</v>
      </c>
      <c r="I15" s="4" t="str">
        <f ca="1">IFERROR(__xludf.DUMMYFUNCTION("GOOGLETRANSLATE(B15,""en"",""ar"")"),"يُطلق على السلاح الخشبي الطويل الذي يستخدمونه اسم...")</f>
        <v>يُطلق على السلاح الخشبي الطويل الذي يستخدمونه اسم...</v>
      </c>
      <c r="J15" s="4" t="str">
        <f ca="1">IFERROR(__xludf.DUMMYFUNCTION("GOOGLETRANSLATE(C15,""en"",""ar"")"),"أ) عصا إسكريما، ب) جو، ج) آسا، د) كوارترستاف")</f>
        <v>أ) عصا إسكريما، ب) جو، ج) آسا، د) كوارترستاف</v>
      </c>
      <c r="K15" s="4" t="str">
        <f ca="1">IFERROR(__xludf.DUMMYFUNCTION("GOOGLETRANSLATE(D15,""en"",""ar"")"),"ج) آسا")</f>
        <v>ج) آسا</v>
      </c>
      <c r="L15" s="4" t="str">
        <f ca="1">IFERROR(__xludf.DUMMYFUNCTION("GOOGLETRANSLATE(E15,""en"",""ar"")"),"يُعرف العصا الطويلة المستخدمة في التحطب باسم ""آسا"".")</f>
        <v>يُعرف العصا الطويلة المستخدمة في التحطب باسم "آسا".</v>
      </c>
      <c r="M15" s="4"/>
      <c r="N15" s="4"/>
      <c r="O15" s="4"/>
      <c r="P15" s="4"/>
      <c r="Q15" s="4"/>
      <c r="R15" s="4"/>
      <c r="S15" s="4"/>
      <c r="T15" s="4"/>
      <c r="U15" s="4"/>
      <c r="V15" s="4"/>
      <c r="W15" s="4"/>
      <c r="X15" s="4"/>
      <c r="Y15" s="4"/>
      <c r="Z15" s="4"/>
      <c r="AA15" s="4"/>
      <c r="AB15" s="4"/>
      <c r="AC15" s="4"/>
      <c r="AD15" s="4"/>
      <c r="AE15" s="4"/>
      <c r="AF15" s="4"/>
      <c r="AG15" s="4"/>
    </row>
    <row r="16" spans="1:33" ht="22.5" customHeight="1" x14ac:dyDescent="0.25">
      <c r="A16" s="2"/>
      <c r="B16" s="2"/>
      <c r="C16" s="2"/>
      <c r="D16" s="2"/>
      <c r="E16" s="2"/>
      <c r="F16" s="4"/>
      <c r="G16" s="4"/>
      <c r="H16" s="6" t="s">
        <v>88</v>
      </c>
      <c r="I16" s="4" t="str">
        <f ca="1">IFERROR(__xludf.DUMMYFUNCTION("GOOGLETRANSLATE(B16,""en"",""ar"")"),"تُظهر هذه الصورة...")</f>
        <v>تُظهر هذه الصورة...</v>
      </c>
      <c r="J16" s="4" t="str">
        <f ca="1">IFERROR(__xludf.DUMMYFUNCTION("GOOGLETRANSLATE(C16,""en"",""ar"")"),"أ) معركة تاريخية قديمة، ب) جلسة تدريب حديثة لفن قتالي تقليدي، ج) مشهد من فيلم، د) إعادة تمثيل تاريخي للسياح")</f>
        <v>أ) معركة تاريخية قديمة، ب) جلسة تدريب حديثة لفن قتالي تقليدي، ج) مشهد من فيلم، د) إعادة تمثيل تاريخي للسياح</v>
      </c>
      <c r="K16" s="4" t="str">
        <f ca="1">IFERROR(__xludf.DUMMYFUNCTION("GOOGLETRANSLATE(D16,""en"",""ar"")"),"ب) جلسة تدريب حديثة لفن قتالي تقليدي")</f>
        <v>ب) جلسة تدريب حديثة لفن قتالي تقليدي</v>
      </c>
      <c r="L16" s="4" t="str">
        <f ca="1">IFERROR(__xludf.DUMMYFUNCTION("GOOGLETRANSLATE(E16,""en"",""ar"")"),"يرتدي الرجال ملابس رياضية حديثة، ويمارسون الفن القديم على سطح مبنى حديث، مما يدل على استمرار أهميته.")</f>
        <v>يرتدي الرجال ملابس رياضية حديثة، ويمارسون الفن القديم على سطح مبنى حديث، مما يدل على استمرار أهميته.</v>
      </c>
      <c r="M16" s="4"/>
      <c r="N16" s="4"/>
      <c r="O16" s="4"/>
      <c r="P16" s="4"/>
      <c r="Q16" s="4"/>
      <c r="R16" s="4"/>
      <c r="S16" s="4"/>
      <c r="T16" s="4"/>
      <c r="U16" s="4"/>
      <c r="V16" s="4"/>
      <c r="W16" s="4"/>
      <c r="X16" s="4"/>
      <c r="Y16" s="4"/>
      <c r="Z16" s="4"/>
      <c r="AA16" s="4"/>
      <c r="AB16" s="4"/>
      <c r="AC16" s="4"/>
      <c r="AD16" s="4"/>
      <c r="AE16" s="4"/>
      <c r="AF16" s="4"/>
      <c r="AG16" s="4"/>
    </row>
    <row r="17" spans="1:33" ht="22.5" customHeight="1" x14ac:dyDescent="0.25">
      <c r="A17" s="2"/>
      <c r="B17" s="2"/>
      <c r="C17" s="2"/>
      <c r="D17" s="2"/>
      <c r="E17" s="2"/>
      <c r="F17" s="4"/>
      <c r="G17" s="4"/>
      <c r="H17" s="7" t="s">
        <v>88</v>
      </c>
      <c r="I17" s="4" t="str">
        <f ca="1">IFERROR(__xludf.DUMMYFUNCTION("GOOGLETRANSLATE(B17,""en"",""ar"")"),"كيف يمسك الرجل الموجود على اليمين عصاه؟")</f>
        <v>كيف يمسك الرجل الموجود على اليمين عصاه؟</v>
      </c>
      <c r="J17" s="4" t="str">
        <f ca="1">IFERROR(__xludf.DUMMYFUNCTION("GOOGLETRANSLATE(C17,""en"",""ar"")"),"أ) مسكة بيد واحدة في النهاية، ب) مسكة بكلتا اليدين في المنتصف، ج) مسكة بيد واحدة في المنتصف، د) هو لا يمسكها")</f>
        <v>أ) مسكة بيد واحدة في النهاية، ب) مسكة بكلتا اليدين في المنتصف، ج) مسكة بيد واحدة في المنتصف، د) هو لا يمسكها</v>
      </c>
      <c r="K17" s="4" t="str">
        <f ca="1">IFERROR(__xludf.DUMMYFUNCTION("GOOGLETRANSLATE(D17,""en"",""ar"")"),"ج) مسكة بيد واحدة في المنتصف")</f>
        <v>ج) مسكة بيد واحدة في المنتصف</v>
      </c>
      <c r="L17" s="4" t="str">
        <f ca="1">IFERROR(__xludf.DUMMYFUNCTION("GOOGLETRANSLATE(E17,""en"",""ar"")"),"تتيح هذه القبضة حركات سريعة وسلسة، بالإضافة إلى الصد والضرب.")</f>
        <v>تتيح هذه القبضة حركات سريعة وسلسة، بالإضافة إلى الصد والضرب.</v>
      </c>
      <c r="M17" s="4"/>
      <c r="N17" s="4"/>
      <c r="O17" s="4"/>
      <c r="P17" s="4"/>
      <c r="Q17" s="4"/>
      <c r="R17" s="4"/>
      <c r="S17" s="4"/>
      <c r="T17" s="4"/>
      <c r="U17" s="4"/>
      <c r="V17" s="4"/>
      <c r="W17" s="4"/>
      <c r="X17" s="4"/>
      <c r="Y17" s="4"/>
      <c r="Z17" s="4"/>
      <c r="AA17" s="4"/>
      <c r="AB17" s="4"/>
      <c r="AC17" s="4"/>
      <c r="AD17" s="4"/>
      <c r="AE17" s="4"/>
      <c r="AF17" s="4"/>
      <c r="AG17" s="4"/>
    </row>
    <row r="18" spans="1:33" ht="22.5" customHeight="1" x14ac:dyDescent="0.25">
      <c r="A18" s="2"/>
      <c r="B18" s="2"/>
      <c r="C18" s="2"/>
      <c r="D18" s="2"/>
      <c r="E18" s="2"/>
      <c r="F18" s="4"/>
      <c r="G18" s="4"/>
      <c r="H18" s="6" t="s">
        <v>88</v>
      </c>
      <c r="I18" s="4" t="str">
        <f ca="1">IFERROR(__xludf.DUMMYFUNCTION("GOOGLETRANSLATE(B18,""en"",""ar"")"),"مكان إجراء هذه الجلسة التدريبية هو...")</f>
        <v>مكان إجراء هذه الجلسة التدريبية هو...</v>
      </c>
      <c r="J18" s="4" t="str">
        <f ca="1">IFERROR(__xludf.DUMMYFUNCTION("GOOGLETRANSLATE(C18,""en"",""ar"")"),"أ) صحراء، ب) حديقة عامة، ج) سطح مبنى، د) ساحة رسمية")</f>
        <v>أ) صحراء، ب) حديقة عامة، ج) سطح مبنى، د) ساحة رسمية</v>
      </c>
      <c r="K18" s="4" t="str">
        <f ca="1">IFERROR(__xludf.DUMMYFUNCTION("GOOGLETRANSLATE(D18,""en"",""ar"")"),"ج) سطح المنزل")</f>
        <v>ج) سطح المنزل</v>
      </c>
      <c r="L18" s="4" t="str">
        <f ca="1">IFERROR(__xludf.DUMMYFUNCTION("GOOGLETRANSLATE(E18,""en"",""ar"")"),"تقع هذه المباني على سطح مبنى مرصوف، بجدار منخفض، وتطل على المنطقة المحيطة.")</f>
        <v>تقع هذه المباني على سطح مبنى مرصوف، بجدار منخفض، وتطل على المنطقة المحيطة.</v>
      </c>
      <c r="M18" s="4"/>
      <c r="N18" s="4"/>
      <c r="O18" s="4"/>
      <c r="P18" s="4"/>
      <c r="Q18" s="4"/>
      <c r="R18" s="4"/>
      <c r="S18" s="4"/>
      <c r="T18" s="4"/>
      <c r="U18" s="4"/>
      <c r="V18" s="4"/>
      <c r="W18" s="4"/>
      <c r="X18" s="4"/>
      <c r="Y18" s="4"/>
      <c r="Z18" s="4"/>
      <c r="AA18" s="4"/>
      <c r="AB18" s="4"/>
      <c r="AC18" s="4"/>
      <c r="AD18" s="4"/>
      <c r="AE18" s="4"/>
      <c r="AF18" s="4"/>
      <c r="AG18" s="4"/>
    </row>
    <row r="19" spans="1:33" ht="22.5" customHeight="1" x14ac:dyDescent="0.25">
      <c r="A19" s="2"/>
      <c r="B19" s="2"/>
      <c r="C19" s="2"/>
      <c r="D19" s="2"/>
      <c r="E19" s="2"/>
      <c r="F19" s="4"/>
      <c r="G19" s="4"/>
      <c r="H19" s="7" t="s">
        <v>88</v>
      </c>
      <c r="I19" s="4" t="str">
        <f ca="1">IFERROR(__xludf.DUMMYFUNCTION("GOOGLETRANSLATE(B19,""en"",""ar"")"),"الرجل الموجود على اليسار في وضعية توحي بأنه...")</f>
        <v>الرجل الموجود على اليسار في وضعية توحي بأنه...</v>
      </c>
      <c r="J19" s="4" t="str">
        <f ca="1">IFERROR(__xludf.DUMMYFUNCTION("GOOGLETRANSLATE(C19,""en"",""ar"")"),"أ) على وشك الهجوم من الأعلى، ب) الدفاع ضد ضربة عالية، ج) الاستراحة، د) الاستسلام")</f>
        <v>أ) على وشك الهجوم من الأعلى، ب) الدفاع ضد ضربة عالية، ج) الاستراحة، د) الاستسلام</v>
      </c>
      <c r="K19" s="4" t="str">
        <f ca="1">IFERROR(__xludf.DUMMYFUNCTION("GOOGLETRANSLATE(D19,""en"",""ar"")"),"أ) على وشك الضرب من الأعلى")</f>
        <v>أ) على وشك الضرب من الأعلى</v>
      </c>
      <c r="L19" s="4" t="str">
        <f ca="1">IFERROR(__xludf.DUMMYFUNCTION("GOOGLETRANSLATE(E19,""en"",""ar"")"),"إنه يرفع العصا عالياً، ويستعد لإسقاطها بضربة قوية من الأعلى.")</f>
        <v>إنه يرفع العصا عالياً، ويستعد لإسقاطها بضربة قوية من الأعلى.</v>
      </c>
      <c r="M19" s="4"/>
      <c r="N19" s="4"/>
      <c r="O19" s="4"/>
      <c r="P19" s="4"/>
      <c r="Q19" s="4"/>
      <c r="R19" s="4"/>
      <c r="S19" s="4"/>
      <c r="T19" s="4"/>
      <c r="U19" s="4"/>
      <c r="V19" s="4"/>
      <c r="W19" s="4"/>
      <c r="X19" s="4"/>
      <c r="Y19" s="4"/>
      <c r="Z19" s="4"/>
      <c r="AA19" s="4"/>
      <c r="AB19" s="4"/>
      <c r="AC19" s="4"/>
      <c r="AD19" s="4"/>
      <c r="AE19" s="4"/>
      <c r="AF19" s="4"/>
      <c r="AG19" s="4"/>
    </row>
    <row r="20" spans="1:33" ht="22.5" customHeight="1" x14ac:dyDescent="0.25">
      <c r="A20" s="2"/>
      <c r="B20" s="2"/>
      <c r="C20" s="2"/>
      <c r="D20" s="2"/>
      <c r="E20" s="2"/>
      <c r="F20" s="4"/>
      <c r="G20" s="4"/>
      <c r="H20" s="6" t="s">
        <v>88</v>
      </c>
      <c r="I20" s="4" t="str">
        <f ca="1">IFERROR(__xludf.DUMMYFUNCTION("GOOGLETRANSLATE(B20,""en"",""ar"")"),"تشير التعابير الودية ولكن المركزة على وجوه الرجال إلى أن هذا...")</f>
        <v>تشير التعابير الودية ولكن المركزة على وجوه الرجال إلى أن هذا...</v>
      </c>
      <c r="J20" s="4" t="str">
        <f ca="1">IFERROR(__xludf.DUMMYFUNCTION("GOOGLETRANSLATE(C20,""en"",""ar"")"),"أ) قتال حتى الموت، ب) جلسة تدريب أو نزال، ج) جدال حاد، د) عرض راقص")</f>
        <v>أ) قتال حتى الموت، ب) جلسة تدريب أو نزال، ج) جدال حاد، د) عرض راقص</v>
      </c>
      <c r="K20" s="4" t="str">
        <f ca="1">IFERROR(__xludf.DUMMYFUNCTION("GOOGLETRANSLATE(D20,""en"",""ar"")"),"ب) جلسة تدريب أو نزال")</f>
        <v>ب) جلسة تدريب أو نزال</v>
      </c>
      <c r="L20" s="4" t="str">
        <f ca="1">IFERROR(__xludf.DUMMYFUNCTION("GOOGLETRANSLATE(E20,""en"",""ar"")"),"إنهم يمارسون تقنياتهم مع شريك، وليسوا منخرطين في معركة حقيقية بين الحياة والموت.")</f>
        <v>إنهم يمارسون تقنياتهم مع شريك، وليسوا منخرطين في معركة حقيقية بين الحياة والموت.</v>
      </c>
      <c r="M20" s="4"/>
      <c r="N20" s="4"/>
      <c r="O20" s="4"/>
      <c r="P20" s="4"/>
      <c r="Q20" s="4"/>
      <c r="R20" s="4"/>
      <c r="S20" s="4"/>
      <c r="T20" s="4"/>
      <c r="U20" s="4"/>
      <c r="V20" s="4"/>
      <c r="W20" s="4"/>
      <c r="X20" s="4"/>
      <c r="Y20" s="4"/>
      <c r="Z20" s="4"/>
      <c r="AA20" s="4"/>
      <c r="AB20" s="4"/>
      <c r="AC20" s="4"/>
      <c r="AD20" s="4"/>
      <c r="AE20" s="4"/>
      <c r="AF20" s="4"/>
      <c r="AG20" s="4"/>
    </row>
    <row r="21" spans="1:33" ht="22.5" customHeight="1" x14ac:dyDescent="0.25">
      <c r="A21" s="2"/>
      <c r="B21" s="2"/>
      <c r="C21" s="2"/>
      <c r="D21" s="2"/>
      <c r="E21" s="2"/>
      <c r="F21" s="4"/>
      <c r="G21" s="4"/>
      <c r="H21" s="7" t="s">
        <v>88</v>
      </c>
      <c r="I21" s="4" t="str">
        <f ca="1">IFERROR(__xludf.DUMMYFUNCTION("GOOGLETRANSLATE(B21,""en"",""ar"")"),"تُظهر هذه الصورة أن فنون الدفاع عن النفس التقليدية مثل التحطيب هي...")</f>
        <v>تُظهر هذه الصورة أن فنون الدفاع عن النفس التقليدية مثل التحطيب هي...</v>
      </c>
      <c r="J21" s="4" t="str">
        <f ca="1">IFERROR(__xludf.DUMMYFUNCTION("GOOGLETRANSLATE(C21,""en"",""ar"")"),"أ) لم تعد تُمارس، ب) تُمارس فقط بشكلها الأصلي القديم، ج) يحافظ عليها الممارسون المعاصرون، د) جزء منسي من التاريخ")</f>
        <v>أ) لم تعد تُمارس، ب) تُمارس فقط بشكلها الأصلي القديم، ج) يحافظ عليها الممارسون المعاصرون، د) جزء منسي من التاريخ</v>
      </c>
      <c r="K21" s="4" t="str">
        <f ca="1">IFERROR(__xludf.DUMMYFUNCTION("GOOGLETRANSLATE(D21,""en"",""ar"")"),"ج) حافظ عليها الممارسون المعاصرون")</f>
        <v>ج) حافظ عليها الممارسون المعاصرون</v>
      </c>
      <c r="L21" s="4" t="str">
        <f ca="1">IFERROR(__xludf.DUMMYFUNCTION("GOOGLETRANSLATE(E21,""en"",""ar"")"),"يستمر الناس في تدريب هذه الفنون القديمة والحفاظ عليها في العالم الحديث.")</f>
        <v>يستمر الناس في تدريب هذه الفنون القديمة والحفاظ عليها في العالم الحديث.</v>
      </c>
      <c r="M21" s="4"/>
      <c r="N21" s="4"/>
      <c r="O21" s="4"/>
      <c r="P21" s="4"/>
      <c r="Q21" s="4"/>
      <c r="R21" s="4"/>
      <c r="S21" s="4"/>
      <c r="T21" s="4"/>
      <c r="U21" s="4"/>
      <c r="V21" s="4"/>
      <c r="W21" s="4"/>
      <c r="X21" s="4"/>
      <c r="Y21" s="4"/>
      <c r="Z21" s="4"/>
      <c r="AA21" s="4"/>
      <c r="AB21" s="4"/>
      <c r="AC21" s="4"/>
      <c r="AD21" s="4"/>
      <c r="AE21" s="4"/>
      <c r="AF21" s="4"/>
      <c r="AG21" s="4"/>
    </row>
    <row r="22" spans="1:33" ht="22.5" customHeight="1" x14ac:dyDescent="0.25">
      <c r="A22" s="2"/>
      <c r="B22" s="2"/>
      <c r="C22" s="2"/>
      <c r="D22" s="2"/>
      <c r="E22" s="2"/>
      <c r="F22" s="4"/>
      <c r="G22" s="4"/>
      <c r="H22" s="6" t="s">
        <v>89</v>
      </c>
      <c r="I22" s="4" t="str">
        <f ca="1">IFERROR(__xludf.DUMMYFUNCTION("GOOGLETRANSLATE(B22,""en"",""ar"")"),"تُظهر هذه الصورة شكلاً من أشكال القتال بالعصي، وهو فن تقليدي في أي منطقة من أفريقيا؟")</f>
        <v>تُظهر هذه الصورة شكلاً من أشكال القتال بالعصي، وهو فن تقليدي في أي منطقة من أفريقيا؟</v>
      </c>
      <c r="J22" s="4" t="str">
        <f ca="1">IFERROR(__xludf.DUMMYFUNCTION("GOOGLETRANSLATE(C22,""en"",""ar"")"),"أ) شمال أفريقيا (مثل مصر)، ب) غرب أفريقيا (مثل نيجيريا)، ج) جنوب أفريقيا (مثل جنوب أفريقيا، زولولاند)، د) شرق أفريقيا (مثل إثيوبيا)")</f>
        <v>أ) شمال أفريقيا (مثل مصر)، ب) غرب أفريقيا (مثل نيجيريا)، ج) جنوب أفريقيا (مثل جنوب أفريقيا، زولولاند)، د) شرق أفريقيا (مثل إثيوبيا)</v>
      </c>
      <c r="K22" s="4" t="str">
        <f ca="1">IFERROR(__xludf.DUMMYFUNCTION("GOOGLETRANSLATE(D22,""en"",""ar"")"),"ج) جنوب أفريقيا (على سبيل المثال، جنوب أفريقيا، زولولاند)")</f>
        <v>ج) جنوب أفريقيا (على سبيل المثال، جنوب أفريقيا، زولولاند)</v>
      </c>
      <c r="L22" s="4" t="str">
        <f ca="1">IFERROR(__xludf.DUMMYFUNCTION("GOOGLETRANSLATE(E22,""en"",""ar"")"),"إن الزي، بما في ذلك مآزر جلد الحيوانات (أوموتشا) والدرع الصغير، هو سمة مميزة لشعب الزولو والشعوب النجوني ذات الصلة.")</f>
        <v>إن الزي، بما في ذلك مآزر جلد الحيوانات (أوموتشا) والدرع الصغير، هو سمة مميزة لشعب الزولو والشعوب النجوني ذات الصلة.</v>
      </c>
      <c r="M22" s="4"/>
      <c r="N22" s="4"/>
      <c r="O22" s="4"/>
      <c r="P22" s="4"/>
      <c r="Q22" s="4"/>
      <c r="R22" s="4"/>
      <c r="S22" s="4"/>
      <c r="T22" s="4"/>
      <c r="U22" s="4"/>
      <c r="V22" s="4"/>
      <c r="W22" s="4"/>
      <c r="X22" s="4"/>
      <c r="Y22" s="4"/>
      <c r="Z22" s="4"/>
      <c r="AA22" s="4"/>
      <c r="AB22" s="4"/>
      <c r="AC22" s="4"/>
      <c r="AD22" s="4"/>
      <c r="AE22" s="4"/>
      <c r="AF22" s="4"/>
      <c r="AG22" s="4"/>
    </row>
    <row r="23" spans="1:33" ht="22.5" customHeight="1" x14ac:dyDescent="0.25">
      <c r="A23" s="2"/>
      <c r="B23" s="2"/>
      <c r="C23" s="2"/>
      <c r="D23" s="2"/>
      <c r="E23" s="2"/>
      <c r="F23" s="4"/>
      <c r="G23" s="4"/>
      <c r="H23" s="7" t="s">
        <v>89</v>
      </c>
      <c r="I23" s="4" t="str">
        <f ca="1">IFERROR(__xludf.DUMMYFUNCTION("GOOGLETRANSLATE(B23,""en"",""ar"")"),"ما اسم الدرع الصغير الذي يحمله المقاتل على اليمين؟")</f>
        <v>ما اسم الدرع الصغير الذي يحمله المقاتل على اليمين؟</v>
      </c>
      <c r="J23" s="4" t="str">
        <f ca="1">IFERROR(__xludf.DUMMYFUNCTION("GOOGLETRANSLATE(C23,""en"",""ar"")"),"أ) الترس، ب) الإيهاو، ج) الدرع، د) التارج")</f>
        <v>أ) الترس، ب) الإيهاو، ج) الدرع، د) التارج</v>
      </c>
      <c r="K23" s="4" t="str">
        <f ca="1">IFERROR(__xludf.DUMMYFUNCTION("GOOGLETRANSLATE(D23,""en"",""ar"")"),"ب) أن إيهاو")</f>
        <v>ب) أن إيهاو</v>
      </c>
      <c r="L23" s="4" t="str">
        <f ca="1">IFERROR(__xludf.DUMMYFUNCTION("GOOGLETRANSLATE(E23,""en"",""ar"")"),"هذا هو الدرع الصغير التقليدي المستخدم في قتال العصي لدى شعب نغوني، ويستخدم لصد الضربات.")</f>
        <v>هذا هو الدرع الصغير التقليدي المستخدم في قتال العصي لدى شعب نغوني، ويستخدم لصد الضربات.</v>
      </c>
      <c r="M23" s="4"/>
      <c r="N23" s="4"/>
      <c r="O23" s="4"/>
      <c r="P23" s="4"/>
      <c r="Q23" s="4"/>
      <c r="R23" s="4"/>
      <c r="S23" s="4"/>
      <c r="T23" s="4"/>
      <c r="U23" s="4"/>
      <c r="V23" s="4"/>
      <c r="W23" s="4"/>
      <c r="X23" s="4"/>
      <c r="Y23" s="4"/>
      <c r="Z23" s="4"/>
      <c r="AA23" s="4"/>
      <c r="AB23" s="4"/>
      <c r="AC23" s="4"/>
      <c r="AD23" s="4"/>
      <c r="AE23" s="4"/>
      <c r="AF23" s="4"/>
      <c r="AG23" s="4"/>
    </row>
    <row r="24" spans="1:33" ht="22.5" customHeight="1" x14ac:dyDescent="0.25">
      <c r="A24" s="2"/>
      <c r="B24" s="2"/>
      <c r="C24" s="2"/>
      <c r="D24" s="2"/>
      <c r="E24" s="2"/>
      <c r="F24" s="4"/>
      <c r="G24" s="4"/>
      <c r="H24" s="6" t="s">
        <v>89</v>
      </c>
      <c r="I24" s="4" t="str">
        <f ca="1">IFERROR(__xludf.DUMMYFUNCTION("GOOGLETRANSLATE(B24,""en"",""ar"")"),"بالإضافة إلى عصا القتال الطويلة (إندوكو)، ما هو الشيء الآخر الذي يحمله المقاتل على اليمين؟")</f>
        <v>بالإضافة إلى عصا القتال الطويلة (إندوكو)، ما هو الشيء الآخر الذي يحمله المقاتل على اليمين؟</v>
      </c>
      <c r="J24" s="4" t="str">
        <f ca="1">IFERROR(__xludf.DUMMYFUNCTION("GOOGLETRANSLATE(C24,""en"",""ar"")"),"أ) عصا صغيرة للصد (إسيخويلي)، ب) رمح، ج) سكين، د) حبل")</f>
        <v>أ) عصا صغيرة للصد (إسيخويلي)، ب) رمح، ج) سكين، د) حبل</v>
      </c>
      <c r="K24" s="4" t="str">
        <f ca="1">IFERROR(__xludf.DUMMYFUNCTION("GOOGLETRANSLATE(D24,""en"",""ar"")"),"أ) عصا أصغر للصد (إيسيكويلى)")</f>
        <v>أ) عصا أصغر للصد (إيسيكويلى)</v>
      </c>
      <c r="L24" s="4" t="str">
        <f ca="1">IFERROR(__xludf.DUMMYFUNCTION("GOOGLETRANSLATE(E24,""en"",""ar"")"),"يستخدم المقاتلون تقليدياً عصا أطول للهجوم وعصا أقصر وأكثر سمكاً للدفاع.")</f>
        <v>يستخدم المقاتلون تقليدياً عصا أطول للهجوم وعصا أقصر وأكثر سمكاً للدفاع.</v>
      </c>
      <c r="M24" s="4"/>
      <c r="N24" s="4"/>
      <c r="O24" s="4"/>
      <c r="P24" s="4"/>
      <c r="Q24" s="4"/>
      <c r="R24" s="4"/>
      <c r="S24" s="4"/>
      <c r="T24" s="4"/>
      <c r="U24" s="4"/>
      <c r="V24" s="4"/>
      <c r="W24" s="4"/>
      <c r="X24" s="4"/>
      <c r="Y24" s="4"/>
      <c r="Z24" s="4"/>
      <c r="AA24" s="4"/>
      <c r="AB24" s="4"/>
      <c r="AC24" s="4"/>
      <c r="AD24" s="4"/>
      <c r="AE24" s="4"/>
      <c r="AF24" s="4"/>
      <c r="AG24" s="4"/>
    </row>
    <row r="25" spans="1:33" ht="22.5" customHeight="1" x14ac:dyDescent="0.25">
      <c r="A25" s="2"/>
      <c r="B25" s="2"/>
      <c r="C25" s="2"/>
      <c r="D25" s="2"/>
      <c r="E25" s="2"/>
      <c r="F25" s="4"/>
      <c r="G25" s="4"/>
      <c r="H25" s="7" t="s">
        <v>89</v>
      </c>
      <c r="I25" s="4" t="str">
        <f ca="1">IFERROR(__xludf.DUMMYFUNCTION("GOOGLETRANSLATE(B25,""en"",""ar"")"),"تُظهر الخلفية منازل تقليدية ذات شكل مميز. هذه هي...")</f>
        <v>تُظهر الخلفية منازل تقليدية ذات شكل مميز. هذه هي...</v>
      </c>
      <c r="J25" s="4" t="str">
        <f ca="1">IFERROR(__xludf.DUMMYFUNCTION("GOOGLETRANSLATE(C25,""en"",""ar"")"),"أ) منازل حديثة مبنية من الطوب، ب) أكواخ مسقوفة بالقش في حظيرة الماشية أو المزرعة، ج) الخيام، د) أكواخ خشبية")</f>
        <v>أ) منازل حديثة مبنية من الطوب، ب) أكواخ مسقوفة بالقش في حظيرة الماشية أو المزرعة، ج) الخيام، د) أكواخ خشبية</v>
      </c>
      <c r="K25" s="4" t="str">
        <f ca="1">IFERROR(__xludf.DUMMYFUNCTION("GOOGLETRANSLATE(D25,""en"",""ar"")"),"ب) أكواخ ذات أسقف من القش في حظيرة الماشية أو المزرعة")</f>
        <v>ب) أكواخ ذات أسقف من القش في حظيرة الماشية أو المزرعة</v>
      </c>
      <c r="L25" s="4" t="str">
        <f ca="1">IFERROR(__xludf.DUMMYFUNCTION("GOOGLETRANSLATE(E25,""en"",""ar"")"),"تعتبر الأكواخ التي تشبه خلايا النحل والسياج الخشبي من السمات المميزة للمساكن التقليدية لقبيلة الزولو.")</f>
        <v>تعتبر الأكواخ التي تشبه خلايا النحل والسياج الخشبي من السمات المميزة للمساكن التقليدية لقبيلة الزولو.</v>
      </c>
      <c r="M25" s="4"/>
      <c r="N25" s="4"/>
      <c r="O25" s="4"/>
      <c r="P25" s="4"/>
      <c r="Q25" s="4"/>
      <c r="R25" s="4"/>
      <c r="S25" s="4"/>
      <c r="T25" s="4"/>
      <c r="U25" s="4"/>
      <c r="V25" s="4"/>
      <c r="W25" s="4"/>
      <c r="X25" s="4"/>
      <c r="Y25" s="4"/>
      <c r="Z25" s="4"/>
      <c r="AA25" s="4"/>
      <c r="AB25" s="4"/>
      <c r="AC25" s="4"/>
      <c r="AD25" s="4"/>
      <c r="AE25" s="4"/>
      <c r="AF25" s="4"/>
      <c r="AG25" s="4"/>
    </row>
    <row r="26" spans="1:33" ht="22.5" customHeight="1" x14ac:dyDescent="0.25">
      <c r="A26" s="2"/>
      <c r="B26" s="2"/>
      <c r="C26" s="2"/>
      <c r="D26" s="2"/>
      <c r="E26" s="2"/>
      <c r="F26" s="4"/>
      <c r="G26" s="4"/>
      <c r="H26" s="6" t="s">
        <v>89</v>
      </c>
      <c r="I26" s="4" t="str">
        <f ca="1">IFERROR(__xludf.DUMMYFUNCTION("GOOGLETRANSLATE(B26,""en"",""ar"")"),"كان هذا النوع من القتال بالعصي تقليديًا وسيلة للشباب لـ...")</f>
        <v>كان هذا النوع من القتال بالعصي تقليديًا وسيلة للشباب لـ...</v>
      </c>
      <c r="J26" s="4" t="str">
        <f ca="1">IFERROR(__xludf.DUMMYFUNCTION("GOOGLETRANSLATE(C26,""en"",""ar"")"),"أ) تسوية النزاعات القانونية، ب) إثبات رجولتهم وكسب الاحترام، ج) البحث عن الطعام، د) استضافة الزوار الأجانب")</f>
        <v>أ) تسوية النزاعات القانونية، ب) إثبات رجولتهم وكسب الاحترام، ج) البحث عن الطعام، د) استضافة الزوار الأجانب</v>
      </c>
      <c r="K26" s="4" t="str">
        <f ca="1">IFERROR(__xludf.DUMMYFUNCTION("GOOGLETRANSLATE(D26,""en"",""ar"")"),"ب) لإثبات رجولتهم وكسب الاحترام")</f>
        <v>ب) لإثبات رجولتهم وكسب الاحترام</v>
      </c>
      <c r="L26" s="4" t="str">
        <f ca="1">IFERROR(__xludf.DUMMYFUNCTION("GOOGLETRANSLATE(E26,""en"",""ar"")"),"كان القتال بالعصي طقساً من طقوس العبور، ووسيلة لإظهار الشجاعة والمهارة والقوة، وهو أمر مهم لجذب العرائس واكتساب المكانة الاجتماعية.")</f>
        <v>كان القتال بالعصي طقساً من طقوس العبور، ووسيلة لإظهار الشجاعة والمهارة والقوة، وهو أمر مهم لجذب العرائس واكتساب المكانة الاجتماعية.</v>
      </c>
      <c r="M26" s="4"/>
      <c r="N26" s="4"/>
      <c r="O26" s="4"/>
      <c r="P26" s="4"/>
      <c r="Q26" s="4"/>
      <c r="R26" s="4"/>
      <c r="S26" s="4"/>
      <c r="T26" s="4"/>
      <c r="U26" s="4"/>
      <c r="V26" s="4"/>
      <c r="W26" s="4"/>
      <c r="X26" s="4"/>
      <c r="Y26" s="4"/>
      <c r="Z26" s="4"/>
      <c r="AA26" s="4"/>
      <c r="AB26" s="4"/>
      <c r="AC26" s="4"/>
      <c r="AD26" s="4"/>
      <c r="AE26" s="4"/>
      <c r="AF26" s="4"/>
      <c r="AG26" s="4"/>
    </row>
    <row r="27" spans="1:33" ht="22.5" customHeight="1" x14ac:dyDescent="0.25">
      <c r="A27" s="2"/>
      <c r="B27" s="2"/>
      <c r="C27" s="2"/>
      <c r="D27" s="2"/>
      <c r="E27" s="2"/>
      <c r="F27" s="4"/>
      <c r="G27" s="4"/>
      <c r="H27" s="7" t="s">
        <v>89</v>
      </c>
      <c r="I27" s="4" t="str">
        <f ca="1">IFERROR(__xludf.DUMMYFUNCTION("GOOGLETRANSLATE(B27,""en"",""ar"")"),"موقف المقاتلين هو...")</f>
        <v>موقف المقاتلين هو...</v>
      </c>
      <c r="J27" s="4" t="str">
        <f ca="1">IFERROR(__xludf.DUMMYFUNCTION("GOOGLETRANSLATE(C27,""en"",""ar"")"),"أ) منتصبة ومتصلبة، ب) منخفضة وعريضة وديناميكية، ج) جالسة على الأرض، د) مسترخية وعفوية")</f>
        <v>أ) منتصبة ومتصلبة، ب) منخفضة وعريضة وديناميكية، ج) جالسة على الأرض، د) مسترخية وعفوية</v>
      </c>
      <c r="K27" s="4" t="str">
        <f ca="1">IFERROR(__xludf.DUMMYFUNCTION("GOOGLETRANSLATE(D27,""en"",""ar"")"),"ب) منخفض، واسع، وديناميكي")</f>
        <v>ب) منخفض، واسع، وديناميكي</v>
      </c>
      <c r="L27" s="4" t="str">
        <f ca="1">IFERROR(__xludf.DUMMYFUNCTION("GOOGLETRANSLATE(E27,""en"",""ar"")"),"يوفر مركز ثقلها المنخفض الاستقرار ويسمح بحركات سريعة وقوية.")</f>
        <v>يوفر مركز ثقلها المنخفض الاستقرار ويسمح بحركات سريعة وقوية.</v>
      </c>
      <c r="M27" s="4"/>
      <c r="N27" s="4"/>
      <c r="O27" s="4"/>
      <c r="P27" s="4"/>
      <c r="Q27" s="4"/>
      <c r="R27" s="4"/>
      <c r="S27" s="4"/>
      <c r="T27" s="4"/>
      <c r="U27" s="4"/>
      <c r="V27" s="4"/>
      <c r="W27" s="4"/>
      <c r="X27" s="4"/>
      <c r="Y27" s="4"/>
      <c r="Z27" s="4"/>
      <c r="AA27" s="4"/>
      <c r="AB27" s="4"/>
      <c r="AC27" s="4"/>
      <c r="AD27" s="4"/>
      <c r="AE27" s="4"/>
      <c r="AF27" s="4"/>
      <c r="AG27" s="4"/>
    </row>
    <row r="28" spans="1:33" ht="22.5" customHeight="1" x14ac:dyDescent="0.25">
      <c r="A28" s="2"/>
      <c r="B28" s="2"/>
      <c r="C28" s="2"/>
      <c r="D28" s="2"/>
      <c r="E28" s="2"/>
      <c r="F28" s="4"/>
      <c r="G28" s="4"/>
      <c r="H28" s="6" t="s">
        <v>89</v>
      </c>
      <c r="I28" s="4" t="str">
        <f ca="1">IFERROR(__xludf.DUMMYFUNCTION("GOOGLETRANSLATE(B28,""en"",""ar"")"),"يرتدي المقاتلون ملابس تقليدية مصنوعة من...")</f>
        <v>يرتدي المقاتلون ملابس تقليدية مصنوعة من...</v>
      </c>
      <c r="J28" s="4" t="str">
        <f ca="1">IFERROR(__xludf.DUMMYFUNCTION("GOOGLETRANSLATE(C28,""en"",""ar"")"),"أ) قماش منسوج، ب) جلود وفراء الحيوانات، ج) أقمشة صناعية حديثة، د) دروع معدنية")</f>
        <v>أ) قماش منسوج، ب) جلود وفراء الحيوانات، ج) أقمشة صناعية حديثة، د) دروع معدنية</v>
      </c>
      <c r="K28" s="4" t="str">
        <f ca="1">IFERROR(__xludf.DUMMYFUNCTION("GOOGLETRANSLATE(D28,""en"",""ar"")"),"ب) جلود وفراء الحيوانات")</f>
        <v>ب) جلود وفراء الحيوانات</v>
      </c>
      <c r="L28" s="4" t="str">
        <f ca="1">IFERROR(__xludf.DUMMYFUNCTION("GOOGLETRANSLATE(E28,""en"",""ar"")"),"ملابسهم مصنوعة من جلود الحيوانات، مما يعكس السياق الثقافي.")</f>
        <v>ملابسهم مصنوعة من جلود الحيوانات، مما يعكس السياق الثقافي.</v>
      </c>
      <c r="M28" s="4"/>
      <c r="N28" s="4"/>
      <c r="O28" s="4"/>
      <c r="P28" s="4"/>
      <c r="Q28" s="4"/>
      <c r="R28" s="4"/>
      <c r="S28" s="4"/>
      <c r="T28" s="4"/>
      <c r="U28" s="4"/>
      <c r="V28" s="4"/>
      <c r="W28" s="4"/>
      <c r="X28" s="4"/>
      <c r="Y28" s="4"/>
      <c r="Z28" s="4"/>
      <c r="AA28" s="4"/>
      <c r="AB28" s="4"/>
      <c r="AC28" s="4"/>
      <c r="AD28" s="4"/>
      <c r="AE28" s="4"/>
      <c r="AF28" s="4"/>
      <c r="AG28" s="4"/>
    </row>
    <row r="29" spans="1:33" ht="22.5" customHeight="1" x14ac:dyDescent="0.25">
      <c r="A29" s="2"/>
      <c r="B29" s="2"/>
      <c r="C29" s="2"/>
      <c r="D29" s="2"/>
      <c r="E29" s="2"/>
      <c r="F29" s="4"/>
      <c r="G29" s="4"/>
      <c r="H29" s="7" t="s">
        <v>89</v>
      </c>
      <c r="I29" s="4" t="str">
        <f ca="1">IFERROR(__xludf.DUMMYFUNCTION("GOOGLETRANSLATE(B29,""en"",""ar"")"),"غالباً ما يوصف هذا النوع من القتال بأنه...")</f>
        <v>غالباً ما يوصف هذا النوع من القتال بأنه...</v>
      </c>
      <c r="J29" s="4" t="str">
        <f ca="1">IFERROR(__xludf.DUMMYFUNCTION("GOOGLETRANSLATE(C29,""en"",""ar"")"),"أ) رقصة قتالية، ب) طقوس بطيئة الإيقاع، ج) رياضة لا تتطلب احتكاكًا جسديًا، د) اختراع حديث")</f>
        <v>أ) رقصة قتالية، ب) طقوس بطيئة الإيقاع، ج) رياضة لا تتطلب احتكاكًا جسديًا، د) اختراع حديث</v>
      </c>
      <c r="K29" s="4" t="str">
        <f ca="1">IFERROR(__xludf.DUMMYFUNCTION("GOOGLETRANSLATE(D29,""en"",""ar"")"),"أ) رقصة ""قتالية""")</f>
        <v>أ) رقصة "قتالية"</v>
      </c>
      <c r="L29" s="4" t="str">
        <f ca="1">IFERROR(__xludf.DUMMYFUNCTION("GOOGLETRANSLATE(E29,""en"",""ar"")"),"ومثل العديد من تقاليد القتال بالعصي، فهي ذات إيقاع عالٍ وتتضمن حركات قدم معقدة، مما يجعلها تشبه الرقص.")</f>
        <v>ومثل العديد من تقاليد القتال بالعصي، فهي ذات إيقاع عالٍ وتتضمن حركات قدم معقدة، مما يجعلها تشبه الرقص.</v>
      </c>
      <c r="M29" s="4"/>
      <c r="N29" s="4"/>
      <c r="O29" s="4"/>
      <c r="P29" s="4"/>
      <c r="Q29" s="4"/>
      <c r="R29" s="4"/>
      <c r="S29" s="4"/>
      <c r="T29" s="4"/>
      <c r="U29" s="4"/>
      <c r="V29" s="4"/>
      <c r="W29" s="4"/>
      <c r="X29" s="4"/>
      <c r="Y29" s="4"/>
      <c r="Z29" s="4"/>
      <c r="AA29" s="4"/>
      <c r="AB29" s="4"/>
      <c r="AC29" s="4"/>
      <c r="AD29" s="4"/>
      <c r="AE29" s="4"/>
      <c r="AF29" s="4"/>
      <c r="AG29" s="4"/>
    </row>
    <row r="30" spans="1:33" ht="22.5" customHeight="1" x14ac:dyDescent="0.25">
      <c r="A30" s="2"/>
      <c r="B30" s="2"/>
      <c r="C30" s="2"/>
      <c r="D30" s="2"/>
      <c r="E30" s="2"/>
      <c r="F30" s="4"/>
      <c r="G30" s="4"/>
      <c r="H30" s="6" t="s">
        <v>89</v>
      </c>
      <c r="I30" s="4" t="str">
        <f ca="1">IFERROR(__xludf.DUMMYFUNCTION("GOOGLETRANSLATE(B30,""en"",""ar"")"),"يتنافس المقاتلون...")</f>
        <v>يتنافس المقاتلون...</v>
      </c>
      <c r="J30" s="4" t="str">
        <f ca="1">IFERROR(__xludf.DUMMYFUNCTION("GOOGLETRANSLATE(C30,""en"",""ar"")"),"أ) مع أحذية ثقيلة، ب) حافي القدمين، ج) مع أحذية رياضية حديثة، د) مع الصنادل")</f>
        <v>أ) مع أحذية ثقيلة، ب) حافي القدمين، ج) مع أحذية رياضية حديثة، د) مع الصنادل</v>
      </c>
      <c r="K30" s="4" t="str">
        <f ca="1">IFERROR(__xludf.DUMMYFUNCTION("GOOGLETRANSLATE(D30,""en"",""ar"")"),"ب) حافي القدمين")</f>
        <v>ب) حافي القدمين</v>
      </c>
      <c r="L30" s="4" t="str">
        <f ca="1">IFERROR(__xludf.DUMMYFUNCTION("GOOGLETRANSLATE(E30,""en"",""ar"")"),"تتيح المنافسة حافياً اتصالاً أفضل بالأرض وخفة الحركة.")</f>
        <v>تتيح المنافسة حافياً اتصالاً أفضل بالأرض وخفة الحركة.</v>
      </c>
      <c r="M30" s="4"/>
      <c r="N30" s="4"/>
      <c r="O30" s="4"/>
      <c r="P30" s="4"/>
      <c r="Q30" s="4"/>
      <c r="R30" s="4"/>
      <c r="S30" s="4"/>
      <c r="T30" s="4"/>
      <c r="U30" s="4"/>
      <c r="V30" s="4"/>
      <c r="W30" s="4"/>
      <c r="X30" s="4"/>
      <c r="Y30" s="4"/>
      <c r="Z30" s="4"/>
      <c r="AA30" s="4"/>
      <c r="AB30" s="4"/>
      <c r="AC30" s="4"/>
      <c r="AD30" s="4"/>
      <c r="AE30" s="4"/>
      <c r="AF30" s="4"/>
      <c r="AG30" s="4"/>
    </row>
    <row r="31" spans="1:33" ht="22.5" customHeight="1" x14ac:dyDescent="0.25">
      <c r="A31" s="2"/>
      <c r="B31" s="2"/>
      <c r="C31" s="2"/>
      <c r="D31" s="2"/>
      <c r="E31" s="2"/>
      <c r="F31" s="4"/>
      <c r="G31" s="4"/>
      <c r="H31" s="7" t="s">
        <v>89</v>
      </c>
      <c r="I31" s="4" t="str">
        <f ca="1">IFERROR(__xludf.DUMMYFUNCTION("GOOGLETRANSLATE(B31,""en"",""ar"")"),"هذه الصورة تجسد...")</f>
        <v>هذه الصورة تجسد...</v>
      </c>
      <c r="J31" s="4" t="str">
        <f ca="1">IFERROR(__xludf.DUMMYFUNCTION("GOOGLETRANSLATE(C31,""en"",""ar"")"),"أ) حدث رياضي حديث ترعاه الدولة، ب) تقليد ثقافي عريق، ج) مشهد من فيلم، د) تدريب عسكري")</f>
        <v>أ) حدث رياضي حديث ترعاه الدولة، ب) تقليد ثقافي عريق، ج) مشهد من فيلم، د) تدريب عسكري</v>
      </c>
      <c r="K31" s="4" t="str">
        <f ca="1">IFERROR(__xludf.DUMMYFUNCTION("GOOGLETRANSLATE(D31,""en"",""ar"")"),"ب) تقليد ثقافي خالد")</f>
        <v>ب) تقليد ثقافي خالد</v>
      </c>
      <c r="L31" s="4" t="str">
        <f ca="1">IFERROR(__xludf.DUMMYFUNCTION("GOOGLETRANSLATE(E31,""en"",""ar"")"),"تُظهر الصورة ممارسة ثقافية أصيلة في بيئتها التقليدية.")</f>
        <v>تُظهر الصورة ممارسة ثقافية أصيلة في بيئتها التقليدية.</v>
      </c>
      <c r="M31" s="4"/>
      <c r="N31" s="4"/>
      <c r="O31" s="4"/>
      <c r="P31" s="4"/>
      <c r="Q31" s="4"/>
      <c r="R31" s="4"/>
      <c r="S31" s="4"/>
      <c r="T31" s="4"/>
      <c r="U31" s="4"/>
      <c r="V31" s="4"/>
      <c r="W31" s="4"/>
      <c r="X31" s="4"/>
      <c r="Y31" s="4"/>
      <c r="Z31" s="4"/>
      <c r="AA31" s="4"/>
      <c r="AB31" s="4"/>
      <c r="AC31" s="4"/>
      <c r="AD31" s="4"/>
      <c r="AE31" s="4"/>
      <c r="AF31" s="4"/>
      <c r="AG31" s="4"/>
    </row>
    <row r="32" spans="1:33" ht="22.5" customHeight="1" x14ac:dyDescent="0.25">
      <c r="A32" s="2"/>
      <c r="B32" s="2"/>
      <c r="C32" s="2"/>
      <c r="D32" s="2"/>
      <c r="E32" s="2"/>
      <c r="F32" s="4"/>
      <c r="G32" s="4"/>
      <c r="H32" s="6" t="s">
        <v>90</v>
      </c>
      <c r="I32" s="4" t="str">
        <f ca="1">IFERROR(__xludf.DUMMYFUNCTION("GOOGLETRANSLATE(B32,""en"",""ar"")"),"لا تُظهر هذه الصورة القوية بالأبيض والأسود القتال بالعصي، بل تُظهر أي فنون قتالية سودانية أخرى؟")</f>
        <v>لا تُظهر هذه الصورة القوية بالأبيض والأسود القتال بالعصي، بل تُظهر أي فنون قتالية سودانية أخرى؟</v>
      </c>
      <c r="J32" s="4" t="str">
        <f ca="1">IFERROR(__xludf.DUMMYFUNCTION("GOOGLETRANSLATE(C32,""en"",""ar"")"),"أ) التحطب، ب) مصارعة النوبة، ج) الكيك بوكسينغ، د) الرماية")</f>
        <v>أ) التحطب، ب) مصارعة النوبة، ج) الكيك بوكسينغ، د) الرماية</v>
      </c>
      <c r="K32" s="4" t="str">
        <f ca="1">IFERROR(__xludf.DUMMYFUNCTION("GOOGLETRANSLATE(D32,""en"",""ar"")"),"ب) مصارعة النوبة")</f>
        <v>ب) مصارعة النوبة</v>
      </c>
      <c r="L32" s="4" t="str">
        <f ca="1">IFERROR(__xludf.DUMMYFUNCTION("GOOGLETRANSLATE(E32,""en"",""ar"")"),"هذه صورة تاريخية كلاسيكية لمصارعة النوبة، وهي فن قتالي يركز على رمي الخصم.")</f>
        <v>هذه صورة تاريخية كلاسيكية لمصارعة النوبة، وهي فن قتالي يركز على رمي الخصم.</v>
      </c>
      <c r="M32" s="4"/>
      <c r="N32" s="4"/>
      <c r="O32" s="4"/>
      <c r="P32" s="4"/>
      <c r="Q32" s="4"/>
      <c r="R32" s="4"/>
      <c r="S32" s="4"/>
      <c r="T32" s="4"/>
      <c r="U32" s="4"/>
      <c r="V32" s="4"/>
      <c r="W32" s="4"/>
      <c r="X32" s="4"/>
      <c r="Y32" s="4"/>
      <c r="Z32" s="4"/>
      <c r="AA32" s="4"/>
      <c r="AB32" s="4"/>
      <c r="AC32" s="4"/>
      <c r="AD32" s="4"/>
      <c r="AE32" s="4"/>
      <c r="AF32" s="4"/>
      <c r="AG32" s="4"/>
    </row>
    <row r="33" spans="1:33" ht="22.5" customHeight="1" x14ac:dyDescent="0.25">
      <c r="A33" s="2"/>
      <c r="B33" s="2"/>
      <c r="C33" s="2"/>
      <c r="D33" s="2"/>
      <c r="E33" s="2"/>
      <c r="F33" s="4"/>
      <c r="G33" s="4"/>
      <c r="H33" s="7" t="s">
        <v>90</v>
      </c>
      <c r="I33" s="4" t="str">
        <f ca="1">IFERROR(__xludf.DUMMYFUNCTION("GOOGLETRANSLATE(B33,""en"",""ar"")"),"ما هو الحدث الرئيسي الذي يحدث في مركز الصورة؟")</f>
        <v>ما هو الحدث الرئيسي الذي يحدث في مركز الصورة؟</v>
      </c>
      <c r="J33" s="4" t="str">
        <f ca="1">IFERROR(__xludf.DUMMYFUNCTION("GOOGLETRANSLATE(C33,""en"",""ar"")"),"أ) يتبادل مقاتلان الضرب بالعصي، ب) يقوم مصارع بتنفيذ رمية بهلوانية قوية، ج) يتصافح المتنافسان، د) يتم أداء رقصة طقسية")</f>
        <v>أ) يتبادل مقاتلان الضرب بالعصي، ب) يقوم مصارع بتنفيذ رمية بهلوانية قوية، ج) يتصافح المتنافسان، د) يتم أداء رقصة طقسية</v>
      </c>
      <c r="K33" s="4" t="str">
        <f ca="1">IFERROR(__xludf.DUMMYFUNCTION("GOOGLETRANSLATE(D33,""en"",""ar"")"),"ب) يقوم مصارع بتنفيذ رمية قوية بهلوانية")</f>
        <v>ب) يقوم مصارع بتنفيذ رمية قوية بهلوانية</v>
      </c>
      <c r="L33" s="4" t="str">
        <f ca="1">IFERROR(__xludf.DUMMYFUNCTION("GOOGLETRANSLATE(E33,""en"",""ar"")"),"قام أحد المصارعين برفع خصمه بالكامل عن الأرض وهو الآن بصدد رميه رأساً على عقب.")</f>
        <v>قام أحد المصارعين برفع خصمه بالكامل عن الأرض وهو الآن بصدد رميه رأساً على عقب.</v>
      </c>
      <c r="M33" s="4"/>
      <c r="N33" s="4"/>
      <c r="O33" s="4"/>
      <c r="P33" s="4"/>
      <c r="Q33" s="4"/>
      <c r="R33" s="4"/>
      <c r="S33" s="4"/>
      <c r="T33" s="4"/>
      <c r="U33" s="4"/>
      <c r="V33" s="4"/>
      <c r="W33" s="4"/>
      <c r="X33" s="4"/>
      <c r="Y33" s="4"/>
      <c r="Z33" s="4"/>
      <c r="AA33" s="4"/>
      <c r="AB33" s="4"/>
      <c r="AC33" s="4"/>
      <c r="AD33" s="4"/>
      <c r="AE33" s="4"/>
      <c r="AF33" s="4"/>
      <c r="AG33" s="4"/>
    </row>
    <row r="34" spans="1:33" ht="22.5" customHeight="1" x14ac:dyDescent="0.25">
      <c r="A34" s="2"/>
      <c r="B34" s="2"/>
      <c r="C34" s="2"/>
      <c r="D34" s="2"/>
      <c r="E34" s="2"/>
      <c r="F34" s="4"/>
      <c r="G34" s="4"/>
      <c r="H34" s="6" t="s">
        <v>90</v>
      </c>
      <c r="I34" s="4" t="str">
        <f ca="1">IFERROR(__xludf.DUMMYFUNCTION("GOOGLETRANSLATE(B34,""en"",""ar"")"),"يشير تنسيق الصورة بالأبيض والأسود والزي التقليدي إلى أن هذه الصورة...")</f>
        <v>يشير تنسيق الصورة بالأبيض والأسود والزي التقليدي إلى أن هذه الصورة...</v>
      </c>
      <c r="J34" s="4" t="str">
        <f ca="1">IFERROR(__xludf.DUMMYFUNCTION("GOOGLETRANSLATE(C34,""en"",""ar"")"),"أ) صورة حديثة مع فلتر، ب) وثيقة تاريخية عن الرياضة، ج) صورة مُعدّة لمجلة، د) لقطة من فيلم حديث")</f>
        <v>أ) صورة حديثة مع فلتر، ب) وثيقة تاريخية عن الرياضة، ج) صورة مُعدّة لمجلة، د) لقطة من فيلم حديث</v>
      </c>
      <c r="K34" s="4" t="str">
        <f ca="1">IFERROR(__xludf.DUMMYFUNCTION("GOOGLETRANSLATE(D34,""en"",""ar"")"),"ب) وثيقة تاريخية عن الرياضة")</f>
        <v>ب) وثيقة تاريخية عن الرياضة</v>
      </c>
      <c r="L34" s="4" t="str">
        <f ca="1">IFERROR(__xludf.DUMMYFUNCTION("GOOGLETRANSLATE(E34,""en"",""ar"")"),"هذه صورة شهيرة من منتصف القرن العشرين، تجسد الطاقة الخام لمصارعة النوبة التقليدية.")</f>
        <v>هذه صورة شهيرة من منتصف القرن العشرين، تجسد الطاقة الخام لمصارعة النوبة التقليدية.</v>
      </c>
      <c r="M34" s="4"/>
      <c r="N34" s="4"/>
      <c r="O34" s="4"/>
      <c r="P34" s="4"/>
      <c r="Q34" s="4"/>
      <c r="R34" s="4"/>
      <c r="S34" s="4"/>
      <c r="T34" s="4"/>
      <c r="U34" s="4"/>
      <c r="V34" s="4"/>
      <c r="W34" s="4"/>
      <c r="X34" s="4"/>
      <c r="Y34" s="4"/>
      <c r="Z34" s="4"/>
      <c r="AA34" s="4"/>
      <c r="AB34" s="4"/>
      <c r="AC34" s="4"/>
      <c r="AD34" s="4"/>
      <c r="AE34" s="4"/>
      <c r="AF34" s="4"/>
      <c r="AG34" s="4"/>
    </row>
    <row r="35" spans="1:33" ht="22.5" customHeight="1" x14ac:dyDescent="0.25">
      <c r="A35" s="2"/>
      <c r="B35" s="2"/>
      <c r="C35" s="2"/>
      <c r="D35" s="2"/>
      <c r="E35" s="2"/>
      <c r="F35" s="4"/>
      <c r="G35" s="4"/>
      <c r="H35" s="7" t="s">
        <v>90</v>
      </c>
      <c r="I35" s="4" t="str">
        <f ca="1">IFERROR(__xludf.DUMMYFUNCTION("GOOGLETRANSLATE(B35,""en"",""ar"")"),"الأشخاص المحيطون بالمصارعين هم...")</f>
        <v>الأشخاص المحيطون بالمصارعين هم...</v>
      </c>
      <c r="J35" s="4" t="str">
        <f ca="1">IFERROR(__xludf.DUMMYFUNCTION("GOOGLETRANSLATE(C35,""en"",""ar"")"),"أ) مصارعون آخرون وأفراد من المجتمع المحلي، ب) الشرطة التي تحاول إيقاف الشجار، ج) سياح، د) فرق متنافسة ترتدي زياً عصرياً")</f>
        <v>أ) مصارعون آخرون وأفراد من المجتمع المحلي، ب) الشرطة التي تحاول إيقاف الشجار، ج) سياح، د) فرق متنافسة ترتدي زياً عصرياً</v>
      </c>
      <c r="K35" s="4" t="str">
        <f ca="1">IFERROR(__xludf.DUMMYFUNCTION("GOOGLETRANSLATE(D35,""en"",""ar"")"),"أ) مصارعون آخرون وأفراد من المجتمع")</f>
        <v>أ) مصارعون آخرون وأفراد من المجتمع</v>
      </c>
      <c r="L35" s="4" t="str">
        <f ca="1">IFERROR(__xludf.DUMMYFUNCTION("GOOGLETRANSLATE(E35,""en"",""ar"")"),"المباراة حدث مجتمعي مكثف، حيث يشارك الجميع بشكل وثيق في الحدث.")</f>
        <v>المباراة حدث مجتمعي مكثف، حيث يشارك الجميع بشكل وثيق في الحدث.</v>
      </c>
      <c r="M35" s="4"/>
      <c r="N35" s="4"/>
      <c r="O35" s="4"/>
      <c r="P35" s="4"/>
      <c r="Q35" s="4"/>
      <c r="R35" s="4"/>
      <c r="S35" s="4"/>
      <c r="T35" s="4"/>
      <c r="U35" s="4"/>
      <c r="V35" s="4"/>
      <c r="W35" s="4"/>
      <c r="X35" s="4"/>
      <c r="Y35" s="4"/>
      <c r="Z35" s="4"/>
      <c r="AA35" s="4"/>
      <c r="AB35" s="4"/>
      <c r="AC35" s="4"/>
      <c r="AD35" s="4"/>
      <c r="AE35" s="4"/>
      <c r="AF35" s="4"/>
      <c r="AG35" s="4"/>
    </row>
    <row r="36" spans="1:33" ht="22.5" customHeight="1" x14ac:dyDescent="0.25">
      <c r="A36" s="2"/>
      <c r="B36" s="2"/>
      <c r="C36" s="2"/>
      <c r="D36" s="2"/>
      <c r="E36" s="2"/>
      <c r="F36" s="4"/>
      <c r="G36" s="4"/>
      <c r="H36" s="6" t="s">
        <v>90</v>
      </c>
      <c r="I36" s="4" t="str">
        <f ca="1">IFERROR(__xludf.DUMMYFUNCTION("GOOGLETRANSLATE(B36,""en"",""ar"")"),"ما هو الهدف من الرمية التي يتم تنفيذها؟")</f>
        <v>ما هو الهدف من الرمية التي يتم تنفيذها؟</v>
      </c>
      <c r="J36" s="4" t="str">
        <f ca="1">IFERROR(__xludf.DUMMYFUNCTION("GOOGLETRANSLATE(C36,""en"",""ar"")"),"أ) إنزال الخصم على قدميه، ب) جعل ظهر الخصم يلامس الأرض، ج) إخراج الخصم من الدائرة، د) إبقاء الخصم في الهواء لأطول فترة ممكنة")</f>
        <v>أ) إنزال الخصم على قدميه، ب) جعل ظهر الخصم يلامس الأرض، ج) إخراج الخصم من الدائرة، د) إبقاء الخصم في الهواء لأطول فترة ممكنة</v>
      </c>
      <c r="K36" s="4" t="str">
        <f ca="1">IFERROR(__xludf.DUMMYFUNCTION("GOOGLETRANSLATE(D36,""en"",""ar"")"),"ب) لجعل ظهر الخصم يلامس الأرض")</f>
        <v>ب) لجعل ظهر الخصم يلامس الأرض</v>
      </c>
      <c r="L36" s="4" t="str">
        <f ca="1">IFERROR(__xludf.DUMMYFUNCTION("GOOGLETRANSLATE(E36,""en"",""ar"")"),"يتحقق الفوز في مصارعة النوبة بجعل أي جزء من ظهر الخصم يلامس الأرض.")</f>
        <v>يتحقق الفوز في مصارعة النوبة بجعل أي جزء من ظهر الخصم يلامس الأرض.</v>
      </c>
      <c r="M36" s="4"/>
      <c r="N36" s="4"/>
      <c r="O36" s="4"/>
      <c r="P36" s="4"/>
      <c r="Q36" s="4"/>
      <c r="R36" s="4"/>
      <c r="S36" s="4"/>
      <c r="T36" s="4"/>
      <c r="U36" s="4"/>
      <c r="V36" s="4"/>
      <c r="W36" s="4"/>
      <c r="X36" s="4"/>
      <c r="Y36" s="4"/>
      <c r="Z36" s="4"/>
      <c r="AA36" s="4"/>
      <c r="AB36" s="4"/>
      <c r="AC36" s="4"/>
      <c r="AD36" s="4"/>
      <c r="AE36" s="4"/>
      <c r="AF36" s="4"/>
      <c r="AG36" s="4"/>
    </row>
    <row r="37" spans="1:33" ht="22.5" customHeight="1" x14ac:dyDescent="0.25">
      <c r="A37" s="2"/>
      <c r="B37" s="2"/>
      <c r="C37" s="2"/>
      <c r="D37" s="2"/>
      <c r="E37" s="2"/>
      <c r="F37" s="4"/>
      <c r="G37" s="4"/>
      <c r="H37" s="7" t="s">
        <v>90</v>
      </c>
      <c r="I37" s="4" t="str">
        <f ca="1">IFERROR(__xludf.DUMMYFUNCTION("GOOGLETRANSLATE(B37,""en"",""ar"")"),"المصارع الذي يتم طرحه يرتدي...")</f>
        <v>المصارع الذي يتم طرحه يرتدي...</v>
      </c>
      <c r="J37" s="4" t="str">
        <f ca="1">IFERROR(__xludf.DUMMYFUNCTION("GOOGLETRANSLATE(C37,""en"",""ar"")"),"أ) شورت رياضي عصري، ب) مئزر تقليدي منقوش ومزخرف، ج) بنطال جلدي ثقيل، د) لا شيء")</f>
        <v>أ) شورت رياضي عصري، ب) مئزر تقليدي منقوش ومزخرف، ج) بنطال جلدي ثقيل، د) لا شيء</v>
      </c>
      <c r="K37" s="4" t="str">
        <f ca="1">IFERROR(__xludf.DUMMYFUNCTION("GOOGLETRANSLATE(D37,""en"",""ar"")"),"ب) مئزر تقليدي مزخرف وزينة")</f>
        <v>ب) مئزر تقليدي مزخرف وزينة</v>
      </c>
      <c r="L37" s="4" t="str">
        <f ca="1">IFERROR(__xludf.DUMMYFUNCTION("GOOGLETRANSLATE(E37,""en"",""ar"")"),"زيه تقليدي، بما في ذلك ما يبدو أنه نباتات مدسوسة في حزام خصره.")</f>
        <v>زيه تقليدي، بما في ذلك ما يبدو أنه نباتات مدسوسة في حزام خصره.</v>
      </c>
      <c r="M37" s="4"/>
      <c r="N37" s="4"/>
      <c r="O37" s="4"/>
      <c r="P37" s="4"/>
      <c r="Q37" s="4"/>
      <c r="R37" s="4"/>
      <c r="S37" s="4"/>
      <c r="T37" s="4"/>
      <c r="U37" s="4"/>
      <c r="V37" s="4"/>
      <c r="W37" s="4"/>
      <c r="X37" s="4"/>
      <c r="Y37" s="4"/>
      <c r="Z37" s="4"/>
      <c r="AA37" s="4"/>
      <c r="AB37" s="4"/>
      <c r="AC37" s="4"/>
      <c r="AD37" s="4"/>
      <c r="AE37" s="4"/>
      <c r="AF37" s="4"/>
      <c r="AG37" s="4"/>
    </row>
    <row r="38" spans="1:33" ht="22.5" customHeight="1" x14ac:dyDescent="0.25">
      <c r="A38" s="2"/>
      <c r="B38" s="2"/>
      <c r="C38" s="2"/>
      <c r="D38" s="2"/>
      <c r="E38" s="2"/>
      <c r="F38" s="4"/>
      <c r="G38" s="4"/>
      <c r="H38" s="6" t="s">
        <v>90</v>
      </c>
      <c r="I38" s="4" t="str">
        <f ca="1">IFERROR(__xludf.DUMMYFUNCTION("GOOGLETRANSLATE(B38,""en"",""ar"")"),"تُبرز هذه الصورة __________ مصارعة النوبة.")</f>
        <v>تُبرز هذه الصورة __________ مصارعة النوبة.</v>
      </c>
      <c r="J38" s="4" t="str">
        <f ca="1">IFERROR(__xludf.DUMMYFUNCTION("GOOGLETRANSLATE(C38,""en"",""ar"")"),"أ) طبيعة بطيئة ومنهجية، ب) انعدام الاحتكاك الجسدي، ج) لياقة بدنية عالية وديناميكية فائقة، د) استخدام الأسلحة")</f>
        <v>أ) طبيعة بطيئة ومنهجية، ب) انعدام الاحتكاك الجسدي، ج) لياقة بدنية عالية وديناميكية فائقة، د) استخدام الأسلحة</v>
      </c>
      <c r="K38" s="4" t="str">
        <f ca="1">IFERROR(__xludf.DUMMYFUNCTION("GOOGLETRANSLATE(D38,""en"",""ar"")"),"ج) القدرة الرياضية العالية والديناميكية")</f>
        <v>ج) القدرة الرياضية العالية والديناميكية</v>
      </c>
      <c r="L38" s="4" t="str">
        <f ca="1">IFERROR(__xludf.DUMMYFUNCTION("GOOGLETRANSLATE(E38,""en"",""ar"")"),"تُظهر الرمية البهلوانية ذات السعة العالية القوة والمهارة المذهلة للمتنافسين.")</f>
        <v>تُظهر الرمية البهلوانية ذات السعة العالية القوة والمهارة المذهلة للمتنافسين.</v>
      </c>
      <c r="M38" s="4"/>
      <c r="N38" s="4"/>
      <c r="O38" s="4"/>
      <c r="P38" s="4"/>
      <c r="Q38" s="4"/>
      <c r="R38" s="4"/>
      <c r="S38" s="4"/>
      <c r="T38" s="4"/>
      <c r="U38" s="4"/>
      <c r="V38" s="4"/>
      <c r="W38" s="4"/>
      <c r="X38" s="4"/>
      <c r="Y38" s="4"/>
      <c r="Z38" s="4"/>
      <c r="AA38" s="4"/>
      <c r="AB38" s="4"/>
      <c r="AC38" s="4"/>
      <c r="AD38" s="4"/>
      <c r="AE38" s="4"/>
      <c r="AF38" s="4"/>
      <c r="AG38" s="4"/>
    </row>
    <row r="39" spans="1:33" ht="22.5" customHeight="1" x14ac:dyDescent="0.25">
      <c r="A39" s="2"/>
      <c r="B39" s="2"/>
      <c r="C39" s="2"/>
      <c r="D39" s="2"/>
      <c r="E39" s="2"/>
      <c r="F39" s="4"/>
      <c r="G39" s="4"/>
      <c r="H39" s="7" t="s">
        <v>90</v>
      </c>
      <c r="I39" s="4" t="str">
        <f ca="1">IFERROR(__xludf.DUMMYFUNCTION("GOOGLETRANSLATE(B39,""en"",""ar"")"),"من أي زاوية التُقطت الصورة؟")</f>
        <v>من أي زاوية التُقطت الصورة؟</v>
      </c>
      <c r="J39" s="4" t="str">
        <f ca="1">IFERROR(__xludf.DUMMYFUNCTION("GOOGLETRANSLATE(C39,""en"",""ar"")"),"أ) زاوية عالية، تنظر إلى الأسفل، ب) زاوية منخفضة، تنظر إلى الأعلى، ج) من مسافة بعيدة جدًا، د) من خلف الحشد")</f>
        <v>أ) زاوية عالية، تنظر إلى الأسفل، ب) زاوية منخفضة، تنظر إلى الأعلى، ج) من مسافة بعيدة جدًا، د) من خلف الحشد</v>
      </c>
      <c r="K39" s="4" t="str">
        <f ca="1">IFERROR(__xludf.DUMMYFUNCTION("GOOGLETRANSLATE(D39,""en"",""ar"")"),"ب) زاوية منخفضة، مع النظر إلى أعلى")</f>
        <v>ب) زاوية منخفضة، مع النظر إلى أعلى</v>
      </c>
      <c r="L39" s="4" t="str">
        <f ca="1">IFERROR(__xludf.DUMMYFUNCTION("GOOGLETRANSLATE(E39,""en"",""ar"")"),"المنظور المنخفض يجعل الحدث يبدو أكثر قوة وبطولة.")</f>
        <v>المنظور المنخفض يجعل الحدث يبدو أكثر قوة وبطولة.</v>
      </c>
      <c r="M39" s="4"/>
      <c r="N39" s="4"/>
      <c r="O39" s="4"/>
      <c r="P39" s="4"/>
      <c r="Q39" s="4"/>
      <c r="R39" s="4"/>
      <c r="S39" s="4"/>
      <c r="T39" s="4"/>
      <c r="U39" s="4"/>
      <c r="V39" s="4"/>
      <c r="W39" s="4"/>
      <c r="X39" s="4"/>
      <c r="Y39" s="4"/>
      <c r="Z39" s="4"/>
      <c r="AA39" s="4"/>
      <c r="AB39" s="4"/>
      <c r="AC39" s="4"/>
      <c r="AD39" s="4"/>
      <c r="AE39" s="4"/>
      <c r="AF39" s="4"/>
      <c r="AG39" s="4"/>
    </row>
    <row r="40" spans="1:33" ht="22.5" customHeight="1" x14ac:dyDescent="0.25">
      <c r="A40" s="2"/>
      <c r="B40" s="2"/>
      <c r="C40" s="2"/>
      <c r="D40" s="2"/>
      <c r="E40" s="2"/>
      <c r="F40" s="4"/>
      <c r="G40" s="4"/>
      <c r="H40" s="6" t="s">
        <v>90</v>
      </c>
      <c r="I40" s="4" t="str">
        <f ca="1">IFERROR(__xludf.DUMMYFUNCTION("GOOGLETRANSLATE(B40,""en"",""ar"")"),"إن غياب حلقة رسمية أو حواجز يدل على أن هذا...")</f>
        <v>إن غياب حلقة رسمية أو حواجز يدل على أن هذا...</v>
      </c>
      <c r="J40" s="4" t="str">
        <f ca="1">IFERROR(__xludf.DUMMYFUNCTION("GOOGLETRANSLATE(C40,""en"",""ar"")"),"أ) مباراة بطولة حديثة، ب) مباراة تقليدية على طريقة القرى، ج) جلسة تدريب خاصة، د) قتال غير قانوني وغير مرخص")</f>
        <v>أ) مباراة بطولة حديثة، ب) مباراة تقليدية على طريقة القرى، ج) جلسة تدريب خاصة، د) قتال غير قانوني وغير مرخص</v>
      </c>
      <c r="K40" s="4" t="str">
        <f ca="1">IFERROR(__xludf.DUMMYFUNCTION("GOOGLETRANSLATE(D40,""en"",""ar"")"),"ب) مباراة تقليدية على طراز القرية")</f>
        <v>ب) مباراة تقليدية على طراز القرية</v>
      </c>
      <c r="L40" s="4" t="str">
        <f ca="1">IFERROR(__xludf.DUMMYFUNCTION("GOOGLETRANSLATE(E40,""en"",""ar"")"),"يشكل المجتمع نفسه ساحة المنافسة.")</f>
        <v>يشكل المجتمع نفسه ساحة المنافسة.</v>
      </c>
      <c r="M40" s="4"/>
      <c r="N40" s="4"/>
      <c r="O40" s="4"/>
      <c r="P40" s="4"/>
      <c r="Q40" s="4"/>
      <c r="R40" s="4"/>
      <c r="S40" s="4"/>
      <c r="T40" s="4"/>
      <c r="U40" s="4"/>
      <c r="V40" s="4"/>
      <c r="W40" s="4"/>
      <c r="X40" s="4"/>
      <c r="Y40" s="4"/>
      <c r="Z40" s="4"/>
      <c r="AA40" s="4"/>
      <c r="AB40" s="4"/>
      <c r="AC40" s="4"/>
      <c r="AD40" s="4"/>
      <c r="AE40" s="4"/>
      <c r="AF40" s="4"/>
      <c r="AG40" s="4"/>
    </row>
    <row r="41" spans="1:33" ht="22.5" customHeight="1" x14ac:dyDescent="0.25">
      <c r="A41" s="2"/>
      <c r="B41" s="2"/>
      <c r="C41" s="2"/>
      <c r="D41" s="2"/>
      <c r="E41" s="2"/>
      <c r="F41" s="4"/>
      <c r="G41" s="4"/>
      <c r="H41" s="7" t="s">
        <v>90</v>
      </c>
      <c r="I41" s="4" t="str">
        <f ca="1">IFERROR(__xludf.DUMMYFUNCTION("GOOGLETRANSLATE(B41,""en"",""ar"")"),"يساهم التباين العالي للصورة بالأبيض والأسود في...")</f>
        <v>يساهم التباين العالي للصورة بالأبيض والأسود في...</v>
      </c>
      <c r="J41" s="4" t="str">
        <f ca="1">IFERROR(__xludf.DUMMYFUNCTION("GOOGLETRANSLATE(C41,""en"",""ar"")"),"أ) إخفاء تفاصيل الحدث، ب) إبراز قوة عضلات المصارعين والطاقة الهائلة للحظة، ج) جعل المشهد يبدو هادئًا وساكنًا، د) إظهار أن الحدث يجري ليلًا")</f>
        <v>أ) إخفاء تفاصيل الحدث، ب) إبراز قوة عضلات المصارعين والطاقة الهائلة للحظة، ج) جعل المشهد يبدو هادئًا وساكنًا، د) إظهار أن الحدث يجري ليلًا</v>
      </c>
      <c r="K41" s="4" t="str">
        <f ca="1">IFERROR(__xludf.DUMMYFUNCTION("GOOGLETRANSLATE(D41,""en"",""ar"")"),"ب) للتأكيد على قوة عضلات المصارعين والطاقة الخام للحظة")</f>
        <v>ب) للتأكيد على قوة عضلات المصارعين والطاقة الخام للحظة</v>
      </c>
      <c r="L41" s="4" t="str">
        <f ca="1">IFERROR(__xludf.DUMMYFUNCTION("GOOGLETRANSLATE(E41,""en"",""ar"")"),"يُضفي التباين الصارخ بين الضوء والظل مزيداً من الدراما والقوة على الصورة.")</f>
        <v>يُضفي التباين الصارخ بين الضوء والظل مزيداً من الدراما والقوة على الصورة.</v>
      </c>
      <c r="M41" s="4"/>
      <c r="N41" s="4"/>
      <c r="O41" s="4"/>
      <c r="P41" s="4"/>
      <c r="Q41" s="4"/>
      <c r="R41" s="4"/>
      <c r="S41" s="4"/>
      <c r="T41" s="4"/>
      <c r="U41" s="4"/>
      <c r="V41" s="4"/>
      <c r="W41" s="4"/>
      <c r="X41" s="4"/>
      <c r="Y41" s="4"/>
      <c r="Z41" s="4"/>
      <c r="AA41" s="4"/>
      <c r="AB41" s="4"/>
      <c r="AC41" s="4"/>
      <c r="AD41" s="4"/>
      <c r="AE41" s="4"/>
      <c r="AF41" s="4"/>
      <c r="AG41" s="4"/>
    </row>
    <row r="42" spans="1:33" ht="22.5" customHeight="1" x14ac:dyDescent="0.25">
      <c r="A42" s="2"/>
      <c r="B42" s="2"/>
      <c r="C42" s="2"/>
      <c r="D42" s="2"/>
      <c r="E42" s="2"/>
      <c r="F42" s="4"/>
      <c r="G42" s="4"/>
      <c r="H42" s="6" t="s">
        <v>91</v>
      </c>
      <c r="I42" s="4" t="str">
        <f ca="1">IFERROR(__xludf.DUMMYFUNCTION("GOOGLETRANSLATE(B42,""en"",""ar"")"),"يُعد هذا النوع من القتال بالعصي تقليديًا في ثقافات المحاربين في أي منطقة من أفريقيا؟")</f>
        <v>يُعد هذا النوع من القتال بالعصي تقليديًا في ثقافات المحاربين في أي منطقة من أفريقيا؟</v>
      </c>
      <c r="J42" s="4" t="str">
        <f ca="1">IFERROR(__xludf.DUMMYFUNCTION("GOOGLETRANSLATE(C42,""en"",""ar"")"),"أ) شمال أفريقيا، ب) غرب أفريقيا، ج) جنوب أفريقيا، د) شرق أفريقيا (مثل كينيا وتنزانيا)")</f>
        <v>أ) شمال أفريقيا، ب) غرب أفريقيا، ج) جنوب أفريقيا، د) شرق أفريقيا (مثل كينيا وتنزانيا)</v>
      </c>
      <c r="K42" s="4" t="str">
        <f ca="1">IFERROR(__xludf.DUMMYFUNCTION("GOOGLETRANSLATE(D42,""en"",""ar"")"),"د) شرق أفريقيا (على سبيل المثال، كينيا، تنزانيا)")</f>
        <v>د) شرق أفريقيا (على سبيل المثال، كينيا، تنزانيا)</v>
      </c>
      <c r="L42" s="4" t="str">
        <f ca="1">IFERROR(__xludf.DUMMYFUNCTION("GOOGLETRANSLATE(E42,""en"",""ar"")"),"يرتبط الزي، وخاصة القماش الأحمر المخطط (شوكا)، ارتباطًا وثيقًا بشعب الماساي والشعوب ذات الصلة في شرق إفريقيا.")</f>
        <v>يرتبط الزي، وخاصة القماش الأحمر المخطط (شوكا)، ارتباطًا وثيقًا بشعب الماساي والشعوب ذات الصلة في شرق إفريقيا.</v>
      </c>
      <c r="M42" s="4"/>
      <c r="N42" s="4"/>
      <c r="O42" s="4"/>
      <c r="P42" s="4"/>
      <c r="Q42" s="4"/>
      <c r="R42" s="4"/>
      <c r="S42" s="4"/>
      <c r="T42" s="4"/>
      <c r="U42" s="4"/>
      <c r="V42" s="4"/>
      <c r="W42" s="4"/>
      <c r="X42" s="4"/>
      <c r="Y42" s="4"/>
      <c r="Z42" s="4"/>
      <c r="AA42" s="4"/>
      <c r="AB42" s="4"/>
      <c r="AC42" s="4"/>
      <c r="AD42" s="4"/>
      <c r="AE42" s="4"/>
      <c r="AF42" s="4"/>
      <c r="AG42" s="4"/>
    </row>
    <row r="43" spans="1:33" ht="22.5" customHeight="1" x14ac:dyDescent="0.25">
      <c r="A43" s="2"/>
      <c r="B43" s="2"/>
      <c r="C43" s="2"/>
      <c r="D43" s="2"/>
      <c r="E43" s="2"/>
      <c r="F43" s="4"/>
      <c r="G43" s="4"/>
      <c r="H43" s="7" t="s">
        <v>91</v>
      </c>
      <c r="I43" s="4" t="str">
        <f ca="1">IFERROR(__xludf.DUMMYFUNCTION("GOOGLETRANSLATE(B43,""en"",""ar"")"),"ماذا يرتدي الرجل الموجود على اليسار؟")</f>
        <v>ماذا يرتدي الرجل الموجود على اليسار؟</v>
      </c>
      <c r="J43" s="4" t="str">
        <f ca="1">IFERROR(__xludf.DUMMYFUNCTION("GOOGLETRANSLATE(C43,""en"",""ar"")"),"أ) بدلة رسمية، ب) قطعة قماش حمراء مربعة تقليدية تُعرف باسم الشوكا، ج) معطف شتوي ثقيل، د) زي مصارع")</f>
        <v>أ) بدلة رسمية، ب) قطعة قماش حمراء مربعة تقليدية تُعرف باسم الشوكا، ج) معطف شتوي ثقيل، د) زي مصارع</v>
      </c>
      <c r="K43" s="4" t="str">
        <f ca="1">IFERROR(__xludf.DUMMYFUNCTION("GOOGLETRANSLATE(D43,""en"",""ar"")"),"ب) قطعة قماش حمراء مربعة تقليدية تُعرف باسم الشوكا")</f>
        <v>ب) قطعة قماش حمراء مربعة تقليدية تُعرف باسم الشوكا</v>
      </c>
      <c r="L43" s="4" t="str">
        <f ca="1">IFERROR(__xludf.DUMMYFUNCTION("GOOGLETRANSLATE(E43,""en"",""ar"")"),"هذا هو الزي المميز لشعب الماساي.")</f>
        <v>هذا هو الزي المميز لشعب الماساي.</v>
      </c>
      <c r="M43" s="4"/>
      <c r="N43" s="4"/>
      <c r="O43" s="4"/>
      <c r="P43" s="4"/>
      <c r="Q43" s="4"/>
      <c r="R43" s="4"/>
      <c r="S43" s="4"/>
      <c r="T43" s="4"/>
      <c r="U43" s="4"/>
      <c r="V43" s="4"/>
      <c r="W43" s="4"/>
      <c r="X43" s="4"/>
      <c r="Y43" s="4"/>
      <c r="Z43" s="4"/>
      <c r="AA43" s="4"/>
      <c r="AB43" s="4"/>
      <c r="AC43" s="4"/>
      <c r="AD43" s="4"/>
      <c r="AE43" s="4"/>
      <c r="AF43" s="4"/>
      <c r="AG43" s="4"/>
    </row>
    <row r="44" spans="1:33" ht="22.5" customHeight="1" x14ac:dyDescent="0.25">
      <c r="A44" s="2"/>
      <c r="B44" s="2"/>
      <c r="C44" s="2"/>
      <c r="D44" s="2"/>
      <c r="E44" s="2"/>
      <c r="F44" s="4"/>
      <c r="G44" s="4"/>
      <c r="H44" s="6" t="s">
        <v>91</v>
      </c>
      <c r="I44" s="4" t="str">
        <f ca="1">IFERROR(__xludf.DUMMYFUNCTION("GOOGLETRANSLATE(B44,""en"",""ar"")"),"ما هي الأسلحة التي يستخدمها المقاتلون؟")</f>
        <v>ما هي الأسلحة التي يستخدمها المقاتلون؟</v>
      </c>
      <c r="J44" s="4" t="str">
        <f ca="1">IFERROR(__xludf.DUMMYFUNCTION("GOOGLETRANSLATE(C44,""en"",""ar"")"),"أ) الرماح الطويلة، ب) السيوف، ج) العصي الخشبية الطويلة والرفيعة، د) الأقواس والسهام")</f>
        <v>أ) الرماح الطويلة، ب) السيوف، ج) العصي الخشبية الطويلة والرفيعة، د) الأقواس والسهام</v>
      </c>
      <c r="K44" s="4" t="str">
        <f ca="1">IFERROR(__xludf.DUMMYFUNCTION("GOOGLETRANSLATE(D44,""en"",""ar"")"),"ج) عصي ​​أو عصي خشبية طويلة ورفيعة")</f>
        <v>ج) عصي ​​أو عصي خشبية طويلة ورفيعة</v>
      </c>
      <c r="L44" s="4" t="str">
        <f ca="1">IFERROR(__xludf.DUMMYFUNCTION("GOOGLETRANSLATE(E44,""en"",""ar"")"),"يخوضون مبارزة باستخدام عصي القتال التقليدية.")</f>
        <v>يخوضون مبارزة باستخدام عصي القتال التقليدية.</v>
      </c>
      <c r="M44" s="4"/>
      <c r="N44" s="4"/>
      <c r="O44" s="4"/>
      <c r="P44" s="4"/>
      <c r="Q44" s="4"/>
      <c r="R44" s="4"/>
      <c r="S44" s="4"/>
      <c r="T44" s="4"/>
      <c r="U44" s="4"/>
      <c r="V44" s="4"/>
      <c r="W44" s="4"/>
      <c r="X44" s="4"/>
      <c r="Y44" s="4"/>
      <c r="Z44" s="4"/>
      <c r="AA44" s="4"/>
      <c r="AB44" s="4"/>
      <c r="AC44" s="4"/>
      <c r="AD44" s="4"/>
      <c r="AE44" s="4"/>
      <c r="AF44" s="4"/>
      <c r="AG44" s="4"/>
    </row>
    <row r="45" spans="1:33" ht="22.5" customHeight="1" x14ac:dyDescent="0.25">
      <c r="A45" s="2"/>
      <c r="B45" s="2"/>
      <c r="C45" s="2"/>
      <c r="D45" s="2"/>
      <c r="E45" s="2"/>
      <c r="F45" s="4"/>
      <c r="G45" s="4"/>
      <c r="H45" s="7" t="s">
        <v>91</v>
      </c>
      <c r="I45" s="4" t="str">
        <f ca="1">IFERROR(__xludf.DUMMYFUNCTION("GOOGLETRANSLATE(B45,""en"",""ar"")"),"ما هو سياق هذه المواجهة؟")</f>
        <v>ما هو سياق هذه المواجهة؟</v>
      </c>
      <c r="J45" s="4" t="str">
        <f ca="1">IFERROR(__xludf.DUMMYFUNCTION("GOOGLETRANSLATE(C45,""en"",""ar"")"),"أ) مدينة حديثة، ب) غابة كثيفة، ج) سافانا مفتوحة قاحلة بأشجار السنط، د) شاطئ")</f>
        <v>أ) مدينة حديثة، ب) غابة كثيفة، ج) سافانا مفتوحة قاحلة بأشجار السنط، د) شاطئ</v>
      </c>
      <c r="K45" s="4" t="str">
        <f ca="1">IFERROR(__xludf.DUMMYFUNCTION("GOOGLETRANSLATE(D45,""en"",""ar"")"),"ج) سافانا مفتوحة وجافة بها أشجار السنط")</f>
        <v>ج) سافانا مفتوحة وجافة بها أشجار السنط</v>
      </c>
      <c r="L45" s="4" t="str">
        <f ca="1">IFERROR(__xludf.DUMMYFUNCTION("GOOGLETRANSLATE(E45,""en"",""ar"")"),"تُعد الأرض الجافة وأشجار السنط ذات القمم المسطحة المميزة من السمات المميزة لسافانا شرق أفريقيا.")</f>
        <v>تُعد الأرض الجافة وأشجار السنط ذات القمم المسطحة المميزة من السمات المميزة لسافانا شرق أفريقيا.</v>
      </c>
      <c r="M45" s="4"/>
      <c r="N45" s="4"/>
      <c r="O45" s="4"/>
      <c r="P45" s="4"/>
      <c r="Q45" s="4"/>
      <c r="R45" s="4"/>
      <c r="S45" s="4"/>
      <c r="T45" s="4"/>
      <c r="U45" s="4"/>
      <c r="V45" s="4"/>
      <c r="W45" s="4"/>
      <c r="X45" s="4"/>
      <c r="Y45" s="4"/>
      <c r="Z45" s="4"/>
      <c r="AA45" s="4"/>
      <c r="AB45" s="4"/>
      <c r="AC45" s="4"/>
      <c r="AD45" s="4"/>
      <c r="AE45" s="4"/>
      <c r="AF45" s="4"/>
      <c r="AG45" s="4"/>
    </row>
    <row r="46" spans="1:33" ht="22.5" customHeight="1" x14ac:dyDescent="0.25">
      <c r="A46" s="2"/>
      <c r="B46" s="2"/>
      <c r="C46" s="2"/>
      <c r="D46" s="2"/>
      <c r="E46" s="2"/>
      <c r="F46" s="4"/>
      <c r="G46" s="4"/>
      <c r="H46" s="6" t="s">
        <v>91</v>
      </c>
      <c r="I46" s="4" t="str">
        <f ca="1">IFERROR(__xludf.DUMMYFUNCTION("GOOGLETRANSLATE(B46,""en"",""ar"")"),"كان هذا النوع من القتال بالعصي يُستخدم تقليديًا من أجل...")</f>
        <v>كان هذا النوع من القتال بالعصي يُستخدم تقليديًا من أجل...</v>
      </c>
      <c r="J46" s="4" t="str">
        <f ca="1">IFERROR(__xludf.DUMMYFUNCTION("GOOGLETRANSLATE(C46,""en"",""ar"")"),"أ) تسوية النزاعات وكطقس عبور للمحاربين الشباب، ب) رعي الماشية فقط، ج) شكل من أشكال الترفيه للسياح، د) احتفال ديني")</f>
        <v>أ) تسوية النزاعات وكطقس عبور للمحاربين الشباب، ب) رعي الماشية فقط، ج) شكل من أشكال الترفيه للسياح، د) احتفال ديني</v>
      </c>
      <c r="K46" s="4" t="str">
        <f ca="1">IFERROR(__xludf.DUMMYFUNCTION("GOOGLETRANSLATE(D46,""en"",""ar"")"),"أ) لتسوية النزاعات وكطقس عبور للمحاربين الشباب")</f>
        <v>أ) لتسوية النزاعات وكطقس عبور للمحاربين الشباب</v>
      </c>
      <c r="L46" s="4" t="str">
        <f ca="1">IFERROR(__xludf.DUMMYFUNCTION("GOOGLETRANSLATE(E46,""en"",""ar"")"),"بالنسبة لشعوب مثل الماساي، كانت مهارة القتال بالعصا جزءًا أساسيًا من تدريب الشاب كمحارب (موران).")</f>
        <v>بالنسبة لشعوب مثل الماساي، كانت مهارة القتال بالعصا جزءًا أساسيًا من تدريب الشاب كمحارب (موران).</v>
      </c>
      <c r="M46" s="4"/>
      <c r="N46" s="4"/>
      <c r="O46" s="4"/>
      <c r="P46" s="4"/>
      <c r="Q46" s="4"/>
      <c r="R46" s="4"/>
      <c r="S46" s="4"/>
      <c r="T46" s="4"/>
      <c r="U46" s="4"/>
      <c r="V46" s="4"/>
      <c r="W46" s="4"/>
      <c r="X46" s="4"/>
      <c r="Y46" s="4"/>
      <c r="Z46" s="4"/>
      <c r="AA46" s="4"/>
      <c r="AB46" s="4"/>
      <c r="AC46" s="4"/>
      <c r="AD46" s="4"/>
      <c r="AE46" s="4"/>
      <c r="AF46" s="4"/>
      <c r="AG46" s="4"/>
    </row>
    <row r="47" spans="1:33" ht="22.5" customHeight="1" x14ac:dyDescent="0.25">
      <c r="A47" s="2"/>
      <c r="B47" s="2"/>
      <c r="C47" s="2"/>
      <c r="D47" s="2"/>
      <c r="E47" s="2"/>
      <c r="F47" s="4"/>
      <c r="G47" s="4"/>
      <c r="H47" s="7" t="s">
        <v>91</v>
      </c>
      <c r="I47" s="4" t="str">
        <f ca="1">IFERROR(__xludf.DUMMYFUNCTION("GOOGLETRANSLATE(B47,""en"",""ar"")"),"ماذا يُظهر الوضع الديناميكي لكلا المقاتلين؟")</f>
        <v>ماذا يُظهر الوضع الديناميكي لكلا المقاتلين؟</v>
      </c>
      <c r="J47" s="4" t="str">
        <f ca="1">IFERROR(__xludf.DUMMYFUNCTION("GOOGLETRANSLATE(C47,""en"",""ar"")"),"أ) إنهم متعبون وعلى وشك الراحة، ب) إنهم منخرطون في قتال رياضي سريع الوتيرة، ج) إنهم يؤدون رقصة بطيئة ورسمية، د) إنهم يتخذون وضعية لالتقاط صورة")</f>
        <v>أ) إنهم متعبون وعلى وشك الراحة، ب) إنهم منخرطون في قتال رياضي سريع الوتيرة، ج) إنهم يؤدون رقصة بطيئة ورسمية، د) إنهم يتخذون وضعية لالتقاط صورة</v>
      </c>
      <c r="K47" s="4" t="str">
        <f ca="1">IFERROR(__xludf.DUMMYFUNCTION("GOOGLETRANSLATE(D47,""en"",""ar"")"),"ب) إنهم يخوضون قتالاً رياضياً وسريعاً.")</f>
        <v>ب) إنهم يخوضون قتالاً رياضياً وسريعاً.</v>
      </c>
      <c r="L47" s="4" t="str">
        <f ca="1">IFERROR(__xludf.DUMMYFUNCTION("GOOGLETRANSLATE(E47,""en"",""ar"")"),"أجسادهم في حركة كاملة، مما يشير إلى تبادل ديناميكي للضربات والصدّات.")</f>
        <v>أجسادهم في حركة كاملة، مما يشير إلى تبادل ديناميكي للضربات والصدّات.</v>
      </c>
      <c r="M47" s="4"/>
      <c r="N47" s="4"/>
      <c r="O47" s="4"/>
      <c r="P47" s="4"/>
      <c r="Q47" s="4"/>
      <c r="R47" s="4"/>
      <c r="S47" s="4"/>
      <c r="T47" s="4"/>
      <c r="U47" s="4"/>
      <c r="V47" s="4"/>
      <c r="W47" s="4"/>
      <c r="X47" s="4"/>
      <c r="Y47" s="4"/>
      <c r="Z47" s="4"/>
      <c r="AA47" s="4"/>
      <c r="AB47" s="4"/>
      <c r="AC47" s="4"/>
      <c r="AD47" s="4"/>
      <c r="AE47" s="4"/>
      <c r="AF47" s="4"/>
      <c r="AG47" s="4"/>
    </row>
    <row r="48" spans="1:33" ht="22.5" customHeight="1" x14ac:dyDescent="0.25">
      <c r="A48" s="2"/>
      <c r="B48" s="2"/>
      <c r="C48" s="2"/>
      <c r="D48" s="2"/>
      <c r="E48" s="2"/>
      <c r="F48" s="4"/>
      <c r="G48" s="4"/>
      <c r="H48" s="6" t="s">
        <v>91</v>
      </c>
      <c r="I48" s="4" t="str">
        <f ca="1">IFERROR(__xludf.DUMMYFUNCTION("GOOGLETRANSLATE(B48,""en"",""ar"")"),"المقاتل الموجود على اليسار بصدد...")</f>
        <v>المقاتل الموجود على اليسار بصدد...</v>
      </c>
      <c r="J48" s="4" t="str">
        <f ca="1">IFERROR(__xludf.DUMMYFUNCTION("GOOGLETRANSLATE(C48,""en"",""ar"")"),"أ) تفادي الضربة أو الابتعاد عنها، ب) توجيه ضربة عالية، ج) الثبات في مكانه، د) السقوط")</f>
        <v>أ) تفادي الضربة أو الابتعاد عنها، ب) توجيه ضربة عالية، ج) الثبات في مكانه، د) السقوط</v>
      </c>
      <c r="K48" s="4" t="str">
        <f ca="1">IFERROR(__xludf.DUMMYFUNCTION("GOOGLETRANSLATE(D48,""en"",""ar"")"),"أ) تفادي الضربة أو الابتعاد عنها")</f>
        <v>أ) تفادي الضربة أو الابتعاد عنها</v>
      </c>
      <c r="L48" s="4" t="str">
        <f ca="1">IFERROR(__xludf.DUMMYFUNCTION("GOOGLETRANSLATE(E48,""en"",""ar"")"),"إنه يميل للخلف بينما يستخدم عصيه في الوقت نفسه لصد هجوم قادم.")</f>
        <v>إنه يميل للخلف بينما يستخدم عصيه في الوقت نفسه لصد هجوم قادم.</v>
      </c>
      <c r="M48" s="4"/>
      <c r="N48" s="4"/>
      <c r="O48" s="4"/>
      <c r="P48" s="4"/>
      <c r="Q48" s="4"/>
      <c r="R48" s="4"/>
      <c r="S48" s="4"/>
      <c r="T48" s="4"/>
      <c r="U48" s="4"/>
      <c r="V48" s="4"/>
      <c r="W48" s="4"/>
      <c r="X48" s="4"/>
      <c r="Y48" s="4"/>
      <c r="Z48" s="4"/>
      <c r="AA48" s="4"/>
      <c r="AB48" s="4"/>
      <c r="AC48" s="4"/>
      <c r="AD48" s="4"/>
      <c r="AE48" s="4"/>
      <c r="AF48" s="4"/>
      <c r="AG48" s="4"/>
    </row>
    <row r="49" spans="1:33" ht="22.5" customHeight="1" x14ac:dyDescent="0.25">
      <c r="A49" s="2"/>
      <c r="B49" s="2"/>
      <c r="C49" s="2"/>
      <c r="D49" s="2"/>
      <c r="E49" s="2"/>
      <c r="F49" s="4"/>
      <c r="G49" s="4"/>
      <c r="H49" s="7" t="s">
        <v>91</v>
      </c>
      <c r="I49" s="4" t="str">
        <f ca="1">IFERROR(__xludf.DUMMYFUNCTION("GOOGLETRANSLATE(B49,""en"",""ar"")"),"تجسد هذه الصورة فنًا قتاليًا مرتبطًا ارتباطًا وثيقًا بـ...")</f>
        <v>تجسد هذه الصورة فنًا قتاليًا مرتبطًا ارتباطًا وثيقًا بـ...</v>
      </c>
      <c r="J49" s="4" t="str">
        <f ca="1">IFERROR(__xludf.DUMMYFUNCTION("GOOGLETRANSLATE(C49,""en"",""ar"")"),"أ) نمط حياة حضري حديث، ب) ثقافة بحرية، ج) ثقافة رعوية محاربة، د) اقتصاد صناعي قائم على المصانع")</f>
        <v>أ) نمط حياة حضري حديث، ب) ثقافة بحرية، ج) ثقافة رعوية محاربة، د) اقتصاد صناعي قائم على المصانع</v>
      </c>
      <c r="K49" s="4" t="str">
        <f ca="1">IFERROR(__xludf.DUMMYFUNCTION("GOOGLETRANSLATE(D49,""en"",""ar"")"),"ج) ثقافة الرعاة والمحاربين")</f>
        <v>ج) ثقافة الرعاة والمحاربين</v>
      </c>
      <c r="L49" s="4" t="str">
        <f ca="1">IFERROR(__xludf.DUMMYFUNCTION("GOOGLETRANSLATE(E49,""en"",""ar"")"),"تعتبر قبيلة الماساي والجماعات ذات الصلة تقليدياً من رعاة الماشية شبه الرحل، وكانت طبقة المحاربين مسؤولة عن حماية القطعان والمجتمع.")</f>
        <v>تعتبر قبيلة الماساي والجماعات ذات الصلة تقليدياً من رعاة الماشية شبه الرحل، وكانت طبقة المحاربين مسؤولة عن حماية القطعان والمجتمع.</v>
      </c>
      <c r="M49" s="4"/>
      <c r="N49" s="4"/>
      <c r="O49" s="4"/>
      <c r="P49" s="4"/>
      <c r="Q49" s="4"/>
      <c r="R49" s="4"/>
      <c r="S49" s="4"/>
      <c r="T49" s="4"/>
      <c r="U49" s="4"/>
      <c r="V49" s="4"/>
      <c r="W49" s="4"/>
      <c r="X49" s="4"/>
      <c r="Y49" s="4"/>
      <c r="Z49" s="4"/>
      <c r="AA49" s="4"/>
      <c r="AB49" s="4"/>
      <c r="AC49" s="4"/>
      <c r="AD49" s="4"/>
      <c r="AE49" s="4"/>
      <c r="AF49" s="4"/>
      <c r="AG49" s="4"/>
    </row>
    <row r="50" spans="1:33" ht="22.5" customHeight="1" x14ac:dyDescent="0.25">
      <c r="A50" s="2"/>
      <c r="B50" s="2"/>
      <c r="C50" s="2"/>
      <c r="D50" s="2"/>
      <c r="E50" s="2"/>
      <c r="F50" s="4"/>
      <c r="G50" s="4"/>
      <c r="H50" s="6" t="s">
        <v>91</v>
      </c>
      <c r="I50" s="4" t="str">
        <f ca="1">IFERROR(__xludf.DUMMYFUNCTION("GOOGLETRANSLATE(B50,""en"",""ar"")"),"المقاتل على اليمين هو...")</f>
        <v>المقاتل على اليمين هو...</v>
      </c>
      <c r="J50" s="4" t="str">
        <f ca="1">IFERROR(__xludf.DUMMYFUNCTION("GOOGLETRANSLATE(C50,""en"",""ar"")"),"أ) الاستسلام، ب) اتخاذ وضعية هجومية قوية، وتوجيه ضربة من الأعلى، ج) النظر بعيدًا عن القتال، د) استخدام درع")</f>
        <v>أ) الاستسلام، ب) اتخاذ وضعية هجومية قوية، وتوجيه ضربة من الأعلى، ج) النظر بعيدًا عن القتال، د) استخدام درع</v>
      </c>
      <c r="K50" s="4" t="str">
        <f ca="1">IFERROR(__xludf.DUMMYFUNCTION("GOOGLETRANSLATE(D50,""en"",""ar"")"),"ب) في وضعية هجومية قوية، يوجه ضربة من الأعلى")</f>
        <v>ب) في وضعية هجومية قوية، يوجه ضربة من الأعلى</v>
      </c>
      <c r="L50" s="4" t="str">
        <f ca="1">IFERROR(__xludf.DUMMYFUNCTION("GOOGLETRANSLATE(E50,""en"",""ar"")"),"يرفع عصاه عالياً، ثم يهوي بها للهجوم.")</f>
        <v>يرفع عصاه عالياً، ثم يهوي بها للهجوم.</v>
      </c>
      <c r="M50" s="4"/>
      <c r="N50" s="4"/>
      <c r="O50" s="4"/>
      <c r="P50" s="4"/>
      <c r="Q50" s="4"/>
      <c r="R50" s="4"/>
      <c r="S50" s="4"/>
      <c r="T50" s="4"/>
      <c r="U50" s="4"/>
      <c r="V50" s="4"/>
      <c r="W50" s="4"/>
      <c r="X50" s="4"/>
      <c r="Y50" s="4"/>
      <c r="Z50" s="4"/>
      <c r="AA50" s="4"/>
      <c r="AB50" s="4"/>
      <c r="AC50" s="4"/>
      <c r="AD50" s="4"/>
      <c r="AE50" s="4"/>
      <c r="AF50" s="4"/>
      <c r="AG50" s="4"/>
    </row>
    <row r="51" spans="1:33" ht="22.5" customHeight="1" x14ac:dyDescent="0.25">
      <c r="A51" s="2"/>
      <c r="B51" s="2"/>
      <c r="C51" s="2"/>
      <c r="D51" s="2"/>
      <c r="E51" s="2"/>
      <c r="F51" s="4"/>
      <c r="G51" s="4"/>
      <c r="H51" s="7" t="s">
        <v>91</v>
      </c>
      <c r="I51" s="4" t="str">
        <f ca="1">IFERROR(__xludf.DUMMYFUNCTION("GOOGLETRANSLATE(B51,""en"",""ar"")"),"إن الغبار الذي تثيره أقدامهم يدل على...")</f>
        <v>إن الغبار الذي تثيره أقدامهم يدل على...</v>
      </c>
      <c r="J51" s="4" t="str">
        <f ca="1">IFERROR(__xludf.DUMMYFUNCTION("GOOGLETRANSLATE(C51,""en"",""ar"")"),"أ) الأرض مبتلة، ب) شدة وسرعة حركتهم، ج) الجو عاصف للغاية، د) القتال ليس حقيقياً")</f>
        <v>أ) الأرض مبتلة، ب) شدة وسرعة حركتهم، ج) الجو عاصف للغاية، د) القتال ليس حقيقياً</v>
      </c>
      <c r="K51" s="4" t="str">
        <f ca="1">IFERROR(__xludf.DUMMYFUNCTION("GOOGLETRANSLATE(D51,""en"",""ar"")"),"ب) شدة وسرعة حركتهم")</f>
        <v>ب) شدة وسرعة حركتهم</v>
      </c>
      <c r="L51" s="4" t="str">
        <f ca="1">IFERROR(__xludf.DUMMYFUNCTION("GOOGLETRANSLATE(E51,""en"",""ar"")"),"إن حركتهم السريعة على الأرض الجافة تثير غباراً كثيفاً.")</f>
        <v>إن حركتهم السريعة على الأرض الجافة تثير غباراً كثيفاً.</v>
      </c>
      <c r="M51" s="4"/>
      <c r="N51" s="4"/>
      <c r="O51" s="4"/>
      <c r="P51" s="4"/>
      <c r="Q51" s="4"/>
      <c r="R51" s="4"/>
      <c r="S51" s="4"/>
      <c r="T51" s="4"/>
      <c r="U51" s="4"/>
      <c r="V51" s="4"/>
      <c r="W51" s="4"/>
      <c r="X51" s="4"/>
      <c r="Y51" s="4"/>
      <c r="Z51" s="4"/>
      <c r="AA51" s="4"/>
      <c r="AB51" s="4"/>
      <c r="AC51" s="4"/>
      <c r="AD51" s="4"/>
      <c r="AE51" s="4"/>
      <c r="AF51" s="4"/>
      <c r="AG51" s="4"/>
    </row>
    <row r="52" spans="1:33" ht="22.5" customHeight="1" x14ac:dyDescent="0.25">
      <c r="A52" s="2"/>
      <c r="B52" s="2"/>
      <c r="C52" s="2"/>
      <c r="D52" s="2"/>
      <c r="E52" s="2"/>
      <c r="F52" s="4"/>
      <c r="G52" s="4"/>
      <c r="H52" s="6" t="s">
        <v>92</v>
      </c>
      <c r="I52" s="4" t="str">
        <f ca="1">IFERROR(__xludf.DUMMYFUNCTION("GOOGLETRANSLATE(B52,""en"",""ar"")"),"تُظهر هذه الصورة التاريخية مشهداً فوضوياً. ما هي فنون الدفاع عن النفس التي يتم ممارستها؟")</f>
        <v>تُظهر هذه الصورة التاريخية مشهداً فوضوياً. ما هي فنون الدفاع عن النفس التي يتم ممارستها؟</v>
      </c>
      <c r="J52" s="4" t="str">
        <f ca="1">IFERROR(__xludf.DUMMYFUNCTION("GOOGLETRANSLATE(C52,""en"",""ar"")"),"أ) القتال بالعصي، ب) مصارعة النوبة، ج) الرماية، د) نوع من أنواع الملاكمة")</f>
        <v>أ) القتال بالعصي، ب) مصارعة النوبة، ج) الرماية، د) نوع من أنواع الملاكمة</v>
      </c>
      <c r="K52" s="4" t="str">
        <f ca="1">IFERROR(__xludf.DUMMYFUNCTION("GOOGLETRANSLATE(D52,""en"",""ar"")"),"ب) مصارعة النوبة")</f>
        <v>ب) مصارعة النوبة</v>
      </c>
      <c r="L52" s="4" t="str">
        <f ca="1">IFERROR(__xludf.DUMMYFUNCTION("GOOGLETRANSLATE(E52,""en"",""ar"")"),"هذه صورة تاريخية أخرى لمصارعة النوبة. الشخصيات الرئيسية تتصارع، دون استخدام العصي، ويحيط بها مسؤولون أو شيوخ.")</f>
        <v>هذه صورة تاريخية أخرى لمصارعة النوبة. الشخصيات الرئيسية تتصارع، دون استخدام العصي، ويحيط بها مسؤولون أو شيوخ.</v>
      </c>
      <c r="M52" s="4"/>
      <c r="N52" s="4"/>
      <c r="O52" s="4"/>
      <c r="P52" s="4"/>
      <c r="Q52" s="4"/>
      <c r="R52" s="4"/>
      <c r="S52" s="4"/>
      <c r="T52" s="4"/>
      <c r="U52" s="4"/>
      <c r="V52" s="4"/>
      <c r="W52" s="4"/>
      <c r="X52" s="4"/>
      <c r="Y52" s="4"/>
      <c r="Z52" s="4"/>
      <c r="AA52" s="4"/>
      <c r="AB52" s="4"/>
      <c r="AC52" s="4"/>
      <c r="AD52" s="4"/>
      <c r="AE52" s="4"/>
      <c r="AF52" s="4"/>
      <c r="AG52" s="4"/>
    </row>
    <row r="53" spans="1:33" ht="22.5" customHeight="1" x14ac:dyDescent="0.25">
      <c r="A53" s="2"/>
      <c r="B53" s="2"/>
      <c r="C53" s="2"/>
      <c r="D53" s="2"/>
      <c r="E53" s="2"/>
      <c r="F53" s="4"/>
      <c r="G53" s="4"/>
      <c r="H53" s="7" t="s">
        <v>92</v>
      </c>
      <c r="I53" s="4" t="str">
        <f ca="1">IFERROR(__xludf.DUMMYFUNCTION("GOOGLETRANSLATE(B53,""en"",""ar"")"),"ما هو الحدث الرئيسي الذي تقوم به الشخصيتان الرئيسيتان؟")</f>
        <v>ما هو الحدث الرئيسي الذي تقوم به الشخصيتان الرئيسيتان؟</v>
      </c>
      <c r="J53" s="4" t="str">
        <f ca="1">IFERROR(__xludf.DUMMYFUNCTION("GOOGLETRANSLATE(C53,""en"",""ar"")"),"أ) يتبادلان الضرب بالرماح، ب) يتشاجران، ج) يؤديان رقصة بالعصي، د) يتصافحان")</f>
        <v>أ) يتبادلان الضرب بالرماح، ب) يتشاجران، ج) يؤديان رقصة بالعصي، د) يتصافحان</v>
      </c>
      <c r="K53" s="4" t="str">
        <f ca="1">IFERROR(__xludf.DUMMYFUNCTION("GOOGLETRANSLATE(D53,""en"",""ar"")"),"ب) إنهم متشابكون في قبضة")</f>
        <v>ب) إنهم متشابكون في قبضة</v>
      </c>
      <c r="L53" s="4" t="str">
        <f ca="1">IFERROR(__xludf.DUMMYFUNCTION("GOOGLETRANSLATE(E53,""en"",""ar"")"),"المصارعان في المنتصف يتبادلان حركات مصارعة عن قرب.")</f>
        <v>المصارعان في المنتصف يتبادلان حركات مصارعة عن قرب.</v>
      </c>
      <c r="M53" s="4"/>
      <c r="N53" s="4"/>
      <c r="O53" s="4"/>
      <c r="P53" s="4"/>
      <c r="Q53" s="4"/>
      <c r="R53" s="4"/>
      <c r="S53" s="4"/>
      <c r="T53" s="4"/>
      <c r="U53" s="4"/>
      <c r="V53" s="4"/>
      <c r="W53" s="4"/>
      <c r="X53" s="4"/>
      <c r="Y53" s="4"/>
      <c r="Z53" s="4"/>
      <c r="AA53" s="4"/>
      <c r="AB53" s="4"/>
      <c r="AC53" s="4"/>
      <c r="AD53" s="4"/>
      <c r="AE53" s="4"/>
      <c r="AF53" s="4"/>
      <c r="AG53" s="4"/>
    </row>
    <row r="54" spans="1:33" ht="22.5" customHeight="1" x14ac:dyDescent="0.25">
      <c r="A54" s="2"/>
      <c r="B54" s="2"/>
      <c r="C54" s="2"/>
      <c r="D54" s="2"/>
      <c r="E54" s="2"/>
      <c r="F54" s="4"/>
      <c r="G54" s="4"/>
      <c r="H54" s="6" t="s">
        <v>92</v>
      </c>
      <c r="I54" s="4" t="str">
        <f ca="1">IFERROR(__xludf.DUMMYFUNCTION("GOOGLETRANSLATE(B54,""en"",""ar"")"),"ما هي أبرز سمات زي المصارعين؟")</f>
        <v>ما هي أبرز سمات زي المصارعين؟</v>
      </c>
      <c r="J54" s="4" t="str">
        <f ca="1">IFERROR(__xludf.DUMMYFUNCTION("GOOGLETRANSLATE(C54,""en"",""ar"")"),"أ) يرتدون ملابس رياضية حديثة، ب) يرتدون زينة احتفالية وطقوسية للغاية، ج) يرتدون دروعًا ثقيلة، د) يرتدون مآزر بسيطة")</f>
        <v>أ) يرتدون ملابس رياضية حديثة، ب) يرتدون زينة احتفالية وطقوسية للغاية، ج) يرتدون دروعًا ثقيلة، د) يرتدون مآزر بسيطة</v>
      </c>
      <c r="K54" s="4" t="str">
        <f ca="1">IFERROR(__xludf.DUMMYFUNCTION("GOOGLETRANSLATE(D54,""en"",""ar"")"),"ب) إنهم يرتدون زينة احتفالية وطقوسية للغاية")</f>
        <v>ب) إنهم يرتدون زينة احتفالية وطقوسية للغاية</v>
      </c>
      <c r="L54" s="4" t="str">
        <f ca="1">IFERROR(__xludf.DUMMYFUNCTION("GOOGLETRANSLATE(E54,""en"",""ar"")"),"وهي مزينة بالريش والخرز وغيرها من الأشياء، مما يدل على أن هذه مباراة احتفالية مهمة للغاية.")</f>
        <v>وهي مزينة بالريش والخرز وغيرها من الأشياء، مما يدل على أن هذه مباراة احتفالية مهمة للغاية.</v>
      </c>
      <c r="M54" s="4"/>
      <c r="N54" s="4"/>
      <c r="O54" s="4"/>
      <c r="P54" s="4"/>
      <c r="Q54" s="4"/>
      <c r="R54" s="4"/>
      <c r="S54" s="4"/>
      <c r="T54" s="4"/>
      <c r="U54" s="4"/>
      <c r="V54" s="4"/>
      <c r="W54" s="4"/>
      <c r="X54" s="4"/>
      <c r="Y54" s="4"/>
      <c r="Z54" s="4"/>
      <c r="AA54" s="4"/>
      <c r="AB54" s="4"/>
      <c r="AC54" s="4"/>
      <c r="AD54" s="4"/>
      <c r="AE54" s="4"/>
      <c r="AF54" s="4"/>
      <c r="AG54" s="4"/>
    </row>
    <row r="55" spans="1:33" ht="22.5" customHeight="1" x14ac:dyDescent="0.25">
      <c r="A55" s="2"/>
      <c r="B55" s="2"/>
      <c r="C55" s="2"/>
      <c r="D55" s="2"/>
      <c r="E55" s="2"/>
      <c r="F55" s="4"/>
      <c r="G55" s="4"/>
      <c r="H55" s="7" t="s">
        <v>92</v>
      </c>
      <c r="I55" s="4" t="str">
        <f ca="1">IFERROR(__xludf.DUMMYFUNCTION("GOOGLETRANSLATE(B55,""en"",""ar"")"),"ماذا يعني ضبابية الحركة في الصورة؟")</f>
        <v>ماذا يعني ضبابية الحركة في الصورة؟</v>
      </c>
      <c r="J55" s="4" t="str">
        <f ca="1">IFERROR(__xludf.DUMMYFUNCTION("GOOGLETRANSLATE(C55,""en"",""ar"")"),"أ) كانت الكاميرا رديئة الجودة، ب) الحركة السريعة والفوضوية والعنيفة للحدث، ج) كان الحدث يجري ببطء شديد، د) كان المصور بعيدًا")</f>
        <v>أ) كانت الكاميرا رديئة الجودة، ب) الحركة السريعة والفوضوية والعنيفة للحدث، ج) كان الحدث يجري ببطء شديد، د) كان المصور بعيدًا</v>
      </c>
      <c r="K55" s="4" t="str">
        <f ca="1">IFERROR(__xludf.DUMMYFUNCTION("GOOGLETRANSLATE(D55,""en"",""ar"")"),"ب) الحركة الشديدة والفوضوية والسريعة للحدث")</f>
        <v>ب) الحركة الشديدة والفوضوية والسريعة للحدث</v>
      </c>
      <c r="L55" s="4" t="str">
        <f ca="1">IFERROR(__xludf.DUMMYFUNCTION("GOOGLETRANSLATE(E55,""en"",""ar"")"),"يلتقط هذا التشويش الطاقة المحمومة لكل من المصارعين والأشخاص المحيطين بهم.")</f>
        <v>يلتقط هذا التشويش الطاقة المحمومة لكل من المصارعين والأشخاص المحيطين بهم.</v>
      </c>
      <c r="M55" s="4"/>
      <c r="N55" s="4"/>
      <c r="O55" s="4"/>
      <c r="P55" s="4"/>
      <c r="Q55" s="4"/>
      <c r="R55" s="4"/>
      <c r="S55" s="4"/>
      <c r="T55" s="4"/>
      <c r="U55" s="4"/>
      <c r="V55" s="4"/>
      <c r="W55" s="4"/>
      <c r="X55" s="4"/>
      <c r="Y55" s="4"/>
      <c r="Z55" s="4"/>
      <c r="AA55" s="4"/>
      <c r="AB55" s="4"/>
      <c r="AC55" s="4"/>
      <c r="AD55" s="4"/>
      <c r="AE55" s="4"/>
      <c r="AF55" s="4"/>
      <c r="AG55" s="4"/>
    </row>
    <row r="56" spans="1:33" ht="22.5" customHeight="1" x14ac:dyDescent="0.25">
      <c r="A56" s="2"/>
      <c r="B56" s="2"/>
      <c r="C56" s="2"/>
      <c r="D56" s="2"/>
      <c r="E56" s="2"/>
      <c r="F56" s="4"/>
      <c r="G56" s="4"/>
      <c r="H56" s="6" t="s">
        <v>92</v>
      </c>
      <c r="I56" s="4" t="str">
        <f ca="1">IFERROR(__xludf.DUMMYFUNCTION("GOOGLETRANSLATE(B56,""en"",""ar"")"),"يبدو أن الرجال المحيطين بالمصارعين...")</f>
        <v>يبدو أن الرجال المحيطين بالمصارعين...</v>
      </c>
      <c r="J56" s="4" t="str">
        <f ca="1">IFERROR(__xludf.DUMMYFUNCTION("GOOGLETRANSLATE(C56,""en"",""ar"")"),"أ) مصارعون منافسون يحاولون التدخل، ب) مسؤولون أو شيوخ، بعضهم يحمل مراوح يدوية، يشرفون على الطقوس، ج) متفرجون اقتحموا الحلبة، د) الشرطة")</f>
        <v>أ) مصارعون منافسون يحاولون التدخل، ب) مسؤولون أو شيوخ، بعضهم يحمل مراوح يدوية، يشرفون على الطقوس، ج) متفرجون اقتحموا الحلبة، د) الشرطة</v>
      </c>
      <c r="K56" s="4" t="str">
        <f ca="1">IFERROR(__xludf.DUMMYFUNCTION("GOOGLETRANSLATE(D56,""en"",""ar"")"),"ب) مسؤولون أو شيوخ، بعضهم يحمل مراوح يدوية، يشرفون على الطقوس")</f>
        <v>ب) مسؤولون أو شيوخ، بعضهم يحمل مراوح يدوية، يشرفون على الطقوس</v>
      </c>
      <c r="L56" s="4" t="str">
        <f ca="1">IFERROR(__xludf.DUMMYFUNCTION("GOOGLETRANSLATE(E56,""en"",""ar"")"),"في المباريات التقليدية، يلعب كبار السن دورًا رئيسيًا في التحكيم وضمان مراعاة الطقوس بشكل صحيح.")</f>
        <v>في المباريات التقليدية، يلعب كبار السن دورًا رئيسيًا في التحكيم وضمان مراعاة الطقوس بشكل صحيح.</v>
      </c>
      <c r="M56" s="4"/>
      <c r="N56" s="4"/>
      <c r="O56" s="4"/>
      <c r="P56" s="4"/>
      <c r="Q56" s="4"/>
      <c r="R56" s="4"/>
      <c r="S56" s="4"/>
      <c r="T56" s="4"/>
      <c r="U56" s="4"/>
      <c r="V56" s="4"/>
      <c r="W56" s="4"/>
      <c r="X56" s="4"/>
      <c r="Y56" s="4"/>
      <c r="Z56" s="4"/>
      <c r="AA56" s="4"/>
      <c r="AB56" s="4"/>
      <c r="AC56" s="4"/>
      <c r="AD56" s="4"/>
      <c r="AE56" s="4"/>
      <c r="AF56" s="4"/>
      <c r="AG56" s="4"/>
    </row>
    <row r="57" spans="1:33" ht="22.5" customHeight="1" x14ac:dyDescent="0.25">
      <c r="A57" s="2"/>
      <c r="B57" s="2"/>
      <c r="C57" s="2"/>
      <c r="D57" s="2"/>
      <c r="E57" s="2"/>
      <c r="F57" s="4"/>
      <c r="G57" s="4"/>
      <c r="H57" s="7" t="s">
        <v>92</v>
      </c>
      <c r="I57" s="4" t="str">
        <f ca="1">IFERROR(__xludf.DUMMYFUNCTION("GOOGLETRANSLATE(B57,""en"",""ar"")"),"جو المشهد هو...")</f>
        <v>جو المشهد هو...</v>
      </c>
      <c r="J57" s="4" t="str">
        <f ca="1">IFERROR(__xludf.DUMMYFUNCTION("GOOGLETRANSLATE(C57,""en"",""ar"")"),"أ) هادئ وسلمي، ب) مكثف وفوضوي وروحي، ج) حزين ومحزن، د) منظم ومرتب")</f>
        <v>أ) هادئ وسلمي، ب) مكثف وفوضوي وروحي، ج) حزين ومحزن، د) منظم ومرتب</v>
      </c>
      <c r="K57" s="4" t="str">
        <f ca="1">IFERROR(__xludf.DUMMYFUNCTION("GOOGLETRANSLATE(D57,""en"",""ar"")"),"ب) مكثف، وفوضوي، وروحي")</f>
        <v>ب) مكثف، وفوضوي، وروحي</v>
      </c>
      <c r="L57" s="4" t="str">
        <f ca="1">IFERROR(__xludf.DUMMYFUNCTION("GOOGLETRANSLATE(E57,""en"",""ar"")"),"هذا ليس مجرد حدث رياضي، بل هو حدث ثقافي وروحي قوي، مليء بالطاقة الخام.")</f>
        <v>هذا ليس مجرد حدث رياضي، بل هو حدث ثقافي وروحي قوي، مليء بالطاقة الخام.</v>
      </c>
      <c r="M57" s="4"/>
      <c r="N57" s="4"/>
      <c r="O57" s="4"/>
      <c r="P57" s="4"/>
      <c r="Q57" s="4"/>
      <c r="R57" s="4"/>
      <c r="S57" s="4"/>
      <c r="T57" s="4"/>
      <c r="U57" s="4"/>
      <c r="V57" s="4"/>
      <c r="W57" s="4"/>
      <c r="X57" s="4"/>
      <c r="Y57" s="4"/>
      <c r="Z57" s="4"/>
      <c r="AA57" s="4"/>
      <c r="AB57" s="4"/>
      <c r="AC57" s="4"/>
      <c r="AD57" s="4"/>
      <c r="AE57" s="4"/>
      <c r="AF57" s="4"/>
      <c r="AG57" s="4"/>
    </row>
    <row r="58" spans="1:33" ht="22.5" customHeight="1" x14ac:dyDescent="0.25">
      <c r="A58" s="2"/>
      <c r="B58" s="2"/>
      <c r="C58" s="2"/>
      <c r="D58" s="2"/>
      <c r="E58" s="2"/>
      <c r="F58" s="4"/>
      <c r="G58" s="4"/>
      <c r="H58" s="6" t="s">
        <v>92</v>
      </c>
      <c r="I58" s="4" t="str">
        <f ca="1">IFERROR(__xludf.DUMMYFUNCTION("GOOGLETRANSLATE(B58,""en"",""ar"")"),"الصورة بالأبيض والأسود، مما يوحي بأنها...")</f>
        <v>الصورة بالأبيض والأسود، مما يوحي بأنها...</v>
      </c>
      <c r="J58" s="4" t="str">
        <f ca="1">IFERROR(__xludf.DUMMYFUNCTION("GOOGLETRANSLATE(C58,""en"",""ar"")"),"أ) صورة حديثة مع فلتر، ب) وثيقة تاريخية لحفل تقليدي، ج) لقطة من فيلم، د) صورة ليلية")</f>
        <v>أ) صورة حديثة مع فلتر، ب) وثيقة تاريخية لحفل تقليدي، ج) لقطة من فيلم، د) صورة ليلية</v>
      </c>
      <c r="K58" s="4" t="str">
        <f ca="1">IFERROR(__xludf.DUMMYFUNCTION("GOOGLETRANSLATE(D58,""en"",""ar"")"),"ب) وثيقة تاريخية لحفل تقليدي")</f>
        <v>ب) وثيقة تاريخية لحفل تقليدي</v>
      </c>
      <c r="L58" s="4" t="str">
        <f ca="1">IFERROR(__xludf.DUMMYFUNCTION("GOOGLETRANSLATE(E58,""en"",""ar"")"),"تُعد هذه الصورة سجلاً إثنوغرافياً قيماً لمصارعة النوبة في سياقها الاحتفالي الكامل من منتصف القرن العشرين.")</f>
        <v>تُعد هذه الصورة سجلاً إثنوغرافياً قيماً لمصارعة النوبة في سياقها الاحتفالي الكامل من منتصف القرن العشرين.</v>
      </c>
      <c r="M58" s="4"/>
      <c r="N58" s="4"/>
      <c r="O58" s="4"/>
      <c r="P58" s="4"/>
      <c r="Q58" s="4"/>
      <c r="R58" s="4"/>
      <c r="S58" s="4"/>
      <c r="T58" s="4"/>
      <c r="U58" s="4"/>
      <c r="V58" s="4"/>
      <c r="W58" s="4"/>
      <c r="X58" s="4"/>
      <c r="Y58" s="4"/>
      <c r="Z58" s="4"/>
      <c r="AA58" s="4"/>
      <c r="AB58" s="4"/>
      <c r="AC58" s="4"/>
      <c r="AD58" s="4"/>
      <c r="AE58" s="4"/>
      <c r="AF58" s="4"/>
      <c r="AG58" s="4"/>
    </row>
    <row r="59" spans="1:33" ht="22.5" customHeight="1" x14ac:dyDescent="0.25">
      <c r="A59" s="2"/>
      <c r="B59" s="2"/>
      <c r="C59" s="2"/>
      <c r="D59" s="2"/>
      <c r="E59" s="2"/>
      <c r="F59" s="4"/>
      <c r="G59" s="4"/>
      <c r="H59" s="7" t="s">
        <v>92</v>
      </c>
      <c r="I59" s="4" t="str">
        <f ca="1">IFERROR(__xludf.DUMMYFUNCTION("GOOGLETRANSLATE(B59,""en"",""ar"")"),"تؤكد هذه الصورة أن مصارعة النوبة ليست مجرد رياضة، بل هي أيضاً...")</f>
        <v>تؤكد هذه الصورة أن مصارعة النوبة ليست مجرد رياضة، بل هي أيضاً...</v>
      </c>
      <c r="J59" s="4" t="str">
        <f ca="1">IFERROR(__xludf.DUMMYFUNCTION("GOOGLETRANSLATE(C59,""en"",""ar"")"),"أ) شكل من أشكال التجارة، ب) طقس معقد، ج) طريقة لتسوية النزاعات القانونية، د) اختراع حديث")</f>
        <v>أ) شكل من أشكال التجارة، ب) طقس معقد، ج) طريقة لتسوية النزاعات القانونية، د) اختراع حديث</v>
      </c>
      <c r="K59" s="4" t="str">
        <f ca="1">IFERROR(__xludf.DUMMYFUNCTION("GOOGLETRANSLATE(D59,""en"",""ar"")"),"ب) طقوس معقدة")</f>
        <v>ب) طقوس معقدة</v>
      </c>
      <c r="L59" s="4" t="str">
        <f ca="1">IFERROR(__xludf.DUMMYFUNCTION("GOOGLETRANSLATE(E59,""en"",""ar"")"),"تُظهر الأزياء المتقنة وحضور كبار السن وهم يؤدون الطقوس أن هناك طبقة عميقة من الطقوس والاحتفالات المتضمنة.")</f>
        <v>تُظهر الأزياء المتقنة وحضور كبار السن وهم يؤدون الطقوس أن هناك طبقة عميقة من الطقوس والاحتفالات المتضمنة.</v>
      </c>
      <c r="M59" s="4"/>
      <c r="N59" s="4"/>
      <c r="O59" s="4"/>
      <c r="P59" s="4"/>
      <c r="Q59" s="4"/>
      <c r="R59" s="4"/>
      <c r="S59" s="4"/>
      <c r="T59" s="4"/>
      <c r="U59" s="4"/>
      <c r="V59" s="4"/>
      <c r="W59" s="4"/>
      <c r="X59" s="4"/>
      <c r="Y59" s="4"/>
      <c r="Z59" s="4"/>
      <c r="AA59" s="4"/>
      <c r="AB59" s="4"/>
      <c r="AC59" s="4"/>
      <c r="AD59" s="4"/>
      <c r="AE59" s="4"/>
      <c r="AF59" s="4"/>
      <c r="AG59" s="4"/>
    </row>
    <row r="60" spans="1:33" ht="22.5" customHeight="1" x14ac:dyDescent="0.25">
      <c r="A60" s="2"/>
      <c r="B60" s="2"/>
      <c r="C60" s="2"/>
      <c r="D60" s="2"/>
      <c r="E60" s="2"/>
      <c r="F60" s="4"/>
      <c r="G60" s="4"/>
      <c r="H60" s="6" t="s">
        <v>92</v>
      </c>
      <c r="I60" s="4" t="str">
        <f ca="1">IFERROR(__xludf.DUMMYFUNCTION("GOOGLETRANSLATE(B60,""en"",""ar"")"),"الأشياء التي يرتديها المصارعون على كواحلهم هي...")</f>
        <v>الأشياء التي يرتديها المصارعون على كواحلهم هي...</v>
      </c>
      <c r="J60" s="4" t="str">
        <f ca="1">IFERROR(__xludf.DUMMYFUNCTION("GOOGLETRANSLATE(C60,""en"",""ar"")"),"أ) دعامات رياضية حديثة، ب) خلاخيل مزخرفة بالريش أو الفرو، ج) أوزان للتدريب، د) أجهزة تتبع إلكترونية")</f>
        <v>أ) دعامات رياضية حديثة، ب) خلاخيل مزخرفة بالريش أو الفرو، ج) أوزان للتدريب، د) أجهزة تتبع إلكترونية</v>
      </c>
      <c r="K60" s="4" t="str">
        <f ca="1">IFERROR(__xludf.DUMMYFUNCTION("GOOGLETRANSLATE(D60,""en"",""ar"")"),"ب) خلخال مزخرف بالريش أو الفرو")</f>
        <v>ب) خلخال مزخرف بالريش أو الفرو</v>
      </c>
      <c r="L60" s="4" t="str">
        <f ca="1">IFERROR(__xludf.DUMMYFUNCTION("GOOGLETRANSLATE(E60,""en"",""ar"")"),"هذه جزء من الزي الاحتفالي التقليدي للمباراة.")</f>
        <v>هذه جزء من الزي الاحتفالي التقليدي للمباراة.</v>
      </c>
      <c r="M60" s="4"/>
      <c r="N60" s="4"/>
      <c r="O60" s="4"/>
      <c r="P60" s="4"/>
      <c r="Q60" s="4"/>
      <c r="R60" s="4"/>
      <c r="S60" s="4"/>
      <c r="T60" s="4"/>
      <c r="U60" s="4"/>
      <c r="V60" s="4"/>
      <c r="W60" s="4"/>
      <c r="X60" s="4"/>
      <c r="Y60" s="4"/>
      <c r="Z60" s="4"/>
      <c r="AA60" s="4"/>
      <c r="AB60" s="4"/>
      <c r="AC60" s="4"/>
      <c r="AD60" s="4"/>
      <c r="AE60" s="4"/>
      <c r="AF60" s="4"/>
      <c r="AG60" s="4"/>
    </row>
    <row r="61" spans="1:33" ht="22.5" customHeight="1" x14ac:dyDescent="0.25">
      <c r="A61" s="2"/>
      <c r="B61" s="2"/>
      <c r="C61" s="2"/>
      <c r="D61" s="2"/>
      <c r="E61" s="2"/>
      <c r="F61" s="4"/>
      <c r="G61" s="4"/>
      <c r="H61" s="7" t="s">
        <v>92</v>
      </c>
      <c r="I61" s="4" t="str">
        <f ca="1">IFERROR(__xludf.DUMMYFUNCTION("GOOGLETRANSLATE(B61,""en"",""ar"")"),"يُضفي الهواء الضبابي والمغبر مزيداً من الجمال على الصورة...")</f>
        <v>يُضفي الهواء الضبابي والمغبر مزيداً من الجمال على الصورة...</v>
      </c>
      <c r="J61" s="4" t="str">
        <f ca="1">IFERROR(__xludf.DUMMYFUNCTION("GOOGLETRANSLATE(C61,""en"",""ar"")"),"أ) الشعور بالنظام والنظافة، ب) جمالية عصرية، ج) شعور بالخلود والروحانية، د) الشعور بالتواجد في مكان مغلق")</f>
        <v>أ) الشعور بالنظام والنظافة، ب) جمالية عصرية، ج) شعور بالخلود والروحانية، د) الشعور بالتواجد في مكان مغلق</v>
      </c>
      <c r="K61" s="4" t="str">
        <f ca="1">IFERROR(__xludf.DUMMYFUNCTION("GOOGLETRANSLATE(D61,""en"",""ar"")"),"ج) شعور خالد وغير مألوف")</f>
        <v>ج) شعور خالد وغير مألوف</v>
      </c>
      <c r="L61" s="4" t="str">
        <f ca="1">IFERROR(__xludf.DUMMYFUNCTION("GOOGLETRANSLATE(E61,""en"",""ar"")"),"يساهم الضباب الجوي في إضفاء طابع قوي، يكاد يكون أسطورياً، على المشهد.")</f>
        <v>يساهم الضباب الجوي في إضفاء طابع قوي، يكاد يكون أسطورياً، على المشهد.</v>
      </c>
      <c r="M61" s="4"/>
      <c r="N61" s="4"/>
      <c r="O61" s="4"/>
      <c r="P61" s="4"/>
      <c r="Q61" s="4"/>
      <c r="R61" s="4"/>
      <c r="S61" s="4"/>
      <c r="T61" s="4"/>
      <c r="U61" s="4"/>
      <c r="V61" s="4"/>
      <c r="W61" s="4"/>
      <c r="X61" s="4"/>
      <c r="Y61" s="4"/>
      <c r="Z61" s="4"/>
      <c r="AA61" s="4"/>
      <c r="AB61" s="4"/>
      <c r="AC61" s="4"/>
      <c r="AD61" s="4"/>
      <c r="AE61" s="4"/>
      <c r="AF61" s="4"/>
      <c r="AG61" s="4"/>
    </row>
    <row r="62" spans="1:33" ht="22.5" customHeight="1" x14ac:dyDescent="0.25">
      <c r="A62" s="2"/>
      <c r="B62" s="2"/>
      <c r="C62" s="2"/>
      <c r="D62" s="2"/>
      <c r="E62" s="2"/>
      <c r="F62" s="4"/>
      <c r="G62" s="4"/>
      <c r="H62" s="6" t="s">
        <v>93</v>
      </c>
      <c r="I62" s="4" t="str">
        <f ca="1">IFERROR(__xludf.DUMMYFUNCTION("GOOGLETRANSLATE(B62,""en"",""ar"")"),"ما هو الفن القتالي السوداني الذي تُظهره هذه الصورة التاريخية بالأبيض والأسود؟")</f>
        <v>ما هو الفن القتالي السوداني الذي تُظهره هذه الصورة التاريخية بالأبيض والأسود؟</v>
      </c>
      <c r="J62" s="4" t="str">
        <f ca="1">IFERROR(__xludf.DUMMYFUNCTION("GOOGLETRANSLATE(C62,""en"",""ar"")"),"أ) التحطب، ب) مصارعة النوبة، ج) القتال بالعصي، د) نوع من أنواع الملاكمة")</f>
        <v>أ) التحطب، ب) مصارعة النوبة، ج) القتال بالعصي، د) نوع من أنواع الملاكمة</v>
      </c>
      <c r="K62" s="4" t="str">
        <f ca="1">IFERROR(__xludf.DUMMYFUNCTION("GOOGLETRANSLATE(D62,""en"",""ar"")"),"ب) مصارعة النوبة")</f>
        <v>ب) مصارعة النوبة</v>
      </c>
      <c r="L62" s="4" t="str">
        <f ca="1">IFERROR(__xludf.DUMMYFUNCTION("GOOGLETRANSLATE(E62,""en"",""ar"")"),"الرجال الأربعة في المنتصف يتصارعون ويتخذون وضعيات المصارعة، دون استخدام العصي. هذه صورة كلاسيكية أخرى لمصارعة النوبة.")</f>
        <v>الرجال الأربعة في المنتصف يتصارعون ويتخذون وضعيات المصارعة، دون استخدام العصي. هذه صورة كلاسيكية أخرى لمصارعة النوبة.</v>
      </c>
      <c r="M62" s="4"/>
      <c r="N62" s="4"/>
      <c r="O62" s="4"/>
      <c r="P62" s="4"/>
      <c r="Q62" s="4"/>
      <c r="R62" s="4"/>
      <c r="S62" s="4"/>
      <c r="T62" s="4"/>
      <c r="U62" s="4"/>
      <c r="V62" s="4"/>
      <c r="W62" s="4"/>
      <c r="X62" s="4"/>
      <c r="Y62" s="4"/>
      <c r="Z62" s="4"/>
      <c r="AA62" s="4"/>
      <c r="AB62" s="4"/>
      <c r="AC62" s="4"/>
      <c r="AD62" s="4"/>
      <c r="AE62" s="4"/>
      <c r="AF62" s="4"/>
      <c r="AG62" s="4"/>
    </row>
    <row r="63" spans="1:33" ht="22.5" customHeight="1" x14ac:dyDescent="0.25">
      <c r="A63" s="2"/>
      <c r="B63" s="2"/>
      <c r="C63" s="2"/>
      <c r="D63" s="2"/>
      <c r="E63" s="2"/>
      <c r="F63" s="4"/>
      <c r="G63" s="4"/>
      <c r="H63" s="7" t="s">
        <v>93</v>
      </c>
      <c r="I63" s="4" t="str">
        <f ca="1">IFERROR(__xludf.DUMMYFUNCTION("GOOGLETRANSLATE(B63,""en"",""ar"")"),"كم عدد المشاركين النشطين الموجودين في مركز الدائرة؟")</f>
        <v>كم عدد المشاركين النشطين الموجودين في مركز الدائرة؟</v>
      </c>
      <c r="J63" s="4" t="str">
        <f ca="1">IFERROR(__xludf.DUMMYFUNCTION("GOOGLETRANSLATE(C63,""en"",""ar"")"),"أ) واحد، ب) اثنان، ج) ثلاثة، د) أربعة")</f>
        <v>أ) واحد، ب) اثنان، ج) ثلاثة، د) أربعة</v>
      </c>
      <c r="K63" s="4" t="str">
        <f ca="1">IFERROR(__xludf.DUMMYFUNCTION("GOOGLETRANSLATE(D63,""en"",""ar"")"),"د) أربعة")</f>
        <v>د) أربعة</v>
      </c>
      <c r="L63" s="4" t="str">
        <f ca="1">IFERROR(__xludf.DUMMYFUNCTION("GOOGLETRANSLATE(E63,""en"",""ar"")"),"يبدو أن هناك زوجين من المصارعين يتنافسان في نفس الحلبة في وقت واحد.")</f>
        <v>يبدو أن هناك زوجين من المصارعين يتنافسان في نفس الحلبة في وقت واحد.</v>
      </c>
      <c r="M63" s="4"/>
      <c r="N63" s="4"/>
      <c r="O63" s="4"/>
      <c r="P63" s="4"/>
      <c r="Q63" s="4"/>
      <c r="R63" s="4"/>
      <c r="S63" s="4"/>
      <c r="T63" s="4"/>
      <c r="U63" s="4"/>
      <c r="V63" s="4"/>
      <c r="W63" s="4"/>
      <c r="X63" s="4"/>
      <c r="Y63" s="4"/>
      <c r="Z63" s="4"/>
      <c r="AA63" s="4"/>
      <c r="AB63" s="4"/>
      <c r="AC63" s="4"/>
      <c r="AD63" s="4"/>
      <c r="AE63" s="4"/>
      <c r="AF63" s="4"/>
      <c r="AG63" s="4"/>
    </row>
    <row r="64" spans="1:33" ht="22.5" customHeight="1" x14ac:dyDescent="0.25">
      <c r="A64" s="2"/>
      <c r="B64" s="2"/>
      <c r="C64" s="2"/>
      <c r="D64" s="2"/>
      <c r="E64" s="2"/>
      <c r="F64" s="4"/>
      <c r="G64" s="4"/>
      <c r="H64" s="6" t="s">
        <v>93</v>
      </c>
      <c r="I64" s="4" t="str">
        <f ca="1">IFERROR(__xludf.DUMMYFUNCTION("GOOGLETRANSLATE(B64,""en"",""ar"")"),"ما هو مكان انعقاد هذا الحدث؟")</f>
        <v>ما هو مكان انعقاد هذا الحدث؟</v>
      </c>
      <c r="J64" s="4" t="str">
        <f ca="1">IFERROR(__xludf.DUMMYFUNCTION("GOOGLETRANSLATE(C64,""en"",""ar"")"),"أ) ملعب حديث مُسيّج، ب) ساحة قرية تقليدية محاطة بالسكان، ج) صالة رياضية داخلية، د) غابة كثيفة")</f>
        <v>أ) ملعب حديث مُسيّج، ب) ساحة قرية تقليدية محاطة بالسكان، ج) صالة رياضية داخلية، د) غابة كثيفة</v>
      </c>
      <c r="K64" s="4" t="str">
        <f ca="1">IFERROR(__xludf.DUMMYFUNCTION("GOOGLETRANSLATE(D64,""en"",""ar"")"),"ب) ساحة قرية تقليدية محاطة بالمجتمع")</f>
        <v>ب) ساحة قرية تقليدية محاطة بالمجتمع</v>
      </c>
      <c r="L64" s="4" t="str">
        <f ca="1">IFERROR(__xludf.DUMMYFUNCTION("GOOGLETRANSLATE(E64,""en"",""ar"")"),"يتجمع المتفرجون حول رقعة أرض مفتوحة، مع وجود أكواخ تقليدية في الخلفية، مما يدل على حدث مجتمعي.")</f>
        <v>يتجمع المتفرجون حول رقعة أرض مفتوحة، مع وجود أكواخ تقليدية في الخلفية، مما يدل على حدث مجتمعي.</v>
      </c>
      <c r="M64" s="4"/>
      <c r="N64" s="4"/>
      <c r="O64" s="4"/>
      <c r="P64" s="4"/>
      <c r="Q64" s="4"/>
      <c r="R64" s="4"/>
      <c r="S64" s="4"/>
      <c r="T64" s="4"/>
      <c r="U64" s="4"/>
      <c r="V64" s="4"/>
      <c r="W64" s="4"/>
      <c r="X64" s="4"/>
      <c r="Y64" s="4"/>
      <c r="Z64" s="4"/>
      <c r="AA64" s="4"/>
      <c r="AB64" s="4"/>
      <c r="AC64" s="4"/>
      <c r="AD64" s="4"/>
      <c r="AE64" s="4"/>
      <c r="AF64" s="4"/>
      <c r="AG64" s="4"/>
    </row>
    <row r="65" spans="1:33" ht="22.5" customHeight="1" x14ac:dyDescent="0.25">
      <c r="A65" s="2"/>
      <c r="B65" s="2"/>
      <c r="C65" s="2"/>
      <c r="D65" s="2"/>
      <c r="E65" s="2"/>
      <c r="F65" s="4"/>
      <c r="G65" s="4"/>
      <c r="H65" s="7" t="s">
        <v>93</v>
      </c>
      <c r="I65" s="4" t="str">
        <f ca="1">IFERROR(__xludf.DUMMYFUNCTION("GOOGLETRANSLATE(B65,""en"",""ar"")"),"ما نوع الملابس التي يرتديها المصارعون؟")</f>
        <v>ما نوع الملابس التي يرتديها المصارعون؟</v>
      </c>
      <c r="J65" s="4" t="str">
        <f ca="1">IFERROR(__xludf.DUMMYFUNCTION("GOOGLETRANSLATE(C65,""en"",""ar"")"),"أ) أردية ثقيلة، ب) زي رياضي حديث، ج) سراويل قصيرة بسيطة أو مآزر، بعضها مزين بزخارف على الساق، د) لا شيء على الإطلاق")</f>
        <v>أ) أردية ثقيلة، ب) زي رياضي حديث، ج) سراويل قصيرة بسيطة أو مآزر، بعضها مزين بزخارف على الساق، د) لا شيء على الإطلاق</v>
      </c>
      <c r="K65" s="4" t="str">
        <f ca="1">IFERROR(__xludf.DUMMYFUNCTION("GOOGLETRANSLATE(D65,""en"",""ar"")"),"ج) سراويل قصيرة بسيطة أو مآزر، بعضها مزين بزخارف على الساقين")</f>
        <v>ج) سراويل قصيرة بسيطة أو مآزر، بعضها مزين بزخارف على الساقين</v>
      </c>
      <c r="L65" s="4" t="str">
        <f ca="1">IFERROR(__xludf.DUMMYFUNCTION("GOOGLETRANSLATE(E65,""en"",""ar"")"),"ملابسهم بسيطة وعملية للمصارعة، ويرتدي بعضهم أربطة الساق التقليدية.")</f>
        <v>ملابسهم بسيطة وعملية للمصارعة، ويرتدي بعضهم أربطة الساق التقليدية.</v>
      </c>
      <c r="M65" s="4"/>
      <c r="N65" s="4"/>
      <c r="O65" s="4"/>
      <c r="P65" s="4"/>
      <c r="Q65" s="4"/>
      <c r="R65" s="4"/>
      <c r="S65" s="4"/>
      <c r="T65" s="4"/>
      <c r="U65" s="4"/>
      <c r="V65" s="4"/>
      <c r="W65" s="4"/>
      <c r="X65" s="4"/>
      <c r="Y65" s="4"/>
      <c r="Z65" s="4"/>
      <c r="AA65" s="4"/>
      <c r="AB65" s="4"/>
      <c r="AC65" s="4"/>
      <c r="AD65" s="4"/>
      <c r="AE65" s="4"/>
      <c r="AF65" s="4"/>
      <c r="AG65" s="4"/>
    </row>
    <row r="66" spans="1:33" ht="22.5" customHeight="1" x14ac:dyDescent="0.25">
      <c r="A66" s="2"/>
      <c r="B66" s="2"/>
      <c r="C66" s="2"/>
      <c r="D66" s="2"/>
      <c r="E66" s="2"/>
      <c r="F66" s="4"/>
      <c r="G66" s="4"/>
      <c r="H66" s="6" t="s">
        <v>93</v>
      </c>
      <c r="I66" s="4" t="str">
        <f ca="1">IFERROR(__xludf.DUMMYFUNCTION("GOOGLETRANSLATE(B66,""en"",""ar"")"),"المصارعان على اليسار هما...")</f>
        <v>المصارعان على اليسار هما...</v>
      </c>
      <c r="J66" s="4" t="str">
        <f ca="1">IFERROR(__xludf.DUMMYFUNCTION("GOOGLETRANSLATE(C66,""en"",""ar"")"),"أ) المصافحة، ب) في اشتباك قوي ومنخفض، ج) أداء رقصة، د) الراحة")</f>
        <v>أ) المصافحة، ب) في اشتباك قوي ومنخفض، ج) أداء رقصة، د) الراحة</v>
      </c>
      <c r="K66" s="4" t="str">
        <f ca="1">IFERROR(__xludf.DUMMYFUNCTION("GOOGLETRANSLATE(D66,""en"",""ar"")"),"ب) في اشتباك منخفض وقوي")</f>
        <v>ب) في اشتباك منخفض وقوي</v>
      </c>
      <c r="L66" s="4" t="str">
        <f ca="1">IFERROR(__xludf.DUMMYFUNCTION("GOOGLETRANSLATE(E66,""en"",""ar"")"),"ينحنيان ويتشابكان في عناق، ويحاول كل منهما إلقاء الآخر.")</f>
        <v>ينحنيان ويتشابكان في عناق، ويحاول كل منهما إلقاء الآخر.</v>
      </c>
      <c r="M66" s="4"/>
      <c r="N66" s="4"/>
      <c r="O66" s="4"/>
      <c r="P66" s="4"/>
      <c r="Q66" s="4"/>
      <c r="R66" s="4"/>
      <c r="S66" s="4"/>
      <c r="T66" s="4"/>
      <c r="U66" s="4"/>
      <c r="V66" s="4"/>
      <c r="W66" s="4"/>
      <c r="X66" s="4"/>
      <c r="Y66" s="4"/>
      <c r="Z66" s="4"/>
      <c r="AA66" s="4"/>
      <c r="AB66" s="4"/>
      <c r="AC66" s="4"/>
      <c r="AD66" s="4"/>
      <c r="AE66" s="4"/>
      <c r="AF66" s="4"/>
      <c r="AG66" s="4"/>
    </row>
    <row r="67" spans="1:33" ht="22.5" customHeight="1" x14ac:dyDescent="0.25">
      <c r="A67" s="2"/>
      <c r="B67" s="2"/>
      <c r="C67" s="2"/>
      <c r="D67" s="2"/>
      <c r="E67" s="2"/>
      <c r="F67" s="4"/>
      <c r="G67" s="4"/>
      <c r="H67" s="7" t="s">
        <v>93</v>
      </c>
      <c r="I67" s="4" t="str">
        <f ca="1">IFERROR(__xludf.DUMMYFUNCTION("GOOGLETRANSLATE(B67,""en"",""ar"")"),"ماذا يرمز إليه هذا الحشد الكبير والكثيف؟")</f>
        <v>ماذا يرمز إليه هذا الحشد الكبير والكثيف؟</v>
      </c>
      <c r="J67" s="4" t="str">
        <f ca="1">IFERROR(__xludf.DUMMYFUNCTION("GOOGLETRANSLATE(C67,""en"",""ar"")"),"أ) هذه الرياضة ليست شائعة جدًا، ب) مباراة المصارعة حدث اجتماعي رئيسي للمجتمع، ج) الناس ينتظرون بدء حدث آخر، د) الصورة لسوق، وليست لمباراة مصارعة")</f>
        <v>أ) هذه الرياضة ليست شائعة جدًا، ب) مباراة المصارعة حدث اجتماعي رئيسي للمجتمع، ج) الناس ينتظرون بدء حدث آخر، د) الصورة لسوق، وليست لمباراة مصارعة</v>
      </c>
      <c r="K67" s="4" t="str">
        <f ca="1">IFERROR(__xludf.DUMMYFUNCTION("GOOGLETRANSLATE(D67,""en"",""ar"")"),"ب) تُعتبر مباراة المصارعة حدثًا اجتماعيًا رئيسيًا للمجتمع.")</f>
        <v>ب) تُعتبر مباراة المصارعة حدثًا اجتماعيًا رئيسيًا للمجتمع.</v>
      </c>
      <c r="L67" s="4" t="str">
        <f ca="1">IFERROR(__xludf.DUMMYFUNCTION("GOOGLETRANSLATE(E67,""en"",""ar"")"),"إن حضور المجتمع بأكمله يدل على الأهمية المحورية للمصارعة في حياتهم الاجتماعية.")</f>
        <v>إن حضور المجتمع بأكمله يدل على الأهمية المحورية للمصارعة في حياتهم الاجتماعية.</v>
      </c>
      <c r="M67" s="4"/>
      <c r="N67" s="4"/>
      <c r="O67" s="4"/>
      <c r="P67" s="4"/>
      <c r="Q67" s="4"/>
      <c r="R67" s="4"/>
      <c r="S67" s="4"/>
      <c r="T67" s="4"/>
      <c r="U67" s="4"/>
      <c r="V67" s="4"/>
      <c r="W67" s="4"/>
      <c r="X67" s="4"/>
      <c r="Y67" s="4"/>
      <c r="Z67" s="4"/>
      <c r="AA67" s="4"/>
      <c r="AB67" s="4"/>
      <c r="AC67" s="4"/>
      <c r="AD67" s="4"/>
      <c r="AE67" s="4"/>
      <c r="AF67" s="4"/>
      <c r="AG67" s="4"/>
    </row>
    <row r="68" spans="1:33" ht="22.5" customHeight="1" x14ac:dyDescent="0.25">
      <c r="A68" s="2"/>
      <c r="B68" s="2"/>
      <c r="C68" s="2"/>
      <c r="D68" s="2"/>
      <c r="E68" s="2"/>
      <c r="F68" s="4"/>
      <c r="G68" s="4"/>
      <c r="H68" s="6" t="s">
        <v>93</v>
      </c>
      <c r="I68" s="4" t="str">
        <f ca="1">IFERROR(__xludf.DUMMYFUNCTION("GOOGLETRANSLATE(B68,""en"",""ar"")"),"في أي مرحلة من المباراة يقف الرجلان الموجودان على اليمين؟")</f>
        <v>في أي مرحلة من المباراة يقف الرجلان الموجودان على اليمين؟</v>
      </c>
      <c r="J68" s="4" t="str">
        <f ca="1">IFERROR(__xludf.DUMMYFUNCTION("GOOGLETRANSLATE(C68,""en"",""ar"")"),"أ) لقد انتهيا للتو من مباراتهما، ب) هما في وضعية اشتباك عنيف، ج) هما في المرحلة التمهيدية قبل الاشتباك، د) أحدهما يهنئ الآخر على الفوز")</f>
        <v>أ) لقد انتهيا للتو من مباراتهما، ب) هما في وضعية اشتباك عنيف، ج) هما في المرحلة التمهيدية قبل الاشتباك، د) أحدهما يهنئ الآخر على الفوز</v>
      </c>
      <c r="K68" s="4" t="str">
        <f ca="1">IFERROR(__xludf.DUMMYFUNCTION("GOOGLETRANSLATE(D68,""en"",""ar"")"),"ج) إنهم في المرحلة الأولية، مرحلة ما قبل الخطوبة")</f>
        <v>ج) إنهم في المرحلة الأولية، مرحلة ما قبل الخطوبة</v>
      </c>
      <c r="L68" s="4" t="str">
        <f ca="1">IFERROR(__xludf.DUMMYFUNCTION("GOOGLETRANSLATE(E68,""en"",""ar"")"),"إنهم يمسكون بأيدي بعضهم البعض/معاصمهم، وهي نقطة انطلاق شائعة في العديد من أشكال المصارعة التقليدية، والتي سيحاولون من خلالها الحصول على قبضة أفضل.")</f>
        <v>إنهم يمسكون بأيدي بعضهم البعض/معاصمهم، وهي نقطة انطلاق شائعة في العديد من أشكال المصارعة التقليدية، والتي سيحاولون من خلالها الحصول على قبضة أفضل.</v>
      </c>
      <c r="M68" s="4"/>
      <c r="N68" s="4"/>
      <c r="O68" s="4"/>
      <c r="P68" s="4"/>
      <c r="Q68" s="4"/>
      <c r="R68" s="4"/>
      <c r="S68" s="4"/>
      <c r="T68" s="4"/>
      <c r="U68" s="4"/>
      <c r="V68" s="4"/>
      <c r="W68" s="4"/>
      <c r="X68" s="4"/>
      <c r="Y68" s="4"/>
      <c r="Z68" s="4"/>
      <c r="AA68" s="4"/>
      <c r="AB68" s="4"/>
      <c r="AC68" s="4"/>
      <c r="AD68" s="4"/>
      <c r="AE68" s="4"/>
      <c r="AF68" s="4"/>
      <c r="AG68" s="4"/>
    </row>
    <row r="69" spans="1:33" ht="22.5" customHeight="1" x14ac:dyDescent="0.25">
      <c r="A69" s="2"/>
      <c r="B69" s="2"/>
      <c r="C69" s="2"/>
      <c r="D69" s="2"/>
      <c r="E69" s="2"/>
      <c r="F69" s="4"/>
      <c r="G69" s="4"/>
      <c r="H69" s="7" t="s">
        <v>93</v>
      </c>
      <c r="I69" s="4" t="str">
        <f ca="1">IFERROR(__xludf.DUMMYFUNCTION("GOOGLETRANSLATE(B69,""en"",""ar"")"),"هذه الصورة تجسد...")</f>
        <v>هذه الصورة تجسد...</v>
      </c>
      <c r="J69" s="4" t="str">
        <f ca="1">IFERROR(__xludf.DUMMYFUNCTION("GOOGLETRANSLATE(C69,""en"",""ar"")"),"أ) لحظة واحدة حاسمة، ب) نظرة شاملة لحدث مجتمعي واسع النطاق يتضمن أحداثًا متعددة في وقت واحد، ج) صورة شخصية هادئة ومُعدّة مسبقًا، د) الجانب التجاري للرياضة")</f>
        <v>أ) لحظة واحدة حاسمة، ب) نظرة شاملة لحدث مجتمعي واسع النطاق يتضمن أحداثًا متعددة في وقت واحد، ج) صورة شخصية هادئة ومُعدّة مسبقًا، د) الجانب التجاري للرياضة</v>
      </c>
      <c r="K69" s="4" t="str">
        <f ca="1">IFERROR(__xludf.DUMMYFUNCTION("GOOGLETRANSLATE(D69,""en"",""ar"")"),"ب) نظرة شاملة لحدث على مستوى المجتمع يتضمن أحداثًا متعددة تحدث في وقت واحد")</f>
        <v>ب) نظرة شاملة لحدث على مستوى المجتمع يتضمن أحداثًا متعددة تحدث في وقت واحد</v>
      </c>
      <c r="L69" s="4" t="str">
        <f ca="1">IFERROR(__xludf.DUMMYFUNCTION("GOOGLETRANSLATE(E69,""en"",""ar"")"),"تُظهر الصورة مباريات متعددة والمجتمع المحيط بها بأكمله، مما يعطي إحساسًا بالحدث ككل.")</f>
        <v>تُظهر الصورة مباريات متعددة والمجتمع المحيط بها بأكمله، مما يعطي إحساسًا بالحدث ككل.</v>
      </c>
      <c r="M69" s="4"/>
      <c r="N69" s="4"/>
      <c r="O69" s="4"/>
      <c r="P69" s="4"/>
      <c r="Q69" s="4"/>
      <c r="R69" s="4"/>
      <c r="S69" s="4"/>
      <c r="T69" s="4"/>
      <c r="U69" s="4"/>
      <c r="V69" s="4"/>
      <c r="W69" s="4"/>
      <c r="X69" s="4"/>
      <c r="Y69" s="4"/>
      <c r="Z69" s="4"/>
      <c r="AA69" s="4"/>
      <c r="AB69" s="4"/>
      <c r="AC69" s="4"/>
      <c r="AD69" s="4"/>
      <c r="AE69" s="4"/>
      <c r="AF69" s="4"/>
      <c r="AG69" s="4"/>
    </row>
    <row r="70" spans="1:33" ht="22.5" customHeight="1" x14ac:dyDescent="0.25">
      <c r="A70" s="2"/>
      <c r="B70" s="2"/>
      <c r="C70" s="2"/>
      <c r="D70" s="2"/>
      <c r="E70" s="2"/>
      <c r="F70" s="4"/>
      <c r="G70" s="4"/>
      <c r="H70" s="6" t="s">
        <v>93</v>
      </c>
      <c r="I70" s="4" t="str">
        <f ca="1">IFERROR(__xludf.DUMMYFUNCTION("GOOGLETRANSLATE(B70,""en"",""ar"")"),"يشير غياب الحكم في محيط المصارعين إلى...")</f>
        <v>يشير غياب الحكم في محيط المصارعين إلى...</v>
      </c>
      <c r="J70" s="4" t="str">
        <f ca="1">IFERROR(__xludf.DUMMYFUNCTION("GOOGLETRANSLATE(C70,""en"",""ar"")"),"أ) القواعد غير مهمة، ب) قد يُدير المباريات كبار السن من الجمهور أو قد تُدار ذاتيًا، ج) الحكم في استراحة، د) إنها معركة بلا قواعد")</f>
        <v>أ) القواعد غير مهمة، ب) قد يُدير المباريات كبار السن من الجمهور أو قد تُدار ذاتيًا، ج) الحكم في استراحة، د) إنها معركة بلا قواعد</v>
      </c>
      <c r="K70" s="4" t="str">
        <f ca="1">IFERROR(__xludf.DUMMYFUNCTION("GOOGLETRANSLATE(D70,""en"",""ar"")"),"ب) قد يُدير المباريات كبار السن من بين الجمهور أو قد تُدار ذاتيًا")</f>
        <v>ب) قد يُدير المباريات كبار السن من بين الجمهور أو قد تُدار ذاتيًا</v>
      </c>
      <c r="L70" s="4" t="str">
        <f ca="1">IFERROR(__xludf.DUMMYFUNCTION("GOOGLETRANSLATE(E70,""en"",""ar"")"),"في مباريات القرى التقليدية، يكون التحكيم في كثير من الأحيان أقل رسمية مما هو عليه في الملاعب الحديثة.")</f>
        <v>في مباريات القرى التقليدية، يكون التحكيم في كثير من الأحيان أقل رسمية مما هو عليه في الملاعب الحديثة.</v>
      </c>
      <c r="M70" s="4"/>
      <c r="N70" s="4"/>
      <c r="O70" s="4"/>
      <c r="P70" s="4"/>
      <c r="Q70" s="4"/>
      <c r="R70" s="4"/>
      <c r="S70" s="4"/>
      <c r="T70" s="4"/>
      <c r="U70" s="4"/>
      <c r="V70" s="4"/>
      <c r="W70" s="4"/>
      <c r="X70" s="4"/>
      <c r="Y70" s="4"/>
      <c r="Z70" s="4"/>
      <c r="AA70" s="4"/>
      <c r="AB70" s="4"/>
      <c r="AC70" s="4"/>
      <c r="AD70" s="4"/>
      <c r="AE70" s="4"/>
      <c r="AF70" s="4"/>
      <c r="AG70" s="4"/>
    </row>
    <row r="71" spans="1:33" ht="22.5" customHeight="1" x14ac:dyDescent="0.25">
      <c r="A71" s="2"/>
      <c r="B71" s="2"/>
      <c r="C71" s="2"/>
      <c r="D71" s="2"/>
      <c r="E71" s="2"/>
      <c r="F71" s="4"/>
      <c r="G71" s="4"/>
      <c r="H71" s="7" t="s">
        <v>93</v>
      </c>
      <c r="I71" s="4" t="str">
        <f ca="1">IFERROR(__xludf.DUMMYFUNCTION("GOOGLETRANSLATE(B71,""en"",""ar"")"),"تُعد هذه الصورة وثيقة تاريخية قيّمة لـ...")</f>
        <v>تُعد هذه الصورة وثيقة تاريخية قيّمة لـ...</v>
      </c>
      <c r="J71" s="4" t="str">
        <f ca="1">IFERROR(__xludf.DUMMYFUNCTION("GOOGLETRANSLATE(C71,""en"",""ar"")"),"أ) تحديث السودان، ب) الحياة الثقافية لشعب النوبة، ج) الممارسات الزراعية في المنطقة، د) النظام السياسي للسودان في القرن العشرين")</f>
        <v>أ) تحديث السودان، ب) الحياة الثقافية لشعب النوبة، ج) الممارسات الزراعية في المنطقة، د) النظام السياسي للسودان في القرن العشرين</v>
      </c>
      <c r="K71" s="4" t="str">
        <f ca="1">IFERROR(__xludf.DUMMYFUNCTION("GOOGLETRANSLATE(D71,""en"",""ar"")"),"ب) الحياة الثقافية لشعب النوبة")</f>
        <v>ب) الحياة الثقافية لشعب النوبة</v>
      </c>
      <c r="L71" s="4" t="str">
        <f ca="1">IFERROR(__xludf.DUMMYFUNCTION("GOOGLETRANSLATE(E71,""en"",""ar"")"),"إنها توفر لمحة قوية عن التقاليد الرياضية والاجتماعية التي تعتبر أساسية لهوية النوبة.")</f>
        <v>إنها توفر لمحة قوية عن التقاليد الرياضية والاجتماعية التي تعتبر أساسية لهوية النوبة.</v>
      </c>
      <c r="M71" s="4"/>
      <c r="N71" s="4"/>
      <c r="O71" s="4"/>
      <c r="P71" s="4"/>
      <c r="Q71" s="4"/>
      <c r="R71" s="4"/>
      <c r="S71" s="4"/>
      <c r="T71" s="4"/>
      <c r="U71" s="4"/>
      <c r="V71" s="4"/>
      <c r="W71" s="4"/>
      <c r="X71" s="4"/>
      <c r="Y71" s="4"/>
      <c r="Z71" s="4"/>
      <c r="AA71" s="4"/>
      <c r="AB71" s="4"/>
      <c r="AC71" s="4"/>
      <c r="AD71" s="4"/>
      <c r="AE71" s="4"/>
      <c r="AF71" s="4"/>
      <c r="AG71" s="4"/>
    </row>
    <row r="72" spans="1:33" ht="22.5" customHeight="1" x14ac:dyDescent="0.25">
      <c r="A72" s="2"/>
      <c r="B72" s="2"/>
      <c r="C72" s="2"/>
      <c r="D72" s="2"/>
      <c r="E72" s="2"/>
      <c r="F72" s="4"/>
      <c r="G72" s="4"/>
      <c r="H72" s="6" t="s">
        <v>94</v>
      </c>
      <c r="I72" s="4" t="str">
        <f ca="1">IFERROR(__xludf.DUMMYFUNCTION("GOOGLETRANSLATE(B72,""en"",""ar"")"),"ما هو الفن القتالي الذي يمارسه الرجل الموجود في المقدمة؟")</f>
        <v>ما هو الفن القتالي الذي يمارسه الرجل الموجود في المقدمة؟</v>
      </c>
      <c r="J72" s="4" t="str">
        <f ca="1">IFERROR(__xludf.DUMMYFUNCTION("GOOGLETRANSLATE(C72,""en"",""ar"")"),"أ) مصارعة النوبة، ب) قتال الزولو بالعصا، ج) التحطيب المصري، د) الكابويرا")</f>
        <v>أ) مصارعة النوبة، ب) قتال الزولو بالعصا، ج) التحطيب المصري، د) الكابويرا</v>
      </c>
      <c r="K72" s="4" t="str">
        <f ca="1">IFERROR(__xludf.DUMMYFUNCTION("GOOGLETRANSLATE(D72,""en"",""ar"")"),"ج) التحطب المصري")</f>
        <v>ج) التحطب المصري</v>
      </c>
      <c r="L72" s="4" t="str">
        <f ca="1">IFERROR(__xludf.DUMMYFUNCTION("GOOGLETRANSLATE(E72,""en"",""ar"")"),"إن زيه (الجلابية والعمامة) والعصا الطويلة (الآسا)، بالإضافة إلى المعبد القديم في الخلفية، كلها سمات مميزة لطهتيب.")</f>
        <v>إن زيه (الجلابية والعمامة) والعصا الطويلة (الآسا)، بالإضافة إلى المعبد القديم في الخلفية، كلها سمات مميزة لطهتيب.</v>
      </c>
      <c r="M72" s="4"/>
      <c r="N72" s="4"/>
      <c r="O72" s="4"/>
      <c r="P72" s="4"/>
      <c r="Q72" s="4"/>
      <c r="R72" s="4"/>
      <c r="S72" s="4"/>
      <c r="T72" s="4"/>
      <c r="U72" s="4"/>
      <c r="V72" s="4"/>
      <c r="W72" s="4"/>
      <c r="X72" s="4"/>
      <c r="Y72" s="4"/>
      <c r="Z72" s="4"/>
      <c r="AA72" s="4"/>
      <c r="AB72" s="4"/>
      <c r="AC72" s="4"/>
      <c r="AD72" s="4"/>
      <c r="AE72" s="4"/>
      <c r="AF72" s="4"/>
      <c r="AG72" s="4"/>
    </row>
    <row r="73" spans="1:33" ht="22.5" customHeight="1" x14ac:dyDescent="0.25">
      <c r="A73" s="2"/>
      <c r="B73" s="2"/>
      <c r="C73" s="2"/>
      <c r="D73" s="2"/>
      <c r="E73" s="2"/>
      <c r="F73" s="4"/>
      <c r="G73" s="4"/>
      <c r="H73" s="7" t="s">
        <v>94</v>
      </c>
      <c r="I73" s="4" t="str">
        <f ca="1">IFERROR(__xludf.DUMMYFUNCTION("GOOGLETRANSLATE(B73,""en"",""ar"")"),"ما هي وضعية الرجل؟")</f>
        <v>ما هي وضعية الرجل؟</v>
      </c>
      <c r="J73" s="4" t="str">
        <f ca="1">IFERROR(__xludf.DUMMYFUNCTION("GOOGLETRANSLATE(C73,""en"",""ar"")"),"أ) هو واقف ساكناً ويستريح، ب) هو في وضعية ديناميكية تشبه الرقص، رافعاً العصا عالياً، ج) هو جالس على الأرض، د) هو ينحني للجمهور")</f>
        <v>أ) هو واقف ساكناً ويستريح، ب) هو في وضعية ديناميكية تشبه الرقص، رافعاً العصا عالياً، ج) هو جالس على الأرض، د) هو ينحني للجمهور</v>
      </c>
      <c r="K73" s="4" t="str">
        <f ca="1">IFERROR(__xludf.DUMMYFUNCTION("GOOGLETRANSLATE(D73,""en"",""ar"")"),"ب) إنه في وضعية ديناميكية تشبه الرقص، ويرفع العصا عالياً")</f>
        <v>ب) إنه في وضعية ديناميكية تشبه الرقص، ويرفع العصا عالياً</v>
      </c>
      <c r="L73" s="4" t="str">
        <f ca="1">IFERROR(__xludf.DUMMYFUNCTION("GOOGLETRANSLATE(E73,""en"",""ar"")"),"هذه الوضعية هي وضعية قتالية تحضيرية وحركة تعبيرية تشبه الرقص.")</f>
        <v>هذه الوضعية هي وضعية قتالية تحضيرية وحركة تعبيرية تشبه الرقص.</v>
      </c>
      <c r="M73" s="4"/>
      <c r="N73" s="4"/>
      <c r="O73" s="4"/>
      <c r="P73" s="4"/>
      <c r="Q73" s="4"/>
      <c r="R73" s="4"/>
      <c r="S73" s="4"/>
      <c r="T73" s="4"/>
      <c r="U73" s="4"/>
      <c r="V73" s="4"/>
      <c r="W73" s="4"/>
      <c r="X73" s="4"/>
      <c r="Y73" s="4"/>
      <c r="Z73" s="4"/>
      <c r="AA73" s="4"/>
      <c r="AB73" s="4"/>
      <c r="AC73" s="4"/>
      <c r="AD73" s="4"/>
      <c r="AE73" s="4"/>
      <c r="AF73" s="4"/>
      <c r="AG73" s="4"/>
    </row>
    <row r="74" spans="1:33" ht="22.5" customHeight="1" x14ac:dyDescent="0.25">
      <c r="A74" s="2"/>
      <c r="B74" s="2"/>
      <c r="C74" s="2"/>
      <c r="D74" s="2"/>
      <c r="E74" s="2"/>
      <c r="F74" s="4"/>
      <c r="G74" s="4"/>
      <c r="H74" s="6" t="s">
        <v>94</v>
      </c>
      <c r="I74" s="4" t="str">
        <f ca="1">IFERROR(__xludf.DUMMYFUNCTION("GOOGLETRANSLATE(B74,""en"",""ar"")"),"ما هي خلفية هذا المشهد؟")</f>
        <v>ما هي خلفية هذا المشهد؟</v>
      </c>
      <c r="J74" s="4" t="str">
        <f ca="1">IFERROR(__xludf.DUMMYFUNCTION("GOOGLETRANSLATE(C74,""en"",""ar"")"),"أ) أهرامات الجيزة، ب) مدينة حديثة، ج) المعابد القديمة في الأقصر أو الكرنك، د) واحة صحراوية")</f>
        <v>أ) أهرامات الجيزة، ب) مدينة حديثة، ج) المعابد القديمة في الأقصر أو الكرنك، د) واحة صحراوية</v>
      </c>
      <c r="K74" s="4" t="str">
        <f ca="1">IFERROR(__xludf.DUMMYFUNCTION("GOOGLETRANSLATE(D74,""en"",""ar"")"),"ج) المعابد القديمة في الأقصر أو الكرنك")</f>
        <v>ج) المعابد القديمة في الأقصر أو الكرنك</v>
      </c>
      <c r="L74" s="4" t="str">
        <f ca="1">IFERROR(__xludf.DUMMYFUNCTION("GOOGLETRANSLATE(E74,""en"",""ar"")"),"تُعد الجدران والأعمدة الحجرية المنحوتة جزءاً من مجمعات المعابد القديمة الشهيرة في صعيد مصر.")</f>
        <v>تُعد الجدران والأعمدة الحجرية المنحوتة جزءاً من مجمعات المعابد القديمة الشهيرة في صعيد مصر.</v>
      </c>
      <c r="M74" s="4"/>
      <c r="N74" s="4"/>
      <c r="O74" s="4"/>
      <c r="P74" s="4"/>
      <c r="Q74" s="4"/>
      <c r="R74" s="4"/>
      <c r="S74" s="4"/>
      <c r="T74" s="4"/>
      <c r="U74" s="4"/>
      <c r="V74" s="4"/>
      <c r="W74" s="4"/>
      <c r="X74" s="4"/>
      <c r="Y74" s="4"/>
      <c r="Z74" s="4"/>
      <c r="AA74" s="4"/>
      <c r="AB74" s="4"/>
      <c r="AC74" s="4"/>
      <c r="AD74" s="4"/>
      <c r="AE74" s="4"/>
      <c r="AF74" s="4"/>
      <c r="AG74" s="4"/>
    </row>
    <row r="75" spans="1:33" ht="22.5" customHeight="1" x14ac:dyDescent="0.25">
      <c r="A75" s="2"/>
      <c r="B75" s="2"/>
      <c r="C75" s="2"/>
      <c r="D75" s="2"/>
      <c r="E75" s="2"/>
      <c r="F75" s="4"/>
      <c r="G75" s="4"/>
      <c r="H75" s="7" t="s">
        <v>94</v>
      </c>
      <c r="I75" s="4" t="str">
        <f ca="1">IFERROR(__xludf.DUMMYFUNCTION("GOOGLETRANSLATE(B75,""en"",""ar"")"),"ماذا يفعل الأشخاص الموجودون في الخلفية؟")</f>
        <v>ماذا يفعل الأشخاص الموجودون في الخلفية؟</v>
      </c>
      <c r="J75" s="4" t="str">
        <f ca="1">IFERROR(__xludf.DUMMYFUNCTION("GOOGLETRANSLATE(C75,""en"",""ar"")"),"أ) إنهم نائمون، ب) إنهم يراقبون الطبيب، ج) إنهم يمارسون الزراعة، د) إنهم يهربون")</f>
        <v>أ) إنهم نائمون، ب) إنهم يراقبون الطبيب، ج) إنهم يمارسون الزراعة، د) إنهم يهربون</v>
      </c>
      <c r="K75" s="4" t="str">
        <f ca="1">IFERROR(__xludf.DUMMYFUNCTION("GOOGLETRANSLATE(D75,""en"",""ar"")"),"ب) إنهم يراقبون الممارس")</f>
        <v>ب) إنهم يراقبون الممارس</v>
      </c>
      <c r="L75" s="4" t="str">
        <f ca="1">IFERROR(__xludf.DUMMYFUNCTION("GOOGLETRANSLATE(E75,""en"",""ar"")"),"تراقب مجموعة من السكان المحليين والسياح المظاهرة.")</f>
        <v>تراقب مجموعة من السكان المحليين والسياح المظاهرة.</v>
      </c>
      <c r="M75" s="4"/>
      <c r="N75" s="4"/>
      <c r="O75" s="4"/>
      <c r="P75" s="4"/>
      <c r="Q75" s="4"/>
      <c r="R75" s="4"/>
      <c r="S75" s="4"/>
      <c r="T75" s="4"/>
      <c r="U75" s="4"/>
      <c r="V75" s="4"/>
      <c r="W75" s="4"/>
      <c r="X75" s="4"/>
      <c r="Y75" s="4"/>
      <c r="Z75" s="4"/>
      <c r="AA75" s="4"/>
      <c r="AB75" s="4"/>
      <c r="AC75" s="4"/>
      <c r="AD75" s="4"/>
      <c r="AE75" s="4"/>
      <c r="AF75" s="4"/>
      <c r="AG75" s="4"/>
    </row>
    <row r="76" spans="1:33" ht="22.5" customHeight="1" x14ac:dyDescent="0.25">
      <c r="A76" s="2"/>
      <c r="B76" s="2"/>
      <c r="C76" s="2"/>
      <c r="D76" s="2"/>
      <c r="E76" s="2"/>
      <c r="F76" s="4"/>
      <c r="G76" s="4"/>
      <c r="H76" s="6" t="s">
        <v>94</v>
      </c>
      <c r="I76" s="4" t="str">
        <f ca="1">IFERROR(__xludf.DUMMYFUNCTION("GOOGLETRANSLATE(B76,""en"",""ar"")"),"عادةً ما تُصنع العصا الطويلة، أو ""آسا""، من...")</f>
        <v>عادةً ما تُصنع العصا الطويلة، أو "آسا"، من...</v>
      </c>
      <c r="J76" s="4" t="str">
        <f ca="1">IFERROR(__xludf.DUMMYFUNCTION("GOOGLETRANSLATE(C76,""en"",""ar"")"),"أ) معدن، ب) بلاستيك، ج) خيزران أو قصب، د) زجاج")</f>
        <v>أ) معدن، ب) بلاستيك، ج) خيزران أو قصب، د) زجاج</v>
      </c>
      <c r="K76" s="4" t="str">
        <f ca="1">IFERROR(__xludf.DUMMYFUNCTION("GOOGLETRANSLATE(D76,""en"",""ar"")"),"ج) الروطان أو الخيزران")</f>
        <v>ج) الروطان أو الخيزران</v>
      </c>
      <c r="L76" s="4" t="str">
        <f ca="1">IFERROR(__xludf.DUMMYFUNCTION("GOOGLETRANSLATE(E76,""en"",""ar"")"),"العصي مصنوعة من خشب قوي ولكنه مرن يمكنه تحمل تأثير ضرب عصا أخرى.")</f>
        <v>العصي مصنوعة من خشب قوي ولكنه مرن يمكنه تحمل تأثير ضرب عصا أخرى.</v>
      </c>
      <c r="M76" s="4"/>
      <c r="N76" s="4"/>
      <c r="O76" s="4"/>
      <c r="P76" s="4"/>
      <c r="Q76" s="4"/>
      <c r="R76" s="4"/>
      <c r="S76" s="4"/>
      <c r="T76" s="4"/>
      <c r="U76" s="4"/>
      <c r="V76" s="4"/>
      <c r="W76" s="4"/>
      <c r="X76" s="4"/>
      <c r="Y76" s="4"/>
      <c r="Z76" s="4"/>
      <c r="AA76" s="4"/>
      <c r="AB76" s="4"/>
      <c r="AC76" s="4"/>
      <c r="AD76" s="4"/>
      <c r="AE76" s="4"/>
      <c r="AF76" s="4"/>
      <c r="AG76" s="4"/>
    </row>
    <row r="77" spans="1:33" ht="22.5" customHeight="1" x14ac:dyDescent="0.25">
      <c r="A77" s="2"/>
      <c r="B77" s="2"/>
      <c r="C77" s="2"/>
      <c r="D77" s="2"/>
      <c r="E77" s="2"/>
      <c r="F77" s="4"/>
      <c r="G77" s="4"/>
      <c r="H77" s="7" t="s">
        <v>94</v>
      </c>
      <c r="I77" s="4" t="str">
        <f ca="1">IFERROR(__xludf.DUMMYFUNCTION("GOOGLETRANSLATE(B77,""en"",""ar"")"),"غالباً ما يتم أداء التحطيب على أنغام...")</f>
        <v>غالباً ما يتم أداء التحطيب على أنغام...</v>
      </c>
      <c r="J77" s="4" t="str">
        <f ca="1">IFERROR(__xludf.DUMMYFUNCTION("GOOGLETRANSLATE(C77,""en"",""ar"")"),"أ) الصمت، ب) موسيقى البوب ​​المسجلة، ج) الموسيقى الحية التقليدية، د) صوت الرياح")</f>
        <v>أ) الصمت، ب) موسيقى البوب ​​المسجلة، ج) الموسيقى الحية التقليدية، د) صوت الرياح</v>
      </c>
      <c r="K77" s="4" t="str">
        <f ca="1">IFERROR(__xludf.DUMMYFUNCTION("GOOGLETRANSLATE(D77,""en"",""ar"")"),"ج) الموسيقى الحية التقليدية")</f>
        <v>ج) الموسيقى الحية التقليدية</v>
      </c>
      <c r="L77" s="4" t="str">
        <f ca="1">IFERROR(__xludf.DUMMYFUNCTION("GOOGLETRANSLATE(E77,""en"",""ar"")"),"تُصاحب العروض تقليدياً موسيقيون يعزفون على آلات مثل المزمار (المزمار) والطبول.")</f>
        <v>تُصاحب العروض تقليدياً موسيقيون يعزفون على آلات مثل المزمار (المزمار) والطبول.</v>
      </c>
      <c r="M77" s="4"/>
      <c r="N77" s="4"/>
      <c r="O77" s="4"/>
      <c r="P77" s="4"/>
      <c r="Q77" s="4"/>
      <c r="R77" s="4"/>
      <c r="S77" s="4"/>
      <c r="T77" s="4"/>
      <c r="U77" s="4"/>
      <c r="V77" s="4"/>
      <c r="W77" s="4"/>
      <c r="X77" s="4"/>
      <c r="Y77" s="4"/>
      <c r="Z77" s="4"/>
      <c r="AA77" s="4"/>
      <c r="AB77" s="4"/>
      <c r="AC77" s="4"/>
      <c r="AD77" s="4"/>
      <c r="AE77" s="4"/>
      <c r="AF77" s="4"/>
      <c r="AG77" s="4"/>
    </row>
    <row r="78" spans="1:33" ht="22.5" customHeight="1" x14ac:dyDescent="0.25">
      <c r="A78" s="2"/>
      <c r="B78" s="2"/>
      <c r="C78" s="2"/>
      <c r="D78" s="2"/>
      <c r="E78" s="2"/>
      <c r="F78" s="4"/>
      <c r="G78" s="4"/>
      <c r="H78" s="6" t="s">
        <v>94</v>
      </c>
      <c r="I78" s="4" t="str">
        <f ca="1">IFERROR(__xludf.DUMMYFUNCTION("GOOGLETRANSLATE(B78,""en"",""ar"")"),"إن لباس الممارس، الجلابية، مناسب تمامًا لـ...")</f>
        <v>إن لباس الممارس، الجلابية، مناسب تمامًا لـ...</v>
      </c>
      <c r="J78" s="4" t="str">
        <f ca="1">IFERROR(__xludf.DUMMYFUNCTION("GOOGLETRANSLATE(C78,""en"",""ar"")"),"أ) مناخ بارد ومثلج، ب) مناخ حار، لأنه خفيف ويسمح بتدوير الهواء، ج) السباحة، د) المنافسات الرياضية الحديثة")</f>
        <v>أ) مناخ بارد ومثلج، ب) مناخ حار، لأنه خفيف ويسمح بتدوير الهواء، ج) السباحة، د) المنافسات الرياضية الحديثة</v>
      </c>
      <c r="K78" s="4" t="str">
        <f ca="1">IFERROR(__xludf.DUMMYFUNCTION("GOOGLETRANSLATE(D78,""en"",""ar"")"),"ب) المناخ الحار، لأنه خفيف ويسمح بتدوير الهواء")</f>
        <v>ب) المناخ الحار، لأنه خفيف ويسمح بتدوير الهواء</v>
      </c>
      <c r="L78" s="4" t="str">
        <f ca="1">IFERROR(__xludf.DUMMYFUNCTION("GOOGLETRANSLATE(E78,""en"",""ar"")"),"الرداء التقليدي الفضفاض عملي بالنسبة للمناخ المصري.")</f>
        <v>الرداء التقليدي الفضفاض عملي بالنسبة للمناخ المصري.</v>
      </c>
      <c r="M78" s="4"/>
      <c r="N78" s="4"/>
      <c r="O78" s="4"/>
      <c r="P78" s="4"/>
      <c r="Q78" s="4"/>
      <c r="R78" s="4"/>
      <c r="S78" s="4"/>
      <c r="T78" s="4"/>
      <c r="U78" s="4"/>
      <c r="V78" s="4"/>
      <c r="W78" s="4"/>
      <c r="X78" s="4"/>
      <c r="Y78" s="4"/>
      <c r="Z78" s="4"/>
      <c r="AA78" s="4"/>
      <c r="AB78" s="4"/>
      <c r="AC78" s="4"/>
      <c r="AD78" s="4"/>
      <c r="AE78" s="4"/>
      <c r="AF78" s="4"/>
      <c r="AG78" s="4"/>
    </row>
    <row r="79" spans="1:33" ht="22.5" customHeight="1" x14ac:dyDescent="0.25">
      <c r="A79" s="2"/>
      <c r="B79" s="2"/>
      <c r="C79" s="2"/>
      <c r="D79" s="2"/>
      <c r="E79" s="2"/>
      <c r="F79" s="4"/>
      <c r="G79" s="4"/>
      <c r="H79" s="7" t="s">
        <v>94</v>
      </c>
      <c r="I79" s="4" t="str">
        <f ca="1">IFERROR(__xludf.DUMMYFUNCTION("GOOGLETRANSLATE(B79,""en"",""ar"")"),"يبدو أن هذا الحدث...")</f>
        <v>يبدو أن هذا الحدث...</v>
      </c>
      <c r="J79" s="4" t="str">
        <f ca="1">IFERROR(__xludf.DUMMYFUNCTION("GOOGLETRANSLATE(C79,""en"",""ar"")"),"أ) جلسة تدريب سرية، ب) شجار عنيف في الشارع، ج) عرض أو مظاهرة عامة، د) شعيرة دينية")</f>
        <v>أ) جلسة تدريب سرية، ب) شجار عنيف في الشارع، ج) عرض أو مظاهرة عامة، د) شعيرة دينية</v>
      </c>
      <c r="K79" s="4" t="str">
        <f ca="1">IFERROR(__xludf.DUMMYFUNCTION("GOOGLETRANSLATE(D79,""en"",""ar"")"),"ج) عرض أو استعراض عام")</f>
        <v>ج) عرض أو استعراض عام</v>
      </c>
      <c r="L79" s="4" t="str">
        <f ca="1">IFERROR(__xludf.DUMMYFUNCTION("GOOGLETRANSLATE(E79,""en"",""ar"")"),"يشير وجود جمهور جالس ومتفرجين عاديين إلى أن هذا عرض عام مخطط له.")</f>
        <v>يشير وجود جمهور جالس ومتفرجين عاديين إلى أن هذا عرض عام مخطط له.</v>
      </c>
      <c r="M79" s="4"/>
      <c r="N79" s="4"/>
      <c r="O79" s="4"/>
      <c r="P79" s="4"/>
      <c r="Q79" s="4"/>
      <c r="R79" s="4"/>
      <c r="S79" s="4"/>
      <c r="T79" s="4"/>
      <c r="U79" s="4"/>
      <c r="V79" s="4"/>
      <c r="W79" s="4"/>
      <c r="X79" s="4"/>
      <c r="Y79" s="4"/>
      <c r="Z79" s="4"/>
      <c r="AA79" s="4"/>
      <c r="AB79" s="4"/>
      <c r="AC79" s="4"/>
      <c r="AD79" s="4"/>
      <c r="AE79" s="4"/>
      <c r="AF79" s="4"/>
      <c r="AG79" s="4"/>
    </row>
    <row r="80" spans="1:33" ht="22.5" customHeight="1" x14ac:dyDescent="0.25">
      <c r="A80" s="2"/>
      <c r="B80" s="2"/>
      <c r="C80" s="2"/>
      <c r="D80" s="2"/>
      <c r="E80" s="2"/>
      <c r="F80" s="4"/>
      <c r="G80" s="4"/>
      <c r="H80" s="6" t="s">
        <v>94</v>
      </c>
      <c r="I80" s="4" t="str">
        <f ca="1">IFERROR(__xludf.DUMMYFUNCTION("GOOGLETRANSLATE(B80,""en"",""ar"")"),"تطور فن التحطب من...")</f>
        <v>تطور فن التحطب من...</v>
      </c>
      <c r="J80" s="4" t="str">
        <f ca="1">IFERROR(__xludf.DUMMYFUNCTION("GOOGLETRANSLATE(C80,""en"",""ar"")"),"أ) تدريب عسكري قديم، ب) نوع من الرقص الشعبي، ج) أداة يستخدمها المزارعون لرعي الحيوانات، د) جميع ما سبق")</f>
        <v>أ) تدريب عسكري قديم، ب) نوع من الرقص الشعبي، ج) أداة يستخدمها المزارعون لرعي الحيوانات، د) جميع ما سبق</v>
      </c>
      <c r="K80" s="4" t="str">
        <f ca="1">IFERROR(__xludf.DUMMYFUNCTION("GOOGLETRANSLATE(D80,""en"",""ar"")"),"د) جميع ما سبق")</f>
        <v>د) جميع ما سبق</v>
      </c>
      <c r="L80" s="4" t="str">
        <f ca="1">IFERROR(__xludf.DUMMYFUNCTION("GOOGLETRANSLATE(E80,""en"",""ar"")"),"للطهبت جذور في كل هذه المجالات؛ فقد كانت مهارة قتالية قديمة، ويتم أداؤها كرقصة، والعصا أداة متعددة الاستخدامات.")</f>
        <v>للطهبت جذور في كل هذه المجالات؛ فقد كانت مهارة قتالية قديمة، ويتم أداؤها كرقصة، والعصا أداة متعددة الاستخدامات.</v>
      </c>
      <c r="M80" s="4"/>
      <c r="N80" s="4"/>
      <c r="O80" s="4"/>
      <c r="P80" s="4"/>
      <c r="Q80" s="4"/>
      <c r="R80" s="4"/>
      <c r="S80" s="4"/>
      <c r="T80" s="4"/>
      <c r="U80" s="4"/>
      <c r="V80" s="4"/>
      <c r="W80" s="4"/>
      <c r="X80" s="4"/>
      <c r="Y80" s="4"/>
      <c r="Z80" s="4"/>
      <c r="AA80" s="4"/>
      <c r="AB80" s="4"/>
      <c r="AC80" s="4"/>
      <c r="AD80" s="4"/>
      <c r="AE80" s="4"/>
      <c r="AF80" s="4"/>
      <c r="AG80" s="4"/>
    </row>
    <row r="81" spans="1:33" ht="22.5" customHeight="1" x14ac:dyDescent="0.25">
      <c r="A81" s="2"/>
      <c r="B81" s="2"/>
      <c r="C81" s="2"/>
      <c r="D81" s="2"/>
      <c r="E81" s="2"/>
      <c r="F81" s="4"/>
      <c r="G81" s="4"/>
      <c r="H81" s="7" t="s">
        <v>94</v>
      </c>
      <c r="I81" s="4" t="str">
        <f ca="1">IFERROR(__xludf.DUMMYFUNCTION("GOOGLETRANSLATE(B81,""en"",""ar"")"),"يُظهر التركيز الشديد للممارس أن التحطب يتطلب...")</f>
        <v>يُظهر التركيز الشديد للممارس أن التحطب يتطلب...</v>
      </c>
      <c r="J81" s="4" t="str">
        <f ca="1">IFERROR(__xludf.DUMMYFUNCTION("GOOGLETRANSLATE(C81,""en"",""ar"")"),"أ) مهارة قليلة جدًا، ب) القوة البدنية فقط، ج) درجة عالية من التركيز والمهارة، د) صوت عالٍ")</f>
        <v>أ) مهارة قليلة جدًا، ب) القوة البدنية فقط، ج) درجة عالية من التركيز والمهارة، د) صوت عالٍ</v>
      </c>
      <c r="K81" s="4" t="str">
        <f ca="1">IFERROR(__xludf.DUMMYFUNCTION("GOOGLETRANSLATE(D81,""en"",""ar"")"),"ج) درجة عالية من التركيز والمهارة")</f>
        <v>ج) درجة عالية من التركيز والمهارة</v>
      </c>
      <c r="L81" s="4" t="str">
        <f ca="1">IFERROR(__xludf.DUMMYFUNCTION("GOOGLETRANSLATE(E81,""en"",""ar"")"),"على الرغم من خصائصها الشبيهة بالرقص، إلا أنها فن قتالي حقيقي يتطلب التركيز والدقة والتحكم.")</f>
        <v>على الرغم من خصائصها الشبيهة بالرقص، إلا أنها فن قتالي حقيقي يتطلب التركيز والدقة والتحكم.</v>
      </c>
      <c r="M81" s="4"/>
      <c r="N81" s="4"/>
      <c r="O81" s="4"/>
      <c r="P81" s="4"/>
      <c r="Q81" s="4"/>
      <c r="R81" s="4"/>
      <c r="S81" s="4"/>
      <c r="T81" s="4"/>
      <c r="U81" s="4"/>
      <c r="V81" s="4"/>
      <c r="W81" s="4"/>
      <c r="X81" s="4"/>
      <c r="Y81" s="4"/>
      <c r="Z81" s="4"/>
      <c r="AA81" s="4"/>
      <c r="AB81" s="4"/>
      <c r="AC81" s="4"/>
      <c r="AD81" s="4"/>
      <c r="AE81" s="4"/>
      <c r="AF81" s="4"/>
      <c r="AG81" s="4"/>
    </row>
    <row r="82" spans="1:33" ht="22.5" customHeight="1" x14ac:dyDescent="0.25">
      <c r="A82" s="2"/>
      <c r="B82" s="2"/>
      <c r="C82" s="2"/>
      <c r="D82" s="2"/>
      <c r="E82" s="2"/>
      <c r="F82" s="4"/>
      <c r="G82" s="4"/>
      <c r="H82" s="6" t="s">
        <v>95</v>
      </c>
      <c r="I82" s="4" t="str">
        <f ca="1">IFERROR(__xludf.DUMMYFUNCTION("GOOGLETRANSLATE(B82,""en"",""ar"")"),"يُطلق على فنون القتال التي تُمارس هنا، والتي يتقاتل فيها رجلان يرتديان أردية بعصي طويلة، اسم...")</f>
        <v>يُطلق على فنون القتال التي تُمارس هنا، والتي يتقاتل فيها رجلان يرتديان أردية بعصي طويلة، اسم...</v>
      </c>
      <c r="J82" s="4" t="str">
        <f ca="1">IFERROR(__xludf.DUMMYFUNCTION("GOOGLETRANSLATE(C82,""en"",""ar"")"),"أ) مصارعة النوبة، ب) المبارزة، ج) التحطيب، د) الكندو")</f>
        <v>أ) مصارعة النوبة، ب) المبارزة، ج) التحطيب، د) الكندو</v>
      </c>
      <c r="K82" s="4" t="str">
        <f ca="1">IFERROR(__xludf.DUMMYFUNCTION("GOOGLETRANSLATE(D82,""en"",""ar"")"),"ج) التحييد")</f>
        <v>ج) التحييد</v>
      </c>
      <c r="L82" s="4" t="str">
        <f ca="1">IFERROR(__xludf.DUMMYFUNCTION("GOOGLETRANSLATE(E82,""en"",""ar"")"),"هذا عرض ليلي لفن القتال بالعصي المصري، المعروف باسم ""تحطيب"".")</f>
        <v>هذا عرض ليلي لفن القتال بالعصي المصري، المعروف باسم "تحطيب".</v>
      </c>
      <c r="M82" s="4"/>
      <c r="N82" s="4"/>
      <c r="O82" s="4"/>
      <c r="P82" s="4"/>
      <c r="Q82" s="4"/>
      <c r="R82" s="4"/>
      <c r="S82" s="4"/>
      <c r="T82" s="4"/>
      <c r="U82" s="4"/>
      <c r="V82" s="4"/>
      <c r="W82" s="4"/>
      <c r="X82" s="4"/>
      <c r="Y82" s="4"/>
      <c r="Z82" s="4"/>
      <c r="AA82" s="4"/>
      <c r="AB82" s="4"/>
      <c r="AC82" s="4"/>
      <c r="AD82" s="4"/>
      <c r="AE82" s="4"/>
      <c r="AF82" s="4"/>
      <c r="AG82" s="4"/>
    </row>
    <row r="83" spans="1:33" ht="22.5" customHeight="1" x14ac:dyDescent="0.25">
      <c r="A83" s="2"/>
      <c r="B83" s="2"/>
      <c r="C83" s="2"/>
      <c r="D83" s="2"/>
      <c r="E83" s="2"/>
      <c r="F83" s="4"/>
      <c r="G83" s="4"/>
      <c r="H83" s="7" t="s">
        <v>95</v>
      </c>
      <c r="I83" s="4" t="str">
        <f ca="1">IFERROR(__xludf.DUMMYFUNCTION("GOOGLETRANSLATE(B83,""en"",""ar"")"),"ما هو مكان انعقاد هذا الحدث؟")</f>
        <v>ما هو مكان انعقاد هذا الحدث؟</v>
      </c>
      <c r="J83" s="4" t="str">
        <f ca="1">IFERROR(__xludf.DUMMYFUNCTION("GOOGLETRANSLATE(C83,""en"",""ar"")"),"أ) ساحة رياضية رسمية حديثة، ب) تجمع مجتمعي غير رسمي في الهواء الطلق ليلاً، ج) قاعة تدريب داخلية خاصة، د) مخيم صحراوي")</f>
        <v>أ) ساحة رياضية رسمية حديثة، ب) تجمع مجتمعي غير رسمي في الهواء الطلق ليلاً، ج) قاعة تدريب داخلية خاصة، د) مخيم صحراوي</v>
      </c>
      <c r="K83" s="4" t="str">
        <f ca="1">IFERROR(__xludf.DUMMYFUNCTION("GOOGLETRANSLATE(D83,""en"",""ar"")"),"ب) تجمع مجتمعي غير رسمي في الهواء الطلق ليلاً")</f>
        <v>ب) تجمع مجتمعي غير رسمي في الهواء الطلق ليلاً</v>
      </c>
      <c r="L83" s="4" t="str">
        <f ca="1">IFERROR(__xludf.DUMMYFUNCTION("GOOGLETRANSLATE(E83,""en"",""ar"")"),"يقام الحدث ليلاً، ويتجمع أفراد المجتمع المحلي لمشاهدته.")</f>
        <v>يقام الحدث ليلاً، ويتجمع أفراد المجتمع المحلي لمشاهدته.</v>
      </c>
      <c r="M83" s="4"/>
      <c r="N83" s="4"/>
      <c r="O83" s="4"/>
      <c r="P83" s="4"/>
      <c r="Q83" s="4"/>
      <c r="R83" s="4"/>
      <c r="S83" s="4"/>
      <c r="T83" s="4"/>
      <c r="U83" s="4"/>
      <c r="V83" s="4"/>
      <c r="W83" s="4"/>
      <c r="X83" s="4"/>
      <c r="Y83" s="4"/>
      <c r="Z83" s="4"/>
      <c r="AA83" s="4"/>
      <c r="AB83" s="4"/>
      <c r="AC83" s="4"/>
      <c r="AD83" s="4"/>
      <c r="AE83" s="4"/>
      <c r="AF83" s="4"/>
      <c r="AG83" s="4"/>
    </row>
    <row r="84" spans="1:33" ht="22.5" customHeight="1" x14ac:dyDescent="0.25">
      <c r="A84" s="2"/>
      <c r="B84" s="2"/>
      <c r="C84" s="2"/>
      <c r="D84" s="2"/>
      <c r="E84" s="2"/>
      <c r="F84" s="4"/>
      <c r="G84" s="4"/>
      <c r="H84" s="6" t="s">
        <v>95</v>
      </c>
      <c r="I84" s="4" t="str">
        <f ca="1">IFERROR(__xludf.DUMMYFUNCTION("GOOGLETRANSLATE(B84,""en"",""ar"")"),"كيف تتم إضاءة المشهد؟")</f>
        <v>كيف تتم إضاءة المشهد؟</v>
      </c>
      <c r="J84" s="4" t="str">
        <f ca="1">IFERROR(__xludf.DUMMYFUNCTION("GOOGLETRANSLATE(C84,""en"",""ar"")"),"أ) تحت ضوء القمر المكتمل، ب) بجانب نار المخيم، ج) بإضاءة اصطناعية بسيطة، د) غير مضاءة؛ استخدمت الصورة فلاشًا")</f>
        <v>أ) تحت ضوء القمر المكتمل، ب) بجانب نار المخيم، ج) بإضاءة اصطناعية بسيطة، د) غير مضاءة؛ استخدمت الصورة فلاشًا</v>
      </c>
      <c r="K84" s="4" t="str">
        <f ca="1">IFERROR(__xludf.DUMMYFUNCTION("GOOGLETRANSLATE(D84,""en"",""ar"")"),"ج) بواسطة إضاءة اصطناعية بسيطة")</f>
        <v>ج) بواسطة إضاءة اصطناعية بسيطة</v>
      </c>
      <c r="L84" s="4" t="str">
        <f ca="1">IFERROR(__xludf.DUMMYFUNCTION("GOOGLETRANSLATE(E84,""en"",""ar"")"),"الإضاءة قاسية ومباشرة، ومن المحتمل أن تكون من مصباح واحد أو كشاف بسيط، كما يتضح من الوميض الساطع على بعض المتفرجين.")</f>
        <v>الإضاءة قاسية ومباشرة، ومن المحتمل أن تكون من مصباح واحد أو كشاف بسيط، كما يتضح من الوميض الساطع على بعض المتفرجين.</v>
      </c>
      <c r="M84" s="4"/>
      <c r="N84" s="4"/>
      <c r="O84" s="4"/>
      <c r="P84" s="4"/>
      <c r="Q84" s="4"/>
      <c r="R84" s="4"/>
      <c r="S84" s="4"/>
      <c r="T84" s="4"/>
      <c r="U84" s="4"/>
      <c r="V84" s="4"/>
      <c r="W84" s="4"/>
      <c r="X84" s="4"/>
      <c r="Y84" s="4"/>
      <c r="Z84" s="4"/>
      <c r="AA84" s="4"/>
      <c r="AB84" s="4"/>
      <c r="AC84" s="4"/>
      <c r="AD84" s="4"/>
      <c r="AE84" s="4"/>
      <c r="AF84" s="4"/>
      <c r="AG84" s="4"/>
    </row>
    <row r="85" spans="1:33" ht="22.5" customHeight="1" x14ac:dyDescent="0.25">
      <c r="A85" s="2"/>
      <c r="B85" s="2"/>
      <c r="C85" s="2"/>
      <c r="D85" s="2"/>
      <c r="E85" s="2"/>
      <c r="F85" s="4"/>
      <c r="G85" s="4"/>
      <c r="H85" s="7" t="s">
        <v>95</v>
      </c>
      <c r="I85" s="4" t="str">
        <f ca="1">IFERROR(__xludf.DUMMYFUNCTION("GOOGLETRANSLATE(B85,""en"",""ar"")"),"ماذا يرتدي المقاتلان؟")</f>
        <v>ماذا يرتدي المقاتلان؟</v>
      </c>
      <c r="J85" s="4" t="str">
        <f ca="1">IFERROR(__xludf.DUMMYFUNCTION("GOOGLETRANSLATE(C85,""en"",""ar"")"),"أ) ملابس رياضية حديثة، ب) أثواب تقليدية طويلة (جلابية)، ج) دروع ثقيلة، د) جلود الحيوانات")</f>
        <v>أ) ملابس رياضية حديثة، ب) أثواب تقليدية طويلة (جلابية)، ج) دروع ثقيلة، د) جلود الحيوانات</v>
      </c>
      <c r="K85" s="4" t="str">
        <f ca="1">IFERROR(__xludf.DUMMYFUNCTION("GOOGLETRANSLATE(D85,""en"",""ar"")"),"ب) الجلابيب التقليدية الطويلة")</f>
        <v>ب) الجلابيب التقليدية الطويلة</v>
      </c>
      <c r="L85" s="4" t="str">
        <f ca="1">IFERROR(__xludf.DUMMYFUNCTION("GOOGLETRANSLATE(E85,""en"",""ar"")"),"كلاهما يرتديان الجلابية المصرية التقليدية، إحداهما داكنة والأخرى زرقاء.")</f>
        <v>كلاهما يرتديان الجلابية المصرية التقليدية، إحداهما داكنة والأخرى زرقاء.</v>
      </c>
      <c r="M85" s="4"/>
      <c r="N85" s="4"/>
      <c r="O85" s="4"/>
      <c r="P85" s="4"/>
      <c r="Q85" s="4"/>
      <c r="R85" s="4"/>
      <c r="S85" s="4"/>
      <c r="T85" s="4"/>
      <c r="U85" s="4"/>
      <c r="V85" s="4"/>
      <c r="W85" s="4"/>
      <c r="X85" s="4"/>
      <c r="Y85" s="4"/>
      <c r="Z85" s="4"/>
      <c r="AA85" s="4"/>
      <c r="AB85" s="4"/>
      <c r="AC85" s="4"/>
      <c r="AD85" s="4"/>
      <c r="AE85" s="4"/>
      <c r="AF85" s="4"/>
      <c r="AG85" s="4"/>
    </row>
    <row r="86" spans="1:33" ht="22.5" customHeight="1" x14ac:dyDescent="0.25">
      <c r="A86" s="2"/>
      <c r="B86" s="2"/>
      <c r="C86" s="2"/>
      <c r="D86" s="2"/>
      <c r="E86" s="2"/>
      <c r="F86" s="4"/>
      <c r="G86" s="4"/>
      <c r="H86" s="6" t="s">
        <v>95</v>
      </c>
      <c r="I86" s="4" t="str">
        <f ca="1">IFERROR(__xludf.DUMMYFUNCTION("GOOGLETRANSLATE(B86,""en"",""ar"")"),"ماذا يفعل الحشد في الخلفية؟")</f>
        <v>ماذا يفعل الحشد في الخلفية؟</v>
      </c>
      <c r="J86" s="4" t="str">
        <f ca="1">IFERROR(__xludf.DUMMYFUNCTION("GOOGLETRANSLATE(C86,""en"",""ar"")"),"أ) يشاركون في القتال، ب) يغادرون جميعًا، ج) يقفون في دائرة، يراقبون المباراة عن كثب، د) نائمون")</f>
        <v>أ) يشاركون في القتال، ب) يغادرون جميعًا، ج) يقفون في دائرة، يراقبون المباراة عن كثب، د) نائمون</v>
      </c>
      <c r="K86" s="4" t="str">
        <f ca="1">IFERROR(__xludf.DUMMYFUNCTION("GOOGLETRANSLATE(D86,""en"",""ar"")"),"ج) يقفون في دائرة، ويشاهدون المباراة عن كثب")</f>
        <v>ج) يقفون في دائرة، ويشاهدون المباراة عن كثب</v>
      </c>
      <c r="L86" s="4" t="str">
        <f ca="1">IFERROR(__xludf.DUMMYFUNCTION("GOOGLETRANSLATE(E86,""en"",""ar"")"),"شكلت مجموعة كبيرة من الرجال من أبناء المجتمع حلقة لمشاهدة المقاتلين.")</f>
        <v>شكلت مجموعة كبيرة من الرجال من أبناء المجتمع حلقة لمشاهدة المقاتلين.</v>
      </c>
      <c r="M86" s="4"/>
      <c r="N86" s="4"/>
      <c r="O86" s="4"/>
      <c r="P86" s="4"/>
      <c r="Q86" s="4"/>
      <c r="R86" s="4"/>
      <c r="S86" s="4"/>
      <c r="T86" s="4"/>
      <c r="U86" s="4"/>
      <c r="V86" s="4"/>
      <c r="W86" s="4"/>
      <c r="X86" s="4"/>
      <c r="Y86" s="4"/>
      <c r="Z86" s="4"/>
      <c r="AA86" s="4"/>
      <c r="AB86" s="4"/>
      <c r="AC86" s="4"/>
      <c r="AD86" s="4"/>
      <c r="AE86" s="4"/>
      <c r="AF86" s="4"/>
      <c r="AG86" s="4"/>
    </row>
    <row r="87" spans="1:33" ht="22.5" customHeight="1" x14ac:dyDescent="0.25">
      <c r="A87" s="2"/>
      <c r="B87" s="2"/>
      <c r="C87" s="2"/>
      <c r="D87" s="2"/>
      <c r="E87" s="2"/>
      <c r="F87" s="4"/>
      <c r="G87" s="4"/>
      <c r="H87" s="7" t="s">
        <v>95</v>
      </c>
      <c r="I87" s="4" t="str">
        <f ca="1">IFERROR(__xludf.DUMMYFUNCTION("GOOGLETRANSLATE(B87,""en"",""ar"")"),"وضعيات المقاتلين هي...")</f>
        <v>وضعيات المقاتلين هي...</v>
      </c>
      <c r="J87" s="4" t="str">
        <f ca="1">IFERROR(__xludf.DUMMYFUNCTION("GOOGLETRANSLATE(C87,""en"",""ar"")"),"أ) جامد وثابت، ب) ديناميكي ومتحرك، ج) مسترخٍ وعفوي، د) متطابقان")</f>
        <v>أ) جامد وثابت، ب) ديناميكي ومتحرك، ج) مسترخٍ وعفوي، د) متطابقان</v>
      </c>
      <c r="K87" s="4" t="str">
        <f ca="1">IFERROR(__xludf.DUMMYFUNCTION("GOOGLETRANSLATE(D87,""en"",""ar"")"),"ب) ديناميكي ومتحرك")</f>
        <v>ب) ديناميكي ومتحرك</v>
      </c>
      <c r="L87" s="4" t="str">
        <f ca="1">IFERROR(__xludf.DUMMYFUNCTION("GOOGLETRANSLATE(E87,""en"",""ar"")"),"كلا الرجلين في وضعيات رياضية، منخرطين بنشاط في تبادل سريع الوتيرة.")</f>
        <v>كلا الرجلين في وضعيات رياضية، منخرطين بنشاط في تبادل سريع الوتيرة.</v>
      </c>
      <c r="M87" s="4"/>
      <c r="N87" s="4"/>
      <c r="O87" s="4"/>
      <c r="P87" s="4"/>
      <c r="Q87" s="4"/>
      <c r="R87" s="4"/>
      <c r="S87" s="4"/>
      <c r="T87" s="4"/>
      <c r="U87" s="4"/>
      <c r="V87" s="4"/>
      <c r="W87" s="4"/>
      <c r="X87" s="4"/>
      <c r="Y87" s="4"/>
      <c r="Z87" s="4"/>
      <c r="AA87" s="4"/>
      <c r="AB87" s="4"/>
      <c r="AC87" s="4"/>
      <c r="AD87" s="4"/>
      <c r="AE87" s="4"/>
      <c r="AF87" s="4"/>
      <c r="AG87" s="4"/>
    </row>
    <row r="88" spans="1:33" ht="22.5" customHeight="1" x14ac:dyDescent="0.25">
      <c r="A88" s="2"/>
      <c r="B88" s="2"/>
      <c r="C88" s="2"/>
      <c r="D88" s="2"/>
      <c r="E88" s="2"/>
      <c r="F88" s="4"/>
      <c r="G88" s="4"/>
      <c r="H88" s="6" t="s">
        <v>95</v>
      </c>
      <c r="I88" s="4" t="str">
        <f ca="1">IFERROR(__xludf.DUMMYFUNCTION("GOOGLETRANSLATE(B88,""en"",""ar"")"),"الرجل الذي يرتدي عمامة بيضاء يُدير ظهره جزئياً للكاميرا. إنه...")</f>
        <v>الرجل الذي يرتدي عمامة بيضاء يُدير ظهره جزئياً للكاميرا. إنه...</v>
      </c>
      <c r="J88" s="4" t="str">
        <f ca="1">IFERROR(__xludf.DUMMYFUNCTION("GOOGLETRANSLATE(C88,""en"",""ar"")"),"أ) في الهجوم، مهاجمًا الرجل ذو الزي الأزرق، ب) في الدفاع، صدّ ضربة من الرجل ذو الزي الأزرق، ج) مجرد متفرج، د) الحكم")</f>
        <v>أ) في الهجوم، مهاجمًا الرجل ذو الزي الأزرق، ب) في الدفاع، صدّ ضربة من الرجل ذو الزي الأزرق، ج) مجرد متفرج، د) الحكم</v>
      </c>
      <c r="K88" s="4" t="str">
        <f ca="1">IFERROR(__xludf.DUMMYFUNCTION("GOOGLETRANSLATE(D88,""en"",""ar"")"),"ب) في وضع دفاعي، يصد ضربة من الرجل الذي يرتدي الزي الأزرق")</f>
        <v>ب) في وضع دفاعي، يصد ضربة من الرجل الذي يرتدي الزي الأزرق</v>
      </c>
      <c r="L88" s="4" t="str">
        <f ca="1">IFERROR(__xludf.DUMMYFUNCTION("GOOGLETRANSLATE(E88,""en"",""ar"")"),"تم وضع عصاه لصد الضربة الأفقية القادمة من خصمه.")</f>
        <v>تم وضع عصاه لصد الضربة الأفقية القادمة من خصمه.</v>
      </c>
      <c r="M88" s="4"/>
      <c r="N88" s="4"/>
      <c r="O88" s="4"/>
      <c r="P88" s="4"/>
      <c r="Q88" s="4"/>
      <c r="R88" s="4"/>
      <c r="S88" s="4"/>
      <c r="T88" s="4"/>
      <c r="U88" s="4"/>
      <c r="V88" s="4"/>
      <c r="W88" s="4"/>
      <c r="X88" s="4"/>
      <c r="Y88" s="4"/>
      <c r="Z88" s="4"/>
      <c r="AA88" s="4"/>
      <c r="AB88" s="4"/>
      <c r="AC88" s="4"/>
      <c r="AD88" s="4"/>
      <c r="AE88" s="4"/>
      <c r="AF88" s="4"/>
      <c r="AG88" s="4"/>
    </row>
    <row r="89" spans="1:33" ht="22.5" customHeight="1" x14ac:dyDescent="0.25">
      <c r="A89" s="2"/>
      <c r="B89" s="2"/>
      <c r="C89" s="2"/>
      <c r="D89" s="2"/>
      <c r="E89" s="2"/>
      <c r="F89" s="4"/>
      <c r="G89" s="4"/>
      <c r="H89" s="7" t="s">
        <v>95</v>
      </c>
      <c r="I89" s="4" t="str">
        <f ca="1">IFERROR(__xludf.DUMMYFUNCTION("GOOGLETRANSLATE(B89,""en"",""ar"")"),"تُظهر هذه الصورة أن التحطب جزء مهم من...")</f>
        <v>تُظهر هذه الصورة أن التحطب جزء مهم من...</v>
      </c>
      <c r="J89" s="4" t="str">
        <f ca="1">IFERROR(__xludf.DUMMYFUNCTION("GOOGLETRANSLATE(C89,""en"",""ar"")"),"أ) التدريب العسكري الحديث، ب) الحياة الاجتماعية والترفيه في المجتمعات المصرية، ج) المناهج الدراسية في مصر، د) الألعاب الأولمبية")</f>
        <v>أ) التدريب العسكري الحديث، ب) الحياة الاجتماعية والترفيه في المجتمعات المصرية، ج) المناهج الدراسية في مصر، د) الألعاب الأولمبية</v>
      </c>
      <c r="K89" s="4" t="str">
        <f ca="1">IFERROR(__xludf.DUMMYFUNCTION("GOOGLETRANSLATE(D89,""en"",""ar"")"),"ب) الحياة الاجتماعية والترفيه في المجتمعات المصرية")</f>
        <v>ب) الحياة الاجتماعية والترفيه في المجتمعات المصرية</v>
      </c>
      <c r="L89" s="4" t="str">
        <f ca="1">IFERROR(__xludf.DUMMYFUNCTION("GOOGLETRANSLATE(E89,""en"",""ar"")"),"تُعدّ فعاليات كهذه شكلاً شائعاً من أشكال الترفيه والتعبير الثقافي في حفلات الزفاف والمهرجانات والتجمعات الاجتماعية الأخرى.")</f>
        <v>تُعدّ فعاليات كهذه شكلاً شائعاً من أشكال الترفيه والتعبير الثقافي في حفلات الزفاف والمهرجانات والتجمعات الاجتماعية الأخرى.</v>
      </c>
      <c r="M89" s="4"/>
      <c r="N89" s="4"/>
      <c r="O89" s="4"/>
      <c r="P89" s="4"/>
      <c r="Q89" s="4"/>
      <c r="R89" s="4"/>
      <c r="S89" s="4"/>
      <c r="T89" s="4"/>
      <c r="U89" s="4"/>
      <c r="V89" s="4"/>
      <c r="W89" s="4"/>
      <c r="X89" s="4"/>
      <c r="Y89" s="4"/>
      <c r="Z89" s="4"/>
      <c r="AA89" s="4"/>
      <c r="AB89" s="4"/>
      <c r="AC89" s="4"/>
      <c r="AD89" s="4"/>
      <c r="AE89" s="4"/>
      <c r="AF89" s="4"/>
      <c r="AG89" s="4"/>
    </row>
    <row r="90" spans="1:33" ht="22.5" customHeight="1" x14ac:dyDescent="0.25">
      <c r="A90" s="2"/>
      <c r="B90" s="2"/>
      <c r="C90" s="2"/>
      <c r="D90" s="2"/>
      <c r="E90" s="2"/>
      <c r="F90" s="4"/>
      <c r="G90" s="4"/>
      <c r="H90" s="6" t="s">
        <v>95</v>
      </c>
      <c r="I90" s="4" t="str">
        <f ca="1">IFERROR(__xludf.DUMMYFUNCTION("GOOGLETRANSLATE(B90,""en"",""ar"")"),"يوحي الإعداد البسيط بأن هذا...")</f>
        <v>يوحي الإعداد البسيط بأن هذا...</v>
      </c>
      <c r="J90" s="4" t="str">
        <f ca="1">IFERROR(__xludf.DUMMYFUNCTION("GOOGLETRANSLATE(C90,""en"",""ar"")"),"أ) بطولة دولية عالية المخاطر، ب) حدث محلي شعبي، ج) عرض سياحي، د) إعادة تمثيل تاريخي")</f>
        <v>أ) بطولة دولية عالية المخاطر، ب) حدث محلي شعبي، ج) عرض سياحي، د) إعادة تمثيل تاريخي</v>
      </c>
      <c r="K90" s="4" t="str">
        <f ca="1">IFERROR(__xludf.DUMMYFUNCTION("GOOGLETRANSLATE(D90,""en"",""ar"")"),"ب) حدث محلي شعبي")</f>
        <v>ب) حدث محلي شعبي</v>
      </c>
      <c r="L90" s="4" t="str">
        <f ca="1">IFERROR(__xludf.DUMMYFUNCTION("GOOGLETRANSLATE(E90,""en"",""ar"")"),"يشير الطابع غير الرسمي والحشد المحلي إلى حدث مجتمعي حقيقي، وليس إنتاجاً تجارياً ضخماً.")</f>
        <v>يشير الطابع غير الرسمي والحشد المحلي إلى حدث مجتمعي حقيقي، وليس إنتاجاً تجارياً ضخماً.</v>
      </c>
      <c r="M90" s="4"/>
      <c r="N90" s="4"/>
      <c r="O90" s="4"/>
      <c r="P90" s="4"/>
      <c r="Q90" s="4"/>
      <c r="R90" s="4"/>
      <c r="S90" s="4"/>
      <c r="T90" s="4"/>
      <c r="U90" s="4"/>
      <c r="V90" s="4"/>
      <c r="W90" s="4"/>
      <c r="X90" s="4"/>
      <c r="Y90" s="4"/>
      <c r="Z90" s="4"/>
      <c r="AA90" s="4"/>
      <c r="AB90" s="4"/>
      <c r="AC90" s="4"/>
      <c r="AD90" s="4"/>
      <c r="AE90" s="4"/>
      <c r="AF90" s="4"/>
      <c r="AG90" s="4"/>
    </row>
    <row r="91" spans="1:33" ht="22.5" customHeight="1" x14ac:dyDescent="0.25">
      <c r="A91" s="2"/>
      <c r="B91" s="2"/>
      <c r="C91" s="2"/>
      <c r="D91" s="2"/>
      <c r="E91" s="2"/>
      <c r="F91" s="4"/>
      <c r="G91" s="4"/>
      <c r="H91" s="7" t="s">
        <v>95</v>
      </c>
      <c r="I91" s="4" t="str">
        <f ca="1">IFERROR(__xludf.DUMMYFUNCTION("GOOGLETRANSLATE(B91,""en"",""ar"")"),"تشير الحركة الضبابية للمقاتل ذي الزي الأسود إلى...")</f>
        <v>تشير الحركة الضبابية للمقاتل ذي الزي الأسود إلى...</v>
      </c>
      <c r="J91" s="4" t="str">
        <f ca="1">IFERROR(__xludf.DUMMYFUNCTION("GOOGLETRANSLATE(C91,""en"",""ar"")"),"أ) إنه يتحرك بسرعة كبيرة، ب) إنه واقف بلا حراك، ج) الصورة ذات جودة رديئة، د) إنه شبح")</f>
        <v>أ) إنه يتحرك بسرعة كبيرة، ب) إنه واقف بلا حراك، ج) الصورة ذات جودة رديئة، د) إنه شبح</v>
      </c>
      <c r="K91" s="4" t="str">
        <f ca="1">IFERROR(__xludf.DUMMYFUNCTION("GOOGLETRANSLATE(D91,""en"",""ar"")"),"أ) إنه يتحرك بسرعة كبيرة")</f>
        <v>أ) إنه يتحرك بسرعة كبيرة</v>
      </c>
      <c r="L91" s="4" t="str">
        <f ca="1">IFERROR(__xludf.DUMMYFUNCTION("GOOGLETRANSLATE(E91,""en"",""ar"")"),"ينتج ضبابية الحركة عن حركته السريعة أثناء تعريض الكاميرا، مما يضيف إلى ديناميكية المشهد.")</f>
        <v>ينتج ضبابية الحركة عن حركته السريعة أثناء تعريض الكاميرا، مما يضيف إلى ديناميكية المشهد.</v>
      </c>
      <c r="M91" s="4"/>
      <c r="N91" s="4"/>
      <c r="O91" s="4"/>
      <c r="P91" s="4"/>
      <c r="Q91" s="4"/>
      <c r="R91" s="4"/>
      <c r="S91" s="4"/>
      <c r="T91" s="4"/>
      <c r="U91" s="4"/>
      <c r="V91" s="4"/>
      <c r="W91" s="4"/>
      <c r="X91" s="4"/>
      <c r="Y91" s="4"/>
      <c r="Z91" s="4"/>
      <c r="AA91" s="4"/>
      <c r="AB91" s="4"/>
      <c r="AC91" s="4"/>
      <c r="AD91" s="4"/>
      <c r="AE91" s="4"/>
      <c r="AF91" s="4"/>
      <c r="AG91" s="4"/>
    </row>
    <row r="92" spans="1:33" ht="22.5" customHeight="1" x14ac:dyDescent="0.25">
      <c r="A92" s="2"/>
      <c r="B92" s="2"/>
      <c r="C92" s="2"/>
      <c r="D92" s="2"/>
      <c r="E92" s="2"/>
      <c r="F92" s="4"/>
      <c r="G92" s="4"/>
      <c r="H92" s="6" t="s">
        <v>96</v>
      </c>
      <c r="I92" s="4" t="str">
        <f ca="1">IFERROR(__xludf.DUMMYFUNCTION("GOOGLETRANSLATE(B92,""en"",""ar"")"),"ما هو الفن القتالي السوداني التقليدي الذي تصوره هذه الصورة التاريخية؟")</f>
        <v>ما هو الفن القتالي السوداني التقليدي الذي تصوره هذه الصورة التاريخية؟</v>
      </c>
      <c r="J92" s="4" t="str">
        <f ca="1">IFERROR(__xludf.DUMMYFUNCTION("GOOGLETRANSLATE(C92,""en"",""ar"")"),"أ) القتال بالعصي، ب) مصارعة النوبة، ج) الرماية، د) نوع من أنواع المبارزة")</f>
        <v>أ) القتال بالعصي، ب) مصارعة النوبة، ج) الرماية، د) نوع من أنواع المبارزة</v>
      </c>
      <c r="K92" s="4" t="str">
        <f ca="1">IFERROR(__xludf.DUMMYFUNCTION("GOOGLETRANSLATE(D92,""en"",""ar"")"),"ب) مصارعة النوبة")</f>
        <v>ب) مصارعة النوبة</v>
      </c>
      <c r="L92" s="4" t="str">
        <f ca="1">IFERROR(__xludf.DUMMYFUNCTION("GOOGLETRANSLATE(E92,""en"",""ar"")"),"تُظهر هذه الصورة مسابقة مصارعة، وهي سمة مميزة لمصارعة النوبة، وليست قتالاً بالعصي، على الرغم من وجود رمح.")</f>
        <v>تُظهر هذه الصورة مسابقة مصارعة، وهي سمة مميزة لمصارعة النوبة، وليست قتالاً بالعصي، على الرغم من وجود رمح.</v>
      </c>
      <c r="M92" s="4"/>
      <c r="N92" s="4"/>
      <c r="O92" s="4"/>
      <c r="P92" s="4"/>
      <c r="Q92" s="4"/>
      <c r="R92" s="4"/>
      <c r="S92" s="4"/>
      <c r="T92" s="4"/>
      <c r="U92" s="4"/>
      <c r="V92" s="4"/>
      <c r="W92" s="4"/>
      <c r="X92" s="4"/>
      <c r="Y92" s="4"/>
      <c r="Z92" s="4"/>
      <c r="AA92" s="4"/>
      <c r="AB92" s="4"/>
      <c r="AC92" s="4"/>
      <c r="AD92" s="4"/>
      <c r="AE92" s="4"/>
      <c r="AF92" s="4"/>
      <c r="AG92" s="4"/>
    </row>
    <row r="93" spans="1:33" ht="22.5" customHeight="1" x14ac:dyDescent="0.25">
      <c r="A93" s="2"/>
      <c r="B93" s="2"/>
      <c r="C93" s="2"/>
      <c r="D93" s="2"/>
      <c r="E93" s="2"/>
      <c r="F93" s="4"/>
      <c r="G93" s="4"/>
      <c r="H93" s="7" t="s">
        <v>96</v>
      </c>
      <c r="I93" s="4" t="str">
        <f ca="1">IFERROR(__xludf.DUMMYFUNCTION("GOOGLETRANSLATE(B93,""en"",""ar"")"),"ما هو الفعل الرئيسي للرجلين في المنتصف؟")</f>
        <v>ما هو الفعل الرئيسي للرجلين في المنتصف؟</v>
      </c>
      <c r="J93" s="4" t="str">
        <f ca="1">IFERROR(__xludf.DUMMYFUNCTION("GOOGLETRANSLATE(C93,""en"",""ar"")"),"أ) يتقاتلون بالرمح الطويل، ب) هم متشابكون في مصارعة قوية ومنخفضة، ج) يؤدون رقصة احتفالية، د) يتصافحون")</f>
        <v>أ) يتقاتلون بالرمح الطويل، ب) هم متشابكون في مصارعة قوية ومنخفضة، ج) يؤدون رقصة احتفالية، د) يتصافحون</v>
      </c>
      <c r="K93" s="4" t="str">
        <f ca="1">IFERROR(__xludf.DUMMYFUNCTION("GOOGLETRANSLATE(D93,""en"",""ar"")"),"ب) إنهم متشابكون في وضعية مصارعة منخفضة وقوية")</f>
        <v>ب) إنهم متشابكون في وضعية مصارعة منخفضة وقوية</v>
      </c>
      <c r="L93" s="4" t="str">
        <f ca="1">IFERROR(__xludf.DUMMYFUNCTION("GOOGLETRANSLATE(E93,""en"",""ar"")"),"إنهم ينحنون وينخرطون في حركة مصارعة قريبة، وهي جوهر هذه الرياضة.")</f>
        <v>إنهم ينحنون وينخرطون في حركة مصارعة قريبة، وهي جوهر هذه الرياضة.</v>
      </c>
      <c r="M93" s="4"/>
      <c r="N93" s="4"/>
      <c r="O93" s="4"/>
      <c r="P93" s="4"/>
      <c r="Q93" s="4"/>
      <c r="R93" s="4"/>
      <c r="S93" s="4"/>
      <c r="T93" s="4"/>
      <c r="U93" s="4"/>
      <c r="V93" s="4"/>
      <c r="W93" s="4"/>
      <c r="X93" s="4"/>
      <c r="Y93" s="4"/>
      <c r="Z93" s="4"/>
      <c r="AA93" s="4"/>
      <c r="AB93" s="4"/>
      <c r="AC93" s="4"/>
      <c r="AD93" s="4"/>
      <c r="AE93" s="4"/>
      <c r="AF93" s="4"/>
      <c r="AG93" s="4"/>
    </row>
    <row r="94" spans="1:33" ht="22.5" customHeight="1" x14ac:dyDescent="0.25">
      <c r="A94" s="2"/>
      <c r="B94" s="2"/>
      <c r="C94" s="2"/>
      <c r="D94" s="2"/>
      <c r="E94" s="2"/>
      <c r="F94" s="4"/>
      <c r="G94" s="4"/>
      <c r="H94" s="6" t="s">
        <v>96</v>
      </c>
      <c r="I94" s="4" t="str">
        <f ca="1">IFERROR(__xludf.DUMMYFUNCTION("GOOGLETRANSLATE(B94,""en"",""ar"")"),"من هو الرجل الموجود على اليمين، والذي يرتدي زياً احتفالياً متقناً؟")</f>
        <v>من هو الرجل الموجود على اليمين، والذي يرتدي زياً احتفالياً متقناً؟</v>
      </c>
      <c r="J94" s="4" t="str">
        <f ca="1">IFERROR(__xludf.DUMMYFUNCTION("GOOGLETRANSLATE(C94,""en"",""ar"")"),"أ) هو المصارع التالي الذي سيتنافس، ب) هو متفرج، ج) من المحتمل أن يكون مسؤولاً أو بطلاً أو قائداً للطقوس، د) هو الخاسر في المباراة السابقة")</f>
        <v>أ) هو المصارع التالي الذي سيتنافس، ب) هو متفرج، ج) من المحتمل أن يكون مسؤولاً أو بطلاً أو قائداً للطقوس، د) هو الخاسر في المباراة السابقة</v>
      </c>
      <c r="K94" s="4" t="str">
        <f ca="1">IFERROR(__xludf.DUMMYFUNCTION("GOOGLETRANSLATE(D94,""en"",""ar"")"),"ج) من المحتمل أن يكون مسؤولاً أو بطلاً أو قائداً طقسياً")</f>
        <v>ج) من المحتمل أن يكون مسؤولاً أو بطلاً أو قائداً طقسياً</v>
      </c>
      <c r="L94" s="4" t="str">
        <f ca="1">IFERROR(__xludf.DUMMYFUNCTION("GOOGLETRANSLATE(E94,""en"",""ar"")"),"إن غطاء رأسه المزخرف وملابسه ميزته عن المنافسين، مما يشير إلى أنه يتمتع بدور خاص وذو مكانة عالية في هذه الإجراءات.")</f>
        <v>إن غطاء رأسه المزخرف وملابسه ميزته عن المنافسين، مما يشير إلى أنه يتمتع بدور خاص وذو مكانة عالية في هذه الإجراءات.</v>
      </c>
      <c r="M94" s="4"/>
      <c r="N94" s="4"/>
      <c r="O94" s="4"/>
      <c r="P94" s="4"/>
      <c r="Q94" s="4"/>
      <c r="R94" s="4"/>
      <c r="S94" s="4"/>
      <c r="T94" s="4"/>
      <c r="U94" s="4"/>
      <c r="V94" s="4"/>
      <c r="W94" s="4"/>
      <c r="X94" s="4"/>
      <c r="Y94" s="4"/>
      <c r="Z94" s="4"/>
      <c r="AA94" s="4"/>
      <c r="AB94" s="4"/>
      <c r="AC94" s="4"/>
      <c r="AD94" s="4"/>
      <c r="AE94" s="4"/>
      <c r="AF94" s="4"/>
      <c r="AG94" s="4"/>
    </row>
    <row r="95" spans="1:33" ht="22.5" customHeight="1" x14ac:dyDescent="0.25">
      <c r="A95" s="2"/>
      <c r="B95" s="2"/>
      <c r="C95" s="2"/>
      <c r="D95" s="2"/>
      <c r="E95" s="2"/>
      <c r="F95" s="4"/>
      <c r="G95" s="4"/>
      <c r="H95" s="7" t="s">
        <v>96</v>
      </c>
      <c r="I95" s="4" t="str">
        <f ca="1">IFERROR(__xludf.DUMMYFUNCTION("GOOGLETRANSLATE(B95,""en"",""ar"")"),"الرجل الموجود على اليسار يحمل رمحاً طويلاً. ما هو الغرض المحتمل منه؟")</f>
        <v>الرجل الموجود على اليسار يحمل رمحاً طويلاً. ما هو الغرض المحتمل منه؟</v>
      </c>
      <c r="J95" s="4" t="str">
        <f ca="1">IFERROR(__xludf.DUMMYFUNCTION("GOOGLETRANSLATE(C95,""en"",""ar"")"),"أ) هو السلاح الأساسي في القتال، ب) هو شيء رمزي أو طقوسي، ربما جائزة أو علامة، ج) هو أداة زراعية نسي أن يضعها جانبًا، د) يستخدمه لفصل المصارعين")</f>
        <v>أ) هو السلاح الأساسي في القتال، ب) هو شيء رمزي أو طقوسي، ربما جائزة أو علامة، ج) هو أداة زراعية نسي أن يضعها جانبًا، د) يستخدمه لفصل المصارعين</v>
      </c>
      <c r="K95" s="4" t="str">
        <f ca="1">IFERROR(__xludf.DUMMYFUNCTION("GOOGLETRANSLATE(D95,""en"",""ar"")"),"ب) إنه شيء رمزي أو طقوسي، ربما جائزة أو علامة")</f>
        <v>ب) إنه شيء رمزي أو طقوسي، ربما جائزة أو علامة</v>
      </c>
      <c r="L95" s="4" t="str">
        <f ca="1">IFERROR(__xludf.DUMMYFUNCTION("GOOGLETRANSLATE(E95,""en"",""ar"")"),"على الرغم من أن ثقافة النوبة لها تاريخ في القتال بالرماح (الفروسية)، إلا أنه في سياق المصارعة هذا، من المرجح أن يكون الرمح احتفاليًا.")</f>
        <v>على الرغم من أن ثقافة النوبة لها تاريخ في القتال بالرماح (الفروسية)، إلا أنه في سياق المصارعة هذا، من المرجح أن يكون الرمح احتفاليًا.</v>
      </c>
      <c r="M95" s="4"/>
      <c r="N95" s="4"/>
      <c r="O95" s="4"/>
      <c r="P95" s="4"/>
      <c r="Q95" s="4"/>
      <c r="R95" s="4"/>
      <c r="S95" s="4"/>
      <c r="T95" s="4"/>
      <c r="U95" s="4"/>
      <c r="V95" s="4"/>
      <c r="W95" s="4"/>
      <c r="X95" s="4"/>
      <c r="Y95" s="4"/>
      <c r="Z95" s="4"/>
      <c r="AA95" s="4"/>
      <c r="AB95" s="4"/>
      <c r="AC95" s="4"/>
      <c r="AD95" s="4"/>
      <c r="AE95" s="4"/>
      <c r="AF95" s="4"/>
      <c r="AG95" s="4"/>
    </row>
    <row r="96" spans="1:33" ht="22.5" customHeight="1" x14ac:dyDescent="0.25">
      <c r="A96" s="2"/>
      <c r="B96" s="2"/>
      <c r="C96" s="2"/>
      <c r="D96" s="2"/>
      <c r="E96" s="2"/>
      <c r="F96" s="4"/>
      <c r="G96" s="4"/>
      <c r="H96" s="6" t="s">
        <v>96</v>
      </c>
      <c r="I96" s="4" t="str">
        <f ca="1">IFERROR(__xludf.DUMMYFUNCTION("GOOGLETRANSLATE(B96,""en"",""ar"")"),"يوحي الشكل بالأبيض والأسود والبيئة الريفية...")</f>
        <v>يوحي الشكل بالأبيض والأسود والبيئة الريفية...</v>
      </c>
      <c r="J96" s="4" t="str">
        <f ca="1">IFERROR(__xludf.DUMMYFUNCTION("GOOGLETRANSLATE(C96,""en"",""ar"")"),"أ) حدث معاصر في مدينة رئيسية، ب) توثيق تاريخي لمهرجان قروي تقليدي، ج) مشهد تمثيلي من فيلم، د) جلسة تدريب في صالة ألعاب رياضية")</f>
        <v>أ) حدث معاصر في مدينة رئيسية، ب) توثيق تاريخي لمهرجان قروي تقليدي، ج) مشهد تمثيلي من فيلم، د) جلسة تدريب في صالة ألعاب رياضية</v>
      </c>
      <c r="K96" s="4" t="str">
        <f ca="1">IFERROR(__xludf.DUMMYFUNCTION("GOOGLETRANSLATE(D96,""en"",""ar"")"),"ب) توثيق تاريخي لمهرجان قروي تقليدي")</f>
        <v>ب) توثيق تاريخي لمهرجان قروي تقليدي</v>
      </c>
      <c r="L96" s="4" t="str">
        <f ca="1">IFERROR(__xludf.DUMMYFUNCTION("GOOGLETRANSLATE(E96,""en"",""ar"")"),"هذه صورة قديمة تجسد هذه الرياضة في بيئتها الثقافية التقليدية الأصيلة.")</f>
        <v>هذه صورة قديمة تجسد هذه الرياضة في بيئتها الثقافية التقليدية الأصيلة.</v>
      </c>
      <c r="M96" s="4"/>
      <c r="N96" s="4"/>
      <c r="O96" s="4"/>
      <c r="P96" s="4"/>
      <c r="Q96" s="4"/>
      <c r="R96" s="4"/>
      <c r="S96" s="4"/>
      <c r="T96" s="4"/>
      <c r="U96" s="4"/>
      <c r="V96" s="4"/>
      <c r="W96" s="4"/>
      <c r="X96" s="4"/>
      <c r="Y96" s="4"/>
      <c r="Z96" s="4"/>
      <c r="AA96" s="4"/>
      <c r="AB96" s="4"/>
      <c r="AC96" s="4"/>
      <c r="AD96" s="4"/>
      <c r="AE96" s="4"/>
      <c r="AF96" s="4"/>
      <c r="AG96" s="4"/>
    </row>
    <row r="97" spans="1:33" ht="22.5" customHeight="1" x14ac:dyDescent="0.25">
      <c r="A97" s="2"/>
      <c r="B97" s="2"/>
      <c r="C97" s="2"/>
      <c r="D97" s="2"/>
      <c r="E97" s="2"/>
      <c r="F97" s="4"/>
      <c r="G97" s="4"/>
      <c r="H97" s="7" t="s">
        <v>96</v>
      </c>
      <c r="I97" s="4" t="str">
        <f ca="1">IFERROR(__xludf.DUMMYFUNCTION("GOOGLETRANSLATE(B97,""en"",""ar"")"),"يتكون زي المصارعين من...")</f>
        <v>يتكون زي المصارعين من...</v>
      </c>
      <c r="J97" s="4" t="str">
        <f ca="1">IFERROR(__xludf.DUMMYFUNCTION("GOOGLETRANSLATE(C97,""en"",""ar"")"),"أ) سراويل قصيرة وقمصان عصرية، ب) مآزر وأغطية بسيطة تقليدية، ج) دروع ثقيلة، د) لا شيء على الإطلاق")</f>
        <v>أ) سراويل قصيرة وقمصان عصرية، ب) مآزر وأغطية بسيطة تقليدية، ج) دروع ثقيلة، د) لا شيء على الإطلاق</v>
      </c>
      <c r="K97" s="4" t="str">
        <f ca="1">IFERROR(__xludf.DUMMYFUNCTION("GOOGLETRANSLATE(D97,""en"",""ar"")"),"ب) أغطية وأردية بسيطة وتقليدية للعورة")</f>
        <v>ب) أغطية وأردية بسيطة وتقليدية للعورة</v>
      </c>
      <c r="L97" s="4" t="str">
        <f ca="1">IFERROR(__xludf.DUMMYFUNCTION("GOOGLETRANSLATE(E97,""en"",""ar"")"),"ملابسهم بسيطة وعملية للمصارعة، وذات طابع تقليدي.")</f>
        <v>ملابسهم بسيطة وعملية للمصارعة، وذات طابع تقليدي.</v>
      </c>
      <c r="M97" s="4"/>
      <c r="N97" s="4"/>
      <c r="O97" s="4"/>
      <c r="P97" s="4"/>
      <c r="Q97" s="4"/>
      <c r="R97" s="4"/>
      <c r="S97" s="4"/>
      <c r="T97" s="4"/>
      <c r="U97" s="4"/>
      <c r="V97" s="4"/>
      <c r="W97" s="4"/>
      <c r="X97" s="4"/>
      <c r="Y97" s="4"/>
      <c r="Z97" s="4"/>
      <c r="AA97" s="4"/>
      <c r="AB97" s="4"/>
      <c r="AC97" s="4"/>
      <c r="AD97" s="4"/>
      <c r="AE97" s="4"/>
      <c r="AF97" s="4"/>
      <c r="AG97" s="4"/>
    </row>
    <row r="98" spans="1:33" ht="22.5" customHeight="1" x14ac:dyDescent="0.25">
      <c r="A98" s="2"/>
      <c r="B98" s="2"/>
      <c r="C98" s="2"/>
      <c r="D98" s="2"/>
      <c r="E98" s="2"/>
      <c r="F98" s="4"/>
      <c r="G98" s="4"/>
      <c r="H98" s="6" t="s">
        <v>96</v>
      </c>
      <c r="I98" s="4" t="str">
        <f ca="1">IFERROR(__xludf.DUMMYFUNCTION("GOOGLETRANSLATE(B98,""en"",""ar"")"),"الرجل الموجود في المنتصف وهو منحني في وضع ضعيف، مما يوحي بـ...")</f>
        <v>الرجل الموجود في المنتصف وهو منحني في وضع ضعيف، مما يوحي بـ...</v>
      </c>
      <c r="J98" s="4" t="str">
        <f ca="1">IFERROR(__xludf.DUMMYFUNCTION("GOOGLETRANSLATE(C98,""en"",""ar"")"),"أ) هو يفوز بالمباراة، ب) هو على وشك أن يُطرح أرضًا من قبل خصمه، ج) هو يستريح، د) هو الحكم")</f>
        <v>أ) هو يفوز بالمباراة، ب) هو على وشك أن يُطرح أرضًا من قبل خصمه، ج) هو يستريح، د) هو الحكم</v>
      </c>
      <c r="K98" s="4" t="str">
        <f ca="1">IFERROR(__xludf.DUMMYFUNCTION("GOOGLETRANSLATE(D98,""en"",""ar"")"),"ب) هو على وشك أن يُطرح أرضاً من قبل خصمه")</f>
        <v>ب) هو على وشك أن يُطرح أرضاً من قبل خصمه</v>
      </c>
      <c r="L98" s="4" t="str">
        <f ca="1">IFERROR(__xludf.DUMMYFUNCTION("GOOGLETRANSLATE(E98,""en"",""ar"")"),"خصمه يمتلك قبضة قوية وهو في وضع يسمح له بتنفيذ حركة إسقاط.")</f>
        <v>خصمه يمتلك قبضة قوية وهو في وضع يسمح له بتنفيذ حركة إسقاط.</v>
      </c>
      <c r="M98" s="4"/>
      <c r="N98" s="4"/>
      <c r="O98" s="4"/>
      <c r="P98" s="4"/>
      <c r="Q98" s="4"/>
      <c r="R98" s="4"/>
      <c r="S98" s="4"/>
      <c r="T98" s="4"/>
      <c r="U98" s="4"/>
      <c r="V98" s="4"/>
      <c r="W98" s="4"/>
      <c r="X98" s="4"/>
      <c r="Y98" s="4"/>
      <c r="Z98" s="4"/>
      <c r="AA98" s="4"/>
      <c r="AB98" s="4"/>
      <c r="AC98" s="4"/>
      <c r="AD98" s="4"/>
      <c r="AE98" s="4"/>
      <c r="AF98" s="4"/>
      <c r="AG98" s="4"/>
    </row>
    <row r="99" spans="1:33" ht="22.5" customHeight="1" x14ac:dyDescent="0.25">
      <c r="A99" s="2"/>
      <c r="B99" s="2"/>
      <c r="C99" s="2"/>
      <c r="D99" s="2"/>
      <c r="E99" s="2"/>
      <c r="F99" s="4"/>
      <c r="G99" s="4"/>
      <c r="H99" s="7" t="s">
        <v>96</v>
      </c>
      <c r="I99" s="4" t="str">
        <f ca="1">IFERROR(__xludf.DUMMYFUNCTION("GOOGLETRANSLATE(B99,""en"",""ar"")"),"تُبرز هذه الصورة العلاقة بين مصارعة النوبة و...")</f>
        <v>تُبرز هذه الصورة العلاقة بين مصارعة النوبة و...</v>
      </c>
      <c r="J99" s="4" t="str">
        <f ca="1">IFERROR(__xludf.DUMMYFUNCTION("GOOGLETRANSLATE(C99,""en"",""ar"")"),"أ) التكنولوجيا الحديثة، ب) ثقافة المحاربين الأوسع وطقوسها، ج) المواسم الزراعية، د) اللجان الرياضية الدولية")</f>
        <v>أ) التكنولوجيا الحديثة، ب) ثقافة المحاربين الأوسع وطقوسها، ج) المواسم الزراعية، د) اللجان الرياضية الدولية</v>
      </c>
      <c r="K99" s="4" t="str">
        <f ca="1">IFERROR(__xludf.DUMMYFUNCTION("GOOGLETRANSLATE(D99,""en"",""ar"")"),"ب) ثقافة المحاربين الأوسع وطقوسها")</f>
        <v>ب) ثقافة المحاربين الأوسع وطقوسها</v>
      </c>
      <c r="L99" s="4" t="str">
        <f ca="1">IFERROR(__xludf.DUMMYFUNCTION("GOOGLETRANSLATE(E99,""en"",""ar"")"),"إن وجود الرماح والشخصيات الاحتفالية يدل على أن المصارعة جزء من مجموعة أكبر من تقاليد المحاربين والطقوس الاجتماعية.")</f>
        <v>إن وجود الرماح والشخصيات الاحتفالية يدل على أن المصارعة جزء من مجموعة أكبر من تقاليد المحاربين والطقوس الاجتماعية.</v>
      </c>
      <c r="M99" s="4"/>
      <c r="N99" s="4"/>
      <c r="O99" s="4"/>
      <c r="P99" s="4"/>
      <c r="Q99" s="4"/>
      <c r="R99" s="4"/>
      <c r="S99" s="4"/>
      <c r="T99" s="4"/>
      <c r="U99" s="4"/>
      <c r="V99" s="4"/>
      <c r="W99" s="4"/>
      <c r="X99" s="4"/>
      <c r="Y99" s="4"/>
      <c r="Z99" s="4"/>
      <c r="AA99" s="4"/>
      <c r="AB99" s="4"/>
      <c r="AC99" s="4"/>
      <c r="AD99" s="4"/>
      <c r="AE99" s="4"/>
      <c r="AF99" s="4"/>
      <c r="AG99" s="4"/>
    </row>
    <row r="100" spans="1:33" ht="22.5" customHeight="1" x14ac:dyDescent="0.25">
      <c r="A100" s="2"/>
      <c r="B100" s="2"/>
      <c r="C100" s="2"/>
      <c r="D100" s="2"/>
      <c r="E100" s="2"/>
      <c r="F100" s="4"/>
      <c r="G100" s="4"/>
      <c r="H100" s="6" t="s">
        <v>96</v>
      </c>
      <c r="I100" s="4" t="str">
        <f ca="1">IFERROR(__xludf.DUMMYFUNCTION("GOOGLETRANSLATE(B100,""en"",""ar"")"),"الحشد في الخلفية هو...")</f>
        <v>الحشد في الخلفية هو...</v>
      </c>
      <c r="J100" s="4" t="str">
        <f ca="1">IFERROR(__xludf.DUMMYFUNCTION("GOOGLETRANSLATE(C100,""en"",""ar"")"),"أ) يجلسون في المدرجات، ب) متجمعون حول المتنافسين، ج) غير منتبهين، د) صغار جدًا")</f>
        <v>أ) يجلسون في المدرجات، ب) متجمعون حول المتنافسين، ج) غير منتبهين، د) صغار جدًا</v>
      </c>
      <c r="K100" s="4" t="str">
        <f ca="1">IFERROR(__xludf.DUMMYFUNCTION("GOOGLETRANSLATE(D100,""en"",""ar"")"),"ب) تجمعوا بشكل وثيق حول المنافسين")</f>
        <v>ب) تجمعوا بشكل وثيق حول المنافسين</v>
      </c>
      <c r="L100" s="4" t="str">
        <f ca="1">IFERROR(__xludf.DUMMYFUNCTION("GOOGLETRANSLATE(E100,""en"",""ar"")"),"يشكل المجتمع بأكمله حلقة، مما يخلق جواً مكثفاً وتشاركياً.")</f>
        <v>يشكل المجتمع بأكمله حلقة، مما يخلق جواً مكثفاً وتشاركياً.</v>
      </c>
      <c r="M100" s="4"/>
      <c r="N100" s="4"/>
      <c r="O100" s="4"/>
      <c r="P100" s="4"/>
      <c r="Q100" s="4"/>
      <c r="R100" s="4"/>
      <c r="S100" s="4"/>
      <c r="T100" s="4"/>
      <c r="U100" s="4"/>
      <c r="V100" s="4"/>
      <c r="W100" s="4"/>
      <c r="X100" s="4"/>
      <c r="Y100" s="4"/>
      <c r="Z100" s="4"/>
      <c r="AA100" s="4"/>
      <c r="AB100" s="4"/>
      <c r="AC100" s="4"/>
      <c r="AD100" s="4"/>
      <c r="AE100" s="4"/>
      <c r="AF100" s="4"/>
      <c r="AG100" s="4"/>
    </row>
    <row r="101" spans="1:33" ht="22.5" customHeight="1" x14ac:dyDescent="0.25">
      <c r="A101" s="2"/>
      <c r="B101" s="2"/>
      <c r="C101" s="2"/>
      <c r="D101" s="2"/>
      <c r="E101" s="2"/>
      <c r="F101" s="4"/>
      <c r="G101" s="4"/>
      <c r="H101" s="7" t="s">
        <v>96</v>
      </c>
      <c r="I101" s="4" t="str">
        <f ca="1">IFERROR(__xludf.DUMMYFUNCTION("GOOGLETRANSLATE(B101,""en"",""ar"")"),"الهدف الرئيسي للمصارع الموجود على اليسار هو...")</f>
        <v>الهدف الرئيسي للمصارع الموجود على اليسار هو...</v>
      </c>
      <c r="J101" s="4" t="str">
        <f ca="1">IFERROR(__xludf.DUMMYFUNCTION("GOOGLETRANSLATE(C101,""en"",""ar"")"),"أ) إجبار خصمه على الاستلقاء على ظهره أرضًا، ب) أخذ الرمح من الرجل الآخر، ج) دفع خصمه خارج الدائرة، د) التمسك بالخصم لأطول فترة ممكنة")</f>
        <v>أ) إجبار خصمه على الاستلقاء على ظهره أرضًا، ب) أخذ الرمح من الرجل الآخر، ج) دفع خصمه خارج الدائرة، د) التمسك بالخصم لأطول فترة ممكنة</v>
      </c>
      <c r="K101" s="4" t="str">
        <f ca="1">IFERROR(__xludf.DUMMYFUNCTION("GOOGLETRANSLATE(D101,""en"",""ar"")"),"أ) لإجبار خصمه على الاستلقاء على ظهره")</f>
        <v>أ) لإجبار خصمه على الاستلقاء على ظهره</v>
      </c>
      <c r="L101" s="4" t="str">
        <f ca="1">IFERROR(__xludf.DUMMYFUNCTION("GOOGLETRANSLATE(E101,""en"",""ar"")"),"على الرغم من وجود الأدوات الطقسية، إلا أن الهدف من مباراة المصارعة يبقى تحقيق رمية ناجحة.")</f>
        <v>على الرغم من وجود الأدوات الطقسية، إلا أن الهدف من مباراة المصارعة يبقى تحقيق رمية ناجحة.</v>
      </c>
      <c r="M101" s="4"/>
      <c r="N101" s="4"/>
      <c r="O101" s="4"/>
      <c r="P101" s="4"/>
      <c r="Q101" s="4"/>
      <c r="R101" s="4"/>
      <c r="S101" s="4"/>
      <c r="T101" s="4"/>
      <c r="U101" s="4"/>
      <c r="V101" s="4"/>
      <c r="W101" s="4"/>
      <c r="X101" s="4"/>
      <c r="Y101" s="4"/>
      <c r="Z101" s="4"/>
      <c r="AA101" s="4"/>
      <c r="AB101" s="4"/>
      <c r="AC101" s="4"/>
      <c r="AD101" s="4"/>
      <c r="AE101" s="4"/>
      <c r="AF101" s="4"/>
      <c r="AG101" s="4"/>
    </row>
    <row r="102" spans="1:33" ht="22.5" customHeight="1" x14ac:dyDescent="0.25">
      <c r="A102" s="2"/>
      <c r="B102" s="2"/>
      <c r="C102" s="2"/>
      <c r="D102" s="2"/>
      <c r="E102" s="2"/>
      <c r="F102" s="4"/>
      <c r="G102" s="4"/>
      <c r="H102" s="6" t="s">
        <v>97</v>
      </c>
      <c r="I102" s="4" t="str">
        <f ca="1">IFERROR(__xludf.DUMMYFUNCTION("GOOGLETRANSLATE(B102,""en"",""ar"")"),"الرجل الموجود في المقدمة يؤدي رقصة تقليدية باستخدام العصي تُعرف باسم ""تحطيب""، من أي بلد هذه الرقصة؟")</f>
        <v>الرجل الموجود في المقدمة يؤدي رقصة تقليدية باستخدام العصي تُعرف باسم "تحطيب"، من أي بلد هذه الرقصة؟</v>
      </c>
      <c r="J102" s="4" t="str">
        <f ca="1">IFERROR(__xludf.DUMMYFUNCTION("GOOGLETRANSLATE(C102,""en"",""ar"")"),"أ) السودان، ب) إثيوبيا، ج) مصر، د) نيجيريا")</f>
        <v>أ) السودان، ب) إثيوبيا، ج) مصر، د) نيجيريا</v>
      </c>
      <c r="K102" s="4" t="str">
        <f ca="1">IFERROR(__xludf.DUMMYFUNCTION("GOOGLETRANSLATE(D102,""en"",""ar"")"),"ج) مصر")</f>
        <v>ج) مصر</v>
      </c>
      <c r="L102" s="4" t="str">
        <f ca="1">IFERROR(__xludf.DUMMYFUNCTION("GOOGLETRANSLATE(E102,""en"",""ar"")"),"التحتيب هو فن قتالي ورقصة مصرية تقليدية، غالباً ما تُؤدى في المهرجانات والفعاليات الثقافية. كما أن الخلفية المعمارية ذات طابع مصري نموذجي.")</f>
        <v>التحتيب هو فن قتالي ورقصة مصرية تقليدية، غالباً ما تُؤدى في المهرجانات والفعاليات الثقافية. كما أن الخلفية المعمارية ذات طابع مصري نموذجي.</v>
      </c>
      <c r="M102" s="4"/>
      <c r="N102" s="4"/>
      <c r="O102" s="4"/>
      <c r="P102" s="4"/>
      <c r="Q102" s="4"/>
      <c r="R102" s="4"/>
      <c r="S102" s="4"/>
      <c r="T102" s="4"/>
      <c r="U102" s="4"/>
      <c r="V102" s="4"/>
      <c r="W102" s="4"/>
      <c r="X102" s="4"/>
      <c r="Y102" s="4"/>
      <c r="Z102" s="4"/>
      <c r="AA102" s="4"/>
      <c r="AB102" s="4"/>
      <c r="AC102" s="4"/>
      <c r="AD102" s="4"/>
      <c r="AE102" s="4"/>
      <c r="AF102" s="4"/>
      <c r="AG102" s="4"/>
    </row>
    <row r="103" spans="1:33" ht="22.5" customHeight="1" x14ac:dyDescent="0.25">
      <c r="A103" s="2"/>
      <c r="B103" s="2"/>
      <c r="C103" s="2"/>
      <c r="D103" s="2"/>
      <c r="E103" s="2"/>
      <c r="F103" s="4"/>
      <c r="G103" s="4"/>
      <c r="H103" s="7" t="s">
        <v>97</v>
      </c>
      <c r="I103" s="4" t="str">
        <f ca="1">IFERROR(__xludf.DUMMYFUNCTION("GOOGLETRANSLATE(B103,""en"",""ar"")"),"ما اسم الرداء الطويل التقليدي الذي يرتديه الرجل؟")</f>
        <v>ما اسم الرداء الطويل التقليدي الذي يرتديه الرجل؟</v>
      </c>
      <c r="J103" s="4" t="str">
        <f ca="1">IFERROR(__xludf.DUMMYFUNCTION("GOOGLETRANSLATE(C103,""en"",""ar"")"),"أ) جلابية، ب) نقبة، ج) توغا، د) كيمونو")</f>
        <v>أ) جلابية، ب) نقبة، ج) توغا، د) كيمونو</v>
      </c>
      <c r="K103" s="4" t="str">
        <f ca="1">IFERROR(__xludf.DUMMYFUNCTION("GOOGLETRANSLATE(D103,""en"",""ar"")"),"أ) الجلابية")</f>
        <v>أ) الجلابية</v>
      </c>
      <c r="L103" s="4" t="str">
        <f ca="1">IFERROR(__xludf.DUMMYFUNCTION("GOOGLETRANSLATE(E103,""en"",""ar"")"),"الجلابية عبارة عن رداء فضفاض يصل إلى الكاحل يرتديه الرجال في مصر والمناطق المحيطة بها.")</f>
        <v>الجلابية عبارة عن رداء فضفاض يصل إلى الكاحل يرتديه الرجال في مصر والمناطق المحيطة بها.</v>
      </c>
      <c r="M103" s="4"/>
      <c r="N103" s="4"/>
      <c r="O103" s="4"/>
      <c r="P103" s="4"/>
      <c r="Q103" s="4"/>
      <c r="R103" s="4"/>
      <c r="S103" s="4"/>
      <c r="T103" s="4"/>
      <c r="U103" s="4"/>
      <c r="V103" s="4"/>
      <c r="W103" s="4"/>
      <c r="X103" s="4"/>
      <c r="Y103" s="4"/>
      <c r="Z103" s="4"/>
      <c r="AA103" s="4"/>
      <c r="AB103" s="4"/>
      <c r="AC103" s="4"/>
      <c r="AD103" s="4"/>
      <c r="AE103" s="4"/>
      <c r="AF103" s="4"/>
      <c r="AG103" s="4"/>
    </row>
    <row r="104" spans="1:33" ht="22.5" customHeight="1" x14ac:dyDescent="0.25">
      <c r="A104" s="2"/>
      <c r="B104" s="2"/>
      <c r="C104" s="2"/>
      <c r="D104" s="2"/>
      <c r="E104" s="2"/>
      <c r="F104" s="4"/>
      <c r="G104" s="4"/>
      <c r="H104" s="6" t="s">
        <v>97</v>
      </c>
      <c r="I104" s="4" t="str">
        <f ca="1">IFERROR(__xludf.DUMMYFUNCTION("GOOGLETRANSLATE(B104,""en"",""ar"")"),"ما هو الهدف الأساسي من هذا الحدث؟")</f>
        <v>ما هو الهدف الأساسي من هذا الحدث؟</v>
      </c>
      <c r="J104" s="4" t="str">
        <f ca="1">IFERROR(__xludf.DUMMYFUNCTION("GOOGLETRANSLATE(C104,""en"",""ar"")"),"أ) شجار شوارع حقيقي وعنيف، ب) عرض عام أو مظاهرة ثقافية، ج) تدريب عسكري، د) احتفال ديني")</f>
        <v>أ) شجار شوارع حقيقي وعنيف، ب) عرض عام أو مظاهرة ثقافية، ج) تدريب عسكري، د) احتفال ديني</v>
      </c>
      <c r="K104" s="4" t="str">
        <f ca="1">IFERROR(__xludf.DUMMYFUNCTION("GOOGLETRANSLATE(D104,""en"",""ar"")"),"ب) عرض عام أو عرض ثقافي")</f>
        <v>ب) عرض عام أو عرض ثقافي</v>
      </c>
      <c r="L104" s="4" t="str">
        <f ca="1">IFERROR(__xludf.DUMMYFUNCTION("GOOGLETRANSLATE(E104,""en"",""ar"")"),"يشير وجود جمهور جالس والوقفة الاستعراضية للرجل إلى عرض ثقافي، وليس إلى قتال فعلي.")</f>
        <v>يشير وجود جمهور جالس والوقفة الاستعراضية للرجل إلى عرض ثقافي، وليس إلى قتال فعلي.</v>
      </c>
      <c r="M104" s="4"/>
      <c r="N104" s="4"/>
      <c r="O104" s="4"/>
      <c r="P104" s="4"/>
      <c r="Q104" s="4"/>
      <c r="R104" s="4"/>
      <c r="S104" s="4"/>
      <c r="T104" s="4"/>
      <c r="U104" s="4"/>
      <c r="V104" s="4"/>
      <c r="W104" s="4"/>
      <c r="X104" s="4"/>
      <c r="Y104" s="4"/>
      <c r="Z104" s="4"/>
      <c r="AA104" s="4"/>
      <c r="AB104" s="4"/>
      <c r="AC104" s="4"/>
      <c r="AD104" s="4"/>
      <c r="AE104" s="4"/>
      <c r="AF104" s="4"/>
      <c r="AG104" s="4"/>
    </row>
    <row r="105" spans="1:33" ht="22.5" customHeight="1" x14ac:dyDescent="0.25">
      <c r="A105" s="2"/>
      <c r="B105" s="2"/>
      <c r="C105" s="2"/>
      <c r="D105" s="2"/>
      <c r="E105" s="2"/>
      <c r="F105" s="4"/>
      <c r="G105" s="4"/>
      <c r="H105" s="7" t="s">
        <v>97</v>
      </c>
      <c r="I105" s="4" t="str">
        <f ca="1">IFERROR(__xludf.DUMMYFUNCTION("GOOGLETRANSLATE(B105,""en"",""ar"")"),"يُطلق على العصا الخشبية الطويلة المستخدمة في هذا الفن اسم...")</f>
        <v>يُطلق على العصا الخشبية الطويلة المستخدمة في هذا الفن اسم...</v>
      </c>
      <c r="J105" s="4" t="str">
        <f ca="1">IFERROR(__xludf.DUMMYFUNCTION("GOOGLETRANSLATE(C105,""en"",""ar"")"),"أ) آسا، ب) إندوكو، ج) طاقم بو، د) إيكو")</f>
        <v>أ) آسا، ب) إندوكو، ج) طاقم بو، د) إيكو</v>
      </c>
      <c r="K105" s="4" t="str">
        <f ca="1">IFERROR(__xludf.DUMMYFUNCTION("GOOGLETRANSLATE(D105,""en"",""ar"")"),"أ) آسا")</f>
        <v>أ) آسا</v>
      </c>
      <c r="L105" s="4" t="str">
        <f ca="1">IFERROR(__xludf.DUMMYFUNCTION("GOOGLETRANSLATE(E105,""en"",""ar"")"),"الاسم التقليدي للعصا التي يبلغ طولها 4 أقدام والمستخدمة في التحطب هو ""آسا"".")</f>
        <v>الاسم التقليدي للعصا التي يبلغ طولها 4 أقدام والمستخدمة في التحطب هو "آسا".</v>
      </c>
      <c r="M105" s="4"/>
      <c r="N105" s="4"/>
      <c r="O105" s="4"/>
      <c r="P105" s="4"/>
      <c r="Q105" s="4"/>
      <c r="R105" s="4"/>
      <c r="S105" s="4"/>
      <c r="T105" s="4"/>
      <c r="U105" s="4"/>
      <c r="V105" s="4"/>
      <c r="W105" s="4"/>
      <c r="X105" s="4"/>
      <c r="Y105" s="4"/>
      <c r="Z105" s="4"/>
      <c r="AA105" s="4"/>
      <c r="AB105" s="4"/>
      <c r="AC105" s="4"/>
      <c r="AD105" s="4"/>
      <c r="AE105" s="4"/>
      <c r="AF105" s="4"/>
      <c r="AG105" s="4"/>
    </row>
    <row r="106" spans="1:33" ht="22.5" customHeight="1" x14ac:dyDescent="0.25">
      <c r="A106" s="2"/>
      <c r="B106" s="2"/>
      <c r="C106" s="2"/>
      <c r="D106" s="2"/>
      <c r="E106" s="2"/>
      <c r="F106" s="4"/>
      <c r="G106" s="4"/>
      <c r="H106" s="6" t="s">
        <v>97</v>
      </c>
      <c r="I106" s="4" t="str">
        <f ca="1">IFERROR(__xludf.DUMMYFUNCTION("GOOGLETRANSLATE(B106,""en"",""ar"")"),"ماذا يفعل الرجل الذي يرتدي الرداء الرمادي الفاتح على اليمين؟")</f>
        <v>ماذا يفعل الرجل الذي يرتدي الرداء الرمادي الفاتح على اليمين؟</v>
      </c>
      <c r="J106" s="4" t="str">
        <f ca="1">IFERROR(__xludf.DUMMYFUNCTION("GOOGLETRANSLATE(C106,""en"",""ar"")"),"أ) هو المتسابق التالي، ب) هو متفرج يشاهد العرض، ج) هو أحد الحكام، د) هو يعزف الموسيقى")</f>
        <v>أ) هو المتسابق التالي، ب) هو متفرج يشاهد العرض، ج) هو أحد الحكام، د) هو يعزف الموسيقى</v>
      </c>
      <c r="K106" s="4" t="str">
        <f ca="1">IFERROR(__xludf.DUMMYFUNCTION("GOOGLETRANSLATE(D106,""en"",""ar"")"),"ب) هو متفرج يشاهد العرض")</f>
        <v>ب) هو متفرج يشاهد العرض</v>
      </c>
      <c r="L106" s="4" t="str">
        <f ca="1">IFERROR(__xludf.DUMMYFUNCTION("GOOGLETRANSLATE(E106,""en"",""ar"")"),"ومثله مثل الآخرين الجالسين والواقفين، فهو جزء من الجمهور الذي يراقب الممارس.")</f>
        <v>ومثله مثل الآخرين الجالسين والواقفين، فهو جزء من الجمهور الذي يراقب الممارس.</v>
      </c>
      <c r="M106" s="4"/>
      <c r="N106" s="4"/>
      <c r="O106" s="4"/>
      <c r="P106" s="4"/>
      <c r="Q106" s="4"/>
      <c r="R106" s="4"/>
      <c r="S106" s="4"/>
      <c r="T106" s="4"/>
      <c r="U106" s="4"/>
      <c r="V106" s="4"/>
      <c r="W106" s="4"/>
      <c r="X106" s="4"/>
      <c r="Y106" s="4"/>
      <c r="Z106" s="4"/>
      <c r="AA106" s="4"/>
      <c r="AB106" s="4"/>
      <c r="AC106" s="4"/>
      <c r="AD106" s="4"/>
      <c r="AE106" s="4"/>
      <c r="AF106" s="4"/>
      <c r="AG106" s="4"/>
    </row>
    <row r="107" spans="1:33" ht="22.5" customHeight="1" x14ac:dyDescent="0.25">
      <c r="A107" s="2"/>
      <c r="B107" s="2"/>
      <c r="C107" s="2"/>
      <c r="D107" s="2"/>
      <c r="E107" s="2"/>
      <c r="F107" s="4"/>
      <c r="G107" s="4"/>
      <c r="H107" s="7" t="s">
        <v>97</v>
      </c>
      <c r="I107" s="4" t="str">
        <f ca="1">IFERROR(__xludf.DUMMYFUNCTION("GOOGLETRANSLATE(B107,""en"",""ar"")"),"غطاء الرأس الأبيض الذي يرتديه المعالج هو نوع من...")</f>
        <v>غطاء الرأس الأبيض الذي يرتديه المعالج هو نوع من...</v>
      </c>
      <c r="J107" s="4" t="str">
        <f ca="1">IFERROR(__xludf.DUMMYFUNCTION("GOOGLETRANSLATE(C107,""en"",""ar"")"),"أ) خوذة، ب) تاج، ج) عمامة، د) قبعة بيسبول")</f>
        <v>أ) خوذة، ب) تاج، ج) عمامة، د) قبعة بيسبول</v>
      </c>
      <c r="K107" s="4" t="str">
        <f ca="1">IFERROR(__xludf.DUMMYFUNCTION("GOOGLETRANSLATE(D107,""en"",""ar"")"),"ج) العمامة")</f>
        <v>ج) العمامة</v>
      </c>
      <c r="L107" s="4" t="str">
        <f ca="1">IFERROR(__xludf.DUMMYFUNCTION("GOOGLETRANSLATE(E107,""en"",""ar"")"),"إن قطعة القماش الملفوفة بأناقة على رأسه هي عمامة تقليدية.")</f>
        <v>إن قطعة القماش الملفوفة بأناقة على رأسه هي عمامة تقليدية.</v>
      </c>
      <c r="M107" s="4"/>
      <c r="N107" s="4"/>
      <c r="O107" s="4"/>
      <c r="P107" s="4"/>
      <c r="Q107" s="4"/>
      <c r="R107" s="4"/>
      <c r="S107" s="4"/>
      <c r="T107" s="4"/>
      <c r="U107" s="4"/>
      <c r="V107" s="4"/>
      <c r="W107" s="4"/>
      <c r="X107" s="4"/>
      <c r="Y107" s="4"/>
      <c r="Z107" s="4"/>
      <c r="AA107" s="4"/>
      <c r="AB107" s="4"/>
      <c r="AC107" s="4"/>
      <c r="AD107" s="4"/>
      <c r="AE107" s="4"/>
      <c r="AF107" s="4"/>
      <c r="AG107" s="4"/>
    </row>
    <row r="108" spans="1:33" ht="22.5" customHeight="1" x14ac:dyDescent="0.25">
      <c r="A108" s="2"/>
      <c r="B108" s="2"/>
      <c r="C108" s="2"/>
      <c r="D108" s="2"/>
      <c r="E108" s="2"/>
      <c r="F108" s="4"/>
      <c r="G108" s="4"/>
      <c r="H108" s="6" t="s">
        <v>97</v>
      </c>
      <c r="I108" s="4" t="str">
        <f ca="1">IFERROR(__xludf.DUMMYFUNCTION("GOOGLETRANSLATE(B108,""en"",""ar"")"),"يُظهر تعبير الرجل المركز ووضعيته الديناميكية أن تاهتيب يتطلب...")</f>
        <v>يُظهر تعبير الرجل المركز ووضعيته الديناميكية أن تاهتيب يتطلب...</v>
      </c>
      <c r="J108" s="4" t="str">
        <f ca="1">IFERROR(__xludf.DUMMYFUNCTION("GOOGLETRANSLATE(C108,""en"",""ar"")"),"أ) مهارة قليلة أو معدومة، ب) درجة عالية من المهارة والتركيز والقدرة على العرض، ج) القوة فقط، د) السرعة فقط")</f>
        <v>أ) مهارة قليلة أو معدومة، ب) درجة عالية من المهارة والتركيز والقدرة على العرض، ج) القوة فقط، د) السرعة فقط</v>
      </c>
      <c r="K108" s="4" t="str">
        <f ca="1">IFERROR(__xludf.DUMMYFUNCTION("GOOGLETRANSLATE(D108,""en"",""ar"")"),"ب) درجة عالية من المهارة والتركيز والقدرة على العرض")</f>
        <v>ب) درجة عالية من المهارة والتركيز والقدرة على العرض</v>
      </c>
      <c r="L108" s="4" t="str">
        <f ca="1">IFERROR(__xludf.DUMMYFUNCTION("GOOGLETRANSLATE(E108,""en"",""ar"")"),"التحتيب هو فن قتالي حقيقي يجمع بين البراعة الرياضية والتعبير الفني.")</f>
        <v>التحتيب هو فن قتالي حقيقي يجمع بين البراعة الرياضية والتعبير الفني.</v>
      </c>
      <c r="M108" s="4"/>
      <c r="N108" s="4"/>
      <c r="O108" s="4"/>
      <c r="P108" s="4"/>
      <c r="Q108" s="4"/>
      <c r="R108" s="4"/>
      <c r="S108" s="4"/>
      <c r="T108" s="4"/>
      <c r="U108" s="4"/>
      <c r="V108" s="4"/>
      <c r="W108" s="4"/>
      <c r="X108" s="4"/>
      <c r="Y108" s="4"/>
      <c r="Z108" s="4"/>
      <c r="AA108" s="4"/>
      <c r="AB108" s="4"/>
      <c r="AC108" s="4"/>
      <c r="AD108" s="4"/>
      <c r="AE108" s="4"/>
      <c r="AF108" s="4"/>
      <c r="AG108" s="4"/>
    </row>
    <row r="109" spans="1:33" ht="22.5" customHeight="1" x14ac:dyDescent="0.25">
      <c r="A109" s="2"/>
      <c r="B109" s="2"/>
      <c r="C109" s="2"/>
      <c r="D109" s="2"/>
      <c r="E109" s="2"/>
      <c r="F109" s="4"/>
      <c r="G109" s="4"/>
      <c r="H109" s="7" t="s">
        <v>97</v>
      </c>
      <c r="I109" s="4" t="str">
        <f ca="1">IFERROR(__xludf.DUMMYFUNCTION("GOOGLETRANSLATE(B109,""en"",""ar"")"),"أين سيُقام هذا العرض؟")</f>
        <v>أين سيُقام هذا العرض؟</v>
      </c>
      <c r="J109" s="4" t="str">
        <f ca="1">IFERROR(__xludf.DUMMYFUNCTION("GOOGLETRANSLATE(C109,""en"",""ar"")"),"أ) في صحراء، ب) في صالة رياضية داخلية حديثة، ج) في فناء مرصوف أمام مبنى تاريخي، د) في غابة")</f>
        <v>أ) في صحراء، ب) في صالة رياضية داخلية حديثة، ج) في فناء مرصوف أمام مبنى تاريخي، د) في غابة</v>
      </c>
      <c r="K109" s="4" t="str">
        <f ca="1">IFERROR(__xludf.DUMMYFUNCTION("GOOGLETRANSLATE(D109,""en"",""ar"")"),"ج) في فناء مرصوف أمام مبنى تاريخي")</f>
        <v>ج) في فناء مرصوف أمام مبنى تاريخي</v>
      </c>
      <c r="L109" s="4" t="str">
        <f ca="1">IFERROR(__xludf.DUMMYFUNCTION("GOOGLETRANSLATE(E109,""en"",""ar"")"),"المكان عبارة عن منطقة واسعة مفتوحة ومبلطة، وهي منطقة نموذجية للعروض العامة في المدن المصرية مثل الأقصر.")</f>
        <v>المكان عبارة عن منطقة واسعة مفتوحة ومبلطة، وهي منطقة نموذجية للعروض العامة في المدن المصرية مثل الأقصر.</v>
      </c>
      <c r="M109" s="4"/>
      <c r="N109" s="4"/>
      <c r="O109" s="4"/>
      <c r="P109" s="4"/>
      <c r="Q109" s="4"/>
      <c r="R109" s="4"/>
      <c r="S109" s="4"/>
      <c r="T109" s="4"/>
      <c r="U109" s="4"/>
      <c r="V109" s="4"/>
      <c r="W109" s="4"/>
      <c r="X109" s="4"/>
      <c r="Y109" s="4"/>
      <c r="Z109" s="4"/>
      <c r="AA109" s="4"/>
      <c r="AB109" s="4"/>
      <c r="AC109" s="4"/>
      <c r="AD109" s="4"/>
      <c r="AE109" s="4"/>
      <c r="AF109" s="4"/>
      <c r="AG109" s="4"/>
    </row>
    <row r="110" spans="1:33" ht="22.5" customHeight="1" x14ac:dyDescent="0.25">
      <c r="A110" s="2"/>
      <c r="B110" s="2"/>
      <c r="C110" s="2"/>
      <c r="D110" s="2"/>
      <c r="E110" s="2"/>
      <c r="F110" s="4"/>
      <c r="G110" s="4"/>
      <c r="H110" s="6" t="s">
        <v>97</v>
      </c>
      <c r="I110" s="4" t="str">
        <f ca="1">IFERROR(__xludf.DUMMYFUNCTION("GOOGLETRANSLATE(B110,""en"",""ar"")"),"الرجال الجالسون في الخلفية هم...")</f>
        <v>الرجال الجالسون في الخلفية هم...</v>
      </c>
      <c r="J110" s="4" t="str">
        <f ca="1">IFERROR(__xludf.DUMMYFUNCTION("GOOGLETRANSLATE(C110,""en"",""ar"")"),"أ) ينتظرون دورهم في الأداء، ب) حكام المسابقة، ج) مجموعة من الموسيقيين، د) جميع ما سبق ممكن")</f>
        <v>أ) ينتظرون دورهم في الأداء، ب) حكام المسابقة، ج) مجموعة من الموسيقيين، د) جميع ما سبق ممكن</v>
      </c>
      <c r="K110" s="4" t="str">
        <f ca="1">IFERROR(__xludf.DUMMYFUNCTION("GOOGLETRANSLATE(D110,""en"",""ar"")"),"د) جميع ما سبق ممكن")</f>
        <v>د) جميع ما سبق ممكن</v>
      </c>
      <c r="L110" s="4" t="str">
        <f ca="1">IFERROR(__xludf.DUMMYFUNCTION("GOOGLETRANSLATE(E110,""en"",""ar"")"),"في عرض التحطيب، يجلس المشاركون الآخرون (الموسيقيون والراقصون الآخرون) ويشاهدون في كثير من الأحيان حتى يحين دورهم.")</f>
        <v>في عرض التحطيب، يجلس المشاركون الآخرون (الموسيقيون والراقصون الآخرون) ويشاهدون في كثير من الأحيان حتى يحين دورهم.</v>
      </c>
      <c r="M110" s="4"/>
      <c r="N110" s="4"/>
      <c r="O110" s="4"/>
      <c r="P110" s="4"/>
      <c r="Q110" s="4"/>
      <c r="R110" s="4"/>
      <c r="S110" s="4"/>
      <c r="T110" s="4"/>
      <c r="U110" s="4"/>
      <c r="V110" s="4"/>
      <c r="W110" s="4"/>
      <c r="X110" s="4"/>
      <c r="Y110" s="4"/>
      <c r="Z110" s="4"/>
      <c r="AA110" s="4"/>
      <c r="AB110" s="4"/>
      <c r="AC110" s="4"/>
      <c r="AD110" s="4"/>
      <c r="AE110" s="4"/>
      <c r="AF110" s="4"/>
      <c r="AG110" s="4"/>
    </row>
    <row r="111" spans="1:33" ht="22.5" customHeight="1" x14ac:dyDescent="0.25">
      <c r="A111" s="2"/>
      <c r="B111" s="2"/>
      <c r="C111" s="2"/>
      <c r="D111" s="2"/>
      <c r="E111" s="2"/>
      <c r="F111" s="4"/>
      <c r="G111" s="4"/>
      <c r="H111" s="7" t="s">
        <v>97</v>
      </c>
      <c r="I111" s="4" t="str">
        <f ca="1">IFERROR(__xludf.DUMMYFUNCTION("GOOGLETRANSLATE(B111,""en"",""ar"")"),"يمكن تتبع أصول التحطب إلى...")</f>
        <v>يمكن تتبع أصول التحطب إلى...</v>
      </c>
      <c r="J111" s="4" t="str">
        <f ca="1">IFERROR(__xludf.DUMMYFUNCTION("GOOGLETRANSLATE(C111,""en"",""ar"")"),"أ) الإمبراطورية الرومانية، ب) مصر القديمة، ج) أوروبا في العصور الوسطى، د) اليابان في القرن التاسع عشر")</f>
        <v>أ) الإمبراطورية الرومانية، ب) مصر القديمة، ج) أوروبا في العصور الوسطى، د) اليابان في القرن التاسع عشر</v>
      </c>
      <c r="K111" s="4" t="str">
        <f ca="1">IFERROR(__xludf.DUMMYFUNCTION("GOOGLETRANSLATE(D111,""en"",""ar"")"),"ب) مصر القديمة")</f>
        <v>ب) مصر القديمة</v>
      </c>
      <c r="L111" s="4" t="str">
        <f ca="1">IFERROR(__xludf.DUMMYFUNCTION("GOOGLETRANSLATE(E111,""en"",""ar"")"),"تُظهر النقوش البارزة من المقابر المصرية القديمة التي يعود تاريخها إلى آلاف السنين جنودًا ورياضيين يمارسون القتال بالعصي بأسلوب مشابه جدًا لأسلوب التحتيب الحديث.")</f>
        <v>تُظهر النقوش البارزة من المقابر المصرية القديمة التي يعود تاريخها إلى آلاف السنين جنودًا ورياضيين يمارسون القتال بالعصي بأسلوب مشابه جدًا لأسلوب التحتيب الحديث.</v>
      </c>
      <c r="M111" s="4"/>
      <c r="N111" s="4"/>
      <c r="O111" s="4"/>
      <c r="P111" s="4"/>
      <c r="Q111" s="4"/>
      <c r="R111" s="4"/>
      <c r="S111" s="4"/>
      <c r="T111" s="4"/>
      <c r="U111" s="4"/>
      <c r="V111" s="4"/>
      <c r="W111" s="4"/>
      <c r="X111" s="4"/>
      <c r="Y111" s="4"/>
      <c r="Z111" s="4"/>
      <c r="AA111" s="4"/>
      <c r="AB111" s="4"/>
      <c r="AC111" s="4"/>
      <c r="AD111" s="4"/>
      <c r="AE111" s="4"/>
      <c r="AF111" s="4"/>
      <c r="AG111" s="4"/>
    </row>
    <row r="112" spans="1:33" ht="22.5" customHeight="1" x14ac:dyDescent="0.25">
      <c r="A112" s="2"/>
      <c r="B112" s="2"/>
      <c r="C112" s="2"/>
      <c r="D112" s="2"/>
      <c r="E112" s="2"/>
      <c r="F112" s="4"/>
      <c r="G112" s="4"/>
      <c r="H112" s="6" t="s">
        <v>98</v>
      </c>
      <c r="I112" s="4" t="str">
        <f ca="1">IFERROR(__xludf.DUMMYFUNCTION("GOOGLETRANSLATE(B112,""en"",""ar"")"),"ماذا تُظهر هذه الصورة بالأبيض والأسود؟")</f>
        <v>ماذا تُظهر هذه الصورة بالأبيض والأسود؟</v>
      </c>
      <c r="J112" s="4" t="str">
        <f ca="1">IFERROR(__xludf.DUMMYFUNCTION("GOOGLETRANSLATE(C112,""en"",""ar"")"),"أ) صورة فوتوغرافية حديثة لمباراة مصارعة، ب) لوحة جدارية على مقبرة مصرية قديمة، ج) قطعة فخارية يونانية، د) زخرفة مخطوطة من العصور الوسطى")</f>
        <v>أ) صورة فوتوغرافية حديثة لمباراة مصارعة، ب) لوحة جدارية على مقبرة مصرية قديمة، ج) قطعة فخارية يونانية، د) زخرفة مخطوطة من العصور الوسطى</v>
      </c>
      <c r="K112" s="4" t="str">
        <f ca="1">IFERROR(__xludf.DUMMYFUNCTION("GOOGLETRANSLATE(D112,""en"",""ar"")"),"ب) رسمة جدارية لمقبرة مصرية قديمة")</f>
        <v>ب) رسمة جدارية لمقبرة مصرية قديمة</v>
      </c>
      <c r="L112" s="4" t="str">
        <f ca="1">IFERROR(__xludf.DUMMYFUNCTION("GOOGLETRANSLATE(E112,""en"",""ar"")"),"هذه صورة فوتوغرافية لنقش بارز من مقبرة مصرية قديمة، يظهر فرقة من الجنود.")</f>
        <v>هذه صورة فوتوغرافية لنقش بارز من مقبرة مصرية قديمة، يظهر فرقة من الجنود.</v>
      </c>
      <c r="M112" s="4"/>
      <c r="N112" s="4"/>
      <c r="O112" s="4"/>
      <c r="P112" s="4"/>
      <c r="Q112" s="4"/>
      <c r="R112" s="4"/>
      <c r="S112" s="4"/>
      <c r="T112" s="4"/>
      <c r="U112" s="4"/>
      <c r="V112" s="4"/>
      <c r="W112" s="4"/>
      <c r="X112" s="4"/>
      <c r="Y112" s="4"/>
      <c r="Z112" s="4"/>
      <c r="AA112" s="4"/>
      <c r="AB112" s="4"/>
      <c r="AC112" s="4"/>
      <c r="AD112" s="4"/>
      <c r="AE112" s="4"/>
      <c r="AF112" s="4"/>
      <c r="AG112" s="4"/>
    </row>
    <row r="113" spans="1:33" ht="22.5" customHeight="1" x14ac:dyDescent="0.25">
      <c r="A113" s="2"/>
      <c r="B113" s="2"/>
      <c r="C113" s="2"/>
      <c r="D113" s="2"/>
      <c r="E113" s="2"/>
      <c r="F113" s="4"/>
      <c r="G113" s="4"/>
      <c r="H113" s="7" t="s">
        <v>98</v>
      </c>
      <c r="I113" s="4" t="str">
        <f ca="1">IFERROR(__xludf.DUMMYFUNCTION("GOOGLETRANSLATE(B113,""en"",""ar"")"),"يُعتقد أن الجنود المصورين في هذه اللوحة هم...")</f>
        <v>يُعتقد أن الجنود المصورين في هذه اللوحة هم...</v>
      </c>
      <c r="J113" s="4" t="str">
        <f ca="1">IFERROR(__xludf.DUMMYFUNCTION("GOOGLETRANSLATE(C113,""en"",""ar"")"),"أ) جنود الفيالق الرومانية، ب) جنود المشاة اليونانيون، ج) المرتزقة النوبيون، د) الخالدون الفرس")</f>
        <v>أ) جنود الفيالق الرومانية، ب) جنود المشاة اليونانيون، ج) المرتزقة النوبيون، د) الخالدون الفرس</v>
      </c>
      <c r="K113" s="4" t="str">
        <f ca="1">IFERROR(__xludf.DUMMYFUNCTION("GOOGLETRANSLATE(D113,""en"",""ar"")"),"ج) المرتزقة النوبيون")</f>
        <v>ج) المرتزقة النوبيون</v>
      </c>
      <c r="L113" s="4" t="str">
        <f ca="1">IFERROR(__xludf.DUMMYFUNCTION("GOOGLETRANSLATE(E113,""en"",""ar"")"),"إن لون بشرة الجنود الداكن، وتسريحات شعرهم، ودورهم كمقاتلين من النخبة، كلها سمات مميزة لكيفية تصوير النوبيين وهم يخدمون في الجيش المصري.")</f>
        <v>إن لون بشرة الجنود الداكن، وتسريحات شعرهم، ودورهم كمقاتلين من النخبة، كلها سمات مميزة لكيفية تصوير النوبيين وهم يخدمون في الجيش المصري.</v>
      </c>
      <c r="M113" s="4"/>
      <c r="N113" s="4"/>
      <c r="O113" s="4"/>
      <c r="P113" s="4"/>
      <c r="Q113" s="4"/>
      <c r="R113" s="4"/>
      <c r="S113" s="4"/>
      <c r="T113" s="4"/>
      <c r="U113" s="4"/>
      <c r="V113" s="4"/>
      <c r="W113" s="4"/>
      <c r="X113" s="4"/>
      <c r="Y113" s="4"/>
      <c r="Z113" s="4"/>
      <c r="AA113" s="4"/>
      <c r="AB113" s="4"/>
      <c r="AC113" s="4"/>
      <c r="AD113" s="4"/>
      <c r="AE113" s="4"/>
      <c r="AF113" s="4"/>
      <c r="AG113" s="4"/>
    </row>
    <row r="114" spans="1:33" ht="22.5" customHeight="1" x14ac:dyDescent="0.25">
      <c r="A114" s="2"/>
      <c r="B114" s="2"/>
      <c r="C114" s="2"/>
      <c r="D114" s="2"/>
      <c r="E114" s="2"/>
      <c r="F114" s="4"/>
      <c r="G114" s="4"/>
      <c r="H114" s="6" t="s">
        <v>98</v>
      </c>
      <c r="I114" s="4" t="str">
        <f ca="1">IFERROR(__xludf.DUMMYFUNCTION("GOOGLETRANSLATE(B114,""en"",""ar"")"),"كانت منطقة النوبة تقع إلى __________ مصر القديمة.")</f>
        <v>كانت منطقة النوبة تقع إلى __________ مصر القديمة.</v>
      </c>
      <c r="J114" s="4" t="str">
        <f ca="1">IFERROR(__xludf.DUMMYFUNCTION("GOOGLETRANSLATE(C114,""en"",""ar"")"),"أ) الشمال، ب) الجنوب، ج) الشرق، د) الغرب")</f>
        <v>أ) الشمال، ب) الجنوب، ج) الشرق، د) الغرب</v>
      </c>
      <c r="K114" s="4" t="str">
        <f ca="1">IFERROR(__xludf.DUMMYFUNCTION("GOOGLETRANSLATE(D114,""en"",""ar"")"),"ب) الجنوب")</f>
        <v>ب) الجنوب</v>
      </c>
      <c r="L114" s="4" t="str">
        <f ca="1">IFERROR(__xludf.DUMMYFUNCTION("GOOGLETRANSLATE(E114,""en"",""ar"")"),"النوبة هي المنطقة التاريخية الواقعة على طول نهر النيل، جنوب مصر، في ما يُعرف الآن بشمال السودان.")</f>
        <v>النوبة هي المنطقة التاريخية الواقعة على طول نهر النيل، جنوب مصر، في ما يُعرف الآن بشمال السودان.</v>
      </c>
      <c r="M114" s="4"/>
      <c r="N114" s="4"/>
      <c r="O114" s="4"/>
      <c r="P114" s="4"/>
      <c r="Q114" s="4"/>
      <c r="R114" s="4"/>
      <c r="S114" s="4"/>
      <c r="T114" s="4"/>
      <c r="U114" s="4"/>
      <c r="V114" s="4"/>
      <c r="W114" s="4"/>
      <c r="X114" s="4"/>
      <c r="Y114" s="4"/>
      <c r="Z114" s="4"/>
      <c r="AA114" s="4"/>
      <c r="AB114" s="4"/>
      <c r="AC114" s="4"/>
      <c r="AD114" s="4"/>
      <c r="AE114" s="4"/>
      <c r="AF114" s="4"/>
      <c r="AG114" s="4"/>
    </row>
    <row r="115" spans="1:33" ht="22.5" customHeight="1" x14ac:dyDescent="0.25">
      <c r="A115" s="2"/>
      <c r="B115" s="2"/>
      <c r="C115" s="2"/>
      <c r="D115" s="2"/>
      <c r="E115" s="2"/>
      <c r="F115" s="4"/>
      <c r="G115" s="4"/>
      <c r="H115" s="7" t="s">
        <v>98</v>
      </c>
      <c r="I115" s="4" t="str">
        <f ca="1">IFERROR(__xludf.DUMMYFUNCTION("GOOGLETRANSLATE(B115,""en"",""ar"")"),"ماذا يحمل الجنود؟")</f>
        <v>ماذا يحمل الجنود؟</v>
      </c>
      <c r="J115" s="4" t="str">
        <f ca="1">IFERROR(__xludf.DUMMYFUNCTION("GOOGLETRANSLATE(C115,""en"",""ar"")"),"أ) أدوات زراعية، ب) شباك صيد، ج) رماح أو عصي قتال، د) آلات موسيقية")</f>
        <v>أ) أدوات زراعية، ب) شباك صيد، ج) رماح أو عصي قتال، د) آلات موسيقية</v>
      </c>
      <c r="K115" s="4" t="str">
        <f ca="1">IFERROR(__xludf.DUMMYFUNCTION("GOOGLETRANSLATE(D115,""en"",""ar"")"),"ج) الرماح أو العصي القتالية")</f>
        <v>ج) الرماح أو العصي القتالية</v>
      </c>
      <c r="L115" s="4" t="str">
        <f ca="1">IFERROR(__xludf.DUMMYFUNCTION("GOOGLETRANSLATE(E115,""en"",""ar"")"),"إنهم مسلحون للقتال، ويحمل كل منهم عصا طويلة أو رمحاً.")</f>
        <v>إنهم مسلحون للقتال، ويحمل كل منهم عصا طويلة أو رمحاً.</v>
      </c>
      <c r="M115" s="4"/>
      <c r="N115" s="4"/>
      <c r="O115" s="4"/>
      <c r="P115" s="4"/>
      <c r="Q115" s="4"/>
      <c r="R115" s="4"/>
      <c r="S115" s="4"/>
      <c r="T115" s="4"/>
      <c r="U115" s="4"/>
      <c r="V115" s="4"/>
      <c r="W115" s="4"/>
      <c r="X115" s="4"/>
      <c r="Y115" s="4"/>
      <c r="Z115" s="4"/>
      <c r="AA115" s="4"/>
      <c r="AB115" s="4"/>
      <c r="AC115" s="4"/>
      <c r="AD115" s="4"/>
      <c r="AE115" s="4"/>
      <c r="AF115" s="4"/>
      <c r="AG115" s="4"/>
    </row>
    <row r="116" spans="1:33" ht="22.5" customHeight="1" x14ac:dyDescent="0.25">
      <c r="A116" s="2"/>
      <c r="B116" s="2"/>
      <c r="C116" s="2"/>
      <c r="D116" s="2"/>
      <c r="E116" s="2"/>
      <c r="F116" s="4"/>
      <c r="G116" s="4"/>
      <c r="H116" s="6" t="s">
        <v>98</v>
      </c>
      <c r="I116" s="4" t="str">
        <f ca="1">IFERROR(__xludf.DUMMYFUNCTION("GOOGLETRANSLATE(B116,""en"",""ar"")"),"ماذا يرتدي الجنود؟")</f>
        <v>ماذا يرتدي الجنود؟</v>
      </c>
      <c r="J116" s="4" t="str">
        <f ca="1">IFERROR(__xludf.DUMMYFUNCTION("GOOGLETRANSLATE(C116,""en"",""ar"")"),"أ) دروع معدنية كاملة، ب) معاطف فرو ثقيلة، ج) مآزر بسيطة، بعضها بذيل حيوان، د) لا شيء")</f>
        <v>أ) دروع معدنية كاملة، ب) معاطف فرو ثقيلة، ج) مآزر بسيطة، بعضها بذيل حيوان، د) لا شيء</v>
      </c>
      <c r="K116" s="4" t="str">
        <f ca="1">IFERROR(__xludf.DUMMYFUNCTION("GOOGLETRANSLATE(D116,""en"",""ar"")"),"ج) مآزر بسيطة، بعضها مزين بذيول حيوانات")</f>
        <v>ج) مآزر بسيطة، بعضها مزين بذيول حيوانات</v>
      </c>
      <c r="L116" s="4" t="str">
        <f ca="1">IFERROR(__xludf.DUMMYFUNCTION("GOOGLETRANSLATE(E116,""en"",""ar"")"),"يرتدون التنانير الاسكتلندية البسيطة أو المآزر التي كانت الزي العسكري المعتاد. وقد تدل الذيول المرفقة على الرتبة أو تكون زينة طقسية.")</f>
        <v>يرتدون التنانير الاسكتلندية البسيطة أو المآزر التي كانت الزي العسكري المعتاد. وقد تدل الذيول المرفقة على الرتبة أو تكون زينة طقسية.</v>
      </c>
      <c r="M116" s="4"/>
      <c r="N116" s="4"/>
      <c r="O116" s="4"/>
      <c r="P116" s="4"/>
      <c r="Q116" s="4"/>
      <c r="R116" s="4"/>
      <c r="S116" s="4"/>
      <c r="T116" s="4"/>
      <c r="U116" s="4"/>
      <c r="V116" s="4"/>
      <c r="W116" s="4"/>
      <c r="X116" s="4"/>
      <c r="Y116" s="4"/>
      <c r="Z116" s="4"/>
      <c r="AA116" s="4"/>
      <c r="AB116" s="4"/>
      <c r="AC116" s="4"/>
      <c r="AD116" s="4"/>
      <c r="AE116" s="4"/>
      <c r="AF116" s="4"/>
      <c r="AG116" s="4"/>
    </row>
    <row r="117" spans="1:33" ht="22.5" customHeight="1" x14ac:dyDescent="0.25">
      <c r="A117" s="2"/>
      <c r="B117" s="2"/>
      <c r="C117" s="2"/>
      <c r="D117" s="2"/>
      <c r="E117" s="2"/>
      <c r="F117" s="4"/>
      <c r="G117" s="4"/>
      <c r="H117" s="7" t="s">
        <v>98</v>
      </c>
      <c r="I117" s="4" t="str">
        <f ca="1">IFERROR(__xludf.DUMMYFUNCTION("GOOGLETRANSLATE(B117,""en"",""ar"")"),"تُعد هذه القطعة الأثرية مهمة لأنها تقدم دليلاً تاريخياً على...")</f>
        <v>تُعد هذه القطعة الأثرية مهمة لأنها تقدم دليلاً تاريخياً على...</v>
      </c>
      <c r="J117" s="4" t="str">
        <f ca="1">IFERROR(__xludf.DUMMYFUNCTION("GOOGLETRANSLATE(C117,""en"",""ar"")"),"أ) النظام الغذائي للمصريين القدماء، ب) دور النوبيين في الجيش المصري، ج) اختراع الكتابة، د) أساليب الزراعة عند المصريين القدماء")</f>
        <v>أ) النظام الغذائي للمصريين القدماء، ب) دور النوبيين في الجيش المصري، ج) اختراع الكتابة، د) أساليب الزراعة عند المصريين القدماء</v>
      </c>
      <c r="K117" s="4" t="str">
        <f ca="1">IFERROR(__xludf.DUMMYFUNCTION("GOOGLETRANSLATE(D117,""en"",""ar"")"),"ب) دور النوبيين في الجيش المصري")</f>
        <v>ب) دور النوبيين في الجيش المصري</v>
      </c>
      <c r="L117" s="4" t="str">
        <f ca="1">IFERROR(__xludf.DUMMYFUNCTION("GOOGLETRANSLATE(E117,""en"",""ar"")"),"يُعد هذا النوع من الفن مصدراً أساسياً يُخبر المؤرخين عن تكوين جيوش الفرعون ومظهرها.")</f>
        <v>يُعد هذا النوع من الفن مصدراً أساسياً يُخبر المؤرخين عن تكوين جيوش الفرعون ومظهرها.</v>
      </c>
      <c r="M117" s="4"/>
      <c r="N117" s="4"/>
      <c r="O117" s="4"/>
      <c r="P117" s="4"/>
      <c r="Q117" s="4"/>
      <c r="R117" s="4"/>
      <c r="S117" s="4"/>
      <c r="T117" s="4"/>
      <c r="U117" s="4"/>
      <c r="V117" s="4"/>
      <c r="W117" s="4"/>
      <c r="X117" s="4"/>
      <c r="Y117" s="4"/>
      <c r="Z117" s="4"/>
      <c r="AA117" s="4"/>
      <c r="AB117" s="4"/>
      <c r="AC117" s="4"/>
      <c r="AD117" s="4"/>
      <c r="AE117" s="4"/>
      <c r="AF117" s="4"/>
      <c r="AG117" s="4"/>
    </row>
    <row r="118" spans="1:33" ht="22.5" customHeight="1" x14ac:dyDescent="0.25">
      <c r="A118" s="2"/>
      <c r="B118" s="2"/>
      <c r="C118" s="2"/>
      <c r="D118" s="2"/>
      <c r="E118" s="2"/>
      <c r="F118" s="4"/>
      <c r="G118" s="4"/>
      <c r="H118" s="6" t="s">
        <v>98</v>
      </c>
      <c r="I118" s="4" t="str">
        <f ca="1">IFERROR(__xludf.DUMMYFUNCTION("GOOGLETRANSLATE(B118,""en"",""ar"")"),"يتميز أسلوب اللوحة، الذي تظهر فيه جميع الشخصيات بشكل جانبي وتتحرك في انسجام تام، بأنه أسلوب مميز لـ...")</f>
        <v>يتميز أسلوب اللوحة، الذي تظهر فيه جميع الشخصيات بشكل جانبي وتتحرك في انسجام تام، بأنه أسلوب مميز لـ...</v>
      </c>
      <c r="J118" s="4" t="str">
        <f ca="1">IFERROR(__xludf.DUMMYFUNCTION("GOOGLETRANSLATE(C118,""en"",""ar"")"),"أ) الفن التجريدي الحديث، ب) الفن المصري القديم، ج) فن عصر النهضة، د) رسومات الكهوف")</f>
        <v>أ) الفن التجريدي الحديث، ب) الفن المصري القديم، ج) فن عصر النهضة، د) رسومات الكهوف</v>
      </c>
      <c r="K118" s="4" t="str">
        <f ca="1">IFERROR(__xludf.DUMMYFUNCTION("GOOGLETRANSLATE(D118,""en"",""ar"")"),"ب) الفن المصري القديم")</f>
        <v>ب) الفن المصري القديم</v>
      </c>
      <c r="L118" s="4" t="str">
        <f ca="1">IFERROR(__xludf.DUMMYFUNCTION("GOOGLETRANSLATE(E118,""en"",""ar"")"),"يُعد هذا التصوير المتقن والإيقاعي للشخصيات سمة مميزة للتقاليد الفنية المصرية.")</f>
        <v>يُعد هذا التصوير المتقن والإيقاعي للشخصيات سمة مميزة للتقاليد الفنية المصرية.</v>
      </c>
      <c r="M118" s="4"/>
      <c r="N118" s="4"/>
      <c r="O118" s="4"/>
      <c r="P118" s="4"/>
      <c r="Q118" s="4"/>
      <c r="R118" s="4"/>
      <c r="S118" s="4"/>
      <c r="T118" s="4"/>
      <c r="U118" s="4"/>
      <c r="V118" s="4"/>
      <c r="W118" s="4"/>
      <c r="X118" s="4"/>
      <c r="Y118" s="4"/>
      <c r="Z118" s="4"/>
      <c r="AA118" s="4"/>
      <c r="AB118" s="4"/>
      <c r="AC118" s="4"/>
      <c r="AD118" s="4"/>
      <c r="AE118" s="4"/>
      <c r="AF118" s="4"/>
      <c r="AG118" s="4"/>
    </row>
    <row r="119" spans="1:33" ht="22.5" customHeight="1" x14ac:dyDescent="0.25">
      <c r="A119" s="2"/>
      <c r="B119" s="2"/>
      <c r="C119" s="2"/>
      <c r="D119" s="2"/>
      <c r="E119" s="2"/>
      <c r="F119" s="4"/>
      <c r="G119" s="4"/>
      <c r="H119" s="7" t="s">
        <v>98</v>
      </c>
      <c r="I119" s="4" t="str">
        <f ca="1">IFERROR(__xludf.DUMMYFUNCTION("GOOGLETRANSLATE(B119,""en"",""ar"")"),"يبدو أن الجنود...")</f>
        <v>يبدو أن الجنود...</v>
      </c>
      <c r="J119" s="4" t="str">
        <f ca="1">IFERROR(__xludf.DUMMYFUNCTION("GOOGLETRANSLATE(C119,""en"",""ar"")"),"أ) الوقوف بلا حراك لالتقاط صورة شخصية، ب) السير أو التقدم في تشكيل منضبط، ج) الفرار من معركة، د) بناء هرم")</f>
        <v>أ) الوقوف بلا حراك لالتقاط صورة شخصية، ب) السير أو التقدم في تشكيل منضبط، ج) الفرار من معركة، د) بناء هرم</v>
      </c>
      <c r="K119" s="4" t="str">
        <f ca="1">IFERROR(__xludf.DUMMYFUNCTION("GOOGLETRANSLATE(D119,""en"",""ar"")"),"ب) السير أو التقدم في تشكيل منضبط")</f>
        <v>ب) السير أو التقدم في تشكيل منضبط</v>
      </c>
      <c r="L119" s="4" t="str">
        <f ca="1">IFERROR(__xludf.DUMMYFUNCTION("GOOGLETRANSLATE(E119,""en"",""ar"")"),"تشير وضعيتهم وحركتهم المتزامنة إلى وحدة عسكرية في حالة تحرك.")</f>
        <v>تشير وضعيتهم وحركتهم المتزامنة إلى وحدة عسكرية في حالة تحرك.</v>
      </c>
      <c r="M119" s="4"/>
      <c r="N119" s="4"/>
      <c r="O119" s="4"/>
      <c r="P119" s="4"/>
      <c r="Q119" s="4"/>
      <c r="R119" s="4"/>
      <c r="S119" s="4"/>
      <c r="T119" s="4"/>
      <c r="U119" s="4"/>
      <c r="V119" s="4"/>
      <c r="W119" s="4"/>
      <c r="X119" s="4"/>
      <c r="Y119" s="4"/>
      <c r="Z119" s="4"/>
      <c r="AA119" s="4"/>
      <c r="AB119" s="4"/>
      <c r="AC119" s="4"/>
      <c r="AD119" s="4"/>
      <c r="AE119" s="4"/>
      <c r="AF119" s="4"/>
      <c r="AG119" s="4"/>
    </row>
    <row r="120" spans="1:33" ht="22.5" customHeight="1" x14ac:dyDescent="0.25">
      <c r="A120" s="2"/>
      <c r="B120" s="2"/>
      <c r="C120" s="2"/>
      <c r="D120" s="2"/>
      <c r="E120" s="2"/>
      <c r="F120" s="4"/>
      <c r="G120" s="4"/>
      <c r="H120" s="6" t="s">
        <v>98</v>
      </c>
      <c r="I120" s="4" t="str">
        <f ca="1">IFERROR(__xludf.DUMMYFUNCTION("GOOGLETRANSLATE(B120,""en"",""ar"")"),"يبدو أن المشهد الصغير الموجود في المربع أعلى اليمين يُظهر...")</f>
        <v>يبدو أن المشهد الصغير الموجود في المربع أعلى اليمين يُظهر...</v>
      </c>
      <c r="J120" s="4" t="str">
        <f ca="1">IFERROR(__xludf.DUMMYFUNCTION("GOOGLETRANSLATE(C120,""en"",""ar"")"),"أ) خريطة لساحة المعركة، ب) شخصان يتصارعان، ج) رسالة بالهيروغليفية، د) تصوير للفرعون")</f>
        <v>أ) خريطة لساحة المعركة، ب) شخصان يتصارعان، ج) رسالة بالهيروغليفية، د) تصوير للفرعون</v>
      </c>
      <c r="K120" s="4" t="str">
        <f ca="1">IFERROR(__xludf.DUMMYFUNCTION("GOOGLETRANSLATE(D120,""en"",""ar"")"),"ب) شخصان يتصارعان")</f>
        <v>ب) شخصان يتصارعان</v>
      </c>
      <c r="L120" s="4" t="str">
        <f ca="1">IFERROR(__xludf.DUMMYFUNCTION("GOOGLETRANSLATE(E120,""en"",""ar"")"),"تُظهر هذه التفاصيل الصغيرة فنًا قتاليًا أو رياضة أخرى شائعة من نفس الفترة.")</f>
        <v>تُظهر هذه التفاصيل الصغيرة فنًا قتاليًا أو رياضة أخرى شائعة من نفس الفترة.</v>
      </c>
      <c r="M120" s="4"/>
      <c r="N120" s="4"/>
      <c r="O120" s="4"/>
      <c r="P120" s="4"/>
      <c r="Q120" s="4"/>
      <c r="R120" s="4"/>
      <c r="S120" s="4"/>
      <c r="T120" s="4"/>
      <c r="U120" s="4"/>
      <c r="V120" s="4"/>
      <c r="W120" s="4"/>
      <c r="X120" s="4"/>
      <c r="Y120" s="4"/>
      <c r="Z120" s="4"/>
      <c r="AA120" s="4"/>
      <c r="AB120" s="4"/>
      <c r="AC120" s="4"/>
      <c r="AD120" s="4"/>
      <c r="AE120" s="4"/>
      <c r="AF120" s="4"/>
      <c r="AG120" s="4"/>
    </row>
    <row r="121" spans="1:33" ht="22.5" customHeight="1" x14ac:dyDescent="0.25">
      <c r="A121" s="2"/>
      <c r="B121" s="2"/>
      <c r="C121" s="2"/>
      <c r="D121" s="2"/>
      <c r="E121" s="2"/>
      <c r="F121" s="4"/>
      <c r="G121" s="4"/>
      <c r="H121" s="7" t="s">
        <v>98</v>
      </c>
      <c r="I121" s="4" t="str">
        <f ca="1">IFERROR(__xludf.DUMMYFUNCTION("GOOGLETRANSLATE(B121,""en"",""ar"")"),"كان الجنود النوبيون يحظون بتقدير خاص في الجيش المصري لمهاراتهم كـ...")</f>
        <v>كان الجنود النوبيون يحظون بتقدير خاص في الجيش المصري لمهاراتهم كـ...</v>
      </c>
      <c r="J121" s="4" t="str">
        <f ca="1">IFERROR(__xludf.DUMMYFUNCTION("GOOGLETRANSLATE(C121,""en"",""ar"")"),"أ) سائقو العربات، ب) البحارة، ج) الرماة، د) المسعفون")</f>
        <v>أ) سائقو العربات، ب) البحارة، ج) الرماة، د) المسعفون</v>
      </c>
      <c r="K121" s="4" t="str">
        <f ca="1">IFERROR(__xludf.DUMMYFUNCTION("GOOGLETRANSLATE(D121,""en"",""ar"")"),"ج) الرماة")</f>
        <v>ج) الرماة</v>
      </c>
      <c r="L121" s="4" t="str">
        <f ca="1">IFERROR(__xludf.DUMMYFUNCTION("GOOGLETRANSLATE(E121,""en"",""ar"")"),"اشتهر النوبيون عالمياً بمهارتهم في استخدام القوس والسهم، وشكلوا فيلق الرماية النخبوي للفراعنة.")</f>
        <v>اشتهر النوبيون عالمياً بمهارتهم في استخدام القوس والسهم، وشكلوا فيلق الرماية النخبوي للفراعنة.</v>
      </c>
      <c r="M121" s="4"/>
      <c r="N121" s="4"/>
      <c r="O121" s="4"/>
      <c r="P121" s="4"/>
      <c r="Q121" s="4"/>
      <c r="R121" s="4"/>
      <c r="S121" s="4"/>
      <c r="T121" s="4"/>
      <c r="U121" s="4"/>
      <c r="V121" s="4"/>
      <c r="W121" s="4"/>
      <c r="X121" s="4"/>
      <c r="Y121" s="4"/>
      <c r="Z121" s="4"/>
      <c r="AA121" s="4"/>
      <c r="AB121" s="4"/>
      <c r="AC121" s="4"/>
      <c r="AD121" s="4"/>
      <c r="AE121" s="4"/>
      <c r="AF121" s="4"/>
      <c r="AG121" s="4"/>
    </row>
    <row r="122" spans="1:33" ht="22.5" customHeight="1" x14ac:dyDescent="0.25">
      <c r="A122" s="2"/>
      <c r="B122" s="2"/>
      <c r="C122" s="2"/>
      <c r="D122" s="2"/>
      <c r="E122" s="2"/>
      <c r="F122" s="4"/>
      <c r="G122" s="4"/>
      <c r="H122" s="6" t="s">
        <v>99</v>
      </c>
      <c r="I122" s="4" t="str">
        <f ca="1">IFERROR(__xludf.DUMMYFUNCTION("GOOGLETRANSLATE(B122,""en"",""ar"")"),"هذه صورة لشاب من جماعة رعوية في أي منطقة من أفريقيا؟")</f>
        <v>هذه صورة لشاب من جماعة رعوية في أي منطقة من أفريقيا؟</v>
      </c>
      <c r="J122" s="4" t="str">
        <f ca="1">IFERROR(__xludf.DUMMYFUNCTION("GOOGLETRANSLATE(C122,""en"",""ar"")"),"أ) شمال أفريقيا (الصحراء الكبرى)، ب) جنوب أفريقيا، ج) غرب أفريقيا، د) وادي الصدع في شرق أفريقيا (على سبيل المثال، إثيوبيا، كينيا، جنوب السودان)")</f>
        <v>أ) شمال أفريقيا (الصحراء الكبرى)، ب) جنوب أفريقيا، ج) غرب أفريقيا، د) وادي الصدع في شرق أفريقيا (على سبيل المثال، إثيوبيا، كينيا، جنوب السودان)</v>
      </c>
      <c r="K122" s="4" t="str">
        <f ca="1">IFERROR(__xludf.DUMMYFUNCTION("GOOGLETRANSLATE(D122,""en"",""ar"")"),"د) وادي الصدع في شرق أفريقيا (على سبيل المثال، إثيوبيا، كينيا، جنوب السودان)")</f>
        <v>د) وادي الصدع في شرق أفريقيا (على سبيل المثال، إثيوبيا، كينيا، جنوب السودان)</v>
      </c>
      <c r="L122" s="4" t="str">
        <f ca="1">IFERROR(__xludf.DUMMYFUNCTION("GOOGLETRANSLATE(E122,""en"",""ar"")"),"إن مظهر الشاب وخلفيته في السافانا هي سمات مميزة لشعوب مثل السوري، والمورسي، والتركانا.")</f>
        <v>إن مظهر الشاب وخلفيته في السافانا هي سمات مميزة لشعوب مثل السوري، والمورسي، والتركانا.</v>
      </c>
      <c r="M122" s="4"/>
      <c r="N122" s="4"/>
      <c r="O122" s="4"/>
      <c r="P122" s="4"/>
      <c r="Q122" s="4"/>
      <c r="R122" s="4"/>
      <c r="S122" s="4"/>
      <c r="T122" s="4"/>
      <c r="U122" s="4"/>
      <c r="V122" s="4"/>
      <c r="W122" s="4"/>
      <c r="X122" s="4"/>
      <c r="Y122" s="4"/>
      <c r="Z122" s="4"/>
      <c r="AA122" s="4"/>
      <c r="AB122" s="4"/>
      <c r="AC122" s="4"/>
      <c r="AD122" s="4"/>
      <c r="AE122" s="4"/>
      <c r="AF122" s="4"/>
      <c r="AG122" s="4"/>
    </row>
    <row r="123" spans="1:33" ht="22.5" customHeight="1" x14ac:dyDescent="0.25">
      <c r="A123" s="2"/>
      <c r="B123" s="2"/>
      <c r="C123" s="2"/>
      <c r="D123" s="2"/>
      <c r="E123" s="2"/>
      <c r="F123" s="4"/>
      <c r="G123" s="4"/>
      <c r="H123" s="7" t="s">
        <v>99</v>
      </c>
      <c r="I123" s="4" t="str">
        <f ca="1">IFERROR(__xludf.DUMMYFUNCTION("GOOGLETRANSLATE(B123,""en"",""ar"")"),"ما هو الغرض الأساسي من العصا الطويلة التي يحملها؟")</f>
        <v>ما هو الغرض الأساسي من العصا الطويلة التي يحملها؟</v>
      </c>
      <c r="J123" s="4" t="str">
        <f ca="1">IFERROR(__xludf.DUMMYFUNCTION("GOOGLETRANSLATE(C123,""en"",""ar"")"),"أ) إنها آلة موسيقية، ب) تُستخدم لرعي الماشية وللدفاع عن النفس، ج) إنها رمز للملكية، د) تُستخدم للصيد")</f>
        <v>أ) إنها آلة موسيقية، ب) تُستخدم لرعي الماشية وللدفاع عن النفس، ج) إنها رمز للملكية، د) تُستخدم للصيد</v>
      </c>
      <c r="K123" s="4" t="str">
        <f ca="1">IFERROR(__xludf.DUMMYFUNCTION("GOOGLETRANSLATE(D123,""en"",""ar"")"),"ب) يُستخدم لرعي الماشية وللدفاع عن النفس")</f>
        <v>ب) يُستخدم لرعي الماشية وللدفاع عن النفس</v>
      </c>
      <c r="L123" s="4" t="str">
        <f ca="1">IFERROR(__xludf.DUMMYFUNCTION("GOOGLETRANSLATE(E123,""en"",""ar"")"),"بالنسبة للشعوب الرعوية التي تعيش مع قطعان الماشية الخاصة بها، يعتبر العصا أداة أساسية لتوجيه الحيوانات وحمايتها.")</f>
        <v>بالنسبة للشعوب الرعوية التي تعيش مع قطعان الماشية الخاصة بها، يعتبر العصا أداة أساسية لتوجيه الحيوانات وحمايتها.</v>
      </c>
      <c r="M123" s="4"/>
      <c r="N123" s="4"/>
      <c r="O123" s="4"/>
      <c r="P123" s="4"/>
      <c r="Q123" s="4"/>
      <c r="R123" s="4"/>
      <c r="S123" s="4"/>
      <c r="T123" s="4"/>
      <c r="U123" s="4"/>
      <c r="V123" s="4"/>
      <c r="W123" s="4"/>
      <c r="X123" s="4"/>
      <c r="Y123" s="4"/>
      <c r="Z123" s="4"/>
      <c r="AA123" s="4"/>
      <c r="AB123" s="4"/>
      <c r="AC123" s="4"/>
      <c r="AD123" s="4"/>
      <c r="AE123" s="4"/>
      <c r="AF123" s="4"/>
      <c r="AG123" s="4"/>
    </row>
    <row r="124" spans="1:33" ht="22.5" customHeight="1" x14ac:dyDescent="0.25">
      <c r="A124" s="2"/>
      <c r="B124" s="2"/>
      <c r="C124" s="2"/>
      <c r="D124" s="2"/>
      <c r="E124" s="2"/>
      <c r="F124" s="4"/>
      <c r="G124" s="4"/>
      <c r="H124" s="6" t="s">
        <v>99</v>
      </c>
      <c r="I124" s="4" t="str">
        <f ca="1">IFERROR(__xludf.DUMMYFUNCTION("GOOGLETRANSLATE(B124,""en"",""ar"")"),"ما الذي يرتديه حول رقبته؟")</f>
        <v>ما الذي يرتديه حول رقبته؟</v>
      </c>
      <c r="J124" s="4" t="str">
        <f ca="1">IFERROR(__xludf.DUMMYFUNCTION("GOOGLETRANSLATE(C124,""en"",""ar"")"),"أ) ربطة عنق عصرية، ب) وشاح للحماية من البرد، ج) قلائد تقليدية من الخرز، د) سلسلة معدنية ثقيلة")</f>
        <v>أ) ربطة عنق عصرية، ب) وشاح للحماية من البرد، ج) قلائد تقليدية من الخرز، د) سلسلة معدنية ثقيلة</v>
      </c>
      <c r="K124" s="4" t="str">
        <f ca="1">IFERROR(__xludf.DUMMYFUNCTION("GOOGLETRANSLATE(D124,""en"",""ar"")"),"ج) القلائد التقليدية المصنوعة من الخرز")</f>
        <v>ج) القلائد التقليدية المصنوعة من الخرز</v>
      </c>
      <c r="L124" s="4" t="str">
        <f ca="1">IFERROR(__xludf.DUMMYFUNCTION("GOOGLETRANSLATE(E124,""en"",""ar"")"),"تُعدّ المجوهرات الملونة المصنوعة من الخرز شكلاً شائعاً ومهماً من أشكال التعبير الثقافي والزينة الشخصية في هذه المنطقة.")</f>
        <v>تُعدّ المجوهرات الملونة المصنوعة من الخرز شكلاً شائعاً ومهماً من أشكال التعبير الثقافي والزينة الشخصية في هذه المنطقة.</v>
      </c>
      <c r="M124" s="4"/>
      <c r="N124" s="4"/>
      <c r="O124" s="4"/>
      <c r="P124" s="4"/>
      <c r="Q124" s="4"/>
      <c r="R124" s="4"/>
      <c r="S124" s="4"/>
      <c r="T124" s="4"/>
      <c r="U124" s="4"/>
      <c r="V124" s="4"/>
      <c r="W124" s="4"/>
      <c r="X124" s="4"/>
      <c r="Y124" s="4"/>
      <c r="Z124" s="4"/>
      <c r="AA124" s="4"/>
      <c r="AB124" s="4"/>
      <c r="AC124" s="4"/>
      <c r="AD124" s="4"/>
      <c r="AE124" s="4"/>
      <c r="AF124" s="4"/>
      <c r="AG124" s="4"/>
    </row>
    <row r="125" spans="1:33" ht="22.5" customHeight="1" x14ac:dyDescent="0.25">
      <c r="A125" s="2"/>
      <c r="B125" s="2"/>
      <c r="C125" s="2"/>
      <c r="D125" s="2"/>
      <c r="E125" s="2"/>
      <c r="F125" s="4"/>
      <c r="G125" s="4"/>
      <c r="H125" s="7" t="s">
        <v>99</v>
      </c>
      <c r="I125" s="4" t="str">
        <f ca="1">IFERROR(__xludf.DUMMYFUNCTION("GOOGLETRANSLATE(B125,""en"",""ar"")"),"المشهد في الخلفية هو...")</f>
        <v>المشهد في الخلفية هو...</v>
      </c>
      <c r="J125" s="4" t="str">
        <f ca="1">IFERROR(__xludf.DUMMYFUNCTION("GOOGLETRANSLATE(C125,""en"",""ar"")"),"أ) غابة استوائية كثيفة، ب) شاطئ رملي، ج) سافانا عشبية متموجة، د) قمة جبلية ثلجية")</f>
        <v>أ) غابة استوائية كثيفة، ب) شاطئ رملي، ج) سافانا عشبية متموجة، د) قمة جبلية ثلجية</v>
      </c>
      <c r="K125" s="4" t="str">
        <f ca="1">IFERROR(__xludf.DUMMYFUNCTION("GOOGLETRANSLATE(D125,""en"",""ar"")"),"ج) سافانا عشبية وتلالية")</f>
        <v>ج) سافانا عشبية وتلالية</v>
      </c>
      <c r="L125" s="4" t="str">
        <f ca="1">IFERROR(__xludf.DUMMYFUNCTION("GOOGLETRANSLATE(E125,""en"",""ar"")"),"تُعدّ الأعشاب الجافة والتلال المتموجة من السمات المميزة لبيئة السافانا في شرق أفريقيا.")</f>
        <v>تُعدّ الأعشاب الجافة والتلال المتموجة من السمات المميزة لبيئة السافانا في شرق أفريقيا.</v>
      </c>
      <c r="M125" s="4"/>
      <c r="N125" s="4"/>
      <c r="O125" s="4"/>
      <c r="P125" s="4"/>
      <c r="Q125" s="4"/>
      <c r="R125" s="4"/>
      <c r="S125" s="4"/>
      <c r="T125" s="4"/>
      <c r="U125" s="4"/>
      <c r="V125" s="4"/>
      <c r="W125" s="4"/>
      <c r="X125" s="4"/>
      <c r="Y125" s="4"/>
      <c r="Z125" s="4"/>
      <c r="AA125" s="4"/>
      <c r="AB125" s="4"/>
      <c r="AC125" s="4"/>
      <c r="AD125" s="4"/>
      <c r="AE125" s="4"/>
      <c r="AF125" s="4"/>
      <c r="AG125" s="4"/>
    </row>
    <row r="126" spans="1:33" ht="22.5" customHeight="1" x14ac:dyDescent="0.25">
      <c r="A126" s="2"/>
      <c r="B126" s="2"/>
      <c r="C126" s="2"/>
      <c r="D126" s="2"/>
      <c r="E126" s="2"/>
      <c r="F126" s="4"/>
      <c r="G126" s="4"/>
      <c r="H126" s="6" t="s">
        <v>99</v>
      </c>
      <c r="I126" s="4" t="str">
        <f ca="1">IFERROR(__xludf.DUMMYFUNCTION("GOOGLETRANSLATE(B126,""en"",""ar"")"),"ما نوع نمط الحياة الذي تعيشه الجماعات الرعوية؟")</f>
        <v>ما نوع نمط الحياة الذي تعيشه الجماعات الرعوية؟</v>
      </c>
      <c r="J126" s="4" t="str">
        <f ca="1">IFERROR(__xludf.DUMMYFUNCTION("GOOGLETRANSLATE(C126,""en"",""ar"")"),"أ) حياة مستقرة في المدن الكبيرة، ب) حياة تتمحور حول زراعة المحاصيل، ج) حياة شبه بدوية تتمحور حول رعي الماشية، د) حياة تعتمد على صيد الأسماك والتجارة البحرية")</f>
        <v>أ) حياة مستقرة في المدن الكبيرة، ب) حياة تتمحور حول زراعة المحاصيل، ج) حياة شبه بدوية تتمحور حول رعي الماشية، د) حياة تعتمد على صيد الأسماك والتجارة البحرية</v>
      </c>
      <c r="K126" s="4" t="str">
        <f ca="1">IFERROR(__xludf.DUMMYFUNCTION("GOOGLETRANSLATE(D126,""en"",""ar"")"),"ج) حياة شبه بدوية تتمحور حول رعي الماشية")</f>
        <v>ج) حياة شبه بدوية تتمحور حول رعي الماشية</v>
      </c>
      <c r="L126" s="4" t="str">
        <f ca="1">IFERROR(__xludf.DUMMYFUNCTION("GOOGLETRANSLATE(E126,""en"",""ar"")"),"ينتقل الرعاة مع قطعانهم من الأبقار أو الماعز أو الأغنام بحثاً عن المراعي والمياه.")</f>
        <v>ينتقل الرعاة مع قطعانهم من الأبقار أو الماعز أو الأغنام بحثاً عن المراعي والمياه.</v>
      </c>
      <c r="M126" s="4"/>
      <c r="N126" s="4"/>
      <c r="O126" s="4"/>
      <c r="P126" s="4"/>
      <c r="Q126" s="4"/>
      <c r="R126" s="4"/>
      <c r="S126" s="4"/>
      <c r="T126" s="4"/>
      <c r="U126" s="4"/>
      <c r="V126" s="4"/>
      <c r="W126" s="4"/>
      <c r="X126" s="4"/>
      <c r="Y126" s="4"/>
      <c r="Z126" s="4"/>
      <c r="AA126" s="4"/>
      <c r="AB126" s="4"/>
      <c r="AC126" s="4"/>
      <c r="AD126" s="4"/>
      <c r="AE126" s="4"/>
      <c r="AF126" s="4"/>
      <c r="AG126" s="4"/>
    </row>
    <row r="127" spans="1:33" ht="22.5" customHeight="1" x14ac:dyDescent="0.25">
      <c r="A127" s="2"/>
      <c r="B127" s="2"/>
      <c r="C127" s="2"/>
      <c r="D127" s="2"/>
      <c r="E127" s="2"/>
      <c r="F127" s="4"/>
      <c r="G127" s="4"/>
      <c r="H127" s="7" t="s">
        <v>99</v>
      </c>
      <c r="I127" s="4" t="str">
        <f ca="1">IFERROR(__xludf.DUMMYFUNCTION("GOOGLETRANSLATE(B127,""en"",""ar"")"),"إن بنية الرجل الرشيقة والرياضية هي نتيجة لـ...")</f>
        <v>إن بنية الرجل الرشيقة والرياضية هي نتيجة لـ...</v>
      </c>
      <c r="J127" s="4" t="str">
        <f ca="1">IFERROR(__xludf.DUMMYFUNCTION("GOOGLETRANSLATE(C127,""en"",""ar"")"),"أ) نظام غذائي غني بالأطعمة المصنعة، ب) نمط حياة نشط يتطلب مجهودًا بدنيًا كبيرًا، ج) وظيفة مكتبية تتطلب الجلوس لفترات طويلة، د) العيش في مناخ بارد")</f>
        <v>أ) نظام غذائي غني بالأطعمة المصنعة، ب) نمط حياة نشط يتطلب مجهودًا بدنيًا كبيرًا، ج) وظيفة مكتبية تتطلب الجلوس لفترات طويلة، د) العيش في مناخ بارد</v>
      </c>
      <c r="K127" s="4" t="str">
        <f ca="1">IFERROR(__xludf.DUMMYFUNCTION("GOOGLETRANSLATE(D127,""en"",""ar"")"),"ب) نمط حياة نشط يتطلب مجهودًا بدنيًا كبيرًا")</f>
        <v>ب) نمط حياة نشط يتطلب مجهودًا بدنيًا كبيرًا</v>
      </c>
      <c r="L127" s="4" t="str">
        <f ca="1">IFERROR(__xludf.DUMMYFUNCTION("GOOGLETRANSLATE(E127,""en"",""ar"")"),"إن حياة المشي لمسافات طويلة وإدارة الماشية تؤدي إلى جسم رشيق وقوي بشكل طبيعي.")</f>
        <v>إن حياة المشي لمسافات طويلة وإدارة الماشية تؤدي إلى جسم رشيق وقوي بشكل طبيعي.</v>
      </c>
      <c r="M127" s="4"/>
      <c r="N127" s="4"/>
      <c r="O127" s="4"/>
      <c r="P127" s="4"/>
      <c r="Q127" s="4"/>
      <c r="R127" s="4"/>
      <c r="S127" s="4"/>
      <c r="T127" s="4"/>
      <c r="U127" s="4"/>
      <c r="V127" s="4"/>
      <c r="W127" s="4"/>
      <c r="X127" s="4"/>
      <c r="Y127" s="4"/>
      <c r="Z127" s="4"/>
      <c r="AA127" s="4"/>
      <c r="AB127" s="4"/>
      <c r="AC127" s="4"/>
      <c r="AD127" s="4"/>
      <c r="AE127" s="4"/>
      <c r="AF127" s="4"/>
      <c r="AG127" s="4"/>
    </row>
    <row r="128" spans="1:33" ht="22.5" customHeight="1" x14ac:dyDescent="0.25">
      <c r="A128" s="2"/>
      <c r="B128" s="2"/>
      <c r="C128" s="2"/>
      <c r="D128" s="2"/>
      <c r="E128" s="2"/>
      <c r="F128" s="4"/>
      <c r="G128" s="4"/>
      <c r="H128" s="6" t="s">
        <v>99</v>
      </c>
      <c r="I128" s="4" t="str">
        <f ca="1">IFERROR(__xludf.DUMMYFUNCTION("GOOGLETRANSLATE(B128,""en"",""ar"")"),"القماش الملفوف حول خصره هو...")</f>
        <v>القماش الملفوف حول خصره هو...</v>
      </c>
      <c r="J128" s="4" t="str">
        <f ca="1">IFERROR(__xludf.DUMMYFUNCTION("GOOGLETRANSLATE(C128,""en"",""ar"")"),"أ) قطعة الملابس الرئيسية، ب) بطانية للنوم، ج) منشفة للاستحمام، د) شكل من أشكال العملة")</f>
        <v>أ) قطعة الملابس الرئيسية، ب) بطانية للنوم، ج) منشفة للاستحمام، د) شكل من أشكال العملة</v>
      </c>
      <c r="K128" s="4" t="str">
        <f ca="1">IFERROR(__xludf.DUMMYFUNCTION("GOOGLETRANSLATE(D128,""en"",""ar"")"),"أ) قطعة ملابسه الرئيسية")</f>
        <v>أ) قطعة ملابسه الرئيسية</v>
      </c>
      <c r="L128" s="4" t="str">
        <f ca="1">IFERROR(__xludf.DUMMYFUNCTION("GOOGLETRANSLATE(E128,""en"",""ar"")"),"في المناخ الدافئ، غالباً ما يكون القماش الملفوف البسيط هو الثوب الأساسي أو الوحيد الذي يتم ارتداؤه.")</f>
        <v>في المناخ الدافئ، غالباً ما يكون القماش الملفوف البسيط هو الثوب الأساسي أو الوحيد الذي يتم ارتداؤه.</v>
      </c>
      <c r="M128" s="4"/>
      <c r="N128" s="4"/>
      <c r="O128" s="4"/>
      <c r="P128" s="4"/>
      <c r="Q128" s="4"/>
      <c r="R128" s="4"/>
      <c r="S128" s="4"/>
      <c r="T128" s="4"/>
      <c r="U128" s="4"/>
      <c r="V128" s="4"/>
      <c r="W128" s="4"/>
      <c r="X128" s="4"/>
      <c r="Y128" s="4"/>
      <c r="Z128" s="4"/>
      <c r="AA128" s="4"/>
      <c r="AB128" s="4"/>
      <c r="AC128" s="4"/>
      <c r="AD128" s="4"/>
      <c r="AE128" s="4"/>
      <c r="AF128" s="4"/>
      <c r="AG128" s="4"/>
    </row>
    <row r="129" spans="1:33" ht="22.5" customHeight="1" x14ac:dyDescent="0.25">
      <c r="A129" s="2"/>
      <c r="B129" s="2"/>
      <c r="C129" s="2"/>
      <c r="D129" s="2"/>
      <c r="E129" s="2"/>
      <c r="F129" s="4"/>
      <c r="G129" s="4"/>
      <c r="H129" s="7" t="s">
        <v>99</v>
      </c>
      <c r="I129" s="4" t="str">
        <f ca="1">IFERROR(__xludf.DUMMYFUNCTION("GOOGLETRANSLATE(B129,""en"",""ar"")"),"هذه الصورة هي...")</f>
        <v>هذه الصورة هي...</v>
      </c>
      <c r="J129" s="4" t="str">
        <f ca="1">IFERROR(__xludf.DUMMYFUNCTION("GOOGLETRANSLATE(C129,""en"",""ar"")"),"أ) لقطة عفوية لحركة قتال، ب) صورة شخصية رسمية، ج) صورة لمهرجان كبير، د) لوحة تاريخية")</f>
        <v>أ) لقطة عفوية لحركة قتال، ب) صورة شخصية رسمية، ج) صورة لمهرجان كبير، د) لوحة تاريخية</v>
      </c>
      <c r="K129" s="4" t="str">
        <f ca="1">IFERROR(__xludf.DUMMYFUNCTION("GOOGLETRANSLATE(D129,""en"",""ar"")"),"ب) صورة شخصية مُعدّة مسبقًا")</f>
        <v>ب) صورة شخصية مُعدّة مسبقًا</v>
      </c>
      <c r="L129" s="4" t="str">
        <f ca="1">IFERROR(__xludf.DUMMYFUNCTION("GOOGLETRANSLATE(E129,""en"",""ar"")"),"يقف الشاب بهدوء وينظر مباشرة إلى الكاميرا، مما يشير إلى أنه يتخذ وضعية تصوير أمام المصور.")</f>
        <v>يقف الشاب بهدوء وينظر مباشرة إلى الكاميرا، مما يشير إلى أنه يتخذ وضعية تصوير أمام المصور.</v>
      </c>
      <c r="M129" s="4"/>
      <c r="N129" s="4"/>
      <c r="O129" s="4"/>
      <c r="P129" s="4"/>
      <c r="Q129" s="4"/>
      <c r="R129" s="4"/>
      <c r="S129" s="4"/>
      <c r="T129" s="4"/>
      <c r="U129" s="4"/>
      <c r="V129" s="4"/>
      <c r="W129" s="4"/>
      <c r="X129" s="4"/>
      <c r="Y129" s="4"/>
      <c r="Z129" s="4"/>
      <c r="AA129" s="4"/>
      <c r="AB129" s="4"/>
      <c r="AC129" s="4"/>
      <c r="AD129" s="4"/>
      <c r="AE129" s="4"/>
      <c r="AF129" s="4"/>
      <c r="AG129" s="4"/>
    </row>
    <row r="130" spans="1:33" ht="22.5" customHeight="1" x14ac:dyDescent="0.25">
      <c r="A130" s="2"/>
      <c r="B130" s="2"/>
      <c r="C130" s="2"/>
      <c r="D130" s="2"/>
      <c r="E130" s="2"/>
      <c r="F130" s="4"/>
      <c r="G130" s="4"/>
      <c r="H130" s="6" t="s">
        <v>99</v>
      </c>
      <c r="I130" s="4" t="str">
        <f ca="1">IFERROR(__xludf.DUMMYFUNCTION("GOOGLETRANSLATE(B130,""en"",""ar"")"),"يرمز هذا العصا إلى ماذا؟")</f>
        <v>يرمز هذا العصا إلى ماذا؟</v>
      </c>
      <c r="J130" s="4" t="str">
        <f ca="1">IFERROR(__xludf.DUMMYFUNCTION("GOOGLETRANSLATE(C130,""en"",""ar"")"),"أ) السلام واللاعنف، ب) دور الرجل كراعٍ وحامٍ، ج) التواصل مع العالم الحديث، د) ثروة طائلة")</f>
        <v>أ) السلام واللاعنف، ب) دور الرجل كراعٍ وحامٍ، ج) التواصل مع العالم الحديث، د) ثروة طائلة</v>
      </c>
      <c r="K130" s="4" t="str">
        <f ca="1">IFERROR(__xludf.DUMMYFUNCTION("GOOGLETRANSLATE(D130,""en"",""ar"")"),"ب) دور الرجل كراعٍ وحامٍ")</f>
        <v>ب) دور الرجل كراعٍ وحامٍ</v>
      </c>
      <c r="L130" s="4" t="str">
        <f ca="1">IFERROR(__xludf.DUMMYFUNCTION("GOOGLETRANSLATE(E130,""en"",""ar"")"),"إن حمل العصا دليل على مسؤوليات الرجل واستعداده للدفاع عن قطيعه ومجتمعه.")</f>
        <v>إن حمل العصا دليل على مسؤوليات الرجل واستعداده للدفاع عن قطيعه ومجتمعه.</v>
      </c>
      <c r="M130" s="4"/>
      <c r="N130" s="4"/>
      <c r="O130" s="4"/>
      <c r="P130" s="4"/>
      <c r="Q130" s="4"/>
      <c r="R130" s="4"/>
      <c r="S130" s="4"/>
      <c r="T130" s="4"/>
      <c r="U130" s="4"/>
      <c r="V130" s="4"/>
      <c r="W130" s="4"/>
      <c r="X130" s="4"/>
      <c r="Y130" s="4"/>
      <c r="Z130" s="4"/>
      <c r="AA130" s="4"/>
      <c r="AB130" s="4"/>
      <c r="AC130" s="4"/>
      <c r="AD130" s="4"/>
      <c r="AE130" s="4"/>
      <c r="AF130" s="4"/>
      <c r="AG130" s="4"/>
    </row>
    <row r="131" spans="1:33" ht="22.5" customHeight="1" x14ac:dyDescent="0.25">
      <c r="A131" s="2"/>
      <c r="B131" s="2"/>
      <c r="C131" s="2"/>
      <c r="D131" s="2"/>
      <c r="E131" s="2"/>
      <c r="F131" s="4"/>
      <c r="G131" s="4"/>
      <c r="H131" s="7" t="s">
        <v>99</v>
      </c>
      <c r="I131" s="4" t="str">
        <f ca="1">IFERROR(__xludf.DUMMYFUNCTION("GOOGLETRANSLATE(B131,""en"",""ar"")"),"ينصب تركيز الصورة على...")</f>
        <v>ينصب تركيز الصورة على...</v>
      </c>
      <c r="J131" s="4" t="str">
        <f ca="1">IFERROR(__xludf.DUMMYFUNCTION("GOOGLETRANSLATE(C131,""en"",""ar"")"),"أ) جمال المنظر الطبيعي، ب) الفرد وهويته الثقافية، ج) قطيع الماشية في الخلفية، د) مهارة المصور")</f>
        <v>أ) جمال المنظر الطبيعي، ب) الفرد وهويته الثقافية، ج) قطيع الماشية في الخلفية، د) مهارة المصور</v>
      </c>
      <c r="K131" s="4" t="str">
        <f ca="1">IFERROR(__xludf.DUMMYFUNCTION("GOOGLETRANSLATE(D131,""en"",""ar"")"),"ب) الفرد وهويته الثقافية")</f>
        <v>ب) الفرد وهويته الثقافية</v>
      </c>
      <c r="L131" s="4" t="str">
        <f ca="1">IFERROR(__xludf.DUMMYFUNCTION("GOOGLETRANSLATE(E131,""en"",""ar"")"),"إنها صورة مؤثرة تجسد كرامة الشاب وأسلوبه الثقافي الفريد.")</f>
        <v>إنها صورة مؤثرة تجسد كرامة الشاب وأسلوبه الثقافي الفريد.</v>
      </c>
      <c r="M131" s="4"/>
      <c r="N131" s="4"/>
      <c r="O131" s="4"/>
      <c r="P131" s="4"/>
      <c r="Q131" s="4"/>
      <c r="R131" s="4"/>
      <c r="S131" s="4"/>
      <c r="T131" s="4"/>
      <c r="U131" s="4"/>
      <c r="V131" s="4"/>
      <c r="W131" s="4"/>
      <c r="X131" s="4"/>
      <c r="Y131" s="4"/>
      <c r="Z131" s="4"/>
      <c r="AA131" s="4"/>
      <c r="AB131" s="4"/>
      <c r="AC131" s="4"/>
      <c r="AD131" s="4"/>
      <c r="AE131" s="4"/>
      <c r="AF131" s="4"/>
      <c r="AG131" s="4"/>
    </row>
    <row r="132" spans="1:33" ht="22.5" customHeight="1" x14ac:dyDescent="0.25">
      <c r="A132" s="2"/>
      <c r="B132" s="2"/>
      <c r="C132" s="2"/>
      <c r="D132" s="2"/>
      <c r="E132" s="2"/>
      <c r="F132" s="4"/>
      <c r="G132" s="4"/>
      <c r="H132" s="6" t="s">
        <v>100</v>
      </c>
      <c r="I132" s="4" t="str">
        <f ca="1">IFERROR(__xludf.DUMMYFUNCTION("GOOGLETRANSLATE(B132,""en"",""ar"")"),"تُظهر هذه الصورة عرضًا عامًا لأي شكل من أشكال الفن التقليدي؟")</f>
        <v>تُظهر هذه الصورة عرضًا عامًا لأي شكل من أشكال الفن التقليدي؟</v>
      </c>
      <c r="J132" s="4" t="str">
        <f ca="1">IFERROR(__xludf.DUMMYFUNCTION("GOOGLETRANSLATE(C132,""en"",""ar"")"),"أ) مصارعة النوبة، ب) التحطب المصري، ج) مسرحية حديثة، د) احتجاج سياسي")</f>
        <v>أ) مصارعة النوبة، ب) التحطب المصري، ج) مسرحية حديثة، د) احتجاج سياسي</v>
      </c>
      <c r="K132" s="4" t="str">
        <f ca="1">IFERROR(__xludf.DUMMYFUNCTION("GOOGLETRANSLATE(D132,""en"",""ar"")"),"ب) التحطب المصري")</f>
        <v>ب) التحطب المصري</v>
      </c>
      <c r="L132" s="4" t="str">
        <f ca="1">IFERROR(__xludf.DUMMYFUNCTION("GOOGLETRANSLATE(E132,""en"",""ar"")"),"يرتدي الرجال الجلابيب المصرية التقليدية ويشاركون في رقصة طقوسية باستخدام العصي.")</f>
        <v>يرتدي الرجال الجلابيب المصرية التقليدية ويشاركون في رقصة طقوسية باستخدام العصي.</v>
      </c>
      <c r="M132" s="4"/>
      <c r="N132" s="4"/>
      <c r="O132" s="4"/>
      <c r="P132" s="4"/>
      <c r="Q132" s="4"/>
      <c r="R132" s="4"/>
      <c r="S132" s="4"/>
      <c r="T132" s="4"/>
      <c r="U132" s="4"/>
      <c r="V132" s="4"/>
      <c r="W132" s="4"/>
      <c r="X132" s="4"/>
      <c r="Y132" s="4"/>
      <c r="Z132" s="4"/>
      <c r="AA132" s="4"/>
      <c r="AB132" s="4"/>
      <c r="AC132" s="4"/>
      <c r="AD132" s="4"/>
      <c r="AE132" s="4"/>
      <c r="AF132" s="4"/>
      <c r="AG132" s="4"/>
    </row>
    <row r="133" spans="1:33" ht="22.5" customHeight="1" x14ac:dyDescent="0.25">
      <c r="A133" s="2"/>
      <c r="B133" s="2"/>
      <c r="C133" s="2"/>
      <c r="D133" s="2"/>
      <c r="E133" s="2"/>
      <c r="F133" s="4"/>
      <c r="G133" s="4"/>
      <c r="H133" s="7" t="s">
        <v>100</v>
      </c>
      <c r="I133" s="4" t="str">
        <f ca="1">IFERROR(__xludf.DUMMYFUNCTION("GOOGLETRANSLATE(B133,""en"",""ar"")"),"ما هو دور الرجال في الخلفية؟")</f>
        <v>ما هو دور الرجال في الخلفية؟</v>
      </c>
      <c r="J133" s="4" t="str">
        <f ca="1">IFERROR(__xludf.DUMMYFUNCTION("GOOGLETRANSLATE(C133,""en"",""ar"")"),"أ) ينتظرون دورهم في القتال التالي، ب) يقدمون عزفًا موسيقيًا حيًا، ج) هم الحكام، د) هم حراس الأمن")</f>
        <v>أ) ينتظرون دورهم في القتال التالي، ب) يقدمون عزفًا موسيقيًا حيًا، ج) هم الحكام، د) هم حراس الأمن</v>
      </c>
      <c r="K133" s="4" t="str">
        <f ca="1">IFERROR(__xludf.DUMMYFUNCTION("GOOGLETRANSLATE(D133,""en"",""ar"")"),"ب) يقدمون مصاحبة موسيقية حية")</f>
        <v>ب) يقدمون مصاحبة موسيقية حية</v>
      </c>
      <c r="L133" s="4" t="str">
        <f ca="1">IFERROR(__xludf.DUMMYFUNCTION("GOOGLETRANSLATE(E133,""en"",""ar"")"),"يُصاحب عرض التحطب التقليدي دائمًا موسيقى حية، تُعزف هنا بواسطة فرقة صغيرة تضم طبولًا وآلات نفخ.")</f>
        <v>يُصاحب عرض التحطب التقليدي دائمًا موسيقى حية، تُعزف هنا بواسطة فرقة صغيرة تضم طبولًا وآلات نفخ.</v>
      </c>
      <c r="M133" s="4"/>
      <c r="N133" s="4"/>
      <c r="O133" s="4"/>
      <c r="P133" s="4"/>
      <c r="Q133" s="4"/>
      <c r="R133" s="4"/>
      <c r="S133" s="4"/>
      <c r="T133" s="4"/>
      <c r="U133" s="4"/>
      <c r="V133" s="4"/>
      <c r="W133" s="4"/>
      <c r="X133" s="4"/>
      <c r="Y133" s="4"/>
      <c r="Z133" s="4"/>
      <c r="AA133" s="4"/>
      <c r="AB133" s="4"/>
      <c r="AC133" s="4"/>
      <c r="AD133" s="4"/>
      <c r="AE133" s="4"/>
      <c r="AF133" s="4"/>
      <c r="AG133" s="4"/>
    </row>
    <row r="134" spans="1:33" ht="22.5" customHeight="1" x14ac:dyDescent="0.25">
      <c r="A134" s="2"/>
      <c r="B134" s="2"/>
      <c r="C134" s="2"/>
      <c r="D134" s="2"/>
      <c r="E134" s="2"/>
      <c r="F134" s="4"/>
      <c r="G134" s="4"/>
      <c r="H134" s="6" t="s">
        <v>100</v>
      </c>
      <c r="I134" s="4" t="str">
        <f ca="1">IFERROR(__xludf.DUMMYFUNCTION("GOOGLETRANSLATE(B134,""en"",""ar"")"),"ماذا يفعل الممثلان الرئيسيان؟")</f>
        <v>ماذا يفعل الممثلان الرئيسيان؟</v>
      </c>
      <c r="J134" s="4" t="str">
        <f ca="1">IFERROR(__xludf.DUMMYFUNCTION("GOOGLETRANSLATE(C134,""en"",""ar"")"),"أ) إنهم منخرطون في شجار حقيقي وعنيف، ب) إنهم يتجادلون حول القواعد، ج) إنهم يؤدون مبارزة متزامنة تشبه الرقص، د) إنهم يتخذون وضعية لالتقاط صورة")</f>
        <v>أ) إنهم منخرطون في شجار حقيقي وعنيف، ب) إنهم يتجادلون حول القواعد، ج) إنهم يؤدون مبارزة متزامنة تشبه الرقص، د) إنهم يتخذون وضعية لالتقاط صورة</v>
      </c>
      <c r="K134" s="4" t="str">
        <f ca="1">IFERROR(__xludf.DUMMYFUNCTION("GOOGLETRANSLATE(D134,""en"",""ar"")"),"ج) إنهم يؤدون مبارزة متزامنة تشبه الرقص")</f>
        <v>ج) إنهم يؤدون مبارزة متزامنة تشبه الرقص</v>
      </c>
      <c r="L134" s="4" t="str">
        <f ca="1">IFERROR(__xludf.DUMMYFUNCTION("GOOGLETRANSLATE(E134,""en"",""ar"")"),"حركاتهم إيقاعية ومنسقة، وهي جزء من شكل الرقص التقليدي المعروف باسم ""تحيب"".")</f>
        <v>حركاتهم إيقاعية ومنسقة، وهي جزء من شكل الرقص التقليدي المعروف باسم "تحيب".</v>
      </c>
      <c r="M134" s="4"/>
      <c r="N134" s="4"/>
      <c r="O134" s="4"/>
      <c r="P134" s="4"/>
      <c r="Q134" s="4"/>
      <c r="R134" s="4"/>
      <c r="S134" s="4"/>
      <c r="T134" s="4"/>
      <c r="U134" s="4"/>
      <c r="V134" s="4"/>
      <c r="W134" s="4"/>
      <c r="X134" s="4"/>
      <c r="Y134" s="4"/>
      <c r="Z134" s="4"/>
      <c r="AA134" s="4"/>
      <c r="AB134" s="4"/>
      <c r="AC134" s="4"/>
      <c r="AD134" s="4"/>
      <c r="AE134" s="4"/>
      <c r="AF134" s="4"/>
      <c r="AG134" s="4"/>
    </row>
    <row r="135" spans="1:33" ht="22.5" customHeight="1" x14ac:dyDescent="0.25">
      <c r="A135" s="2"/>
      <c r="B135" s="2"/>
      <c r="C135" s="2"/>
      <c r="D135" s="2"/>
      <c r="E135" s="2"/>
      <c r="F135" s="4"/>
      <c r="G135" s="4"/>
      <c r="H135" s="7" t="s">
        <v>100</v>
      </c>
      <c r="I135" s="4" t="str">
        <f ca="1">IFERROR(__xludf.DUMMYFUNCTION("GOOGLETRANSLATE(B135,""en"",""ar"")"),"من المرجح أن يكون الإعداد...")</f>
        <v>من المرجح أن يكون الإعداد...</v>
      </c>
      <c r="J135" s="4" t="str">
        <f ca="1">IFERROR(__xludf.DUMMYFUNCTION("GOOGLETRANSLATE(C135,""en"",""ar"")"),"أ) قرية نائية، ب) ساحة عامة أو فناء في مدينة مصرية، ج) وسط الصحراء، د) مسرح داخلي")</f>
        <v>أ) قرية نائية، ب) ساحة عامة أو فناء في مدينة مصرية، ج) وسط الصحراء، د) مسرح داخلي</v>
      </c>
      <c r="K135" s="4" t="str">
        <f ca="1">IFERROR(__xludf.DUMMYFUNCTION("GOOGLETRANSLATE(D135,""en"",""ar"")"),"ب) ساحة عامة أو فناء في مدينة مصرية")</f>
        <v>ب) ساحة عامة أو فناء في مدينة مصرية</v>
      </c>
      <c r="L135" s="4" t="str">
        <f ca="1">IFERROR(__xludf.DUMMYFUNCTION("GOOGLETRANSLATE(E135,""en"",""ar"")"),"يُعد جدار الكتل الحجرية والأرضية المرصوفة من السمات المميزة للمناطق الحضرية التاريخية في مصر.")</f>
        <v>يُعد جدار الكتل الحجرية والأرضية المرصوفة من السمات المميزة للمناطق الحضرية التاريخية في مصر.</v>
      </c>
      <c r="M135" s="4"/>
      <c r="N135" s="4"/>
      <c r="O135" s="4"/>
      <c r="P135" s="4"/>
      <c r="Q135" s="4"/>
      <c r="R135" s="4"/>
      <c r="S135" s="4"/>
      <c r="T135" s="4"/>
      <c r="U135" s="4"/>
      <c r="V135" s="4"/>
      <c r="W135" s="4"/>
      <c r="X135" s="4"/>
      <c r="Y135" s="4"/>
      <c r="Z135" s="4"/>
      <c r="AA135" s="4"/>
      <c r="AB135" s="4"/>
      <c r="AC135" s="4"/>
      <c r="AD135" s="4"/>
      <c r="AE135" s="4"/>
      <c r="AF135" s="4"/>
      <c r="AG135" s="4"/>
    </row>
    <row r="136" spans="1:33" ht="22.5" customHeight="1" x14ac:dyDescent="0.25">
      <c r="A136" s="2"/>
      <c r="B136" s="2"/>
      <c r="C136" s="2"/>
      <c r="D136" s="2"/>
      <c r="E136" s="2"/>
      <c r="F136" s="4"/>
      <c r="G136" s="4"/>
      <c r="H136" s="6" t="s">
        <v>100</v>
      </c>
      <c r="I136" s="4" t="str">
        <f ca="1">IFERROR(__xludf.DUMMYFUNCTION("GOOGLETRANSLATE(B136,""en"",""ar"")"),"ما اسم السلاح الخشبي الطويل الذي يستخدمونه؟")</f>
        <v>ما اسم السلاح الخشبي الطويل الذي يستخدمونه؟</v>
      </c>
      <c r="J136" s="4" t="str">
        <f ca="1">IFERROR(__xludf.DUMMYFUNCTION("GOOGLETRANSLATE(C136,""en"",""ar"")"),"أ) رمح، ب) عصا، ج) سيف، د) هراوة")</f>
        <v>أ) رمح، ب) عصا، ج) سيف، د) هراوة</v>
      </c>
      <c r="K136" s="4" t="str">
        <f ca="1">IFERROR(__xludf.DUMMYFUNCTION("GOOGLETRANSLATE(D136,""en"",""ar"")"),"ب) آسا")</f>
        <v>ب) آسا</v>
      </c>
      <c r="L136" s="4" t="str">
        <f ca="1">IFERROR(__xludf.DUMMYFUNCTION("GOOGLETRANSLATE(E136,""en"",""ar"")"),"يُعرف العصا الطويلة المستخدمة في التحطب باسم ""آسا"".")</f>
        <v>يُعرف العصا الطويلة المستخدمة في التحطب باسم "آسا".</v>
      </c>
      <c r="M136" s="4"/>
      <c r="N136" s="4"/>
      <c r="O136" s="4"/>
      <c r="P136" s="4"/>
      <c r="Q136" s="4"/>
      <c r="R136" s="4"/>
      <c r="S136" s="4"/>
      <c r="T136" s="4"/>
      <c r="U136" s="4"/>
      <c r="V136" s="4"/>
      <c r="W136" s="4"/>
      <c r="X136" s="4"/>
      <c r="Y136" s="4"/>
      <c r="Z136" s="4"/>
      <c r="AA136" s="4"/>
      <c r="AB136" s="4"/>
      <c r="AC136" s="4"/>
      <c r="AD136" s="4"/>
      <c r="AE136" s="4"/>
      <c r="AF136" s="4"/>
      <c r="AG136" s="4"/>
    </row>
    <row r="137" spans="1:33" ht="22.5" customHeight="1" x14ac:dyDescent="0.25">
      <c r="A137" s="2"/>
      <c r="B137" s="2"/>
      <c r="C137" s="2"/>
      <c r="D137" s="2"/>
      <c r="E137" s="2"/>
      <c r="F137" s="4"/>
      <c r="G137" s="4"/>
      <c r="H137" s="7" t="s">
        <v>100</v>
      </c>
      <c r="I137" s="4" t="str">
        <f ca="1">IFERROR(__xludf.DUMMYFUNCTION("GOOGLETRANSLATE(B137,""en"",""ar"")"),"يرتدي المؤدون أزياء تقليدية (جلابيب) و...")</f>
        <v>يرتدي المؤدون أزياء تقليدية (جلابيب) و...</v>
      </c>
      <c r="J137" s="4" t="str">
        <f ca="1">IFERROR(__xludf.DUMMYFUNCTION("GOOGLETRANSLATE(C137,""en"",""ar"")"),"أ) الخوذات، ب) العمائم والأوشحة المزخرفة، ج) قبعات رعاة البقر، د) قبعات البيسبول")</f>
        <v>أ) الخوذات، ب) العمائم والأوشحة المزخرفة، ج) قبعات رعاة البقر، د) قبعات البيسبول</v>
      </c>
      <c r="K137" s="4" t="str">
        <f ca="1">IFERROR(__xludf.DUMMYFUNCTION("GOOGLETRANSLATE(D137,""en"",""ar"")"),"ب) العمائم والأوشحة المزخرفة")</f>
        <v>ب) العمائم والأوشحة المزخرفة</v>
      </c>
      <c r="L137" s="4" t="str">
        <f ca="1">IFERROR(__xludf.DUMMYFUNCTION("GOOGLETRANSLATE(E137,""en"",""ar"")"),"إنهم يرتدون عمامات بيضاء تقليدية، ويضعون أوشحة مزخرفة على أكتافهم.")</f>
        <v>إنهم يرتدون عمامات بيضاء تقليدية، ويضعون أوشحة مزخرفة على أكتافهم.</v>
      </c>
      <c r="M137" s="4"/>
      <c r="N137" s="4"/>
      <c r="O137" s="4"/>
      <c r="P137" s="4"/>
      <c r="Q137" s="4"/>
      <c r="R137" s="4"/>
      <c r="S137" s="4"/>
      <c r="T137" s="4"/>
      <c r="U137" s="4"/>
      <c r="V137" s="4"/>
      <c r="W137" s="4"/>
      <c r="X137" s="4"/>
      <c r="Y137" s="4"/>
      <c r="Z137" s="4"/>
      <c r="AA137" s="4"/>
      <c r="AB137" s="4"/>
      <c r="AC137" s="4"/>
      <c r="AD137" s="4"/>
      <c r="AE137" s="4"/>
      <c r="AF137" s="4"/>
      <c r="AG137" s="4"/>
    </row>
    <row r="138" spans="1:33" ht="22.5" customHeight="1" x14ac:dyDescent="0.25">
      <c r="A138" s="2"/>
      <c r="B138" s="2"/>
      <c r="C138" s="2"/>
      <c r="D138" s="2"/>
      <c r="E138" s="2"/>
      <c r="F138" s="4"/>
      <c r="G138" s="4"/>
      <c r="H138" s="6" t="s">
        <v>100</v>
      </c>
      <c r="I138" s="4" t="str">
        <f ca="1">IFERROR(__xludf.DUMMYFUNCTION("GOOGLETRANSLATE(B138,""en"",""ar"")"),"يبدو أن هذا الحدث...")</f>
        <v>يبدو أن هذا الحدث...</v>
      </c>
      <c r="J138" s="4" t="str">
        <f ca="1">IFERROR(__xludf.DUMMYFUNCTION("GOOGLETRANSLATE(C138,""en"",""ar"")"),"أ) حفل خاص، ب) شجار عفوي في الشارع، ج) عرض عام مُعد جيدًا، د) تدريب عسكري")</f>
        <v>أ) حفل خاص، ب) شجار عفوي في الشارع، ج) عرض عام مُعد جيدًا، د) تدريب عسكري</v>
      </c>
      <c r="K138" s="4" t="str">
        <f ca="1">IFERROR(__xludf.DUMMYFUNCTION("GOOGLETRANSLATE(D138,""en"",""ar"")"),"ج) أداء عام متقن التدريب")</f>
        <v>ج) أداء عام متقن التدريب</v>
      </c>
      <c r="L138" s="4" t="str">
        <f ca="1">IFERROR(__xludf.DUMMYFUNCTION("GOOGLETRANSLATE(E138,""en"",""ar"")"),"يشير وجود الموسيقيين وتصميم رقصات ""قتال"" منسق إلى عرض مخطط له أمام جمهور.")</f>
        <v>يشير وجود الموسيقيين وتصميم رقصات "قتال" منسق إلى عرض مخطط له أمام جمهور.</v>
      </c>
      <c r="M138" s="4"/>
      <c r="N138" s="4"/>
      <c r="O138" s="4"/>
      <c r="P138" s="4"/>
      <c r="Q138" s="4"/>
      <c r="R138" s="4"/>
      <c r="S138" s="4"/>
      <c r="T138" s="4"/>
      <c r="U138" s="4"/>
      <c r="V138" s="4"/>
      <c r="W138" s="4"/>
      <c r="X138" s="4"/>
      <c r="Y138" s="4"/>
      <c r="Z138" s="4"/>
      <c r="AA138" s="4"/>
      <c r="AB138" s="4"/>
      <c r="AC138" s="4"/>
      <c r="AD138" s="4"/>
      <c r="AE138" s="4"/>
      <c r="AF138" s="4"/>
      <c r="AG138" s="4"/>
    </row>
    <row r="139" spans="1:33" ht="22.5" customHeight="1" x14ac:dyDescent="0.25">
      <c r="A139" s="2"/>
      <c r="B139" s="2"/>
      <c r="C139" s="2"/>
      <c r="D139" s="2"/>
      <c r="E139" s="2"/>
      <c r="F139" s="4"/>
      <c r="G139" s="4"/>
      <c r="H139" s="7" t="s">
        <v>100</v>
      </c>
      <c r="I139" s="4" t="str">
        <f ca="1">IFERROR(__xludf.DUMMYFUNCTION("GOOGLETRANSLATE(B139,""en"",""ar"")"),"يعود أصل كلمة ""تحطيب"" إلى آلاف السنين، وهي متجذرة في...")</f>
        <v>يعود أصل كلمة "تحطيب" إلى آلاف السنين، وهي متجذرة في...</v>
      </c>
      <c r="J139" s="4" t="str">
        <f ca="1">IFERROR(__xludf.DUMMYFUNCTION("GOOGLETRANSLATE(C139,""en"",""ar"")"),"أ) التدريب العسكري المصري القديم، ب) نوع من الرقص الشعبي، ج) طقوس رعي الحيوانات، د) كل من أ و ب")</f>
        <v>أ) التدريب العسكري المصري القديم، ب) نوع من الرقص الشعبي، ج) طقوس رعي الحيوانات، د) كل من أ و ب</v>
      </c>
      <c r="K139" s="4" t="str">
        <f ca="1">IFERROR(__xludf.DUMMYFUNCTION("GOOGLETRANSLATE(D139,""en"",""ar"")"),"د) كل من أ و ب")</f>
        <v>د) كل من أ و ب</v>
      </c>
      <c r="L139" s="4" t="str">
        <f ca="1">IFERROR(__xludf.DUMMYFUNCTION("GOOGLETRANSLATE(E139,""en"",""ar"")"),"للطهيب أصول مزدوجة، فهو فن قتالي عملي للجنود، وشكل من أشكال الرقص الشعبي الاحتفالي.")</f>
        <v>للطهيب أصول مزدوجة، فهو فن قتالي عملي للجنود، وشكل من أشكال الرقص الشعبي الاحتفالي.</v>
      </c>
      <c r="M139" s="4"/>
      <c r="N139" s="4"/>
      <c r="O139" s="4"/>
      <c r="P139" s="4"/>
      <c r="Q139" s="4"/>
      <c r="R139" s="4"/>
      <c r="S139" s="4"/>
      <c r="T139" s="4"/>
      <c r="U139" s="4"/>
      <c r="V139" s="4"/>
      <c r="W139" s="4"/>
      <c r="X139" s="4"/>
      <c r="Y139" s="4"/>
      <c r="Z139" s="4"/>
      <c r="AA139" s="4"/>
      <c r="AB139" s="4"/>
      <c r="AC139" s="4"/>
      <c r="AD139" s="4"/>
      <c r="AE139" s="4"/>
      <c r="AF139" s="4"/>
      <c r="AG139" s="4"/>
    </row>
    <row r="140" spans="1:33" ht="22.5" customHeight="1" x14ac:dyDescent="0.25">
      <c r="A140" s="2"/>
      <c r="B140" s="2"/>
      <c r="C140" s="2"/>
      <c r="D140" s="2"/>
      <c r="E140" s="2"/>
      <c r="F140" s="4"/>
      <c r="G140" s="4"/>
      <c r="H140" s="6" t="s">
        <v>100</v>
      </c>
      <c r="I140" s="4" t="str">
        <f ca="1">IFERROR(__xludf.DUMMYFUNCTION("GOOGLETRANSLATE(B140,""en"",""ar"")"),"الرجل الموجود على اليمين يرفع عصاه عالياً، على الأرجح في منتصف...")</f>
        <v>الرجل الموجود على اليمين يرفع عصاه عالياً، على الأرجح في منتصف...</v>
      </c>
      <c r="J140" s="4" t="str">
        <f ca="1">IFERROR(__xludf.DUMMYFUNCTION("GOOGLETRANSLATE(C140,""en"",""ar"")"),"أ) صدة دفاعية، ب) حركة دورانية أو ضربة، ج) إشارة استسلام، د) انحناءة للجمهور")</f>
        <v>أ) صدة دفاعية، ب) حركة دورانية أو ضربة، ج) إشارة استسلام، د) انحناءة للجمهور</v>
      </c>
      <c r="K140" s="4" t="str">
        <f ca="1">IFERROR(__xludf.DUMMYFUNCTION("GOOGLETRANSLATE(D140,""en"",""ar"")"),"ب) حركة دورانية أو ضربة")</f>
        <v>ب) حركة دورانية أو ضربة</v>
      </c>
      <c r="L140" s="4" t="str">
        <f ca="1">IFERROR(__xludf.DUMMYFUNCTION("GOOGLETRANSLATE(E140,""en"",""ar"")"),"هذه الوضعية الديناميكية جزء من الرقصة، وتمثل هجوماً.")</f>
        <v>هذه الوضعية الديناميكية جزء من الرقصة، وتمثل هجوماً.</v>
      </c>
      <c r="M140" s="4"/>
      <c r="N140" s="4"/>
      <c r="O140" s="4"/>
      <c r="P140" s="4"/>
      <c r="Q140" s="4"/>
      <c r="R140" s="4"/>
      <c r="S140" s="4"/>
      <c r="T140" s="4"/>
      <c r="U140" s="4"/>
      <c r="V140" s="4"/>
      <c r="W140" s="4"/>
      <c r="X140" s="4"/>
      <c r="Y140" s="4"/>
      <c r="Z140" s="4"/>
      <c r="AA140" s="4"/>
      <c r="AB140" s="4"/>
      <c r="AC140" s="4"/>
      <c r="AD140" s="4"/>
      <c r="AE140" s="4"/>
      <c r="AF140" s="4"/>
      <c r="AG140" s="4"/>
    </row>
    <row r="141" spans="1:33" ht="22.5" customHeight="1" x14ac:dyDescent="0.25">
      <c r="A141" s="2"/>
      <c r="B141" s="2"/>
      <c r="C141" s="2"/>
      <c r="D141" s="2"/>
      <c r="E141" s="2"/>
      <c r="F141" s="4"/>
      <c r="G141" s="4"/>
      <c r="H141" s="7" t="s">
        <v>100</v>
      </c>
      <c r="I141" s="4" t="str">
        <f ca="1">IFERROR(__xludf.DUMMYFUNCTION("GOOGLETRANSLATE(B141,""en"",""ar"")"),"يُعد هذا العرض احتفالاً بـ...")</f>
        <v>يُعد هذا العرض احتفالاً بـ...</v>
      </c>
      <c r="J141" s="4" t="str">
        <f ca="1">IFERROR(__xludf.DUMMYFUNCTION("GOOGLETRANSLATE(C141,""en"",""ar"")"),"أ) معركة تاريخية، ب) موسم الحصاد، ج) الثقافة والتراث المصري، د) عطلة حديثة")</f>
        <v>أ) معركة تاريخية، ب) موسم الحصاد، ج) الثقافة والتراث المصري، د) عطلة حديثة</v>
      </c>
      <c r="K141" s="4" t="str">
        <f ca="1">IFERROR(__xludf.DUMMYFUNCTION("GOOGLETRANSLATE(D141,""en"",""ar"")"),"ج) الثقافة والتراث المصري")</f>
        <v>ج) الثقافة والتراث المصري</v>
      </c>
      <c r="L141" s="4" t="str">
        <f ca="1">IFERROR(__xludf.DUMMYFUNCTION("GOOGLETRANSLATE(E141,""en"",""ar"")"),"يُعدّ التحطب تقليداً حياً وجزءاً مهماً من التراث الثقافي غير المادي لمصر.")</f>
        <v>يُعدّ التحطب تقليداً حياً وجزءاً مهماً من التراث الثقافي غير المادي لمصر.</v>
      </c>
      <c r="M141" s="4"/>
      <c r="N141" s="4"/>
      <c r="O141" s="4"/>
      <c r="P141" s="4"/>
      <c r="Q141" s="4"/>
      <c r="R141" s="4"/>
      <c r="S141" s="4"/>
      <c r="T141" s="4"/>
      <c r="U141" s="4"/>
      <c r="V141" s="4"/>
      <c r="W141" s="4"/>
      <c r="X141" s="4"/>
      <c r="Y141" s="4"/>
      <c r="Z141" s="4"/>
      <c r="AA141" s="4"/>
      <c r="AB141" s="4"/>
      <c r="AC141" s="4"/>
      <c r="AD141" s="4"/>
      <c r="AE141" s="4"/>
      <c r="AF141" s="4"/>
      <c r="AG141" s="4"/>
    </row>
    <row r="142" spans="1:33" ht="22.5" customHeight="1" x14ac:dyDescent="0.25">
      <c r="A142" s="2"/>
      <c r="B142" s="2"/>
      <c r="C142" s="2"/>
      <c r="D142" s="2"/>
      <c r="E142" s="2"/>
      <c r="F142" s="4"/>
      <c r="G142" s="4"/>
      <c r="H142" s="6" t="s">
        <v>101</v>
      </c>
      <c r="I142" s="4" t="str">
        <f ca="1">IFERROR(__xludf.DUMMYFUNCTION("GOOGLETRANSLATE(B142,""en"",""ar"")"),"تُظهر هذه الصورة شكلاً من أشكال القتال بالعصي، وهو فن تقليدي في أي منطقة من أفريقيا؟")</f>
        <v>تُظهر هذه الصورة شكلاً من أشكال القتال بالعصي، وهو فن تقليدي في أي منطقة من أفريقيا؟</v>
      </c>
      <c r="J142" s="4" t="str">
        <f ca="1">IFERROR(__xludf.DUMMYFUNCTION("GOOGLETRANSLATE(C142,""en"",""ar"")"),"أ) شمال أفريقيا (مثل مصر)، ب) غرب أفريقيا (مثل نيجيريا)، ج) جنوب أفريقيا (مثل جنوب أفريقيا، زولولاند)، د) شرق أفريقيا (مثل إثيوبيا)")</f>
        <v>أ) شمال أفريقيا (مثل مصر)، ب) غرب أفريقيا (مثل نيجيريا)، ج) جنوب أفريقيا (مثل جنوب أفريقيا، زولولاند)، د) شرق أفريقيا (مثل إثيوبيا)</v>
      </c>
      <c r="K142" s="4" t="str">
        <f ca="1">IFERROR(__xludf.DUMMYFUNCTION("GOOGLETRANSLATE(D142,""en"",""ar"")"),"ج) جنوب أفريقيا (على سبيل المثال، جنوب أفريقيا، زولولاند)")</f>
        <v>ج) جنوب أفريقيا (على سبيل المثال، جنوب أفريقيا، زولولاند)</v>
      </c>
      <c r="L142" s="4" t="str">
        <f ca="1">IFERROR(__xludf.DUMMYFUNCTION("GOOGLETRANSLATE(E142,""en"",""ar"")"),"إن الزي، بما في ذلك مآزر جلد الحيوانات (أوموتشا) والدرع الصغير، هو سمة مميزة لشعب الزولو والشعوب النجوني ذات الصلة.")</f>
        <v>إن الزي، بما في ذلك مآزر جلد الحيوانات (أوموتشا) والدرع الصغير، هو سمة مميزة لشعب الزولو والشعوب النجوني ذات الصلة.</v>
      </c>
      <c r="M142" s="4"/>
      <c r="N142" s="4"/>
      <c r="O142" s="4"/>
      <c r="P142" s="4"/>
      <c r="Q142" s="4"/>
      <c r="R142" s="4"/>
      <c r="S142" s="4"/>
      <c r="T142" s="4"/>
      <c r="U142" s="4"/>
      <c r="V142" s="4"/>
      <c r="W142" s="4"/>
      <c r="X142" s="4"/>
      <c r="Y142" s="4"/>
      <c r="Z142" s="4"/>
      <c r="AA142" s="4"/>
      <c r="AB142" s="4"/>
      <c r="AC142" s="4"/>
      <c r="AD142" s="4"/>
      <c r="AE142" s="4"/>
      <c r="AF142" s="4"/>
      <c r="AG142" s="4"/>
    </row>
    <row r="143" spans="1:33" ht="22.5" customHeight="1" x14ac:dyDescent="0.25">
      <c r="A143" s="2"/>
      <c r="B143" s="2"/>
      <c r="C143" s="2"/>
      <c r="D143" s="2"/>
      <c r="E143" s="2"/>
      <c r="F143" s="4"/>
      <c r="G143" s="4"/>
      <c r="H143" s="7" t="s">
        <v>101</v>
      </c>
      <c r="I143" s="4" t="str">
        <f ca="1">IFERROR(__xludf.DUMMYFUNCTION("GOOGLETRANSLATE(B143,""en"",""ar"")"),"ما اسم الدرع الصغير الذي يحمله المقاتل على اليمين؟")</f>
        <v>ما اسم الدرع الصغير الذي يحمله المقاتل على اليمين؟</v>
      </c>
      <c r="J143" s="4" t="str">
        <f ca="1">IFERROR(__xludf.DUMMYFUNCTION("GOOGLETRANSLATE(C143,""en"",""ar"")"),"أ) الترس، ب) الإيهاو، ج) الدرع، د) التارج")</f>
        <v>أ) الترس، ب) الإيهاو، ج) الدرع، د) التارج</v>
      </c>
      <c r="K143" s="4" t="str">
        <f ca="1">IFERROR(__xludf.DUMMYFUNCTION("GOOGLETRANSLATE(D143,""en"",""ar"")"),"ب) أن إيهاو")</f>
        <v>ب) أن إيهاو</v>
      </c>
      <c r="L143" s="4" t="str">
        <f ca="1">IFERROR(__xludf.DUMMYFUNCTION("GOOGLETRANSLATE(E143,""en"",""ar"")"),"هذا هو الدرع الصغير التقليدي المستخدم في قتال العصي لدى شعب نغوني، ويستخدم لصد الضربات.")</f>
        <v>هذا هو الدرع الصغير التقليدي المستخدم في قتال العصي لدى شعب نغوني، ويستخدم لصد الضربات.</v>
      </c>
      <c r="M143" s="4"/>
      <c r="N143" s="4"/>
      <c r="O143" s="4"/>
      <c r="P143" s="4"/>
      <c r="Q143" s="4"/>
      <c r="R143" s="4"/>
      <c r="S143" s="4"/>
      <c r="T143" s="4"/>
      <c r="U143" s="4"/>
      <c r="V143" s="4"/>
      <c r="W143" s="4"/>
      <c r="X143" s="4"/>
      <c r="Y143" s="4"/>
      <c r="Z143" s="4"/>
      <c r="AA143" s="4"/>
      <c r="AB143" s="4"/>
      <c r="AC143" s="4"/>
      <c r="AD143" s="4"/>
      <c r="AE143" s="4"/>
      <c r="AF143" s="4"/>
      <c r="AG143" s="4"/>
    </row>
    <row r="144" spans="1:33" ht="22.5" customHeight="1" x14ac:dyDescent="0.25">
      <c r="A144" s="2"/>
      <c r="B144" s="2"/>
      <c r="C144" s="2"/>
      <c r="D144" s="2"/>
      <c r="E144" s="2"/>
      <c r="F144" s="4"/>
      <c r="G144" s="4"/>
      <c r="H144" s="6" t="s">
        <v>101</v>
      </c>
      <c r="I144" s="4" t="str">
        <f ca="1">IFERROR(__xludf.DUMMYFUNCTION("GOOGLETRANSLATE(B144,""en"",""ar"")"),"بالإضافة إلى عصا القتال الطويلة (إندوكو)، ما هو الشيء الآخر الذي يحمله المقاتل على اليمين؟")</f>
        <v>بالإضافة إلى عصا القتال الطويلة (إندوكو)، ما هو الشيء الآخر الذي يحمله المقاتل على اليمين؟</v>
      </c>
      <c r="J144" s="4" t="str">
        <f ca="1">IFERROR(__xludf.DUMMYFUNCTION("GOOGLETRANSLATE(C144,""en"",""ar"")"),"أ) عصا صغيرة للصد (إسيخويلي)، ب) رمح، ج) سكين، د) حبل")</f>
        <v>أ) عصا صغيرة للصد (إسيخويلي)، ب) رمح، ج) سكين، د) حبل</v>
      </c>
      <c r="K144" s="4" t="str">
        <f ca="1">IFERROR(__xludf.DUMMYFUNCTION("GOOGLETRANSLATE(D144,""en"",""ar"")"),"أ) عصا أصغر للصد (إيسيكويلى)")</f>
        <v>أ) عصا أصغر للصد (إيسيكويلى)</v>
      </c>
      <c r="L144" s="4" t="str">
        <f ca="1">IFERROR(__xludf.DUMMYFUNCTION("GOOGLETRANSLATE(E144,""en"",""ar"")"),"يستخدم المقاتلون تقليدياً عصا أطول للهجوم وعصا أقصر وأكثر سمكاً للدفاع.")</f>
        <v>يستخدم المقاتلون تقليدياً عصا أطول للهجوم وعصا أقصر وأكثر سمكاً للدفاع.</v>
      </c>
      <c r="M144" s="4"/>
      <c r="N144" s="4"/>
      <c r="O144" s="4"/>
      <c r="P144" s="4"/>
      <c r="Q144" s="4"/>
      <c r="R144" s="4"/>
      <c r="S144" s="4"/>
      <c r="T144" s="4"/>
      <c r="U144" s="4"/>
      <c r="V144" s="4"/>
      <c r="W144" s="4"/>
      <c r="X144" s="4"/>
      <c r="Y144" s="4"/>
      <c r="Z144" s="4"/>
      <c r="AA144" s="4"/>
      <c r="AB144" s="4"/>
      <c r="AC144" s="4"/>
      <c r="AD144" s="4"/>
      <c r="AE144" s="4"/>
      <c r="AF144" s="4"/>
      <c r="AG144" s="4"/>
    </row>
    <row r="145" spans="1:33" ht="22.5" customHeight="1" x14ac:dyDescent="0.25">
      <c r="A145" s="2"/>
      <c r="B145" s="2"/>
      <c r="C145" s="2"/>
      <c r="D145" s="2"/>
      <c r="E145" s="2"/>
      <c r="F145" s="4"/>
      <c r="G145" s="4"/>
      <c r="H145" s="7" t="s">
        <v>101</v>
      </c>
      <c r="I145" s="4" t="str">
        <f ca="1">IFERROR(__xludf.DUMMYFUNCTION("GOOGLETRANSLATE(B145,""en"",""ar"")"),"تُظهر الخلفية منازل تقليدية ذات شكل مميز. هذه هي...")</f>
        <v>تُظهر الخلفية منازل تقليدية ذات شكل مميز. هذه هي...</v>
      </c>
      <c r="J145" s="4" t="str">
        <f ca="1">IFERROR(__xludf.DUMMYFUNCTION("GOOGLETRANSLATE(C145,""en"",""ar"")"),"أ) منازل حديثة مبنية من الطوب، ب) أكواخ مسقوفة بالقش في حظيرة الماشية أو المزرعة، ج) الخيام، د) أكواخ خشبية")</f>
        <v>أ) منازل حديثة مبنية من الطوب، ب) أكواخ مسقوفة بالقش في حظيرة الماشية أو المزرعة، ج) الخيام، د) أكواخ خشبية</v>
      </c>
      <c r="K145" s="4" t="str">
        <f ca="1">IFERROR(__xludf.DUMMYFUNCTION("GOOGLETRANSLATE(D145,""en"",""ar"")"),"ب) أكواخ ذات أسقف من القش في حظيرة الماشية أو المزرعة")</f>
        <v>ب) أكواخ ذات أسقف من القش في حظيرة الماشية أو المزرعة</v>
      </c>
      <c r="L145" s="4" t="str">
        <f ca="1">IFERROR(__xludf.DUMMYFUNCTION("GOOGLETRANSLATE(E145,""en"",""ar"")"),"تعتبر الأكواخ التي تشبه خلايا النحل والسياج الخشبي من السمات المميزة للمساكن التقليدية لقبيلة الزولو.")</f>
        <v>تعتبر الأكواخ التي تشبه خلايا النحل والسياج الخشبي من السمات المميزة للمساكن التقليدية لقبيلة الزولو.</v>
      </c>
      <c r="M145" s="4"/>
      <c r="N145" s="4"/>
      <c r="O145" s="4"/>
      <c r="P145" s="4"/>
      <c r="Q145" s="4"/>
      <c r="R145" s="4"/>
      <c r="S145" s="4"/>
      <c r="T145" s="4"/>
      <c r="U145" s="4"/>
      <c r="V145" s="4"/>
      <c r="W145" s="4"/>
      <c r="X145" s="4"/>
      <c r="Y145" s="4"/>
      <c r="Z145" s="4"/>
      <c r="AA145" s="4"/>
      <c r="AB145" s="4"/>
      <c r="AC145" s="4"/>
      <c r="AD145" s="4"/>
      <c r="AE145" s="4"/>
      <c r="AF145" s="4"/>
      <c r="AG145" s="4"/>
    </row>
    <row r="146" spans="1:33" ht="22.5" customHeight="1" x14ac:dyDescent="0.25">
      <c r="A146" s="2"/>
      <c r="B146" s="2"/>
      <c r="C146" s="2"/>
      <c r="D146" s="2"/>
      <c r="E146" s="2"/>
      <c r="F146" s="4"/>
      <c r="G146" s="4"/>
      <c r="H146" s="6" t="s">
        <v>101</v>
      </c>
      <c r="I146" s="4" t="str">
        <f ca="1">IFERROR(__xludf.DUMMYFUNCTION("GOOGLETRANSLATE(B146,""en"",""ar"")"),"كان هذا النوع من القتال بالعصي تقليديًا وسيلة للشباب لـ...")</f>
        <v>كان هذا النوع من القتال بالعصي تقليديًا وسيلة للشباب لـ...</v>
      </c>
      <c r="J146" s="4" t="str">
        <f ca="1">IFERROR(__xludf.DUMMYFUNCTION("GOOGLETRANSLATE(C146,""en"",""ar"")"),"أ) تسوية النزاعات القانونية، ب) إثبات رجولتهم وكسب الاحترام، ج) البحث عن الطعام، د) استضافة الزوار الأجانب")</f>
        <v>أ) تسوية النزاعات القانونية، ب) إثبات رجولتهم وكسب الاحترام، ج) البحث عن الطعام، د) استضافة الزوار الأجانب</v>
      </c>
      <c r="K146" s="4" t="str">
        <f ca="1">IFERROR(__xludf.DUMMYFUNCTION("GOOGLETRANSLATE(D146,""en"",""ar"")"),"ب) لإثبات رجولتهم وكسب الاحترام")</f>
        <v>ب) لإثبات رجولتهم وكسب الاحترام</v>
      </c>
      <c r="L146" s="4" t="str">
        <f ca="1">IFERROR(__xludf.DUMMYFUNCTION("GOOGLETRANSLATE(E146,""en"",""ar"")"),"كان القتال بالعصي طقساً من طقوس العبور، ووسيلة لإظهار الشجاعة والمهارة والقوة، وهو أمر مهم لجذب العرائس واكتساب المكانة الاجتماعية.")</f>
        <v>كان القتال بالعصي طقساً من طقوس العبور، ووسيلة لإظهار الشجاعة والمهارة والقوة، وهو أمر مهم لجذب العرائس واكتساب المكانة الاجتماعية.</v>
      </c>
      <c r="M146" s="4"/>
      <c r="N146" s="4"/>
      <c r="O146" s="4"/>
      <c r="P146" s="4"/>
      <c r="Q146" s="4"/>
      <c r="R146" s="4"/>
      <c r="S146" s="4"/>
      <c r="T146" s="4"/>
      <c r="U146" s="4"/>
      <c r="V146" s="4"/>
      <c r="W146" s="4"/>
      <c r="X146" s="4"/>
      <c r="Y146" s="4"/>
      <c r="Z146" s="4"/>
      <c r="AA146" s="4"/>
      <c r="AB146" s="4"/>
      <c r="AC146" s="4"/>
      <c r="AD146" s="4"/>
      <c r="AE146" s="4"/>
      <c r="AF146" s="4"/>
      <c r="AG146" s="4"/>
    </row>
    <row r="147" spans="1:33" ht="22.5" customHeight="1" x14ac:dyDescent="0.25">
      <c r="A147" s="2"/>
      <c r="B147" s="2"/>
      <c r="C147" s="2"/>
      <c r="D147" s="2"/>
      <c r="E147" s="2"/>
      <c r="F147" s="4"/>
      <c r="G147" s="4"/>
      <c r="H147" s="7" t="s">
        <v>101</v>
      </c>
      <c r="I147" s="4" t="str">
        <f ca="1">IFERROR(__xludf.DUMMYFUNCTION("GOOGLETRANSLATE(B147,""en"",""ar"")"),"موقف المقاتلين هو...")</f>
        <v>موقف المقاتلين هو...</v>
      </c>
      <c r="J147" s="4" t="str">
        <f ca="1">IFERROR(__xludf.DUMMYFUNCTION("GOOGLETRANSLATE(C147,""en"",""ar"")"),"أ) منتصبة ومتصلبة، ب) منخفضة وعريضة وديناميكية، ج) جالسة على الأرض، د) مسترخية وعفوية")</f>
        <v>أ) منتصبة ومتصلبة، ب) منخفضة وعريضة وديناميكية، ج) جالسة على الأرض، د) مسترخية وعفوية</v>
      </c>
      <c r="K147" s="4" t="str">
        <f ca="1">IFERROR(__xludf.DUMMYFUNCTION("GOOGLETRANSLATE(D147,""en"",""ar"")"),"ب) منخفض، واسع، وديناميكي")</f>
        <v>ب) منخفض، واسع، وديناميكي</v>
      </c>
      <c r="L147" s="4" t="str">
        <f ca="1">IFERROR(__xludf.DUMMYFUNCTION("GOOGLETRANSLATE(E147,""en"",""ar"")"),"يوفر مركز ثقلها المنخفض الاستقرار ويسمح بحركات سريعة وقوية.")</f>
        <v>يوفر مركز ثقلها المنخفض الاستقرار ويسمح بحركات سريعة وقوية.</v>
      </c>
      <c r="M147" s="4"/>
      <c r="N147" s="4"/>
      <c r="O147" s="4"/>
      <c r="P147" s="4"/>
      <c r="Q147" s="4"/>
      <c r="R147" s="4"/>
      <c r="S147" s="4"/>
      <c r="T147" s="4"/>
      <c r="U147" s="4"/>
      <c r="V147" s="4"/>
      <c r="W147" s="4"/>
      <c r="X147" s="4"/>
      <c r="Y147" s="4"/>
      <c r="Z147" s="4"/>
      <c r="AA147" s="4"/>
      <c r="AB147" s="4"/>
      <c r="AC147" s="4"/>
      <c r="AD147" s="4"/>
      <c r="AE147" s="4"/>
      <c r="AF147" s="4"/>
      <c r="AG147" s="4"/>
    </row>
    <row r="148" spans="1:33" ht="22.5" customHeight="1" x14ac:dyDescent="0.25">
      <c r="A148" s="2"/>
      <c r="B148" s="2"/>
      <c r="C148" s="2"/>
      <c r="D148" s="2"/>
      <c r="E148" s="2"/>
      <c r="F148" s="4"/>
      <c r="G148" s="4"/>
      <c r="H148" s="6" t="s">
        <v>101</v>
      </c>
      <c r="I148" s="4" t="str">
        <f ca="1">IFERROR(__xludf.DUMMYFUNCTION("GOOGLETRANSLATE(B148,""en"",""ar"")"),"يرتدي المقاتلون ملابس تقليدية مصنوعة من...")</f>
        <v>يرتدي المقاتلون ملابس تقليدية مصنوعة من...</v>
      </c>
      <c r="J148" s="4" t="str">
        <f ca="1">IFERROR(__xludf.DUMMYFUNCTION("GOOGLETRANSLATE(C148,""en"",""ar"")"),"أ) قماش منسوج، ب) جلود وفراء الحيوانات، ج) أقمشة صناعية حديثة، د) دروع معدنية")</f>
        <v>أ) قماش منسوج، ب) جلود وفراء الحيوانات، ج) أقمشة صناعية حديثة، د) دروع معدنية</v>
      </c>
      <c r="K148" s="4" t="str">
        <f ca="1">IFERROR(__xludf.DUMMYFUNCTION("GOOGLETRANSLATE(D148,""en"",""ar"")"),"ب) جلود وفراء الحيوانات")</f>
        <v>ب) جلود وفراء الحيوانات</v>
      </c>
      <c r="L148" s="4" t="str">
        <f ca="1">IFERROR(__xludf.DUMMYFUNCTION("GOOGLETRANSLATE(E148,""en"",""ar"")"),"ملابسهم مصنوعة من جلود الحيوانات، مما يعكس السياق الثقافي.")</f>
        <v>ملابسهم مصنوعة من جلود الحيوانات، مما يعكس السياق الثقافي.</v>
      </c>
      <c r="M148" s="4"/>
      <c r="N148" s="4"/>
      <c r="O148" s="4"/>
      <c r="P148" s="4"/>
      <c r="Q148" s="4"/>
      <c r="R148" s="4"/>
      <c r="S148" s="4"/>
      <c r="T148" s="4"/>
      <c r="U148" s="4"/>
      <c r="V148" s="4"/>
      <c r="W148" s="4"/>
      <c r="X148" s="4"/>
      <c r="Y148" s="4"/>
      <c r="Z148" s="4"/>
      <c r="AA148" s="4"/>
      <c r="AB148" s="4"/>
      <c r="AC148" s="4"/>
      <c r="AD148" s="4"/>
      <c r="AE148" s="4"/>
      <c r="AF148" s="4"/>
      <c r="AG148" s="4"/>
    </row>
    <row r="149" spans="1:33" ht="22.5" customHeight="1" x14ac:dyDescent="0.25">
      <c r="A149" s="2"/>
      <c r="B149" s="2"/>
      <c r="C149" s="2"/>
      <c r="D149" s="2"/>
      <c r="E149" s="2"/>
      <c r="F149" s="4"/>
      <c r="G149" s="4"/>
      <c r="H149" s="7" t="s">
        <v>101</v>
      </c>
      <c r="I149" s="4" t="str">
        <f ca="1">IFERROR(__xludf.DUMMYFUNCTION("GOOGLETRANSLATE(B149,""en"",""ar"")"),"غالباً ما يوصف هذا النوع من القتال بأنه...")</f>
        <v>غالباً ما يوصف هذا النوع من القتال بأنه...</v>
      </c>
      <c r="J149" s="4" t="str">
        <f ca="1">IFERROR(__xludf.DUMMYFUNCTION("GOOGLETRANSLATE(C149,""en"",""ar"")"),"أ) رقصة قتالية، ب) طقوس بطيئة الإيقاع، ج) رياضة لا تتطلب احتكاكًا جسديًا، د) اختراع حديث")</f>
        <v>أ) رقصة قتالية، ب) طقوس بطيئة الإيقاع، ج) رياضة لا تتطلب احتكاكًا جسديًا، د) اختراع حديث</v>
      </c>
      <c r="K149" s="4" t="str">
        <f ca="1">IFERROR(__xludf.DUMMYFUNCTION("GOOGLETRANSLATE(D149,""en"",""ar"")"),"أ) رقصة ""قتالية""")</f>
        <v>أ) رقصة "قتالية"</v>
      </c>
      <c r="L149" s="4" t="str">
        <f ca="1">IFERROR(__xludf.DUMMYFUNCTION("GOOGLETRANSLATE(E149,""en"",""ar"")"),"ومثل العديد من تقاليد القتال بالعصي، فهي ذات إيقاع عالٍ وتتضمن حركات قدم معقدة، مما يجعلها تشبه الرقص.")</f>
        <v>ومثل العديد من تقاليد القتال بالعصي، فهي ذات إيقاع عالٍ وتتضمن حركات قدم معقدة، مما يجعلها تشبه الرقص.</v>
      </c>
      <c r="M149" s="4"/>
      <c r="N149" s="4"/>
      <c r="O149" s="4"/>
      <c r="P149" s="4"/>
      <c r="Q149" s="4"/>
      <c r="R149" s="4"/>
      <c r="S149" s="4"/>
      <c r="T149" s="4"/>
      <c r="U149" s="4"/>
      <c r="V149" s="4"/>
      <c r="W149" s="4"/>
      <c r="X149" s="4"/>
      <c r="Y149" s="4"/>
      <c r="Z149" s="4"/>
      <c r="AA149" s="4"/>
      <c r="AB149" s="4"/>
      <c r="AC149" s="4"/>
      <c r="AD149" s="4"/>
      <c r="AE149" s="4"/>
      <c r="AF149" s="4"/>
      <c r="AG149" s="4"/>
    </row>
    <row r="150" spans="1:33" ht="22.5" customHeight="1" x14ac:dyDescent="0.25">
      <c r="A150" s="2"/>
      <c r="B150" s="2"/>
      <c r="C150" s="2"/>
      <c r="D150" s="2"/>
      <c r="E150" s="2"/>
      <c r="F150" s="4"/>
      <c r="G150" s="4"/>
      <c r="H150" s="6" t="s">
        <v>101</v>
      </c>
      <c r="I150" s="4" t="str">
        <f ca="1">IFERROR(__xludf.DUMMYFUNCTION("GOOGLETRANSLATE(B150,""en"",""ar"")"),"يتنافس المقاتلون...")</f>
        <v>يتنافس المقاتلون...</v>
      </c>
      <c r="J150" s="4" t="str">
        <f ca="1">IFERROR(__xludf.DUMMYFUNCTION("GOOGLETRANSLATE(C150,""en"",""ar"")"),"أ) مع أحذية ثقيلة، ب) حافي القدمين أو مع صنادل بسيطة، ج) مع أحذية رياضية حديثة، د) مع أحذية مطلية بالمعدن")</f>
        <v>أ) مع أحذية ثقيلة، ب) حافي القدمين أو مع صنادل بسيطة، ج) مع أحذية رياضية حديثة، د) مع أحذية مطلية بالمعدن</v>
      </c>
      <c r="K150" s="4" t="str">
        <f ca="1">IFERROR(__xludf.DUMMYFUNCTION("GOOGLETRANSLATE(D150,""en"",""ar"")"),"ب) حافي القدمين أو يرتدي صندلاً بسيطاً")</f>
        <v>ب) حافي القدمين أو يرتدي صندلاً بسيطاً</v>
      </c>
      <c r="L150" s="4" t="str">
        <f ca="1">IFERROR(__xludf.DUMMYFUNCTION("GOOGLETRANSLATE(E150,""en"",""ar"")"),"يُتيح التنافس بأحذية خفيفة اتصالاً أفضل بالأرض وخفة الحركة.")</f>
        <v>يُتيح التنافس بأحذية خفيفة اتصالاً أفضل بالأرض وخفة الحركة.</v>
      </c>
      <c r="M150" s="4"/>
      <c r="N150" s="4"/>
      <c r="O150" s="4"/>
      <c r="P150" s="4"/>
      <c r="Q150" s="4"/>
      <c r="R150" s="4"/>
      <c r="S150" s="4"/>
      <c r="T150" s="4"/>
      <c r="U150" s="4"/>
      <c r="V150" s="4"/>
      <c r="W150" s="4"/>
      <c r="X150" s="4"/>
      <c r="Y150" s="4"/>
      <c r="Z150" s="4"/>
      <c r="AA150" s="4"/>
      <c r="AB150" s="4"/>
      <c r="AC150" s="4"/>
      <c r="AD150" s="4"/>
      <c r="AE150" s="4"/>
      <c r="AF150" s="4"/>
      <c r="AG150" s="4"/>
    </row>
    <row r="151" spans="1:33" ht="22.5" customHeight="1" x14ac:dyDescent="0.25">
      <c r="A151" s="2"/>
      <c r="B151" s="2"/>
      <c r="C151" s="2"/>
      <c r="D151" s="2"/>
      <c r="E151" s="2"/>
      <c r="F151" s="4"/>
      <c r="G151" s="4"/>
      <c r="H151" s="7" t="s">
        <v>101</v>
      </c>
      <c r="I151" s="4" t="str">
        <f ca="1">IFERROR(__xludf.DUMMYFUNCTION("GOOGLETRANSLATE(B151,""en"",""ar"")"),"هذه الصورة تجسد...")</f>
        <v>هذه الصورة تجسد...</v>
      </c>
      <c r="J151" s="4" t="str">
        <f ca="1">IFERROR(__xludf.DUMMYFUNCTION("GOOGLETRANSLATE(C151,""en"",""ar"")"),"أ) حدث رياضي حديث ترعاه الدولة، ب) تقليد ثقافي عريق، ج) مشهد من فيلم، د) تدريب عسكري")</f>
        <v>أ) حدث رياضي حديث ترعاه الدولة، ب) تقليد ثقافي عريق، ج) مشهد من فيلم، د) تدريب عسكري</v>
      </c>
      <c r="K151" s="4" t="str">
        <f ca="1">IFERROR(__xludf.DUMMYFUNCTION("GOOGLETRANSLATE(D151,""en"",""ar"")"),"ب) تقليد ثقافي خالد")</f>
        <v>ب) تقليد ثقافي خالد</v>
      </c>
      <c r="L151" s="4" t="str">
        <f ca="1">IFERROR(__xludf.DUMMYFUNCTION("GOOGLETRANSLATE(E151,""en"",""ar"")"),"تُظهر الصورة ممارسة ثقافية أصيلة في بيئتها التقليدية.")</f>
        <v>تُظهر الصورة ممارسة ثقافية أصيلة في بيئتها التقليدية.</v>
      </c>
      <c r="M151" s="4"/>
      <c r="N151" s="4"/>
      <c r="O151" s="4"/>
      <c r="P151" s="4"/>
      <c r="Q151" s="4"/>
      <c r="R151" s="4"/>
      <c r="S151" s="4"/>
      <c r="T151" s="4"/>
      <c r="U151" s="4"/>
      <c r="V151" s="4"/>
      <c r="W151" s="4"/>
      <c r="X151" s="4"/>
      <c r="Y151" s="4"/>
      <c r="Z151" s="4"/>
      <c r="AA151" s="4"/>
      <c r="AB151" s="4"/>
      <c r="AC151" s="4"/>
      <c r="AD151" s="4"/>
      <c r="AE151" s="4"/>
      <c r="AF151" s="4"/>
      <c r="AG151" s="4"/>
    </row>
    <row r="152" spans="1:33" ht="22.5" customHeight="1" x14ac:dyDescent="0.25">
      <c r="A152" s="2"/>
      <c r="B152" s="2"/>
      <c r="C152" s="2"/>
      <c r="D152" s="2"/>
      <c r="E152" s="2"/>
      <c r="F152" s="4"/>
      <c r="G152" s="4"/>
      <c r="H152" s="6" t="s">
        <v>102</v>
      </c>
      <c r="I152" s="4" t="str">
        <f ca="1">IFERROR(__xludf.DUMMYFUNCTION("GOOGLETRANSLATE(B152,""en"",""ar"")"),"ما هذه الأرقام؟")</f>
        <v>ما هذه الأرقام؟</v>
      </c>
      <c r="J152" s="4" t="str">
        <f ca="1">IFERROR(__xludf.DUMMYFUNCTION("GOOGLETRANSLATE(C152,""en"",""ar"")"),"أ) ألعاب بلاستيكية حديثة، ب) نماذج خشبية مصرية قديمة، ج) تماثيل بالحجم الطبيعي، د) قطع الشطرنج")</f>
        <v>أ) ألعاب بلاستيكية حديثة، ب) نماذج خشبية مصرية قديمة، ج) تماثيل بالحجم الطبيعي، د) قطع الشطرنج</v>
      </c>
      <c r="K152" s="4" t="str">
        <f ca="1">IFERROR(__xludf.DUMMYFUNCTION("GOOGLETRANSLATE(D152,""en"",""ar"")"),"ب) نماذج خشبية مصرية قديمة")</f>
        <v>ب) نماذج خشبية مصرية قديمة</v>
      </c>
      <c r="L152" s="4" t="str">
        <f ca="1">IFERROR(__xludf.DUMMYFUNCTION("GOOGLETRANSLATE(E152,""en"",""ar"")"),"هذه نماذج جنائزية قديمة لجنود نوبيين، تم اكتشافها في مقبرة مسهتي، وهو حاكم محلي من المملكة الوسطى (حوالي 2000 قبل الميلاد).")</f>
        <v>هذه نماذج جنائزية قديمة لجنود نوبيين، تم اكتشافها في مقبرة مسهتي، وهو حاكم محلي من المملكة الوسطى (حوالي 2000 قبل الميلاد).</v>
      </c>
      <c r="M152" s="4"/>
      <c r="N152" s="4"/>
      <c r="O152" s="4"/>
      <c r="P152" s="4"/>
      <c r="Q152" s="4"/>
      <c r="R152" s="4"/>
      <c r="S152" s="4"/>
      <c r="T152" s="4"/>
      <c r="U152" s="4"/>
      <c r="V152" s="4"/>
      <c r="W152" s="4"/>
      <c r="X152" s="4"/>
      <c r="Y152" s="4"/>
      <c r="Z152" s="4"/>
      <c r="AA152" s="4"/>
      <c r="AB152" s="4"/>
      <c r="AC152" s="4"/>
      <c r="AD152" s="4"/>
      <c r="AE152" s="4"/>
      <c r="AF152" s="4"/>
      <c r="AG152" s="4"/>
    </row>
    <row r="153" spans="1:33" ht="22.5" customHeight="1" x14ac:dyDescent="0.25">
      <c r="A153" s="2"/>
      <c r="B153" s="2"/>
      <c r="C153" s="2"/>
      <c r="D153" s="2"/>
      <c r="E153" s="2"/>
      <c r="F153" s="4"/>
      <c r="G153" s="4"/>
      <c r="H153" s="7" t="s">
        <v>102</v>
      </c>
      <c r="I153" s="4" t="str">
        <f ca="1">IFERROR(__xludf.DUMMYFUNCTION("GOOGLETRANSLATE(B153,""en"",""ar"")"),"ما الغرض من وضع نماذج كهذه في مقبرة مصرية قديمة؟")</f>
        <v>ما الغرض من وضع نماذج كهذه في مقبرة مصرية قديمة؟</v>
      </c>
      <c r="J153" s="4" t="str">
        <f ca="1">IFERROR(__xludf.DUMMYFUNCTION("GOOGLETRANSLATE(C153,""en"",""ar"")"),"أ) كانت ألعابًا للأطفال، ب) كانت مخصصة لخدمة وحماية الموتى في الآخرة، ج) كانت تُستخدم في التخطيط العسكري، د) كانت آلات موسيقية")</f>
        <v>أ) كانت ألعابًا للأطفال، ب) كانت مخصصة لخدمة وحماية الموتى في الآخرة، ج) كانت تُستخدم في التخطيط العسكري، د) كانت آلات موسيقية</v>
      </c>
      <c r="K153" s="4" t="str">
        <f ca="1">IFERROR(__xludf.DUMMYFUNCTION("GOOGLETRANSLATE(D153,""en"",""ar"")"),"ب) كان الغرض منها خدمة وحماية الموتى في الحياة الآخرة")</f>
        <v>ب) كان الغرض منها خدمة وحماية الموتى في الحياة الآخرة</v>
      </c>
      <c r="L153" s="4" t="str">
        <f ca="1">IFERROR(__xludf.DUMMYFUNCTION("GOOGLETRANSLATE(E153,""en"",""ar"")"),"كان المصريون القدماء يعتقدون أن نماذج الخدم والجنود والممتلكات ستصبح حقيقية بطريقة سحرية ليستخدمها صاحب المقبرة في الحياة الآخرة.")</f>
        <v>كان المصريون القدماء يعتقدون أن نماذج الخدم والجنود والممتلكات ستصبح حقيقية بطريقة سحرية ليستخدمها صاحب المقبرة في الحياة الآخرة.</v>
      </c>
      <c r="M153" s="4"/>
      <c r="N153" s="4"/>
      <c r="O153" s="4"/>
      <c r="P153" s="4"/>
      <c r="Q153" s="4"/>
      <c r="R153" s="4"/>
      <c r="S153" s="4"/>
      <c r="T153" s="4"/>
      <c r="U153" s="4"/>
      <c r="V153" s="4"/>
      <c r="W153" s="4"/>
      <c r="X153" s="4"/>
      <c r="Y153" s="4"/>
      <c r="Z153" s="4"/>
      <c r="AA153" s="4"/>
      <c r="AB153" s="4"/>
      <c r="AC153" s="4"/>
      <c r="AD153" s="4"/>
      <c r="AE153" s="4"/>
      <c r="AF153" s="4"/>
      <c r="AG153" s="4"/>
    </row>
    <row r="154" spans="1:33" ht="22.5" customHeight="1" x14ac:dyDescent="0.25">
      <c r="A154" s="2"/>
      <c r="B154" s="2"/>
      <c r="C154" s="2"/>
      <c r="D154" s="2"/>
      <c r="E154" s="2"/>
      <c r="F154" s="4"/>
      <c r="G154" s="4"/>
      <c r="H154" s="6" t="s">
        <v>102</v>
      </c>
      <c r="I154" s="4" t="str">
        <f ca="1">IFERROR(__xludf.DUMMYFUNCTION("GOOGLETRANSLATE(B154,""en"",""ar"")"),"يُعتقد أن الجنود المصورين من النوبة، وهي المنطقة...")</f>
        <v>يُعتقد أن الجنود المصورين من النوبة، وهي المنطقة...</v>
      </c>
      <c r="J154" s="4" t="str">
        <f ca="1">IFERROR(__xludf.DUMMYFUNCTION("GOOGLETRANSLATE(C154,""en"",""ar"")"),"أ) شمال مصر، ب) جنوب مصر، ج) شرق مصر، د) غرب مصر")</f>
        <v>أ) شمال مصر، ب) جنوب مصر، ج) شرق مصر، د) غرب مصر</v>
      </c>
      <c r="K154" s="4" t="str">
        <f ca="1">IFERROR(__xludf.DUMMYFUNCTION("GOOGLETRANSLATE(D154,""en"",""ar"")"),"ب) إلى جنوب مصر")</f>
        <v>ب) إلى جنوب مصر</v>
      </c>
      <c r="L154" s="4" t="str">
        <f ca="1">IFERROR(__xludf.DUMMYFUNCTION("GOOGLETRANSLATE(E154,""en"",""ar"")"),"النوبة هي المنطقة التاريخية الواقعة على طول نهر النيل، وتقع فيما يُعرف اليوم بشمال السودان وجنوب مصر.")</f>
        <v>النوبة هي المنطقة التاريخية الواقعة على طول نهر النيل، وتقع فيما يُعرف اليوم بشمال السودان وجنوب مصر.</v>
      </c>
      <c r="M154" s="4"/>
      <c r="N154" s="4"/>
      <c r="O154" s="4"/>
      <c r="P154" s="4"/>
      <c r="Q154" s="4"/>
      <c r="R154" s="4"/>
      <c r="S154" s="4"/>
      <c r="T154" s="4"/>
      <c r="U154" s="4"/>
      <c r="V154" s="4"/>
      <c r="W154" s="4"/>
      <c r="X154" s="4"/>
      <c r="Y154" s="4"/>
      <c r="Z154" s="4"/>
      <c r="AA154" s="4"/>
      <c r="AB154" s="4"/>
      <c r="AC154" s="4"/>
      <c r="AD154" s="4"/>
      <c r="AE154" s="4"/>
      <c r="AF154" s="4"/>
      <c r="AG154" s="4"/>
    </row>
    <row r="155" spans="1:33" ht="22.5" customHeight="1" x14ac:dyDescent="0.25">
      <c r="A155" s="2"/>
      <c r="B155" s="2"/>
      <c r="C155" s="2"/>
      <c r="D155" s="2"/>
      <c r="E155" s="2"/>
      <c r="F155" s="4"/>
      <c r="G155" s="4"/>
      <c r="H155" s="7" t="s">
        <v>102</v>
      </c>
      <c r="I155" s="4" t="str">
        <f ca="1">IFERROR(__xludf.DUMMYFUNCTION("GOOGLETRANSLATE(B155,""en"",""ar"")"),"ما هي الأسلحة التي يحملها هؤلاء الجنود؟")</f>
        <v>ما هي الأسلحة التي يحملها هؤلاء الجنود؟</v>
      </c>
      <c r="J155" s="4" t="str">
        <f ca="1">IFERROR(__xludf.DUMMYFUNCTION("GOOGLETRANSLATE(C155,""en"",""ar"")"),"أ) السيوف والدروع، ب) الأقواس والسهام، ج) الرماح والدروع، د) هم غير مسلحين")</f>
        <v>أ) السيوف والدروع، ب) الأقواس والسهام، ج) الرماح والدروع، د) هم غير مسلحين</v>
      </c>
      <c r="K155" s="4" t="str">
        <f ca="1">IFERROR(__xludf.DUMMYFUNCTION("GOOGLETRANSLATE(D155,""en"",""ar"")"),"ج) الرماح والدروع")</f>
        <v>ج) الرماح والدروع</v>
      </c>
      <c r="L155" s="4" t="str">
        <f ca="1">IFERROR(__xludf.DUMMYFUNCTION("GOOGLETRANSLATE(E155,""en"",""ar"")"),"تم تجهيز النماذج كجنود مشاة، يحمل كل منهم رمحًا طويلًا ودرعًا.")</f>
        <v>تم تجهيز النماذج كجنود مشاة، يحمل كل منهم رمحًا طويلًا ودرعًا.</v>
      </c>
      <c r="M155" s="4"/>
      <c r="N155" s="4"/>
      <c r="O155" s="4"/>
      <c r="P155" s="4"/>
      <c r="Q155" s="4"/>
      <c r="R155" s="4"/>
      <c r="S155" s="4"/>
      <c r="T155" s="4"/>
      <c r="U155" s="4"/>
      <c r="V155" s="4"/>
      <c r="W155" s="4"/>
      <c r="X155" s="4"/>
      <c r="Y155" s="4"/>
      <c r="Z155" s="4"/>
      <c r="AA155" s="4"/>
      <c r="AB155" s="4"/>
      <c r="AC155" s="4"/>
      <c r="AD155" s="4"/>
      <c r="AE155" s="4"/>
      <c r="AF155" s="4"/>
      <c r="AG155" s="4"/>
    </row>
    <row r="156" spans="1:33" ht="22.5" customHeight="1" x14ac:dyDescent="0.25">
      <c r="A156" s="2"/>
      <c r="B156" s="2"/>
      <c r="C156" s="2"/>
      <c r="D156" s="2"/>
      <c r="E156" s="2"/>
      <c r="F156" s="4"/>
      <c r="G156" s="4"/>
      <c r="H156" s="6" t="s">
        <v>102</v>
      </c>
      <c r="I156" s="4" t="str">
        <f ca="1">IFERROR(__xludf.DUMMYFUNCTION("GOOGLETRANSLATE(B156,""en"",""ar"")"),"من المحتمل أن تكون ألوان بشرة الجنود المختلفة في النموذج الأصلي قد مثلت...")</f>
        <v>من المحتمل أن تكون ألوان بشرة الجنود المختلفة في النموذج الأصلي قد مثلت...</v>
      </c>
      <c r="J156" s="4" t="str">
        <f ca="1">IFERROR(__xludf.DUMMYFUNCTION("GOOGLETRANSLATE(C156,""en"",""ar"")"),"أ) رتب مختلفة، ب) جنود من مناطق مختلفة (مثل المصريين والنوبيين)، ج) أعمار الجنود، د) اختيار فني عشوائي")</f>
        <v>أ) رتب مختلفة، ب) جنود من مناطق مختلفة (مثل المصريين والنوبيين)، ج) أعمار الجنود، د) اختيار فني عشوائي</v>
      </c>
      <c r="K156" s="4" t="str">
        <f ca="1">IFERROR(__xludf.DUMMYFUNCTION("GOOGLETRANSLATE(D156,""en"",""ar"")"),"ب) جنود من مناطق مختلفة (مثل المصريين والنوبيين)")</f>
        <v>ب) جنود من مناطق مختلفة (مثل المصريين والنوبيين)</v>
      </c>
      <c r="L156" s="4" t="str">
        <f ca="1">IFERROR(__xludf.DUMMYFUNCTION("GOOGLETRANSLATE(E156,""en"",""ar"")"),"أظهرت النماذج الأصلية جنودًا ذوي بشرة مصرية وأخرى نوبية داكنة، مما يعكس الطبيعة المتنوعة للجيش المصري.")</f>
        <v>أظهرت النماذج الأصلية جنودًا ذوي بشرة مصرية وأخرى نوبية داكنة، مما يعكس الطبيعة المتنوعة للجيش المصري.</v>
      </c>
      <c r="M156" s="4"/>
      <c r="N156" s="4"/>
      <c r="O156" s="4"/>
      <c r="P156" s="4"/>
      <c r="Q156" s="4"/>
      <c r="R156" s="4"/>
      <c r="S156" s="4"/>
      <c r="T156" s="4"/>
      <c r="U156" s="4"/>
      <c r="V156" s="4"/>
      <c r="W156" s="4"/>
      <c r="X156" s="4"/>
      <c r="Y156" s="4"/>
      <c r="Z156" s="4"/>
      <c r="AA156" s="4"/>
      <c r="AB156" s="4"/>
      <c r="AC156" s="4"/>
      <c r="AD156" s="4"/>
      <c r="AE156" s="4"/>
      <c r="AF156" s="4"/>
      <c r="AG156" s="4"/>
    </row>
    <row r="157" spans="1:33" ht="22.5" customHeight="1" x14ac:dyDescent="0.25">
      <c r="A157" s="2"/>
      <c r="B157" s="2"/>
      <c r="C157" s="2"/>
      <c r="D157" s="2"/>
      <c r="E157" s="2"/>
      <c r="F157" s="4"/>
      <c r="G157" s="4"/>
      <c r="H157" s="7" t="s">
        <v>102</v>
      </c>
      <c r="I157" s="4" t="str">
        <f ca="1">IFERROR(__xludf.DUMMYFUNCTION("GOOGLETRANSLATE(B157,""en"",""ar"")"),"تُعد هذه النماذج مصدراً تاريخياً هاماً لأنها...")</f>
        <v>تُعد هذه النماذج مصدراً تاريخياً هاماً لأنها...</v>
      </c>
      <c r="J157" s="4" t="str">
        <f ca="1">IFERROR(__xludf.DUMMYFUNCTION("GOOGLETRANSLATE(C157,""en"",""ar"")"),"أ) توفر معلومات مفصلة عن المعدات والتشكيلات العسكرية القديمة، ب) هي الأعمال الفنية الوحيدة التي عُثر عليها في مقبرة مصرية، ج) تحتوي على خريطة سرية لكنز، د) مصنوعة من الذهب الخالص")</f>
        <v>أ) توفر معلومات مفصلة عن المعدات والتشكيلات العسكرية القديمة، ب) هي الأعمال الفنية الوحيدة التي عُثر عليها في مقبرة مصرية، ج) تحتوي على خريطة سرية لكنز، د) مصنوعة من الذهب الخالص</v>
      </c>
      <c r="K157" s="4" t="str">
        <f ca="1">IFERROR(__xludf.DUMMYFUNCTION("GOOGLETRANSLATE(D157,""en"",""ar"")"),"أ) إنها توفر معلومات مفصلة عن المعدات والتشكيلات العسكرية القديمة")</f>
        <v>أ) إنها توفر معلومات مفصلة عن المعدات والتشكيلات العسكرية القديمة</v>
      </c>
      <c r="L157" s="4" t="str">
        <f ca="1">IFERROR(__xludf.DUMMYFUNCTION("GOOGLETRANSLATE(E157,""en"",""ar"")"),"إنها أشبه بلقطة ثلاثية الأبعاد، تُظهر لعلماء الآثار كيف كانت تبدو الدروع والرماح والملابس في ذلك الوقت بالضبط.")</f>
        <v>إنها أشبه بلقطة ثلاثية الأبعاد، تُظهر لعلماء الآثار كيف كانت تبدو الدروع والرماح والملابس في ذلك الوقت بالضبط.</v>
      </c>
      <c r="M157" s="4"/>
      <c r="N157" s="4"/>
      <c r="O157" s="4"/>
      <c r="P157" s="4"/>
      <c r="Q157" s="4"/>
      <c r="R157" s="4"/>
      <c r="S157" s="4"/>
      <c r="T157" s="4"/>
      <c r="U157" s="4"/>
      <c r="V157" s="4"/>
      <c r="W157" s="4"/>
      <c r="X157" s="4"/>
      <c r="Y157" s="4"/>
      <c r="Z157" s="4"/>
      <c r="AA157" s="4"/>
      <c r="AB157" s="4"/>
      <c r="AC157" s="4"/>
      <c r="AD157" s="4"/>
      <c r="AE157" s="4"/>
      <c r="AF157" s="4"/>
      <c r="AG157" s="4"/>
    </row>
    <row r="158" spans="1:33" ht="22.5" customHeight="1" x14ac:dyDescent="0.25">
      <c r="A158" s="2"/>
      <c r="B158" s="2"/>
      <c r="C158" s="2"/>
      <c r="D158" s="2"/>
      <c r="E158" s="2"/>
      <c r="F158" s="4"/>
      <c r="G158" s="4"/>
      <c r="H158" s="6" t="s">
        <v>102</v>
      </c>
      <c r="I158" s="4" t="str">
        <f ca="1">IFERROR(__xludf.DUMMYFUNCTION("GOOGLETRANSLATE(B158,""en"",""ar"")"),"ماذا يرتدي الجنود؟")</f>
        <v>ماذا يرتدي الجنود؟</v>
      </c>
      <c r="J158" s="4" t="str">
        <f ca="1">IFERROR(__xludf.DUMMYFUNCTION("GOOGLETRANSLATE(C158,""en"",""ar"")"),"أ) دروع معدنية ثقيلة، ب) مآزر بسيطة منقوشة، ج) أردية طويلة فضفاضة، د) لا شيء")</f>
        <v>أ) دروع معدنية ثقيلة، ب) مآزر بسيطة منقوشة، ج) أردية طويلة فضفاضة، د) لا شيء</v>
      </c>
      <c r="K158" s="4" t="str">
        <f ca="1">IFERROR(__xludf.DUMMYFUNCTION("GOOGLETRANSLATE(D158,""en"",""ar"")"),"ب) مآزر بسيطة منقوشة")</f>
        <v>ب) مآزر بسيطة منقوشة</v>
      </c>
      <c r="L158" s="4" t="str">
        <f ca="1">IFERROR(__xludf.DUMMYFUNCTION("GOOGLETRANSLATE(E158,""en"",""ar"")"),"إنهم يرتدون التنانير البسيطة أو المآزر التي كانت الزي العسكري القياسي في المناخ الحار.")</f>
        <v>إنهم يرتدون التنانير البسيطة أو المآزر التي كانت الزي العسكري القياسي في المناخ الحار.</v>
      </c>
      <c r="M158" s="4"/>
      <c r="N158" s="4"/>
      <c r="O158" s="4"/>
      <c r="P158" s="4"/>
      <c r="Q158" s="4"/>
      <c r="R158" s="4"/>
      <c r="S158" s="4"/>
      <c r="T158" s="4"/>
      <c r="U158" s="4"/>
      <c r="V158" s="4"/>
      <c r="W158" s="4"/>
      <c r="X158" s="4"/>
      <c r="Y158" s="4"/>
      <c r="Z158" s="4"/>
      <c r="AA158" s="4"/>
      <c r="AB158" s="4"/>
      <c r="AC158" s="4"/>
      <c r="AD158" s="4"/>
      <c r="AE158" s="4"/>
      <c r="AF158" s="4"/>
      <c r="AG158" s="4"/>
    </row>
    <row r="159" spans="1:33" ht="22.5" customHeight="1" x14ac:dyDescent="0.25">
      <c r="A159" s="2"/>
      <c r="B159" s="2"/>
      <c r="C159" s="2"/>
      <c r="D159" s="2"/>
      <c r="E159" s="2"/>
      <c r="F159" s="4"/>
      <c r="G159" s="4"/>
      <c r="H159" s="7" t="s">
        <v>102</v>
      </c>
      <c r="I159" s="4" t="str">
        <f ca="1">IFERROR(__xludf.DUMMYFUNCTION("GOOGLETRANSLATE(B159,""en"",""ar"")"),"الجنود مصطفون في...")</f>
        <v>الجنود مصطفون في...</v>
      </c>
      <c r="J159" s="4" t="str">
        <f ca="1">IFERROR(__xludf.DUMMYFUNCTION("GOOGLETRANSLATE(C159,""en"",""ar"")"),"أ) مجموعة عشوائية وفوضوية، ب) صف واحد، ج) تشكيل مستطيل منضبط، د) موقع دفاعي دائري")</f>
        <v>أ) مجموعة عشوائية وفوضوية، ب) صف واحد، ج) تشكيل مستطيل منضبط، د) موقع دفاعي دائري</v>
      </c>
      <c r="K159" s="4" t="str">
        <f ca="1">IFERROR(__xludf.DUMMYFUNCTION("GOOGLETRANSLATE(D159,""en"",""ar"")"),"ج) تشكيل منضبط ومستطيل الشكل")</f>
        <v>ج) تشكيل منضبط ومستطيل الشكل</v>
      </c>
      <c r="L159" s="4" t="str">
        <f ca="1">IFERROR(__xludf.DUMMYFUNCTION("GOOGLETRANSLATE(E159,""en"",""ar"")"),"إنهم مصطفون في صفوف وأعمدة، مما يدل على الطبيعة المنظمة للجيش المصري القديم.")</f>
        <v>إنهم مصطفون في صفوف وأعمدة، مما يدل على الطبيعة المنظمة للجيش المصري القديم.</v>
      </c>
      <c r="M159" s="4"/>
      <c r="N159" s="4"/>
      <c r="O159" s="4"/>
      <c r="P159" s="4"/>
      <c r="Q159" s="4"/>
      <c r="R159" s="4"/>
      <c r="S159" s="4"/>
      <c r="T159" s="4"/>
      <c r="U159" s="4"/>
      <c r="V159" s="4"/>
      <c r="W159" s="4"/>
      <c r="X159" s="4"/>
      <c r="Y159" s="4"/>
      <c r="Z159" s="4"/>
      <c r="AA159" s="4"/>
      <c r="AB159" s="4"/>
      <c r="AC159" s="4"/>
      <c r="AD159" s="4"/>
      <c r="AE159" s="4"/>
      <c r="AF159" s="4"/>
      <c r="AG159" s="4"/>
    </row>
    <row r="160" spans="1:33" ht="22.5" customHeight="1" x14ac:dyDescent="0.25">
      <c r="A160" s="2"/>
      <c r="B160" s="2"/>
      <c r="C160" s="2"/>
      <c r="D160" s="2"/>
      <c r="E160" s="2"/>
      <c r="F160" s="4"/>
      <c r="G160" s="4"/>
      <c r="H160" s="6" t="s">
        <v>102</v>
      </c>
      <c r="I160" s="4" t="str">
        <f ca="1">IFERROR(__xludf.DUMMYFUNCTION("GOOGLETRANSLATE(B160,""en"",""ar"")"),"أين تم العثور على هذه النماذج؟")</f>
        <v>أين تم العثور على هذه النماذج؟</v>
      </c>
      <c r="J160" s="4" t="str">
        <f ca="1">IFERROR(__xludf.DUMMYFUNCTION("GOOGLETRANSLATE(C160,""en"",""ar"")"),"أ) في قاع نهر النيل، ب) في حجرة مخفية داخل هرم، ج) في مقبرة بالقرب من أسيوط، مصر، د) في غرفة تخزين متحف في لندن")</f>
        <v>أ) في قاع نهر النيل، ب) في حجرة مخفية داخل هرم، ج) في مقبرة بالقرب من أسيوط، مصر، د) في غرفة تخزين متحف في لندن</v>
      </c>
      <c r="K160" s="4" t="str">
        <f ca="1">IFERROR(__xludf.DUMMYFUNCTION("GOOGLETRANSLATE(D160,""en"",""ar"")"),"ج) في مقبرة بالقرب من أسيوط، مصر")</f>
        <v>ج) في مقبرة بالقرب من أسيوط، مصر</v>
      </c>
      <c r="L160" s="4" t="str">
        <f ca="1">IFERROR(__xludf.DUMMYFUNCTION("GOOGLETRANSLATE(E160,""en"",""ar"")"),"تم اكتشافها من قبل علماء الآثار الفرنسيين في مقبرة مسهتي عام 1894.")</f>
        <v>تم اكتشافها من قبل علماء الآثار الفرنسيين في مقبرة مسهتي عام 1894.</v>
      </c>
      <c r="M160" s="4"/>
      <c r="N160" s="4"/>
      <c r="O160" s="4"/>
      <c r="P160" s="4"/>
      <c r="Q160" s="4"/>
      <c r="R160" s="4"/>
      <c r="S160" s="4"/>
      <c r="T160" s="4"/>
      <c r="U160" s="4"/>
      <c r="V160" s="4"/>
      <c r="W160" s="4"/>
      <c r="X160" s="4"/>
      <c r="Y160" s="4"/>
      <c r="Z160" s="4"/>
      <c r="AA160" s="4"/>
      <c r="AB160" s="4"/>
      <c r="AC160" s="4"/>
      <c r="AD160" s="4"/>
      <c r="AE160" s="4"/>
      <c r="AF160" s="4"/>
      <c r="AG160" s="4"/>
    </row>
    <row r="161" spans="1:33" ht="22.5" customHeight="1" x14ac:dyDescent="0.25">
      <c r="A161" s="2"/>
      <c r="B161" s="2"/>
      <c r="C161" s="2"/>
      <c r="D161" s="2"/>
      <c r="E161" s="2"/>
      <c r="F161" s="4"/>
      <c r="G161" s="4"/>
      <c r="H161" s="7" t="s">
        <v>102</v>
      </c>
      <c r="I161" s="4" t="str">
        <f ca="1">IFERROR(__xludf.DUMMYFUNCTION("GOOGLETRANSLATE(B161,""en"",""ar"")"),"ماذا كان دور هؤلاء الجنود لدى الفراعنة المصريين؟")</f>
        <v>ماذا كان دور هؤلاء الجنود لدى الفراعنة المصريين؟</v>
      </c>
      <c r="J161" s="4" t="str">
        <f ca="1">IFERROR(__xludf.DUMMYFUNCTION("GOOGLETRANSLATE(C161,""en"",""ar"")"),"أ) المزارعون، ب) الكهنة، ج) المرتزقة والجنود النخبة، د) المستشارون الملكيون")</f>
        <v>أ) المزارعون، ب) الكهنة، ج) المرتزقة والجنود النخبة، د) المستشارون الملكيون</v>
      </c>
      <c r="K161" s="4" t="str">
        <f ca="1">IFERROR(__xludf.DUMMYFUNCTION("GOOGLETRANSLATE(D161,""en"",""ar"")"),"ج) المرتزقة والجنود النخبة")</f>
        <v>ج) المرتزقة والجنود النخبة</v>
      </c>
      <c r="L161" s="4" t="str">
        <f ca="1">IFERROR(__xludf.DUMMYFUNCTION("GOOGLETRANSLATE(E161,""en"",""ar"")"),"كان النوبيون يحظون بتقدير كبير كجنود مهرة ومخلصين، وخاصة كرماة سهام، وكثيراً ما خدموا في الجيش المصري.")</f>
        <v>كان النوبيون يحظون بتقدير كبير كجنود مهرة ومخلصين، وخاصة كرماة سهام، وكثيراً ما خدموا في الجيش المصري.</v>
      </c>
      <c r="M161" s="4"/>
      <c r="N161" s="4"/>
      <c r="O161" s="4"/>
      <c r="P161" s="4"/>
      <c r="Q161" s="4"/>
      <c r="R161" s="4"/>
      <c r="S161" s="4"/>
      <c r="T161" s="4"/>
      <c r="U161" s="4"/>
      <c r="V161" s="4"/>
      <c r="W161" s="4"/>
      <c r="X161" s="4"/>
      <c r="Y161" s="4"/>
      <c r="Z161" s="4"/>
      <c r="AA161" s="4"/>
      <c r="AB161" s="4"/>
      <c r="AC161" s="4"/>
      <c r="AD161" s="4"/>
      <c r="AE161" s="4"/>
      <c r="AF161" s="4"/>
      <c r="AG161" s="4"/>
    </row>
    <row r="162" spans="1:33" ht="22.5" customHeight="1" x14ac:dyDescent="0.25">
      <c r="A162" s="2"/>
      <c r="B162" s="2"/>
      <c r="C162" s="2"/>
      <c r="D162" s="2"/>
      <c r="E162" s="2"/>
      <c r="F162" s="4"/>
      <c r="G162" s="4"/>
      <c r="H162" s="6" t="s">
        <v>103</v>
      </c>
      <c r="I162" s="4" t="str">
        <f ca="1">IFERROR(__xludf.DUMMYFUNCTION("GOOGLETRANSLATE(B162,""en"",""ar"")"),"ما هذه الصورة؟")</f>
        <v>ما هذه الصورة؟</v>
      </c>
      <c r="J162" s="4" t="str">
        <f ca="1">IFERROR(__xludf.DUMMYFUNCTION("GOOGLETRANSLATE(C162,""en"",""ar"")"),"أ) صورة فوتوغرافية حديثة مع فلتر عتيق، ب) قطعة فنية مصرية قديمة على ورق البردي أو جدار مقبرة، ج) رسمة طفل، د) نسيج أوروبي من العصور الوسطى")</f>
        <v>أ) صورة فوتوغرافية حديثة مع فلتر عتيق، ب) قطعة فنية مصرية قديمة على ورق البردي أو جدار مقبرة، ج) رسمة طفل، د) نسيج أوروبي من العصور الوسطى</v>
      </c>
      <c r="K162" s="4" t="str">
        <f ca="1">IFERROR(__xludf.DUMMYFUNCTION("GOOGLETRANSLATE(D162,""en"",""ar"")"),"ب) قطعة فنية مصرية قديمة على ورق البردي أو جدار مقبرة")</f>
        <v>ب) قطعة فنية مصرية قديمة على ورق البردي أو جدار مقبرة</v>
      </c>
      <c r="L162" s="4" t="str">
        <f ca="1">IFERROR(__xludf.DUMMYFUNCTION("GOOGLETRANSLATE(E162,""en"",""ar"")"),"هذه نسخة طبق الأصل من لوحة مرسومة على الطراز الكلاسيكي لمصر القديمة.")</f>
        <v>هذه نسخة طبق الأصل من لوحة مرسومة على الطراز الكلاسيكي لمصر القديمة.</v>
      </c>
      <c r="M162" s="4"/>
      <c r="N162" s="4"/>
      <c r="O162" s="4"/>
      <c r="P162" s="4"/>
      <c r="Q162" s="4"/>
      <c r="R162" s="4"/>
      <c r="S162" s="4"/>
      <c r="T162" s="4"/>
      <c r="U162" s="4"/>
      <c r="V162" s="4"/>
      <c r="W162" s="4"/>
      <c r="X162" s="4"/>
      <c r="Y162" s="4"/>
      <c r="Z162" s="4"/>
      <c r="AA162" s="4"/>
      <c r="AB162" s="4"/>
      <c r="AC162" s="4"/>
      <c r="AD162" s="4"/>
      <c r="AE162" s="4"/>
      <c r="AF162" s="4"/>
      <c r="AG162" s="4"/>
    </row>
    <row r="163" spans="1:33" ht="22.5" customHeight="1" x14ac:dyDescent="0.25">
      <c r="A163" s="2"/>
      <c r="B163" s="2"/>
      <c r="C163" s="2"/>
      <c r="D163" s="2"/>
      <c r="E163" s="2"/>
      <c r="F163" s="4"/>
      <c r="G163" s="4"/>
      <c r="H163" s="7" t="s">
        <v>103</v>
      </c>
      <c r="I163" s="4" t="str">
        <f ca="1">IFERROR(__xludf.DUMMYFUNCTION("GOOGLETRANSLATE(B163,""en"",""ar"")"),"ما هو النشاط الذي يتم تصويره؟")</f>
        <v>ما هو النشاط الذي يتم تصويره؟</v>
      </c>
      <c r="J163" s="4" t="str">
        <f ca="1">IFERROR(__xludf.DUMMYFUNCTION("GOOGLETRANSLATE(C163,""en"",""ar"")"),"أ) الزراعة، ب) احتفال ديني، ج) قتال بالعصي، د) الرقص")</f>
        <v>أ) الزراعة، ب) احتفال ديني، ج) قتال بالعصي، د) الرقص</v>
      </c>
      <c r="K163" s="4" t="str">
        <f ca="1">IFERROR(__xludf.DUMMYFUNCTION("GOOGLETRANSLATE(D163,""en"",""ar"")"),"ج) القتال بالعصي")</f>
        <v>ج) القتال بالعصي</v>
      </c>
      <c r="L163" s="4" t="str">
        <f ca="1">IFERROR(__xludf.DUMMYFUNCTION("GOOGLETRANSLATE(E163,""en"",""ar"")"),"تتخذ الشخصيات الثلاث وضعيات ديناميكية، وهي تحمل عصياً وتخوض معارك.")</f>
        <v>تتخذ الشخصيات الثلاث وضعيات ديناميكية، وهي تحمل عصياً وتخوض معارك.</v>
      </c>
      <c r="M163" s="4"/>
      <c r="N163" s="4"/>
      <c r="O163" s="4"/>
      <c r="P163" s="4"/>
      <c r="Q163" s="4"/>
      <c r="R163" s="4"/>
      <c r="S163" s="4"/>
      <c r="T163" s="4"/>
      <c r="U163" s="4"/>
      <c r="V163" s="4"/>
      <c r="W163" s="4"/>
      <c r="X163" s="4"/>
      <c r="Y163" s="4"/>
      <c r="Z163" s="4"/>
      <c r="AA163" s="4"/>
      <c r="AB163" s="4"/>
      <c r="AC163" s="4"/>
      <c r="AD163" s="4"/>
      <c r="AE163" s="4"/>
      <c r="AF163" s="4"/>
      <c r="AG163" s="4"/>
    </row>
    <row r="164" spans="1:33" ht="22.5" customHeight="1" x14ac:dyDescent="0.25">
      <c r="A164" s="2"/>
      <c r="B164" s="2"/>
      <c r="C164" s="2"/>
      <c r="D164" s="2"/>
      <c r="E164" s="2"/>
      <c r="F164" s="4"/>
      <c r="G164" s="4"/>
      <c r="H164" s="6" t="s">
        <v>103</v>
      </c>
      <c r="I164" s="4" t="str">
        <f ca="1">IFERROR(__xludf.DUMMYFUNCTION("GOOGLETRANSLATE(B164,""en"",""ar"")"),"يُعد أسلوب رسم الشخصيات، برؤوسها وأرجلها الجانبية وأجسامها المواجهة للأمام، سمة رئيسية من سمات...")</f>
        <v>يُعد أسلوب رسم الشخصيات، برؤوسها وأرجلها الجانبية وأجسامها المواجهة للأمام، سمة رئيسية من سمات...</v>
      </c>
      <c r="J164" s="4" t="str">
        <f ca="1">IFERROR(__xludf.DUMMYFUNCTION("GOOGLETRANSLATE(C164,""en"",""ar"")"),"أ) فن عصر النهضة، ب) الفن المصري القديم، ج) الفن الانطباعي، د) الفن التجريدي الحديث")</f>
        <v>أ) فن عصر النهضة، ب) الفن المصري القديم، ج) الفن الانطباعي، د) الفن التجريدي الحديث</v>
      </c>
      <c r="K164" s="4" t="str">
        <f ca="1">IFERROR(__xludf.DUMMYFUNCTION("GOOGLETRANSLATE(D164,""en"",""ar"")"),"ب) الفن المصري القديم")</f>
        <v>ب) الفن المصري القديم</v>
      </c>
      <c r="L164" s="4" t="str">
        <f ca="1">IFERROR(__xludf.DUMMYFUNCTION("GOOGLETRANSLATE(E164,""en"",""ar"")"),"يُعد هذا المنظر المركب، الذي يُظهر كل جزء من أجزاء الجسم من زاويته الأكثر وضوحًا، سمة مميزة للفن المصري ثنائي الأبعاد.")</f>
        <v>يُعد هذا المنظر المركب، الذي يُظهر كل جزء من أجزاء الجسم من زاويته الأكثر وضوحًا، سمة مميزة للفن المصري ثنائي الأبعاد.</v>
      </c>
      <c r="M164" s="4"/>
      <c r="N164" s="4"/>
      <c r="O164" s="4"/>
      <c r="P164" s="4"/>
      <c r="Q164" s="4"/>
      <c r="R164" s="4"/>
      <c r="S164" s="4"/>
      <c r="T164" s="4"/>
      <c r="U164" s="4"/>
      <c r="V164" s="4"/>
      <c r="W164" s="4"/>
      <c r="X164" s="4"/>
      <c r="Y164" s="4"/>
      <c r="Z164" s="4"/>
      <c r="AA164" s="4"/>
      <c r="AB164" s="4"/>
      <c r="AC164" s="4"/>
      <c r="AD164" s="4"/>
      <c r="AE164" s="4"/>
      <c r="AF164" s="4"/>
      <c r="AG164" s="4"/>
    </row>
    <row r="165" spans="1:33" ht="22.5" customHeight="1" x14ac:dyDescent="0.25">
      <c r="A165" s="2"/>
      <c r="B165" s="2"/>
      <c r="C165" s="2"/>
      <c r="D165" s="2"/>
      <c r="E165" s="2"/>
      <c r="F165" s="4"/>
      <c r="G165" s="4"/>
      <c r="H165" s="7" t="s">
        <v>103</v>
      </c>
      <c r="I165" s="4" t="str">
        <f ca="1">IFERROR(__xludf.DUMMYFUNCTION("GOOGLETRANSLATE(B165,""en"",""ar"")"),"ما هي الخطوط العمودية للرموز في الخلفية؟")</f>
        <v>ما هي الخطوط العمودية للرموز في الخلفية؟</v>
      </c>
      <c r="J165" s="4" t="str">
        <f ca="1">IFERROR(__xludf.DUMMYFUNCTION("GOOGLETRANSLATE(C165,""en"",""ar"")"),"أ) نقش زخرفي، ب) توقيع الفنان، ج) كتابة هيروغليفية، د) شفرة سرية")</f>
        <v>أ) نقش زخرفي، ب) توقيع الفنان، ج) كتابة هيروغليفية، د) شفرة سرية</v>
      </c>
      <c r="K165" s="4" t="str">
        <f ca="1">IFERROR(__xludf.DUMMYFUNCTION("GOOGLETRANSLATE(D165,""en"",""ar"")"),"ج) الكتابة الهيروغليفية")</f>
        <v>ج) الكتابة الهيروغليفية</v>
      </c>
      <c r="L165" s="4" t="str">
        <f ca="1">IFERROR(__xludf.DUMMYFUNCTION("GOOGLETRANSLATE(E165,""en"",""ar"")"),"هذا هو نظام الكتابة المصري القديم.")</f>
        <v>هذا هو نظام الكتابة المصري القديم.</v>
      </c>
      <c r="M165" s="4"/>
      <c r="N165" s="4"/>
      <c r="O165" s="4"/>
      <c r="P165" s="4"/>
      <c r="Q165" s="4"/>
      <c r="R165" s="4"/>
      <c r="S165" s="4"/>
      <c r="T165" s="4"/>
      <c r="U165" s="4"/>
      <c r="V165" s="4"/>
      <c r="W165" s="4"/>
      <c r="X165" s="4"/>
      <c r="Y165" s="4"/>
      <c r="Z165" s="4"/>
      <c r="AA165" s="4"/>
      <c r="AB165" s="4"/>
      <c r="AC165" s="4"/>
      <c r="AD165" s="4"/>
      <c r="AE165" s="4"/>
      <c r="AF165" s="4"/>
      <c r="AG165" s="4"/>
    </row>
    <row r="166" spans="1:33" ht="22.5" customHeight="1" x14ac:dyDescent="0.25">
      <c r="A166" s="2"/>
      <c r="B166" s="2"/>
      <c r="C166" s="2"/>
      <c r="D166" s="2"/>
      <c r="E166" s="2"/>
      <c r="F166" s="4"/>
      <c r="G166" s="4"/>
      <c r="H166" s="6" t="s">
        <v>103</v>
      </c>
      <c r="I166" s="4" t="str">
        <f ca="1">IFERROR(__xludf.DUMMYFUNCTION("GOOGLETRANSLATE(B166,""en"",""ar"")"),"يُظهر هذا النوع من الفن أن فنون القتال بالعصي في هذه المنطقة...")</f>
        <v>يُظهر هذا النوع من الفن أن فنون القتال بالعصي في هذه المنطقة...</v>
      </c>
      <c r="J166" s="4" t="str">
        <f ca="1">IFERROR(__xludf.DUMMYFUNCTION("GOOGLETRANSLATE(C166,""en"",""ar"")"),"أ) رياضة حديثة جداً، تم اختراعها في القرن العشرين، ب) ممارسة قديمة لها تاريخ يمتد لآلاف السنين، ج) رياضة لم تكن شائعة جداً، د) أسلوب قتالي لم يُستخدم قط في الجيش")</f>
        <v>أ) رياضة حديثة جداً، تم اختراعها في القرن العشرين، ب) ممارسة قديمة لها تاريخ يمتد لآلاف السنين، ج) رياضة لم تكن شائعة جداً، د) أسلوب قتالي لم يُستخدم قط في الجيش</v>
      </c>
      <c r="K166" s="4" t="str">
        <f ca="1">IFERROR(__xludf.DUMMYFUNCTION("GOOGLETRANSLATE(D166,""en"",""ar"")"),"ب) ممارسة قديمة ذات تاريخ يمتد لآلاف السنين")</f>
        <v>ب) ممارسة قديمة ذات تاريخ يمتد لآلاف السنين</v>
      </c>
      <c r="L166" s="4" t="str">
        <f ca="1">IFERROR(__xludf.DUMMYFUNCTION("GOOGLETRANSLATE(E166,""en"",""ar"")"),"تُظهر النقوش والرسومات الموجودة في المقابر القديمة أن القتال بالعصي كان رياضة شائعة وشكلاً من أشكال التدريب العسكري منذ آلاف السنين.")</f>
        <v>تُظهر النقوش والرسومات الموجودة في المقابر القديمة أن القتال بالعصي كان رياضة شائعة وشكلاً من أشكال التدريب العسكري منذ آلاف السنين.</v>
      </c>
      <c r="M166" s="4"/>
      <c r="N166" s="4"/>
      <c r="O166" s="4"/>
      <c r="P166" s="4"/>
      <c r="Q166" s="4"/>
      <c r="R166" s="4"/>
      <c r="S166" s="4"/>
      <c r="T166" s="4"/>
      <c r="U166" s="4"/>
      <c r="V166" s="4"/>
      <c r="W166" s="4"/>
      <c r="X166" s="4"/>
      <c r="Y166" s="4"/>
      <c r="Z166" s="4"/>
      <c r="AA166" s="4"/>
      <c r="AB166" s="4"/>
      <c r="AC166" s="4"/>
      <c r="AD166" s="4"/>
      <c r="AE166" s="4"/>
      <c r="AF166" s="4"/>
      <c r="AG166" s="4"/>
    </row>
    <row r="167" spans="1:33" ht="22.5" customHeight="1" x14ac:dyDescent="0.25">
      <c r="A167" s="2"/>
      <c r="B167" s="2"/>
      <c r="C167" s="2"/>
      <c r="D167" s="2"/>
      <c r="E167" s="2"/>
      <c r="F167" s="4"/>
      <c r="G167" s="4"/>
      <c r="H167" s="7" t="s">
        <v>103</v>
      </c>
      <c r="I167" s="4" t="str">
        <f ca="1">IFERROR(__xludf.DUMMYFUNCTION("GOOGLETRANSLATE(B167,""en"",""ar"")"),"ما هي الميزة الموجودة في طرف العصي التي يستخدمها الرجال؟")</f>
        <v>ما هي الميزة الموجودة في طرف العصي التي يستخدمها الرجال؟</v>
      </c>
      <c r="J167" s="4" t="str">
        <f ca="1">IFERROR(__xludf.DUMMYFUNCTION("GOOGLETRANSLATE(C167,""en"",""ar"")"),"أ) إنها حادة، ب) لها غطاء واقٍ أو مقبض، ج) عليها ريش، د) إنها مشتعلة")</f>
        <v>أ) إنها حادة، ب) لها غطاء واقٍ أو مقبض، ج) عليها ريش، د) إنها مشتعلة</v>
      </c>
      <c r="K167" s="4" t="str">
        <f ca="1">IFERROR(__xludf.DUMMYFUNCTION("GOOGLETRANSLATE(D167,""en"",""ar"")"),"ب) تحتوي على غطاء واقٍ أو مقبض")</f>
        <v>ب) تحتوي على غطاء واقٍ أو مقبض</v>
      </c>
      <c r="L167" s="4" t="str">
        <f ca="1">IFERROR(__xludf.DUMMYFUNCTION("GOOGLETRANSLATE(E167,""en"",""ar"")"),"غالباً ما كانت العصي تحتوي على طرف مبطن أو محمي، مما يشير إلى أن هذا كان رياضة أو تمرين تدريبي، وليس قتالاً حتى الموت.")</f>
        <v>غالباً ما كانت العصي تحتوي على طرف مبطن أو محمي، مما يشير إلى أن هذا كان رياضة أو تمرين تدريبي، وليس قتالاً حتى الموت.</v>
      </c>
      <c r="M167" s="4"/>
      <c r="N167" s="4"/>
      <c r="O167" s="4"/>
      <c r="P167" s="4"/>
      <c r="Q167" s="4"/>
      <c r="R167" s="4"/>
      <c r="S167" s="4"/>
      <c r="T167" s="4"/>
      <c r="U167" s="4"/>
      <c r="V167" s="4"/>
      <c r="W167" s="4"/>
      <c r="X167" s="4"/>
      <c r="Y167" s="4"/>
      <c r="Z167" s="4"/>
      <c r="AA167" s="4"/>
      <c r="AB167" s="4"/>
      <c r="AC167" s="4"/>
      <c r="AD167" s="4"/>
      <c r="AE167" s="4"/>
      <c r="AF167" s="4"/>
      <c r="AG167" s="4"/>
    </row>
    <row r="168" spans="1:33" ht="22.5" customHeight="1" x14ac:dyDescent="0.25">
      <c r="A168" s="2"/>
      <c r="B168" s="2"/>
      <c r="C168" s="2"/>
      <c r="D168" s="2"/>
      <c r="E168" s="2"/>
      <c r="F168" s="4"/>
      <c r="G168" s="4"/>
      <c r="H168" s="6" t="s">
        <v>103</v>
      </c>
      <c r="I168" s="4" t="str">
        <f ca="1">IFERROR(__xludf.DUMMYFUNCTION("GOOGLETRANSLATE(B168,""en"",""ar"")"),"ماذا يرتدي الرجال على الجزء السفلي من أجسادهم؟")</f>
        <v>ماذا يرتدي الرجال على الجزء السفلي من أجسادهم؟</v>
      </c>
      <c r="J168" s="4" t="str">
        <f ca="1">IFERROR(__xludf.DUMMYFUNCTION("GOOGLETRANSLATE(C168,""en"",""ar"")"),"أ) سراويل طويلة، ب) جلود الحيوانات، ج) مآزر بسيطة أو تنانير اسكتلندية، د) لا شيء")</f>
        <v>أ) سراويل طويلة، ب) جلود الحيوانات، ج) مآزر بسيطة أو تنانير اسكتلندية، د) لا شيء</v>
      </c>
      <c r="K168" s="4" t="str">
        <f ca="1">IFERROR(__xludf.DUMMYFUNCTION("GOOGLETRANSLATE(D168,""en"",""ar"")"),"ج) مآزر بسيطة أو تنانير اسكتلندية")</f>
        <v>ج) مآزر بسيطة أو تنانير اسكتلندية</v>
      </c>
      <c r="L168" s="4" t="str">
        <f ca="1">IFERROR(__xludf.DUMMYFUNCTION("GOOGLETRANSLATE(E168,""en"",""ar"")"),"إنهم يرتدون التنانير الملفوفة البسيطة التي كانت زياً شائعاً للعمال والجنود في مصر القديمة.")</f>
        <v>إنهم يرتدون التنانير الملفوفة البسيطة التي كانت زياً شائعاً للعمال والجنود في مصر القديمة.</v>
      </c>
      <c r="M168" s="4"/>
      <c r="N168" s="4"/>
      <c r="O168" s="4"/>
      <c r="P168" s="4"/>
      <c r="Q168" s="4"/>
      <c r="R168" s="4"/>
      <c r="S168" s="4"/>
      <c r="T168" s="4"/>
      <c r="U168" s="4"/>
      <c r="V168" s="4"/>
      <c r="W168" s="4"/>
      <c r="X168" s="4"/>
      <c r="Y168" s="4"/>
      <c r="Z168" s="4"/>
      <c r="AA168" s="4"/>
      <c r="AB168" s="4"/>
      <c r="AC168" s="4"/>
      <c r="AD168" s="4"/>
      <c r="AE168" s="4"/>
      <c r="AF168" s="4"/>
      <c r="AG168" s="4"/>
    </row>
    <row r="169" spans="1:33" ht="22.5" customHeight="1" x14ac:dyDescent="0.25">
      <c r="A169" s="2"/>
      <c r="B169" s="2"/>
      <c r="C169" s="2"/>
      <c r="D169" s="2"/>
      <c r="E169" s="2"/>
      <c r="F169" s="4"/>
      <c r="G169" s="4"/>
      <c r="H169" s="7" t="s">
        <v>103</v>
      </c>
      <c r="I169" s="4" t="str">
        <f ca="1">IFERROR(__xludf.DUMMYFUNCTION("GOOGLETRANSLATE(B169,""en"",""ar"")"),"يُعتبر فن التحطب المصري الحديث امتداداً مباشراً لـ...")</f>
        <v>يُعتبر فن التحطب المصري الحديث امتداداً مباشراً لـ...</v>
      </c>
      <c r="J169" s="4" t="str">
        <f ca="1">IFERROR(__xludf.DUMMYFUNCTION("GOOGLETRANSLATE(C169,""en"",""ar"")"),"أ) الممارسات الموضحة في هذا العمل الفني القديم، ب) قتال المصارعين الرومان، ج) تقنيات الساموراي اليابانيين، د) المبارزة الأولمبية الحديثة")</f>
        <v>أ) الممارسات الموضحة في هذا العمل الفني القديم، ب) قتال المصارعين الرومان، ج) تقنيات الساموراي اليابانيين، د) المبارزة الأولمبية الحديثة</v>
      </c>
      <c r="K169" s="4" t="str">
        <f ca="1">IFERROR(__xludf.DUMMYFUNCTION("GOOGLETRANSLATE(D169,""en"",""ar"")"),"أ) الممارسات الموضحة في هذا العمل الفني القديم")</f>
        <v>أ) الممارسات الموضحة في هذا العمل الفني القديم</v>
      </c>
      <c r="L169" s="4" t="str">
        <f ca="1">IFERROR(__xludf.DUMMYFUNCTION("GOOGLETRANSLATE(E169,""en"",""ar"")"),"يُعتقد أن فن التحطيب قد تطور مباشرة من التدريب العسكري والمسابقات الرياضية المصورة في هذه النقوش والرسومات القديمة.")</f>
        <v>يُعتقد أن فن التحطيب قد تطور مباشرة من التدريب العسكري والمسابقات الرياضية المصورة في هذه النقوش والرسومات القديمة.</v>
      </c>
      <c r="M169" s="4"/>
      <c r="N169" s="4"/>
      <c r="O169" s="4"/>
      <c r="P169" s="4"/>
      <c r="Q169" s="4"/>
      <c r="R169" s="4"/>
      <c r="S169" s="4"/>
      <c r="T169" s="4"/>
      <c r="U169" s="4"/>
      <c r="V169" s="4"/>
      <c r="W169" s="4"/>
      <c r="X169" s="4"/>
      <c r="Y169" s="4"/>
      <c r="Z169" s="4"/>
      <c r="AA169" s="4"/>
      <c r="AB169" s="4"/>
      <c r="AC169" s="4"/>
      <c r="AD169" s="4"/>
      <c r="AE169" s="4"/>
      <c r="AF169" s="4"/>
      <c r="AG169" s="4"/>
    </row>
    <row r="170" spans="1:33" ht="22.5" customHeight="1" x14ac:dyDescent="0.25">
      <c r="A170" s="2"/>
      <c r="B170" s="2"/>
      <c r="C170" s="2"/>
      <c r="D170" s="2"/>
      <c r="E170" s="2"/>
      <c r="F170" s="4"/>
      <c r="G170" s="4"/>
      <c r="H170" s="6" t="s">
        <v>103</v>
      </c>
      <c r="I170" s="4" t="str">
        <f ca="1">IFERROR(__xludf.DUMMYFUNCTION("GOOGLETRANSLATE(B170,""en"",""ar"")"),"قد تمثل ألوان البشرة المختلفة للشخصيات...")</f>
        <v>قد تمثل ألوان البشرة المختلفة للشخصيات...</v>
      </c>
      <c r="J170" s="4" t="str">
        <f ca="1">IFERROR(__xludf.DUMMYFUNCTION("GOOGLETRANSLATE(C170,""en"",""ar"")"),"أ) فرق مختلفة، ب) أشخاص من مناطق مختلفة، مثل المصريين والنوبيين، ج) أعمار مختلفة، د) اختيار فني عشوائي")</f>
        <v>أ) فرق مختلفة، ب) أشخاص من مناطق مختلفة، مثل المصريين والنوبيين، ج) أعمار مختلفة، د) اختيار فني عشوائي</v>
      </c>
      <c r="K170" s="4" t="str">
        <f ca="1">IFERROR(__xludf.DUMMYFUNCTION("GOOGLETRANSLATE(D170,""en"",""ar"")"),"ب) أشخاص من مناطق مختلفة، مثل المصريين والنوبيين")</f>
        <v>ب) أشخاص من مناطق مختلفة، مثل المصريين والنوبيين</v>
      </c>
      <c r="L170" s="4" t="str">
        <f ca="1">IFERROR(__xludf.DUMMYFUNCTION("GOOGLETRANSLATE(E170,""en"",""ar"")"),"كثيراً ما استخدم الفن المصري تقاليد لونية مختلفة لتصوير أشخاص من خلفيات عرقية مختلفة.")</f>
        <v>كثيراً ما استخدم الفن المصري تقاليد لونية مختلفة لتصوير أشخاص من خلفيات عرقية مختلفة.</v>
      </c>
      <c r="M170" s="4"/>
      <c r="N170" s="4"/>
      <c r="O170" s="4"/>
      <c r="P170" s="4"/>
      <c r="Q170" s="4"/>
      <c r="R170" s="4"/>
      <c r="S170" s="4"/>
      <c r="T170" s="4"/>
      <c r="U170" s="4"/>
      <c r="V170" s="4"/>
      <c r="W170" s="4"/>
      <c r="X170" s="4"/>
      <c r="Y170" s="4"/>
      <c r="Z170" s="4"/>
      <c r="AA170" s="4"/>
      <c r="AB170" s="4"/>
      <c r="AC170" s="4"/>
      <c r="AD170" s="4"/>
      <c r="AE170" s="4"/>
      <c r="AF170" s="4"/>
      <c r="AG170" s="4"/>
    </row>
    <row r="171" spans="1:33" ht="22.5" customHeight="1" x14ac:dyDescent="0.25">
      <c r="A171" s="2"/>
      <c r="B171" s="2"/>
      <c r="C171" s="2"/>
      <c r="D171" s="2"/>
      <c r="E171" s="2"/>
      <c r="F171" s="4"/>
      <c r="G171" s="4"/>
      <c r="H171" s="7" t="s">
        <v>103</v>
      </c>
      <c r="I171" s="4" t="str">
        <f ca="1">IFERROR(__xludf.DUMMYFUNCTION("GOOGLETRANSLATE(B171,""en"",""ar"")"),"أما وضعيات الشخصيات فهي...")</f>
        <v>أما وضعيات الشخصيات فهي...</v>
      </c>
      <c r="J171" s="4" t="str">
        <f ca="1">IFERROR(__xludf.DUMMYFUNCTION("GOOGLETRANSLATE(C171,""en"",""ar"")"),"أ) ثابت ومُتخذ وضعية معينة، ب) ديناميكي ومليء بالحركة، ج) جالس ومسترخٍ، د) غير متوازن وأخرق")</f>
        <v>أ) ثابت ومُتخذ وضعية معينة، ب) ديناميكي ومليء بالحركة، ج) جالس ومسترخٍ، د) غير متوازن وأخرق</v>
      </c>
      <c r="K171" s="4" t="str">
        <f ca="1">IFERROR(__xludf.DUMMYFUNCTION("GOOGLETRANSLATE(D171,""en"",""ar"")"),"ب) ديناميكي ومليء بالحركة")</f>
        <v>ب) ديناميكي ومليء بالحركة</v>
      </c>
      <c r="L171" s="4" t="str">
        <f ca="1">IFERROR(__xludf.DUMMYFUNCTION("GOOGLETRANSLATE(E171,""en"",""ar"")"),"نجح الفنان في تجسيد طاقة وحركة المعركة.")</f>
        <v>نجح الفنان في تجسيد طاقة وحركة المعركة.</v>
      </c>
      <c r="M171" s="4"/>
      <c r="N171" s="4"/>
      <c r="O171" s="4"/>
      <c r="P171" s="4"/>
      <c r="Q171" s="4"/>
      <c r="R171" s="4"/>
      <c r="S171" s="4"/>
      <c r="T171" s="4"/>
      <c r="U171" s="4"/>
      <c r="V171" s="4"/>
      <c r="W171" s="4"/>
      <c r="X171" s="4"/>
      <c r="Y171" s="4"/>
      <c r="Z171" s="4"/>
      <c r="AA171" s="4"/>
      <c r="AB171" s="4"/>
      <c r="AC171" s="4"/>
      <c r="AD171" s="4"/>
      <c r="AE171" s="4"/>
      <c r="AF171" s="4"/>
      <c r="AG171" s="4"/>
    </row>
    <row r="172" spans="1:33" ht="22.5" customHeight="1" x14ac:dyDescent="0.25">
      <c r="A172" s="2"/>
      <c r="B172" s="2"/>
      <c r="C172" s="2"/>
      <c r="D172" s="2"/>
      <c r="E172" s="2"/>
      <c r="F172" s="4"/>
      <c r="G172" s="4"/>
      <c r="H172" s="6" t="s">
        <v>104</v>
      </c>
      <c r="I172" s="4" t="str">
        <f ca="1">IFERROR(__xludf.DUMMYFUNCTION("GOOGLETRANSLATE(B172,""en"",""ar"")"),"يُعرف فن القتال المعروض، وهو شكل من أشكال رقص القتال بالعصي، باسم...")</f>
        <v>يُعرف فن القتال المعروض، وهو شكل من أشكال رقص القتال بالعصي، باسم...</v>
      </c>
      <c r="J172" s="4" t="str">
        <f ca="1">IFERROR(__xludf.DUMMYFUNCTION("GOOGLETRANSLATE(C172,""en"",""ar"")"),"أ) مصارعة النوبة، ب) التحطيب، ج) الكابويرا، د) الكندو")</f>
        <v>أ) مصارعة النوبة، ب) التحطيب، ج) الكابويرا، د) الكندو</v>
      </c>
      <c r="K172" s="4" t="str">
        <f ca="1">IFERROR(__xludf.DUMMYFUNCTION("GOOGLETRANSLATE(D172,""en"",""ar"")"),"ب) التحطب")</f>
        <v>ب) التحطب</v>
      </c>
      <c r="L172" s="4" t="str">
        <f ca="1">IFERROR(__xludf.DUMMYFUNCTION("GOOGLETRANSLATE(E172,""en"",""ar"")"),"هذا عرض لفن التحتيب، وهو فن قتالي مصري تقليدي بالعصي.")</f>
        <v>هذا عرض لفن التحتيب، وهو فن قتالي مصري تقليدي بالعصي.</v>
      </c>
      <c r="M172" s="4"/>
      <c r="N172" s="4"/>
      <c r="O172" s="4"/>
      <c r="P172" s="4"/>
      <c r="Q172" s="4"/>
      <c r="R172" s="4"/>
      <c r="S172" s="4"/>
      <c r="T172" s="4"/>
      <c r="U172" s="4"/>
      <c r="V172" s="4"/>
      <c r="W172" s="4"/>
      <c r="X172" s="4"/>
      <c r="Y172" s="4"/>
      <c r="Z172" s="4"/>
      <c r="AA172" s="4"/>
      <c r="AB172" s="4"/>
      <c r="AC172" s="4"/>
      <c r="AD172" s="4"/>
      <c r="AE172" s="4"/>
      <c r="AF172" s="4"/>
      <c r="AG172" s="4"/>
    </row>
    <row r="173" spans="1:33" ht="22.5" customHeight="1" x14ac:dyDescent="0.25">
      <c r="A173" s="2"/>
      <c r="B173" s="2"/>
      <c r="C173" s="2"/>
      <c r="D173" s="2"/>
      <c r="E173" s="2"/>
      <c r="F173" s="4"/>
      <c r="G173" s="4"/>
      <c r="H173" s="7" t="s">
        <v>104</v>
      </c>
      <c r="I173" s="4" t="str">
        <f ca="1">IFERROR(__xludf.DUMMYFUNCTION("GOOGLETRANSLATE(B173,""en"",""ar"")"),"أين سيقام هذا العرض؟")</f>
        <v>أين سيقام هذا العرض؟</v>
      </c>
      <c r="J173" s="4" t="str">
        <f ca="1">IFERROR(__xludf.DUMMYFUNCTION("GOOGLETRANSLATE(C173,""en"",""ar"")"),"أ) في ملعب رياضي حديث، ب) أمام مجمع معابد مصرية قديمة، يُرجح أنها الأقصر، ج) في الصحراء المفتوحة، د) داخل متحف")</f>
        <v>أ) في ملعب رياضي حديث، ب) أمام مجمع معابد مصرية قديمة، يُرجح أنها الأقصر، ج) في الصحراء المفتوحة، د) داخل متحف</v>
      </c>
      <c r="K173" s="4" t="str">
        <f ca="1">IFERROR(__xludf.DUMMYFUNCTION("GOOGLETRANSLATE(D173,""en"",""ar"")"),"ب) أمام مجمع معابد مصرية قديمة، يُرجح أنها الأقصر")</f>
        <v>ب) أمام مجمع معابد مصرية قديمة، يُرجح أنها الأقصر</v>
      </c>
      <c r="L173" s="4" t="str">
        <f ca="1">IFERROR(__xludf.DUMMYFUNCTION("GOOGLETRANSLATE(E173,""en"",""ar"")"),"الأعمدة المميزة والهندسة المعمارية في الخلفية هي تلك الخاصة بمعبد الأقصر في مصر.")</f>
        <v>الأعمدة المميزة والهندسة المعمارية في الخلفية هي تلك الخاصة بمعبد الأقصر في مصر.</v>
      </c>
      <c r="M173" s="4"/>
      <c r="N173" s="4"/>
      <c r="O173" s="4"/>
      <c r="P173" s="4"/>
      <c r="Q173" s="4"/>
      <c r="R173" s="4"/>
      <c r="S173" s="4"/>
      <c r="T173" s="4"/>
      <c r="U173" s="4"/>
      <c r="V173" s="4"/>
      <c r="W173" s="4"/>
      <c r="X173" s="4"/>
      <c r="Y173" s="4"/>
      <c r="Z173" s="4"/>
      <c r="AA173" s="4"/>
      <c r="AB173" s="4"/>
      <c r="AC173" s="4"/>
      <c r="AD173" s="4"/>
      <c r="AE173" s="4"/>
      <c r="AF173" s="4"/>
      <c r="AG173" s="4"/>
    </row>
    <row r="174" spans="1:33" ht="22.5" customHeight="1" x14ac:dyDescent="0.25">
      <c r="A174" s="2"/>
      <c r="B174" s="2"/>
      <c r="C174" s="2"/>
      <c r="D174" s="2"/>
      <c r="E174" s="2"/>
      <c r="F174" s="4"/>
      <c r="G174" s="4"/>
      <c r="H174" s="6" t="s">
        <v>104</v>
      </c>
      <c r="I174" s="4" t="str">
        <f ca="1">IFERROR(__xludf.DUMMYFUNCTION("GOOGLETRANSLATE(B174,""en"",""ar"")"),"ماذا يرتدي الفنانون؟")</f>
        <v>ماذا يرتدي الفنانون؟</v>
      </c>
      <c r="J174" s="4" t="str">
        <f ca="1">IFERROR(__xludf.DUMMYFUNCTION("GOOGLETRANSLATE(C174,""en"",""ar"")"),"أ) ملابس رياضية حديثة، ب) أثواب تقليدية طويلة تُسمى الجلابيب والعمائم، ج) جلود الحيوانات، د) الزي العسكري")</f>
        <v>أ) ملابس رياضية حديثة، ب) أثواب تقليدية طويلة تُسمى الجلابيب والعمائم، ج) جلود الحيوانات، د) الزي العسكري</v>
      </c>
      <c r="K174" s="4" t="str">
        <f ca="1">IFERROR(__xludf.DUMMYFUNCTION("GOOGLETRANSLATE(D174,""en"",""ar"")"),"ب) أثواب تقليدية طويلة تسمى الجلابيب والعمائم")</f>
        <v>ب) أثواب تقليدية طويلة تسمى الجلابيب والعمائم</v>
      </c>
      <c r="L174" s="4" t="str">
        <f ca="1">IFERROR(__xludf.DUMMYFUNCTION("GOOGLETRANSLATE(E174,""en"",""ar"")"),"هذا هو الزي التقليدي للرجال في هذه المنطقة، ويتم ارتداؤه أثناء عروض التحطب.")</f>
        <v>هذا هو الزي التقليدي للرجال في هذه المنطقة، ويتم ارتداؤه أثناء عروض التحطب.</v>
      </c>
      <c r="M174" s="4"/>
      <c r="N174" s="4"/>
      <c r="O174" s="4"/>
      <c r="P174" s="4"/>
      <c r="Q174" s="4"/>
      <c r="R174" s="4"/>
      <c r="S174" s="4"/>
      <c r="T174" s="4"/>
      <c r="U174" s="4"/>
      <c r="V174" s="4"/>
      <c r="W174" s="4"/>
      <c r="X174" s="4"/>
      <c r="Y174" s="4"/>
      <c r="Z174" s="4"/>
      <c r="AA174" s="4"/>
      <c r="AB174" s="4"/>
      <c r="AC174" s="4"/>
      <c r="AD174" s="4"/>
      <c r="AE174" s="4"/>
      <c r="AF174" s="4"/>
      <c r="AG174" s="4"/>
    </row>
    <row r="175" spans="1:33" ht="22.5" customHeight="1" x14ac:dyDescent="0.25">
      <c r="A175" s="2"/>
      <c r="B175" s="2"/>
      <c r="C175" s="2"/>
      <c r="D175" s="2"/>
      <c r="E175" s="2"/>
      <c r="F175" s="4"/>
      <c r="G175" s="4"/>
      <c r="H175" s="7" t="s">
        <v>104</v>
      </c>
      <c r="I175" s="4" t="str">
        <f ca="1">IFERROR(__xludf.DUMMYFUNCTION("GOOGLETRANSLATE(B175,""en"",""ar"")"),"غالباً ما توصف الحركات في كتاب ""تحطيب"" بأنها تشبه...")</f>
        <v>غالباً ما توصف الحركات في كتاب "تحطيب" بأنها تشبه...</v>
      </c>
      <c r="J175" s="4" t="str">
        <f ca="1">IFERROR(__xludf.DUMMYFUNCTION("GOOGLETRANSLATE(C175,""en"",""ar"")"),"أ) قتال بالحركة البطيئة، ب) شجار فوضوي، ج) رقصة رشيقة لكنها قوية، د) تدريب عسكري")</f>
        <v>أ) قتال بالحركة البطيئة، ب) شجار فوضوي، ج) رقصة رشيقة لكنها قوية، د) تدريب عسكري</v>
      </c>
      <c r="K175" s="4" t="str">
        <f ca="1">IFERROR(__xludf.DUMMYFUNCTION("GOOGLETRANSLATE(D175,""en"",""ar"")"),"ج) رقصة رشيقة لكنها قوية")</f>
        <v>ج) رقصة رشيقة لكنها قوية</v>
      </c>
      <c r="L175" s="4" t="str">
        <f ca="1">IFERROR(__xludf.DUMMYFUNCTION("GOOGLETRANSLATE(E175,""en"",""ar"")"),"التحتيب هو فن قتالي، لكن أداءه يتميز بإيقاع عالٍ ويشبه الرقص، وغالبًا ما يكون مصحوبًا بالموسيقى.")</f>
        <v>التحتيب هو فن قتالي، لكن أداءه يتميز بإيقاع عالٍ ويشبه الرقص، وغالبًا ما يكون مصحوبًا بالموسيقى.</v>
      </c>
      <c r="M175" s="4"/>
      <c r="N175" s="4"/>
      <c r="O175" s="4"/>
      <c r="P175" s="4"/>
      <c r="Q175" s="4"/>
      <c r="R175" s="4"/>
      <c r="S175" s="4"/>
      <c r="T175" s="4"/>
      <c r="U175" s="4"/>
      <c r="V175" s="4"/>
      <c r="W175" s="4"/>
      <c r="X175" s="4"/>
      <c r="Y175" s="4"/>
      <c r="Z175" s="4"/>
      <c r="AA175" s="4"/>
      <c r="AB175" s="4"/>
      <c r="AC175" s="4"/>
      <c r="AD175" s="4"/>
      <c r="AE175" s="4"/>
      <c r="AF175" s="4"/>
      <c r="AG175" s="4"/>
    </row>
    <row r="176" spans="1:33" ht="22.5" customHeight="1" x14ac:dyDescent="0.25">
      <c r="A176" s="2"/>
      <c r="B176" s="2"/>
      <c r="C176" s="2"/>
      <c r="D176" s="2"/>
      <c r="E176" s="2"/>
      <c r="F176" s="4"/>
      <c r="G176" s="4"/>
      <c r="H176" s="6" t="s">
        <v>104</v>
      </c>
      <c r="I176" s="4" t="str">
        <f ca="1">IFERROR(__xludf.DUMMYFUNCTION("GOOGLETRANSLATE(B176,""en"",""ar"")"),"ماذا يفعل الرجل الذي يرتدي الرداء البني؟")</f>
        <v>ماذا يفعل الرجل الذي يرتدي الرداء البني؟</v>
      </c>
      <c r="J176" s="4" t="str">
        <f ca="1">IFERROR(__xludf.DUMMYFUNCTION("GOOGLETRANSLATE(C176,""en"",""ar"")"),"أ) إنه يستسلم، ب) إنه في وضعية هجومية ديناميكية، ج) إنه واقف بلا حراك، د) إنه يسقط")</f>
        <v>أ) إنه يستسلم، ب) إنه في وضعية هجومية ديناميكية، ج) إنه واقف بلا حراك، د) إنه يسقط</v>
      </c>
      <c r="K176" s="4" t="str">
        <f ca="1">IFERROR(__xludf.DUMMYFUNCTION("GOOGLETRANSLATE(D176,""en"",""ar"")"),"ب) إنه في وضعية ديناميكية ومندفعة")</f>
        <v>ب) إنه في وضعية ديناميكية ومندفعة</v>
      </c>
      <c r="L176" s="4" t="str">
        <f ca="1">IFERROR(__xludf.DUMMYFUNCTION("GOOGLETRANSLATE(E176,""en"",""ar"")"),"جسده في حالة حركة، يميل إلى أداء حركة معينة، مما يبرز براعة هذا الفن الرياضي.")</f>
        <v>جسده في حالة حركة، يميل إلى أداء حركة معينة، مما يبرز براعة هذا الفن الرياضي.</v>
      </c>
      <c r="M176" s="4"/>
      <c r="N176" s="4"/>
      <c r="O176" s="4"/>
      <c r="P176" s="4"/>
      <c r="Q176" s="4"/>
      <c r="R176" s="4"/>
      <c r="S176" s="4"/>
      <c r="T176" s="4"/>
      <c r="U176" s="4"/>
      <c r="V176" s="4"/>
      <c r="W176" s="4"/>
      <c r="X176" s="4"/>
      <c r="Y176" s="4"/>
      <c r="Z176" s="4"/>
      <c r="AA176" s="4"/>
      <c r="AB176" s="4"/>
      <c r="AC176" s="4"/>
      <c r="AD176" s="4"/>
      <c r="AE176" s="4"/>
      <c r="AF176" s="4"/>
      <c r="AG176" s="4"/>
    </row>
    <row r="177" spans="1:33" ht="22.5" customHeight="1" x14ac:dyDescent="0.25">
      <c r="A177" s="2"/>
      <c r="B177" s="2"/>
      <c r="C177" s="2"/>
      <c r="D177" s="2"/>
      <c r="E177" s="2"/>
      <c r="F177" s="4"/>
      <c r="G177" s="4"/>
      <c r="H177" s="7" t="s">
        <v>104</v>
      </c>
      <c r="I177" s="4" t="str">
        <f ca="1">IFERROR(__xludf.DUMMYFUNCTION("GOOGLETRANSLATE(B177,""en"",""ar"")"),"يُطلق على العصا الخشبية الطويلة المستخدمة في التحطب اسم...")</f>
        <v>يُطلق على العصا الخشبية الطويلة المستخدمة في التحطب اسم...</v>
      </c>
      <c r="J177" s="4" t="str">
        <f ca="1">IFERROR(__xludf.DUMMYFUNCTION("GOOGLETRANSLATE(C177,""en"",""ar"")"),"أ) آسا، ب) إندوكو، ج) بو، د) شيناي")</f>
        <v>أ) آسا، ب) إندوكو، ج) بو، د) شيناي</v>
      </c>
      <c r="K177" s="4" t="str">
        <f ca="1">IFERROR(__xludf.DUMMYFUNCTION("GOOGLETRANSLATE(D177,""en"",""ar"")"),"أ) آسا")</f>
        <v>أ) آسا</v>
      </c>
      <c r="L177" s="4" t="str">
        <f ca="1">IFERROR(__xludf.DUMMYFUNCTION("GOOGLETRANSLATE(E177,""en"",""ar"")"),"المصطلح المحدد لعصا التحطيب هو آسا.")</f>
        <v>المصطلح المحدد لعصا التحطيب هو آسا.</v>
      </c>
      <c r="M177" s="4"/>
      <c r="N177" s="4"/>
      <c r="O177" s="4"/>
      <c r="P177" s="4"/>
      <c r="Q177" s="4"/>
      <c r="R177" s="4"/>
      <c r="S177" s="4"/>
      <c r="T177" s="4"/>
      <c r="U177" s="4"/>
      <c r="V177" s="4"/>
      <c r="W177" s="4"/>
      <c r="X177" s="4"/>
      <c r="Y177" s="4"/>
      <c r="Z177" s="4"/>
      <c r="AA177" s="4"/>
      <c r="AB177" s="4"/>
      <c r="AC177" s="4"/>
      <c r="AD177" s="4"/>
      <c r="AE177" s="4"/>
      <c r="AF177" s="4"/>
      <c r="AG177" s="4"/>
    </row>
    <row r="178" spans="1:33" ht="22.5" customHeight="1" x14ac:dyDescent="0.25">
      <c r="A178" s="2"/>
      <c r="B178" s="2"/>
      <c r="C178" s="2"/>
      <c r="D178" s="2"/>
      <c r="E178" s="2"/>
      <c r="F178" s="4"/>
      <c r="G178" s="4"/>
      <c r="H178" s="6" t="s">
        <v>104</v>
      </c>
      <c r="I178" s="4" t="str">
        <f ca="1">IFERROR(__xludf.DUMMYFUNCTION("GOOGLETRANSLATE(B178,""en"",""ar"")"),"يبدو أن الحدث عبارة عن...")</f>
        <v>يبدو أن الحدث عبارة عن...</v>
      </c>
      <c r="J178" s="4" t="str">
        <f ca="1">IFERROR(__xludf.DUMMYFUNCTION("GOOGLETRANSLATE(C178,""en"",""ar"")"),"أ) درس سري خاص، ب) شجار شوارع حقيقي وعنيف، ج) عرض عام لجمهور محلي وسياحي، د) احتفال ديني")</f>
        <v>أ) درس سري خاص، ب) شجار شوارع حقيقي وعنيف، ج) عرض عام لجمهور محلي وسياحي، د) احتفال ديني</v>
      </c>
      <c r="K178" s="4" t="str">
        <f ca="1">IFERROR(__xludf.DUMMYFUNCTION("GOOGLETRANSLATE(D178,""en"",""ar"")"),"ج) عرض عام لجمهور محلي وسياحي")</f>
        <v>ج) عرض عام لجمهور محلي وسياحي</v>
      </c>
      <c r="L178" s="4" t="str">
        <f ca="1">IFERROR(__xludf.DUMMYFUNCTION("GOOGLETRANSLATE(E178,""en"",""ar"")"),"يشير المشهد أمام معلم بارز مع حشد مختلط من المتفرجين إلى مظاهرة عامة.")</f>
        <v>يشير المشهد أمام معلم بارز مع حشد مختلط من المتفرجين إلى مظاهرة عامة.</v>
      </c>
      <c r="M178" s="4"/>
      <c r="N178" s="4"/>
      <c r="O178" s="4"/>
      <c r="P178" s="4"/>
      <c r="Q178" s="4"/>
      <c r="R178" s="4"/>
      <c r="S178" s="4"/>
      <c r="T178" s="4"/>
      <c r="U178" s="4"/>
      <c r="V178" s="4"/>
      <c r="W178" s="4"/>
      <c r="X178" s="4"/>
      <c r="Y178" s="4"/>
      <c r="Z178" s="4"/>
      <c r="AA178" s="4"/>
      <c r="AB178" s="4"/>
      <c r="AC178" s="4"/>
      <c r="AD178" s="4"/>
      <c r="AE178" s="4"/>
      <c r="AF178" s="4"/>
      <c r="AG178" s="4"/>
    </row>
    <row r="179" spans="1:33" ht="22.5" customHeight="1" x14ac:dyDescent="0.25">
      <c r="A179" s="2"/>
      <c r="B179" s="2"/>
      <c r="C179" s="2"/>
      <c r="D179" s="2"/>
      <c r="E179" s="2"/>
      <c r="F179" s="4"/>
      <c r="G179" s="4"/>
      <c r="H179" s="7" t="s">
        <v>104</v>
      </c>
      <c r="I179" s="4" t="str">
        <f ca="1">IFERROR(__xludf.DUMMYFUNCTION("GOOGLETRANSLATE(B179,""en"",""ar"")"),"الرجل الذي يرتدي الرداء الأزرق متمركز في...")</f>
        <v>الرجل الذي يرتدي الرداء الأزرق متمركز في...</v>
      </c>
      <c r="J179" s="4" t="str">
        <f ca="1">IFERROR(__xludf.DUMMYFUNCTION("GOOGLETRANSLATE(C179,""en"",""ar"")"),"أ) الهجوم بضربة عالية، ب) صدّ هجوم الرجل ذي الرداء البني، ج) الفرار، د) تحية خصمه")</f>
        <v>أ) الهجوم بضربة عالية، ب) صدّ هجوم الرجل ذي الرداء البني، ج) الفرار، د) تحية خصمه</v>
      </c>
      <c r="K179" s="4" t="str">
        <f ca="1">IFERROR(__xludf.DUMMYFUNCTION("GOOGLETRANSLATE(D179,""en"",""ar"")"),"ب) لصد هجوم الرجل الذي يرتدي اللون البني")</f>
        <v>ب) لصد هجوم الرجل الذي يرتدي اللون البني</v>
      </c>
      <c r="L179" s="4" t="str">
        <f ca="1">IFERROR(__xludf.DUMMYFUNCTION("GOOGLETRANSLATE(E179,""en"",""ar"")"),"إنه يمسك عصاه بشكل دفاعي لصد حركة الدوران التي يقوم بها خصمه.")</f>
        <v>إنه يمسك عصاه بشكل دفاعي لصد حركة الدوران التي يقوم بها خصمه.</v>
      </c>
      <c r="M179" s="4"/>
      <c r="N179" s="4"/>
      <c r="O179" s="4"/>
      <c r="P179" s="4"/>
      <c r="Q179" s="4"/>
      <c r="R179" s="4"/>
      <c r="S179" s="4"/>
      <c r="T179" s="4"/>
      <c r="U179" s="4"/>
      <c r="V179" s="4"/>
      <c r="W179" s="4"/>
      <c r="X179" s="4"/>
      <c r="Y179" s="4"/>
      <c r="Z179" s="4"/>
      <c r="AA179" s="4"/>
      <c r="AB179" s="4"/>
      <c r="AC179" s="4"/>
      <c r="AD179" s="4"/>
      <c r="AE179" s="4"/>
      <c r="AF179" s="4"/>
      <c r="AG179" s="4"/>
    </row>
    <row r="180" spans="1:33" ht="22.5" customHeight="1" x14ac:dyDescent="0.25">
      <c r="A180" s="2"/>
      <c r="B180" s="2"/>
      <c r="C180" s="2"/>
      <c r="D180" s="2"/>
      <c r="E180" s="2"/>
      <c r="F180" s="4"/>
      <c r="G180" s="4"/>
      <c r="H180" s="6" t="s">
        <v>104</v>
      </c>
      <c r="I180" s="4" t="str">
        <f ca="1">IFERROR(__xludf.DUMMYFUNCTION("GOOGLETRANSLATE(B180,""en"",""ar"")"),"وقد اعترفت اليونسكو بهذا الشكل الفني لـ...")</f>
        <v>وقد اعترفت اليونسكو بهذا الشكل الفني لـ...</v>
      </c>
      <c r="J180" s="4" t="str">
        <f ca="1">IFERROR(__xludf.DUMMYFUNCTION("GOOGLETRANSLATE(C180,""en"",""ar"")"),"أ) الخطر والعنف، ب) الشعبية الحديثة، ج) الأهمية الثقافية والتراث، د) الاستخدام في الأفلام")</f>
        <v>أ) الخطر والعنف، ب) الشعبية الحديثة، ج) الأهمية الثقافية والتراث، د) الاستخدام في الأفلام</v>
      </c>
      <c r="K180" s="4" t="str">
        <f ca="1">IFERROR(__xludf.DUMMYFUNCTION("GOOGLETRANSLATE(D180,""en"",""ar"")"),"ج) الأهمية الثقافية والتراث")</f>
        <v>ج) الأهمية الثقافية والتراث</v>
      </c>
      <c r="L180" s="4" t="str">
        <f ca="1">IFERROR(__xludf.DUMMYFUNCTION("GOOGLETRANSLATE(E180,""en"",""ar"")"),"تُعدّ منطقة تحطيب مدرجة على قائمة اليونسكو للتراث الثقافي غير المادي للبشرية.")</f>
        <v>تُعدّ منطقة تحطيب مدرجة على قائمة اليونسكو للتراث الثقافي غير المادي للبشرية.</v>
      </c>
      <c r="M180" s="4"/>
      <c r="N180" s="4"/>
      <c r="O180" s="4"/>
      <c r="P180" s="4"/>
      <c r="Q180" s="4"/>
      <c r="R180" s="4"/>
      <c r="S180" s="4"/>
      <c r="T180" s="4"/>
      <c r="U180" s="4"/>
      <c r="V180" s="4"/>
      <c r="W180" s="4"/>
      <c r="X180" s="4"/>
      <c r="Y180" s="4"/>
      <c r="Z180" s="4"/>
      <c r="AA180" s="4"/>
      <c r="AB180" s="4"/>
      <c r="AC180" s="4"/>
      <c r="AD180" s="4"/>
      <c r="AE180" s="4"/>
      <c r="AF180" s="4"/>
      <c r="AG180" s="4"/>
    </row>
    <row r="181" spans="1:33" ht="22.5" customHeight="1" x14ac:dyDescent="0.25">
      <c r="A181" s="2"/>
      <c r="B181" s="2"/>
      <c r="C181" s="2"/>
      <c r="D181" s="2"/>
      <c r="E181" s="2"/>
      <c r="F181" s="4"/>
      <c r="G181" s="4"/>
      <c r="H181" s="7" t="s">
        <v>104</v>
      </c>
      <c r="I181" s="4" t="str">
        <f ca="1">IFERROR(__xludf.DUMMYFUNCTION("GOOGLETRANSLATE(B181,""en"",""ar"")"),"تعود أصول هذه الممارسة إلى...")</f>
        <v>تعود أصول هذه الممارسة إلى...</v>
      </c>
      <c r="J181" s="4" t="str">
        <f ca="1">IFERROR(__xludf.DUMMYFUNCTION("GOOGLETRANSLATE(C181,""en"",""ar"")"),"أ) مصر القديمة، ب) الإمبراطورية العثمانية، ج) القرن التاسع عشر، د) العصر الروماني")</f>
        <v>أ) مصر القديمة، ب) الإمبراطورية العثمانية، ج) القرن التاسع عشر، د) العصر الروماني</v>
      </c>
      <c r="K181" s="4" t="str">
        <f ca="1">IFERROR(__xludf.DUMMYFUNCTION("GOOGLETRANSLATE(D181,""en"",""ar"")"),"أ) مصر القديمة")</f>
        <v>أ) مصر القديمة</v>
      </c>
      <c r="L181" s="4" t="str">
        <f ca="1">IFERROR(__xludf.DUMMYFUNCTION("GOOGLETRANSLATE(E181,""en"",""ar"")"),"تُظهر النقوش البارزة في المقابر من المملكة القديمة (منذ أكثر من 4500 عام) جنودًا يتدربون بالعصي بطريقة مماثلة.")</f>
        <v>تُظهر النقوش البارزة في المقابر من المملكة القديمة (منذ أكثر من 4500 عام) جنودًا يتدربون بالعصي بطريقة مماثلة.</v>
      </c>
      <c r="M181" s="4"/>
      <c r="N181" s="4"/>
      <c r="O181" s="4"/>
      <c r="P181" s="4"/>
      <c r="Q181" s="4"/>
      <c r="R181" s="4"/>
      <c r="S181" s="4"/>
      <c r="T181" s="4"/>
      <c r="U181" s="4"/>
      <c r="V181" s="4"/>
      <c r="W181" s="4"/>
      <c r="X181" s="4"/>
      <c r="Y181" s="4"/>
      <c r="Z181" s="4"/>
      <c r="AA181" s="4"/>
      <c r="AB181" s="4"/>
      <c r="AC181" s="4"/>
      <c r="AD181" s="4"/>
      <c r="AE181" s="4"/>
      <c r="AF181" s="4"/>
      <c r="AG181" s="4"/>
    </row>
    <row r="182" spans="1:33" ht="22.5" customHeight="1" x14ac:dyDescent="0.25">
      <c r="A182" s="2"/>
      <c r="B182" s="2"/>
      <c r="C182" s="2"/>
      <c r="D182" s="2"/>
      <c r="E182" s="2"/>
      <c r="F182" s="4"/>
      <c r="G182" s="4"/>
      <c r="H182" s="6" t="s">
        <v>105</v>
      </c>
      <c r="I182" s="4" t="str">
        <f ca="1">IFERROR(__xludf.DUMMYFUNCTION("GOOGLETRANSLATE(B182,""en"",""ar"")"),"تُظهر هذه الصورة منافسة في أي رياضة سودانية تقليدية؟")</f>
        <v>تُظهر هذه الصورة منافسة في أي رياضة سودانية تقليدية؟</v>
      </c>
      <c r="J182" s="4" t="str">
        <f ca="1">IFERROR(__xludf.DUMMYFUNCTION("GOOGLETRANSLATE(C182,""en"",""ar"")"),"أ) القتال بالعصي، ب) مصارعة النوبة، ج) سباق الهجن، د) الرماية")</f>
        <v>أ) القتال بالعصي، ب) مصارعة النوبة، ج) سباق الهجن، د) الرماية</v>
      </c>
      <c r="K182" s="4" t="str">
        <f ca="1">IFERROR(__xludf.DUMMYFUNCTION("GOOGLETRANSLATE(D182,""en"",""ar"")"),"ب) مصارعة النوبة")</f>
        <v>ب) مصارعة النوبة</v>
      </c>
      <c r="L182" s="4" t="str">
        <f ca="1">IFERROR(__xludf.DUMMYFUNCTION("GOOGLETRANSLATE(E182,""en"",""ar"")"),"هذه مباراة مصارعة بين رجلين، وهو ما يميز مصارعة النوبة، وليس القتال بالعصي.")</f>
        <v>هذه مباراة مصارعة بين رجلين، وهو ما يميز مصارعة النوبة، وليس القتال بالعصي.</v>
      </c>
      <c r="M182" s="4"/>
      <c r="N182" s="4"/>
      <c r="O182" s="4"/>
      <c r="P182" s="4"/>
      <c r="Q182" s="4"/>
      <c r="R182" s="4"/>
      <c r="S182" s="4"/>
      <c r="T182" s="4"/>
      <c r="U182" s="4"/>
      <c r="V182" s="4"/>
      <c r="W182" s="4"/>
      <c r="X182" s="4"/>
      <c r="Y182" s="4"/>
      <c r="Z182" s="4"/>
      <c r="AA182" s="4"/>
      <c r="AB182" s="4"/>
      <c r="AC182" s="4"/>
      <c r="AD182" s="4"/>
      <c r="AE182" s="4"/>
      <c r="AF182" s="4"/>
      <c r="AG182" s="4"/>
    </row>
    <row r="183" spans="1:33" ht="22.5" customHeight="1" x14ac:dyDescent="0.25">
      <c r="A183" s="2"/>
      <c r="B183" s="2"/>
      <c r="C183" s="2"/>
      <c r="D183" s="2"/>
      <c r="E183" s="2"/>
      <c r="F183" s="4"/>
      <c r="G183" s="4"/>
      <c r="H183" s="7" t="s">
        <v>105</v>
      </c>
      <c r="I183" s="4" t="str">
        <f ca="1">IFERROR(__xludf.DUMMYFUNCTION("GOOGLETRANSLATE(B183,""en"",""ar"")"),"ما هو الهدف الأساسي للمنافسين؟")</f>
        <v>ما هو الهدف الأساسي للمنافسين؟</v>
      </c>
      <c r="J183" s="4" t="str">
        <f ca="1">IFERROR(__xludf.DUMMYFUNCTION("GOOGLETRANSLATE(C183,""en"",""ar"")"),"أ) لكم الخصم، ب) رمي الخصم بحيث يلامس ظهره الأرض، ج) إخراج الخصم من الحلبة بالقوة، د) إخضاع الخصم.")</f>
        <v>أ) لكم الخصم، ب) رمي الخصم بحيث يلامس ظهره الأرض، ج) إخراج الخصم من الحلبة بالقوة، د) إخضاع الخصم.</v>
      </c>
      <c r="K183" s="4" t="str">
        <f ca="1">IFERROR(__xludf.DUMMYFUNCTION("GOOGLETRANSLATE(D183,""en"",""ar"")"),"ب) رمي الخصم بحيث يلامس ظهره الأرض")</f>
        <v>ب) رمي الخصم بحيث يلامس ظهره الأرض</v>
      </c>
      <c r="L183" s="4" t="str">
        <f ca="1">IFERROR(__xludf.DUMMYFUNCTION("GOOGLETRANSLATE(E183,""en"",""ar"")"),"يتحقق الفوز من خلال تنفيذ رمية أو إسقاط ناجح.")</f>
        <v>يتحقق الفوز من خلال تنفيذ رمية أو إسقاط ناجح.</v>
      </c>
      <c r="M183" s="4"/>
      <c r="N183" s="4"/>
      <c r="O183" s="4"/>
      <c r="P183" s="4"/>
      <c r="Q183" s="4"/>
      <c r="R183" s="4"/>
      <c r="S183" s="4"/>
      <c r="T183" s="4"/>
      <c r="U183" s="4"/>
      <c r="V183" s="4"/>
      <c r="W183" s="4"/>
      <c r="X183" s="4"/>
      <c r="Y183" s="4"/>
      <c r="Z183" s="4"/>
      <c r="AA183" s="4"/>
      <c r="AB183" s="4"/>
      <c r="AC183" s="4"/>
      <c r="AD183" s="4"/>
      <c r="AE183" s="4"/>
      <c r="AF183" s="4"/>
      <c r="AG183" s="4"/>
    </row>
    <row r="184" spans="1:33" ht="22.5" customHeight="1" x14ac:dyDescent="0.25">
      <c r="A184" s="2"/>
      <c r="B184" s="2"/>
      <c r="C184" s="2"/>
      <c r="D184" s="2"/>
      <c r="E184" s="2"/>
      <c r="F184" s="4"/>
      <c r="G184" s="4"/>
      <c r="H184" s="6" t="s">
        <v>105</v>
      </c>
      <c r="I184" s="4" t="str">
        <f ca="1">IFERROR(__xludf.DUMMYFUNCTION("GOOGLETRANSLATE(B184,""en"",""ar"")"),"ما هو دور الرجل الذي يرتدي قميصاً أصفر فاقعاً ويقف خلف المصارعين؟")</f>
        <v>ما هو دور الرجل الذي يرتدي قميصاً أصفر فاقعاً ويقف خلف المصارعين؟</v>
      </c>
      <c r="J184" s="4" t="str">
        <f ca="1">IFERROR(__xludf.DUMMYFUNCTION("GOOGLETRANSLATE(C184,""en"",""ar"")"),"أ) هو متفرج، ب) هو الحكم، ج) هو مدرب يقدم النصائح، د) هو المنافس التالي")</f>
        <v>أ) هو متفرج، ب) هو الحكم، ج) هو مدرب يقدم النصائح، د) هو المنافس التالي</v>
      </c>
      <c r="K184" s="4" t="str">
        <f ca="1">IFERROR(__xludf.DUMMYFUNCTION("GOOGLETRANSLATE(D184,""en"",""ar"")"),"ب) هو الحكم")</f>
        <v>ب) هو الحكم</v>
      </c>
      <c r="L184" s="4" t="str">
        <f ca="1">IFERROR(__xludf.DUMMYFUNCTION("GOOGLETRANSLATE(E184,""en"",""ar"")"),"هو المسؤول داخل الحلبة، ويراقب عن كثب مجريات المباراة لضمان اللعب النظيف وإعلان الفائز.")</f>
        <v>هو المسؤول داخل الحلبة، ويراقب عن كثب مجريات المباراة لضمان اللعب النظيف وإعلان الفائز.</v>
      </c>
      <c r="M184" s="4"/>
      <c r="N184" s="4"/>
      <c r="O184" s="4"/>
      <c r="P184" s="4"/>
      <c r="Q184" s="4"/>
      <c r="R184" s="4"/>
      <c r="S184" s="4"/>
      <c r="T184" s="4"/>
      <c r="U184" s="4"/>
      <c r="V184" s="4"/>
      <c r="W184" s="4"/>
      <c r="X184" s="4"/>
      <c r="Y184" s="4"/>
      <c r="Z184" s="4"/>
      <c r="AA184" s="4"/>
      <c r="AB184" s="4"/>
      <c r="AC184" s="4"/>
      <c r="AD184" s="4"/>
      <c r="AE184" s="4"/>
      <c r="AF184" s="4"/>
      <c r="AG184" s="4"/>
    </row>
    <row r="185" spans="1:33" ht="22.5" customHeight="1" x14ac:dyDescent="0.25">
      <c r="A185" s="2"/>
      <c r="B185" s="2"/>
      <c r="C185" s="2"/>
      <c r="D185" s="2"/>
      <c r="E185" s="2"/>
      <c r="F185" s="4"/>
      <c r="G185" s="4"/>
      <c r="H185" s="7" t="s">
        <v>105</v>
      </c>
      <c r="I185" s="4" t="str">
        <f ca="1">IFERROR(__xludf.DUMMYFUNCTION("GOOGLETRANSLATE(B185,""en"",""ar"")"),"ما نوع الملابس الرياضية الحديثة التي يرتديها المصارعون؟")</f>
        <v>ما نوع الملابس الرياضية الحديثة التي يرتديها المصارعون؟</v>
      </c>
      <c r="J185" s="4" t="str">
        <f ca="1">IFERROR(__xludf.DUMMYFUNCTION("GOOGLETRANSLATE(C185,""en"",""ar"")"),"أ) دروع ثقيلة، ب) مآزر تقليدية، ج) سراويل قصيرة ملونة وواقيات للركبة، د) لا يرتدون ملابس")</f>
        <v>أ) دروع ثقيلة، ب) مآزر تقليدية، ج) سراويل قصيرة ملونة وواقيات للركبة، د) لا يرتدون ملابس</v>
      </c>
      <c r="K185" s="4" t="str">
        <f ca="1">IFERROR(__xludf.DUMMYFUNCTION("GOOGLETRANSLATE(D185,""en"",""ar"")"),"ج) سراويل قصيرة ملونة وواقيات للركبة")</f>
        <v>ج) سراويل قصيرة ملونة وواقيات للركبة</v>
      </c>
      <c r="L185" s="4" t="str">
        <f ca="1">IFERROR(__xludf.DUMMYFUNCTION("GOOGLETRANSLATE(E185,""en"",""ar"")"),"قام المصارعون بمزج الملابس الرياضية الحديثة، مثل شورت كرة السلة الأرجواني والقميص الأخضر/الأصفر، مع الرياضة التقليدية.")</f>
        <v>قام المصارعون بمزج الملابس الرياضية الحديثة، مثل شورت كرة السلة الأرجواني والقميص الأخضر/الأصفر، مع الرياضة التقليدية.</v>
      </c>
      <c r="M185" s="4"/>
      <c r="N185" s="4"/>
      <c r="O185" s="4"/>
      <c r="P185" s="4"/>
      <c r="Q185" s="4"/>
      <c r="R185" s="4"/>
      <c r="S185" s="4"/>
      <c r="T185" s="4"/>
      <c r="U185" s="4"/>
      <c r="V185" s="4"/>
      <c r="W185" s="4"/>
      <c r="X185" s="4"/>
      <c r="Y185" s="4"/>
      <c r="Z185" s="4"/>
      <c r="AA185" s="4"/>
      <c r="AB185" s="4"/>
      <c r="AC185" s="4"/>
      <c r="AD185" s="4"/>
      <c r="AE185" s="4"/>
      <c r="AF185" s="4"/>
      <c r="AG185" s="4"/>
    </row>
    <row r="186" spans="1:33" ht="22.5" customHeight="1" x14ac:dyDescent="0.25">
      <c r="A186" s="2"/>
      <c r="B186" s="2"/>
      <c r="C186" s="2"/>
      <c r="D186" s="2"/>
      <c r="E186" s="2"/>
      <c r="F186" s="4"/>
      <c r="G186" s="4"/>
      <c r="H186" s="6" t="s">
        <v>105</v>
      </c>
      <c r="I186" s="4" t="str">
        <f ca="1">IFERROR(__xludf.DUMMYFUNCTION("GOOGLETRANSLATE(B186,""en"",""ar"")"),"ما هي مساحة المنافسة؟")</f>
        <v>ما هي مساحة المنافسة؟</v>
      </c>
      <c r="J186" s="4" t="str">
        <f ca="1">IFERROR(__xludf.DUMMYFUNCTION("GOOGLETRANSLATE(C186,""en"",""ar"")"),"أ) حقل عشبي، ب) أرضية خشبية صلبة، ج) حفرة رملية، د) لوح خرساني")</f>
        <v>أ) حقل عشبي، ب) أرضية خشبية صلبة، ج) حفرة رملية، د) لوح خرساني</v>
      </c>
      <c r="K186" s="4" t="str">
        <f ca="1">IFERROR(__xludf.DUMMYFUNCTION("GOOGLETRANSLATE(D186,""en"",""ar"")"),"ج) حفرة رمل")</f>
        <v>ج) حفرة رمل</v>
      </c>
      <c r="L186" s="4" t="str">
        <f ca="1">IFERROR(__xludf.DUMMYFUNCTION("GOOGLETRANSLATE(E186,""en"",""ar"")"),"توفر الرمال الناعمة سطحاً آمناً للمصارعين للهبوط عليه بعد قذفهم.")</f>
        <v>توفر الرمال الناعمة سطحاً آمناً للمصارعين للهبوط عليه بعد قذفهم.</v>
      </c>
      <c r="M186" s="4"/>
      <c r="N186" s="4"/>
      <c r="O186" s="4"/>
      <c r="P186" s="4"/>
      <c r="Q186" s="4"/>
      <c r="R186" s="4"/>
      <c r="S186" s="4"/>
      <c r="T186" s="4"/>
      <c r="U186" s="4"/>
      <c r="V186" s="4"/>
      <c r="W186" s="4"/>
      <c r="X186" s="4"/>
      <c r="Y186" s="4"/>
      <c r="Z186" s="4"/>
      <c r="AA186" s="4"/>
      <c r="AB186" s="4"/>
      <c r="AC186" s="4"/>
      <c r="AD186" s="4"/>
      <c r="AE186" s="4"/>
      <c r="AF186" s="4"/>
      <c r="AG186" s="4"/>
    </row>
    <row r="187" spans="1:33" ht="22.5" customHeight="1" x14ac:dyDescent="0.25">
      <c r="A187" s="2"/>
      <c r="B187" s="2"/>
      <c r="C187" s="2"/>
      <c r="D187" s="2"/>
      <c r="E187" s="2"/>
      <c r="F187" s="4"/>
      <c r="G187" s="4"/>
      <c r="H187" s="7" t="s">
        <v>105</v>
      </c>
      <c r="I187" s="4" t="str">
        <f ca="1">IFERROR(__xludf.DUMMYFUNCTION("GOOGLETRANSLATE(B187,""en"",""ar"")"),"ماذا يرمز إليه الحشد الكبير في الخلفية؟")</f>
        <v>ماذا يرمز إليه الحشد الكبير في الخلفية؟</v>
      </c>
      <c r="J187" s="4" t="str">
        <f ca="1">IFERROR(__xludf.DUMMYFUNCTION("GOOGLETRANSLATE(C187,""en"",""ar"")"),"أ) هذه الرياضة ليست شائعة جدًا، ب) هذه الرياضة حدث مجتمعي رئيسي، ج) الجمهور ينتظر حدثًا آخر، د) تم التقاط الصورة في سوق.")</f>
        <v>أ) هذه الرياضة ليست شائعة جدًا، ب) هذه الرياضة حدث مجتمعي رئيسي، ج) الجمهور ينتظر حدثًا آخر، د) تم التقاط الصورة في سوق.</v>
      </c>
      <c r="K187" s="4" t="str">
        <f ca="1">IFERROR(__xludf.DUMMYFUNCTION("GOOGLETRANSLATE(D187,""en"",""ar"")"),"ب) الرياضة حدث مجتمعي رئيسي")</f>
        <v>ب) الرياضة حدث مجتمعي رئيسي</v>
      </c>
      <c r="L187" s="4" t="str">
        <f ca="1">IFERROR(__xludf.DUMMYFUNCTION("GOOGLETRANSLATE(E187,""en"",""ar"")"),"يُظهر الحشد الكبير والمتفاعل أن مصارعة النوبة هي تجمع اجتماعي شهير ومهم للغاية.")</f>
        <v>يُظهر الحشد الكبير والمتفاعل أن مصارعة النوبة هي تجمع اجتماعي شهير ومهم للغاية.</v>
      </c>
      <c r="M187" s="4"/>
      <c r="N187" s="4"/>
      <c r="O187" s="4"/>
      <c r="P187" s="4"/>
      <c r="Q187" s="4"/>
      <c r="R187" s="4"/>
      <c r="S187" s="4"/>
      <c r="T187" s="4"/>
      <c r="U187" s="4"/>
      <c r="V187" s="4"/>
      <c r="W187" s="4"/>
      <c r="X187" s="4"/>
      <c r="Y187" s="4"/>
      <c r="Z187" s="4"/>
      <c r="AA187" s="4"/>
      <c r="AB187" s="4"/>
      <c r="AC187" s="4"/>
      <c r="AD187" s="4"/>
      <c r="AE187" s="4"/>
      <c r="AF187" s="4"/>
      <c r="AG187" s="4"/>
    </row>
    <row r="188" spans="1:33" ht="22.5" customHeight="1" x14ac:dyDescent="0.25">
      <c r="A188" s="2"/>
      <c r="B188" s="2"/>
      <c r="C188" s="2"/>
      <c r="D188" s="2"/>
      <c r="E188" s="2"/>
      <c r="F188" s="4"/>
      <c r="G188" s="4"/>
      <c r="H188" s="6" t="s">
        <v>105</v>
      </c>
      <c r="I188" s="4" t="str">
        <f ca="1">IFERROR(__xludf.DUMMYFUNCTION("GOOGLETRANSLATE(B188,""en"",""ar"")"),"المصارع الذي يرتدي القميص الأخضر بصدد...")</f>
        <v>المصارع الذي يرتدي القميص الأخضر بصدد...</v>
      </c>
      <c r="J188" s="4" t="str">
        <f ca="1">IFERROR(__xludf.DUMMYFUNCTION("GOOGLETRANSLATE(C188,""en"",""ar"")"),"أ) الإفلات من قبضة الخصم، ب) محاولة رفع الخصم، ج) المصافحة، د) أخذ استراحة")</f>
        <v>أ) الإفلات من قبضة الخصم، ب) محاولة رفع الخصم، ج) المصافحة، د) أخذ استراحة</v>
      </c>
      <c r="K188" s="4" t="str">
        <f ca="1">IFERROR(__xludf.DUMMYFUNCTION("GOOGLETRANSLATE(D188,""en"",""ar"")"),"ب) محاولة رفع خصمه")</f>
        <v>ب) محاولة رفع خصمه</v>
      </c>
      <c r="L188" s="4" t="str">
        <f ca="1">IFERROR(__xludf.DUMMYFUNCTION("GOOGLETRANSLATE(E188,""en"",""ar"")"),"يلف ذراعيه حول خصر خصمه بقبضة قوية، استعداداً لرفعه ورميه.")</f>
        <v>يلف ذراعيه حول خصر خصمه بقبضة قوية، استعداداً لرفعه ورميه.</v>
      </c>
      <c r="M188" s="4"/>
      <c r="N188" s="4"/>
      <c r="O188" s="4"/>
      <c r="P188" s="4"/>
      <c r="Q188" s="4"/>
      <c r="R188" s="4"/>
      <c r="S188" s="4"/>
      <c r="T188" s="4"/>
      <c r="U188" s="4"/>
      <c r="V188" s="4"/>
      <c r="W188" s="4"/>
      <c r="X188" s="4"/>
      <c r="Y188" s="4"/>
      <c r="Z188" s="4"/>
      <c r="AA188" s="4"/>
      <c r="AB188" s="4"/>
      <c r="AC188" s="4"/>
      <c r="AD188" s="4"/>
      <c r="AE188" s="4"/>
      <c r="AF188" s="4"/>
      <c r="AG188" s="4"/>
    </row>
    <row r="189" spans="1:33" ht="22.5" customHeight="1" x14ac:dyDescent="0.25">
      <c r="A189" s="2"/>
      <c r="B189" s="2"/>
      <c r="C189" s="2"/>
      <c r="D189" s="2"/>
      <c r="E189" s="2"/>
      <c r="F189" s="4"/>
      <c r="G189" s="4"/>
      <c r="H189" s="7" t="s">
        <v>105</v>
      </c>
      <c r="I189" s="4" t="str">
        <f ca="1">IFERROR(__xludf.DUMMYFUNCTION("GOOGLETRANSLATE(B189,""en"",""ar"")"),"يحاول المصارع الذي يرتدي السروال القصير الأرجواني الدفاع عن نفسه عن طريق...")</f>
        <v>يحاول المصارع الذي يرتدي السروال القصير الأرجواني الدفاع عن نفسه عن طريق...</v>
      </c>
      <c r="J189" s="4" t="str">
        <f ca="1">IFERROR(__xludf.DUMMYFUNCTION("GOOGLETRANSLATE(C189,""en"",""ar"")"),"أ) دفع رأس خصمه للأسفل، ب) التمدد والحفاظ على مركز ثقل منخفض، ج) كل من أ و ب، د) هو لا يدافع")</f>
        <v>أ) دفع رأس خصمه للأسفل، ب) التمدد والحفاظ على مركز ثقل منخفض، ج) كل من أ و ب، د) هو لا يدافع</v>
      </c>
      <c r="K189" s="4" t="str">
        <f ca="1">IFERROR(__xludf.DUMMYFUNCTION("GOOGLETRANSLATE(D189,""en"",""ar"")"),"ج) كل من أ و ب")</f>
        <v>ج) كل من أ و ب</v>
      </c>
      <c r="L189" s="4" t="str">
        <f ca="1">IFERROR(__xludf.DUMMYFUNCTION("GOOGLETRANSLATE(E189,""en"",""ar"")"),"إنه يحاول كسر وضعية خصمه بالضغط على رأسه مع إبقاء وركيه منخفضين لجعل رفعه أكثر صعوبة.")</f>
        <v>إنه يحاول كسر وضعية خصمه بالضغط على رأسه مع إبقاء وركيه منخفضين لجعل رفعه أكثر صعوبة.</v>
      </c>
      <c r="M189" s="4"/>
      <c r="N189" s="4"/>
      <c r="O189" s="4"/>
      <c r="P189" s="4"/>
      <c r="Q189" s="4"/>
      <c r="R189" s="4"/>
      <c r="S189" s="4"/>
      <c r="T189" s="4"/>
      <c r="U189" s="4"/>
      <c r="V189" s="4"/>
      <c r="W189" s="4"/>
      <c r="X189" s="4"/>
      <c r="Y189" s="4"/>
      <c r="Z189" s="4"/>
      <c r="AA189" s="4"/>
      <c r="AB189" s="4"/>
      <c r="AC189" s="4"/>
      <c r="AD189" s="4"/>
      <c r="AE189" s="4"/>
      <c r="AF189" s="4"/>
      <c r="AG189" s="4"/>
    </row>
    <row r="190" spans="1:33" ht="22.5" customHeight="1" x14ac:dyDescent="0.25">
      <c r="A190" s="2"/>
      <c r="B190" s="2"/>
      <c r="C190" s="2"/>
      <c r="D190" s="2"/>
      <c r="E190" s="2"/>
      <c r="F190" s="4"/>
      <c r="G190" s="4"/>
      <c r="H190" s="6" t="s">
        <v>105</v>
      </c>
      <c r="I190" s="4" t="str">
        <f ca="1">IFERROR(__xludf.DUMMYFUNCTION("GOOGLETRANSLATE(B190,""en"",""ar"")"),"تُظهر الحالة البدنية للرياضيين أن مصارعة النوبة تتطلب...")</f>
        <v>تُظهر الحالة البدنية للرياضيين أن مصارعة النوبة تتطلب...</v>
      </c>
      <c r="J190" s="4" t="str">
        <f ca="1">IFERROR(__xludf.DUMMYFUNCTION("GOOGLETRANSLATE(C190,""en"",""ar"")"),"أ) تدريب قليل أو معدوم، ب) السرعة فقط، ج) قوة ومهارة هائلتان، د) نوع جسم محدد")</f>
        <v>أ) تدريب قليل أو معدوم، ب) السرعة فقط، ج) قوة ومهارة هائلتان، د) نوع جسم محدد</v>
      </c>
      <c r="K190" s="4" t="str">
        <f ca="1">IFERROR(__xludf.DUMMYFUNCTION("GOOGLETRANSLATE(D190,""en"",""ar"")"),"ج) قوة ومهارة هائلة")</f>
        <v>ج) قوة ومهارة هائلة</v>
      </c>
      <c r="L190" s="4" t="str">
        <f ca="1">IFERROR(__xludf.DUMMYFUNCTION("GOOGLETRANSLATE(E190,""en"",""ar"")"),"المصارعون رياضيون أقوياء خضعوا لتدريبات مكثفة لتطوير القوة والتقنية اللازمة للمنافسة.")</f>
        <v>المصارعون رياضيون أقوياء خضعوا لتدريبات مكثفة لتطوير القوة والتقنية اللازمة للمنافسة.</v>
      </c>
      <c r="M190" s="4"/>
      <c r="N190" s="4"/>
      <c r="O190" s="4"/>
      <c r="P190" s="4"/>
      <c r="Q190" s="4"/>
      <c r="R190" s="4"/>
      <c r="S190" s="4"/>
      <c r="T190" s="4"/>
      <c r="U190" s="4"/>
      <c r="V190" s="4"/>
      <c r="W190" s="4"/>
      <c r="X190" s="4"/>
      <c r="Y190" s="4"/>
      <c r="Z190" s="4"/>
      <c r="AA190" s="4"/>
      <c r="AB190" s="4"/>
      <c r="AC190" s="4"/>
      <c r="AD190" s="4"/>
      <c r="AE190" s="4"/>
      <c r="AF190" s="4"/>
      <c r="AG190" s="4"/>
    </row>
    <row r="191" spans="1:33" ht="22.5" customHeight="1" x14ac:dyDescent="0.25">
      <c r="A191" s="2"/>
      <c r="B191" s="2"/>
      <c r="C191" s="2"/>
      <c r="D191" s="2"/>
      <c r="E191" s="2"/>
      <c r="F191" s="4"/>
      <c r="G191" s="4"/>
      <c r="H191" s="7" t="s">
        <v>105</v>
      </c>
      <c r="I191" s="4" t="str">
        <f ca="1">IFERROR(__xludf.DUMMYFUNCTION("GOOGLETRANSLATE(B191,""en"",""ar"")"),"تُظهر هذه الصورة __________ مصارعة النوبة.")</f>
        <v>تُظهر هذه الصورة __________ مصارعة النوبة.</v>
      </c>
      <c r="J191" s="4" t="str">
        <f ca="1">IFERROR(__xludf.DUMMYFUNCTION("GOOGLETRANSLATE(C191,""en"",""ar"")"),"أ) شكل تاريخي احتفالي، ب) شكل حديث تنافسي، ج) تراجع في الشعبية، د) جانب سري خفي")</f>
        <v>أ) شكل تاريخي احتفالي، ب) شكل حديث تنافسي، ج) تراجع في الشعبية، د) جانب سري خفي</v>
      </c>
      <c r="K191" s="4" t="str">
        <f ca="1">IFERROR(__xludf.DUMMYFUNCTION("GOOGLETRANSLATE(D191,""en"",""ar"")"),"ب) شكل حديث وتنافسي")</f>
        <v>ب) شكل حديث وتنافسي</v>
      </c>
      <c r="L191" s="4" t="str">
        <f ca="1">IFERROR(__xludf.DUMMYFUNCTION("GOOGLETRANSLATE(E191,""en"",""ar"")"),"إن وجود حكم، وملابس حديثة، وحشد كبير ومنظم، كلها سمات مميزة لهذه الرياضة كما تُمارس اليوم.")</f>
        <v>إن وجود حكم، وملابس حديثة، وحشد كبير ومنظم، كلها سمات مميزة لهذه الرياضة كما تُمارس اليوم.</v>
      </c>
      <c r="M191" s="4"/>
      <c r="N191" s="4"/>
      <c r="O191" s="4"/>
      <c r="P191" s="4"/>
      <c r="Q191" s="4"/>
      <c r="R191" s="4"/>
      <c r="S191" s="4"/>
      <c r="T191" s="4"/>
      <c r="U191" s="4"/>
      <c r="V191" s="4"/>
      <c r="W191" s="4"/>
      <c r="X191" s="4"/>
      <c r="Y191" s="4"/>
      <c r="Z191" s="4"/>
      <c r="AA191" s="4"/>
      <c r="AB191" s="4"/>
      <c r="AC191" s="4"/>
      <c r="AD191" s="4"/>
      <c r="AE191" s="4"/>
      <c r="AF191" s="4"/>
      <c r="AG191" s="4"/>
    </row>
    <row r="192" spans="1:33" ht="22.5" customHeight="1" x14ac:dyDescent="0.25">
      <c r="A192" s="2"/>
      <c r="B192" s="2"/>
      <c r="C192" s="2"/>
      <c r="D192" s="2"/>
      <c r="E192" s="2"/>
      <c r="F192" s="4"/>
      <c r="G192" s="4"/>
      <c r="H192" s="6" t="s">
        <v>106</v>
      </c>
      <c r="I192" s="4" t="str">
        <f ca="1">IFERROR(__xludf.DUMMYFUNCTION("GOOGLETRANSLATE(B192,""en"",""ar"")"),"هذا النمط من القتال بالعصي الطقسي، المعروف باسم دونغا، هو تقليد لشعبي سوري وسورما من أي بلد؟")</f>
        <v>هذا النمط من القتال بالعصي الطقسي، المعروف باسم دونغا، هو تقليد لشعبي سوري وسورما من أي بلد؟</v>
      </c>
      <c r="J192" s="4" t="str">
        <f ca="1">IFERROR(__xludf.DUMMYFUNCTION("GOOGLETRANSLATE(C192,""en"",""ar"")"),"أ) السودان، ب) مصر، ج) جنوب أفريقيا، د) إثيوبيا")</f>
        <v>أ) السودان، ب) مصر، ج) جنوب أفريقيا، د) إثيوبيا</v>
      </c>
      <c r="K192" s="4" t="str">
        <f ca="1">IFERROR(__xludf.DUMMYFUNCTION("GOOGLETRANSLATE(D192,""en"",""ar"")"),"د) إثيوبيا")</f>
        <v>د) إثيوبيا</v>
      </c>
      <c r="L192" s="4" t="str">
        <f ca="1">IFERROR(__xludf.DUMMYFUNCTION("GOOGLETRANSLATE(E192,""en"",""ar"")"),"دونغا هي طقوس قتال بالعصي شهيرة وذات طابع احتفالي للغاية يمارسها شعب سوري في وادي أومو بجنوب إثيوبيا.")</f>
        <v>دونغا هي طقوس قتال بالعصي شهيرة وذات طابع احتفالي للغاية يمارسها شعب سوري في وادي أومو بجنوب إثيوبيا.</v>
      </c>
      <c r="M192" s="4"/>
      <c r="N192" s="4"/>
      <c r="O192" s="4"/>
      <c r="P192" s="4"/>
      <c r="Q192" s="4"/>
      <c r="R192" s="4"/>
      <c r="S192" s="4"/>
      <c r="T192" s="4"/>
      <c r="U192" s="4"/>
      <c r="V192" s="4"/>
      <c r="W192" s="4"/>
      <c r="X192" s="4"/>
      <c r="Y192" s="4"/>
      <c r="Z192" s="4"/>
      <c r="AA192" s="4"/>
      <c r="AB192" s="4"/>
      <c r="AC192" s="4"/>
      <c r="AD192" s="4"/>
      <c r="AE192" s="4"/>
      <c r="AF192" s="4"/>
      <c r="AG192" s="4"/>
    </row>
    <row r="193" spans="1:33" ht="22.5" customHeight="1" x14ac:dyDescent="0.25">
      <c r="A193" s="2"/>
      <c r="B193" s="2"/>
      <c r="C193" s="2"/>
      <c r="D193" s="2"/>
      <c r="E193" s="2"/>
      <c r="F193" s="4"/>
      <c r="G193" s="4"/>
      <c r="H193" s="7" t="s">
        <v>106</v>
      </c>
      <c r="I193" s="4" t="str">
        <f ca="1">IFERROR(__xludf.DUMMYFUNCTION("GOOGLETRANSLATE(B193,""en"",""ar"")"),"ما هو الهدف الأساسي من بطولة دونغا؟")</f>
        <v>ما هو الهدف الأساسي من بطولة دونغا؟</v>
      </c>
      <c r="J193" s="4" t="str">
        <f ca="1">IFERROR(__xludf.DUMMYFUNCTION("GOOGLETRANSLATE(C193,""en"",""ar"")"),"أ) لتسوية النزاعات القانونية، ب) ليُثبت الشباب رجولتهم ويفوزوا بزوجة، ج) لتدريب جنود الجيش الوطني، د) للترفيه عن السياح")</f>
        <v>أ) لتسوية النزاعات القانونية، ب) ليُثبت الشباب رجولتهم ويفوزوا بزوجة، ج) لتدريب جنود الجيش الوطني، د) للترفيه عن السياح</v>
      </c>
      <c r="K193" s="4" t="str">
        <f ca="1">IFERROR(__xludf.DUMMYFUNCTION("GOOGLETRANSLATE(D193,""en"",""ar"")"),"ب) لكي يثبت الشباب رجولتهم ويفوزوا بزوجة")</f>
        <v>ب) لكي يثبت الشباب رجولتهم ويفوزوا بزوجة</v>
      </c>
      <c r="L193" s="4" t="str">
        <f ca="1">IFERROR(__xludf.DUMMYFUNCTION("GOOGLETRANSLATE(E193,""en"",""ar"")"),"إنها طقوس عبور يتنافس فيها الرجال على المكانة المرموقة واهتمام نساء القبيلة، وغالبًا ما يتم اختيار الأبطال كأزواج.")</f>
        <v>إنها طقوس عبور يتنافس فيها الرجال على المكانة المرموقة واهتمام نساء القبيلة، وغالبًا ما يتم اختيار الأبطال كأزواج.</v>
      </c>
      <c r="M193" s="4"/>
      <c r="N193" s="4"/>
      <c r="O193" s="4"/>
      <c r="P193" s="4"/>
      <c r="Q193" s="4"/>
      <c r="R193" s="4"/>
      <c r="S193" s="4"/>
      <c r="T193" s="4"/>
      <c r="U193" s="4"/>
      <c r="V193" s="4"/>
      <c r="W193" s="4"/>
      <c r="X193" s="4"/>
      <c r="Y193" s="4"/>
      <c r="Z193" s="4"/>
      <c r="AA193" s="4"/>
      <c r="AB193" s="4"/>
      <c r="AC193" s="4"/>
      <c r="AD193" s="4"/>
      <c r="AE193" s="4"/>
      <c r="AF193" s="4"/>
      <c r="AG193" s="4"/>
    </row>
    <row r="194" spans="1:33" ht="22.5" customHeight="1" x14ac:dyDescent="0.25">
      <c r="A194" s="2"/>
      <c r="B194" s="2"/>
      <c r="C194" s="2"/>
      <c r="D194" s="2"/>
      <c r="E194" s="2"/>
      <c r="F194" s="4"/>
      <c r="G194" s="4"/>
      <c r="H194" s="6" t="s">
        <v>106</v>
      </c>
      <c r="I194" s="4" t="str">
        <f ca="1">IFERROR(__xludf.DUMMYFUNCTION("GOOGLETRANSLATE(B194,""en"",""ar"")"),"ما هو زي المقاتلين؟")</f>
        <v>ما هو زي المقاتلين؟</v>
      </c>
      <c r="J194" s="4" t="str">
        <f ca="1">IFERROR(__xludf.DUMMYFUNCTION("GOOGLETRANSLATE(C194,""en"",""ar"")"),"أ) يرتدون دروعًا ثقيلة ومبطنة، ب) يرتدون ملابس قليلة جدًا، ويستخدمون أحيانًا طلاء الجسم للزينة، ج) يرتدون زيًا رياضيًا حديثًا، د) يرتدون أردية وعمائم تقليدية")</f>
        <v>أ) يرتدون دروعًا ثقيلة ومبطنة، ب) يرتدون ملابس قليلة جدًا، ويستخدمون أحيانًا طلاء الجسم للزينة، ج) يرتدون زيًا رياضيًا حديثًا، د) يرتدون أردية وعمائم تقليدية</v>
      </c>
      <c r="K194" s="4" t="str">
        <f ca="1">IFERROR(__xludf.DUMMYFUNCTION("GOOGLETRANSLATE(D194,""en"",""ar"")"),"ب) يرتدون ملابس قليلة جداً، ويستخدمون أحياناً طلاء الجسم الزخرفي")</f>
        <v>ب) يرتدون ملابس قليلة جداً، ويستخدمون أحياناً طلاء الجسم الزخرفي</v>
      </c>
      <c r="L194" s="4" t="str">
        <f ca="1">IFERROR(__xludf.DUMMYFUNCTION("GOOGLETRANSLATE(E194,""en"",""ar"")"),"يتنافس المقاتلون بملابس قليلة لإظهار بنيتهم ​​الجسدية والندوب والطلاء المزخرف الذي يُعد جزءًا من ثقافتهم.")</f>
        <v>يتنافس المقاتلون بملابس قليلة لإظهار بنيتهم ​​الجسدية والندوب والطلاء المزخرف الذي يُعد جزءًا من ثقافتهم.</v>
      </c>
      <c r="M194" s="4"/>
      <c r="N194" s="4"/>
      <c r="O194" s="4"/>
      <c r="P194" s="4"/>
      <c r="Q194" s="4"/>
      <c r="R194" s="4"/>
      <c r="S194" s="4"/>
      <c r="T194" s="4"/>
      <c r="U194" s="4"/>
      <c r="V194" s="4"/>
      <c r="W194" s="4"/>
      <c r="X194" s="4"/>
      <c r="Y194" s="4"/>
      <c r="Z194" s="4"/>
      <c r="AA194" s="4"/>
      <c r="AB194" s="4"/>
      <c r="AC194" s="4"/>
      <c r="AD194" s="4"/>
      <c r="AE194" s="4"/>
      <c r="AF194" s="4"/>
      <c r="AG194" s="4"/>
    </row>
    <row r="195" spans="1:33" ht="22.5" customHeight="1" x14ac:dyDescent="0.25">
      <c r="A195" s="2"/>
      <c r="B195" s="2"/>
      <c r="C195" s="2"/>
      <c r="D195" s="2"/>
      <c r="E195" s="2"/>
      <c r="F195" s="4"/>
      <c r="G195" s="4"/>
      <c r="H195" s="7" t="s">
        <v>106</v>
      </c>
      <c r="I195" s="4" t="str">
        <f ca="1">IFERROR(__xludf.DUMMYFUNCTION("GOOGLETRANSLATE(B195,""en"",""ar"")"),"ما هي أسلحة المقاتلين؟")</f>
        <v>ما هي أسلحة المقاتلين؟</v>
      </c>
      <c r="J195" s="4" t="str">
        <f ca="1">IFERROR(__xludf.DUMMYFUNCTION("GOOGLETRANSLATE(C195,""en"",""ar"")"),"أ) السيوف والدروع، ب) الأقواس والسهام، ج) العصي الخشبية الطويلة أو الصولجانات (دونغا)، د) عصي ​​التدريب المبطنة")</f>
        <v>أ) السيوف والدروع، ب) الأقواس والسهام، ج) العصي الخشبية الطويلة أو الصولجانات (دونغا)، د) عصي ​​التدريب المبطنة</v>
      </c>
      <c r="K195" s="4" t="str">
        <f ca="1">IFERROR(__xludf.DUMMYFUNCTION("GOOGLETRANSLATE(D195,""en"",""ar"")"),"ج) أعمدة أو عصي خشبية طويلة (دونغا)")</f>
        <v>ج) أعمدة أو عصي خشبية طويلة (دونغا)</v>
      </c>
      <c r="L195" s="4" t="str">
        <f ca="1">IFERROR(__xludf.DUMMYFUNCTION("GOOGLETRANSLATE(E195,""en"",""ar"")"),"سميت هذه الرياضة نسبة إلى العصا الخشبية الطويلة والثقيلة المستخدمة فيها.")</f>
        <v>سميت هذه الرياضة نسبة إلى العصا الخشبية الطويلة والثقيلة المستخدمة فيها.</v>
      </c>
      <c r="M195" s="4"/>
      <c r="N195" s="4"/>
      <c r="O195" s="4"/>
      <c r="P195" s="4"/>
      <c r="Q195" s="4"/>
      <c r="R195" s="4"/>
      <c r="S195" s="4"/>
      <c r="T195" s="4"/>
      <c r="U195" s="4"/>
      <c r="V195" s="4"/>
      <c r="W195" s="4"/>
      <c r="X195" s="4"/>
      <c r="Y195" s="4"/>
      <c r="Z195" s="4"/>
      <c r="AA195" s="4"/>
      <c r="AB195" s="4"/>
      <c r="AC195" s="4"/>
      <c r="AD195" s="4"/>
      <c r="AE195" s="4"/>
      <c r="AF195" s="4"/>
      <c r="AG195" s="4"/>
    </row>
    <row r="196" spans="1:33" ht="22.5" customHeight="1" x14ac:dyDescent="0.25">
      <c r="A196" s="2"/>
      <c r="B196" s="2"/>
      <c r="C196" s="2"/>
      <c r="D196" s="2"/>
      <c r="E196" s="2"/>
      <c r="F196" s="4"/>
      <c r="G196" s="4"/>
      <c r="H196" s="6" t="s">
        <v>106</v>
      </c>
      <c r="I196" s="4" t="str">
        <f ca="1">IFERROR(__xludf.DUMMYFUNCTION("GOOGLETRANSLATE(B196,""en"",""ar"")"),"ما هو مكان هذا القتال؟")</f>
        <v>ما هو مكان هذا القتال؟</v>
      </c>
      <c r="J196" s="4" t="str">
        <f ca="1">IFERROR(__xludf.DUMMYFUNCTION("GOOGLETRANSLATE(C196,""en"",""ar"")"),"أ) ساحة حديثة مسيجة، ب) حقل عشبي في بيئة سافانا، ج) غابة كثيفة، د) شاطئ رملي")</f>
        <v>أ) ساحة حديثة مسيجة، ب) حقل عشبي في بيئة سافانا، ج) غابة كثيفة، د) شاطئ رملي</v>
      </c>
      <c r="K196" s="4" t="str">
        <f ca="1">IFERROR(__xludf.DUMMYFUNCTION("GOOGLETRANSLATE(D196,""en"",""ar"")"),"ب) حقل عشبي في بيئة السافانا")</f>
        <v>ب) حقل عشبي في بيئة السافانا</v>
      </c>
      <c r="L196" s="4" t="str">
        <f ca="1">IFERROR(__xludf.DUMMYFUNCTION("GOOGLETRANSLATE(E196,""en"",""ar"")"),"تُعدّ الأرض الجافة وأشجار السنط من السمات المميزة لسافانا شرق أفريقيا.")</f>
        <v>تُعدّ الأرض الجافة وأشجار السنط من السمات المميزة لسافانا شرق أفريقيا.</v>
      </c>
      <c r="M196" s="4"/>
      <c r="N196" s="4"/>
      <c r="O196" s="4"/>
      <c r="P196" s="4"/>
      <c r="Q196" s="4"/>
      <c r="R196" s="4"/>
      <c r="S196" s="4"/>
      <c r="T196" s="4"/>
      <c r="U196" s="4"/>
      <c r="V196" s="4"/>
      <c r="W196" s="4"/>
      <c r="X196" s="4"/>
      <c r="Y196" s="4"/>
      <c r="Z196" s="4"/>
      <c r="AA196" s="4"/>
      <c r="AB196" s="4"/>
      <c r="AC196" s="4"/>
      <c r="AD196" s="4"/>
      <c r="AE196" s="4"/>
      <c r="AF196" s="4"/>
      <c r="AG196" s="4"/>
    </row>
    <row r="197" spans="1:33" ht="22.5" customHeight="1" x14ac:dyDescent="0.25">
      <c r="A197" s="2"/>
      <c r="B197" s="2"/>
      <c r="C197" s="2"/>
      <c r="D197" s="2"/>
      <c r="E197" s="2"/>
      <c r="F197" s="4"/>
      <c r="G197" s="4"/>
      <c r="H197" s="7" t="s">
        <v>106</v>
      </c>
      <c r="I197" s="4" t="str">
        <f ca="1">IFERROR(__xludf.DUMMYFUNCTION("GOOGLETRANSLATE(B197,""en"",""ar"")"),"ما الذي يلفه المقاتل الموجود على اليسار حول جذعه؟")</f>
        <v>ما الذي يلفه المقاتل الموجود على اليسار حول جذعه؟</v>
      </c>
      <c r="J197" s="4" t="str">
        <f ca="1">IFERROR(__xludf.DUMMYFUNCTION("GOOGLETRANSLATE(C197,""en"",""ar"")"),"أ) سترة واقية، ب) قطعة قماش أو وشاح مزخرف، ج) سترة نجاة، د) حبال للتسلق")</f>
        <v>أ) سترة واقية، ب) قطعة قماش أو وشاح مزخرف، ج) سترة نجاة، د) حبال للتسلق</v>
      </c>
      <c r="K197" s="4" t="str">
        <f ca="1">IFERROR(__xludf.DUMMYFUNCTION("GOOGLETRANSLATE(D197,""en"",""ar"")"),"ب) قطعة قماش أو وشاح مزخرف")</f>
        <v>ب) قطعة قماش أو وشاح مزخرف</v>
      </c>
      <c r="L197" s="4" t="str">
        <f ca="1">IFERROR(__xludf.DUMMYFUNCTION("GOOGLETRANSLATE(E197,""en"",""ar"")"),"زيه البسيط مزين بقطعة قماش داكنة اللون ومجوهرات مطرزة بالخرز.")</f>
        <v>زيه البسيط مزين بقطعة قماش داكنة اللون ومجوهرات مطرزة بالخرز.</v>
      </c>
      <c r="M197" s="4"/>
      <c r="N197" s="4"/>
      <c r="O197" s="4"/>
      <c r="P197" s="4"/>
      <c r="Q197" s="4"/>
      <c r="R197" s="4"/>
      <c r="S197" s="4"/>
      <c r="T197" s="4"/>
      <c r="U197" s="4"/>
      <c r="V197" s="4"/>
      <c r="W197" s="4"/>
      <c r="X197" s="4"/>
      <c r="Y197" s="4"/>
      <c r="Z197" s="4"/>
      <c r="AA197" s="4"/>
      <c r="AB197" s="4"/>
      <c r="AC197" s="4"/>
      <c r="AD197" s="4"/>
      <c r="AE197" s="4"/>
      <c r="AF197" s="4"/>
      <c r="AG197" s="4"/>
    </row>
    <row r="198" spans="1:33" ht="22.5" customHeight="1" x14ac:dyDescent="0.25">
      <c r="A198" s="2"/>
      <c r="B198" s="2"/>
      <c r="C198" s="2"/>
      <c r="D198" s="2"/>
      <c r="E198" s="2"/>
      <c r="F198" s="4"/>
      <c r="G198" s="4"/>
      <c r="H198" s="6" t="s">
        <v>106</v>
      </c>
      <c r="I198" s="4" t="str">
        <f ca="1">IFERROR(__xludf.DUMMYFUNCTION("GOOGLETRANSLATE(B198,""en"",""ar"")"),"تُظهر الوضعيات الديناميكية للمقاتلين أن هذا...")</f>
        <v>تُظهر الوضعيات الديناميكية للمقاتلين أن هذا...</v>
      </c>
      <c r="J198" s="4" t="str">
        <f ca="1">IFERROR(__xludf.DUMMYFUNCTION("GOOGLETRANSLATE(C198,""en"",""ar"")"),"أ) رقصة احتفالية بطيئة، ب) منافسة سريعة وحادة، ج) صورة فوتوغرافية مُعدّة مسبقًا، د) رياضة لا تتضمن احتكاكًا جسديًا")</f>
        <v>أ) رقصة احتفالية بطيئة، ب) منافسة سريعة وحادة، ج) صورة فوتوغرافية مُعدّة مسبقًا، د) رياضة لا تتضمن احتكاكًا جسديًا</v>
      </c>
      <c r="K198" s="4" t="str">
        <f ca="1">IFERROR(__xludf.DUMMYFUNCTION("GOOGLETRANSLATE(D198,""en"",""ar"")"),"ب) منافسة سريعة الوتيرة وحماسية")</f>
        <v>ب) منافسة سريعة الوتيرة وحماسية</v>
      </c>
      <c r="L198" s="4" t="str">
        <f ca="1">IFERROR(__xludf.DUMMYFUNCTION("GOOGLETRANSLATE(E198,""en"",""ar"")"),"تشير وضعياتهم الرياضية إلى أنهم منخرطون بنشاط في مبارزة تتطلب السرعة والقوة والشجاعة.")</f>
        <v>تشير وضعياتهم الرياضية إلى أنهم منخرطون بنشاط في مبارزة تتطلب السرعة والقوة والشجاعة.</v>
      </c>
      <c r="M198" s="4"/>
      <c r="N198" s="4"/>
      <c r="O198" s="4"/>
      <c r="P198" s="4"/>
      <c r="Q198" s="4"/>
      <c r="R198" s="4"/>
      <c r="S198" s="4"/>
      <c r="T198" s="4"/>
      <c r="U198" s="4"/>
      <c r="V198" s="4"/>
      <c r="W198" s="4"/>
      <c r="X198" s="4"/>
      <c r="Y198" s="4"/>
      <c r="Z198" s="4"/>
      <c r="AA198" s="4"/>
      <c r="AB198" s="4"/>
      <c r="AC198" s="4"/>
      <c r="AD198" s="4"/>
      <c r="AE198" s="4"/>
      <c r="AF198" s="4"/>
      <c r="AG198" s="4"/>
    </row>
    <row r="199" spans="1:33" ht="22.5" customHeight="1" x14ac:dyDescent="0.25">
      <c r="A199" s="2"/>
      <c r="B199" s="2"/>
      <c r="C199" s="2"/>
      <c r="D199" s="2"/>
      <c r="E199" s="2"/>
      <c r="F199" s="4"/>
      <c r="G199" s="4"/>
      <c r="H199" s="7" t="s">
        <v>106</v>
      </c>
      <c r="I199" s="4" t="str">
        <f ca="1">IFERROR(__xludf.DUMMYFUNCTION("GOOGLETRANSLATE(B199,""en"",""ar"")"),"هل رياضة الدونغا آمنة؟")</f>
        <v>هل رياضة الدونغا آمنة؟</v>
      </c>
      <c r="J199" s="4" t="str">
        <f ca="1">IFERROR(__xludf.DUMMYFUNCTION("GOOGLETRANSLATE(C199,""en"",""ar"")"),"أ) نعم، إنها آمنة تمامًا ولا يوجد خطر للإصابة. ب) لا، إنها طقوس عنيفة وخطيرة قد تؤدي إلى إصابات خطيرة وحتى الموت. ج) إنها رياضة لا تتطلب احتكاكًا جسديًا. د) العصي مبطنة وناعمة.")</f>
        <v>أ) نعم، إنها آمنة تمامًا ولا يوجد خطر للإصابة. ب) لا، إنها طقوس عنيفة وخطيرة قد تؤدي إلى إصابات خطيرة وحتى الموت. ج) إنها رياضة لا تتطلب احتكاكًا جسديًا. د) العصي مبطنة وناعمة.</v>
      </c>
      <c r="K199" s="4" t="str">
        <f ca="1">IFERROR(__xludf.DUMMYFUNCTION("GOOGLETRANSLATE(D199,""en"",""ar"")"),"ب) لا، إنها طقوس عنيفة وخطيرة قد تؤدي إلى إصابات خطيرة وحتى الموت")</f>
        <v>ب) لا، إنها طقوس عنيفة وخطيرة قد تؤدي إلى إصابات خطيرة وحتى الموت</v>
      </c>
      <c r="L199" s="4" t="str">
        <f ca="1">IFERROR(__xludf.DUMMYFUNCTION("GOOGLETRANSLATE(E199,""en"",""ar"")"),"يُعدّ دونغا اختباراً حقيقياً لقدرة المحارب على التحمل وتحمل الألم، وينطوي على مخاطر جسدية كبيرة.")</f>
        <v>يُعدّ دونغا اختباراً حقيقياً لقدرة المحارب على التحمل وتحمل الألم، وينطوي على مخاطر جسدية كبيرة.</v>
      </c>
      <c r="M199" s="4"/>
      <c r="N199" s="4"/>
      <c r="O199" s="4"/>
      <c r="P199" s="4"/>
      <c r="Q199" s="4"/>
      <c r="R199" s="4"/>
      <c r="S199" s="4"/>
      <c r="T199" s="4"/>
      <c r="U199" s="4"/>
      <c r="V199" s="4"/>
      <c r="W199" s="4"/>
      <c r="X199" s="4"/>
      <c r="Y199" s="4"/>
      <c r="Z199" s="4"/>
      <c r="AA199" s="4"/>
      <c r="AB199" s="4"/>
      <c r="AC199" s="4"/>
      <c r="AD199" s="4"/>
      <c r="AE199" s="4"/>
      <c r="AF199" s="4"/>
      <c r="AG199" s="4"/>
    </row>
    <row r="200" spans="1:33" ht="22.5" customHeight="1" x14ac:dyDescent="0.25">
      <c r="A200" s="2"/>
      <c r="B200" s="2"/>
      <c r="C200" s="2"/>
      <c r="D200" s="2"/>
      <c r="E200" s="2"/>
      <c r="F200" s="4"/>
      <c r="G200" s="4"/>
      <c r="H200" s="6" t="s">
        <v>106</v>
      </c>
      <c r="I200" s="4" t="str">
        <f ca="1">IFERROR(__xludf.DUMMYFUNCTION("GOOGLETRANSLATE(B200,""en"",""ar"")"),"ماذا يفعل المقاتل الموجود على اليمين؟")</f>
        <v>ماذا يفعل المقاتل الموجود على اليمين؟</v>
      </c>
      <c r="J200" s="4" t="str">
        <f ca="1">IFERROR(__xludf.DUMMYFUNCTION("GOOGLETRANSLATE(C200,""en"",""ar"")"),"أ) إنه يدافع ضد ضربة، ب) إنه يرفع عصاه لتوجيه ضربة علوية، ج) إنه يستسلم، د) إنه يستريح")</f>
        <v>أ) إنه يدافع ضد ضربة، ب) إنه يرفع عصاه لتوجيه ضربة علوية، ج) إنه يستسلم، د) إنه يستريح</v>
      </c>
      <c r="K200" s="4" t="str">
        <f ca="1">IFERROR(__xludf.DUMMYFUNCTION("GOOGLETRANSLATE(D200,""en"",""ar"")"),"ب) إنه يرفع عصاه لتوجيه ضربة علوية")</f>
        <v>ب) إنه يرفع عصاه لتوجيه ضربة علوية</v>
      </c>
      <c r="L200" s="4" t="str">
        <f ca="1">IFERROR(__xludf.DUMMYFUNCTION("GOOGLETRANSLATE(E200,""en"",""ar"")"),"يرفع عصاه عالياً، في الوضع الهجومي الكلاسيكي ليضرب بها خصمه.")</f>
        <v>يرفع عصاه عالياً، في الوضع الهجومي الكلاسيكي ليضرب بها خصمه.</v>
      </c>
      <c r="M200" s="4"/>
      <c r="N200" s="4"/>
      <c r="O200" s="4"/>
      <c r="P200" s="4"/>
      <c r="Q200" s="4"/>
      <c r="R200" s="4"/>
      <c r="S200" s="4"/>
      <c r="T200" s="4"/>
      <c r="U200" s="4"/>
      <c r="V200" s="4"/>
      <c r="W200" s="4"/>
      <c r="X200" s="4"/>
      <c r="Y200" s="4"/>
      <c r="Z200" s="4"/>
      <c r="AA200" s="4"/>
      <c r="AB200" s="4"/>
      <c r="AC200" s="4"/>
      <c r="AD200" s="4"/>
      <c r="AE200" s="4"/>
      <c r="AF200" s="4"/>
      <c r="AG200" s="4"/>
    </row>
    <row r="201" spans="1:33" ht="22.5" customHeight="1" x14ac:dyDescent="0.25">
      <c r="A201" s="2"/>
      <c r="B201" s="2"/>
      <c r="C201" s="2"/>
      <c r="D201" s="2"/>
      <c r="E201" s="2"/>
      <c r="F201" s="4"/>
      <c r="G201" s="4"/>
      <c r="H201" s="7" t="s">
        <v>106</v>
      </c>
      <c r="I201" s="4" t="str">
        <f ca="1">IFERROR(__xludf.DUMMYFUNCTION("GOOGLETRANSLATE(B201,""en"",""ar"")"),"إن الغبار الذي تثيره أقدامهم هو علامة على...")</f>
        <v>إن الغبار الذي تثيره أقدامهم هو علامة على...</v>
      </c>
      <c r="J201" s="4" t="str">
        <f ca="1">IFERROR(__xludf.DUMMYFUNCTION("GOOGLETRANSLATE(C201,""en"",""ar"")"),"أ) حركات بطيئة متثاقلة، ب) حركة قدم سريعة ورياضية، ج) الأرض مبتلة، د) نهاية القتال")</f>
        <v>أ) حركات بطيئة متثاقلة، ب) حركة قدم سريعة ورياضية، ج) الأرض مبتلة، د) نهاية القتال</v>
      </c>
      <c r="K201" s="4" t="str">
        <f ca="1">IFERROR(__xludf.DUMMYFUNCTION("GOOGLETRANSLATE(D201,""en"",""ar"")"),"ب) حركتهم السريعة والرياضية بالقدمين")</f>
        <v>ب) حركتهم السريعة والرياضية بالقدمين</v>
      </c>
      <c r="L201" s="4" t="str">
        <f ca="1">IFERROR(__xludf.DUMMYFUNCTION("GOOGLETRANSLATE(E201,""en"",""ar"")"),"المقاتلون يتحركون باستمرار، وخطواتهم السريعة على الأرض الجافة تخلق سحابة من الغبار.")</f>
        <v>المقاتلون يتحركون باستمرار، وخطواتهم السريعة على الأرض الجافة تخلق سحابة من الغبار.</v>
      </c>
      <c r="M201" s="4"/>
      <c r="N201" s="4"/>
      <c r="O201" s="4"/>
      <c r="P201" s="4"/>
      <c r="Q201" s="4"/>
      <c r="R201" s="4"/>
      <c r="S201" s="4"/>
      <c r="T201" s="4"/>
      <c r="U201" s="4"/>
      <c r="V201" s="4"/>
      <c r="W201" s="4"/>
      <c r="X201" s="4"/>
      <c r="Y201" s="4"/>
      <c r="Z201" s="4"/>
      <c r="AA201" s="4"/>
      <c r="AB201" s="4"/>
      <c r="AC201" s="4"/>
      <c r="AD201" s="4"/>
      <c r="AE201" s="4"/>
      <c r="AF201" s="4"/>
      <c r="AG201" s="4"/>
    </row>
    <row r="202" spans="1:33" ht="22.5" customHeight="1" x14ac:dyDescent="0.25">
      <c r="A202" s="2"/>
      <c r="B202" s="2"/>
      <c r="C202" s="2"/>
      <c r="D202" s="2"/>
      <c r="E202" s="2"/>
      <c r="F202" s="4"/>
      <c r="G202" s="4"/>
      <c r="H202" s="6" t="s">
        <v>107</v>
      </c>
      <c r="I202" s="4" t="str">
        <f ca="1">IFERROR(__xludf.DUMMYFUNCTION("GOOGLETRANSLATE(B202,""en"",""ar"")"),"تُظهر هذه اللقطة المقربة لحظة من تقاليد القتال بالعصي في وادي أومو، في أي بلد؟")</f>
        <v>تُظهر هذه اللقطة المقربة لحظة من تقاليد القتال بالعصي في وادي أومو، في أي بلد؟</v>
      </c>
      <c r="J202" s="4" t="str">
        <f ca="1">IFERROR(__xludf.DUMMYFUNCTION("GOOGLETRANSLATE(C202,""en"",""ar"")"),"أ) السودان، ب) مصر، ج) إثيوبيا، د) نيجيريا")</f>
        <v>أ) السودان، ب) مصر، ج) إثيوبيا، د) نيجيريا</v>
      </c>
      <c r="K202" s="4" t="str">
        <f ca="1">IFERROR(__xludf.DUMMYFUNCTION("GOOGLETRANSLATE(D202,""en"",""ar"")"),"ج) إثيوبيا")</f>
        <v>ج) إثيوبيا</v>
      </c>
      <c r="L202" s="4" t="str">
        <f ca="1">IFERROR(__xludf.DUMMYFUNCTION("GOOGLETRANSLATE(E202,""en"",""ar"")"),"هذا هو القتال بالعصا دونجا لشعب سوري، وهو تقليد مشهور من جنوب إثيوبيا.")</f>
        <v>هذا هو القتال بالعصا دونجا لشعب سوري، وهو تقليد مشهور من جنوب إثيوبيا.</v>
      </c>
      <c r="M202" s="4"/>
      <c r="N202" s="4"/>
      <c r="O202" s="4"/>
      <c r="P202" s="4"/>
      <c r="Q202" s="4"/>
      <c r="R202" s="4"/>
      <c r="S202" s="4"/>
      <c r="T202" s="4"/>
      <c r="U202" s="4"/>
      <c r="V202" s="4"/>
      <c r="W202" s="4"/>
      <c r="X202" s="4"/>
      <c r="Y202" s="4"/>
      <c r="Z202" s="4"/>
      <c r="AA202" s="4"/>
      <c r="AB202" s="4"/>
      <c r="AC202" s="4"/>
      <c r="AD202" s="4"/>
      <c r="AE202" s="4"/>
      <c r="AF202" s="4"/>
      <c r="AG202" s="4"/>
    </row>
    <row r="203" spans="1:33" ht="22.5" customHeight="1" x14ac:dyDescent="0.25">
      <c r="A203" s="2"/>
      <c r="B203" s="2"/>
      <c r="C203" s="2"/>
      <c r="D203" s="2"/>
      <c r="E203" s="2"/>
      <c r="F203" s="4"/>
      <c r="G203" s="4"/>
      <c r="H203" s="7" t="s">
        <v>107</v>
      </c>
      <c r="I203" s="4" t="str">
        <f ca="1">IFERROR(__xludf.DUMMYFUNCTION("GOOGLETRANSLATE(B203,""en"",""ar"")"),"ماذا يفعل المقاتلان في المقدمة؟")</f>
        <v>ماذا يفعل المقاتلان في المقدمة؟</v>
      </c>
      <c r="J203" s="4" t="str">
        <f ca="1">IFERROR(__xludf.DUMMYFUNCTION("GOOGLETRANSLATE(C203,""en"",""ar"")"),"أ) يتصافحون، ب) هم منخرطون في قتال، يستخدمون عصيهم للهجوم والدفاع، ج) هم يستريحون، د) يؤدون رقصة")</f>
        <v>أ) يتصافحون، ب) هم منخرطون في قتال، يستخدمون عصيهم للهجوم والدفاع، ج) هم يستريحون، د) يؤدون رقصة</v>
      </c>
      <c r="K203" s="4" t="str">
        <f ca="1">IFERROR(__xludf.DUMMYFUNCTION("GOOGLETRANSLATE(D203,""en"",""ar"")"),"ب) إنهم منخرطون في قتال، ويستخدمون عصيهم للهجوم والدفاع")</f>
        <v>ب) إنهم منخرطون في قتال، ويستخدمون عصيهم للهجوم والدفاع</v>
      </c>
      <c r="L203" s="4" t="str">
        <f ca="1">IFERROR(__xludf.DUMMYFUNCTION("GOOGLETRANSLATE(E203,""en"",""ar"")"),"تتقاطع عصيهم بينما يهاجم أحد المقاتلين ويصد الآخر الضربة، مما يجسد لحظة حاسمة من المبارزة.")</f>
        <v>تتقاطع عصيهم بينما يهاجم أحد المقاتلين ويصد الآخر الضربة، مما يجسد لحظة حاسمة من المبارزة.</v>
      </c>
      <c r="M203" s="4"/>
      <c r="N203" s="4"/>
      <c r="O203" s="4"/>
      <c r="P203" s="4"/>
      <c r="Q203" s="4"/>
      <c r="R203" s="4"/>
      <c r="S203" s="4"/>
      <c r="T203" s="4"/>
      <c r="U203" s="4"/>
      <c r="V203" s="4"/>
      <c r="W203" s="4"/>
      <c r="X203" s="4"/>
      <c r="Y203" s="4"/>
      <c r="Z203" s="4"/>
      <c r="AA203" s="4"/>
      <c r="AB203" s="4"/>
      <c r="AC203" s="4"/>
      <c r="AD203" s="4"/>
      <c r="AE203" s="4"/>
      <c r="AF203" s="4"/>
      <c r="AG203" s="4"/>
    </row>
    <row r="204" spans="1:33" ht="22.5" customHeight="1" x14ac:dyDescent="0.25">
      <c r="A204" s="2"/>
      <c r="B204" s="2"/>
      <c r="C204" s="2"/>
      <c r="D204" s="2"/>
      <c r="E204" s="2"/>
      <c r="F204" s="4"/>
      <c r="G204" s="4"/>
      <c r="H204" s="6" t="s">
        <v>107</v>
      </c>
      <c r="I204" s="4" t="str">
        <f ca="1">IFERROR(__xludf.DUMMYFUNCTION("GOOGLETRANSLATE(B204,""en"",""ar"")"),"ما هو الهدف الأساسي في قتال دونغا؟")</f>
        <v>ما هو الهدف الأساسي في قتال دونغا؟</v>
      </c>
      <c r="J204" s="4" t="str">
        <f ca="1">IFERROR(__xludf.DUMMYFUNCTION("GOOGLETRANSLATE(C204,""en"",""ar"")"),"أ) لإخراج المقاتل الآخر عن وعيه، ب) لتسجيل نقاط بلمس الخصم، ج) لإجبار المقاتل الآخر على الاستسلام، د) جميع ما سبق احتمالات واردة")</f>
        <v>أ) لإخراج المقاتل الآخر عن وعيه، ب) لتسجيل نقاط بلمس الخصم، ج) لإجبار المقاتل الآخر على الاستسلام، د) جميع ما سبق احتمالات واردة</v>
      </c>
      <c r="K204" s="4" t="str">
        <f ca="1">IFERROR(__xludf.DUMMYFUNCTION("GOOGLETRANSLATE(D204,""en"",""ar"")"),"أ) لإخراج المقاتل الآخر من وعيه")</f>
        <v>أ) لإخراج المقاتل الآخر من وعيه</v>
      </c>
      <c r="L204" s="4" t="str">
        <f ca="1">IFERROR(__xludf.DUMMYFUNCTION("GOOGLETRANSLATE(E204,""en"",""ar"")"),"الهدف هو إظهار القوة والتحمل من خلال ضرب الخصم حتى يسقط أرضًا أو يستسلم. إنها رياضة عنيفة وخطيرة للغاية.")</f>
        <v>الهدف هو إظهار القوة والتحمل من خلال ضرب الخصم حتى يسقط أرضًا أو يستسلم. إنها رياضة عنيفة وخطيرة للغاية.</v>
      </c>
      <c r="M204" s="4"/>
      <c r="N204" s="4"/>
      <c r="O204" s="4"/>
      <c r="P204" s="4"/>
      <c r="Q204" s="4"/>
      <c r="R204" s="4"/>
      <c r="S204" s="4"/>
      <c r="T204" s="4"/>
      <c r="U204" s="4"/>
      <c r="V204" s="4"/>
      <c r="W204" s="4"/>
      <c r="X204" s="4"/>
      <c r="Y204" s="4"/>
      <c r="Z204" s="4"/>
      <c r="AA204" s="4"/>
      <c r="AB204" s="4"/>
      <c r="AC204" s="4"/>
      <c r="AD204" s="4"/>
      <c r="AE204" s="4"/>
      <c r="AF204" s="4"/>
      <c r="AG204" s="4"/>
    </row>
    <row r="205" spans="1:33" ht="22.5" customHeight="1" x14ac:dyDescent="0.25">
      <c r="A205" s="2"/>
      <c r="B205" s="2"/>
      <c r="C205" s="2"/>
      <c r="D205" s="2"/>
      <c r="E205" s="2"/>
      <c r="F205" s="4"/>
      <c r="G205" s="4"/>
      <c r="H205" s="7" t="s">
        <v>107</v>
      </c>
      <c r="I205" s="4" t="str">
        <f ca="1">IFERROR(__xludf.DUMMYFUNCTION("GOOGLETRANSLATE(B205,""en"",""ar"")"),"ما هو دور الأشخاص الموجودين في الخلفية؟")</f>
        <v>ما هو دور الأشخاص الموجودين في الخلفية؟</v>
      </c>
      <c r="J205" s="4" t="str">
        <f ca="1">IFERROR(__xludf.DUMMYFUNCTION("GOOGLETRANSLATE(C205,""en"",""ar"")"),"أ) هم مقاتلون متنافسون، ب) هم متفرجون وأفراد من المجتمع، ج) هم حكام وقضاة، د) هم تجار يبيعون البضائع")</f>
        <v>أ) هم مقاتلون متنافسون، ب) هم متفرجون وأفراد من المجتمع، ج) هم حكام وقضاة، د) هم تجار يبيعون البضائع</v>
      </c>
      <c r="K205" s="4" t="str">
        <f ca="1">IFERROR(__xludf.DUMMYFUNCTION("GOOGLETRANSLATE(D205,""en"",""ar"")"),"ب) إنهم متفرجون وأفراد من المجتمع")</f>
        <v>ب) إنهم متفرجون وأفراد من المجتمع</v>
      </c>
      <c r="L205" s="4" t="str">
        <f ca="1">IFERROR(__xludf.DUMMYFUNCTION("GOOGLETRANSLATE(E205,""en"",""ar"")"),"يتجمع أفراد المجتمع لمشاهدة النزالات، التي تُعد حدثاً اجتماعياً وثقافياً هاماً.")</f>
        <v>يتجمع أفراد المجتمع لمشاهدة النزالات، التي تُعد حدثاً اجتماعياً وثقافياً هاماً.</v>
      </c>
      <c r="M205" s="4"/>
      <c r="N205" s="4"/>
      <c r="O205" s="4"/>
      <c r="P205" s="4"/>
      <c r="Q205" s="4"/>
      <c r="R205" s="4"/>
      <c r="S205" s="4"/>
      <c r="T205" s="4"/>
      <c r="U205" s="4"/>
      <c r="V205" s="4"/>
      <c r="W205" s="4"/>
      <c r="X205" s="4"/>
      <c r="Y205" s="4"/>
      <c r="Z205" s="4"/>
      <c r="AA205" s="4"/>
      <c r="AB205" s="4"/>
      <c r="AC205" s="4"/>
      <c r="AD205" s="4"/>
      <c r="AE205" s="4"/>
      <c r="AF205" s="4"/>
      <c r="AG205" s="4"/>
    </row>
    <row r="206" spans="1:33" ht="22.5" customHeight="1" x14ac:dyDescent="0.25">
      <c r="A206" s="2"/>
      <c r="B206" s="2"/>
      <c r="C206" s="2"/>
      <c r="D206" s="2"/>
      <c r="E206" s="2"/>
      <c r="F206" s="4"/>
      <c r="G206" s="4"/>
      <c r="H206" s="6" t="s">
        <v>107</v>
      </c>
      <c r="I206" s="4" t="str">
        <f ca="1">IFERROR(__xludf.DUMMYFUNCTION("GOOGLETRANSLATE(B206,""en"",""ar"")"),"زي المقاتلين هو...")</f>
        <v>زي المقاتلين هو...</v>
      </c>
      <c r="J206" s="4" t="str">
        <f ca="1">IFERROR(__xludf.DUMMYFUNCTION("GOOGLETRANSLATE(C206,""en"",""ar"")"),"أ) ثقيل وواقي، ب) بسيط، ج) عصري ورياضي، د) رسمي واحتفالي")</f>
        <v>أ) ثقيل وواقي، ب) بسيط، ج) عصري ورياضي، د) رسمي واحتفالي</v>
      </c>
      <c r="K206" s="4" t="str">
        <f ca="1">IFERROR(__xludf.DUMMYFUNCTION("GOOGLETRANSLATE(D206,""en"",""ar"")"),"ب) بسيط")</f>
        <v>ب) بسيط</v>
      </c>
      <c r="L206" s="4" t="str">
        <f ca="1">IFERROR(__xludf.DUMMYFUNCTION("GOOGLETRANSLATE(E206,""en"",""ar"")"),"يرتدي المقاتلون ملابس قليلة أو معدومة على الجزء العلوي من أجسامهم.")</f>
        <v>يرتدي المقاتلون ملابس قليلة أو معدومة على الجزء العلوي من أجسامهم.</v>
      </c>
      <c r="M206" s="4"/>
      <c r="N206" s="4"/>
      <c r="O206" s="4"/>
      <c r="P206" s="4"/>
      <c r="Q206" s="4"/>
      <c r="R206" s="4"/>
      <c r="S206" s="4"/>
      <c r="T206" s="4"/>
      <c r="U206" s="4"/>
      <c r="V206" s="4"/>
      <c r="W206" s="4"/>
      <c r="X206" s="4"/>
      <c r="Y206" s="4"/>
      <c r="Z206" s="4"/>
      <c r="AA206" s="4"/>
      <c r="AB206" s="4"/>
      <c r="AC206" s="4"/>
      <c r="AD206" s="4"/>
      <c r="AE206" s="4"/>
      <c r="AF206" s="4"/>
      <c r="AG206" s="4"/>
    </row>
    <row r="207" spans="1:33" ht="22.5" customHeight="1" x14ac:dyDescent="0.25">
      <c r="A207" s="2"/>
      <c r="B207" s="2"/>
      <c r="C207" s="2"/>
      <c r="D207" s="2"/>
      <c r="E207" s="2"/>
      <c r="F207" s="4"/>
      <c r="G207" s="4"/>
      <c r="H207" s="7" t="s">
        <v>107</v>
      </c>
      <c r="I207" s="4" t="str">
        <f ca="1">IFERROR(__xludf.DUMMYFUNCTION("GOOGLETRANSLATE(B207,""en"",""ar"")"),"ما هي وضعية المقاتل الموجود على اليسار؟")</f>
        <v>ما هي وضعية المقاتل الموجود على اليسار؟</v>
      </c>
      <c r="J207" s="4" t="str">
        <f ca="1">IFERROR(__xludf.DUMMYFUNCTION("GOOGLETRANSLATE(C207,""en"",""ar"")"),"أ) وضعية هجومية، اندفاع للأمام، ب) وضعية دفاعية، صدّ ضربة، ج) وضعية محايدة، وقوف، د) وضعية احتفالية")</f>
        <v>أ) وضعية هجومية، اندفاع للأمام، ب) وضعية دفاعية، صدّ ضربة، ج) وضعية محايدة، وقوف، د) وضعية احتفالية</v>
      </c>
      <c r="K207" s="4" t="str">
        <f ca="1">IFERROR(__xludf.DUMMYFUNCTION("GOOGLETRANSLATE(D207,""en"",""ar"")"),"ب) وضعية دفاعية، لصد ضربة")</f>
        <v>ب) وضعية دفاعية، لصد ضربة</v>
      </c>
      <c r="L207" s="4" t="str">
        <f ca="1">IFERROR(__xludf.DUMMYFUNCTION("GOOGLETRANSLATE(E207,""en"",""ar"")"),"إنه يستخدم عصاه لصد الضربة الموجهة للأسفل من خصمه.")</f>
        <v>إنه يستخدم عصاه لصد الضربة الموجهة للأسفل من خصمه.</v>
      </c>
      <c r="M207" s="4"/>
      <c r="N207" s="4"/>
      <c r="O207" s="4"/>
      <c r="P207" s="4"/>
      <c r="Q207" s="4"/>
      <c r="R207" s="4"/>
      <c r="S207" s="4"/>
      <c r="T207" s="4"/>
      <c r="U207" s="4"/>
      <c r="V207" s="4"/>
      <c r="W207" s="4"/>
      <c r="X207" s="4"/>
      <c r="Y207" s="4"/>
      <c r="Z207" s="4"/>
      <c r="AA207" s="4"/>
      <c r="AB207" s="4"/>
      <c r="AC207" s="4"/>
      <c r="AD207" s="4"/>
      <c r="AE207" s="4"/>
      <c r="AF207" s="4"/>
      <c r="AG207" s="4"/>
    </row>
    <row r="208" spans="1:33" ht="22.5" customHeight="1" x14ac:dyDescent="0.25">
      <c r="A208" s="2"/>
      <c r="B208" s="2"/>
      <c r="C208" s="2"/>
      <c r="D208" s="2"/>
      <c r="E208" s="2"/>
      <c r="F208" s="4"/>
      <c r="G208" s="4"/>
      <c r="H208" s="6" t="s">
        <v>107</v>
      </c>
      <c r="I208" s="4" t="str">
        <f ca="1">IFERROR(__xludf.DUMMYFUNCTION("GOOGLETRANSLATE(B208,""en"",""ar"")"),"المقاتل الموجود على اليمين بصدد...")</f>
        <v>المقاتل الموجود على اليمين بصدد...</v>
      </c>
      <c r="J208" s="4" t="str">
        <f ca="1">IFERROR(__xludf.DUMMYFUNCTION("GOOGLETRANSLATE(C208,""en"",""ar"")"),"أ) الدفاع عن نفسه، ب) توجيه ضربة قوية للأسفل، ج) الفرار، د) الاستسلام")</f>
        <v>أ) الدفاع عن نفسه، ب) توجيه ضربة قوية للأسفل، ج) الفرار، د) الاستسلام</v>
      </c>
      <c r="K208" s="4" t="str">
        <f ca="1">IFERROR(__xludf.DUMMYFUNCTION("GOOGLETRANSLATE(D208,""en"",""ar"")"),"ب) توجيه ضربة قوية للأسفل")</f>
        <v>ب) توجيه ضربة قوية للأسفل</v>
      </c>
      <c r="L208" s="4" t="str">
        <f ca="1">IFERROR(__xludf.DUMMYFUNCTION("GOOGLETRANSLATE(E208,""en"",""ar"")"),"يرفع ذراعيه وجسمه ملتف ليضرب عصاه بأقصى قوة.")</f>
        <v>يرفع ذراعيه وجسمه ملتف ليضرب عصاه بأقصى قوة.</v>
      </c>
      <c r="M208" s="4"/>
      <c r="N208" s="4"/>
      <c r="O208" s="4"/>
      <c r="P208" s="4"/>
      <c r="Q208" s="4"/>
      <c r="R208" s="4"/>
      <c r="S208" s="4"/>
      <c r="T208" s="4"/>
      <c r="U208" s="4"/>
      <c r="V208" s="4"/>
      <c r="W208" s="4"/>
      <c r="X208" s="4"/>
      <c r="Y208" s="4"/>
      <c r="Z208" s="4"/>
      <c r="AA208" s="4"/>
      <c r="AB208" s="4"/>
      <c r="AC208" s="4"/>
      <c r="AD208" s="4"/>
      <c r="AE208" s="4"/>
      <c r="AF208" s="4"/>
      <c r="AG208" s="4"/>
    </row>
    <row r="209" spans="1:33" ht="22.5" customHeight="1" x14ac:dyDescent="0.25">
      <c r="A209" s="2"/>
      <c r="B209" s="2"/>
      <c r="C209" s="2"/>
      <c r="D209" s="2"/>
      <c r="E209" s="2"/>
      <c r="F209" s="4"/>
      <c r="G209" s="4"/>
      <c r="H209" s="7" t="s">
        <v>107</v>
      </c>
      <c r="I209" s="4" t="str">
        <f ca="1">IFERROR(__xludf.DUMMYFUNCTION("GOOGLETRANSLATE(B209,""en"",""ar"")"),"غالباً ما يكون هذا النوع من القتال الطقوسي...")</f>
        <v>غالباً ما يكون هذا النوع من القتال الطقوسي...</v>
      </c>
      <c r="J209" s="4" t="str">
        <f ca="1">IFERROR(__xludf.DUMMYFUNCTION("GOOGLETRANSLATE(C209,""en"",""ar"")"),"أ) وسيلة لكبار السن لحل النزاعات، ب) طقس عبور للشباب، ج) رياضة للنساء فقط، د) اختراع حديث للسياحة")</f>
        <v>أ) وسيلة لكبار السن لحل النزاعات، ب) طقس عبور للشباب، ج) رياضة للنساء فقط، د) اختراع حديث للسياحة</v>
      </c>
      <c r="K209" s="4" t="str">
        <f ca="1">IFERROR(__xludf.DUMMYFUNCTION("GOOGLETRANSLATE(D209,""en"",""ar"")"),"ب) طقوس عبور للشباب")</f>
        <v>ب) طقوس عبور للشباب</v>
      </c>
      <c r="L209" s="4" t="str">
        <f ca="1">IFERROR(__xludf.DUMMYFUNCTION("GOOGLETRANSLATE(E209,""en"",""ar"")"),"تُعتبر الدونغا جزءًا أساسيًا من الانتقال من مرحلة الصبا إلى مرحلة الرجولة، وهي وسيلة للشباب لإثبات شجاعتهم وجدارتهم كمحاربين.")</f>
        <v>تُعتبر الدونغا جزءًا أساسيًا من الانتقال من مرحلة الصبا إلى مرحلة الرجولة، وهي وسيلة للشباب لإثبات شجاعتهم وجدارتهم كمحاربين.</v>
      </c>
      <c r="M209" s="4"/>
      <c r="N209" s="4"/>
      <c r="O209" s="4"/>
      <c r="P209" s="4"/>
      <c r="Q209" s="4"/>
      <c r="R209" s="4"/>
      <c r="S209" s="4"/>
      <c r="T209" s="4"/>
      <c r="U209" s="4"/>
      <c r="V209" s="4"/>
      <c r="W209" s="4"/>
      <c r="X209" s="4"/>
      <c r="Y209" s="4"/>
      <c r="Z209" s="4"/>
      <c r="AA209" s="4"/>
      <c r="AB209" s="4"/>
      <c r="AC209" s="4"/>
      <c r="AD209" s="4"/>
      <c r="AE209" s="4"/>
      <c r="AF209" s="4"/>
      <c r="AG209" s="4"/>
    </row>
    <row r="210" spans="1:33" ht="22.5" customHeight="1" x14ac:dyDescent="0.25">
      <c r="A210" s="2"/>
      <c r="B210" s="2"/>
      <c r="C210" s="2"/>
      <c r="D210" s="2"/>
      <c r="E210" s="2"/>
      <c r="F210" s="4"/>
      <c r="G210" s="4"/>
      <c r="H210" s="6" t="s">
        <v>107</v>
      </c>
      <c r="I210" s="4" t="str">
        <f ca="1">IFERROR(__xludf.DUMMYFUNCTION("GOOGLETRANSLATE(B210,""en"",""ar"")"),"المكان هو...")</f>
        <v>المكان هو...</v>
      </c>
      <c r="J210" s="4" t="str">
        <f ca="1">IFERROR(__xludf.DUMMYFUNCTION("GOOGLETRANSLATE(C210,""en"",""ar"")"),"أ) صحراء رملية، ب) سافانا عشبية ذات أشجار متفرقة، ج) غابة مطيرة كثيفة، د) ملعب حديث")</f>
        <v>أ) صحراء رملية، ب) سافانا عشبية ذات أشجار متفرقة، ج) غابة مطيرة كثيفة، د) ملعب حديث</v>
      </c>
      <c r="K210" s="4" t="str">
        <f ca="1">IFERROR(__xludf.DUMMYFUNCTION("GOOGLETRANSLATE(D210,""en"",""ar"")"),"ب) سافانا عشبية ذات أشجار متفرقة")</f>
        <v>ب) سافانا عشبية ذات أشجار متفرقة</v>
      </c>
      <c r="L210" s="4" t="str">
        <f ca="1">IFERROR(__xludf.DUMMYFUNCTION("GOOGLETRANSLATE(E210,""en"",""ar"")"),"يُعد العشب الجاف وأشجار السنط من السمات المميزة لبيئة السافانا في شرق أفريقيا.")</f>
        <v>يُعد العشب الجاف وأشجار السنط من السمات المميزة لبيئة السافانا في شرق أفريقيا.</v>
      </c>
      <c r="M210" s="4"/>
      <c r="N210" s="4"/>
      <c r="O210" s="4"/>
      <c r="P210" s="4"/>
      <c r="Q210" s="4"/>
      <c r="R210" s="4"/>
      <c r="S210" s="4"/>
      <c r="T210" s="4"/>
      <c r="U210" s="4"/>
      <c r="V210" s="4"/>
      <c r="W210" s="4"/>
      <c r="X210" s="4"/>
      <c r="Y210" s="4"/>
      <c r="Z210" s="4"/>
      <c r="AA210" s="4"/>
      <c r="AB210" s="4"/>
      <c r="AC210" s="4"/>
      <c r="AD210" s="4"/>
      <c r="AE210" s="4"/>
      <c r="AF210" s="4"/>
      <c r="AG210" s="4"/>
    </row>
    <row r="211" spans="1:33" ht="22.5" customHeight="1" x14ac:dyDescent="0.25">
      <c r="A211" s="2"/>
      <c r="B211" s="2"/>
      <c r="C211" s="2"/>
      <c r="D211" s="2"/>
      <c r="E211" s="2"/>
      <c r="F211" s="4"/>
      <c r="G211" s="4"/>
      <c r="H211" s="7" t="s">
        <v>107</v>
      </c>
      <c r="I211" s="4" t="str">
        <f ca="1">IFERROR(__xludf.DUMMYFUNCTION("GOOGLETRANSLATE(B211,""en"",""ar"")"),"تُظهر تعابير الوجه الشديدة للمقاتلين...")</f>
        <v>تُظهر تعابير الوجه الشديدة للمقاتلين...</v>
      </c>
      <c r="J211" s="4" t="str">
        <f ca="1">IFERROR(__xludf.DUMMYFUNCTION("GOOGLETRANSLATE(C211,""en"",""ar"")"),"أ) الطبيعة المرحة للعبة، ب) تركيزهم وعدوانيتهم ​​وعزيمتهم، ج) شعورهم بالملل من القتال، د) ارتباكهم بشأن القواعد")</f>
        <v>أ) الطبيعة المرحة للعبة، ب) تركيزهم وعدوانيتهم ​​وعزيمتهم، ج) شعورهم بالملل من القتال، د) ارتباكهم بشأن القواعد</v>
      </c>
      <c r="K211" s="4" t="str">
        <f ca="1">IFERROR(__xludf.DUMMYFUNCTION("GOOGLETRANSLATE(D211,""en"",""ar"")"),"ب) تركيزهم وعدوانيتهم ​​وعزيمتهم")</f>
        <v>ب) تركيزهم وعدوانيتهم ​​وعزيمتهم</v>
      </c>
      <c r="L211" s="4" t="str">
        <f ca="1">IFERROR(__xludf.DUMMYFUNCTION("GOOGLETRANSLATE(E211,""en"",""ar"")"),"تكشف وجوههم عن جدية وشدة هذا القتال التقليدي عالي المخاطر.")</f>
        <v>تكشف وجوههم عن جدية وشدة هذا القتال التقليدي عالي المخاطر.</v>
      </c>
      <c r="M211" s="4"/>
      <c r="N211" s="4"/>
      <c r="O211" s="4"/>
      <c r="P211" s="4"/>
      <c r="Q211" s="4"/>
      <c r="R211" s="4"/>
      <c r="S211" s="4"/>
      <c r="T211" s="4"/>
      <c r="U211" s="4"/>
      <c r="V211" s="4"/>
      <c r="W211" s="4"/>
      <c r="X211" s="4"/>
      <c r="Y211" s="4"/>
      <c r="Z211" s="4"/>
      <c r="AA211" s="4"/>
      <c r="AB211" s="4"/>
      <c r="AC211" s="4"/>
      <c r="AD211" s="4"/>
      <c r="AE211" s="4"/>
      <c r="AF211" s="4"/>
      <c r="AG211" s="4"/>
    </row>
    <row r="212" spans="1:33" ht="22.5" customHeight="1" x14ac:dyDescent="0.25">
      <c r="A212" s="2"/>
      <c r="B212" s="2"/>
      <c r="C212" s="2"/>
      <c r="D212" s="2"/>
      <c r="E212" s="2"/>
      <c r="F212" s="4"/>
      <c r="G212" s="4"/>
      <c r="H212" s="6" t="s">
        <v>108</v>
      </c>
      <c r="I212" s="4" t="str">
        <f ca="1">IFERROR(__xludf.DUMMYFUNCTION("GOOGLETRANSLATE(B212,""en"",""ar"")"),"تُظهر هذه الصورة التاريخية محاربًا ينتمي إلى أي مجموعة عرقية في شرق أفريقيا؟")</f>
        <v>تُظهر هذه الصورة التاريخية محاربًا ينتمي إلى أي مجموعة عرقية في شرق أفريقيا؟</v>
      </c>
      <c r="J212" s="4" t="str">
        <f ca="1">IFERROR(__xludf.DUMMYFUNCTION("GOOGLETRANSLATE(C212,""en"",""ar"")"),"أ) الزولو، ب) الماساي، ج) النوبة، د) البجا")</f>
        <v>أ) الزولو، ب) الماساي، ج) النوبة، د) البجا</v>
      </c>
      <c r="K212" s="4" t="str">
        <f ca="1">IFERROR(__xludf.DUMMYFUNCTION("GOOGLETRANSLATE(D212,""en"",""ar"")"),"د) بيجا")</f>
        <v>د) بيجا</v>
      </c>
      <c r="L212" s="4" t="str">
        <f ca="1">IFERROR(__xludf.DUMMYFUNCTION("GOOGLETRANSLATE(E212,""en"",""ar"")"),"هذه صورة فوتوغرافية شهيرة من القرن التاسع عشر لمحارب من قبيلة البجا، اشتهر بتسريحة شعره المميزة ""الزغبية"" وبراعته القتالية.")</f>
        <v>هذه صورة فوتوغرافية شهيرة من القرن التاسع عشر لمحارب من قبيلة البجا، اشتهر بتسريحة شعره المميزة "الزغبية" وبراعته القتالية.</v>
      </c>
      <c r="M212" s="4"/>
      <c r="N212" s="4"/>
      <c r="O212" s="4"/>
      <c r="P212" s="4"/>
      <c r="Q212" s="4"/>
      <c r="R212" s="4"/>
      <c r="S212" s="4"/>
      <c r="T212" s="4"/>
      <c r="U212" s="4"/>
      <c r="V212" s="4"/>
      <c r="W212" s="4"/>
      <c r="X212" s="4"/>
      <c r="Y212" s="4"/>
      <c r="Z212" s="4"/>
      <c r="AA212" s="4"/>
      <c r="AB212" s="4"/>
      <c r="AC212" s="4"/>
      <c r="AD212" s="4"/>
      <c r="AE212" s="4"/>
      <c r="AF212" s="4"/>
      <c r="AG212" s="4"/>
    </row>
    <row r="213" spans="1:33" ht="22.5" customHeight="1" x14ac:dyDescent="0.25">
      <c r="A213" s="2"/>
      <c r="B213" s="2"/>
      <c r="C213" s="2"/>
      <c r="D213" s="2"/>
      <c r="E213" s="2"/>
      <c r="F213" s="4"/>
      <c r="G213" s="4"/>
      <c r="H213" s="7" t="s">
        <v>108</v>
      </c>
      <c r="I213" s="4" t="str">
        <f ca="1">IFERROR(__xludf.DUMMYFUNCTION("GOOGLETRANSLATE(B213,""en"",""ar"")"),"شعب البجا هم تقليدياً من البدو الرحل الذين يسكنون المنطقة الصحراوية الواقعة بين...")</f>
        <v>شعب البجا هم تقليدياً من البدو الرحل الذين يسكنون المنطقة الصحراوية الواقعة بين...</v>
      </c>
      <c r="J213" s="4" t="str">
        <f ca="1">IFERROR(__xludf.DUMMYFUNCTION("GOOGLETRANSLATE(C213,""en"",""ar"")"),"أ) نهر النيل والبحر الأحمر، ب) المحيط الأطلسي والصحراء الكبرى، ج) نهر الكونغو والوادي المتصدع الكبير، د) البحر الأبيض المتوسط ​​وجبال الألب")</f>
        <v>أ) نهر النيل والبحر الأحمر، ب) المحيط الأطلسي والصحراء الكبرى، ج) نهر الكونغو والوادي المتصدع الكبير، د) البحر الأبيض المتوسط ​​وجبال الألب</v>
      </c>
      <c r="K213" s="4" t="str">
        <f ca="1">IFERROR(__xludf.DUMMYFUNCTION("GOOGLETRANSLATE(D213,""en"",""ar"")"),"أ) نهر النيل والبحر الأحمر")</f>
        <v>أ) نهر النيل والبحر الأحمر</v>
      </c>
      <c r="L213" s="4" t="str">
        <f ca="1">IFERROR(__xludf.DUMMYFUNCTION("GOOGLETRANSLATE(E213,""en"",""ar"")"),"الموطن التقليدي لشعب البجا هو الصحراء الشرقية، التي تقع في جنوب شرق مصر الحديثة، وشرق السودان، وإريتريا.")</f>
        <v>الموطن التقليدي لشعب البجا هو الصحراء الشرقية، التي تقع في جنوب شرق مصر الحديثة، وشرق السودان، وإريتريا.</v>
      </c>
      <c r="M213" s="4"/>
      <c r="N213" s="4"/>
      <c r="O213" s="4"/>
      <c r="P213" s="4"/>
      <c r="Q213" s="4"/>
      <c r="R213" s="4"/>
      <c r="S213" s="4"/>
      <c r="T213" s="4"/>
      <c r="U213" s="4"/>
      <c r="V213" s="4"/>
      <c r="W213" s="4"/>
      <c r="X213" s="4"/>
      <c r="Y213" s="4"/>
      <c r="Z213" s="4"/>
      <c r="AA213" s="4"/>
      <c r="AB213" s="4"/>
      <c r="AC213" s="4"/>
      <c r="AD213" s="4"/>
      <c r="AE213" s="4"/>
      <c r="AF213" s="4"/>
      <c r="AG213" s="4"/>
    </row>
    <row r="214" spans="1:33" ht="22.5" customHeight="1" x14ac:dyDescent="0.25">
      <c r="A214" s="2"/>
      <c r="B214" s="2"/>
      <c r="C214" s="2"/>
      <c r="D214" s="2"/>
      <c r="E214" s="2"/>
      <c r="F214" s="4"/>
      <c r="G214" s="4"/>
      <c r="H214" s="6" t="s">
        <v>108</v>
      </c>
      <c r="I214" s="4" t="str">
        <f ca="1">IFERROR(__xludf.DUMMYFUNCTION("GOOGLETRANSLATE(B214,""en"",""ar"")"),"ما هي أبرز سمات هذا الرجل وأكثرها شهرة؟")</f>
        <v>ما هي أبرز سمات هذا الرجل وأكثرها شهرة؟</v>
      </c>
      <c r="J214" s="4" t="str">
        <f ca="1">IFERROR(__xludf.DUMMYFUNCTION("GOOGLETRANSLATE(C214,""en"",""ar"")"),"أ) ملابسه، ب) تسريحة شعره الكبيرة والواسعة، ج) طوله، د) حذائه")</f>
        <v>أ) ملابسه، ب) تسريحة شعره الكبيرة والواسعة، ج) طوله، د) حذائه</v>
      </c>
      <c r="K214" s="4" t="str">
        <f ca="1">IFERROR(__xludf.DUMMYFUNCTION("GOOGLETRANSLATE(D214,""en"",""ar"")"),"ب) تسريحة شعره الكبيرة والواسعة")</f>
        <v>ب) تسريحة شعره الكبيرة والواسعة</v>
      </c>
      <c r="L214" s="4" t="str">
        <f ca="1">IFERROR(__xludf.DUMMYFUNCTION("GOOGLETRANSLATE(E214,""en"",""ar"")"),"اشتهر محاربو البجا بلقب ""فوزي-ووزيز"" من قبل القوات الاستعمارية البريطانية بسبب شعرهم الفريد والكثيف، والذي كانوا يعالجونه بالزبدة أو الدهن.")</f>
        <v>اشتهر محاربو البجا بلقب "فوزي-ووزيز" من قبل القوات الاستعمارية البريطانية بسبب شعرهم الفريد والكثيف، والذي كانوا يعالجونه بالزبدة أو الدهن.</v>
      </c>
      <c r="M214" s="4"/>
      <c r="N214" s="4"/>
      <c r="O214" s="4"/>
      <c r="P214" s="4"/>
      <c r="Q214" s="4"/>
      <c r="R214" s="4"/>
      <c r="S214" s="4"/>
      <c r="T214" s="4"/>
      <c r="U214" s="4"/>
      <c r="V214" s="4"/>
      <c r="W214" s="4"/>
      <c r="X214" s="4"/>
      <c r="Y214" s="4"/>
      <c r="Z214" s="4"/>
      <c r="AA214" s="4"/>
      <c r="AB214" s="4"/>
      <c r="AC214" s="4"/>
      <c r="AD214" s="4"/>
      <c r="AE214" s="4"/>
      <c r="AF214" s="4"/>
      <c r="AG214" s="4"/>
    </row>
    <row r="215" spans="1:33" ht="22.5" customHeight="1" x14ac:dyDescent="0.25">
      <c r="A215" s="2"/>
      <c r="B215" s="2"/>
      <c r="C215" s="2"/>
      <c r="D215" s="2"/>
      <c r="E215" s="2"/>
      <c r="F215" s="4"/>
      <c r="G215" s="4"/>
      <c r="H215" s="7" t="s">
        <v>108</v>
      </c>
      <c r="I215" s="4" t="str">
        <f ca="1">IFERROR(__xludf.DUMMYFUNCTION("GOOGLETRANSLATE(B215,""en"",""ar"")"),"ما الذي يحمله الرجل في يده اليمنى؟")</f>
        <v>ما الذي يحمله الرجل في يده اليمنى؟</v>
      </c>
      <c r="J215" s="4" t="str">
        <f ca="1">IFERROR(__xludf.DUMMYFUNCTION("GOOGLETRANSLATE(C215,""en"",""ar"")"),"أ) بندقية، ب) سيف تقليدي، ج) أداة زراعية، د) آلة موسيقية")</f>
        <v>أ) بندقية، ب) سيف تقليدي، ج) أداة زراعية، د) آلة موسيقية</v>
      </c>
      <c r="K215" s="4" t="str">
        <f ca="1">IFERROR(__xludf.DUMMYFUNCTION("GOOGLETRANSLATE(D215,""en"",""ar"")"),"ب) سيف تقليدي")</f>
        <v>ب) سيف تقليدي</v>
      </c>
      <c r="L215" s="4" t="str">
        <f ca="1">IFERROR(__xludf.DUMMYFUNCTION("GOOGLETRANSLATE(E215,""en"",""ar"")"),"إنه يحمل نوعًا من السيوف المستقيمة ذات الحدين والمعروفة باسم كاسكارا.")</f>
        <v>إنه يحمل نوعًا من السيوف المستقيمة ذات الحدين والمعروفة باسم كاسكارا.</v>
      </c>
      <c r="M215" s="4"/>
      <c r="N215" s="4"/>
      <c r="O215" s="4"/>
      <c r="P215" s="4"/>
      <c r="Q215" s="4"/>
      <c r="R215" s="4"/>
      <c r="S215" s="4"/>
      <c r="T215" s="4"/>
      <c r="U215" s="4"/>
      <c r="V215" s="4"/>
      <c r="W215" s="4"/>
      <c r="X215" s="4"/>
      <c r="Y215" s="4"/>
      <c r="Z215" s="4"/>
      <c r="AA215" s="4"/>
      <c r="AB215" s="4"/>
      <c r="AC215" s="4"/>
      <c r="AD215" s="4"/>
      <c r="AE215" s="4"/>
      <c r="AF215" s="4"/>
      <c r="AG215" s="4"/>
    </row>
    <row r="216" spans="1:33" ht="22.5" customHeight="1" x14ac:dyDescent="0.25">
      <c r="A216" s="2"/>
      <c r="B216" s="2"/>
      <c r="C216" s="2"/>
      <c r="D216" s="2"/>
      <c r="E216" s="2"/>
      <c r="F216" s="4"/>
      <c r="G216" s="4"/>
      <c r="H216" s="6" t="s">
        <v>108</v>
      </c>
      <c r="I216" s="4" t="str">
        <f ca="1">IFERROR(__xludf.DUMMYFUNCTION("GOOGLETRANSLATE(B216,""en"",""ar"")"),"ما الذي يلتف حول جسده؟")</f>
        <v>ما الذي يلتف حول جسده؟</v>
      </c>
      <c r="J216" s="4" t="str">
        <f ca="1">IFERROR(__xludf.DUMMYFUNCTION("GOOGLETRANSLATE(C216,""en"",""ar"")"),"أ) معطف صوفي ثقيل، ب) مئزر قطني بسيط، ج) قطعة قماش منسدلة، د) جلود الحيوانات")</f>
        <v>أ) معطف صوفي ثقيل، ب) مئزر قطني بسيط، ج) قطعة قماش منسدلة، د) جلود الحيوانات</v>
      </c>
      <c r="K216" s="4" t="str">
        <f ca="1">IFERROR(__xludf.DUMMYFUNCTION("GOOGLETRANSLATE(D216,""en"",""ar"")"),"ج) قطعة قماش منسدلة")</f>
        <v>ج) قطعة قماش منسدلة</v>
      </c>
      <c r="L216" s="4" t="str">
        <f ca="1">IFERROR(__xludf.DUMMYFUNCTION("GOOGLETRANSLATE(E216,""en"",""ar"")"),"وهو يرتدي ملابس تقليدية ملفوفة.")</f>
        <v>وهو يرتدي ملابس تقليدية ملفوفة.</v>
      </c>
      <c r="M216" s="4"/>
      <c r="N216" s="4"/>
      <c r="O216" s="4"/>
      <c r="P216" s="4"/>
      <c r="Q216" s="4"/>
      <c r="R216" s="4"/>
      <c r="S216" s="4"/>
      <c r="T216" s="4"/>
      <c r="U216" s="4"/>
      <c r="V216" s="4"/>
      <c r="W216" s="4"/>
      <c r="X216" s="4"/>
      <c r="Y216" s="4"/>
      <c r="Z216" s="4"/>
      <c r="AA216" s="4"/>
      <c r="AB216" s="4"/>
      <c r="AC216" s="4"/>
      <c r="AD216" s="4"/>
      <c r="AE216" s="4"/>
      <c r="AF216" s="4"/>
      <c r="AG216" s="4"/>
    </row>
    <row r="217" spans="1:33" ht="22.5" customHeight="1" x14ac:dyDescent="0.25">
      <c r="A217" s="2"/>
      <c r="B217" s="2"/>
      <c r="C217" s="2"/>
      <c r="D217" s="2"/>
      <c r="E217" s="2"/>
      <c r="F217" s="4"/>
      <c r="G217" s="4"/>
      <c r="H217" s="7" t="s">
        <v>108</v>
      </c>
      <c r="I217" s="4" t="str">
        <f ca="1">IFERROR(__xludf.DUMMYFUNCTION("GOOGLETRANSLATE(B217,""en"",""ar"")"),"من المحتمل أن تكون القلائد والتمائم التي يرتديها...")</f>
        <v>من المحتمل أن تكون القلائد والتمائم التي يرتديها...</v>
      </c>
      <c r="J217" s="4" t="str">
        <f ca="1">IFERROR(__xludf.DUMMYFUNCTION("GOOGLETRANSLATE(C217,""en"",""ar"")"),"أ) إكسسوارات الموضة العصرية، ب) تمائم للحماية الروحية، ج) شكل من أشكال العملة، د) هدية من سائح")</f>
        <v>أ) إكسسوارات الموضة العصرية، ب) تمائم للحماية الروحية، ج) شكل من أشكال العملة، د) هدية من سائح</v>
      </c>
      <c r="K217" s="4" t="str">
        <f ca="1">IFERROR(__xludf.DUMMYFUNCTION("GOOGLETRANSLATE(D217,""en"",""ar"")"),"ب) التمائم للحماية الروحية")</f>
        <v>ب) التمائم للحماية الروحية</v>
      </c>
      <c r="L217" s="4" t="str">
        <f ca="1">IFERROR(__xludf.DUMMYFUNCTION("GOOGLETRANSLATE(E217,""en"",""ar"")"),"كان من الشائع أن يرتدي المحاربون تمائم تحتوي على آيات من القرآن أو أشياء أخرى يُعتقد أنها توفر الحماية في المعركة.")</f>
        <v>كان من الشائع أن يرتدي المحاربون تمائم تحتوي على آيات من القرآن أو أشياء أخرى يُعتقد أنها توفر الحماية في المعركة.</v>
      </c>
      <c r="M217" s="4"/>
      <c r="N217" s="4"/>
      <c r="O217" s="4"/>
      <c r="P217" s="4"/>
      <c r="Q217" s="4"/>
      <c r="R217" s="4"/>
      <c r="S217" s="4"/>
      <c r="T217" s="4"/>
      <c r="U217" s="4"/>
      <c r="V217" s="4"/>
      <c r="W217" s="4"/>
      <c r="X217" s="4"/>
      <c r="Y217" s="4"/>
      <c r="Z217" s="4"/>
      <c r="AA217" s="4"/>
      <c r="AB217" s="4"/>
      <c r="AC217" s="4"/>
      <c r="AD217" s="4"/>
      <c r="AE217" s="4"/>
      <c r="AF217" s="4"/>
      <c r="AG217" s="4"/>
    </row>
    <row r="218" spans="1:33" ht="22.5" customHeight="1" x14ac:dyDescent="0.25">
      <c r="A218" s="2"/>
      <c r="B218" s="2"/>
      <c r="C218" s="2"/>
      <c r="D218" s="2"/>
      <c r="E218" s="2"/>
      <c r="F218" s="4"/>
      <c r="G218" s="4"/>
      <c r="H218" s="6" t="s">
        <v>108</v>
      </c>
      <c r="I218" s="4" t="str">
        <f ca="1">IFERROR(__xludf.DUMMYFUNCTION("GOOGLETRANSLATE(B218,""en"",""ar"")"),"إن بنية الرجل النحيلة والقوية هي نتيجة لنمط حياة متكيف مع...")</f>
        <v>إن بنية الرجل النحيلة والقوية هي نتيجة لنمط حياة متكيف مع...</v>
      </c>
      <c r="J218" s="4" t="str">
        <f ca="1">IFERROR(__xludf.DUMMYFUNCTION("GOOGLETRANSLATE(C218,""en"",""ar"")"),"أ) بيئة قطبية باردة، ب) بيئة صحراوية قاسية وجافة، ج) بيئة حضرية مستقرة، د) بيئة غابة كثيفة")</f>
        <v>أ) بيئة قطبية باردة، ب) بيئة صحراوية قاسية وجافة، ج) بيئة حضرية مستقرة، د) بيئة غابة كثيفة</v>
      </c>
      <c r="K218" s="4" t="str">
        <f ca="1">IFERROR(__xludf.DUMMYFUNCTION("GOOGLETRANSLATE(D218,""en"",""ar"")"),"ب) بيئة صحراوية قاسية وجافة")</f>
        <v>ب) بيئة صحراوية قاسية وجافة</v>
      </c>
      <c r="L218" s="4" t="str">
        <f ca="1">IFERROR(__xludf.DUMMYFUNCTION("GOOGLETRANSLATE(E218,""en"",""ar"")"),"يشتهر شعب البجا بقدرتهم على الصمود، وتكيفهم مع التحديات القاسية للعيش في الصحراء.")</f>
        <v>يشتهر شعب البجا بقدرتهم على الصمود، وتكيفهم مع التحديات القاسية للعيش في الصحراء.</v>
      </c>
      <c r="M218" s="4"/>
      <c r="N218" s="4"/>
      <c r="O218" s="4"/>
      <c r="P218" s="4"/>
      <c r="Q218" s="4"/>
      <c r="R218" s="4"/>
      <c r="S218" s="4"/>
      <c r="T218" s="4"/>
      <c r="U218" s="4"/>
      <c r="V218" s="4"/>
      <c r="W218" s="4"/>
      <c r="X218" s="4"/>
      <c r="Y218" s="4"/>
      <c r="Z218" s="4"/>
      <c r="AA218" s="4"/>
      <c r="AB218" s="4"/>
      <c r="AC218" s="4"/>
      <c r="AD218" s="4"/>
      <c r="AE218" s="4"/>
      <c r="AF218" s="4"/>
      <c r="AG218" s="4"/>
    </row>
    <row r="219" spans="1:33" ht="22.5" customHeight="1" x14ac:dyDescent="0.25">
      <c r="A219" s="2"/>
      <c r="B219" s="2"/>
      <c r="C219" s="2"/>
      <c r="D219" s="2"/>
      <c r="E219" s="2"/>
      <c r="F219" s="4"/>
      <c r="G219" s="4"/>
      <c r="H219" s="7" t="s">
        <v>108</v>
      </c>
      <c r="I219" s="4" t="str">
        <f ca="1">IFERROR(__xludf.DUMMYFUNCTION("GOOGLETRANSLATE(B219,""en"",""ar"")"),"ما هي سمعة محاربي البجا بين القوى الخارجية مثل الإمبراطورية البريطانية؟")</f>
        <v>ما هي سمعة محاربي البجا بين القوى الخارجية مثل الإمبراطورية البريطانية؟</v>
      </c>
      <c r="J219" s="4" t="str">
        <f ca="1">IFERROR(__xludf.DUMMYFUNCTION("GOOGLETRANSLATE(C219,""en"",""ar"")"),"أ) عُرفوا بسلميتهم وهدوئهم، ب) اشتهروا بشراستهم ومهارتهم القتالية، ج) عُرفوا بسهولة هزيمتهم، د) لم تكن لهم سمعة كمقاتلين")</f>
        <v>أ) عُرفوا بسلميتهم وهدوئهم، ب) اشتهروا بشراستهم ومهارتهم القتالية، ج) عُرفوا بسهولة هزيمتهم، د) لم تكن لهم سمعة كمقاتلين</v>
      </c>
      <c r="K219" s="4" t="str">
        <f ca="1">IFERROR(__xludf.DUMMYFUNCTION("GOOGLETRANSLATE(D219,""en"",""ar"")"),"ب) كانوا مشهورين بشراستهم ومهارتهم القتالية")</f>
        <v>ب) كانوا مشهورين بشراستهم ومهارتهم القتالية</v>
      </c>
      <c r="L219" s="4" t="str">
        <f ca="1">IFERROR(__xludf.DUMMYFUNCTION("GOOGLETRANSLATE(E219,""en"",""ar"")"),"قاوم البجا بشدة الحكم الاستعماري واكتسبوا سمعة بين الجنود البريطانيين باعتبارهم محاربين شجعانًا وقويين بشكل استثنائي.")</f>
        <v>قاوم البجا بشدة الحكم الاستعماري واكتسبوا سمعة بين الجنود البريطانيين باعتبارهم محاربين شجعانًا وقويين بشكل استثنائي.</v>
      </c>
      <c r="M219" s="4"/>
      <c r="N219" s="4"/>
      <c r="O219" s="4"/>
      <c r="P219" s="4"/>
      <c r="Q219" s="4"/>
      <c r="R219" s="4"/>
      <c r="S219" s="4"/>
      <c r="T219" s="4"/>
      <c r="U219" s="4"/>
      <c r="V219" s="4"/>
      <c r="W219" s="4"/>
      <c r="X219" s="4"/>
      <c r="Y219" s="4"/>
      <c r="Z219" s="4"/>
      <c r="AA219" s="4"/>
      <c r="AB219" s="4"/>
      <c r="AC219" s="4"/>
      <c r="AD219" s="4"/>
      <c r="AE219" s="4"/>
      <c r="AF219" s="4"/>
      <c r="AG219" s="4"/>
    </row>
    <row r="220" spans="1:33" ht="22.5" customHeight="1" x14ac:dyDescent="0.25">
      <c r="A220" s="2"/>
      <c r="B220" s="2"/>
      <c r="C220" s="2"/>
      <c r="D220" s="2"/>
      <c r="E220" s="2"/>
      <c r="F220" s="4"/>
      <c r="G220" s="4"/>
      <c r="H220" s="6" t="s">
        <v>108</v>
      </c>
      <c r="I220" s="4" t="str">
        <f ca="1">IFERROR(__xludf.DUMMYFUNCTION("GOOGLETRANSLATE(B220,""en"",""ar"")"),"هذه الصورة ذات قيمة...")</f>
        <v>هذه الصورة ذات قيمة...</v>
      </c>
      <c r="J220" s="4" t="str">
        <f ca="1">IFERROR(__xludf.DUMMYFUNCTION("GOOGLETRANSLATE(C220,""en"",""ar"")"),"أ) صورة سياحية حديثة، ب) وثيقة إثنوغرافية وتاريخية، ج) صورة أزياء، د) لقطة من فيلم هوليوودي")</f>
        <v>أ) صورة سياحية حديثة، ب) وثيقة إثنوغرافية وتاريخية، ج) صورة أزياء، د) لقطة من فيلم هوليوودي</v>
      </c>
      <c r="K220" s="4" t="str">
        <f ca="1">IFERROR(__xludf.DUMMYFUNCTION("GOOGLETRANSLATE(D220,""en"",""ar"")"),"ب) وثيقة إثنوغرافية وتاريخية")</f>
        <v>ب) وثيقة إثنوغرافية وتاريخية</v>
      </c>
      <c r="L220" s="4" t="str">
        <f ca="1">IFERROR(__xludf.DUMMYFUNCTION("GOOGLETRANSLATE(E220,""en"",""ar"")"),"إنه سجل تاريخي مهم عن مظهر وثقافة شعب البجا في القرن التاسع عشر أو أوائل القرن العشرين.")</f>
        <v>إنه سجل تاريخي مهم عن مظهر وثقافة شعب البجا في القرن التاسع عشر أو أوائل القرن العشرين.</v>
      </c>
      <c r="M220" s="4"/>
      <c r="N220" s="4"/>
      <c r="O220" s="4"/>
      <c r="P220" s="4"/>
      <c r="Q220" s="4"/>
      <c r="R220" s="4"/>
      <c r="S220" s="4"/>
      <c r="T220" s="4"/>
      <c r="U220" s="4"/>
      <c r="V220" s="4"/>
      <c r="W220" s="4"/>
      <c r="X220" s="4"/>
      <c r="Y220" s="4"/>
      <c r="Z220" s="4"/>
      <c r="AA220" s="4"/>
      <c r="AB220" s="4"/>
      <c r="AC220" s="4"/>
      <c r="AD220" s="4"/>
      <c r="AE220" s="4"/>
      <c r="AF220" s="4"/>
      <c r="AG220" s="4"/>
    </row>
    <row r="221" spans="1:33" ht="22.5" customHeight="1" x14ac:dyDescent="0.25">
      <c r="A221" s="2"/>
      <c r="B221" s="2"/>
      <c r="C221" s="2"/>
      <c r="D221" s="2"/>
      <c r="E221" s="2"/>
      <c r="F221" s="4"/>
      <c r="G221" s="4"/>
      <c r="H221" s="7" t="s">
        <v>108</v>
      </c>
      <c r="I221" s="4" t="str">
        <f ca="1">IFERROR(__xludf.DUMMYFUNCTION("GOOGLETRANSLATE(B221,""en"",""ar"")"),"تعكس نظرة الرجل المباشرة والواثقة إلى الكاميرا إحساسًا بـ...")</f>
        <v>تعكس نظرة الرجل المباشرة والواثقة إلى الكاميرا إحساسًا بـ...</v>
      </c>
      <c r="J221" s="4" t="str">
        <f ca="1">IFERROR(__xludf.DUMMYFUNCTION("GOOGLETRANSLATE(C221,""en"",""ar"")"),"أ) الخوف والخضوع، ب) الكبرياء والقوة، ج) الحيرة والفضول، د) الحزن واليأس")</f>
        <v>أ) الخوف والخضوع، ب) الكبرياء والقوة، ج) الحيرة والفضول، د) الحزن واليأس</v>
      </c>
      <c r="K221" s="4" t="str">
        <f ca="1">IFERROR(__xludf.DUMMYFUNCTION("GOOGLETRANSLATE(D221,""en"",""ar"")"),"ب) الفخر والقوة")</f>
        <v>ب) الفخر والقوة</v>
      </c>
      <c r="L221" s="4" t="str">
        <f ca="1">IFERROR(__xludf.DUMMYFUNCTION("GOOGLETRANSLATE(E221,""en"",""ar"")"),"إن هيئته ونظراته المباشرة لا تدل على شخص مهزوم، بل على شخص فخور وواثق من نفسه.")</f>
        <v>إن هيئته ونظراته المباشرة لا تدل على شخص مهزوم، بل على شخص فخور وواثق من نفسه.</v>
      </c>
      <c r="M221" s="4"/>
      <c r="N221" s="4"/>
      <c r="O221" s="4"/>
      <c r="P221" s="4"/>
      <c r="Q221" s="4"/>
      <c r="R221" s="4"/>
      <c r="S221" s="4"/>
      <c r="T221" s="4"/>
      <c r="U221" s="4"/>
      <c r="V221" s="4"/>
      <c r="W221" s="4"/>
      <c r="X221" s="4"/>
      <c r="Y221" s="4"/>
      <c r="Z221" s="4"/>
      <c r="AA221" s="4"/>
      <c r="AB221" s="4"/>
      <c r="AC221" s="4"/>
      <c r="AD221" s="4"/>
      <c r="AE221" s="4"/>
      <c r="AF221" s="4"/>
      <c r="AG221" s="4"/>
    </row>
    <row r="222" spans="1:33" ht="22.5" customHeight="1" x14ac:dyDescent="0.25">
      <c r="A222" s="2"/>
      <c r="B222" s="2"/>
      <c r="C222" s="2"/>
      <c r="D222" s="2"/>
      <c r="E222" s="2"/>
      <c r="F222" s="4"/>
      <c r="G222" s="4"/>
      <c r="H222" s="6" t="s">
        <v>109</v>
      </c>
      <c r="I222" s="4" t="str">
        <f ca="1">IFERROR(__xludf.DUMMYFUNCTION("GOOGLETRANSLATE(B222,""en"",""ar"")"),"تُظهر هذه الصورة، التي يُرجح أن تكون قد التقطتها ليني ريفنشتال في الستينيات، رجلاً وأطفالاً من أي مجموعة عرقية؟")</f>
        <v>تُظهر هذه الصورة، التي يُرجح أن تكون قد التقطتها ليني ريفنشتال في الستينيات، رجلاً وأطفالاً من أي مجموعة عرقية؟</v>
      </c>
      <c r="J222" s="4" t="str">
        <f ca="1">IFERROR(__xludf.DUMMYFUNCTION("GOOGLETRANSLATE(C222,""en"",""ar"")"),"أ) الزولو، ب) الماساي، ج) النوبة، د) البجا")</f>
        <v>أ) الزولو، ب) الماساي، ج) النوبة، د) البجا</v>
      </c>
      <c r="K222" s="4" t="str">
        <f ca="1">IFERROR(__xludf.DUMMYFUNCTION("GOOGLETRANSLATE(D222,""en"",""ar"")"),"ج) النوبة")</f>
        <v>ج) النوبة</v>
      </c>
      <c r="L222" s="4" t="str">
        <f ca="1">IFERROR(__xludf.DUMMYFUNCTION("GOOGLETRANSLATE(E222,""en"",""ar"")"),"هذه صورة شهيرة لشعب النوبة في منطقة كردفان في السودان.")</f>
        <v>هذه صورة شهيرة لشعب النوبة في منطقة كردفان في السودان.</v>
      </c>
      <c r="M222" s="4"/>
      <c r="N222" s="4"/>
      <c r="O222" s="4"/>
      <c r="P222" s="4"/>
      <c r="Q222" s="4"/>
      <c r="R222" s="4"/>
      <c r="S222" s="4"/>
      <c r="T222" s="4"/>
      <c r="U222" s="4"/>
      <c r="V222" s="4"/>
      <c r="W222" s="4"/>
      <c r="X222" s="4"/>
      <c r="Y222" s="4"/>
      <c r="Z222" s="4"/>
      <c r="AA222" s="4"/>
      <c r="AB222" s="4"/>
      <c r="AC222" s="4"/>
      <c r="AD222" s="4"/>
      <c r="AE222" s="4"/>
      <c r="AF222" s="4"/>
      <c r="AG222" s="4"/>
    </row>
    <row r="223" spans="1:33" ht="22.5" customHeight="1" x14ac:dyDescent="0.25">
      <c r="A223" s="2"/>
      <c r="B223" s="2"/>
      <c r="C223" s="2"/>
      <c r="D223" s="2"/>
      <c r="E223" s="2"/>
      <c r="F223" s="4"/>
      <c r="G223" s="4"/>
      <c r="H223" s="7" t="s">
        <v>109</v>
      </c>
      <c r="I223" s="4" t="str">
        <f ca="1">IFERROR(__xludf.DUMMYFUNCTION("GOOGLETRANSLATE(B223,""en"",""ar"")"),"ما هو الوضع المحتمل للرجل الطويل داخل المجتمع؟")</f>
        <v>ما هو الوضع المحتمل للرجل الطويل داخل المجتمع؟</v>
      </c>
      <c r="J223" s="4" t="str">
        <f ca="1">IFERROR(__xludf.DUMMYFUNCTION("GOOGLETRANSLATE(C223,""en"",""ar"")"),"أ) هو فتى صغير عديم الخبرة، ب) هو شيخ محترم أو بطل، ج) هو غريب يزور القرية، د) هو تاجر يبيع العصي")</f>
        <v>أ) هو فتى صغير عديم الخبرة، ب) هو شيخ محترم أو بطل، ج) هو غريب يزور القرية، د) هو تاجر يبيع العصي</v>
      </c>
      <c r="K223" s="4" t="str">
        <f ca="1">IFERROR(__xludf.DUMMYFUNCTION("GOOGLETRANSLATE(D223,""en"",""ar"")"),"ب) هو شيخ أو بطل محترم")</f>
        <v>ب) هو شيخ أو بطل محترم</v>
      </c>
      <c r="L223" s="4" t="str">
        <f ca="1">IFERROR(__xludf.DUMMYFUNCTION("GOOGLETRANSLATE(E223,""en"",""ar"")"),"يشير طوله وبنيته الجسدية الرائعة، بالإضافة إلى الطريقة التي يتجمع بها الأطفال حوله، إلى أنه شخصية ذات مكانة عالية، وربما يكون بطلاً في المصارعة.")</f>
        <v>يشير طوله وبنيته الجسدية الرائعة، بالإضافة إلى الطريقة التي يتجمع بها الأطفال حوله، إلى أنه شخصية ذات مكانة عالية، وربما يكون بطلاً في المصارعة.</v>
      </c>
      <c r="M223" s="4"/>
      <c r="N223" s="4"/>
      <c r="O223" s="4"/>
      <c r="P223" s="4"/>
      <c r="Q223" s="4"/>
      <c r="R223" s="4"/>
      <c r="S223" s="4"/>
      <c r="T223" s="4"/>
      <c r="U223" s="4"/>
      <c r="V223" s="4"/>
      <c r="W223" s="4"/>
      <c r="X223" s="4"/>
      <c r="Y223" s="4"/>
      <c r="Z223" s="4"/>
      <c r="AA223" s="4"/>
      <c r="AB223" s="4"/>
      <c r="AC223" s="4"/>
      <c r="AD223" s="4"/>
      <c r="AE223" s="4"/>
      <c r="AF223" s="4"/>
      <c r="AG223" s="4"/>
    </row>
    <row r="224" spans="1:33" ht="22.5" customHeight="1" x14ac:dyDescent="0.25">
      <c r="A224" s="2"/>
      <c r="B224" s="2"/>
      <c r="C224" s="2"/>
      <c r="D224" s="2"/>
      <c r="E224" s="2"/>
      <c r="F224" s="4"/>
      <c r="G224" s="4"/>
      <c r="H224" s="6" t="s">
        <v>109</v>
      </c>
      <c r="I224" s="4" t="str">
        <f ca="1">IFERROR(__xludf.DUMMYFUNCTION("GOOGLETRANSLATE(B224,""en"",""ar"")"),"ما الذي يحمله الرجل وبعض الأطفال؟")</f>
        <v>ما الذي يحمله الرجل وبعض الأطفال؟</v>
      </c>
      <c r="J224" s="4" t="str">
        <f ca="1">IFERROR(__xludf.DUMMYFUNCTION("GOOGLETRANSLATE(C224,""en"",""ar"")"),"أ) أدوات زراعية، ب) آلات موسيقية، ج) عصي ​​طويلة ورفيعة، د) مشاعل")</f>
        <v>أ) أدوات زراعية، ب) آلات موسيقية، ج) عصي ​​طويلة ورفيعة، د) مشاعل</v>
      </c>
      <c r="K224" s="4" t="str">
        <f ca="1">IFERROR(__xludf.DUMMYFUNCTION("GOOGLETRANSLATE(D224,""en"",""ar"")"),"ج) عصي ​​أو عصي طويلة ورفيعة")</f>
        <v>ج) عصي ​​أو عصي طويلة ورفيعة</v>
      </c>
      <c r="L224" s="4" t="str">
        <f ca="1">IFERROR(__xludf.DUMMYFUNCTION("GOOGLETRANSLATE(E224,""en"",""ar"")"),"إنهم يحملون عصياً، يمكن استخدامها للمشي أو الرعي أو لطقوس القتال بالعصي.")</f>
        <v>إنهم يحملون عصياً، يمكن استخدامها للمشي أو الرعي أو لطقوس القتال بالعصي.</v>
      </c>
      <c r="M224" s="4"/>
      <c r="N224" s="4"/>
      <c r="O224" s="4"/>
      <c r="P224" s="4"/>
      <c r="Q224" s="4"/>
      <c r="R224" s="4"/>
      <c r="S224" s="4"/>
      <c r="T224" s="4"/>
      <c r="U224" s="4"/>
      <c r="V224" s="4"/>
      <c r="W224" s="4"/>
      <c r="X224" s="4"/>
      <c r="Y224" s="4"/>
      <c r="Z224" s="4"/>
      <c r="AA224" s="4"/>
      <c r="AB224" s="4"/>
      <c r="AC224" s="4"/>
      <c r="AD224" s="4"/>
      <c r="AE224" s="4"/>
      <c r="AF224" s="4"/>
      <c r="AG224" s="4"/>
    </row>
    <row r="225" spans="1:33" ht="22.5" customHeight="1" x14ac:dyDescent="0.25">
      <c r="A225" s="2"/>
      <c r="B225" s="2"/>
      <c r="C225" s="2"/>
      <c r="D225" s="2"/>
      <c r="E225" s="2"/>
      <c r="F225" s="4"/>
      <c r="G225" s="4"/>
      <c r="H225" s="7" t="s">
        <v>109</v>
      </c>
      <c r="I225" s="4" t="str">
        <f ca="1">IFERROR(__xludf.DUMMYFUNCTION("GOOGLETRANSLATE(B225,""en"",""ar"")"),"الهياكل الموجودة في الخلفية هي...")</f>
        <v>الهياكل الموجودة في الخلفية هي...</v>
      </c>
      <c r="J225" s="4" t="str">
        <f ca="1">IFERROR(__xludf.DUMMYFUNCTION("GOOGLETRANSLATE(C225,""en"",""ar"")"),"أ) منازل حديثة مبنية من الطوب، ب) خيام، ج) أكواخ النوبة التقليدية المصنوعة من الطين والقش، د) معابد حجرية كبيرة")</f>
        <v>أ) منازل حديثة مبنية من الطوب، ب) خيام، ج) أكواخ النوبة التقليدية المصنوعة من الطين والقش، د) معابد حجرية كبيرة</v>
      </c>
      <c r="K225" s="4" t="str">
        <f ca="1">IFERROR(__xludf.DUMMYFUNCTION("GOOGLETRANSLATE(D225,""en"",""ar"")"),"ج) أكواخ النوبة التقليدية المصنوعة من الطين والقش")</f>
        <v>ج) أكواخ النوبة التقليدية المصنوعة من الطين والقش</v>
      </c>
      <c r="L225" s="4" t="str">
        <f ca="1">IFERROR(__xludf.DUMMYFUNCTION("GOOGLETRANSLATE(E225,""en"",""ar"")"),"هذه هي المساكن النموذجية الموجودة في قرية نوبة تقليدية.")</f>
        <v>هذه هي المساكن النموذجية الموجودة في قرية نوبة تقليدية.</v>
      </c>
      <c r="M225" s="4"/>
      <c r="N225" s="4"/>
      <c r="O225" s="4"/>
      <c r="P225" s="4"/>
      <c r="Q225" s="4"/>
      <c r="R225" s="4"/>
      <c r="S225" s="4"/>
      <c r="T225" s="4"/>
      <c r="U225" s="4"/>
      <c r="V225" s="4"/>
      <c r="W225" s="4"/>
      <c r="X225" s="4"/>
      <c r="Y225" s="4"/>
      <c r="Z225" s="4"/>
      <c r="AA225" s="4"/>
      <c r="AB225" s="4"/>
      <c r="AC225" s="4"/>
      <c r="AD225" s="4"/>
      <c r="AE225" s="4"/>
      <c r="AF225" s="4"/>
      <c r="AG225" s="4"/>
    </row>
    <row r="226" spans="1:33" ht="22.5" customHeight="1" x14ac:dyDescent="0.25">
      <c r="A226" s="2"/>
      <c r="B226" s="2"/>
      <c r="C226" s="2"/>
      <c r="D226" s="2"/>
      <c r="E226" s="2"/>
      <c r="F226" s="4"/>
      <c r="G226" s="4"/>
      <c r="H226" s="6" t="s">
        <v>109</v>
      </c>
      <c r="I226" s="4" t="str">
        <f ca="1">IFERROR(__xludf.DUMMYFUNCTION("GOOGLETRANSLATE(B226,""en"",""ar"")"),"ما هو اللافت للنظر في ملابس الأشخاص في الصورة؟")</f>
        <v>ما هو اللافت للنظر في ملابس الأشخاص في الصورة؟</v>
      </c>
      <c r="J226" s="4" t="str">
        <f ca="1">IFERROR(__xludf.DUMMYFUNCTION("GOOGLETRANSLATE(C226,""en"",""ar"")"),"أ) يرتدون معاطف شتوية ثقيلة، ب) يرتدون ملابس عصرية على الطراز الغربي، ج) يرتدون ملابس قليلة جداً أو لا يرتدون ملابس على الإطلاق، د) يرتدون أردية مزخرفة وملونة")</f>
        <v>أ) يرتدون معاطف شتوية ثقيلة، ب) يرتدون ملابس عصرية على الطراز الغربي، ج) يرتدون ملابس قليلة جداً أو لا يرتدون ملابس على الإطلاق، د) يرتدون أردية مزخرفة وملونة</v>
      </c>
      <c r="K226" s="4" t="str">
        <f ca="1">IFERROR(__xludf.DUMMYFUNCTION("GOOGLETRANSLATE(D226,""en"",""ar"")"),"ج) إنهم يرتدون ملابس قليلة جداً أو لا يرتدون ملابس على الإطلاق")</f>
        <v>ج) إنهم يرتدون ملابس قليلة جداً أو لا يرتدون ملابس على الإطلاق</v>
      </c>
      <c r="L226" s="4" t="str">
        <f ca="1">IFERROR(__xludf.DUMMYFUNCTION("GOOGLETRANSLATE(E226,""en"",""ar"")"),"في سياقهم التقليدي، كان العديد من شعب النوبة يرتدون ملابس قليلة، وغالباً ما كانوا يزينون أجسادهم بالطلاء أو الوشم أو الزيوت بدلاً من ذلك.")</f>
        <v>في سياقهم التقليدي، كان العديد من شعب النوبة يرتدون ملابس قليلة، وغالباً ما كانوا يزينون أجسادهم بالطلاء أو الوشم أو الزيوت بدلاً من ذلك.</v>
      </c>
      <c r="M226" s="4"/>
      <c r="N226" s="4"/>
      <c r="O226" s="4"/>
      <c r="P226" s="4"/>
      <c r="Q226" s="4"/>
      <c r="R226" s="4"/>
      <c r="S226" s="4"/>
      <c r="T226" s="4"/>
      <c r="U226" s="4"/>
      <c r="V226" s="4"/>
      <c r="W226" s="4"/>
      <c r="X226" s="4"/>
      <c r="Y226" s="4"/>
      <c r="Z226" s="4"/>
      <c r="AA226" s="4"/>
      <c r="AB226" s="4"/>
      <c r="AC226" s="4"/>
      <c r="AD226" s="4"/>
      <c r="AE226" s="4"/>
      <c r="AF226" s="4"/>
      <c r="AG226" s="4"/>
    </row>
    <row r="227" spans="1:33" ht="22.5" customHeight="1" x14ac:dyDescent="0.25">
      <c r="A227" s="2"/>
      <c r="B227" s="2"/>
      <c r="C227" s="2"/>
      <c r="D227" s="2"/>
      <c r="E227" s="2"/>
      <c r="F227" s="4"/>
      <c r="G227" s="4"/>
      <c r="H227" s="7" t="s">
        <v>109</v>
      </c>
      <c r="I227" s="4" t="str">
        <f ca="1">IFERROR(__xludf.DUMMYFUNCTION("GOOGLETRANSLATE(B227,""en"",""ar"")"),"يُستخدم الزيت الذي يُوضع على بشرة الناس لـ...")</f>
        <v>يُستخدم الزيت الذي يُوضع على بشرة الناس لـ...</v>
      </c>
      <c r="J227" s="4" t="str">
        <f ca="1">IFERROR(__xludf.DUMMYFUNCTION("GOOGLETRANSLATE(C227,""en"",""ar"")"),"أ) حماية البشرة من الشمس والحشرات، ب) إبراز عضلاتهم، ج) استخدام ألوان أو مساحيق طقوسية، د) جميع ما سبق")</f>
        <v>أ) حماية البشرة من الشمس والحشرات، ب) إبراز عضلاتهم، ج) استخدام ألوان أو مساحيق طقوسية، د) جميع ما سبق</v>
      </c>
      <c r="K227" s="4" t="str">
        <f ca="1">IFERROR(__xludf.DUMMYFUNCTION("GOOGLETRANSLATE(D227,""en"",""ar"")"),"د) جميع ما سبق")</f>
        <v>د) جميع ما سبق</v>
      </c>
      <c r="L227" s="4" t="str">
        <f ca="1">IFERROR(__xludf.DUMMYFUNCTION("GOOGLETRANSLATE(E227,""en"",""ar"")"),"إن دهن البشرة بالزيت له أغراض متعددة: فهو يحمي من البيئة القاسية، وله قيمة جمالية في جعل الجسم يلمع، ويمكن أن يكون أساسًا للزينة الاحتفالية.")</f>
        <v>إن دهن البشرة بالزيت له أغراض متعددة: فهو يحمي من البيئة القاسية، وله قيمة جمالية في جعل الجسم يلمع، ويمكن أن يكون أساسًا للزينة الاحتفالية.</v>
      </c>
      <c r="M227" s="4"/>
      <c r="N227" s="4"/>
      <c r="O227" s="4"/>
      <c r="P227" s="4"/>
      <c r="Q227" s="4"/>
      <c r="R227" s="4"/>
      <c r="S227" s="4"/>
      <c r="T227" s="4"/>
      <c r="U227" s="4"/>
      <c r="V227" s="4"/>
      <c r="W227" s="4"/>
      <c r="X227" s="4"/>
      <c r="Y227" s="4"/>
      <c r="Z227" s="4"/>
      <c r="AA227" s="4"/>
      <c r="AB227" s="4"/>
      <c r="AC227" s="4"/>
      <c r="AD227" s="4"/>
      <c r="AE227" s="4"/>
      <c r="AF227" s="4"/>
      <c r="AG227" s="4"/>
    </row>
    <row r="228" spans="1:33" ht="22.5" customHeight="1" x14ac:dyDescent="0.25">
      <c r="A228" s="2"/>
      <c r="B228" s="2"/>
      <c r="C228" s="2"/>
      <c r="D228" s="2"/>
      <c r="E228" s="2"/>
      <c r="F228" s="4"/>
      <c r="G228" s="4"/>
      <c r="H228" s="6" t="s">
        <v>109</v>
      </c>
      <c r="I228" s="4" t="str">
        <f ca="1">IFERROR(__xludf.DUMMYFUNCTION("GOOGLETRANSLATE(B228,""en"",""ar"")"),"تُبرز هذه الصورة أهمية ماذا في ثقافة النوبة؟")</f>
        <v>تُبرز هذه الصورة أهمية ماذا في ثقافة النوبة؟</v>
      </c>
      <c r="J228" s="4" t="str">
        <f ca="1">IFERROR(__xludf.DUMMYFUNCTION("GOOGLETRANSLATE(C228,""en"",""ar"")"),"أ) العزلة عن بقية المجتمع، ب) انتقال التقاليد من جيل إلى آخر، ج) تقليد مكتوب وعلمي، د) رفض جميع الأنشطة البدنية")</f>
        <v>أ) العزلة عن بقية المجتمع، ب) انتقال التقاليد من جيل إلى آخر، ج) تقليد مكتوب وعلمي، د) رفض جميع الأنشطة البدنية</v>
      </c>
      <c r="K228" s="4" t="str">
        <f ca="1">IFERROR(__xludf.DUMMYFUNCTION("GOOGLETRANSLATE(D228,""en"",""ar"")"),"ب) انتقال التقاليد من جيل إلى آخر")</f>
        <v>ب) انتقال التقاليد من جيل إلى آخر</v>
      </c>
      <c r="L228" s="4" t="str">
        <f ca="1">IFERROR(__xludf.DUMMYFUNCTION("GOOGLETRANSLATE(E228,""en"",""ar"")"),"إن مشهد شيخ أو بطل محاط بفتيان صغار هو صورة قوية للتعليم ونقل الثقافة.")</f>
        <v>إن مشهد شيخ أو بطل محاط بفتيان صغار هو صورة قوية للتعليم ونقل الثقافة.</v>
      </c>
      <c r="M228" s="4"/>
      <c r="N228" s="4"/>
      <c r="O228" s="4"/>
      <c r="P228" s="4"/>
      <c r="Q228" s="4"/>
      <c r="R228" s="4"/>
      <c r="S228" s="4"/>
      <c r="T228" s="4"/>
      <c r="U228" s="4"/>
      <c r="V228" s="4"/>
      <c r="W228" s="4"/>
      <c r="X228" s="4"/>
      <c r="Y228" s="4"/>
      <c r="Z228" s="4"/>
      <c r="AA228" s="4"/>
      <c r="AB228" s="4"/>
      <c r="AC228" s="4"/>
      <c r="AD228" s="4"/>
      <c r="AE228" s="4"/>
      <c r="AF228" s="4"/>
      <c r="AG228" s="4"/>
    </row>
    <row r="229" spans="1:33" ht="22.5" customHeight="1" x14ac:dyDescent="0.25">
      <c r="A229" s="2"/>
      <c r="B229" s="2"/>
      <c r="C229" s="2"/>
      <c r="D229" s="2"/>
      <c r="E229" s="2"/>
      <c r="F229" s="4"/>
      <c r="G229" s="4"/>
      <c r="H229" s="7" t="s">
        <v>109</v>
      </c>
      <c r="I229" s="4" t="str">
        <f ca="1">IFERROR(__xludf.DUMMYFUNCTION("GOOGLETRANSLATE(B229,""en"",""ar"")"),"يُعدّ طول قامة الرجل دليلاً على الأهمية الثقافية لـ...")</f>
        <v>يُعدّ طول قامة الرجل دليلاً على الأهمية الثقافية لـ...</v>
      </c>
      <c r="J229" s="4" t="str">
        <f ca="1">IFERROR(__xludf.DUMMYFUNCTION("GOOGLETRANSLATE(C229,""en"",""ar"")"),"أ) نمط حياة خامل، ب) القوة البدنية واللياقة الرياضية، ج) نظام غذائي غني بالأطعمة المصنعة، د) تفضيل المساعي الفكرية على المساعي البدنية")</f>
        <v>أ) نمط حياة خامل، ب) القوة البدنية واللياقة الرياضية، ج) نظام غذائي غني بالأطعمة المصنعة، د) تفضيل المساعي الفكرية على المساعي البدنية</v>
      </c>
      <c r="K229" s="4" t="str">
        <f ca="1">IFERROR(__xludf.DUMMYFUNCTION("GOOGLETRANSLATE(D229,""en"",""ar"")"),"ب) القوة البدنية واللياقة البدنية")</f>
        <v>ب) القوة البدنية واللياقة البدنية</v>
      </c>
      <c r="L229" s="4" t="str">
        <f ca="1">IFERROR(__xludf.DUMMYFUNCTION("GOOGLETRANSLATE(E229,""en"",""ar"")"),"كانت البراعة الرياضية، وخاصة في المصارعة، تاريخياً مقياساً أساسياً لقيمة الرجل ومكانته في مجتمع النوبة.")</f>
        <v>كانت البراعة الرياضية، وخاصة في المصارعة، تاريخياً مقياساً أساسياً لقيمة الرجل ومكانته في مجتمع النوبة.</v>
      </c>
      <c r="M229" s="4"/>
      <c r="N229" s="4"/>
      <c r="O229" s="4"/>
      <c r="P229" s="4"/>
      <c r="Q229" s="4"/>
      <c r="R229" s="4"/>
      <c r="S229" s="4"/>
      <c r="T229" s="4"/>
      <c r="U229" s="4"/>
      <c r="V229" s="4"/>
      <c r="W229" s="4"/>
      <c r="X229" s="4"/>
      <c r="Y229" s="4"/>
      <c r="Z229" s="4"/>
      <c r="AA229" s="4"/>
      <c r="AB229" s="4"/>
      <c r="AC229" s="4"/>
      <c r="AD229" s="4"/>
      <c r="AE229" s="4"/>
      <c r="AF229" s="4"/>
      <c r="AG229" s="4"/>
    </row>
    <row r="230" spans="1:33" ht="22.5" customHeight="1" x14ac:dyDescent="0.25">
      <c r="A230" s="2"/>
      <c r="B230" s="2"/>
      <c r="C230" s="2"/>
      <c r="D230" s="2"/>
      <c r="E230" s="2"/>
      <c r="F230" s="4"/>
      <c r="G230" s="4"/>
      <c r="H230" s="6" t="s">
        <v>109</v>
      </c>
      <c r="I230" s="4" t="str">
        <f ca="1">IFERROR(__xludf.DUMMYFUNCTION("GOOGLETRANSLATE(B230,""en"",""ar"")"),"تشتهر هذه الصورة بـ...")</f>
        <v>تشتهر هذه الصورة بـ...</v>
      </c>
      <c r="J230" s="4" t="str">
        <f ca="1">IFERROR(__xludf.DUMMYFUNCTION("GOOGLETRANSLATE(C230,""en"",""ar"")"),"أ) تصوير الحرب الحديثة، ب) استخدام ألوان زاهية، ج) تصوير قوي وفني لثقافة تقليدية، د) بيئة تحت الماء")</f>
        <v>أ) تصوير الحرب الحديثة، ب) استخدام ألوان زاهية، ج) تصوير قوي وفني لثقافة تقليدية، د) بيئة تحت الماء</v>
      </c>
      <c r="K230" s="4" t="str">
        <f ca="1">IFERROR(__xludf.DUMMYFUNCTION("GOOGLETRANSLATE(D230,""en"",""ar"")"),"ج) تصوير قوي وفني للثقافة التقليدية")</f>
        <v>ج) تصوير قوي وفني للثقافة التقليدية</v>
      </c>
      <c r="L230" s="4" t="str">
        <f ca="1">IFERROR(__xludf.DUMMYFUNCTION("GOOGLETRANSLATE(E230,""en"",""ar"")"),"تُعد صور ريفنشتال عن شعب النوبة مشهورة عالميًا (ومثيرة للجدل) بسبب تصويرها المذهل والجمالي لشعب النوبة.")</f>
        <v>تُعد صور ريفنشتال عن شعب النوبة مشهورة عالميًا (ومثيرة للجدل) بسبب تصويرها المذهل والجمالي لشعب النوبة.</v>
      </c>
      <c r="M230" s="4"/>
      <c r="N230" s="4"/>
      <c r="O230" s="4"/>
      <c r="P230" s="4"/>
      <c r="Q230" s="4"/>
      <c r="R230" s="4"/>
      <c r="S230" s="4"/>
      <c r="T230" s="4"/>
      <c r="U230" s="4"/>
      <c r="V230" s="4"/>
      <c r="W230" s="4"/>
      <c r="X230" s="4"/>
      <c r="Y230" s="4"/>
      <c r="Z230" s="4"/>
      <c r="AA230" s="4"/>
      <c r="AB230" s="4"/>
      <c r="AC230" s="4"/>
      <c r="AD230" s="4"/>
      <c r="AE230" s="4"/>
      <c r="AF230" s="4"/>
      <c r="AG230" s="4"/>
    </row>
    <row r="231" spans="1:33" ht="22.5" customHeight="1" x14ac:dyDescent="0.25">
      <c r="A231" s="2"/>
      <c r="B231" s="2"/>
      <c r="C231" s="2"/>
      <c r="D231" s="2"/>
      <c r="E231" s="2"/>
      <c r="F231" s="4"/>
      <c r="G231" s="4"/>
      <c r="H231" s="7" t="s">
        <v>109</v>
      </c>
      <c r="I231" s="4" t="str">
        <f ca="1">IFERROR(__xludf.DUMMYFUNCTION("GOOGLETRANSLATE(B231,""en"",""ar"")"),"يمثل المشهد...")</f>
        <v>يمثل المشهد...</v>
      </c>
      <c r="J231" s="4" t="str">
        <f ca="1">IFERROR(__xludf.DUMMYFUNCTION("GOOGLETRANSLATE(C231,""en"",""ar"")"),"أ) لحظة صراع حاد، ب) لحظة هادئة من الحياة اليومية في القرية، ج) احتفال ديني رسمي، د) اجتماع سياسي")</f>
        <v>أ) لحظة صراع حاد، ب) لحظة هادئة من الحياة اليومية في القرية، ج) احتفال ديني رسمي، د) اجتماع سياسي</v>
      </c>
      <c r="K231" s="4" t="str">
        <f ca="1">IFERROR(__xludf.DUMMYFUNCTION("GOOGLETRANSLATE(D231,""en"",""ar"")"),"ب) لحظة هادئة وعادية في حياة القرية")</f>
        <v>ب) لحظة هادئة وعادية في حياة القرية</v>
      </c>
      <c r="L231" s="4" t="str">
        <f ca="1">IFERROR(__xludf.DUMMYFUNCTION("GOOGLETRANSLATE(E231,""en"",""ar"")"),"على الرغم من المظهر الفخم للرجل، إلا أن هذه لقطة حميمة للحياة الاجتماعية اليومية والتعلم بين الأجيال.")</f>
        <v>على الرغم من المظهر الفخم للرجل، إلا أن هذه لقطة حميمة للحياة الاجتماعية اليومية والتعلم بين الأجيال.</v>
      </c>
      <c r="M231" s="4"/>
      <c r="N231" s="4"/>
      <c r="O231" s="4"/>
      <c r="P231" s="4"/>
      <c r="Q231" s="4"/>
      <c r="R231" s="4"/>
      <c r="S231" s="4"/>
      <c r="T231" s="4"/>
      <c r="U231" s="4"/>
      <c r="V231" s="4"/>
      <c r="W231" s="4"/>
      <c r="X231" s="4"/>
      <c r="Y231" s="4"/>
      <c r="Z231" s="4"/>
      <c r="AA231" s="4"/>
      <c r="AB231" s="4"/>
      <c r="AC231" s="4"/>
      <c r="AD231" s="4"/>
      <c r="AE231" s="4"/>
      <c r="AF231" s="4"/>
      <c r="AG231" s="4"/>
    </row>
    <row r="232" spans="1:33" ht="22.5" customHeight="1" x14ac:dyDescent="0.25">
      <c r="A232" s="2"/>
      <c r="B232" s="2"/>
      <c r="C232" s="2"/>
      <c r="D232" s="2"/>
      <c r="E232" s="2"/>
      <c r="F232" s="4"/>
      <c r="G232" s="4"/>
      <c r="H232" s="6" t="s">
        <v>110</v>
      </c>
      <c r="I232" s="4" t="str">
        <f ca="1">IFERROR(__xludf.DUMMYFUNCTION("GOOGLETRANSLATE(B232,""en"",""ar"")"),"ما هي أبرز سمة في مظهر هذا الرجل؟")</f>
        <v>ما هي أبرز سمة في مظهر هذا الرجل؟</v>
      </c>
      <c r="J232" s="4" t="str">
        <f ca="1">IFERROR(__xludf.DUMMYFUNCTION("GOOGLETRANSLATE(C232,""en"",""ar"")"),"أ) ملابسه العصرية، ب) طلاء جسده الاحتفالي، ج) تسريحة شعره غير المألوفة، د) طوله")</f>
        <v>أ) ملابسه العصرية، ب) طلاء جسده الاحتفالي، ج) تسريحة شعره غير المألوفة، د) طوله</v>
      </c>
      <c r="K232" s="4" t="str">
        <f ca="1">IFERROR(__xludf.DUMMYFUNCTION("GOOGLETRANSLATE(D232,""en"",""ar"")"),"ب) طلاء جسده الاحتفالي")</f>
        <v>ب) طلاء جسده الاحتفالي</v>
      </c>
      <c r="L232" s="4" t="str">
        <f ca="1">IFERROR(__xludf.DUMMYFUNCTION("GOOGLETRANSLATE(E232,""en"",""ar"")"),"تم تزيين جذعه وذراعيه بنقوش بيضاء لافتة للنظر، بما في ذلك النجوم والخطوط.")</f>
        <v>تم تزيين جذعه وذراعيه بنقوش بيضاء لافتة للنظر، بما في ذلك النجوم والخطوط.</v>
      </c>
      <c r="M232" s="4"/>
      <c r="N232" s="4"/>
      <c r="O232" s="4"/>
      <c r="P232" s="4"/>
      <c r="Q232" s="4"/>
      <c r="R232" s="4"/>
      <c r="S232" s="4"/>
      <c r="T232" s="4"/>
      <c r="U232" s="4"/>
      <c r="V232" s="4"/>
      <c r="W232" s="4"/>
      <c r="X232" s="4"/>
      <c r="Y232" s="4"/>
      <c r="Z232" s="4"/>
      <c r="AA232" s="4"/>
      <c r="AB232" s="4"/>
      <c r="AC232" s="4"/>
      <c r="AD232" s="4"/>
      <c r="AE232" s="4"/>
      <c r="AF232" s="4"/>
      <c r="AG232" s="4"/>
    </row>
    <row r="233" spans="1:33" ht="22.5" customHeight="1" x14ac:dyDescent="0.25">
      <c r="A233" s="2"/>
      <c r="B233" s="2"/>
      <c r="C233" s="2"/>
      <c r="D233" s="2"/>
      <c r="E233" s="2"/>
      <c r="F233" s="4"/>
      <c r="G233" s="4"/>
      <c r="H233" s="7" t="s">
        <v>110</v>
      </c>
      <c r="I233" s="4" t="str">
        <f ca="1">IFERROR(__xludf.DUMMYFUNCTION("GOOGLETRANSLATE(B233,""en"",""ar"")"),"يُعد هذا النمط من طلاء الجسم تقليدًا مشهورًا لأي شعب؟")</f>
        <v>يُعد هذا النمط من طلاء الجسم تقليدًا مشهورًا لأي شعب؟</v>
      </c>
      <c r="J233" s="4" t="str">
        <f ca="1">IFERROR(__xludf.DUMMYFUNCTION("GOOGLETRANSLATE(C233,""en"",""ar"")"),"أ) الزولو في جنوب أفريقيا، ب) الماساي في كينيا، ج) النوبة في السودان، د) البجا في الصحراء الشرقية")</f>
        <v>أ) الزولو في جنوب أفريقيا، ب) الماساي في كينيا، ج) النوبة في السودان، د) البجا في الصحراء الشرقية</v>
      </c>
      <c r="K233" s="4" t="str">
        <f ca="1">IFERROR(__xludf.DUMMYFUNCTION("GOOGLETRANSLATE(D233,""en"",""ar"")"),"ج) النوبة في السودان")</f>
        <v>ج) النوبة في السودان</v>
      </c>
      <c r="L233" s="4" t="str">
        <f ca="1">IFERROR(__xludf.DUMMYFUNCTION("GOOGLETRANSLATE(E233,""en"",""ar"")"),"تشتهر شعوب النوبة بتقاليدها الفنية والرمزية في تزيين الجسم بالطلاء.")</f>
        <v>تشتهر شعوب النوبة بتقاليدها الفنية والرمزية في تزيين الجسم بالطلاء.</v>
      </c>
      <c r="M233" s="4"/>
      <c r="N233" s="4"/>
      <c r="O233" s="4"/>
      <c r="P233" s="4"/>
      <c r="Q233" s="4"/>
      <c r="R233" s="4"/>
      <c r="S233" s="4"/>
      <c r="T233" s="4"/>
      <c r="U233" s="4"/>
      <c r="V233" s="4"/>
      <c r="W233" s="4"/>
      <c r="X233" s="4"/>
      <c r="Y233" s="4"/>
      <c r="Z233" s="4"/>
      <c r="AA233" s="4"/>
      <c r="AB233" s="4"/>
      <c r="AC233" s="4"/>
      <c r="AD233" s="4"/>
      <c r="AE233" s="4"/>
      <c r="AF233" s="4"/>
      <c r="AG233" s="4"/>
    </row>
    <row r="234" spans="1:33" ht="22.5" customHeight="1" x14ac:dyDescent="0.25">
      <c r="A234" s="2"/>
      <c r="B234" s="2"/>
      <c r="C234" s="2"/>
      <c r="D234" s="2"/>
      <c r="E234" s="2"/>
      <c r="F234" s="4"/>
      <c r="G234" s="4"/>
      <c r="H234" s="6" t="s">
        <v>110</v>
      </c>
      <c r="I234" s="4" t="str">
        <f ca="1">IFERROR(__xludf.DUMMYFUNCTION("GOOGLETRANSLATE(B234,""en"",""ar"")"),"ما الغرض من هذا النوع من تزيين الجسم؟")</f>
        <v>ما الغرض من هذا النوع من تزيين الجسم؟</v>
      </c>
      <c r="J234" s="4" t="str">
        <f ca="1">IFERROR(__xludf.DUMMYFUNCTION("GOOGLETRANSLATE(C234,""en"",""ar"")"),"أ) هو شكل من أشكال التمويه للصيد، ب) هو للحماية من الشمس فقط، ج) هو احتفالي ويمكن أن يدل على المكانة أو الفئة العمرية أو المشاركة في طقوس معينة، د) هو وشم دائم")</f>
        <v>أ) هو شكل من أشكال التمويه للصيد، ب) هو للحماية من الشمس فقط، ج) هو احتفالي ويمكن أن يدل على المكانة أو الفئة العمرية أو المشاركة في طقوس معينة، د) هو وشم دائم</v>
      </c>
      <c r="K234" s="4" t="str">
        <f ca="1">IFERROR(__xludf.DUMMYFUNCTION("GOOGLETRANSLATE(D234,""en"",""ar"")"),"ج) إنه احتفالي ويمكن أن يدل على المكانة أو الفئة العمرية أو المشاركة في طقوس معينة")</f>
        <v>ج) إنه احتفالي ويمكن أن يدل على المكانة أو الفئة العمرية أو المشاركة في طقوس معينة</v>
      </c>
      <c r="L234" s="4" t="str">
        <f ca="1">IFERROR(__xludf.DUMMYFUNCTION("GOOGLETRANSLATE(E234,""en"",""ar"")"),"يُعدّ الرسم على الجسم لغة اجتماعية معقدة، تُستخدم للتعبير عن الهوية والاحتفال بالمناسبات والاحتفالات المهمة في الحياة.")</f>
        <v>يُعدّ الرسم على الجسم لغة اجتماعية معقدة، تُستخدم للتعبير عن الهوية والاحتفال بالمناسبات والاحتفالات المهمة في الحياة.</v>
      </c>
      <c r="M234" s="4"/>
      <c r="N234" s="4"/>
      <c r="O234" s="4"/>
      <c r="P234" s="4"/>
      <c r="Q234" s="4"/>
      <c r="R234" s="4"/>
      <c r="S234" s="4"/>
      <c r="T234" s="4"/>
      <c r="U234" s="4"/>
      <c r="V234" s="4"/>
      <c r="W234" s="4"/>
      <c r="X234" s="4"/>
      <c r="Y234" s="4"/>
      <c r="Z234" s="4"/>
      <c r="AA234" s="4"/>
      <c r="AB234" s="4"/>
      <c r="AC234" s="4"/>
      <c r="AD234" s="4"/>
      <c r="AE234" s="4"/>
      <c r="AF234" s="4"/>
      <c r="AG234" s="4"/>
    </row>
    <row r="235" spans="1:33" ht="22.5" customHeight="1" x14ac:dyDescent="0.25">
      <c r="A235" s="2"/>
      <c r="B235" s="2"/>
      <c r="C235" s="2"/>
      <c r="D235" s="2"/>
      <c r="E235" s="2"/>
      <c r="F235" s="4"/>
      <c r="G235" s="4"/>
      <c r="H235" s="7" t="s">
        <v>110</v>
      </c>
      <c r="I235" s="4" t="str">
        <f ca="1">IFERROR(__xludf.DUMMYFUNCTION("GOOGLETRANSLATE(B235,""en"",""ar"")"),"ما الذي يحمله الرجل في يده؟")</f>
        <v>ما الذي يحمله الرجل في يده؟</v>
      </c>
      <c r="J235" s="4" t="str">
        <f ca="1">IFERROR(__xludf.DUMMYFUNCTION("GOOGLETRANSLATE(C235,""en"",""ar"")"),"أ) رمح، ب) بندقية، ج) عصا قصيرة أو هراوة، د) زهرة")</f>
        <v>أ) رمح، ب) بندقية، ج) عصا قصيرة أو هراوة، د) زهرة</v>
      </c>
      <c r="K235" s="4" t="str">
        <f ca="1">IFERROR(__xludf.DUMMYFUNCTION("GOOGLETRANSLATE(D235,""en"",""ar"")"),"ج) عصا قصيرة أو هراوة")</f>
        <v>ج) عصا قصيرة أو هراوة</v>
      </c>
      <c r="L235" s="4" t="str">
        <f ca="1">IFERROR(__xludf.DUMMYFUNCTION("GOOGLETRANSLATE(E235,""en"",""ar"")"),"إنه يحمل عصا خشبية بسيطة أو عكازاً.")</f>
        <v>إنه يحمل عصا خشبية بسيطة أو عكازاً.</v>
      </c>
      <c r="M235" s="4"/>
      <c r="N235" s="4"/>
      <c r="O235" s="4"/>
      <c r="P235" s="4"/>
      <c r="Q235" s="4"/>
      <c r="R235" s="4"/>
      <c r="S235" s="4"/>
      <c r="T235" s="4"/>
      <c r="U235" s="4"/>
      <c r="V235" s="4"/>
      <c r="W235" s="4"/>
      <c r="X235" s="4"/>
      <c r="Y235" s="4"/>
      <c r="Z235" s="4"/>
      <c r="AA235" s="4"/>
      <c r="AB235" s="4"/>
      <c r="AC235" s="4"/>
      <c r="AD235" s="4"/>
      <c r="AE235" s="4"/>
      <c r="AF235" s="4"/>
      <c r="AG235" s="4"/>
    </row>
    <row r="236" spans="1:33" ht="22.5" customHeight="1" x14ac:dyDescent="0.25">
      <c r="A236" s="2"/>
      <c r="B236" s="2"/>
      <c r="C236" s="2"/>
      <c r="D236" s="2"/>
      <c r="E236" s="2"/>
      <c r="F236" s="4"/>
      <c r="G236" s="4"/>
      <c r="H236" s="6" t="s">
        <v>110</v>
      </c>
      <c r="I236" s="4" t="str">
        <f ca="1">IFERROR(__xludf.DUMMYFUNCTION("GOOGLETRANSLATE(B236,""en"",""ar"")"),"ماذا يرتدي على رأسه وحول رقبته؟")</f>
        <v>ماذا يرتدي على رأسه وحول رقبته؟</v>
      </c>
      <c r="J236" s="4" t="str">
        <f ca="1">IFERROR(__xludf.DUMMYFUNCTION("GOOGLETRANSLATE(C236,""en"",""ar"")"),"أ) قبعة وربطة عنق عصريتان، ب) مجوهرات تقليدية، بما في ذلك عصابة رأس وقلائد، ج) خوذة معدنية، د) تاج من أوراق الشجر")</f>
        <v>أ) قبعة وربطة عنق عصريتان، ب) مجوهرات تقليدية، بما في ذلك عصابة رأس وقلائد، ج) خوذة معدنية، د) تاج من أوراق الشجر</v>
      </c>
      <c r="K236" s="4" t="str">
        <f ca="1">IFERROR(__xludf.DUMMYFUNCTION("GOOGLETRANSLATE(D236,""en"",""ar"")"),"ب) المجوهرات التقليدية، بما في ذلك عصابة الرأس المزينة بالخرز والقلائد")</f>
        <v>ب) المجوهرات التقليدية، بما في ذلك عصابة الرأس المزينة بالخرز والقلائد</v>
      </c>
      <c r="L236" s="4" t="str">
        <f ca="1">IFERROR(__xludf.DUMMYFUNCTION("GOOGLETRANSLATE(E236,""en"",""ar"")"),"تُعدّ زينةه جزءاً من زيه الاحتفالي التقليدي.")</f>
        <v>تُعدّ زينةه جزءاً من زيه الاحتفالي التقليدي.</v>
      </c>
      <c r="M236" s="4"/>
      <c r="N236" s="4"/>
      <c r="O236" s="4"/>
      <c r="P236" s="4"/>
      <c r="Q236" s="4"/>
      <c r="R236" s="4"/>
      <c r="S236" s="4"/>
      <c r="T236" s="4"/>
      <c r="U236" s="4"/>
      <c r="V236" s="4"/>
      <c r="W236" s="4"/>
      <c r="X236" s="4"/>
      <c r="Y236" s="4"/>
      <c r="Z236" s="4"/>
      <c r="AA236" s="4"/>
      <c r="AB236" s="4"/>
      <c r="AC236" s="4"/>
      <c r="AD236" s="4"/>
      <c r="AE236" s="4"/>
      <c r="AF236" s="4"/>
      <c r="AG236" s="4"/>
    </row>
    <row r="237" spans="1:33" ht="22.5" customHeight="1" x14ac:dyDescent="0.25">
      <c r="A237" s="2"/>
      <c r="B237" s="2"/>
      <c r="C237" s="2"/>
      <c r="D237" s="2"/>
      <c r="E237" s="2"/>
      <c r="F237" s="4"/>
      <c r="G237" s="4"/>
      <c r="H237" s="7" t="s">
        <v>110</v>
      </c>
      <c r="I237" s="4" t="str">
        <f ca="1">IFERROR(__xludf.DUMMYFUNCTION("GOOGLETRANSLATE(B237,""en"",""ar"")"),"المباني الظاهرة في الخلفية هي...")</f>
        <v>المباني الظاهرة في الخلفية هي...</v>
      </c>
      <c r="J237" s="4" t="str">
        <f ca="1">IFERROR(__xludf.DUMMYFUNCTION("GOOGLETRANSLATE(C237,""en"",""ar"")"),"أ) ناطحات سحاب حديثة، ب) أكواخ تقليدية مبنية من الطوب اللبن بأسقف من القش، ج) معابد حجرية قديمة، د) خيام كبيرة")</f>
        <v>أ) ناطحات سحاب حديثة، ب) أكواخ تقليدية مبنية من الطوب اللبن بأسقف من القش، ج) معابد حجرية قديمة، د) خيام كبيرة</v>
      </c>
      <c r="K237" s="4" t="str">
        <f ca="1">IFERROR(__xludf.DUMMYFUNCTION("GOOGLETRANSLATE(D237,""en"",""ar"")"),"ب) أكواخ تقليدية مبنية من الطوب اللبن وسقوفها من القش")</f>
        <v>ب) أكواخ تقليدية مبنية من الطوب اللبن وسقوفها من القش</v>
      </c>
      <c r="L237" s="4" t="str">
        <f ca="1">IFERROR(__xludf.DUMMYFUNCTION("GOOGLETRANSLATE(E237,""en"",""ar"")"),"هذه هي المساكن النموذجية لقرية نوبية.")</f>
        <v>هذه هي المساكن النموذجية لقرية نوبية.</v>
      </c>
      <c r="M237" s="4"/>
      <c r="N237" s="4"/>
      <c r="O237" s="4"/>
      <c r="P237" s="4"/>
      <c r="Q237" s="4"/>
      <c r="R237" s="4"/>
      <c r="S237" s="4"/>
      <c r="T237" s="4"/>
      <c r="U237" s="4"/>
      <c r="V237" s="4"/>
      <c r="W237" s="4"/>
      <c r="X237" s="4"/>
      <c r="Y237" s="4"/>
      <c r="Z237" s="4"/>
      <c r="AA237" s="4"/>
      <c r="AB237" s="4"/>
      <c r="AC237" s="4"/>
      <c r="AD237" s="4"/>
      <c r="AE237" s="4"/>
      <c r="AF237" s="4"/>
      <c r="AG237" s="4"/>
    </row>
    <row r="238" spans="1:33" ht="22.5" customHeight="1" x14ac:dyDescent="0.25">
      <c r="A238" s="2"/>
      <c r="B238" s="2"/>
      <c r="C238" s="2"/>
      <c r="D238" s="2"/>
      <c r="E238" s="2"/>
      <c r="F238" s="4"/>
      <c r="G238" s="4"/>
      <c r="H238" s="6" t="s">
        <v>110</v>
      </c>
      <c r="I238" s="4" t="str">
        <f ca="1">IFERROR(__xludf.DUMMYFUNCTION("GOOGLETRANSLATE(B238,""en"",""ar"")"),"ويرتدي الرجل أيضاً...")</f>
        <v>ويرتدي الرجل أيضاً...</v>
      </c>
      <c r="J238" s="4" t="str">
        <f ca="1">IFERROR(__xludf.DUMMYFUNCTION("GOOGLETRANSLATE(C238,""en"",""ar"")"),"أ) حلقة أنف، ب) نظارة، ج) ساعة، د) سماعة أذن")</f>
        <v>أ) حلقة أنف، ب) نظارة، ج) ساعة، د) سماعة أذن</v>
      </c>
      <c r="K238" s="4" t="str">
        <f ca="1">IFERROR(__xludf.DUMMYFUNCTION("GOOGLETRANSLATE(D238,""en"",""ar"")"),"أ) حلقة الأنف")</f>
        <v>أ) حلقة الأنف</v>
      </c>
      <c r="L238" s="4" t="str">
        <f ca="1">IFERROR(__xludf.DUMMYFUNCTION("GOOGLETRANSLATE(E238,""en"",""ar"")"),"يظهر خاتم في فتحة أنفه اليمنى، وهو شكل شائع آخر من أشكال الزينة الشخصية.")</f>
        <v>يظهر خاتم في فتحة أنفه اليمنى، وهو شكل شائع آخر من أشكال الزينة الشخصية.</v>
      </c>
      <c r="M238" s="4"/>
      <c r="N238" s="4"/>
      <c r="O238" s="4"/>
      <c r="P238" s="4"/>
      <c r="Q238" s="4"/>
      <c r="R238" s="4"/>
      <c r="S238" s="4"/>
      <c r="T238" s="4"/>
      <c r="U238" s="4"/>
      <c r="V238" s="4"/>
      <c r="W238" s="4"/>
      <c r="X238" s="4"/>
      <c r="Y238" s="4"/>
      <c r="Z238" s="4"/>
      <c r="AA238" s="4"/>
      <c r="AB238" s="4"/>
      <c r="AC238" s="4"/>
      <c r="AD238" s="4"/>
      <c r="AE238" s="4"/>
      <c r="AF238" s="4"/>
      <c r="AG238" s="4"/>
    </row>
    <row r="239" spans="1:33" ht="22.5" customHeight="1" x14ac:dyDescent="0.25">
      <c r="A239" s="2"/>
      <c r="B239" s="2"/>
      <c r="C239" s="2"/>
      <c r="D239" s="2"/>
      <c r="E239" s="2"/>
      <c r="F239" s="4"/>
      <c r="G239" s="4"/>
      <c r="H239" s="7" t="s">
        <v>110</v>
      </c>
      <c r="I239" s="4" t="str">
        <f ca="1">IFERROR(__xludf.DUMMYFUNCTION("GOOGLETRANSLATE(B239,""en"",""ar"")"),"هذه الصورة عبارة عن...")</f>
        <v>هذه الصورة عبارة عن...</v>
      </c>
      <c r="J239" s="4" t="str">
        <f ca="1">IFERROR(__xludf.DUMMYFUNCTION("GOOGLETRANSLATE(C239,""en"",""ar"")"),"أ) لقطة عفوية لمباراة مصارعة، ب) صورة شخصية رسمية، ج) صورة لمزارع أثناء عمله، د) صورة لزعيم سياسي يلقي خطابًا")</f>
        <v>أ) لقطة عفوية لمباراة مصارعة، ب) صورة شخصية رسمية، ج) صورة لمزارع أثناء عمله، د) صورة لزعيم سياسي يلقي خطابًا</v>
      </c>
      <c r="K239" s="4" t="str">
        <f ca="1">IFERROR(__xludf.DUMMYFUNCTION("GOOGLETRANSLATE(D239,""en"",""ar"")"),"ب) صورة شخصية مُعدّة مسبقًا")</f>
        <v>ب) صورة شخصية مُعدّة مسبقًا</v>
      </c>
      <c r="L239" s="4" t="str">
        <f ca="1">IFERROR(__xludf.DUMMYFUNCTION("GOOGLETRANSLATE(E239,""en"",""ar"")"),"ينظر الرجل مباشرة إلى الكاميرا في وضعية واثقة، مما يشير إلى أن هذه صورة شخصية، وليست لقطة عفوية لحدث ما.")</f>
        <v>ينظر الرجل مباشرة إلى الكاميرا في وضعية واثقة، مما يشير إلى أن هذه صورة شخصية، وليست لقطة عفوية لحدث ما.</v>
      </c>
      <c r="M239" s="4"/>
      <c r="N239" s="4"/>
      <c r="O239" s="4"/>
      <c r="P239" s="4"/>
      <c r="Q239" s="4"/>
      <c r="R239" s="4"/>
      <c r="S239" s="4"/>
      <c r="T239" s="4"/>
      <c r="U239" s="4"/>
      <c r="V239" s="4"/>
      <c r="W239" s="4"/>
      <c r="X239" s="4"/>
      <c r="Y239" s="4"/>
      <c r="Z239" s="4"/>
      <c r="AA239" s="4"/>
      <c r="AB239" s="4"/>
      <c r="AC239" s="4"/>
      <c r="AD239" s="4"/>
      <c r="AE239" s="4"/>
      <c r="AF239" s="4"/>
      <c r="AG239" s="4"/>
    </row>
    <row r="240" spans="1:33" ht="22.5" customHeight="1" x14ac:dyDescent="0.25">
      <c r="A240" s="2"/>
      <c r="B240" s="2"/>
      <c r="C240" s="2"/>
      <c r="D240" s="2"/>
      <c r="E240" s="2"/>
      <c r="F240" s="4"/>
      <c r="G240" s="4"/>
      <c r="H240" s="6" t="s">
        <v>110</v>
      </c>
      <c r="I240" s="4" t="str">
        <f ca="1">IFERROR(__xludf.DUMMYFUNCTION("GOOGLETRANSLATE(B240,""en"",""ar"")"),"القماش الملون المخطط حول خصره هو...")</f>
        <v>القماش الملون المخطط حول خصره هو...</v>
      </c>
      <c r="J240" s="4" t="str">
        <f ca="1">IFERROR(__xludf.DUMMYFUNCTION("GOOGLETRANSLATE(C240,""en"",""ar"")"),"أ) ملابس رياضية حديثة، ب) مئزر تقليدي، ج) منشفة، د) علم")</f>
        <v>أ) ملابس رياضية حديثة، ب) مئزر تقليدي، ج) منشفة، د) علم</v>
      </c>
      <c r="K240" s="4" t="str">
        <f ca="1">IFERROR(__xludf.DUMMYFUNCTION("GOOGLETRANSLATE(D240,""en"",""ar"")"),"ب) مئزر تقليدي")</f>
        <v>ب) مئزر تقليدي</v>
      </c>
      <c r="L240" s="4" t="str">
        <f ca="1">IFERROR(__xludf.DUMMYFUNCTION("GOOGLETRANSLATE(E240,""en"",""ar"")"),"هذا زي رجالي تقليدي شائع في المنطقة.")</f>
        <v>هذا زي رجالي تقليدي شائع في المنطقة.</v>
      </c>
      <c r="M240" s="4"/>
      <c r="N240" s="4"/>
      <c r="O240" s="4"/>
      <c r="P240" s="4"/>
      <c r="Q240" s="4"/>
      <c r="R240" s="4"/>
      <c r="S240" s="4"/>
      <c r="T240" s="4"/>
      <c r="U240" s="4"/>
      <c r="V240" s="4"/>
      <c r="W240" s="4"/>
      <c r="X240" s="4"/>
      <c r="Y240" s="4"/>
      <c r="Z240" s="4"/>
      <c r="AA240" s="4"/>
      <c r="AB240" s="4"/>
      <c r="AC240" s="4"/>
      <c r="AD240" s="4"/>
      <c r="AE240" s="4"/>
      <c r="AF240" s="4"/>
      <c r="AG240" s="4"/>
    </row>
    <row r="241" spans="1:33" ht="22.5" customHeight="1" x14ac:dyDescent="0.25">
      <c r="A241" s="2"/>
      <c r="B241" s="2"/>
      <c r="C241" s="2"/>
      <c r="D241" s="2"/>
      <c r="E241" s="2"/>
      <c r="F241" s="4"/>
      <c r="G241" s="4"/>
      <c r="H241" s="7" t="s">
        <v>110</v>
      </c>
      <c r="I241" s="4" t="str">
        <f ca="1">IFERROR(__xludf.DUMMYFUNCTION("GOOGLETRANSLATE(B241,""en"",""ar"")"),"تُجسّد هذه الصورة أهمية ماذا في ثقافة النوبة؟")</f>
        <v>تُجسّد هذه الصورة أهمية ماذا في ثقافة النوبة؟</v>
      </c>
      <c r="J241" s="4" t="str">
        <f ca="1">IFERROR(__xludf.DUMMYFUNCTION("GOOGLETRANSLATE(C241,""en"",""ar"")"),"أ) الموضة الحديثة، ب) اللغة المكتوبة، ج) التعبير الفني والزينة الشخصية، د) الزراعة")</f>
        <v>أ) الموضة الحديثة، ب) اللغة المكتوبة، ج) التعبير الفني والزينة الشخصية، د) الزراعة</v>
      </c>
      <c r="K241" s="4" t="str">
        <f ca="1">IFERROR(__xludf.DUMMYFUNCTION("GOOGLETRANSLATE(D241,""en"",""ar"")"),"ج) التعبير الفني والزينة الشخصية")</f>
        <v>ج) التعبير الفني والزينة الشخصية</v>
      </c>
      <c r="L241" s="4" t="str">
        <f ca="1">IFERROR(__xludf.DUMMYFUNCTION("GOOGLETRANSLATE(E241,""en"",""ar"")"),"تُظهر الرسومات والمجوهرات المعقدة ثقافةً تُولي قيمةً عاليةً للجماليات وللجسد كلوحة فنية.")</f>
        <v>تُظهر الرسومات والمجوهرات المعقدة ثقافةً تُولي قيمةً عاليةً للجماليات وللجسد كلوحة فنية.</v>
      </c>
      <c r="M241" s="4"/>
      <c r="N241" s="4"/>
      <c r="O241" s="4"/>
      <c r="P241" s="4"/>
      <c r="Q241" s="4"/>
      <c r="R241" s="4"/>
      <c r="S241" s="4"/>
      <c r="T241" s="4"/>
      <c r="U241" s="4"/>
      <c r="V241" s="4"/>
      <c r="W241" s="4"/>
      <c r="X241" s="4"/>
      <c r="Y241" s="4"/>
      <c r="Z241" s="4"/>
      <c r="AA241" s="4"/>
      <c r="AB241" s="4"/>
      <c r="AC241" s="4"/>
      <c r="AD241" s="4"/>
      <c r="AE241" s="4"/>
      <c r="AF241" s="4"/>
      <c r="AG241" s="4"/>
    </row>
    <row r="242" spans="1:33" ht="22.5" customHeight="1" x14ac:dyDescent="0.25">
      <c r="A242" s="2"/>
      <c r="B242" s="2"/>
      <c r="C242" s="2"/>
      <c r="D242" s="2"/>
      <c r="E242" s="2"/>
      <c r="F242" s="4"/>
      <c r="G242" s="4"/>
      <c r="H242" s="6" t="s">
        <v>111</v>
      </c>
      <c r="I242" s="4" t="str">
        <f ca="1">IFERROR(__xludf.DUMMYFUNCTION("GOOGLETRANSLATE(B242,""en"",""ar"")"),"الحدث المصور هو عرض عام لأي شيء؟")</f>
        <v>الحدث المصور هو عرض عام لأي شيء؟</v>
      </c>
      <c r="J242" s="4" t="str">
        <f ca="1">IFERROR(__xludf.DUMMYFUNCTION("GOOGLETRANSLATE(C242,""en"",""ar"")"),"أ) مصارعة النوبة، ب) حفل موسيقى روك حديثة، ج) التحطب المصري (مبارزة بالعصي) مع موسيقى حية، د) تجمع سياسي")</f>
        <v>أ) مصارعة النوبة، ب) حفل موسيقى روك حديثة، ج) التحطب المصري (مبارزة بالعصي) مع موسيقى حية، د) تجمع سياسي</v>
      </c>
      <c r="K242" s="4" t="str">
        <f ca="1">IFERROR(__xludf.DUMMYFUNCTION("GOOGLETRANSLATE(D242,""en"",""ar"")"),"ج) التحطب المصري (قتال بالعصي) مع موسيقى حية")</f>
        <v>ج) التحطب المصري (قتال بالعصي) مع موسيقى حية</v>
      </c>
      <c r="L242" s="4" t="str">
        <f ca="1">IFERROR(__xludf.DUMMYFUNCTION("GOOGLETRANSLATE(E242,""en"",""ar"")"),"يؤدي الرجال الذين يحملون العصي طقوس التحتيب، برفقة فرقة من الموسيقيين التقليديين.")</f>
        <v>يؤدي الرجال الذين يحملون العصي طقوس التحتيب، برفقة فرقة من الموسيقيين التقليديين.</v>
      </c>
      <c r="M242" s="4"/>
      <c r="N242" s="4"/>
      <c r="O242" s="4"/>
      <c r="P242" s="4"/>
      <c r="Q242" s="4"/>
      <c r="R242" s="4"/>
      <c r="S242" s="4"/>
      <c r="T242" s="4"/>
      <c r="U242" s="4"/>
      <c r="V242" s="4"/>
      <c r="W242" s="4"/>
      <c r="X242" s="4"/>
      <c r="Y242" s="4"/>
      <c r="Z242" s="4"/>
      <c r="AA242" s="4"/>
      <c r="AB242" s="4"/>
      <c r="AC242" s="4"/>
      <c r="AD242" s="4"/>
      <c r="AE242" s="4"/>
      <c r="AF242" s="4"/>
      <c r="AG242" s="4"/>
    </row>
    <row r="243" spans="1:33" ht="22.5" customHeight="1" x14ac:dyDescent="0.25">
      <c r="A243" s="2"/>
      <c r="B243" s="2"/>
      <c r="C243" s="2"/>
      <c r="D243" s="2"/>
      <c r="E243" s="2"/>
      <c r="F243" s="4"/>
      <c r="G243" s="4"/>
      <c r="H243" s="7" t="s">
        <v>111</v>
      </c>
      <c r="I243" s="4" t="str">
        <f ca="1">IFERROR(__xludf.DUMMYFUNCTION("GOOGLETRANSLATE(B243,""en"",""ar"")"),"ما هو مكان إقامة هذا العرض؟")</f>
        <v>ما هو مكان إقامة هذا العرض؟</v>
      </c>
      <c r="J243" s="4" t="str">
        <f ca="1">IFERROR(__xludf.DUMMYFUNCTION("GOOGLETRANSLATE(C243,""en"",""ar"")"),"أ) قاعة حفلات داخلية، ب) مسرح خارجي أمام معبد الأقصر في مصر، ج) موقع صحراوي ناءٍ، د) حديقة عامة في مدينة حديثة")</f>
        <v>أ) قاعة حفلات داخلية، ب) مسرح خارجي أمام معبد الأقصر في مصر، ج) موقع صحراوي ناءٍ، د) حديقة عامة في مدينة حديثة</v>
      </c>
      <c r="K243" s="4" t="str">
        <f ca="1">IFERROR(__xludf.DUMMYFUNCTION("GOOGLETRANSLATE(D243,""en"",""ar"")"),"ب) مسرح خارجي أمام معبد الأقصر في مصر")</f>
        <v>ب) مسرح خارجي أمام معبد الأقصر في مصر</v>
      </c>
      <c r="L243" s="4" t="str">
        <f ca="1">IFERROR(__xludf.DUMMYFUNCTION("GOOGLETRANSLATE(E243,""en"",""ar"")"),"تظهر الأعمدة الضخمة والقديمة لمعبد الأقصر بوضوح في الخلفية.")</f>
        <v>تظهر الأعمدة الضخمة والقديمة لمعبد الأقصر بوضوح في الخلفية.</v>
      </c>
      <c r="M243" s="4"/>
      <c r="N243" s="4"/>
      <c r="O243" s="4"/>
      <c r="P243" s="4"/>
      <c r="Q243" s="4"/>
      <c r="R243" s="4"/>
      <c r="S243" s="4"/>
      <c r="T243" s="4"/>
      <c r="U243" s="4"/>
      <c r="V243" s="4"/>
      <c r="W243" s="4"/>
      <c r="X243" s="4"/>
      <c r="Y243" s="4"/>
      <c r="Z243" s="4"/>
      <c r="AA243" s="4"/>
      <c r="AB243" s="4"/>
      <c r="AC243" s="4"/>
      <c r="AD243" s="4"/>
      <c r="AE243" s="4"/>
      <c r="AF243" s="4"/>
      <c r="AG243" s="4"/>
    </row>
    <row r="244" spans="1:33" ht="22.5" customHeight="1" x14ac:dyDescent="0.25">
      <c r="A244" s="2"/>
      <c r="B244" s="2"/>
      <c r="C244" s="2"/>
      <c r="D244" s="2"/>
      <c r="E244" s="2"/>
      <c r="F244" s="4"/>
      <c r="G244" s="4"/>
      <c r="H244" s="6" t="s">
        <v>111</v>
      </c>
      <c r="I244" s="4" t="str">
        <f ca="1">IFERROR(__xludf.DUMMYFUNCTION("GOOGLETRANSLATE(B244,""en"",""ar"")"),"ماذا يفعل الرجال على الجانب الأيمن من المسرح؟")</f>
        <v>ماذا يفعل الرجال على الجانب الأيمن من المسرح؟</v>
      </c>
      <c r="J244" s="4" t="str">
        <f ca="1">IFERROR(__xludf.DUMMYFUNCTION("GOOGLETRANSLATE(C244,""en"",""ar"")"),"أ) إنهم يتصارعون، ب) إنهم يشاهدون العرض، ج) إنهم يعزفون على الآلات الموسيقية، د) إنهم يبيعون البضائع")</f>
        <v>أ) إنهم يتصارعون، ب) إنهم يشاهدون العرض، ج) إنهم يعزفون على الآلات الموسيقية، د) إنهم يبيعون البضائع</v>
      </c>
      <c r="K244" s="4" t="str">
        <f ca="1">IFERROR(__xludf.DUMMYFUNCTION("GOOGLETRANSLATE(D244,""en"",""ar"")"),"ج) إنهم يعزفون على الآلات الموسيقية")</f>
        <v>ج) إنهم يعزفون على الآلات الموسيقية</v>
      </c>
      <c r="L244" s="4" t="str">
        <f ca="1">IFERROR(__xludf.DUMMYFUNCTION("GOOGLETRANSLATE(E244,""en"",""ar"")"),"يشكلون فرقة موسيقية مصرية تقليدية، بآلات مثل المزمار (المزمار) والطبول، لمرافقة رقصة التحتيب.")</f>
        <v>يشكلون فرقة موسيقية مصرية تقليدية، بآلات مثل المزمار (المزمار) والطبول، لمرافقة رقصة التحتيب.</v>
      </c>
      <c r="M244" s="4"/>
      <c r="N244" s="4"/>
      <c r="O244" s="4"/>
      <c r="P244" s="4"/>
      <c r="Q244" s="4"/>
      <c r="R244" s="4"/>
      <c r="S244" s="4"/>
      <c r="T244" s="4"/>
      <c r="U244" s="4"/>
      <c r="V244" s="4"/>
      <c r="W244" s="4"/>
      <c r="X244" s="4"/>
      <c r="Y244" s="4"/>
      <c r="Z244" s="4"/>
      <c r="AA244" s="4"/>
      <c r="AB244" s="4"/>
      <c r="AC244" s="4"/>
      <c r="AD244" s="4"/>
      <c r="AE244" s="4"/>
      <c r="AF244" s="4"/>
      <c r="AG244" s="4"/>
    </row>
    <row r="245" spans="1:33" ht="22.5" customHeight="1" x14ac:dyDescent="0.25">
      <c r="A245" s="2"/>
      <c r="B245" s="2"/>
      <c r="C245" s="2"/>
      <c r="D245" s="2"/>
      <c r="E245" s="2"/>
      <c r="F245" s="4"/>
      <c r="G245" s="4"/>
      <c r="H245" s="7" t="s">
        <v>111</v>
      </c>
      <c r="I245" s="4" t="str">
        <f ca="1">IFERROR(__xludf.DUMMYFUNCTION("GOOGLETRANSLATE(B245,""en"",""ar"")"),"ما الذي يفعله الرجلان على اليسار؟")</f>
        <v>ما الذي يفعله الرجلان على اليسار؟</v>
      </c>
      <c r="J245" s="4" t="str">
        <f ca="1">IFERROR(__xludf.DUMMYFUNCTION("GOOGLETRANSLATE(C245,""en"",""ar"")"),"أ) شجار حقيقي عنيف، ب) مبارزة بالعصي مصممة على شكل رقصة، ج) جدال حاد، د) محادثة ودية")</f>
        <v>أ) شجار حقيقي عنيف، ب) مبارزة بالعصي مصممة على شكل رقصة، ج) جدال حاد، د) محادثة ودية</v>
      </c>
      <c r="K245" s="4" t="str">
        <f ca="1">IFERROR(__xludf.DUMMYFUNCTION("GOOGLETRANSLATE(D245,""en"",""ar"")"),"ب) مبارزة مصممة على شكل رقصة باستخدام العصي")</f>
        <v>ب) مبارزة مصممة على شكل رقصة باستخدام العصي</v>
      </c>
      <c r="L245" s="4" t="str">
        <f ca="1">IFERROR(__xludf.DUMMYFUNCTION("GOOGLETRANSLATE(E245,""en"",""ar"")"),"إنهم يؤدون حركات طهبتيب الإيقاعية الشبيهة بالرقص، وليسوا يحاولون إيذاء بعضهم البعض فعلياً.")</f>
        <v>إنهم يؤدون حركات طهبتيب الإيقاعية الشبيهة بالرقص، وليسوا يحاولون إيذاء بعضهم البعض فعلياً.</v>
      </c>
      <c r="M245" s="4"/>
      <c r="N245" s="4"/>
      <c r="O245" s="4"/>
      <c r="P245" s="4"/>
      <c r="Q245" s="4"/>
      <c r="R245" s="4"/>
      <c r="S245" s="4"/>
      <c r="T245" s="4"/>
      <c r="U245" s="4"/>
      <c r="V245" s="4"/>
      <c r="W245" s="4"/>
      <c r="X245" s="4"/>
      <c r="Y245" s="4"/>
      <c r="Z245" s="4"/>
      <c r="AA245" s="4"/>
      <c r="AB245" s="4"/>
      <c r="AC245" s="4"/>
      <c r="AD245" s="4"/>
      <c r="AE245" s="4"/>
      <c r="AF245" s="4"/>
      <c r="AG245" s="4"/>
    </row>
    <row r="246" spans="1:33" ht="22.5" customHeight="1" x14ac:dyDescent="0.25">
      <c r="A246" s="2"/>
      <c r="B246" s="2"/>
      <c r="C246" s="2"/>
      <c r="D246" s="2"/>
      <c r="E246" s="2"/>
      <c r="F246" s="4"/>
      <c r="G246" s="4"/>
      <c r="H246" s="6" t="s">
        <v>111</v>
      </c>
      <c r="I246" s="4" t="str">
        <f ca="1">IFERROR(__xludf.DUMMYFUNCTION("GOOGLETRANSLATE(B246,""en"",""ar"")"),"ماذا يرتدي الفنانون؟")</f>
        <v>ماذا يرتدي الفنانون؟</v>
      </c>
      <c r="J246" s="4" t="str">
        <f ca="1">IFERROR(__xludf.DUMMYFUNCTION("GOOGLETRANSLATE(C246,""en"",""ar"")"),"أ) ملابس رياضية حديثة، ب) الجلابيب والعمائم التقليدية، ج) أزياء من جلود الحيوانات، د) الزي العسكري")</f>
        <v>أ) ملابس رياضية حديثة، ب) الجلابيب والعمائم التقليدية، ج) أزياء من جلود الحيوانات، د) الزي العسكري</v>
      </c>
      <c r="K246" s="4" t="str">
        <f ca="1">IFERROR(__xludf.DUMMYFUNCTION("GOOGLETRANSLATE(D246,""en"",""ar"")"),"ب) الجلابيب والعمائم التقليدية")</f>
        <v>ب) الجلابيب والعمائم التقليدية</v>
      </c>
      <c r="L246" s="4" t="str">
        <f ca="1">IFERROR(__xludf.DUMMYFUNCTION("GOOGLETRANSLATE(E246,""en"",""ar"")"),"جميع المؤدين، من راقصين وموسيقيين، يرتدون الزي المصري التقليدي.")</f>
        <v>جميع المؤدين، من راقصين وموسيقيين، يرتدون الزي المصري التقليدي.</v>
      </c>
      <c r="M246" s="4"/>
      <c r="N246" s="4"/>
      <c r="O246" s="4"/>
      <c r="P246" s="4"/>
      <c r="Q246" s="4"/>
      <c r="R246" s="4"/>
      <c r="S246" s="4"/>
      <c r="T246" s="4"/>
      <c r="U246" s="4"/>
      <c r="V246" s="4"/>
      <c r="W246" s="4"/>
      <c r="X246" s="4"/>
      <c r="Y246" s="4"/>
      <c r="Z246" s="4"/>
      <c r="AA246" s="4"/>
      <c r="AB246" s="4"/>
      <c r="AC246" s="4"/>
      <c r="AD246" s="4"/>
      <c r="AE246" s="4"/>
      <c r="AF246" s="4"/>
      <c r="AG246" s="4"/>
    </row>
    <row r="247" spans="1:33" ht="22.5" customHeight="1" x14ac:dyDescent="0.25">
      <c r="A247" s="2"/>
      <c r="B247" s="2"/>
      <c r="C247" s="2"/>
      <c r="D247" s="2"/>
      <c r="E247" s="2"/>
      <c r="F247" s="4"/>
      <c r="G247" s="4"/>
      <c r="H247" s="7" t="s">
        <v>111</v>
      </c>
      <c r="I247" s="4" t="str">
        <f ca="1">IFERROR(__xludf.DUMMYFUNCTION("GOOGLETRANSLATE(B247,""en"",""ar"")"),"يُطلق على العصا المستخدمة في التحطب اسم...")</f>
        <v>يُطلق على العصا المستخدمة في التحطب اسم...</v>
      </c>
      <c r="J247" s="4" t="str">
        <f ca="1">IFERROR(__xludf.DUMMYFUNCTION("GOOGLETRANSLATE(C247,""en"",""ar"")"),"أ) آسا، ب) إندوكو، ج) بو، د) شيناي")</f>
        <v>أ) آسا، ب) إندوكو، ج) بو، د) شيناي</v>
      </c>
      <c r="K247" s="4" t="str">
        <f ca="1">IFERROR(__xludf.DUMMYFUNCTION("GOOGLETRANSLATE(D247,""en"",""ar"")"),"أ) آسا")</f>
        <v>أ) آسا</v>
      </c>
      <c r="L247" s="4" t="str">
        <f ca="1">IFERROR(__xludf.DUMMYFUNCTION("GOOGLETRANSLATE(E247,""en"",""ar"")"),"يُعرف العصا الخشبية الطويلة المستخدمة في التحطب باسم ""آسا"".")</f>
        <v>يُعرف العصا الخشبية الطويلة المستخدمة في التحطب باسم "آسا".</v>
      </c>
      <c r="M247" s="4"/>
      <c r="N247" s="4"/>
      <c r="O247" s="4"/>
      <c r="P247" s="4"/>
      <c r="Q247" s="4"/>
      <c r="R247" s="4"/>
      <c r="S247" s="4"/>
      <c r="T247" s="4"/>
      <c r="U247" s="4"/>
      <c r="V247" s="4"/>
      <c r="W247" s="4"/>
      <c r="X247" s="4"/>
      <c r="Y247" s="4"/>
      <c r="Z247" s="4"/>
      <c r="AA247" s="4"/>
      <c r="AB247" s="4"/>
      <c r="AC247" s="4"/>
      <c r="AD247" s="4"/>
      <c r="AE247" s="4"/>
      <c r="AF247" s="4"/>
      <c r="AG247" s="4"/>
    </row>
    <row r="248" spans="1:33" ht="22.5" customHeight="1" x14ac:dyDescent="0.25">
      <c r="A248" s="2"/>
      <c r="B248" s="2"/>
      <c r="C248" s="2"/>
      <c r="D248" s="2"/>
      <c r="E248" s="2"/>
      <c r="F248" s="4"/>
      <c r="G248" s="4"/>
      <c r="H248" s="6" t="s">
        <v>111</v>
      </c>
      <c r="I248" s="4" t="str">
        <f ca="1">IFERROR(__xludf.DUMMYFUNCTION("GOOGLETRANSLATE(B248,""en"",""ar"")"),"يُعد هذا الحدث مثالاً واضحاً على...")</f>
        <v>يُعد هذا الحدث مثالاً واضحاً على...</v>
      </c>
      <c r="J248" s="4" t="str">
        <f ca="1">IFERROR(__xludf.DUMMYFUNCTION("GOOGLETRANSLATE(C248,""en"",""ar"")"),"أ) معركة تاريخية، ب) تقليد ثقافي حي يُؤدى أمام جمهور، ج) شجار شوارع عفوي، د) طقوس سرية")</f>
        <v>أ) معركة تاريخية، ب) تقليد ثقافي حي يُؤدى أمام جمهور، ج) شجار شوارع عفوي، د) طقوس سرية</v>
      </c>
      <c r="K248" s="4" t="str">
        <f ca="1">IFERROR(__xludf.DUMMYFUNCTION("GOOGLETRANSLATE(D248,""en"",""ar"")"),"ب) تقليد ثقافي حي يُعرض أمام جمهور")</f>
        <v>ب) تقليد ثقافي حي يُعرض أمام جمهور</v>
      </c>
      <c r="L248" s="4" t="str">
        <f ca="1">IFERROR(__xludf.DUMMYFUNCTION("GOOGLETRANSLATE(E248,""en"",""ar"")"),"هذا عرض عام يُبرز ويحافظ على شكل فني تقليدي.")</f>
        <v>هذا عرض عام يُبرز ويحافظ على شكل فني تقليدي.</v>
      </c>
      <c r="M248" s="4"/>
      <c r="N248" s="4"/>
      <c r="O248" s="4"/>
      <c r="P248" s="4"/>
      <c r="Q248" s="4"/>
      <c r="R248" s="4"/>
      <c r="S248" s="4"/>
      <c r="T248" s="4"/>
      <c r="U248" s="4"/>
      <c r="V248" s="4"/>
      <c r="W248" s="4"/>
      <c r="X248" s="4"/>
      <c r="Y248" s="4"/>
      <c r="Z248" s="4"/>
      <c r="AA248" s="4"/>
      <c r="AB248" s="4"/>
      <c r="AC248" s="4"/>
      <c r="AD248" s="4"/>
      <c r="AE248" s="4"/>
      <c r="AF248" s="4"/>
      <c r="AG248" s="4"/>
    </row>
    <row r="249" spans="1:33" ht="22.5" customHeight="1" x14ac:dyDescent="0.25">
      <c r="A249" s="2"/>
      <c r="B249" s="2"/>
      <c r="C249" s="2"/>
      <c r="D249" s="2"/>
      <c r="E249" s="2"/>
      <c r="F249" s="4"/>
      <c r="G249" s="4"/>
      <c r="H249" s="7" t="s">
        <v>111</v>
      </c>
      <c r="I249" s="4" t="str">
        <f ca="1">IFERROR(__xludf.DUMMYFUNCTION("GOOGLETRANSLATE(B249,""en"",""ar"")"),"ماذا يدل وجود الميكروفونات ومكبرات الصوت؟")</f>
        <v>ماذا يدل وجود الميكروفونات ومكبرات الصوت؟</v>
      </c>
      <c r="J249" s="4" t="str">
        <f ca="1">IFERROR(__xludf.DUMMYFUNCTION("GOOGLETRANSLATE(C249,""en"",""ar"")"),"أ) الحدث صامت، ب) الحدث حديث، ويستخدم مكبرات الصوت للموسيقى، ج) الحدث عبارة عن مؤتمر صحفي، د) الصورة من القرن التاسع عشر")</f>
        <v>أ) الحدث صامت، ب) الحدث حديث، ويستخدم مكبرات الصوت للموسيقى، ج) الحدث عبارة عن مؤتمر صحفي، د) الصورة من القرن التاسع عشر</v>
      </c>
      <c r="K249" s="4" t="str">
        <f ca="1">IFERROR(__xludf.DUMMYFUNCTION("GOOGLETRANSLATE(D249,""en"",""ar"")"),"ب) الحدث حديث، ويستخدم مكبرات الصوت للموسيقى")</f>
        <v>ب) الحدث حديث، ويستخدم مكبرات الصوت للموسيقى</v>
      </c>
      <c r="L249" s="4" t="str">
        <f ca="1">IFERROR(__xludf.DUMMYFUNCTION("GOOGLETRANSLATE(E249,""en"",""ar"")"),"يُظهر استخدام معدات الصوت الحديثة مزيجًا من التقاليد وتقنيات الأداء الحديثة.")</f>
        <v>يُظهر استخدام معدات الصوت الحديثة مزيجًا من التقاليد وتقنيات الأداء الحديثة.</v>
      </c>
      <c r="M249" s="4"/>
      <c r="N249" s="4"/>
      <c r="O249" s="4"/>
      <c r="P249" s="4"/>
      <c r="Q249" s="4"/>
      <c r="R249" s="4"/>
      <c r="S249" s="4"/>
      <c r="T249" s="4"/>
      <c r="U249" s="4"/>
      <c r="V249" s="4"/>
      <c r="W249" s="4"/>
      <c r="X249" s="4"/>
      <c r="Y249" s="4"/>
      <c r="Z249" s="4"/>
      <c r="AA249" s="4"/>
      <c r="AB249" s="4"/>
      <c r="AC249" s="4"/>
      <c r="AD249" s="4"/>
      <c r="AE249" s="4"/>
      <c r="AF249" s="4"/>
      <c r="AG249" s="4"/>
    </row>
    <row r="250" spans="1:33" ht="22.5" customHeight="1" x14ac:dyDescent="0.25">
      <c r="A250" s="2"/>
      <c r="B250" s="2"/>
      <c r="C250" s="2"/>
      <c r="D250" s="2"/>
      <c r="E250" s="2"/>
      <c r="F250" s="4"/>
      <c r="G250" s="4"/>
      <c r="H250" s="6" t="s">
        <v>111</v>
      </c>
      <c r="I250" s="4" t="str">
        <f ca="1">IFERROR(__xludf.DUMMYFUNCTION("GOOGLETRANSLATE(B250,""en"",""ar"")"),"تحركات المقاتلين هي...")</f>
        <v>تحركات المقاتلين هي...</v>
      </c>
      <c r="J250" s="4" t="str">
        <f ca="1">IFERROR(__xludf.DUMMYFUNCTION("GOOGLETRANSLATE(C250,""en"",""ar"")"),"أ) أخرق وغير متوازن، ب) متزامن وإيقاعي، ج) بطيء وحذر، د) عدواني وفوضوي")</f>
        <v>أ) أخرق وغير متوازن، ب) متزامن وإيقاعي، ج) بطيء وحذر، د) عدواني وفوضوي</v>
      </c>
      <c r="K250" s="4" t="str">
        <f ca="1">IFERROR(__xludf.DUMMYFUNCTION("GOOGLETRANSLATE(D250,""en"",""ar"")"),"ب) متزامن وإيقاعي")</f>
        <v>ب) متزامن وإيقاعي</v>
      </c>
      <c r="L250" s="4" t="str">
        <f ca="1">IFERROR(__xludf.DUMMYFUNCTION("GOOGLETRANSLATE(E250,""en"",""ar"")"),"تتسم وضعياتهم بالانعكاس والديناميكية، مما يسلط الضوء على الطابع الراقص لفنون الدفاع عن النفس.")</f>
        <v>تتسم وضعياتهم بالانعكاس والديناميكية، مما يسلط الضوء على الطابع الراقص لفنون الدفاع عن النفس.</v>
      </c>
      <c r="M250" s="4"/>
      <c r="N250" s="4"/>
      <c r="O250" s="4"/>
      <c r="P250" s="4"/>
      <c r="Q250" s="4"/>
      <c r="R250" s="4"/>
      <c r="S250" s="4"/>
      <c r="T250" s="4"/>
      <c r="U250" s="4"/>
      <c r="V250" s="4"/>
      <c r="W250" s="4"/>
      <c r="X250" s="4"/>
      <c r="Y250" s="4"/>
      <c r="Z250" s="4"/>
      <c r="AA250" s="4"/>
      <c r="AB250" s="4"/>
      <c r="AC250" s="4"/>
      <c r="AD250" s="4"/>
      <c r="AE250" s="4"/>
      <c r="AF250" s="4"/>
      <c r="AG250" s="4"/>
    </row>
    <row r="251" spans="1:33" ht="22.5" customHeight="1" x14ac:dyDescent="0.25">
      <c r="A251" s="2"/>
      <c r="B251" s="2"/>
      <c r="C251" s="2"/>
      <c r="D251" s="2"/>
      <c r="E251" s="2"/>
      <c r="F251" s="4"/>
      <c r="G251" s="4"/>
      <c r="H251" s="7" t="s">
        <v>111</v>
      </c>
      <c r="I251" s="4" t="str">
        <f ca="1">IFERROR(__xludf.DUMMYFUNCTION("GOOGLETRANSLATE(B251,""en"",""ar"")"),"الحدث برمته هو...")</f>
        <v>الحدث برمته هو...</v>
      </c>
      <c r="J251" s="4" t="str">
        <f ca="1">IFERROR(__xludf.DUMMYFUNCTION("GOOGLETRANSLATE(C251,""en"",""ar"")"),"أ) موكب جنازة حزين، ب) عرض ثقافي حيوي، ج) منافسة رياضية جادة، د) احتجاج سياسي")</f>
        <v>أ) موكب جنازة حزين، ب) عرض ثقافي حيوي، ج) منافسة رياضية جادة، د) احتجاج سياسي</v>
      </c>
      <c r="K251" s="4" t="str">
        <f ca="1">IFERROR(__xludf.DUMMYFUNCTION("GOOGLETRANSLATE(D251,""en"",""ar"")"),"ب) عرض ثقافي حيوي")</f>
        <v>ب) عرض ثقافي حيوي</v>
      </c>
      <c r="L251" s="4" t="str">
        <f ca="1">IFERROR(__xludf.DUMMYFUNCTION("GOOGLETRANSLATE(E251,""en"",""ar"")"),"يخلق مزيج الموسيقى والرقص وفنون الدفاع عن النفس مشهداً ثقافياً احتفالياً وممتعاً.")</f>
        <v>يخلق مزيج الموسيقى والرقص وفنون الدفاع عن النفس مشهداً ثقافياً احتفالياً وممتعاً.</v>
      </c>
      <c r="M251" s="4"/>
      <c r="N251" s="4"/>
      <c r="O251" s="4"/>
      <c r="P251" s="4"/>
      <c r="Q251" s="4"/>
      <c r="R251" s="4"/>
      <c r="S251" s="4"/>
      <c r="T251" s="4"/>
      <c r="U251" s="4"/>
      <c r="V251" s="4"/>
      <c r="W251" s="4"/>
      <c r="X251" s="4"/>
      <c r="Y251" s="4"/>
      <c r="Z251" s="4"/>
      <c r="AA251" s="4"/>
      <c r="AB251" s="4"/>
      <c r="AC251" s="4"/>
      <c r="AD251" s="4"/>
      <c r="AE251" s="4"/>
      <c r="AF251" s="4"/>
      <c r="AG251" s="4"/>
    </row>
    <row r="252" spans="1:33" ht="22.5" customHeight="1" x14ac:dyDescent="0.25">
      <c r="A252" s="2"/>
      <c r="B252" s="2"/>
      <c r="C252" s="2"/>
      <c r="D252" s="2"/>
      <c r="E252" s="2"/>
      <c r="F252" s="4"/>
      <c r="G252" s="4"/>
      <c r="H252" s="6" t="s">
        <v>96</v>
      </c>
      <c r="I252" s="4" t="str">
        <f ca="1">IFERROR(__xludf.DUMMYFUNCTION("GOOGLETRANSLATE(B252,""en"",""ar"")"),"ما هو الفن القتالي السوداني التقليدي الذي تصوره هذه الصورة التاريخية؟")</f>
        <v>ما هو الفن القتالي السوداني التقليدي الذي تصوره هذه الصورة التاريخية؟</v>
      </c>
      <c r="J252" s="4" t="str">
        <f ca="1">IFERROR(__xludf.DUMMYFUNCTION("GOOGLETRANSLATE(C252,""en"",""ar"")"),"أ) القتال بالعصي، ب) مصارعة النوبة، ج) الرماية، د) نوع من أنواع المبارزة")</f>
        <v>أ) القتال بالعصي، ب) مصارعة النوبة، ج) الرماية، د) نوع من أنواع المبارزة</v>
      </c>
      <c r="K252" s="4" t="str">
        <f ca="1">IFERROR(__xludf.DUMMYFUNCTION("GOOGLETRANSLATE(D252,""en"",""ar"")"),"ب) مصارعة النوبة")</f>
        <v>ب) مصارعة النوبة</v>
      </c>
      <c r="L252" s="4" t="str">
        <f ca="1">IFERROR(__xludf.DUMMYFUNCTION("GOOGLETRANSLATE(E252,""en"",""ar"")"),"تُظهر هذه الصورة مسابقة مصارعة، وهي سمة مميزة لمصارعة النوبة، وليست قتالاً بالعصي، على الرغم من وجود رمح.")</f>
        <v>تُظهر هذه الصورة مسابقة مصارعة، وهي سمة مميزة لمصارعة النوبة، وليست قتالاً بالعصي، على الرغم من وجود رمح.</v>
      </c>
      <c r="M252" s="4"/>
      <c r="N252" s="4"/>
      <c r="O252" s="4"/>
      <c r="P252" s="4"/>
      <c r="Q252" s="4"/>
      <c r="R252" s="4"/>
      <c r="S252" s="4"/>
      <c r="T252" s="4"/>
      <c r="U252" s="4"/>
      <c r="V252" s="4"/>
      <c r="W252" s="4"/>
      <c r="X252" s="4"/>
      <c r="Y252" s="4"/>
      <c r="Z252" s="4"/>
      <c r="AA252" s="4"/>
      <c r="AB252" s="4"/>
      <c r="AC252" s="4"/>
      <c r="AD252" s="4"/>
      <c r="AE252" s="4"/>
      <c r="AF252" s="4"/>
      <c r="AG252" s="4"/>
    </row>
    <row r="253" spans="1:33" ht="22.5" customHeight="1" x14ac:dyDescent="0.25">
      <c r="A253" s="2"/>
      <c r="B253" s="2"/>
      <c r="C253" s="2"/>
      <c r="D253" s="2"/>
      <c r="E253" s="2"/>
      <c r="F253" s="4"/>
      <c r="G253" s="4"/>
      <c r="H253" s="7" t="s">
        <v>96</v>
      </c>
      <c r="I253" s="4" t="str">
        <f ca="1">IFERROR(__xludf.DUMMYFUNCTION("GOOGLETRANSLATE(B253,""en"",""ar"")"),"ما هو الفعل الرئيسي للرجلين في المنتصف؟")</f>
        <v>ما هو الفعل الرئيسي للرجلين في المنتصف؟</v>
      </c>
      <c r="J253" s="4" t="str">
        <f ca="1">IFERROR(__xludf.DUMMYFUNCTION("GOOGLETRANSLATE(C253,""en"",""ar"")"),"أ) يتقاتلون بالرمح الطويل، ب) هم متشابكون في مصارعة قوية ومنخفضة، ج) يؤدون رقصة احتفالية، د) يتصافحون")</f>
        <v>أ) يتقاتلون بالرمح الطويل، ب) هم متشابكون في مصارعة قوية ومنخفضة، ج) يؤدون رقصة احتفالية، د) يتصافحون</v>
      </c>
      <c r="K253" s="4" t="str">
        <f ca="1">IFERROR(__xludf.DUMMYFUNCTION("GOOGLETRANSLATE(D253,""en"",""ar"")"),"ب) إنهم متشابكون في وضعية مصارعة منخفضة وقوية")</f>
        <v>ب) إنهم متشابكون في وضعية مصارعة منخفضة وقوية</v>
      </c>
      <c r="L253" s="4" t="str">
        <f ca="1">IFERROR(__xludf.DUMMYFUNCTION("GOOGLETRANSLATE(E253,""en"",""ar"")"),"إنهم ينحنون وينخرطون في حركة مصارعة قريبة، وهي جوهر هذه الرياضة.")</f>
        <v>إنهم ينحنون وينخرطون في حركة مصارعة قريبة، وهي جوهر هذه الرياضة.</v>
      </c>
      <c r="M253" s="4"/>
      <c r="N253" s="4"/>
      <c r="O253" s="4"/>
      <c r="P253" s="4"/>
      <c r="Q253" s="4"/>
      <c r="R253" s="4"/>
      <c r="S253" s="4"/>
      <c r="T253" s="4"/>
      <c r="U253" s="4"/>
      <c r="V253" s="4"/>
      <c r="W253" s="4"/>
      <c r="X253" s="4"/>
      <c r="Y253" s="4"/>
      <c r="Z253" s="4"/>
      <c r="AA253" s="4"/>
      <c r="AB253" s="4"/>
      <c r="AC253" s="4"/>
      <c r="AD253" s="4"/>
      <c r="AE253" s="4"/>
      <c r="AF253" s="4"/>
      <c r="AG253" s="4"/>
    </row>
    <row r="254" spans="1:33" ht="22.5" customHeight="1" x14ac:dyDescent="0.25">
      <c r="A254" s="2"/>
      <c r="B254" s="2"/>
      <c r="C254" s="2"/>
      <c r="D254" s="2"/>
      <c r="E254" s="2"/>
      <c r="F254" s="4"/>
      <c r="G254" s="4"/>
      <c r="H254" s="6" t="s">
        <v>96</v>
      </c>
      <c r="I254" s="4" t="str">
        <f ca="1">IFERROR(__xludf.DUMMYFUNCTION("GOOGLETRANSLATE(B254,""en"",""ar"")"),"من هو الرجل الموجود على اليمين، والذي يرتدي زياً احتفالياً متقناً؟")</f>
        <v>من هو الرجل الموجود على اليمين، والذي يرتدي زياً احتفالياً متقناً؟</v>
      </c>
      <c r="J254" s="4" t="str">
        <f ca="1">IFERROR(__xludf.DUMMYFUNCTION("GOOGLETRANSLATE(C254,""en"",""ar"")"),"أ) هو المصارع التالي الذي سيتنافس، ب) هو متفرج، ج) من المحتمل أن يكون مسؤولاً أو بطلاً أو قائداً للطقوس، د) هو الخاسر في المباراة السابقة")</f>
        <v>أ) هو المصارع التالي الذي سيتنافس، ب) هو متفرج، ج) من المحتمل أن يكون مسؤولاً أو بطلاً أو قائداً للطقوس، د) هو الخاسر في المباراة السابقة</v>
      </c>
      <c r="K254" s="4" t="str">
        <f ca="1">IFERROR(__xludf.DUMMYFUNCTION("GOOGLETRANSLATE(D254,""en"",""ar"")"),"ج) من المحتمل أن يكون مسؤولاً أو بطلاً أو قائداً طقسياً")</f>
        <v>ج) من المحتمل أن يكون مسؤولاً أو بطلاً أو قائداً طقسياً</v>
      </c>
      <c r="L254" s="4" t="str">
        <f ca="1">IFERROR(__xludf.DUMMYFUNCTION("GOOGLETRANSLATE(E254,""en"",""ar"")"),"إن غطاء رأسه المزخرف وملابسه ميزته عن المنافسين، مما يشير إلى أنه يتمتع بدور خاص وذو مكانة عالية في هذه الإجراءات.")</f>
        <v>إن غطاء رأسه المزخرف وملابسه ميزته عن المنافسين، مما يشير إلى أنه يتمتع بدور خاص وذو مكانة عالية في هذه الإجراءات.</v>
      </c>
      <c r="M254" s="4"/>
      <c r="N254" s="4"/>
      <c r="O254" s="4"/>
      <c r="P254" s="4"/>
      <c r="Q254" s="4"/>
      <c r="R254" s="4"/>
      <c r="S254" s="4"/>
      <c r="T254" s="4"/>
      <c r="U254" s="4"/>
      <c r="V254" s="4"/>
      <c r="W254" s="4"/>
      <c r="X254" s="4"/>
      <c r="Y254" s="4"/>
      <c r="Z254" s="4"/>
      <c r="AA254" s="4"/>
      <c r="AB254" s="4"/>
      <c r="AC254" s="4"/>
      <c r="AD254" s="4"/>
      <c r="AE254" s="4"/>
      <c r="AF254" s="4"/>
      <c r="AG254" s="4"/>
    </row>
    <row r="255" spans="1:33" ht="22.5" customHeight="1" x14ac:dyDescent="0.25">
      <c r="A255" s="2"/>
      <c r="B255" s="2"/>
      <c r="C255" s="2"/>
      <c r="D255" s="2"/>
      <c r="E255" s="2"/>
      <c r="F255" s="4"/>
      <c r="G255" s="4"/>
      <c r="H255" s="7" t="s">
        <v>96</v>
      </c>
      <c r="I255" s="4" t="str">
        <f ca="1">IFERROR(__xludf.DUMMYFUNCTION("GOOGLETRANSLATE(B255,""en"",""ar"")"),"الرجل الموجود على اليسار يحمل رمحاً طويلاً. ما هو الغرض المحتمل منه؟")</f>
        <v>الرجل الموجود على اليسار يحمل رمحاً طويلاً. ما هو الغرض المحتمل منه؟</v>
      </c>
      <c r="J255" s="4" t="str">
        <f ca="1">IFERROR(__xludf.DUMMYFUNCTION("GOOGLETRANSLATE(C255,""en"",""ar"")"),"أ) هو السلاح الأساسي في القتال، ب) هو شيء رمزي أو طقوسي، ربما جائزة أو علامة، ج) هو أداة زراعية نسي أن يضعها جانبًا، د) يستخدمه لفصل المصارعين")</f>
        <v>أ) هو السلاح الأساسي في القتال، ب) هو شيء رمزي أو طقوسي، ربما جائزة أو علامة، ج) هو أداة زراعية نسي أن يضعها جانبًا، د) يستخدمه لفصل المصارعين</v>
      </c>
      <c r="K255" s="4" t="str">
        <f ca="1">IFERROR(__xludf.DUMMYFUNCTION("GOOGLETRANSLATE(D255,""en"",""ar"")"),"ب) إنه شيء رمزي أو طقوسي، ربما جائزة أو علامة")</f>
        <v>ب) إنه شيء رمزي أو طقوسي، ربما جائزة أو علامة</v>
      </c>
      <c r="L255" s="4" t="str">
        <f ca="1">IFERROR(__xludf.DUMMYFUNCTION("GOOGLETRANSLATE(E255,""en"",""ar"")"),"على الرغم من أن ثقافة النوبة لها تاريخ في القتال بالرماح (الفروسية)، إلا أنه في سياق المصارعة هذا، من المرجح أن يكون الرمح احتفاليًا.")</f>
        <v>على الرغم من أن ثقافة النوبة لها تاريخ في القتال بالرماح (الفروسية)، إلا أنه في سياق المصارعة هذا، من المرجح أن يكون الرمح احتفاليًا.</v>
      </c>
      <c r="M255" s="4"/>
      <c r="N255" s="4"/>
      <c r="O255" s="4"/>
      <c r="P255" s="4"/>
      <c r="Q255" s="4"/>
      <c r="R255" s="4"/>
      <c r="S255" s="4"/>
      <c r="T255" s="4"/>
      <c r="U255" s="4"/>
      <c r="V255" s="4"/>
      <c r="W255" s="4"/>
      <c r="X255" s="4"/>
      <c r="Y255" s="4"/>
      <c r="Z255" s="4"/>
      <c r="AA255" s="4"/>
      <c r="AB255" s="4"/>
      <c r="AC255" s="4"/>
      <c r="AD255" s="4"/>
      <c r="AE255" s="4"/>
      <c r="AF255" s="4"/>
      <c r="AG255" s="4"/>
    </row>
    <row r="256" spans="1:33" ht="22.5" customHeight="1" x14ac:dyDescent="0.25">
      <c r="A256" s="2"/>
      <c r="B256" s="2"/>
      <c r="C256" s="2"/>
      <c r="D256" s="2"/>
      <c r="E256" s="2"/>
      <c r="F256" s="4"/>
      <c r="G256" s="4"/>
      <c r="H256" s="6" t="s">
        <v>96</v>
      </c>
      <c r="I256" s="4" t="str">
        <f ca="1">IFERROR(__xludf.DUMMYFUNCTION("GOOGLETRANSLATE(B256,""en"",""ar"")"),"يوحي الشكل بالأبيض والأسود والبيئة الريفية...")</f>
        <v>يوحي الشكل بالأبيض والأسود والبيئة الريفية...</v>
      </c>
      <c r="J256" s="4" t="str">
        <f ca="1">IFERROR(__xludf.DUMMYFUNCTION("GOOGLETRANSLATE(C256,""en"",""ar"")"),"أ) حدث معاصر في مدينة رئيسية، ب) توثيق تاريخي لمهرجان قروي تقليدي، ج) مشهد تمثيلي من فيلم، د) جلسة تدريب في صالة ألعاب رياضية")</f>
        <v>أ) حدث معاصر في مدينة رئيسية، ب) توثيق تاريخي لمهرجان قروي تقليدي، ج) مشهد تمثيلي من فيلم، د) جلسة تدريب في صالة ألعاب رياضية</v>
      </c>
      <c r="K256" s="4" t="str">
        <f ca="1">IFERROR(__xludf.DUMMYFUNCTION("GOOGLETRANSLATE(D256,""en"",""ar"")"),"ب) توثيق تاريخي لمهرجان قروي تقليدي")</f>
        <v>ب) توثيق تاريخي لمهرجان قروي تقليدي</v>
      </c>
      <c r="L256" s="4" t="str">
        <f ca="1">IFERROR(__xludf.DUMMYFUNCTION("GOOGLETRANSLATE(E256,""en"",""ar"")"),"هذه صورة قديمة تجسد هذه الرياضة في بيئتها الثقافية التقليدية الأصيلة.")</f>
        <v>هذه صورة قديمة تجسد هذه الرياضة في بيئتها الثقافية التقليدية الأصيلة.</v>
      </c>
      <c r="M256" s="4"/>
      <c r="N256" s="4"/>
      <c r="O256" s="4"/>
      <c r="P256" s="4"/>
      <c r="Q256" s="4"/>
      <c r="R256" s="4"/>
      <c r="S256" s="4"/>
      <c r="T256" s="4"/>
      <c r="U256" s="4"/>
      <c r="V256" s="4"/>
      <c r="W256" s="4"/>
      <c r="X256" s="4"/>
      <c r="Y256" s="4"/>
      <c r="Z256" s="4"/>
      <c r="AA256" s="4"/>
      <c r="AB256" s="4"/>
      <c r="AC256" s="4"/>
      <c r="AD256" s="4"/>
      <c r="AE256" s="4"/>
      <c r="AF256" s="4"/>
      <c r="AG256" s="4"/>
    </row>
    <row r="257" spans="1:33" ht="22.5" customHeight="1" x14ac:dyDescent="0.25">
      <c r="A257" s="2"/>
      <c r="B257" s="2"/>
      <c r="C257" s="2"/>
      <c r="D257" s="2"/>
      <c r="E257" s="2"/>
      <c r="F257" s="4"/>
      <c r="G257" s="4"/>
      <c r="H257" s="7" t="s">
        <v>96</v>
      </c>
      <c r="I257" s="4" t="str">
        <f ca="1">IFERROR(__xludf.DUMMYFUNCTION("GOOGLETRANSLATE(B257,""en"",""ar"")"),"يتكون زي المصارعين من...")</f>
        <v>يتكون زي المصارعين من...</v>
      </c>
      <c r="J257" s="4" t="str">
        <f ca="1">IFERROR(__xludf.DUMMYFUNCTION("GOOGLETRANSLATE(C257,""en"",""ar"")"),"أ) سراويل قصيرة وقمصان عصرية، ب) مآزر وأغطية بسيطة تقليدية، ج) دروع ثقيلة، د) لا شيء على الإطلاق")</f>
        <v>أ) سراويل قصيرة وقمصان عصرية، ب) مآزر وأغطية بسيطة تقليدية، ج) دروع ثقيلة، د) لا شيء على الإطلاق</v>
      </c>
      <c r="K257" s="4" t="str">
        <f ca="1">IFERROR(__xludf.DUMMYFUNCTION("GOOGLETRANSLATE(D257,""en"",""ar"")"),"ب) أغطية وأردية بسيطة وتقليدية للعورة")</f>
        <v>ب) أغطية وأردية بسيطة وتقليدية للعورة</v>
      </c>
      <c r="L257" s="4" t="str">
        <f ca="1">IFERROR(__xludf.DUMMYFUNCTION("GOOGLETRANSLATE(E257,""en"",""ar"")"),"ملابسهم بسيطة وعملية للمصارعة، وذات طابع تقليدي.")</f>
        <v>ملابسهم بسيطة وعملية للمصارعة، وذات طابع تقليدي.</v>
      </c>
      <c r="M257" s="4"/>
      <c r="N257" s="4"/>
      <c r="O257" s="4"/>
      <c r="P257" s="4"/>
      <c r="Q257" s="4"/>
      <c r="R257" s="4"/>
      <c r="S257" s="4"/>
      <c r="T257" s="4"/>
      <c r="U257" s="4"/>
      <c r="V257" s="4"/>
      <c r="W257" s="4"/>
      <c r="X257" s="4"/>
      <c r="Y257" s="4"/>
      <c r="Z257" s="4"/>
      <c r="AA257" s="4"/>
      <c r="AB257" s="4"/>
      <c r="AC257" s="4"/>
      <c r="AD257" s="4"/>
      <c r="AE257" s="4"/>
      <c r="AF257" s="4"/>
      <c r="AG257" s="4"/>
    </row>
    <row r="258" spans="1:33" ht="22.5" customHeight="1" x14ac:dyDescent="0.25">
      <c r="A258" s="2"/>
      <c r="B258" s="2"/>
      <c r="C258" s="2"/>
      <c r="D258" s="2"/>
      <c r="E258" s="2"/>
      <c r="F258" s="4"/>
      <c r="G258" s="4"/>
      <c r="H258" s="6" t="s">
        <v>96</v>
      </c>
      <c r="I258" s="4" t="str">
        <f ca="1">IFERROR(__xludf.DUMMYFUNCTION("GOOGLETRANSLATE(B258,""en"",""ar"")"),"الرجل الموجود في المنتصف وهو منحني في وضع ضعيف، مما يوحي بـ...")</f>
        <v>الرجل الموجود في المنتصف وهو منحني في وضع ضعيف، مما يوحي بـ...</v>
      </c>
      <c r="J258" s="4" t="str">
        <f ca="1">IFERROR(__xludf.DUMMYFUNCTION("GOOGLETRANSLATE(C258,""en"",""ar"")"),"أ) هو يفوز بالمباراة، ب) هو على وشك أن يُطرح أرضًا من قبل خصمه، ج) هو يستريح، د) هو الحكم")</f>
        <v>أ) هو يفوز بالمباراة، ب) هو على وشك أن يُطرح أرضًا من قبل خصمه، ج) هو يستريح، د) هو الحكم</v>
      </c>
      <c r="K258" s="4" t="str">
        <f ca="1">IFERROR(__xludf.DUMMYFUNCTION("GOOGLETRANSLATE(D258,""en"",""ar"")"),"ب) هو على وشك أن يُطرح أرضاً من قبل خصمه")</f>
        <v>ب) هو على وشك أن يُطرح أرضاً من قبل خصمه</v>
      </c>
      <c r="L258" s="4" t="str">
        <f ca="1">IFERROR(__xludf.DUMMYFUNCTION("GOOGLETRANSLATE(E258,""en"",""ar"")"),"خصمه يمتلك قبضة قوية وهو في وضع يسمح له بتنفيذ حركة إسقاط.")</f>
        <v>خصمه يمتلك قبضة قوية وهو في وضع يسمح له بتنفيذ حركة إسقاط.</v>
      </c>
      <c r="M258" s="4"/>
      <c r="N258" s="4"/>
      <c r="O258" s="4"/>
      <c r="P258" s="4"/>
      <c r="Q258" s="4"/>
      <c r="R258" s="4"/>
      <c r="S258" s="4"/>
      <c r="T258" s="4"/>
      <c r="U258" s="4"/>
      <c r="V258" s="4"/>
      <c r="W258" s="4"/>
      <c r="X258" s="4"/>
      <c r="Y258" s="4"/>
      <c r="Z258" s="4"/>
      <c r="AA258" s="4"/>
      <c r="AB258" s="4"/>
      <c r="AC258" s="4"/>
      <c r="AD258" s="4"/>
      <c r="AE258" s="4"/>
      <c r="AF258" s="4"/>
      <c r="AG258" s="4"/>
    </row>
    <row r="259" spans="1:33" ht="22.5" customHeight="1" x14ac:dyDescent="0.25">
      <c r="A259" s="2"/>
      <c r="B259" s="2"/>
      <c r="C259" s="2"/>
      <c r="D259" s="2"/>
      <c r="E259" s="2"/>
      <c r="F259" s="4"/>
      <c r="G259" s="4"/>
      <c r="H259" s="7" t="s">
        <v>96</v>
      </c>
      <c r="I259" s="4" t="str">
        <f ca="1">IFERROR(__xludf.DUMMYFUNCTION("GOOGLETRANSLATE(B259,""en"",""ar"")"),"تُبرز هذه الصورة العلاقة بين مصارعة النوبة و...")</f>
        <v>تُبرز هذه الصورة العلاقة بين مصارعة النوبة و...</v>
      </c>
      <c r="J259" s="4" t="str">
        <f ca="1">IFERROR(__xludf.DUMMYFUNCTION("GOOGLETRANSLATE(C259,""en"",""ar"")"),"أ) التكنولوجيا الحديثة، ب) ثقافة المحاربين الأوسع وطقوسها، ج) المواسم الزراعية، د) اللجان الرياضية الدولية")</f>
        <v>أ) التكنولوجيا الحديثة، ب) ثقافة المحاربين الأوسع وطقوسها، ج) المواسم الزراعية، د) اللجان الرياضية الدولية</v>
      </c>
      <c r="K259" s="4" t="str">
        <f ca="1">IFERROR(__xludf.DUMMYFUNCTION("GOOGLETRANSLATE(D259,""en"",""ar"")"),"ب) ثقافة المحاربين الأوسع وطقوسها")</f>
        <v>ب) ثقافة المحاربين الأوسع وطقوسها</v>
      </c>
      <c r="L259" s="4" t="str">
        <f ca="1">IFERROR(__xludf.DUMMYFUNCTION("GOOGLETRANSLATE(E259,""en"",""ar"")"),"إن وجود الرماح والشخصيات الاحتفالية يدل على أن المصارعة جزء من مجموعة أكبر من تقاليد المحاربين والطقوس الاجتماعية.")</f>
        <v>إن وجود الرماح والشخصيات الاحتفالية يدل على أن المصارعة جزء من مجموعة أكبر من تقاليد المحاربين والطقوس الاجتماعية.</v>
      </c>
      <c r="M259" s="4"/>
      <c r="N259" s="4"/>
      <c r="O259" s="4"/>
      <c r="P259" s="4"/>
      <c r="Q259" s="4"/>
      <c r="R259" s="4"/>
      <c r="S259" s="4"/>
      <c r="T259" s="4"/>
      <c r="U259" s="4"/>
      <c r="V259" s="4"/>
      <c r="W259" s="4"/>
      <c r="X259" s="4"/>
      <c r="Y259" s="4"/>
      <c r="Z259" s="4"/>
      <c r="AA259" s="4"/>
      <c r="AB259" s="4"/>
      <c r="AC259" s="4"/>
      <c r="AD259" s="4"/>
      <c r="AE259" s="4"/>
      <c r="AF259" s="4"/>
      <c r="AG259" s="4"/>
    </row>
    <row r="260" spans="1:33" ht="22.5" customHeight="1" x14ac:dyDescent="0.25">
      <c r="A260" s="2"/>
      <c r="B260" s="2"/>
      <c r="C260" s="2"/>
      <c r="D260" s="2"/>
      <c r="E260" s="2"/>
      <c r="F260" s="4"/>
      <c r="G260" s="4"/>
      <c r="H260" s="6" t="s">
        <v>96</v>
      </c>
      <c r="I260" s="4" t="str">
        <f ca="1">IFERROR(__xludf.DUMMYFUNCTION("GOOGLETRANSLATE(B260,""en"",""ar"")"),"الحشد في الخلفية هو...")</f>
        <v>الحشد في الخلفية هو...</v>
      </c>
      <c r="J260" s="4" t="str">
        <f ca="1">IFERROR(__xludf.DUMMYFUNCTION("GOOGLETRANSLATE(C260,""en"",""ar"")"),"أ) يجلسون في المدرجات، ب) متجمعون حول المتنافسين، ج) غير منتبهين، د) صغار جدًا")</f>
        <v>أ) يجلسون في المدرجات، ب) متجمعون حول المتنافسين، ج) غير منتبهين، د) صغار جدًا</v>
      </c>
      <c r="K260" s="4" t="str">
        <f ca="1">IFERROR(__xludf.DUMMYFUNCTION("GOOGLETRANSLATE(D260,""en"",""ar"")"),"ب) تجمعوا بشكل وثيق حول المنافسين")</f>
        <v>ب) تجمعوا بشكل وثيق حول المنافسين</v>
      </c>
      <c r="L260" s="4" t="str">
        <f ca="1">IFERROR(__xludf.DUMMYFUNCTION("GOOGLETRANSLATE(E260,""en"",""ar"")"),"يشكل المجتمع بأكمله حلقة، مما يخلق جواً مكثفاً وتشاركياً.")</f>
        <v>يشكل المجتمع بأكمله حلقة، مما يخلق جواً مكثفاً وتشاركياً.</v>
      </c>
      <c r="M260" s="4"/>
      <c r="N260" s="4"/>
      <c r="O260" s="4"/>
      <c r="P260" s="4"/>
      <c r="Q260" s="4"/>
      <c r="R260" s="4"/>
      <c r="S260" s="4"/>
      <c r="T260" s="4"/>
      <c r="U260" s="4"/>
      <c r="V260" s="4"/>
      <c r="W260" s="4"/>
      <c r="X260" s="4"/>
      <c r="Y260" s="4"/>
      <c r="Z260" s="4"/>
      <c r="AA260" s="4"/>
      <c r="AB260" s="4"/>
      <c r="AC260" s="4"/>
      <c r="AD260" s="4"/>
      <c r="AE260" s="4"/>
      <c r="AF260" s="4"/>
      <c r="AG260" s="4"/>
    </row>
    <row r="261" spans="1:33" ht="22.5" customHeight="1" x14ac:dyDescent="0.25">
      <c r="A261" s="2"/>
      <c r="B261" s="2"/>
      <c r="C261" s="2"/>
      <c r="D261" s="2"/>
      <c r="E261" s="2"/>
      <c r="F261" s="4"/>
      <c r="G261" s="4"/>
      <c r="H261" s="7" t="s">
        <v>96</v>
      </c>
      <c r="I261" s="4" t="str">
        <f ca="1">IFERROR(__xludf.DUMMYFUNCTION("GOOGLETRANSLATE(B261,""en"",""ar"")"),"الهدف الرئيسي للمصارع الموجود على اليسار هو...")</f>
        <v>الهدف الرئيسي للمصارع الموجود على اليسار هو...</v>
      </c>
      <c r="J261" s="4" t="str">
        <f ca="1">IFERROR(__xludf.DUMMYFUNCTION("GOOGLETRANSLATE(C261,""en"",""ar"")"),"أ) إجبار خصمه على الاستلقاء على ظهره أرضًا، ب) أخذ الرمح من الرجل الآخر، ج) دفع خصمه خارج الدائرة، د) التمسك بالخصم لأطول فترة ممكنة")</f>
        <v>أ) إجبار خصمه على الاستلقاء على ظهره أرضًا، ب) أخذ الرمح من الرجل الآخر، ج) دفع خصمه خارج الدائرة، د) التمسك بالخصم لأطول فترة ممكنة</v>
      </c>
      <c r="K261" s="4" t="str">
        <f ca="1">IFERROR(__xludf.DUMMYFUNCTION("GOOGLETRANSLATE(D261,""en"",""ar"")"),"أ) لإجبار خصمه على الاستلقاء على ظهره")</f>
        <v>أ) لإجبار خصمه على الاستلقاء على ظهره</v>
      </c>
      <c r="L261" s="4" t="str">
        <f ca="1">IFERROR(__xludf.DUMMYFUNCTION("GOOGLETRANSLATE(E261,""en"",""ar"")"),"على الرغم من وجود الأدوات الطقسية، إلا أن الهدف من مباراة المصارعة يبقى تحقيق رمية ناجحة.")</f>
        <v>على الرغم من وجود الأدوات الطقسية، إلا أن الهدف من مباراة المصارعة يبقى تحقيق رمية ناجحة.</v>
      </c>
      <c r="M261" s="4"/>
      <c r="N261" s="4"/>
      <c r="O261" s="4"/>
      <c r="P261" s="4"/>
      <c r="Q261" s="4"/>
      <c r="R261" s="4"/>
      <c r="S261" s="4"/>
      <c r="T261" s="4"/>
      <c r="U261" s="4"/>
      <c r="V261" s="4"/>
      <c r="W261" s="4"/>
      <c r="X261" s="4"/>
      <c r="Y261" s="4"/>
      <c r="Z261" s="4"/>
      <c r="AA261" s="4"/>
      <c r="AB261" s="4"/>
      <c r="AC261" s="4"/>
      <c r="AD261" s="4"/>
      <c r="AE261" s="4"/>
      <c r="AF261" s="4"/>
      <c r="AG261" s="4"/>
    </row>
    <row r="262" spans="1:33"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spans="1:33"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spans="1:33"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spans="1:33"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spans="1:33"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spans="1:33"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spans="1:33"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spans="1:33"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spans="1:33"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spans="1:33"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spans="1:33"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spans="1:33"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spans="1:33"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spans="1:33"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spans="1:33"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spans="1:33"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spans="1:33"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spans="1:33"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spans="1:33"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spans="1:33"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spans="1:33"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spans="1:33"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spans="1:33"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spans="1:33"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spans="1:33"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spans="1:33"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spans="1:33"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spans="1:33"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spans="1:33"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spans="1:33"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spans="1:33"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spans="1:33"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spans="1:33"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spans="1:33"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spans="1:33"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spans="1:33"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spans="1:33"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spans="1:33"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spans="1:33"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spans="1:33"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spans="1:33"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spans="1:33"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spans="1:33"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spans="1:33"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spans="1:33"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spans="1:33"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spans="1:33"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spans="1:33"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spans="1:33"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spans="1:33"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spans="1:33"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spans="1:33"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spans="1:33"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spans="1:33"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spans="1:33"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spans="1:33"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spans="1:33"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spans="1:33"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spans="1:33"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spans="1:33"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spans="1:33"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spans="1:33"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spans="1:33"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spans="1:33"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spans="1:33"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spans="1:33"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spans="1:33"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spans="1:33"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spans="1:33"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spans="1:33"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spans="1:33"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spans="1:33"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spans="1:33"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spans="1:33"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spans="1:33"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spans="1:33"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spans="1:33"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spans="1:33"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spans="1:33"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spans="1:33"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spans="1:33"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spans="1:33"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spans="1:33"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spans="1:33"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spans="1:33"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spans="1:33"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spans="1:33"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spans="1:33"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spans="1:33"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spans="1:33"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spans="1:33"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spans="1:33"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spans="1:33"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spans="1:33"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spans="1:33"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spans="1:33"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spans="1:33"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spans="1:33"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spans="1:33"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spans="1:33"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spans="1:33"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spans="1:33"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spans="1:33"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spans="1:33"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spans="1:33"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spans="1:33"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spans="1:33"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spans="1:33"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spans="1:33"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spans="1:33"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spans="1:33"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spans="1:33"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spans="1:33"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spans="1:33"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spans="1:33"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spans="1:33"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spans="1:33"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spans="1:33"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spans="1:33"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spans="1:33"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spans="1:33"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spans="1:33"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spans="1:33"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spans="1:33"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spans="1:33"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spans="1:33"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spans="1:33"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spans="1:33"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spans="1:33"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spans="1:33"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spans="1:33"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spans="1:33"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spans="1:33"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spans="1:33"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spans="1:33"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spans="1:33"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spans="1:33"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spans="1:33"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spans="1:33"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spans="1:33"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spans="1:33"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spans="1:33"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spans="1:33"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spans="1:33"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spans="1:33"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spans="1:33"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spans="1:33"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spans="1:33"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spans="1:33"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spans="1:33"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spans="1:33"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spans="1:33"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spans="1:33"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spans="1:33"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spans="1:33"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spans="1:33"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spans="1:33"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spans="1:33"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spans="1:33"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spans="1:33"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spans="1:33"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spans="1:33"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spans="1:33"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spans="1:33"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spans="1:33"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spans="1:33"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spans="1:33"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spans="1:33"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spans="1:33"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spans="1:33"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spans="1:33"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spans="1:33"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spans="1:33"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spans="1:33"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spans="1:33"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spans="1:33"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spans="1:33"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spans="1:33"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spans="1:33"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spans="1:33"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spans="1:33"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spans="1:33"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spans="1:33"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spans="1:33"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spans="1:33"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spans="1:33"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spans="1:33"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spans="1:33"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spans="1:33"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spans="1:33"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spans="1:33"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spans="1:33"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spans="1:33"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spans="1:33"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spans="1:33"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spans="1:33"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spans="1:33"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spans="1:33"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spans="1:33"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spans="1:33"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spans="1:33"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spans="1:33"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spans="1:33"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spans="1:33"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spans="1:33"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spans="1:33"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spans="1:33"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spans="1:33"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spans="1:33"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spans="1:33"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spans="1:33"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spans="1:33"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spans="1:33"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spans="1:33"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spans="1:33"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spans="1:33"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spans="1:33"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spans="1:33"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spans="1:33"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spans="1:33"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spans="1:33"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spans="1:33"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spans="1:33"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spans="1:33"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spans="1:33"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spans="1:33"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spans="1:33"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spans="1:33"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spans="1:33"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spans="1:33"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spans="1:33"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spans="1:33"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spans="1:33"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spans="1:33"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spans="1:33"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spans="1:33"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spans="1:33"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spans="1:33"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spans="1:33"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spans="1:33"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spans="1:33"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spans="1:33"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spans="1:33"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spans="1:33"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spans="1:33"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spans="1:33"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spans="1:33"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spans="1:33"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spans="1:33"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spans="1:33"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spans="1:33"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spans="1:33"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spans="1:33"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spans="1:33"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spans="1:33"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spans="1:33"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spans="1:33"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spans="1:33"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spans="1:33"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spans="1:33"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spans="1:33"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spans="1:33"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spans="1:33"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spans="1:33"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spans="1:33"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spans="1:33"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spans="1:33"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spans="1:33"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spans="1:33"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spans="1:33"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spans="1:33"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spans="1:33"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spans="1:33"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spans="1:33"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spans="1:33"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spans="1:33"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spans="1:33"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spans="1:33"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spans="1:33"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spans="1:33"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spans="1:33"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spans="1:33"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spans="1:33"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spans="1:33"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spans="1:33"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spans="1:33"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spans="1:33"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spans="1:33"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spans="1:33"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spans="1:33"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spans="1:33"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spans="1:33"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spans="1:33"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spans="1:33"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spans="1:33"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spans="1:33"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spans="1:33"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spans="1:33"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spans="1:33"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spans="1:33"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spans="1:33"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spans="1:33"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spans="1:33"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spans="1:33"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spans="1:33"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spans="1:33"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spans="1:33"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spans="1:33"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spans="1:33"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spans="1:33"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spans="1:33"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spans="1:33"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spans="1:33"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spans="1:33"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spans="1:33"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spans="1:33"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spans="1:33"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spans="1:33"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spans="1:33"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spans="1:33"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spans="1:33"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spans="1:33"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spans="1:33"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spans="1:33"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spans="1:33"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spans="1:33"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spans="1:33"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spans="1:33"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spans="1:33"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spans="1:33"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spans="1:33"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spans="1:33"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spans="1:33"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spans="1:33"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spans="1:33"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spans="1:33"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spans="1:33"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spans="1:33"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spans="1:33"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spans="1:33"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spans="1:33"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spans="1:33"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spans="1:33"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spans="1:33"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spans="1:33"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spans="1:33"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spans="1:33"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spans="1:33"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spans="1:33"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spans="1:33"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spans="1:33"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spans="1:33"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spans="1:33"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spans="1:33"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spans="1:33"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spans="1:33"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spans="1:33"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spans="1:33"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spans="1:33"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spans="1:33"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spans="1:33"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spans="1:33"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spans="1:33"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spans="1:33"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spans="1:33"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spans="1:33"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spans="1:33"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spans="1:33"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spans="1:33"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spans="1:33"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spans="1:33"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spans="1:33"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spans="1:33"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spans="1:33"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spans="1:33"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spans="1:33"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spans="1:33"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spans="1:33"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spans="1:33"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spans="1:33"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spans="1:33"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spans="1:33"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spans="1:33"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spans="1:33"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spans="1:33"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spans="1:33"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spans="1:33"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spans="1:33"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spans="1:33"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spans="1:33"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spans="1:33"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spans="1:33"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spans="1:33"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spans="1:33"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spans="1:33"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spans="1:33"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spans="1:33"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spans="1:33"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spans="1:33"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spans="1:33"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spans="1:33"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spans="1:33"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spans="1:33"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spans="1:33"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spans="1:33"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spans="1:33"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spans="1:33"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spans="1:33"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spans="1:33"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spans="1:33"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spans="1:33"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spans="1:33"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spans="1:33"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spans="1:33"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spans="1:33"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spans="1:33"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spans="1:33"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spans="1:33"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spans="1:33"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spans="1:33"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spans="1:33"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spans="1:33"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spans="1:33"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spans="1:33"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spans="1:33"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spans="1:33"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spans="1:33"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spans="1:33"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spans="1:33"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spans="1:33"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spans="1:33"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spans="1:33"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spans="1:33"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spans="1:33"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spans="1:33"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spans="1:33"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spans="1:33"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spans="1:33"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spans="1:33"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spans="1:33"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spans="1:33"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spans="1:33"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spans="1:33"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spans="1:33"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spans="1:33"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spans="1:33"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spans="1:33"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spans="1:33"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spans="1:33"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spans="1:33"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spans="1:33"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spans="1:33"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spans="1:33"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spans="1:33"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spans="1:33"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spans="1:33"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spans="1:33"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spans="1:33"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spans="1:33"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spans="1:33"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spans="1:33"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spans="1:33"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spans="1:33"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spans="1:33"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spans="1:33"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spans="1:33"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spans="1:33"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spans="1:33"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spans="1:33"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spans="1:33"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spans="1:33"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spans="1:33"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spans="1:33"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spans="1:33"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spans="1:33"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spans="1:33"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spans="1:33"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spans="1:33"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spans="1:33"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spans="1:33"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spans="1:33"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spans="1:33"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spans="1:33"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spans="1:33"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spans="1:33"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spans="1:33"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spans="1:33"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spans="1:33"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spans="1:33"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spans="1:33"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spans="1:33"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spans="1:33"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spans="1:33"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spans="1:33"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spans="1:33"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spans="1:33"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spans="1:33"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spans="1:33"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spans="1:33"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spans="1:33"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spans="1:33"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spans="1:33"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spans="1:33"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spans="1:33"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spans="1:33"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spans="1:33"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spans="1:33"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spans="1:33"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spans="1:33"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spans="1:33"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spans="1:33"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spans="1:33"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spans="1:33"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spans="1:33"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spans="1:33"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spans="1:33"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spans="1:33"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spans="1:33"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spans="1:33"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spans="1:33"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spans="1:33"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spans="1:33"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spans="1:33"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spans="1:33"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spans="1:33"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spans="1:33"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spans="1:33"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spans="1:33"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spans="1:33"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spans="1:33"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spans="1:33"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spans="1:33"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spans="1:33"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spans="1:33"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spans="1:33"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spans="1:33"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spans="1:33"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spans="1:33"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spans="1:33"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spans="1:33"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spans="1:33"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spans="1:33"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spans="1:33"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spans="1:33"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spans="1:33"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spans="1:33"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spans="1:33"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spans="1:33"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spans="1:33"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spans="1:33"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spans="1:33"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spans="1:33"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spans="1:33"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spans="1:33"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spans="1:33"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spans="1:33"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spans="1:33"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spans="1:33"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spans="1:33"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spans="1:33"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spans="1:33"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spans="1:33"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spans="1:33"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spans="1:33"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spans="1:33"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spans="1:33"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spans="1:33"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spans="1:33"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spans="1:33"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spans="1:33"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spans="1:33"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spans="1:33"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spans="1:33"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spans="1:33"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spans="1:33"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spans="1:33"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spans="1:33"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spans="1:33"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spans="1:33"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spans="1:33"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spans="1:33"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spans="1:33"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spans="1:33"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spans="1:33"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spans="1:33"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spans="1:33"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spans="1:33"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spans="1:33"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spans="1:33"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spans="1:33"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spans="1:33"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spans="1:33"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spans="1:33"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spans="1:33"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spans="1:33"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spans="1:33"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spans="1:33"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spans="1:33"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spans="1:33"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spans="1:33"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spans="1:33"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spans="1:33"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spans="1:33"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spans="1:33"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spans="1:33"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spans="1:33"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spans="1:33"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spans="1:33"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spans="1:33"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spans="1:33"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spans="1:33"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spans="1:33"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spans="1:33"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spans="1:33"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spans="1:33"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spans="1:33"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spans="1:33"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spans="1:33"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spans="1:33"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spans="1:33"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spans="1:33"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spans="1:33"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spans="1:33"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spans="1:33"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spans="1:33"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spans="1:33"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spans="1:33"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spans="1:33"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spans="1:33"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spans="1:33"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spans="1:33"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spans="1:33"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spans="1:33"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spans="1:33"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spans="1:33"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spans="1:33"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spans="1:33"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spans="1:33"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spans="1:33"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spans="1:33"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spans="1:33"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spans="1:33"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spans="1:33"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spans="1:33"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spans="1:33"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spans="1:33"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spans="1:33"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spans="1:33"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spans="1:33"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spans="1:33"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spans="1:33"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spans="1:33"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spans="1:33"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spans="1:33"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spans="1:33"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spans="1:33"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spans="1:33"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spans="1:33"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spans="1:33"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spans="1:33"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spans="1:33"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spans="1:33"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spans="1:33"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spans="1:33"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spans="1:33"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spans="1:33"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spans="1:33"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spans="1:33"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spans="1:33"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spans="1:33"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spans="1:33"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spans="1:33"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spans="1:33"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spans="1:33"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spans="1:33"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spans="1:33"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spans="1:33"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spans="1:33"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spans="1:33"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spans="1:33"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spans="1:33"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spans="1:33"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spans="1:33"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spans="1:33"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spans="1:33"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spans="1:33"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spans="1:33"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spans="1:33"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spans="1:33"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spans="1:33"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spans="1:33"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spans="1:33"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spans="1:33"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spans="1:33"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spans="1:33"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spans="1:33"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spans="1:33"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spans="1:33"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spans="1:33"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spans="1:33"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spans="1:33"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spans="1:33"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spans="1:33"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spans="1:33"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spans="1:33"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spans="1:33"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spans="1:33"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spans="1:33"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spans="1:33"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spans="1:33"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spans="1:33"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spans="1:33"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spans="1:33"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spans="1:33"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row r="983" spans="1:33"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row>
    <row r="984" spans="1:33"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row>
    <row r="985" spans="1:33"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row>
    <row r="986" spans="1:33"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row>
    <row r="987" spans="1:33"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row>
    <row r="988" spans="1:33"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row>
    <row r="989" spans="1:33"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row>
    <row r="990" spans="1:33"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row>
    <row r="991" spans="1:33"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row>
    <row r="992" spans="1:33"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row>
    <row r="993" spans="1:33"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row>
    <row r="994" spans="1:33"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row>
    <row r="995" spans="1:33"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row>
    <row r="996" spans="1:33"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row>
    <row r="997" spans="1:33"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row>
    <row r="998" spans="1:33"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row>
    <row r="999" spans="1:33"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row>
    <row r="1000" spans="1:33"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ySplit="1" topLeftCell="A2" activePane="bottomLeft" state="frozen"/>
      <selection pane="bottomLeft" activeCell="I1" sqref="I1"/>
    </sheetView>
  </sheetViews>
  <sheetFormatPr defaultColWidth="12.6640625" defaultRowHeight="15.75" customHeight="1" x14ac:dyDescent="0.25"/>
  <sheetData>
    <row r="1" spans="1:26" ht="22.5" customHeight="1" x14ac:dyDescent="0.25">
      <c r="A1" s="1"/>
      <c r="B1" s="1"/>
      <c r="C1" s="1"/>
      <c r="D1" s="1"/>
      <c r="E1" s="1"/>
      <c r="F1" s="4"/>
      <c r="G1" s="4"/>
      <c r="H1" s="4" t="s">
        <v>0</v>
      </c>
      <c r="I1" s="4" t="s">
        <v>112</v>
      </c>
      <c r="J1" s="4" t="s">
        <v>2</v>
      </c>
      <c r="K1" s="4" t="s">
        <v>3</v>
      </c>
      <c r="L1" s="4" t="s">
        <v>4</v>
      </c>
      <c r="M1" s="4"/>
      <c r="N1" s="4"/>
      <c r="O1" s="4"/>
      <c r="P1" s="4"/>
      <c r="Q1" s="4"/>
      <c r="R1" s="4"/>
      <c r="S1" s="4"/>
      <c r="T1" s="4"/>
      <c r="U1" s="4"/>
      <c r="V1" s="4"/>
      <c r="W1" s="4"/>
      <c r="X1" s="4"/>
      <c r="Y1" s="4"/>
      <c r="Z1" s="4"/>
    </row>
    <row r="2" spans="1:26" ht="22.5" customHeight="1" x14ac:dyDescent="0.25">
      <c r="A2" s="2"/>
      <c r="B2" s="2"/>
      <c r="C2" s="2"/>
      <c r="D2" s="2"/>
      <c r="E2" s="2"/>
      <c r="F2" s="4"/>
      <c r="G2" s="4"/>
      <c r="H2" s="4" t="s">
        <v>113</v>
      </c>
      <c r="I2" s="4" t="str">
        <f ca="1">IFERROR(__xludf.DUMMYFUNCTION("GOOGLETRANSLATE(B2,""en"",""ar"")"),"ما الغرض من الأرقام البيضاء الكبيرة المرسومة على جوانب الأبقار؟")</f>
        <v>ما الغرض من الأرقام البيضاء الكبيرة المرسومة على جوانب الأبقار؟</v>
      </c>
      <c r="J2" s="4" t="str">
        <f ca="1">IFERROR(__xludf.DUMMYFUNCTION("GOOGLETRANSLATE(C2,""en"",""ar"")"),"أ) للإشارة إلى أعمارها، ب) لتحديد الحيوانات الفردية أثناء المسابقة، ج) لإظهار أوزانها، د) هي شكل من أشكال الفن الزخرفي")</f>
        <v>أ) للإشارة إلى أعمارها، ب) لتحديد الحيوانات الفردية أثناء المسابقة، ج) لإظهار أوزانها، د) هي شكل من أشكال الفن الزخرفي</v>
      </c>
      <c r="K2" s="4" t="str">
        <f ca="1">IFERROR(__xludf.DUMMYFUNCTION("GOOGLETRANSLATE(D2,""en"",""ar"")"),"ب) لتحديد الحيوانات الفردية أثناء المسابقة")</f>
        <v>ب) لتحديد الحيوانات الفردية أثناء المسابقة</v>
      </c>
      <c r="L2" s="4" t="str">
        <f ca="1">IFERROR(__xludf.DUMMYFUNCTION("GOOGLETRANSLATE(D2,""en"",""ar"")"),"ب) لتحديد الحيوانات الفردية أثناء المسابقة")</f>
        <v>ب) لتحديد الحيوانات الفردية أثناء المسابقة</v>
      </c>
      <c r="M2" s="4"/>
      <c r="N2" s="4"/>
      <c r="O2" s="4"/>
      <c r="P2" s="4"/>
      <c r="Q2" s="4"/>
      <c r="R2" s="4"/>
      <c r="S2" s="4"/>
      <c r="T2" s="4"/>
      <c r="U2" s="4"/>
      <c r="V2" s="4"/>
      <c r="W2" s="4"/>
      <c r="X2" s="4"/>
      <c r="Y2" s="4"/>
      <c r="Z2" s="4"/>
    </row>
    <row r="3" spans="1:26" ht="22.5" customHeight="1" x14ac:dyDescent="0.25">
      <c r="A3" s="2"/>
      <c r="B3" s="2"/>
      <c r="C3" s="2"/>
      <c r="D3" s="2"/>
      <c r="E3" s="2"/>
      <c r="F3" s="4"/>
      <c r="G3" s="4"/>
      <c r="H3" s="4" t="s">
        <v>113</v>
      </c>
      <c r="I3" s="4" t="str">
        <f ca="1">IFERROR(__xludf.DUMMYFUNCTION("GOOGLETRANSLATE(B3,""en"",""ar"")"),"هذا الحدث، الذي يضم بقرتين تدفعان بعضهما البعض في حلبة، هو رياضة تقليدية في أي بلد؟")</f>
        <v>هذا الحدث، الذي يضم بقرتين تدفعان بعضهما البعض في حلبة، هو رياضة تقليدية في أي بلد؟</v>
      </c>
      <c r="J3" s="4" t="str">
        <f ca="1">IFERROR(__xludf.DUMMYFUNCTION("GOOGLETRANSLATE(C3,""en"",""ar"")"),"أ) اليابان، ب) البرازيل، ج) سويسرا، د) مصر")</f>
        <v>أ) اليابان، ب) البرازيل، ج) سويسرا، د) مصر</v>
      </c>
      <c r="K3" s="4" t="str">
        <f ca="1">IFERROR(__xludf.DUMMYFUNCTION("GOOGLETRANSLATE(D3,""en"",""ar"")"),"ج) سويسرا")</f>
        <v>ج) سويسرا</v>
      </c>
      <c r="L3" s="4" t="str">
        <f ca="1">IFERROR(__xludf.DUMMYFUNCTION("GOOGLETRANSLATE(D3,""en"",""ar"")"),"ج) سويسرا")</f>
        <v>ج) سويسرا</v>
      </c>
      <c r="M3" s="4"/>
      <c r="N3" s="4"/>
      <c r="O3" s="4"/>
      <c r="P3" s="4"/>
      <c r="Q3" s="4"/>
      <c r="R3" s="4"/>
      <c r="S3" s="4"/>
      <c r="T3" s="4"/>
      <c r="U3" s="4"/>
      <c r="V3" s="4"/>
      <c r="W3" s="4"/>
      <c r="X3" s="4"/>
      <c r="Y3" s="4"/>
      <c r="Z3" s="4"/>
    </row>
    <row r="4" spans="1:26" ht="22.5" customHeight="1" x14ac:dyDescent="0.25">
      <c r="A4" s="2"/>
      <c r="B4" s="2"/>
      <c r="C4" s="2"/>
      <c r="D4" s="2"/>
      <c r="E4" s="2"/>
      <c r="F4" s="4"/>
      <c r="G4" s="4"/>
      <c r="H4" s="4" t="s">
        <v>113</v>
      </c>
      <c r="I4" s="4" t="str">
        <f ca="1">IFERROR(__xludf.DUMMYFUNCTION("GOOGLETRANSLATE(B4,""en"",""ar"")"),"ما هو هدف البقرة في هذا النوع من القتال؟")</f>
        <v>ما هو هدف البقرة في هذا النوع من القتال؟</v>
      </c>
      <c r="J4" s="4" t="str">
        <f ca="1">IFERROR(__xludf.DUMMYFUNCTION("GOOGLETRANSLATE(C4,""en"",""ar"")"),"أ) إيذاء البقرة الأخرى، ب) دفع البقرة الأخرى خارج الحلبة أو إجبارها على الابتعاد، ج) تثبيت البقرة الأخرى على الأرض، د) إحداث أعلى صوت")</f>
        <v>أ) إيذاء البقرة الأخرى، ب) دفع البقرة الأخرى خارج الحلبة أو إجبارها على الابتعاد، ج) تثبيت البقرة الأخرى على الأرض، د) إحداث أعلى صوت</v>
      </c>
      <c r="K4" s="4" t="str">
        <f ca="1">IFERROR(__xludf.DUMMYFUNCTION("GOOGLETRANSLATE(D4,""en"",""ar"")"),"ب) دفع البقرة الأخرى خارج الحلبة أو إجبارها على الابتعاد")</f>
        <v>ب) دفع البقرة الأخرى خارج الحلبة أو إجبارها على الابتعاد</v>
      </c>
      <c r="L4" s="4" t="str">
        <f ca="1">IFERROR(__xludf.DUMMYFUNCTION("GOOGLETRANSLATE(D4,""en"",""ar"")"),"ب) دفع البقرة الأخرى خارج الحلبة أو إجبارها على الابتعاد")</f>
        <v>ب) دفع البقرة الأخرى خارج الحلبة أو إجبارها على الابتعاد</v>
      </c>
      <c r="M4" s="4"/>
      <c r="N4" s="4"/>
      <c r="O4" s="4"/>
      <c r="P4" s="4"/>
      <c r="Q4" s="4"/>
      <c r="R4" s="4"/>
      <c r="S4" s="4"/>
      <c r="T4" s="4"/>
      <c r="U4" s="4"/>
      <c r="V4" s="4"/>
      <c r="W4" s="4"/>
      <c r="X4" s="4"/>
      <c r="Y4" s="4"/>
      <c r="Z4" s="4"/>
    </row>
    <row r="5" spans="1:26" ht="22.5" customHeight="1" x14ac:dyDescent="0.25">
      <c r="A5" s="2"/>
      <c r="B5" s="2"/>
      <c r="C5" s="2"/>
      <c r="D5" s="2"/>
      <c r="E5" s="2"/>
      <c r="F5" s="4"/>
      <c r="G5" s="4"/>
      <c r="H5" s="4" t="s">
        <v>113</v>
      </c>
      <c r="I5" s="4" t="str">
        <f ca="1">IFERROR(__xludf.DUMMYFUNCTION("GOOGLETRANSLATE(B5,""en"",""ar"")"),"من المرجح أن يكون الأشخاص الذين يرتدون قمصانًا حمراء ويقفون في الخلفية...")</f>
        <v>من المرجح أن يكون الأشخاص الذين يرتدون قمصانًا حمراء ويقفون في الخلفية...</v>
      </c>
      <c r="J5" s="4" t="str">
        <f ca="1">IFERROR(__xludf.DUMMYFUNCTION("GOOGLETRANSLATE(C5,""en"",""ar"")"),"أ) المتفرجون، ب) القائمون على رعاية الأبقار أو ""المسلخون""، ج) الملاك المنافسون، د) الأطباء البيطريون")</f>
        <v>أ) المتفرجون، ب) القائمون على رعاية الأبقار أو "المسلخون"، ج) الملاك المنافسون، د) الأطباء البيطريون</v>
      </c>
      <c r="K5" s="4" t="str">
        <f ca="1">IFERROR(__xludf.DUMMYFUNCTION("GOOGLETRANSLATE(D5,""en"",""ar"")"),"ب) القائمون على رعاية الأبقار أو ""المسلخون"" الذين يديرون الأبقار")</f>
        <v>ب) القائمون على رعاية الأبقار أو "المسلخون" الذين يديرون الأبقار</v>
      </c>
      <c r="L5" s="4" t="str">
        <f ca="1">IFERROR(__xludf.DUMMYFUNCTION("GOOGLETRANSLATE(D5,""en"",""ar"")"),"ب) القائمون على رعاية الأبقار أو ""المسلخون"" الذين يديرون الأبقار")</f>
        <v>ب) القائمون على رعاية الأبقار أو "المسلخون" الذين يديرون الأبقار</v>
      </c>
      <c r="M5" s="4"/>
      <c r="N5" s="4"/>
      <c r="O5" s="4"/>
      <c r="P5" s="4"/>
      <c r="Q5" s="4"/>
      <c r="R5" s="4"/>
      <c r="S5" s="4"/>
      <c r="T5" s="4"/>
      <c r="U5" s="4"/>
      <c r="V5" s="4"/>
      <c r="W5" s="4"/>
      <c r="X5" s="4"/>
      <c r="Y5" s="4"/>
      <c r="Z5" s="4"/>
    </row>
    <row r="6" spans="1:26" ht="22.5" customHeight="1" x14ac:dyDescent="0.25">
      <c r="A6" s="2"/>
      <c r="B6" s="2"/>
      <c r="C6" s="2"/>
      <c r="D6" s="2"/>
      <c r="E6" s="2"/>
      <c r="F6" s="4"/>
      <c r="G6" s="4"/>
      <c r="H6" s="4" t="s">
        <v>113</v>
      </c>
      <c r="I6" s="4" t="str">
        <f ca="1">IFERROR(__xludf.DUMMYFUNCTION("GOOGLETRANSLATE(B6,""en"",""ar"")"),"ما هو نوع الماشية المعروف ببنيته العضلية وغريزة القتال، والذي يُستخدم في هذه الرياضة؟")</f>
        <v>ما هو نوع الماشية المعروف ببنيته العضلية وغريزة القتال، والذي يُستخدم في هذه الرياضة؟</v>
      </c>
      <c r="J6" s="4" t="str">
        <f ca="1">IFERROR(__xludf.DUMMYFUNCTION("GOOGLETRANSLATE(C6,""en"",""ar"")"),"أ) هولشتاين، ب) تكساس لونغهورن، ج) هيرينز، د) أبقار المرتفعات")</f>
        <v>أ) هولشتاين، ب) تكساس لونغهورن، ج) هيرينز، د) أبقار المرتفعات</v>
      </c>
      <c r="K6" s="4" t="str">
        <f ca="1">IFERROR(__xludf.DUMMYFUNCTION("GOOGLETRANSLATE(D6,""en"",""ar"")"),"ج) هيرنس")</f>
        <v>ج) هيرنس</v>
      </c>
      <c r="L6" s="4" t="str">
        <f ca="1">IFERROR(__xludf.DUMMYFUNCTION("GOOGLETRANSLATE(D6,""en"",""ar"")"),"ج) هيرنس")</f>
        <v>ج) هيرنس</v>
      </c>
      <c r="M6" s="4"/>
      <c r="N6" s="4"/>
      <c r="O6" s="4"/>
      <c r="P6" s="4"/>
      <c r="Q6" s="4"/>
      <c r="R6" s="4"/>
      <c r="S6" s="4"/>
      <c r="T6" s="4"/>
      <c r="U6" s="4"/>
      <c r="V6" s="4"/>
      <c r="W6" s="4"/>
      <c r="X6" s="4"/>
      <c r="Y6" s="4"/>
      <c r="Z6" s="4"/>
    </row>
    <row r="7" spans="1:26" ht="22.5" customHeight="1" x14ac:dyDescent="0.25">
      <c r="A7" s="2"/>
      <c r="B7" s="2"/>
      <c r="C7" s="2"/>
      <c r="D7" s="2"/>
      <c r="E7" s="2"/>
      <c r="F7" s="4"/>
      <c r="G7" s="4"/>
      <c r="H7" s="4" t="s">
        <v>113</v>
      </c>
      <c r="I7" s="4" t="str">
        <f ca="1">IFERROR(__xludf.DUMMYFUNCTION("GOOGLETRANSLATE(B7,""en"",""ar"")"),"أرضية الساحة هي...")</f>
        <v>أرضية الساحة هي...</v>
      </c>
      <c r="J7" s="4" t="str">
        <f ca="1">IFERROR(__xludf.DUMMYFUNCTION("GOOGLETRANSLATE(C7,""en"",""ar"")"),"أ) عشبي، ب) مرصوف بالخرسانة، ج) موحل، د) مغطى بالثلج")</f>
        <v>أ) عشبي، ب) مرصوف بالخرسانة، ج) موحل، د) مغطى بالثلج</v>
      </c>
      <c r="K7" s="4" t="str">
        <f ca="1">IFERROR(__xludf.DUMMYFUNCTION("GOOGLETRANSLATE(D7,""en"",""ar"")"),"ج) موحل")</f>
        <v>ج) موحل</v>
      </c>
      <c r="L7" s="4" t="str">
        <f ca="1">IFERROR(__xludf.DUMMYFUNCTION("GOOGLETRANSLATE(D7,""en"",""ar"")"),"ج) موحل")</f>
        <v>ج) موحل</v>
      </c>
      <c r="M7" s="4"/>
      <c r="N7" s="4"/>
      <c r="O7" s="4"/>
      <c r="P7" s="4"/>
      <c r="Q7" s="4"/>
      <c r="R7" s="4"/>
      <c r="S7" s="4"/>
      <c r="T7" s="4"/>
      <c r="U7" s="4"/>
      <c r="V7" s="4"/>
      <c r="W7" s="4"/>
      <c r="X7" s="4"/>
      <c r="Y7" s="4"/>
      <c r="Z7" s="4"/>
    </row>
    <row r="8" spans="1:26" ht="22.5" customHeight="1" x14ac:dyDescent="0.25">
      <c r="A8" s="2"/>
      <c r="B8" s="2"/>
      <c r="C8" s="2"/>
      <c r="D8" s="2"/>
      <c r="E8" s="2"/>
      <c r="F8" s="4"/>
      <c r="G8" s="4"/>
      <c r="H8" s="4" t="s">
        <v>113</v>
      </c>
      <c r="I8" s="4" t="str">
        <f ca="1">IFERROR(__xludf.DUMMYFUNCTION("GOOGLETRANSLATE(B8,""en"",""ar"")"),"على عكس مصارعة الثيران الإسبانية، فإن هذا التقليد السويسري يتضمن...")</f>
        <v>على عكس مصارعة الثيران الإسبانية، فإن هذا التقليد السويسري يتضمن...</v>
      </c>
      <c r="J8" s="4" t="str">
        <f ca="1">IFERROR(__xludf.DUMMYFUNCTION("GOOGLETRANSLATE(C8,""en"",""ar"")"),"أ) مصارع ثيران يصارع ثورًا، ب) بقرتان تتصارعان لتحديد الهيمنة، ج) بشر يتصارعون مع ثيران، د) سباق بين الأبقار")</f>
        <v>أ) مصارع ثيران يصارع ثورًا، ب) بقرتان تتصارعان لتحديد الهيمنة، ج) بشر يتصارعون مع ثيران، د) سباق بين الأبقار</v>
      </c>
      <c r="K8" s="4" t="str">
        <f ca="1">IFERROR(__xludf.DUMMYFUNCTION("GOOGLETRANSLATE(D8,""en"",""ar"")"),"ب) بقرتان تتصارعان لتحديد الهيمنة")</f>
        <v>ب) بقرتان تتصارعان لتحديد الهيمنة</v>
      </c>
      <c r="L8" s="4" t="str">
        <f ca="1">IFERROR(__xludf.DUMMYFUNCTION("GOOGLETRANSLATE(D8,""en"",""ar"")"),"ب) بقرتان تتصارعان لتحديد الهيمنة")</f>
        <v>ب) بقرتان تتصارعان لتحديد الهيمنة</v>
      </c>
      <c r="M8" s="4"/>
      <c r="N8" s="4"/>
      <c r="O8" s="4"/>
      <c r="P8" s="4"/>
      <c r="Q8" s="4"/>
      <c r="R8" s="4"/>
      <c r="S8" s="4"/>
      <c r="T8" s="4"/>
      <c r="U8" s="4"/>
      <c r="V8" s="4"/>
      <c r="W8" s="4"/>
      <c r="X8" s="4"/>
      <c r="Y8" s="4"/>
      <c r="Z8" s="4"/>
    </row>
    <row r="9" spans="1:26" ht="22.5" customHeight="1" x14ac:dyDescent="0.25">
      <c r="A9" s="2"/>
      <c r="B9" s="2"/>
      <c r="C9" s="2"/>
      <c r="D9" s="2"/>
      <c r="E9" s="2"/>
      <c r="F9" s="4"/>
      <c r="G9" s="4"/>
      <c r="H9" s="4" t="s">
        <v>113</v>
      </c>
      <c r="I9" s="4" t="str">
        <f ca="1">IFERROR(__xludf.DUMMYFUNCTION("GOOGLETRANSLATE(B9,""en"",""ar"")"),"كيف تتقاتل الأبقار في المقام الأول؟")</f>
        <v>كيف تتقاتل الأبقار في المقام الأول؟</v>
      </c>
      <c r="J9" s="4" t="str">
        <f ca="1">IFERROR(__xludf.DUMMYFUNCTION("GOOGLETRANSLATE(C9,""en"",""ar"")"),"أ) بالركل بأرجلهم الخلفية، ب) بالعض، ج) بالدفع رأسًا لرأس بقرونهم وأجسادهم، د) بالهجوم من مسافة بعيدة")</f>
        <v>أ) بالركل بأرجلهم الخلفية، ب) بالعض، ج) بالدفع رأسًا لرأس بقرونهم وأجسادهم، د) بالهجوم من مسافة بعيدة</v>
      </c>
      <c r="K9" s="4" t="str">
        <f ca="1">IFERROR(__xludf.DUMMYFUNCTION("GOOGLETRANSLATE(D9,""en"",""ar"")"),"ج) عن طريق الدفع وجهاً لوجه بقرونهم وأجسادهم")</f>
        <v>ج) عن طريق الدفع وجهاً لوجه بقرونهم وأجسادهم</v>
      </c>
      <c r="L9" s="4" t="str">
        <f ca="1">IFERROR(__xludf.DUMMYFUNCTION("GOOGLETRANSLATE(D9,""en"",""ar"")"),"ج) عن طريق الدفع وجهاً لوجه بقرونهم وأجسادهم")</f>
        <v>ج) عن طريق الدفع وجهاً لوجه بقرونهم وأجسادهم</v>
      </c>
      <c r="M9" s="4"/>
      <c r="N9" s="4"/>
      <c r="O9" s="4"/>
      <c r="P9" s="4"/>
      <c r="Q9" s="4"/>
      <c r="R9" s="4"/>
      <c r="S9" s="4"/>
      <c r="T9" s="4"/>
      <c r="U9" s="4"/>
      <c r="V9" s="4"/>
      <c r="W9" s="4"/>
      <c r="X9" s="4"/>
      <c r="Y9" s="4"/>
      <c r="Z9" s="4"/>
    </row>
    <row r="10" spans="1:26" ht="22.5" customHeight="1" x14ac:dyDescent="0.25">
      <c r="A10" s="2"/>
      <c r="B10" s="2"/>
      <c r="C10" s="2"/>
      <c r="D10" s="2"/>
      <c r="E10" s="2"/>
      <c r="F10" s="4"/>
      <c r="G10" s="4"/>
      <c r="H10" s="4" t="s">
        <v>113</v>
      </c>
      <c r="I10" s="4" t="str">
        <f ca="1">IFERROR(__xludf.DUMMYFUNCTION("GOOGLETRANSLATE(B10,""en"",""ar"")"),"يدلّ البناء العضلي لهذه الحيوانات على أنها تربى من أجل...")</f>
        <v>يدلّ البناء العضلي لهذه الحيوانات على أنها تربى من أجل...</v>
      </c>
      <c r="J10" s="4" t="str">
        <f ca="1">IFERROR(__xludf.DUMMYFUNCTION("GOOGLETRANSLATE(C10,""en"",""ar"")"),"أ) إنتاج الحليب الوفير، ب) طبيعتهم الوديعة والهادئة، ج) القوة والقدرة على القتال، د) فرائهم الطويل والجميل")</f>
        <v>أ) إنتاج الحليب الوفير، ب) طبيعتهم الوديعة والهادئة، ج) القوة والقدرة على القتال، د) فرائهم الطويل والجميل</v>
      </c>
      <c r="K10" s="4" t="str">
        <f ca="1">IFERROR(__xludf.DUMMYFUNCTION("GOOGLETRANSLATE(D10,""en"",""ar"")"),"ج) القوة والقدرة على القتال")</f>
        <v>ج) القوة والقدرة على القتال</v>
      </c>
      <c r="L10" s="4" t="str">
        <f ca="1">IFERROR(__xludf.DUMMYFUNCTION("GOOGLETRANSLATE(D10,""en"",""ar"")"),"ج) القوة والقدرة على القتال")</f>
        <v>ج) القوة والقدرة على القتال</v>
      </c>
      <c r="M10" s="4"/>
      <c r="N10" s="4"/>
      <c r="O10" s="4"/>
      <c r="P10" s="4"/>
      <c r="Q10" s="4"/>
      <c r="R10" s="4"/>
      <c r="S10" s="4"/>
      <c r="T10" s="4"/>
      <c r="U10" s="4"/>
      <c r="V10" s="4"/>
      <c r="W10" s="4"/>
      <c r="X10" s="4"/>
      <c r="Y10" s="4"/>
      <c r="Z10" s="4"/>
    </row>
    <row r="11" spans="1:26" ht="22.5" customHeight="1" x14ac:dyDescent="0.25">
      <c r="A11" s="2"/>
      <c r="B11" s="2"/>
      <c r="C11" s="2"/>
      <c r="D11" s="2"/>
      <c r="E11" s="2"/>
      <c r="F11" s="4"/>
      <c r="G11" s="4"/>
      <c r="H11" s="4" t="s">
        <v>113</v>
      </c>
      <c r="I11" s="4" t="str">
        <f ca="1">IFERROR(__xludf.DUMMYFUNCTION("GOOGLETRANSLATE(B11,""en"",""ar"")"),"ماذا يحدث للبقرة الفائزة في البطولة؟")</f>
        <v>ماذا يحدث للبقرة الفائزة في البطولة؟</v>
      </c>
      <c r="J11" s="4" t="str">
        <f ca="1">IFERROR(__xludf.DUMMYFUNCTION("GOOGLETRANSLATE(C11,""en"",""ar"")"),"أ) يتم إحالتها إلى التقاعد فوراً، ب) تُتوَّج ""ملكة""، ج) عليها أن تُقاتل الفائز في مباراة المصارعة للرجال، د) تُباع في مزاد علني")</f>
        <v>أ) يتم إحالتها إلى التقاعد فوراً، ب) تُتوَّج "ملكة"، ج) عليها أن تُقاتل الفائز في مباراة المصارعة للرجال، د) تُباع في مزاد علني</v>
      </c>
      <c r="K11" s="4" t="str">
        <f ca="1">IFERROR(__xludf.DUMMYFUNCTION("GOOGLETRANSLATE(D11,""en"",""ar"")"),"ب) تُتوَّج بلقب ""الملكة"".")</f>
        <v>ب) تُتوَّج بلقب "الملكة".</v>
      </c>
      <c r="L11" s="4" t="str">
        <f ca="1">IFERROR(__xludf.DUMMYFUNCTION("GOOGLETRANSLATE(D11,""en"",""ar"")"),"ب) تُتوَّج بلقب ""الملكة"".")</f>
        <v>ب) تُتوَّج بلقب "الملكة".</v>
      </c>
      <c r="M11" s="4"/>
      <c r="N11" s="4"/>
      <c r="O11" s="4"/>
      <c r="P11" s="4"/>
      <c r="Q11" s="4"/>
      <c r="R11" s="4"/>
      <c r="S11" s="4"/>
      <c r="T11" s="4"/>
      <c r="U11" s="4"/>
      <c r="V11" s="4"/>
      <c r="W11" s="4"/>
      <c r="X11" s="4"/>
      <c r="Y11" s="4"/>
      <c r="Z11" s="4"/>
    </row>
    <row r="12" spans="1:26" ht="22.5" customHeight="1" x14ac:dyDescent="0.25">
      <c r="A12" s="2"/>
      <c r="B12" s="2"/>
      <c r="C12" s="2"/>
      <c r="D12" s="2"/>
      <c r="E12" s="2"/>
      <c r="F12" s="4"/>
      <c r="G12" s="4"/>
      <c r="H12" s="4" t="s">
        <v>114</v>
      </c>
      <c r="I12" s="4" t="str">
        <f ca="1">IFERROR(__xludf.DUMMYFUNCTION("GOOGLETRANSLATE(B12,""en"",""ar"")"),"ما هي الأشياء الكبيرة المزخرفة المعلقة على أعناق الأبقار؟")</f>
        <v>ما هي الأشياء الكبيرة المزخرفة المعلقة على أعناق الأبقار؟</v>
      </c>
      <c r="J12" s="4" t="str">
        <f ca="1">IFERROR(__xludf.DUMMYFUNCTION("GOOGLETRANSLATE(C12,""en"",""ar"")"),"أ) سلاسل ثقيلة للتقييد، ب) أجراس أبقار كبيرة تقليدية، ج) أكياس طعام، د) قوارير ماء")</f>
        <v>أ) سلاسل ثقيلة للتقييد، ب) أجراس أبقار كبيرة تقليدية، ج) أكياس طعام، د) قوارير ماء</v>
      </c>
      <c r="K12" s="4" t="str">
        <f ca="1">IFERROR(__xludf.DUMMYFUNCTION("GOOGLETRANSLATE(D12,""en"",""ar"")"),"ب) أجراس الأبقار التقليدية الكبيرة")</f>
        <v>ب) أجراس الأبقار التقليدية الكبيرة</v>
      </c>
      <c r="L12" s="4" t="str">
        <f ca="1">IFERROR(__xludf.DUMMYFUNCTION("GOOGLETRANSLATE(D12,""en"",""ar"")"),"ب) أجراس الأبقار التقليدية الكبيرة")</f>
        <v>ب) أجراس الأبقار التقليدية الكبيرة</v>
      </c>
      <c r="M12" s="4"/>
      <c r="N12" s="4"/>
      <c r="O12" s="4"/>
      <c r="P12" s="4"/>
      <c r="Q12" s="4"/>
      <c r="R12" s="4"/>
      <c r="S12" s="4"/>
      <c r="T12" s="4"/>
      <c r="U12" s="4"/>
      <c r="V12" s="4"/>
      <c r="W12" s="4"/>
      <c r="X12" s="4"/>
      <c r="Y12" s="4"/>
      <c r="Z12" s="4"/>
    </row>
    <row r="13" spans="1:26" ht="22.5" customHeight="1" x14ac:dyDescent="0.25">
      <c r="A13" s="2"/>
      <c r="B13" s="2"/>
      <c r="C13" s="2"/>
      <c r="D13" s="2"/>
      <c r="E13" s="2"/>
      <c r="F13" s="4"/>
      <c r="G13" s="4"/>
      <c r="H13" s="4" t="s">
        <v>114</v>
      </c>
      <c r="I13" s="4" t="str">
        <f ca="1">IFERROR(__xludf.DUMMYFUNCTION("GOOGLETRANSLATE(B13,""en"",""ar"")"),"يُعد هذا النوع من مصارعة الأبقار المنظمة، حيث تتنافس الأبقار على الهيمنة، تقليدًا شهيرًا في...")</f>
        <v>يُعد هذا النوع من مصارعة الأبقار المنظمة، حيث تتنافس الأبقار على الهيمنة، تقليدًا شهيرًا في...</v>
      </c>
      <c r="J13" s="4" t="str">
        <f ca="1">IFERROR(__xludf.DUMMYFUNCTION("GOOGLETRANSLATE(C13,""en"",""ar"")"),"أ) جبال الألب السويسرية، ب) سهول تكساس، ج) أدغال البرازيل، د) سهوب منغوليا")</f>
        <v>أ) جبال الألب السويسرية، ب) سهول تكساس، ج) أدغال البرازيل، د) سهوب منغوليا</v>
      </c>
      <c r="K13" s="4" t="str">
        <f ca="1">IFERROR(__xludf.DUMMYFUNCTION("GOOGLETRANSLATE(D13,""en"",""ar"")"),"أ) جبال الألب السويسرية")</f>
        <v>أ) جبال الألب السويسرية</v>
      </c>
      <c r="L13" s="4" t="str">
        <f ca="1">IFERROR(__xludf.DUMMYFUNCTION("GOOGLETRANSLATE(D13,""en"",""ar"")"),"أ) جبال الألب السويسرية")</f>
        <v>أ) جبال الألب السويسرية</v>
      </c>
      <c r="M13" s="4"/>
      <c r="N13" s="4"/>
      <c r="O13" s="4"/>
      <c r="P13" s="4"/>
      <c r="Q13" s="4"/>
      <c r="R13" s="4"/>
      <c r="S13" s="4"/>
      <c r="T13" s="4"/>
      <c r="U13" s="4"/>
      <c r="V13" s="4"/>
      <c r="W13" s="4"/>
      <c r="X13" s="4"/>
      <c r="Y13" s="4"/>
      <c r="Z13" s="4"/>
    </row>
    <row r="14" spans="1:26" ht="22.5" customHeight="1" x14ac:dyDescent="0.25">
      <c r="A14" s="2"/>
      <c r="B14" s="2"/>
      <c r="C14" s="2"/>
      <c r="D14" s="2"/>
      <c r="E14" s="2"/>
      <c r="F14" s="4"/>
      <c r="G14" s="4"/>
      <c r="H14" s="4" t="s">
        <v>114</v>
      </c>
      <c r="I14" s="4" t="str">
        <f ca="1">IFERROR(__xludf.DUMMYFUNCTION("GOOGLETRANSLATE(B14,""en"",""ar"")"),"ما هي الطريقة الأساسية للدفاع عن هذه الأبقار؟")</f>
        <v>ما هي الطريقة الأساسية للدفاع عن هذه الأبقار؟</v>
      </c>
      <c r="J14" s="4" t="str">
        <f ca="1">IFERROR(__xludf.DUMMYFUNCTION("GOOGLETRANSLATE(C14,""en"",""ar"")"),"أ) العض، ب) الركل، ج) الدفع بالرأس والقرون، د) الهجوم")</f>
        <v>أ) العض، ب) الركل، ج) الدفع بالرأس والقرون، د) الهجوم</v>
      </c>
      <c r="K14" s="4" t="str">
        <f ca="1">IFERROR(__xludf.DUMMYFUNCTION("GOOGLETRANSLATE(D14,""en"",""ar"")"),"ج) الدفع برؤوسهم وقرونهم")</f>
        <v>ج) الدفع برؤوسهم وقرونهم</v>
      </c>
      <c r="L14" s="4" t="str">
        <f ca="1">IFERROR(__xludf.DUMMYFUNCTION("GOOGLETRANSLATE(D14,""en"",""ar"")"),"ج) الدفع برؤوسهم وقرونهم")</f>
        <v>ج) الدفع برؤوسهم وقرونهم</v>
      </c>
      <c r="M14" s="4"/>
      <c r="N14" s="4"/>
      <c r="O14" s="4"/>
      <c r="P14" s="4"/>
      <c r="Q14" s="4"/>
      <c r="R14" s="4"/>
      <c r="S14" s="4"/>
      <c r="T14" s="4"/>
      <c r="U14" s="4"/>
      <c r="V14" s="4"/>
      <c r="W14" s="4"/>
      <c r="X14" s="4"/>
      <c r="Y14" s="4"/>
      <c r="Z14" s="4"/>
    </row>
    <row r="15" spans="1:26" ht="22.5" customHeight="1" x14ac:dyDescent="0.25">
      <c r="A15" s="2"/>
      <c r="B15" s="2"/>
      <c r="C15" s="2"/>
      <c r="D15" s="2"/>
      <c r="E15" s="2"/>
      <c r="F15" s="4"/>
      <c r="G15" s="4"/>
      <c r="H15" s="4" t="s">
        <v>114</v>
      </c>
      <c r="I15" s="4" t="str">
        <f ca="1">IFERROR(__xludf.DUMMYFUNCTION("GOOGLETRANSLATE(B15,""en"",""ar"")"),"ما هو هدف القتال؟")</f>
        <v>ما هو هدف القتال؟</v>
      </c>
      <c r="J15" s="4" t="str">
        <f ca="1">IFERROR(__xludf.DUMMYFUNCTION("GOOGLETRANSLATE(C15,""en"",""ar"")"),"أ) لقتل الخصم، ب) لفرض الهيمنة بإجبار البقرة الأخرى على التراجع، ج) لإمتاع الملك، د) لتدمير الساحة")</f>
        <v>أ) لقتل الخصم، ب) لفرض الهيمنة بإجبار البقرة الأخرى على التراجع، ج) لإمتاع الملك، د) لتدمير الساحة</v>
      </c>
      <c r="K15" s="4" t="str">
        <f ca="1">IFERROR(__xludf.DUMMYFUNCTION("GOOGLETRANSLATE(D15,""en"",""ar"")"),"ب) لإثبات الهيمنة عن طريق إجبار البقرة الأخرى على التراجع")</f>
        <v>ب) لإثبات الهيمنة عن طريق إجبار البقرة الأخرى على التراجع</v>
      </c>
      <c r="L15" s="4" t="str">
        <f ca="1">IFERROR(__xludf.DUMMYFUNCTION("GOOGLETRANSLATE(D15,""en"",""ar"")"),"ب) لإثبات الهيمنة عن طريق إجبار البقرة الأخرى على التراجع")</f>
        <v>ب) لإثبات الهيمنة عن طريق إجبار البقرة الأخرى على التراجع</v>
      </c>
      <c r="M15" s="4"/>
      <c r="N15" s="4"/>
      <c r="O15" s="4"/>
      <c r="P15" s="4"/>
      <c r="Q15" s="4"/>
      <c r="R15" s="4"/>
      <c r="S15" s="4"/>
      <c r="T15" s="4"/>
      <c r="U15" s="4"/>
      <c r="V15" s="4"/>
      <c r="W15" s="4"/>
      <c r="X15" s="4"/>
      <c r="Y15" s="4"/>
      <c r="Z15" s="4"/>
    </row>
    <row r="16" spans="1:26" ht="22.5" customHeight="1" x14ac:dyDescent="0.25">
      <c r="A16" s="2"/>
      <c r="B16" s="2"/>
      <c r="C16" s="2"/>
      <c r="D16" s="2"/>
      <c r="E16" s="2"/>
      <c r="F16" s="4"/>
      <c r="G16" s="4"/>
      <c r="H16" s="4" t="s">
        <v>114</v>
      </c>
      <c r="I16" s="4" t="str">
        <f ca="1">IFERROR(__xludf.DUMMYFUNCTION("GOOGLETRANSLATE(B16,""en"",""ar"")"),"يشير الغبار المتصاعد إلى...")</f>
        <v>يشير الغبار المتصاعد إلى...</v>
      </c>
      <c r="J16" s="4" t="str">
        <f ca="1">IFERROR(__xludf.DUMMYFUNCTION("GOOGLETRANSLATE(C16,""en"",""ar"")"),"أ) الأرض رطبة وموحلة، ب) القتال ليس شديدًا، ج) القوة الهائلة التي تبذلها الأبقار، د) اندلع حريق للتو في مكان قريب")</f>
        <v>أ) الأرض رطبة وموحلة، ب) القتال ليس شديدًا، ج) القوة الهائلة التي تبذلها الأبقار، د) اندلع حريق للتو في مكان قريب</v>
      </c>
      <c r="K16" s="4" t="str">
        <f ca="1">IFERROR(__xludf.DUMMYFUNCTION("GOOGLETRANSLATE(D16,""en"",""ar"")"),"ج) القوة الهائلة التي تبذلها الأبقار")</f>
        <v>ج) القوة الهائلة التي تبذلها الأبقار</v>
      </c>
      <c r="L16" s="4" t="str">
        <f ca="1">IFERROR(__xludf.DUMMYFUNCTION("GOOGLETRANSLATE(D16,""en"",""ar"")"),"ج) القوة الهائلة التي تبذلها الأبقار")</f>
        <v>ج) القوة الهائلة التي تبذلها الأبقار</v>
      </c>
      <c r="M16" s="4"/>
      <c r="N16" s="4"/>
      <c r="O16" s="4"/>
      <c r="P16" s="4"/>
      <c r="Q16" s="4"/>
      <c r="R16" s="4"/>
      <c r="S16" s="4"/>
      <c r="T16" s="4"/>
      <c r="U16" s="4"/>
      <c r="V16" s="4"/>
      <c r="W16" s="4"/>
      <c r="X16" s="4"/>
      <c r="Y16" s="4"/>
      <c r="Z16" s="4"/>
    </row>
    <row r="17" spans="1:26" ht="22.5" customHeight="1" x14ac:dyDescent="0.25">
      <c r="A17" s="2"/>
      <c r="B17" s="2"/>
      <c r="C17" s="2"/>
      <c r="D17" s="2"/>
      <c r="E17" s="2"/>
      <c r="F17" s="4"/>
      <c r="G17" s="4"/>
      <c r="H17" s="4" t="s">
        <v>114</v>
      </c>
      <c r="I17" s="4" t="str">
        <f ca="1">IFERROR(__xludf.DUMMYFUNCTION("GOOGLETRANSLATE(B17,""en"",""ar"")"),"السلالة المحددة من الماشية المستخدمة في هذه المسابقات هي...")</f>
        <v>السلالة المحددة من الماشية المستخدمة في هذه المسابقات هي...</v>
      </c>
      <c r="J17" s="4" t="str">
        <f ca="1">IFERROR(__xludf.DUMMYFUNCTION("GOOGLETRANSLATE(C17,""en"",""ar"")"),"أ) هولشتاين، ب) براهمان، ج) هيرين، د) أنجوس")</f>
        <v>أ) هولشتاين، ب) براهمان، ج) هيرين، د) أنجوس</v>
      </c>
      <c r="K17" s="4" t="str">
        <f ca="1">IFERROR(__xludf.DUMMYFUNCTION("GOOGLETRANSLATE(D17,""en"",""ar"")"),"ج) هيرنس")</f>
        <v>ج) هيرنس</v>
      </c>
      <c r="L17" s="4" t="str">
        <f ca="1">IFERROR(__xludf.DUMMYFUNCTION("GOOGLETRANSLATE(D17,""en"",""ar"")"),"ج) هيرنس")</f>
        <v>ج) هيرنس</v>
      </c>
      <c r="M17" s="4"/>
      <c r="N17" s="4"/>
      <c r="O17" s="4"/>
      <c r="P17" s="4"/>
      <c r="Q17" s="4"/>
      <c r="R17" s="4"/>
      <c r="S17" s="4"/>
      <c r="T17" s="4"/>
      <c r="U17" s="4"/>
      <c r="V17" s="4"/>
      <c r="W17" s="4"/>
      <c r="X17" s="4"/>
      <c r="Y17" s="4"/>
      <c r="Z17" s="4"/>
    </row>
    <row r="18" spans="1:26" ht="22.5" customHeight="1" x14ac:dyDescent="0.25">
      <c r="A18" s="2"/>
      <c r="B18" s="2"/>
      <c r="C18" s="2"/>
      <c r="D18" s="2"/>
      <c r="E18" s="2"/>
      <c r="F18" s="4"/>
      <c r="G18" s="4"/>
      <c r="H18" s="4" t="s">
        <v>114</v>
      </c>
      <c r="I18" s="4" t="str">
        <f ca="1">IFERROR(__xludf.DUMMYFUNCTION("GOOGLETRANSLATE(B18,""en"",""ar"")"),"تُعدّ الياقات الجلدية المزخرفة علامة على...")</f>
        <v>تُعدّ الياقات الجلدية المزخرفة علامة على...</v>
      </c>
      <c r="J18" s="4" t="str">
        <f ca="1">IFERROR(__xludf.DUMMYFUNCTION("GOOGLETRANSLATE(C18,""en"",""ar"")"),"أ) فقر الملاك، ب) الفخر الثقافي وأهمية الحدث، ج) اختراع حديث للسلامة، د) عقاب للأبقار")</f>
        <v>أ) فقر الملاك، ب) الفخر الثقافي وأهمية الحدث، ج) اختراع حديث للسلامة، د) عقاب للأبقار</v>
      </c>
      <c r="K18" s="4" t="str">
        <f ca="1">IFERROR(__xludf.DUMMYFUNCTION("GOOGLETRANSLATE(D18,""en"",""ar"")"),"ب) الفخر الثقافي وأهمية الحدث")</f>
        <v>ب) الفخر الثقافي وأهمية الحدث</v>
      </c>
      <c r="L18" s="4" t="str">
        <f ca="1">IFERROR(__xludf.DUMMYFUNCTION("GOOGLETRANSLATE(D18,""en"",""ar"")"),"ب) الفخر الثقافي وأهمية الحدث")</f>
        <v>ب) الفخر الثقافي وأهمية الحدث</v>
      </c>
      <c r="M18" s="4"/>
      <c r="N18" s="4"/>
      <c r="O18" s="4"/>
      <c r="P18" s="4"/>
      <c r="Q18" s="4"/>
      <c r="R18" s="4"/>
      <c r="S18" s="4"/>
      <c r="T18" s="4"/>
      <c r="U18" s="4"/>
      <c r="V18" s="4"/>
      <c r="W18" s="4"/>
      <c r="X18" s="4"/>
      <c r="Y18" s="4"/>
      <c r="Z18" s="4"/>
    </row>
    <row r="19" spans="1:26" ht="22.5" customHeight="1" x14ac:dyDescent="0.25">
      <c r="A19" s="2"/>
      <c r="B19" s="2"/>
      <c r="C19" s="2"/>
      <c r="D19" s="2"/>
      <c r="E19" s="2"/>
      <c r="F19" s="4"/>
      <c r="G19" s="4"/>
      <c r="H19" s="4" t="s">
        <v>114</v>
      </c>
      <c r="I19" s="4" t="str">
        <f ca="1">IFERROR(__xludf.DUMMYFUNCTION("GOOGLETRANSLATE(B19,""en"",""ar"")"),"على عكس مصارعة الثيران الإسبانية، فإن مصارعة الأبقار السويسرية هي...")</f>
        <v>على عكس مصارعة الثيران الإسبانية، فإن مصارعة الأبقار السويسرية هي...</v>
      </c>
      <c r="J19" s="4" t="str">
        <f ca="1">IFERROR(__xludf.DUMMYFUNCTION("GOOGLETRANSLATE(C19,""en"",""ar"")"),"أ) قاتلة للحيوان في أغلب الأحيان، ب) قتال بين إنسان وحيوان، ج) منافسة غير دموية نسبياً بين حيوانين، د) رياضة حديثة اخترعها السياح")</f>
        <v>أ) قاتلة للحيوان في أغلب الأحيان، ب) قتال بين إنسان وحيوان، ج) منافسة غير دموية نسبياً بين حيوانين، د) رياضة حديثة اخترعها السياح</v>
      </c>
      <c r="K19" s="4" t="str">
        <f ca="1">IFERROR(__xludf.DUMMYFUNCTION("GOOGLETRANSLATE(D19,""en"",""ar"")"),"ج) منافسة غير دموية نسبياً بين حيوانين")</f>
        <v>ج) منافسة غير دموية نسبياً بين حيوانين</v>
      </c>
      <c r="L19" s="4" t="str">
        <f ca="1">IFERROR(__xludf.DUMMYFUNCTION("GOOGLETRANSLATE(D19,""en"",""ar"")"),"ج) منافسة غير دموية نسبياً بين حيوانين")</f>
        <v>ج) منافسة غير دموية نسبياً بين حيوانين</v>
      </c>
      <c r="M19" s="4"/>
      <c r="N19" s="4"/>
      <c r="O19" s="4"/>
      <c r="P19" s="4"/>
      <c r="Q19" s="4"/>
      <c r="R19" s="4"/>
      <c r="S19" s="4"/>
      <c r="T19" s="4"/>
      <c r="U19" s="4"/>
      <c r="V19" s="4"/>
      <c r="W19" s="4"/>
      <c r="X19" s="4"/>
      <c r="Y19" s="4"/>
      <c r="Z19" s="4"/>
    </row>
    <row r="20" spans="1:26" ht="22.5" customHeight="1" x14ac:dyDescent="0.25">
      <c r="A20" s="2"/>
      <c r="B20" s="2"/>
      <c r="C20" s="2"/>
      <c r="D20" s="2"/>
      <c r="E20" s="2"/>
      <c r="F20" s="4"/>
      <c r="G20" s="4"/>
      <c r="H20" s="4" t="s">
        <v>114</v>
      </c>
      <c r="I20" s="4" t="str">
        <f ca="1">IFERROR(__xludf.DUMMYFUNCTION("GOOGLETRANSLATE(B20,""en"",""ar"")"),"يُطلق على الفائز في البطولة اسم...")</f>
        <v>يُطلق على الفائز في البطولة اسم...</v>
      </c>
      <c r="J20" s="4" t="str">
        <f ca="1">IFERROR(__xludf.DUMMYFUNCTION("GOOGLETRANSLATE(C20,""en"",""ar"")"),"أ) ""إل تورو""، ب) ""الزعيم""، ج) ""لا رين"" (الملكة)، د) ""البطل""")</f>
        <v>أ) "إل تورو"، ب) "الزعيم"، ج) "لا رين" (الملكة)، د) "البطل"</v>
      </c>
      <c r="K20" s="4" t="str">
        <f ca="1">IFERROR(__xludf.DUMMYFUNCTION("GOOGLETRANSLATE(D20,""en"",""ar"")"),"ج) ""لا رين"" (الملكة)")</f>
        <v>ج) "لا رين" (الملكة)</v>
      </c>
      <c r="L20" s="4" t="str">
        <f ca="1">IFERROR(__xludf.DUMMYFUNCTION("GOOGLETRANSLATE(D20,""en"",""ar"")"),"ج) ""لا رين"" (الملكة)")</f>
        <v>ج) "لا رين" (الملكة)</v>
      </c>
      <c r="M20" s="4"/>
      <c r="N20" s="4"/>
      <c r="O20" s="4"/>
      <c r="P20" s="4"/>
      <c r="Q20" s="4"/>
      <c r="R20" s="4"/>
      <c r="S20" s="4"/>
      <c r="T20" s="4"/>
      <c r="U20" s="4"/>
      <c r="V20" s="4"/>
      <c r="W20" s="4"/>
      <c r="X20" s="4"/>
      <c r="Y20" s="4"/>
      <c r="Z20" s="4"/>
    </row>
    <row r="21" spans="1:26" ht="22.5" customHeight="1" x14ac:dyDescent="0.25">
      <c r="A21" s="2"/>
      <c r="B21" s="2"/>
      <c r="C21" s="2"/>
      <c r="D21" s="2"/>
      <c r="E21" s="2"/>
      <c r="F21" s="4"/>
      <c r="G21" s="4"/>
      <c r="H21" s="4" t="s">
        <v>114</v>
      </c>
      <c r="I21" s="4" t="str">
        <f ca="1">IFERROR(__xludf.DUMMYFUNCTION("GOOGLETRANSLATE(B21,""en"",""ar"")"),"يُحاكي هذا القتال السلوك الطبيعي للأبقار في...")</f>
        <v>يُحاكي هذا القتال السلوك الطبيعي للأبقار في...</v>
      </c>
      <c r="J21" s="4" t="str">
        <f ca="1">IFERROR(__xludf.DUMMYFUNCTION("GOOGLETRANSLATE(C21,""en"",""ar"")"),"أ) البحث عن الماء، ب) بناء مأوى، ج) إقامة تسلسل هرمي اجتماعي أو ""ترتيب هرمي""، د) حماية صغارهم من الحيوانات المفترسة")</f>
        <v>أ) البحث عن الماء، ب) بناء مأوى، ج) إقامة تسلسل هرمي اجتماعي أو "ترتيب هرمي"، د) حماية صغارهم من الحيوانات المفترسة</v>
      </c>
      <c r="K21" s="4" t="str">
        <f ca="1">IFERROR(__xludf.DUMMYFUNCTION("GOOGLETRANSLATE(D21,""en"",""ar"")"),"ج) إنشاء تسلسل هرمي اجتماعي أو ""ترتيب هرمي""")</f>
        <v>ج) إنشاء تسلسل هرمي اجتماعي أو "ترتيب هرمي"</v>
      </c>
      <c r="L21" s="4" t="str">
        <f ca="1">IFERROR(__xludf.DUMMYFUNCTION("GOOGLETRANSLATE(D21,""en"",""ar"")"),"ج) إنشاء تسلسل هرمي اجتماعي أو ""ترتيب هرمي""")</f>
        <v>ج) إنشاء تسلسل هرمي اجتماعي أو "ترتيب هرمي"</v>
      </c>
      <c r="M21" s="4"/>
      <c r="N21" s="4"/>
      <c r="O21" s="4"/>
      <c r="P21" s="4"/>
      <c r="Q21" s="4"/>
      <c r="R21" s="4"/>
      <c r="S21" s="4"/>
      <c r="T21" s="4"/>
      <c r="U21" s="4"/>
      <c r="V21" s="4"/>
      <c r="W21" s="4"/>
      <c r="X21" s="4"/>
      <c r="Y21" s="4"/>
      <c r="Z21" s="4"/>
    </row>
    <row r="22" spans="1:26" ht="22.5" customHeight="1" x14ac:dyDescent="0.25">
      <c r="A22" s="2"/>
      <c r="B22" s="2"/>
      <c r="C22" s="2"/>
      <c r="D22" s="2"/>
      <c r="E22" s="2"/>
      <c r="F22" s="4"/>
      <c r="G22" s="4"/>
      <c r="H22" s="4" t="s">
        <v>115</v>
      </c>
      <c r="I22" s="4" t="str">
        <f ca="1">IFERROR(__xludf.DUMMYFUNCTION("GOOGLETRANSLATE(B22,""en"",""ar"")"),"ماذا يفعل الحيوانان في هذه الصورة؟")</f>
        <v>ماذا يفعل الحيوانان في هذه الصورة؟</v>
      </c>
      <c r="J22" s="4" t="str">
        <f ca="1">IFERROR(__xludf.DUMMYFUNCTION("GOOGLETRANSLATE(C22,""en"",""ar"")"),"أ) إنهم يرعون بسلام، ب) إنهم نائمون، ج) إنهم منخرطون في مباراة دفع وجهاً لوجه، د) إنهم يلعبون")</f>
        <v>أ) إنهم يرعون بسلام، ب) إنهم نائمون، ج) إنهم منخرطون في مباراة دفع وجهاً لوجه، د) إنهم يلعبون</v>
      </c>
      <c r="K22" s="4" t="str">
        <f ca="1">IFERROR(__xludf.DUMMYFUNCTION("GOOGLETRANSLATE(D22,""en"",""ar"")"),"ج) إنهم منخرطون في مباراة دفع وجهاً لوجه")</f>
        <v>ج) إنهم منخرطون في مباراة دفع وجهاً لوجه</v>
      </c>
      <c r="L22" s="4" t="str">
        <f ca="1">IFERROR(__xludf.DUMMYFUNCTION("GOOGLETRANSLATE(D22,""en"",""ar"")"),"ج) إنهم منخرطون في مباراة دفع وجهاً لوجه")</f>
        <v>ج) إنهم منخرطون في مباراة دفع وجهاً لوجه</v>
      </c>
      <c r="M22" s="4"/>
      <c r="N22" s="4"/>
      <c r="O22" s="4"/>
      <c r="P22" s="4"/>
      <c r="Q22" s="4"/>
      <c r="R22" s="4"/>
      <c r="S22" s="4"/>
      <c r="T22" s="4"/>
      <c r="U22" s="4"/>
      <c r="V22" s="4"/>
      <c r="W22" s="4"/>
      <c r="X22" s="4"/>
      <c r="Y22" s="4"/>
      <c r="Z22" s="4"/>
    </row>
    <row r="23" spans="1:26" ht="22.5" customHeight="1" x14ac:dyDescent="0.25">
      <c r="A23" s="2"/>
      <c r="B23" s="2"/>
      <c r="C23" s="2"/>
      <c r="D23" s="2"/>
      <c r="E23" s="2"/>
      <c r="F23" s="4"/>
      <c r="G23" s="4"/>
      <c r="H23" s="4" t="s">
        <v>115</v>
      </c>
      <c r="I23" s="4" t="str">
        <f ca="1">IFERROR(__xludf.DUMMYFUNCTION("GOOGLETRANSLATE(B23,""en"",""ar"")"),"هذه الحيوانات هي أبقار قوية وعضلية، ويمكن وصفها بدقة بأنها...")</f>
        <v>هذه الحيوانات هي أبقار قوية وعضلية، ويمكن وصفها بدقة بأنها...</v>
      </c>
      <c r="J23" s="4" t="str">
        <f ca="1">IFERROR(__xludf.DUMMYFUNCTION("GOOGLETRANSLATE(C23,""en"",""ar"")"),"أ) أبقار الألبان، ب) العجول، ج) الثيران، د) الثيران المخصية")</f>
        <v>أ) أبقار الألبان، ب) العجول، ج) الثيران، د) الثيران المخصية</v>
      </c>
      <c r="K23" s="4" t="str">
        <f ca="1">IFERROR(__xludf.DUMMYFUNCTION("GOOGLETRANSLATE(D23,""en"",""ar"")"),"ج) الثيران")</f>
        <v>ج) الثيران</v>
      </c>
      <c r="L23" s="4" t="str">
        <f ca="1">IFERROR(__xludf.DUMMYFUNCTION("GOOGLETRANSLATE(D23,""en"",""ar"")"),"ج) الثيران")</f>
        <v>ج) الثيران</v>
      </c>
      <c r="M23" s="4"/>
      <c r="N23" s="4"/>
      <c r="O23" s="4"/>
      <c r="P23" s="4"/>
      <c r="Q23" s="4"/>
      <c r="R23" s="4"/>
      <c r="S23" s="4"/>
      <c r="T23" s="4"/>
      <c r="U23" s="4"/>
      <c r="V23" s="4"/>
      <c r="W23" s="4"/>
      <c r="X23" s="4"/>
      <c r="Y23" s="4"/>
      <c r="Z23" s="4"/>
    </row>
    <row r="24" spans="1:26" ht="22.5" customHeight="1" x14ac:dyDescent="0.25">
      <c r="A24" s="2"/>
      <c r="B24" s="2"/>
      <c r="C24" s="2"/>
      <c r="D24" s="2"/>
      <c r="E24" s="2"/>
      <c r="F24" s="4"/>
      <c r="G24" s="4"/>
      <c r="H24" s="4" t="s">
        <v>115</v>
      </c>
      <c r="I24" s="4" t="str">
        <f ca="1">IFERROR(__xludf.DUMMYFUNCTION("GOOGLETRANSLATE(B24,""en"",""ar"")"),"ما هو السلاح الرئيسي المستخدم في هذه المعركة؟")</f>
        <v>ما هو السلاح الرئيسي المستخدم في هذه المعركة؟</v>
      </c>
      <c r="J24" s="4" t="str">
        <f ca="1">IFERROR(__xludf.DUMMYFUNCTION("GOOGLETRANSLATE(C24,""en"",""ar"")"),"أ) حوافرهم، ب) ذيولهم، ج) رؤوسهم وقرونهم، د) أسنانهم")</f>
        <v>أ) حوافرهم، ب) ذيولهم، ج) رؤوسهم وقرونهم، د) أسنانهم</v>
      </c>
      <c r="K24" s="4" t="str">
        <f ca="1">IFERROR(__xludf.DUMMYFUNCTION("GOOGLETRANSLATE(D24,""en"",""ar"")"),"ج) رؤوسهم وقرونهم")</f>
        <v>ج) رؤوسهم وقرونهم</v>
      </c>
      <c r="L24" s="4" t="str">
        <f ca="1">IFERROR(__xludf.DUMMYFUNCTION("GOOGLETRANSLATE(D24,""en"",""ar"")"),"ج) رؤوسهم وقرونهم")</f>
        <v>ج) رؤوسهم وقرونهم</v>
      </c>
      <c r="M24" s="4"/>
      <c r="N24" s="4"/>
      <c r="O24" s="4"/>
      <c r="P24" s="4"/>
      <c r="Q24" s="4"/>
      <c r="R24" s="4"/>
      <c r="S24" s="4"/>
      <c r="T24" s="4"/>
      <c r="U24" s="4"/>
      <c r="V24" s="4"/>
      <c r="W24" s="4"/>
      <c r="X24" s="4"/>
      <c r="Y24" s="4"/>
      <c r="Z24" s="4"/>
    </row>
    <row r="25" spans="1:26" ht="22.5" customHeight="1" x14ac:dyDescent="0.25">
      <c r="A25" s="2"/>
      <c r="B25" s="2"/>
      <c r="C25" s="2"/>
      <c r="D25" s="2"/>
      <c r="E25" s="2"/>
      <c r="F25" s="4"/>
      <c r="G25" s="4"/>
      <c r="H25" s="4" t="s">
        <v>115</v>
      </c>
      <c r="I25" s="4" t="str">
        <f ca="1">IFERROR(__xludf.DUMMYFUNCTION("GOOGLETRANSLATE(B25,""en"",""ar"")"),"عين الثور على اليسار مفتوحة على مصراعيها، وهي علامة على...")</f>
        <v>عين الثور على اليسار مفتوحة على مصراعيها، وهي علامة على...</v>
      </c>
      <c r="J25" s="4" t="str">
        <f ca="1">IFERROR(__xludf.DUMMYFUNCTION("GOOGLETRANSLATE(C25,""en"",""ar"")"),"أ) النعاس، ب) الهدوء، ج) الأدرينالين والعدوانية، د) الملل")</f>
        <v>أ) النعاس، ب) الهدوء، ج) الأدرينالين والعدوانية، د) الملل</v>
      </c>
      <c r="K25" s="4" t="str">
        <f ca="1">IFERROR(__xludf.DUMMYFUNCTION("GOOGLETRANSLATE(D25,""en"",""ar"")"),"ج) الأدرينالين والعدوانية")</f>
        <v>ج) الأدرينالين والعدوانية</v>
      </c>
      <c r="L25" s="4" t="str">
        <f ca="1">IFERROR(__xludf.DUMMYFUNCTION("GOOGLETRANSLATE(D25,""en"",""ar"")"),"ج) الأدرينالين والعدوانية")</f>
        <v>ج) الأدرينالين والعدوانية</v>
      </c>
      <c r="M25" s="4"/>
      <c r="N25" s="4"/>
      <c r="O25" s="4"/>
      <c r="P25" s="4"/>
      <c r="Q25" s="4"/>
      <c r="R25" s="4"/>
      <c r="S25" s="4"/>
      <c r="T25" s="4"/>
      <c r="U25" s="4"/>
      <c r="V25" s="4"/>
      <c r="W25" s="4"/>
      <c r="X25" s="4"/>
      <c r="Y25" s="4"/>
      <c r="Z25" s="4"/>
    </row>
    <row r="26" spans="1:26" ht="22.5" customHeight="1" x14ac:dyDescent="0.25">
      <c r="A26" s="2"/>
      <c r="B26" s="2"/>
      <c r="C26" s="2"/>
      <c r="D26" s="2"/>
      <c r="E26" s="2"/>
      <c r="F26" s="4"/>
      <c r="G26" s="4"/>
      <c r="H26" s="4" t="s">
        <v>115</v>
      </c>
      <c r="I26" s="4" t="str">
        <f ca="1">IFERROR(__xludf.DUMMYFUNCTION("GOOGLETRANSLATE(B26,""en"",""ar"")"),"إن التجاعيد العميقة على وجوه الثيران تعود إلى...")</f>
        <v>إن التجاعيد العميقة على وجوه الثيران تعود إلى...</v>
      </c>
      <c r="J26" s="4" t="str">
        <f ca="1">IFERROR(__xludf.DUMMYFUNCTION("GOOGLETRANSLATE(C26,""en"",""ar"")"),"أ) كبر سنهم، ب) الجلد السميك وتوتر العضلات أثناء القتال، ج) مرض جلدي، د) الجفاف")</f>
        <v>أ) كبر سنهم، ب) الجلد السميك وتوتر العضلات أثناء القتال، ج) مرض جلدي، د) الجفاف</v>
      </c>
      <c r="K26" s="4" t="str">
        <f ca="1">IFERROR(__xludf.DUMMYFUNCTION("GOOGLETRANSLATE(D26,""en"",""ar"")"),"ب) الجلد السميك والعضلات المشدودة أثناء القتال")</f>
        <v>ب) الجلد السميك والعضلات المشدودة أثناء القتال</v>
      </c>
      <c r="L26" s="4" t="str">
        <f ca="1">IFERROR(__xludf.DUMMYFUNCTION("GOOGLETRANSLATE(D26,""en"",""ar"")"),"ب) الجلد السميك والعضلات المشدودة أثناء القتال")</f>
        <v>ب) الجلد السميك والعضلات المشدودة أثناء القتال</v>
      </c>
      <c r="M26" s="4"/>
      <c r="N26" s="4"/>
      <c r="O26" s="4"/>
      <c r="P26" s="4"/>
      <c r="Q26" s="4"/>
      <c r="R26" s="4"/>
      <c r="S26" s="4"/>
      <c r="T26" s="4"/>
      <c r="U26" s="4"/>
      <c r="V26" s="4"/>
      <c r="W26" s="4"/>
      <c r="X26" s="4"/>
      <c r="Y26" s="4"/>
      <c r="Z26" s="4"/>
    </row>
    <row r="27" spans="1:26" ht="22.5" customHeight="1" x14ac:dyDescent="0.25">
      <c r="A27" s="2"/>
      <c r="B27" s="2"/>
      <c r="C27" s="2"/>
      <c r="D27" s="2"/>
      <c r="E27" s="2"/>
      <c r="F27" s="4"/>
      <c r="G27" s="4"/>
      <c r="H27" s="4" t="s">
        <v>115</v>
      </c>
      <c r="I27" s="4" t="str">
        <f ca="1">IFERROR(__xludf.DUMMYFUNCTION("GOOGLETRANSLATE(B27,""en"",""ar"")"),"هذا النوع من المواجهة هو في الأساس اختبار لـ...")</f>
        <v>هذا النوع من المواجهة هو في الأساس اختبار لـ...</v>
      </c>
      <c r="J27" s="4" t="str">
        <f ca="1">IFERROR(__xludf.DUMMYFUNCTION("GOOGLETRANSLATE(C27,""en"",""ar"")"),"أ) السرعة، ب) خفة الحركة، ج) القوة البدنية، د) الذكاء")</f>
        <v>أ) السرعة، ب) خفة الحركة، ج) القوة البدنية، د) الذكاء</v>
      </c>
      <c r="K27" s="4" t="str">
        <f ca="1">IFERROR(__xludf.DUMMYFUNCTION("GOOGLETRANSLATE(D27,""en"",""ar"")"),"ج) القوة والقدرة الخام")</f>
        <v>ج) القوة والقدرة الخام</v>
      </c>
      <c r="L27" s="4" t="str">
        <f ca="1">IFERROR(__xludf.DUMMYFUNCTION("GOOGLETRANSLATE(D27,""en"",""ar"")"),"ج) القوة والقدرة الخام")</f>
        <v>ج) القوة والقدرة الخام</v>
      </c>
      <c r="M27" s="4"/>
      <c r="N27" s="4"/>
      <c r="O27" s="4"/>
      <c r="P27" s="4"/>
      <c r="Q27" s="4"/>
      <c r="R27" s="4"/>
      <c r="S27" s="4"/>
      <c r="T27" s="4"/>
      <c r="U27" s="4"/>
      <c r="V27" s="4"/>
      <c r="W27" s="4"/>
      <c r="X27" s="4"/>
      <c r="Y27" s="4"/>
      <c r="Z27" s="4"/>
    </row>
    <row r="28" spans="1:26" ht="22.5" customHeight="1" x14ac:dyDescent="0.25">
      <c r="A28" s="2"/>
      <c r="B28" s="2"/>
      <c r="C28" s="2"/>
      <c r="D28" s="2"/>
      <c r="E28" s="2"/>
      <c r="F28" s="4"/>
      <c r="G28" s="4"/>
      <c r="H28" s="4" t="s">
        <v>115</v>
      </c>
      <c r="I28" s="4" t="str">
        <f ca="1">IFERROR(__xludf.DUMMYFUNCTION("GOOGLETRANSLATE(B28,""en"",""ar"")"),"تُستخدم معارك كهذه في البرية لتحديد...")</f>
        <v>تُستخدم معارك كهذه في البرية لتحديد...</v>
      </c>
      <c r="J28" s="4" t="str">
        <f ca="1">IFERROR(__xludf.DUMMYFUNCTION("GOOGLETRANSLATE(C28,""en"",""ar"")"),"أ) أفضل أماكن القيلولة، ب) أسرع عداء، ج) الهيمنة وحقوق التزاوج، د) موقع الماء")</f>
        <v>أ) أفضل أماكن القيلولة، ب) أسرع عداء، ج) الهيمنة وحقوق التزاوج، د) موقع الماء</v>
      </c>
      <c r="K28" s="4" t="str">
        <f ca="1">IFERROR(__xludf.DUMMYFUNCTION("GOOGLETRANSLATE(D28,""en"",""ar"")"),"ج) الهيمنة وحقوق التزاوج")</f>
        <v>ج) الهيمنة وحقوق التزاوج</v>
      </c>
      <c r="L28" s="4" t="str">
        <f ca="1">IFERROR(__xludf.DUMMYFUNCTION("GOOGLETRANSLATE(D28,""en"",""ar"")"),"ج) الهيمنة وحقوق التزاوج")</f>
        <v>ج) الهيمنة وحقوق التزاوج</v>
      </c>
      <c r="M28" s="4"/>
      <c r="N28" s="4"/>
      <c r="O28" s="4"/>
      <c r="P28" s="4"/>
      <c r="Q28" s="4"/>
      <c r="R28" s="4"/>
      <c r="S28" s="4"/>
      <c r="T28" s="4"/>
      <c r="U28" s="4"/>
      <c r="V28" s="4"/>
      <c r="W28" s="4"/>
      <c r="X28" s="4"/>
      <c r="Y28" s="4"/>
      <c r="Z28" s="4"/>
    </row>
    <row r="29" spans="1:26" ht="22.5" customHeight="1" x14ac:dyDescent="0.25">
      <c r="A29" s="2"/>
      <c r="B29" s="2"/>
      <c r="C29" s="2"/>
      <c r="D29" s="2"/>
      <c r="E29" s="2"/>
      <c r="F29" s="4"/>
      <c r="G29" s="4"/>
      <c r="H29" s="4" t="s">
        <v>115</v>
      </c>
      <c r="I29" s="4" t="str">
        <f ca="1">IFERROR(__xludf.DUMMYFUNCTION("GOOGLETRANSLATE(B29,""en"",""ar"")"),"يبدو أن الأرض...")</f>
        <v>يبدو أن الأرض...</v>
      </c>
      <c r="J29" s="4" t="str">
        <f ca="1">IFERROR(__xludf.DUMMYFUNCTION("GOOGLETRANSLATE(C29,""en"",""ar"")"),"أ) مرعى أخضر وارف، ب) سطح صلب مُعبّد، ج) ساحة ناعمة رملية أو ترابية، د) مغطاة بالثلوج")</f>
        <v>أ) مرعى أخضر وارف، ب) سطح صلب مُعبّد، ج) ساحة ناعمة رملية أو ترابية، د) مغطاة بالثلوج</v>
      </c>
      <c r="K29" s="4" t="str">
        <f ca="1">IFERROR(__xludf.DUMMYFUNCTION("GOOGLETRANSLATE(D29,""en"",""ar"")"),"ج) ساحة ناعمة أو رملية أو مليئة بالتراب")</f>
        <v>ج) ساحة ناعمة أو رملية أو مليئة بالتراب</v>
      </c>
      <c r="L29" s="4" t="str">
        <f ca="1">IFERROR(__xludf.DUMMYFUNCTION("GOOGLETRANSLATE(D29,""en"",""ar"")"),"ج) ساحة ناعمة أو رملية أو مليئة بالتراب")</f>
        <v>ج) ساحة ناعمة أو رملية أو مليئة بالتراب</v>
      </c>
      <c r="M29" s="4"/>
      <c r="N29" s="4"/>
      <c r="O29" s="4"/>
      <c r="P29" s="4"/>
      <c r="Q29" s="4"/>
      <c r="R29" s="4"/>
      <c r="S29" s="4"/>
      <c r="T29" s="4"/>
      <c r="U29" s="4"/>
      <c r="V29" s="4"/>
      <c r="W29" s="4"/>
      <c r="X29" s="4"/>
      <c r="Y29" s="4"/>
      <c r="Z29" s="4"/>
    </row>
    <row r="30" spans="1:26" ht="22.5" customHeight="1" x14ac:dyDescent="0.25">
      <c r="A30" s="2"/>
      <c r="B30" s="2"/>
      <c r="C30" s="2"/>
      <c r="D30" s="2"/>
      <c r="E30" s="2"/>
      <c r="F30" s="4"/>
      <c r="G30" s="4"/>
      <c r="H30" s="4" t="s">
        <v>115</v>
      </c>
      <c r="I30" s="4" t="str">
        <f ca="1">IFERROR(__xludf.DUMMYFUNCTION("GOOGLETRANSLATE(B30,""en"",""ar"")"),"الثور الموجود على اليمين لديه قرن موجه نحو خصمه...")</f>
        <v>الثور الموجود على اليمين لديه قرن موجه نحو خصمه...</v>
      </c>
      <c r="J30" s="4" t="str">
        <f ca="1">IFERROR(__xludf.DUMMYFUNCTION("GOOGLETRANSLATE(C30,""en"",""ar"")"),"أ) منطقة العين، ب) الظهر، ج) الساق، د) القرن")</f>
        <v>أ) منطقة العين، ب) الظهر، ج) الساق، د) القرن</v>
      </c>
      <c r="K30" s="4" t="str">
        <f ca="1">IFERROR(__xludf.DUMMYFUNCTION("GOOGLETRANSLATE(D30,""en"",""ar"")"),"أ) منطقة العين")</f>
        <v>أ) منطقة العين</v>
      </c>
      <c r="L30" s="4" t="str">
        <f ca="1">IFERROR(__xludf.DUMMYFUNCTION("GOOGLETRANSLATE(D30,""en"",""ar"")"),"أ) منطقة العين")</f>
        <v>أ) منطقة العين</v>
      </c>
      <c r="M30" s="4"/>
      <c r="N30" s="4"/>
      <c r="O30" s="4"/>
      <c r="P30" s="4"/>
      <c r="Q30" s="4"/>
      <c r="R30" s="4"/>
      <c r="S30" s="4"/>
      <c r="T30" s="4"/>
      <c r="U30" s="4"/>
      <c r="V30" s="4"/>
      <c r="W30" s="4"/>
      <c r="X30" s="4"/>
      <c r="Y30" s="4"/>
      <c r="Z30" s="4"/>
    </row>
    <row r="31" spans="1:26" ht="22.5" customHeight="1" x14ac:dyDescent="0.25">
      <c r="A31" s="2"/>
      <c r="B31" s="2"/>
      <c r="C31" s="2"/>
      <c r="D31" s="2"/>
      <c r="E31" s="2"/>
      <c r="F31" s="4"/>
      <c r="G31" s="4"/>
      <c r="H31" s="4" t="s">
        <v>115</v>
      </c>
      <c r="I31" s="4" t="str">
        <f ca="1">IFERROR(__xludf.DUMMYFUNCTION("GOOGLETRANSLATE(B31,""en"",""ar"")"),"تتركز القوة الهائلة لهذه الحيوانات في...")</f>
        <v>تتركز القوة الهائلة لهذه الحيوانات في...</v>
      </c>
      <c r="J31" s="4" t="str">
        <f ca="1">IFERROR(__xludf.DUMMYFUNCTION("GOOGLETRANSLATE(C31,""en"",""ar"")"),"أ) أرجل طويلة ونحيلة، ب) ذيول نحيلة، ج) رقبة وأكتاف قوية، د) آذان كبيرة متدلية")</f>
        <v>أ) أرجل طويلة ونحيلة، ب) ذيول نحيلة، ج) رقبة وأكتاف قوية، د) آذان كبيرة متدلية</v>
      </c>
      <c r="K31" s="4" t="str">
        <f ca="1">IFERROR(__xludf.DUMMYFUNCTION("GOOGLETRANSLATE(D31,""en"",""ar"")"),"ج) رقابهم وأكتافهم القوية")</f>
        <v>ج) رقابهم وأكتافهم القوية</v>
      </c>
      <c r="L31" s="4" t="str">
        <f ca="1">IFERROR(__xludf.DUMMYFUNCTION("GOOGLETRANSLATE(D31,""en"",""ar"")"),"ج) رقابهم وأكتافهم القوية")</f>
        <v>ج) رقابهم وأكتافهم القوية</v>
      </c>
      <c r="M31" s="4"/>
      <c r="N31" s="4"/>
      <c r="O31" s="4"/>
      <c r="P31" s="4"/>
      <c r="Q31" s="4"/>
      <c r="R31" s="4"/>
      <c r="S31" s="4"/>
      <c r="T31" s="4"/>
      <c r="U31" s="4"/>
      <c r="V31" s="4"/>
      <c r="W31" s="4"/>
      <c r="X31" s="4"/>
      <c r="Y31" s="4"/>
      <c r="Z31" s="4"/>
    </row>
    <row r="32" spans="1:26" ht="22.5" customHeight="1" x14ac:dyDescent="0.25">
      <c r="A32" s="2"/>
      <c r="B32" s="2"/>
      <c r="C32" s="2"/>
      <c r="D32" s="2"/>
      <c r="E32" s="2"/>
      <c r="F32" s="4"/>
      <c r="G32" s="4"/>
      <c r="H32" s="4" t="s">
        <v>116</v>
      </c>
      <c r="I32" s="4" t="str">
        <f ca="1">IFERROR(__xludf.DUMMYFUNCTION("GOOGLETRANSLATE(B32,""en"",""ar"")"),"ما هي أبرز سمة للحيوان الأسود الموجود على اليسار؟")</f>
        <v>ما هي أبرز سمة للحيوان الأسود الموجود على اليسار؟</v>
      </c>
      <c r="J32" s="4" t="str">
        <f ca="1">IFERROR(__xludf.DUMMYFUNCTION("GOOGLETRANSLATE(C32,""en"",""ar"")"),"أ) فرائه المرقط، ب) قرونه الطويلة والسميكة للغاية، ج) آذانه المتدلية، د) أرجله القصيرة")</f>
        <v>أ) فرائه المرقط، ب) قرونه الطويلة والسميكة للغاية، ج) آذانه المتدلية، د) أرجله القصيرة</v>
      </c>
      <c r="K32" s="4" t="str">
        <f ca="1">IFERROR(__xludf.DUMMYFUNCTION("GOOGLETRANSLATE(D32,""en"",""ar"")"),"ب) قرونها الطويلة والسميكة للغاية")</f>
        <v>ب) قرونها الطويلة والسميكة للغاية</v>
      </c>
      <c r="L32" s="4" t="str">
        <f ca="1">IFERROR(__xludf.DUMMYFUNCTION("GOOGLETRANSLATE(D32,""en"",""ar"")"),"ب) قرونها الطويلة والسميكة للغاية")</f>
        <v>ب) قرونها الطويلة والسميكة للغاية</v>
      </c>
      <c r="M32" s="4"/>
      <c r="N32" s="4"/>
      <c r="O32" s="4"/>
      <c r="P32" s="4"/>
      <c r="Q32" s="4"/>
      <c r="R32" s="4"/>
      <c r="S32" s="4"/>
      <c r="T32" s="4"/>
      <c r="U32" s="4"/>
      <c r="V32" s="4"/>
      <c r="W32" s="4"/>
      <c r="X32" s="4"/>
      <c r="Y32" s="4"/>
      <c r="Z32" s="4"/>
    </row>
    <row r="33" spans="1:26" ht="22.5" customHeight="1" x14ac:dyDescent="0.25">
      <c r="A33" s="2"/>
      <c r="B33" s="2"/>
      <c r="C33" s="2"/>
      <c r="D33" s="2"/>
      <c r="E33" s="2"/>
      <c r="F33" s="4"/>
      <c r="G33" s="4"/>
      <c r="H33" s="4" t="s">
        <v>116</v>
      </c>
      <c r="I33" s="4" t="str">
        <f ca="1">IFERROR(__xludf.DUMMYFUNCTION("GOOGLETRANSLATE(B33,""en"",""ar"")"),"من المرجح أن يكون هذا النوع من الماشية، المعروف بقرونه الضخمة، ...")</f>
        <v>من المرجح أن يكون هذا النوع من الماشية، المعروف بقرونه الضخمة، ...</v>
      </c>
      <c r="J33" s="4" t="str">
        <f ca="1">IFERROR(__xludf.DUMMYFUNCTION("GOOGLETRANSLATE(C33,""en"",""ar"")"),"أ) هولشتاين، ب) هيريفورد، ج) أنكولي-واتوسي، د) جيرسي")</f>
        <v>أ) هولشتاين، ب) هيريفورد، ج) أنكولي-واتوسي، د) جيرسي</v>
      </c>
      <c r="K33" s="4" t="str">
        <f ca="1">IFERROR(__xludf.DUMMYFUNCTION("GOOGLETRANSLATE(D33,""en"",""ar"")"),"ج) أنكولي-واتوسي")</f>
        <v>ج) أنكولي-واتوسي</v>
      </c>
      <c r="L33" s="4" t="str">
        <f ca="1">IFERROR(__xludf.DUMMYFUNCTION("GOOGLETRANSLATE(D33,""en"",""ar"")"),"ج) أنكولي-واتوسي")</f>
        <v>ج) أنكولي-واتوسي</v>
      </c>
      <c r="M33" s="4"/>
      <c r="N33" s="4"/>
      <c r="O33" s="4"/>
      <c r="P33" s="4"/>
      <c r="Q33" s="4"/>
      <c r="R33" s="4"/>
      <c r="S33" s="4"/>
      <c r="T33" s="4"/>
      <c r="U33" s="4"/>
      <c r="V33" s="4"/>
      <c r="W33" s="4"/>
      <c r="X33" s="4"/>
      <c r="Y33" s="4"/>
      <c r="Z33" s="4"/>
    </row>
    <row r="34" spans="1:26" ht="22.5" customHeight="1" x14ac:dyDescent="0.25">
      <c r="A34" s="2"/>
      <c r="B34" s="2"/>
      <c r="C34" s="2"/>
      <c r="D34" s="2"/>
      <c r="E34" s="2"/>
      <c r="F34" s="4"/>
      <c r="G34" s="4"/>
      <c r="H34" s="4" t="s">
        <v>116</v>
      </c>
      <c r="I34" s="4" t="str">
        <f ca="1">IFERROR(__xludf.DUMMYFUNCTION("GOOGLETRANSLATE(B34,""en"",""ar"")"),"ماذا يفعل هذان الحيوانان؟")</f>
        <v>ماذا يفعل هذان الحيوانان؟</v>
      </c>
      <c r="J34" s="4" t="str">
        <f ca="1">IFERROR(__xludf.DUMMYFUNCTION("GOOGLETRANSLATE(C34,""en"",""ar"")"),"أ) إنهم يُنظفون بعضهم البعض، ب) إنهم يتصارعون في معركة للسيطرة، ج) إنهم يستعدون للنوم، د) إنهم يتشاركون الطعام")</f>
        <v>أ) إنهم يُنظفون بعضهم البعض، ب) إنهم يتصارعون في معركة للسيطرة، ج) إنهم يستعدون للنوم، د) إنهم يتشاركون الطعام</v>
      </c>
      <c r="K34" s="4" t="str">
        <f ca="1">IFERROR(__xludf.DUMMYFUNCTION("GOOGLETRANSLATE(D34,""en"",""ar"")"),"ب) إنهم يخوضون معركة للسيطرة")</f>
        <v>ب) إنهم يخوضون معركة للسيطرة</v>
      </c>
      <c r="L34" s="4" t="str">
        <f ca="1">IFERROR(__xludf.DUMMYFUNCTION("GOOGLETRANSLATE(D34,""en"",""ar"")"),"ب) إنهم يخوضون معركة للسيطرة")</f>
        <v>ب) إنهم يخوضون معركة للسيطرة</v>
      </c>
      <c r="M34" s="4"/>
      <c r="N34" s="4"/>
      <c r="O34" s="4"/>
      <c r="P34" s="4"/>
      <c r="Q34" s="4"/>
      <c r="R34" s="4"/>
      <c r="S34" s="4"/>
      <c r="T34" s="4"/>
      <c r="U34" s="4"/>
      <c r="V34" s="4"/>
      <c r="W34" s="4"/>
      <c r="X34" s="4"/>
      <c r="Y34" s="4"/>
      <c r="Z34" s="4"/>
    </row>
    <row r="35" spans="1:26" ht="22.5" customHeight="1" x14ac:dyDescent="0.25">
      <c r="A35" s="2"/>
      <c r="B35" s="2"/>
      <c r="C35" s="2"/>
      <c r="D35" s="2"/>
      <c r="E35" s="2"/>
      <c r="F35" s="4"/>
      <c r="G35" s="4"/>
      <c r="H35" s="4" t="s">
        <v>116</v>
      </c>
      <c r="I35" s="4" t="str">
        <f ca="1">IFERROR(__xludf.DUMMYFUNCTION("GOOGLETRANSLATE(B35,""en"",""ar"")"),"إضافة إلى استخدامها في القتال، ما هو الغرض من هذه القرون الكبيرة؟")</f>
        <v>إضافة إلى استخدامها في القتال، ما هو الغرض من هذه القرون الكبيرة؟</v>
      </c>
      <c r="J35" s="4" t="str">
        <f ca="1">IFERROR(__xludf.DUMMYFUNCTION("GOOGLETRANSLATE(C35,""en"",""ar"")"),"أ) تساعد على السمع، ب) تعمل كنظام تبريد، ج) تُستخدم لحفر المياه، د) ليس لها غرض آخر")</f>
        <v>أ) تساعد على السمع، ب) تعمل كنظام تبريد، ج) تُستخدم لحفر المياه، د) ليس لها غرض آخر</v>
      </c>
      <c r="K35" s="4" t="str">
        <f ca="1">IFERROR(__xludf.DUMMYFUNCTION("GOOGLETRANSLATE(D35,""en"",""ar"")"),"ب) تعمل كنظام تبريد")</f>
        <v>ب) تعمل كنظام تبريد</v>
      </c>
      <c r="L35" s="4" t="str">
        <f ca="1">IFERROR(__xludf.DUMMYFUNCTION("GOOGLETRANSLATE(D35,""en"",""ar"")"),"ب) تعمل كنظام تبريد")</f>
        <v>ب) تعمل كنظام تبريد</v>
      </c>
      <c r="M35" s="4"/>
      <c r="N35" s="4"/>
      <c r="O35" s="4"/>
      <c r="P35" s="4"/>
      <c r="Q35" s="4"/>
      <c r="R35" s="4"/>
      <c r="S35" s="4"/>
      <c r="T35" s="4"/>
      <c r="U35" s="4"/>
      <c r="V35" s="4"/>
      <c r="W35" s="4"/>
      <c r="X35" s="4"/>
      <c r="Y35" s="4"/>
      <c r="Z35" s="4"/>
    </row>
    <row r="36" spans="1:26" ht="22.5" customHeight="1" x14ac:dyDescent="0.25">
      <c r="A36" s="2"/>
      <c r="B36" s="2"/>
      <c r="C36" s="2"/>
      <c r="D36" s="2"/>
      <c r="E36" s="2"/>
      <c r="F36" s="4"/>
      <c r="G36" s="4"/>
      <c r="H36" s="4" t="s">
        <v>116</v>
      </c>
      <c r="I36" s="4" t="str">
        <f ca="1">IFERROR(__xludf.DUMMYFUNCTION("GOOGLETRANSLATE(B36,""en"",""ar"")"),"إن إضاءة المشهد، مع توهج دافئ من الجانب، هي سمة مميزة لـ...")</f>
        <v>إن إضاءة المشهد، مع توهج دافئ من الجانب، هي سمة مميزة لـ...</v>
      </c>
      <c r="J36" s="4" t="str">
        <f ca="1">IFERROR(__xludf.DUMMYFUNCTION("GOOGLETRANSLATE(C36,""en"",""ar"")"),"أ) منتصف النهار، ب) الليل، ج) ""الساعة الذهبية"" قرب شروق الشمس أو غروبها، د) يوم غائم بشدة")</f>
        <v>أ) منتصف النهار، ب) الليل، ج) "الساعة الذهبية" قرب شروق الشمس أو غروبها، د) يوم غائم بشدة</v>
      </c>
      <c r="K36" s="4" t="str">
        <f ca="1">IFERROR(__xludf.DUMMYFUNCTION("GOOGLETRANSLATE(D36,""en"",""ar"")"),"ج) ""الساعة الذهبية"" قرب شروق الشمس أو غروبها")</f>
        <v>ج) "الساعة الذهبية" قرب شروق الشمس أو غروبها</v>
      </c>
      <c r="L36" s="4" t="str">
        <f ca="1">IFERROR(__xludf.DUMMYFUNCTION("GOOGLETRANSLATE(D36,""en"",""ar"")"),"ج) ""الساعة الذهبية"" قرب شروق الشمس أو غروبها")</f>
        <v>ج) "الساعة الذهبية" قرب شروق الشمس أو غروبها</v>
      </c>
      <c r="M36" s="4"/>
      <c r="N36" s="4"/>
      <c r="O36" s="4"/>
      <c r="P36" s="4"/>
      <c r="Q36" s="4"/>
      <c r="R36" s="4"/>
      <c r="S36" s="4"/>
      <c r="T36" s="4"/>
      <c r="U36" s="4"/>
      <c r="V36" s="4"/>
      <c r="W36" s="4"/>
      <c r="X36" s="4"/>
      <c r="Y36" s="4"/>
      <c r="Z36" s="4"/>
    </row>
    <row r="37" spans="1:26" ht="22.5" customHeight="1" x14ac:dyDescent="0.25">
      <c r="A37" s="2"/>
      <c r="B37" s="2"/>
      <c r="C37" s="2"/>
      <c r="D37" s="2"/>
      <c r="E37" s="2"/>
      <c r="F37" s="4"/>
      <c r="G37" s="4"/>
      <c r="H37" s="4" t="s">
        <v>116</v>
      </c>
      <c r="I37" s="4" t="str">
        <f ca="1">IFERROR(__xludf.DUMMYFUNCTION("GOOGLETRANSLATE(B37,""en"",""ar"")"),"الحيوان البني والأبيض الموجود على اليمين لديه نمط مرقط، وهو ما يُعرف باسم...")</f>
        <v>الحيوان البني والأبيض الموجود على اليمين لديه نمط مرقط، وهو ما يُعرف باسم...</v>
      </c>
      <c r="J37" s="4" t="str">
        <f ca="1">IFERROR(__xludf.DUMMYFUNCTION("GOOGLETRANSLATE(C37,""en"",""ar"")"),"أ) مخطط، ب) موحد اللون، ج) مرقش أو مختلط الألوان، د) أمهق")</f>
        <v>أ) مخطط، ب) موحد اللون، ج) مرقش أو مختلط الألوان، د) أمهق</v>
      </c>
      <c r="K37" s="4" t="str">
        <f ca="1">IFERROR(__xludf.DUMMYFUNCTION("GOOGLETRANSLATE(D37,""en"",""ar"")"),"ج) أبيض وأسود أو أبيض وأسود مائل")</f>
        <v>ج) أبيض وأسود أو أبيض وأسود مائل</v>
      </c>
      <c r="L37" s="4" t="str">
        <f ca="1">IFERROR(__xludf.DUMMYFUNCTION("GOOGLETRANSLATE(D37,""en"",""ar"")"),"ج) أبيض وأسود أو أبيض وأسود مائل")</f>
        <v>ج) أبيض وأسود أو أبيض وأسود مائل</v>
      </c>
      <c r="M37" s="4"/>
      <c r="N37" s="4"/>
      <c r="O37" s="4"/>
      <c r="P37" s="4"/>
      <c r="Q37" s="4"/>
      <c r="R37" s="4"/>
      <c r="S37" s="4"/>
      <c r="T37" s="4"/>
      <c r="U37" s="4"/>
      <c r="V37" s="4"/>
      <c r="W37" s="4"/>
      <c r="X37" s="4"/>
      <c r="Y37" s="4"/>
      <c r="Z37" s="4"/>
    </row>
    <row r="38" spans="1:26" ht="22.5" customHeight="1" x14ac:dyDescent="0.25">
      <c r="A38" s="2"/>
      <c r="B38" s="2"/>
      <c r="C38" s="2"/>
      <c r="D38" s="2"/>
      <c r="E38" s="2"/>
      <c r="F38" s="4"/>
      <c r="G38" s="4"/>
      <c r="H38" s="4" t="s">
        <v>116</v>
      </c>
      <c r="I38" s="4" t="str">
        <f ca="1">IFERROR(__xludf.DUMMYFUNCTION("GOOGLETRANSLATE(B38,""en"",""ar"")"),"من المرجح أن تكون هذه الحيوانات...")</f>
        <v>من المرجح أن تكون هذه الحيوانات...</v>
      </c>
      <c r="J38" s="4" t="str">
        <f ca="1">IFERROR(__xludf.DUMMYFUNCTION("GOOGLETRANSLATE(C38,""en"",""ar"")"),"أ) أبقار حلوب مُربّاة لإنتاج الحليب، ب) ثيران أو عجول تتصارع من أجل السيطرة، ج) عجول صغيرة تلعب، د) أم وعجلها")</f>
        <v>أ) أبقار حلوب مُربّاة لإنتاج الحليب، ب) ثيران أو عجول تتصارع من أجل السيطرة، ج) عجول صغيرة تلعب، د) أم وعجلها</v>
      </c>
      <c r="K38" s="4" t="str">
        <f ca="1">IFERROR(__xludf.DUMMYFUNCTION("GOOGLETRANSLATE(D38,""en"",""ar"")"),"ب) الثيران أو العجول التي تتصارع من أجل السيطرة")</f>
        <v>ب) الثيران أو العجول التي تتصارع من أجل السيطرة</v>
      </c>
      <c r="L38" s="4" t="str">
        <f ca="1">IFERROR(__xludf.DUMMYFUNCTION("GOOGLETRANSLATE(D38,""en"",""ar"")"),"ب) الثيران أو العجول التي تتصارع من أجل السيطرة")</f>
        <v>ب) الثيران أو العجول التي تتصارع من أجل السيطرة</v>
      </c>
      <c r="M38" s="4"/>
      <c r="N38" s="4"/>
      <c r="O38" s="4"/>
      <c r="P38" s="4"/>
      <c r="Q38" s="4"/>
      <c r="R38" s="4"/>
      <c r="S38" s="4"/>
      <c r="T38" s="4"/>
      <c r="U38" s="4"/>
      <c r="V38" s="4"/>
      <c r="W38" s="4"/>
      <c r="X38" s="4"/>
      <c r="Y38" s="4"/>
      <c r="Z38" s="4"/>
    </row>
    <row r="39" spans="1:26" ht="22.5" customHeight="1" x14ac:dyDescent="0.25">
      <c r="A39" s="2"/>
      <c r="B39" s="2"/>
      <c r="C39" s="2"/>
      <c r="D39" s="2"/>
      <c r="E39" s="2"/>
      <c r="F39" s="4"/>
      <c r="G39" s="4"/>
      <c r="H39" s="4" t="s">
        <v>116</v>
      </c>
      <c r="I39" s="4" t="str">
        <f ca="1">IFERROR(__xludf.DUMMYFUNCTION("GOOGLETRANSLATE(B39,""en"",""ar"")"),"من المحتمل أن يكون هذا المشهد قد حدث في أي نوع من البيئة؟")</f>
        <v>من المحتمل أن يكون هذا المشهد قد حدث في أي نوع من البيئة؟</v>
      </c>
      <c r="J39" s="4" t="str">
        <f ca="1">IFERROR(__xludf.DUMMYFUNCTION("GOOGLETRANSLATE(C39,""en"",""ar"")"),"أ) التندرا القطبية الشمالية، ب) غابة مطيرة كثيفة، ج) منطقة جافة قاحلة في أفريقيا، د) مزرعة ألبان حديثة في أوروبا")</f>
        <v>أ) التندرا القطبية الشمالية، ب) غابة مطيرة كثيفة، ج) منطقة جافة قاحلة في أفريقيا، د) مزرعة ألبان حديثة في أوروبا</v>
      </c>
      <c r="K39" s="4" t="str">
        <f ca="1">IFERROR(__xludf.DUMMYFUNCTION("GOOGLETRANSLATE(D39,""en"",""ar"")"),"ج) منطقة جافة وقاحلة في أفريقيا")</f>
        <v>ج) منطقة جافة وقاحلة في أفريقيا</v>
      </c>
      <c r="L39" s="4" t="str">
        <f ca="1">IFERROR(__xludf.DUMMYFUNCTION("GOOGLETRANSLATE(D39,""en"",""ar"")"),"ج) منطقة جافة وقاحلة في أفريقيا")</f>
        <v>ج) منطقة جافة وقاحلة في أفريقيا</v>
      </c>
      <c r="M39" s="4"/>
      <c r="N39" s="4"/>
      <c r="O39" s="4"/>
      <c r="P39" s="4"/>
      <c r="Q39" s="4"/>
      <c r="R39" s="4"/>
      <c r="S39" s="4"/>
      <c r="T39" s="4"/>
      <c r="U39" s="4"/>
      <c r="V39" s="4"/>
      <c r="W39" s="4"/>
      <c r="X39" s="4"/>
      <c r="Y39" s="4"/>
      <c r="Z39" s="4"/>
    </row>
    <row r="40" spans="1:26" ht="22.5" customHeight="1" x14ac:dyDescent="0.25">
      <c r="A40" s="2"/>
      <c r="B40" s="2"/>
      <c r="C40" s="2"/>
      <c r="D40" s="2"/>
      <c r="E40" s="2"/>
      <c r="F40" s="4"/>
      <c r="G40" s="4"/>
      <c r="H40" s="4" t="s">
        <v>116</v>
      </c>
      <c r="I40" s="4" t="str">
        <f ca="1">IFERROR(__xludf.DUMMYFUNCTION("GOOGLETRANSLATE(B40,""en"",""ar"")"),"طريقة تشابك القرون تدل على أنها تستخدم من أجل...")</f>
        <v>طريقة تشابك القرون تدل على أنها تستخدم من أجل...</v>
      </c>
      <c r="J40" s="4" t="str">
        <f ca="1">IFERROR(__xludf.DUMMYFUNCTION("GOOGLETRANSLATE(C40,""en"",""ar"")"),"أ) الدفع والرفع، ب) التقطيع والقطع، ج) تخزين الماء، د) إصدار الأصوات")</f>
        <v>أ) الدفع والرفع، ب) التقطيع والقطع، ج) تخزين الماء، د) إصدار الأصوات</v>
      </c>
      <c r="K40" s="4" t="str">
        <f ca="1">IFERROR(__xludf.DUMMYFUNCTION("GOOGLETRANSLATE(D40,""en"",""ar"")"),"أ) الدفع والاستفادة")</f>
        <v>أ) الدفع والاستفادة</v>
      </c>
      <c r="L40" s="4" t="str">
        <f ca="1">IFERROR(__xludf.DUMMYFUNCTION("GOOGLETRANSLATE(D40,""en"",""ar"")"),"أ) الدفع والاستفادة")</f>
        <v>أ) الدفع والاستفادة</v>
      </c>
      <c r="M40" s="4"/>
      <c r="N40" s="4"/>
      <c r="O40" s="4"/>
      <c r="P40" s="4"/>
      <c r="Q40" s="4"/>
      <c r="R40" s="4"/>
      <c r="S40" s="4"/>
      <c r="T40" s="4"/>
      <c r="U40" s="4"/>
      <c r="V40" s="4"/>
      <c r="W40" s="4"/>
      <c r="X40" s="4"/>
      <c r="Y40" s="4"/>
      <c r="Z40" s="4"/>
    </row>
    <row r="41" spans="1:26" ht="22.5" customHeight="1" x14ac:dyDescent="0.25">
      <c r="A41" s="2"/>
      <c r="B41" s="2"/>
      <c r="C41" s="2"/>
      <c r="D41" s="2"/>
      <c r="E41" s="2"/>
      <c r="F41" s="4"/>
      <c r="G41" s="4"/>
      <c r="H41" s="4" t="s">
        <v>116</v>
      </c>
      <c r="I41" s="4" t="str">
        <f ca="1">IFERROR(__xludf.DUMMYFUNCTION("GOOGLETRANSLATE(B41,""en"",""ar"")"),"ترتبط الأهمية الثقافية لأبقار أنكولي-واتوسي في أجزاء من أفريقيا بـ...")</f>
        <v>ترتبط الأهمية الثقافية لأبقار أنكولي-واتوسي في أجزاء من أفريقيا بـ...</v>
      </c>
      <c r="J41" s="4" t="str">
        <f ca="1">IFERROR(__xludf.DUMMYFUNCTION("GOOGLETRANSLATE(C41,""en"",""ar"")"),"أ) سرعتها في السباقات، ب) مكانتها كرمز للثروة والوجاهة، ج) إمكانية ركوبها مثل الخيول، د) استخدامها كحيوانات حراسة")</f>
        <v>أ) سرعتها في السباقات، ب) مكانتها كرمز للثروة والوجاهة، ج) إمكانية ركوبها مثل الخيول، د) استخدامها كحيوانات حراسة</v>
      </c>
      <c r="K41" s="4" t="str">
        <f ca="1">IFERROR(__xludf.DUMMYFUNCTION("GOOGLETRANSLATE(D41,""en"",""ar"")"),"ب) مكانتهم كرمز للثروة والهيبة")</f>
        <v>ب) مكانتهم كرمز للثروة والهيبة</v>
      </c>
      <c r="L41" s="4" t="str">
        <f ca="1">IFERROR(__xludf.DUMMYFUNCTION("GOOGLETRANSLATE(D41,""en"",""ar"")"),"ب) مكانتهم كرمز للثروة والهيبة")</f>
        <v>ب) مكانتهم كرمز للثروة والهيبة</v>
      </c>
      <c r="M41" s="4"/>
      <c r="N41" s="4"/>
      <c r="O41" s="4"/>
      <c r="P41" s="4"/>
      <c r="Q41" s="4"/>
      <c r="R41" s="4"/>
      <c r="S41" s="4"/>
      <c r="T41" s="4"/>
      <c r="U41" s="4"/>
      <c r="V41" s="4"/>
      <c r="W41" s="4"/>
      <c r="X41" s="4"/>
      <c r="Y41" s="4"/>
      <c r="Z41" s="4"/>
    </row>
    <row r="42" spans="1:26" ht="22.5" customHeight="1" x14ac:dyDescent="0.25">
      <c r="A42" s="2"/>
      <c r="B42" s="2"/>
      <c r="C42" s="2"/>
      <c r="D42" s="2"/>
      <c r="E42" s="2"/>
      <c r="F42" s="4"/>
      <c r="G42" s="4"/>
      <c r="H42" s="4" t="s">
        <v>117</v>
      </c>
      <c r="I42" s="4" t="str">
        <f ca="1">IFERROR(__xludf.DUMMYFUNCTION("GOOGLETRANSLATE(B42,""en"",""ar"")"),"ما هي الرياضة المصورة في هذه الصورة؟")</f>
        <v>ما هي الرياضة المصورة في هذه الصورة؟</v>
      </c>
      <c r="J42" s="4" t="str">
        <f ca="1">IFERROR(__xludf.DUMMYFUNCTION("GOOGLETRANSLATE(C42,""en"",""ar"")"),"أ) مصارعة الأبقار، ب) سباق الخيل، ج) ركوب الثيران في الروديو، د) رعي الماشية")</f>
        <v>أ) مصارعة الأبقار، ب) سباق الخيل، ج) ركوب الثيران في الروديو، د) رعي الماشية</v>
      </c>
      <c r="K42" s="4" t="str">
        <f ca="1">IFERROR(__xludf.DUMMYFUNCTION("GOOGLETRANSLATE(D42,""en"",""ar"")"),"ج) ركوب الثيران في الروديو")</f>
        <v>ج) ركوب الثيران في الروديو</v>
      </c>
      <c r="L42" s="4" t="str">
        <f ca="1">IFERROR(__xludf.DUMMYFUNCTION("GOOGLETRANSLATE(D42,""en"",""ar"")"),"ج) ركوب الثيران في الروديو")</f>
        <v>ج) ركوب الثيران في الروديو</v>
      </c>
      <c r="M42" s="4"/>
      <c r="N42" s="4"/>
      <c r="O42" s="4"/>
      <c r="P42" s="4"/>
      <c r="Q42" s="4"/>
      <c r="R42" s="4"/>
      <c r="S42" s="4"/>
      <c r="T42" s="4"/>
      <c r="U42" s="4"/>
      <c r="V42" s="4"/>
      <c r="W42" s="4"/>
      <c r="X42" s="4"/>
      <c r="Y42" s="4"/>
      <c r="Z42" s="4"/>
    </row>
    <row r="43" spans="1:26" ht="22.5" customHeight="1" x14ac:dyDescent="0.25">
      <c r="A43" s="2"/>
      <c r="B43" s="2"/>
      <c r="C43" s="2"/>
      <c r="D43" s="2"/>
      <c r="E43" s="2"/>
      <c r="F43" s="4"/>
      <c r="G43" s="4"/>
      <c r="H43" s="4" t="s">
        <v>117</v>
      </c>
      <c r="I43" s="4" t="str">
        <f ca="1">IFERROR(__xludf.DUMMYFUNCTION("GOOGLETRANSLATE(B43,""en"",""ar"")"),"ما الذي حدث للتو للراكب؟")</f>
        <v>ما الذي حدث للتو للراكب؟</v>
      </c>
      <c r="J43" s="4" t="str">
        <f ca="1">IFERROR(__xludf.DUMMYFUNCTION("GOOGLETRANSLATE(C43,""en"",""ar"")"),"أ) لقد أكمل رحلته بنجاح، ب) لقد سقط من على ظهر الثور، ج) هو على وشك امتطاء الثور، د) إنه مهرج يشتت انتباه الثور")</f>
        <v>أ) لقد أكمل رحلته بنجاح، ب) لقد سقط من على ظهر الثور، ج) هو على وشك امتطاء الثور، د) إنه مهرج يشتت انتباه الثور</v>
      </c>
      <c r="K43" s="4" t="str">
        <f ca="1">IFERROR(__xludf.DUMMYFUNCTION("GOOGLETRANSLATE(D43,""en"",""ar"")"),"ب) لقد أُلقي به من على ظهر الثور")</f>
        <v>ب) لقد أُلقي به من على ظهر الثور</v>
      </c>
      <c r="L43" s="4" t="str">
        <f ca="1">IFERROR(__xludf.DUMMYFUNCTION("GOOGLETRANSLATE(D43,""en"",""ar"")"),"ب) لقد أُلقي به من على ظهر الثور")</f>
        <v>ب) لقد أُلقي به من على ظهر الثور</v>
      </c>
      <c r="M43" s="4"/>
      <c r="N43" s="4"/>
      <c r="O43" s="4"/>
      <c r="P43" s="4"/>
      <c r="Q43" s="4"/>
      <c r="R43" s="4"/>
      <c r="S43" s="4"/>
      <c r="T43" s="4"/>
      <c r="U43" s="4"/>
      <c r="V43" s="4"/>
      <c r="W43" s="4"/>
      <c r="X43" s="4"/>
      <c r="Y43" s="4"/>
      <c r="Z43" s="4"/>
    </row>
    <row r="44" spans="1:26" ht="22.5" customHeight="1" x14ac:dyDescent="0.25">
      <c r="A44" s="2"/>
      <c r="B44" s="2"/>
      <c r="C44" s="2"/>
      <c r="D44" s="2"/>
      <c r="E44" s="2"/>
      <c r="F44" s="4"/>
      <c r="G44" s="4"/>
      <c r="H44" s="4" t="s">
        <v>117</v>
      </c>
      <c r="I44" s="4" t="str">
        <f ca="1">IFERROR(__xludf.DUMMYFUNCTION("GOOGLETRANSLATE(B44,""en"",""ar"")"),"ما هو الهدف بالنسبة للراكب في رياضة ركوب الثيران؟")</f>
        <v>ما هو الهدف بالنسبة للراكب في رياضة ركوب الثيران؟</v>
      </c>
      <c r="J44" s="4" t="str">
        <f ca="1">IFERROR(__xludf.DUMMYFUNCTION("GOOGLETRANSLATE(C44,""en"",""ar"")"),"أ) البقاء على ظهر الثور لمدة 8 ثوانٍ، ب) ركوب الثور حتى خط النهاية، ج) تهدئة الثور، د) الإمساك بالثور بالحبل")</f>
        <v>أ) البقاء على ظهر الثور لمدة 8 ثوانٍ، ب) ركوب الثور حتى خط النهاية، ج) تهدئة الثور، د) الإمساك بالثور بالحبل</v>
      </c>
      <c r="K44" s="4" t="str">
        <f ca="1">IFERROR(__xludf.DUMMYFUNCTION("GOOGLETRANSLATE(D44,""en"",""ar"")"),"أ) البقاء على الثور لمدة 8 ثوانٍ")</f>
        <v>أ) البقاء على الثور لمدة 8 ثوانٍ</v>
      </c>
      <c r="L44" s="4" t="str">
        <f ca="1">IFERROR(__xludf.DUMMYFUNCTION("GOOGLETRANSLATE(D44,""en"",""ar"")"),"أ) البقاء على الثور لمدة 8 ثوانٍ")</f>
        <v>أ) البقاء على الثور لمدة 8 ثوانٍ</v>
      </c>
      <c r="M44" s="4"/>
      <c r="N44" s="4"/>
      <c r="O44" s="4"/>
      <c r="P44" s="4"/>
      <c r="Q44" s="4"/>
      <c r="R44" s="4"/>
      <c r="S44" s="4"/>
      <c r="T44" s="4"/>
      <c r="U44" s="4"/>
      <c r="V44" s="4"/>
      <c r="W44" s="4"/>
      <c r="X44" s="4"/>
      <c r="Y44" s="4"/>
      <c r="Z44" s="4"/>
    </row>
    <row r="45" spans="1:26" ht="22.5" customHeight="1" x14ac:dyDescent="0.25">
      <c r="A45" s="2"/>
      <c r="B45" s="2"/>
      <c r="C45" s="2"/>
      <c r="D45" s="2"/>
      <c r="E45" s="2"/>
      <c r="F45" s="4"/>
      <c r="G45" s="4"/>
      <c r="H45" s="4" t="s">
        <v>117</v>
      </c>
      <c r="I45" s="4" t="str">
        <f ca="1">IFERROR(__xludf.DUMMYFUNCTION("GOOGLETRANSLATE(B45,""en"",""ar"")"),"ما هي قطعة المعدات المربوطة حول جسم الثور أمام ساقيه الخلفيتين مباشرة؟")</f>
        <v>ما هي قطعة المعدات المربوطة حول جسم الثور أمام ساقيه الخلفيتين مباشرة؟</v>
      </c>
      <c r="J45" s="4" t="str">
        <f ca="1">IFERROR(__xludf.DUMMYFUNCTION("GOOGLETRANSLATE(C45,""en"",""ar"")"),"أ) سرج، ب) حزام زينة، ج) حزام جانبي، د) حزام أمان")</f>
        <v>أ) سرج، ب) حزام زينة، ج) حزام جانبي، د) حزام أمان</v>
      </c>
      <c r="K45" s="4" t="str">
        <f ca="1">IFERROR(__xludf.DUMMYFUNCTION("GOOGLETRANSLATE(D45,""en"",""ar"")"),"ج) حزام جانبي")</f>
        <v>ج) حزام جانبي</v>
      </c>
      <c r="L45" s="4" t="str">
        <f ca="1">IFERROR(__xludf.DUMMYFUNCTION("GOOGLETRANSLATE(D45,""en"",""ar"")"),"ج) حزام جانبي")</f>
        <v>ج) حزام جانبي</v>
      </c>
      <c r="M45" s="4"/>
      <c r="N45" s="4"/>
      <c r="O45" s="4"/>
      <c r="P45" s="4"/>
      <c r="Q45" s="4"/>
      <c r="R45" s="4"/>
      <c r="S45" s="4"/>
      <c r="T45" s="4"/>
      <c r="U45" s="4"/>
      <c r="V45" s="4"/>
      <c r="W45" s="4"/>
      <c r="X45" s="4"/>
      <c r="Y45" s="4"/>
      <c r="Z45" s="4"/>
    </row>
    <row r="46" spans="1:26" ht="22.5" customHeight="1" x14ac:dyDescent="0.25">
      <c r="A46" s="2"/>
      <c r="B46" s="2"/>
      <c r="C46" s="2"/>
      <c r="D46" s="2"/>
      <c r="E46" s="2"/>
      <c r="F46" s="4"/>
      <c r="G46" s="4"/>
      <c r="H46" s="4" t="s">
        <v>117</v>
      </c>
      <c r="I46" s="4" t="str">
        <f ca="1">IFERROR(__xludf.DUMMYFUNCTION("GOOGLETRANSLATE(B46,""en"",""ar"")"),"الثور معلق في الهواء، وهذا دليل على...")</f>
        <v>الثور معلق في الهواء، وهذا دليل على...</v>
      </c>
      <c r="J46" s="4" t="str">
        <f ca="1">IFERROR(__xludf.DUMMYFUNCTION("GOOGLETRANSLATE(C46,""en"",""ar"")"),"أ) طبيعة هادئة ووديعة، ب) قوة رياضية هائلة، ج) الرغبة في الركوب، د) الشيخوخة والإرهاق")</f>
        <v>أ) طبيعة هادئة ووديعة، ب) قوة رياضية هائلة، ج) الرغبة في الركوب، د) الشيخوخة والإرهاق</v>
      </c>
      <c r="K46" s="4" t="str">
        <f ca="1">IFERROR(__xludf.DUMMYFUNCTION("GOOGLETRANSLATE(D46,""en"",""ar"")"),"ب) قوتها الرياضية المذهلة")</f>
        <v>ب) قوتها الرياضية المذهلة</v>
      </c>
      <c r="L46" s="4" t="str">
        <f ca="1">IFERROR(__xludf.DUMMYFUNCTION("GOOGLETRANSLATE(D46,""en"",""ar"")"),"ب) قوتها الرياضية المذهلة")</f>
        <v>ب) قوتها الرياضية المذهلة</v>
      </c>
      <c r="M46" s="4"/>
      <c r="N46" s="4"/>
      <c r="O46" s="4"/>
      <c r="P46" s="4"/>
      <c r="Q46" s="4"/>
      <c r="R46" s="4"/>
      <c r="S46" s="4"/>
      <c r="T46" s="4"/>
      <c r="U46" s="4"/>
      <c r="V46" s="4"/>
      <c r="W46" s="4"/>
      <c r="X46" s="4"/>
      <c r="Y46" s="4"/>
      <c r="Z46" s="4"/>
    </row>
    <row r="47" spans="1:26" ht="22.5" customHeight="1" x14ac:dyDescent="0.25">
      <c r="A47" s="2"/>
      <c r="B47" s="2"/>
      <c r="C47" s="2"/>
      <c r="D47" s="2"/>
      <c r="E47" s="2"/>
      <c r="F47" s="4"/>
      <c r="G47" s="4"/>
      <c r="H47" s="4" t="s">
        <v>117</v>
      </c>
      <c r="I47" s="4" t="str">
        <f ca="1">IFERROR(__xludf.DUMMYFUNCTION("GOOGLETRANSLATE(B47,""en"",""ar"")"),"تُعتبر هذه الرياضة واحدة من...")</f>
        <v>تُعتبر هذه الرياضة واحدة من...</v>
      </c>
      <c r="J47" s="4" t="str">
        <f ca="1">IFERROR(__xludf.DUMMYFUNCTION("GOOGLETRANSLATE(C47,""en"",""ar"")"),"أ) أكثر الرياضات أمانًا في العالم، ب) أكثر الرياضات خطورة في العالم، ج) أسهل الرياضات للتعلم، د) أقدم الرياضات في تاريخ البشرية")</f>
        <v>أ) أكثر الرياضات أمانًا في العالم، ب) أكثر الرياضات خطورة في العالم، ج) أسهل الرياضات للتعلم، د) أقدم الرياضات في تاريخ البشرية</v>
      </c>
      <c r="K47" s="4" t="str">
        <f ca="1">IFERROR(__xludf.DUMMYFUNCTION("GOOGLETRANSLATE(D47,""en"",""ar"")"),"ب) أخطر الرياضات في العالم")</f>
        <v>ب) أخطر الرياضات في العالم</v>
      </c>
      <c r="L47" s="4" t="str">
        <f ca="1">IFERROR(__xludf.DUMMYFUNCTION("GOOGLETRANSLATE(D47,""en"",""ar"")"),"ب) أخطر الرياضات في العالم")</f>
        <v>ب) أخطر الرياضات في العالم</v>
      </c>
      <c r="M47" s="4"/>
      <c r="N47" s="4"/>
      <c r="O47" s="4"/>
      <c r="P47" s="4"/>
      <c r="Q47" s="4"/>
      <c r="R47" s="4"/>
      <c r="S47" s="4"/>
      <c r="T47" s="4"/>
      <c r="U47" s="4"/>
      <c r="V47" s="4"/>
      <c r="W47" s="4"/>
      <c r="X47" s="4"/>
      <c r="Y47" s="4"/>
      <c r="Z47" s="4"/>
    </row>
    <row r="48" spans="1:26" ht="22.5" customHeight="1" x14ac:dyDescent="0.25">
      <c r="A48" s="2"/>
      <c r="B48" s="2"/>
      <c r="C48" s="2"/>
      <c r="D48" s="2"/>
      <c r="E48" s="2"/>
      <c r="F48" s="4"/>
      <c r="G48" s="4"/>
      <c r="H48" s="4" t="s">
        <v>117</v>
      </c>
      <c r="I48" s="4" t="str">
        <f ca="1">IFERROR(__xludf.DUMMYFUNCTION("GOOGLETRANSLATE(B48,""en"",""ar"")"),"أين سيُقام هذا الحدث؟")</f>
        <v>أين سيُقام هذا الحدث؟</v>
      </c>
      <c r="J48" s="4" t="str">
        <f ca="1">IFERROR(__xludf.DUMMYFUNCTION("GOOGLETRANSLATE(C48,""en"",""ar"")"),"أ) في مرعى عشبي، ب) في شارع بالمدينة، ج) في حلبة مصارعة الثيران، د) على شاطئ البحر")</f>
        <v>أ) في مرعى عشبي، ب) في شارع بالمدينة، ج) في حلبة مصارعة الثيران، د) على شاطئ البحر</v>
      </c>
      <c r="K48" s="4" t="str">
        <f ca="1">IFERROR(__xludf.DUMMYFUNCTION("GOOGLETRANSLATE(D48,""en"",""ar"")"),"ج) في حلبة مصارعة الثيران")</f>
        <v>ج) في حلبة مصارعة الثيران</v>
      </c>
      <c r="L48" s="4" t="str">
        <f ca="1">IFERROR(__xludf.DUMMYFUNCTION("GOOGLETRANSLATE(D48,""en"",""ar"")"),"ج) في حلبة مصارعة الثيران")</f>
        <v>ج) في حلبة مصارعة الثيران</v>
      </c>
      <c r="M48" s="4"/>
      <c r="N48" s="4"/>
      <c r="O48" s="4"/>
      <c r="P48" s="4"/>
      <c r="Q48" s="4"/>
      <c r="R48" s="4"/>
      <c r="S48" s="4"/>
      <c r="T48" s="4"/>
      <c r="U48" s="4"/>
      <c r="V48" s="4"/>
      <c r="W48" s="4"/>
      <c r="X48" s="4"/>
      <c r="Y48" s="4"/>
      <c r="Z48" s="4"/>
    </row>
    <row r="49" spans="1:26" ht="22.5" customHeight="1" x14ac:dyDescent="0.25">
      <c r="A49" s="2"/>
      <c r="B49" s="2"/>
      <c r="C49" s="2"/>
      <c r="D49" s="2"/>
      <c r="E49" s="2"/>
      <c r="F49" s="4"/>
      <c r="G49" s="4"/>
      <c r="H49" s="4" t="s">
        <v>117</v>
      </c>
      <c r="I49" s="4" t="str">
        <f ca="1">IFERROR(__xludf.DUMMYFUNCTION("GOOGLETRANSLATE(B49,""en"",""ar"")"),"ما نوع نمط فراء الثور الموجود في الصورة؟")</f>
        <v>ما نوع نمط فراء الثور الموجود في الصورة؟</v>
      </c>
      <c r="J49" s="4" t="str">
        <f ca="1">IFERROR(__xludf.DUMMYFUNCTION("GOOGLETRANSLATE(C49,""en"",""ar"")"),"أ) أبيض ناصع، ب) أسود ناصع، ج) بني وأبيض، د) أبيض مع بقع سوداء")</f>
        <v>أ) أبيض ناصع، ب) أسود ناصع، ج) بني وأبيض، د) أبيض مع بقع سوداء</v>
      </c>
      <c r="K49" s="4" t="str">
        <f ca="1">IFERROR(__xludf.DUMMYFUNCTION("GOOGLETRANSLATE(D49,""en"",""ar"")"),"د) أبيض مع بقع سوداء")</f>
        <v>د) أبيض مع بقع سوداء</v>
      </c>
      <c r="L49" s="4" t="str">
        <f ca="1">IFERROR(__xludf.DUMMYFUNCTION("GOOGLETRANSLATE(D49,""en"",""ar"")"),"د) أبيض مع بقع سوداء")</f>
        <v>د) أبيض مع بقع سوداء</v>
      </c>
      <c r="M49" s="4"/>
      <c r="N49" s="4"/>
      <c r="O49" s="4"/>
      <c r="P49" s="4"/>
      <c r="Q49" s="4"/>
      <c r="R49" s="4"/>
      <c r="S49" s="4"/>
      <c r="T49" s="4"/>
      <c r="U49" s="4"/>
      <c r="V49" s="4"/>
      <c r="W49" s="4"/>
      <c r="X49" s="4"/>
      <c r="Y49" s="4"/>
      <c r="Z49" s="4"/>
    </row>
    <row r="50" spans="1:26" ht="22.5" customHeight="1" x14ac:dyDescent="0.25">
      <c r="A50" s="2"/>
      <c r="B50" s="2"/>
      <c r="C50" s="2"/>
      <c r="D50" s="2"/>
      <c r="E50" s="2"/>
      <c r="F50" s="4"/>
      <c r="G50" s="4"/>
      <c r="H50" s="4" t="s">
        <v>117</v>
      </c>
      <c r="I50" s="4" t="str">
        <f ca="1">IFERROR(__xludf.DUMMYFUNCTION("GOOGLETRANSLATE(B50,""en"",""ar"")"),"الراكب الموجود على الأرض في وضع خطير للغاية لأن...")</f>
        <v>الراكب الموجود على الأرض في وضع خطير للغاية لأن...</v>
      </c>
      <c r="J50" s="4" t="str">
        <f ca="1">IFERROR(__xludf.DUMMYFUNCTION("GOOGLETRANSLATE(C50,""en"",""ar"")"),"أ) قد يتسخ، ب) قد يهبط الثور عليه أو يدوسه، ج) لقد خسر نقاطًا، د) قد يسخر منه الجمهور")</f>
        <v>أ) قد يتسخ، ب) قد يهبط الثور عليه أو يدوسه، ج) لقد خسر نقاطًا، د) قد يسخر منه الجمهور</v>
      </c>
      <c r="K50" s="4" t="str">
        <f ca="1">IFERROR(__xludf.DUMMYFUNCTION("GOOGLETRANSLATE(D50,""en"",""ar"")"),"ب) قد يهبط الثور عليه أو يدوسه")</f>
        <v>ب) قد يهبط الثور عليه أو يدوسه</v>
      </c>
      <c r="L50" s="4" t="str">
        <f ca="1">IFERROR(__xludf.DUMMYFUNCTION("GOOGLETRANSLATE(D50,""en"",""ar"")"),"ب) قد يهبط الثور عليه أو يدوسه")</f>
        <v>ب) قد يهبط الثور عليه أو يدوسه</v>
      </c>
      <c r="M50" s="4"/>
      <c r="N50" s="4"/>
      <c r="O50" s="4"/>
      <c r="P50" s="4"/>
      <c r="Q50" s="4"/>
      <c r="R50" s="4"/>
      <c r="S50" s="4"/>
      <c r="T50" s="4"/>
      <c r="U50" s="4"/>
      <c r="V50" s="4"/>
      <c r="W50" s="4"/>
      <c r="X50" s="4"/>
      <c r="Y50" s="4"/>
      <c r="Z50" s="4"/>
    </row>
    <row r="51" spans="1:26" ht="22.5" customHeight="1" x14ac:dyDescent="0.25">
      <c r="A51" s="2"/>
      <c r="B51" s="2"/>
      <c r="C51" s="2"/>
      <c r="D51" s="2"/>
      <c r="E51" s="2"/>
      <c r="F51" s="4"/>
      <c r="G51" s="4"/>
      <c r="H51" s="4" t="s">
        <v>117</v>
      </c>
      <c r="I51" s="4" t="str">
        <f ca="1">IFERROR(__xludf.DUMMYFUNCTION("GOOGLETRANSLATE(B51,""en"",""ar"")"),"ما هو النشاط التاريخي الذي نشأت منه هذه الرياضة؟")</f>
        <v>ما هو النشاط التاريخي الذي نشأت منه هذه الرياضة؟</v>
      </c>
      <c r="J51" s="4" t="str">
        <f ca="1">IFERROR(__xludf.DUMMYFUNCTION("GOOGLETRANSLATE(C51,""en"",""ar"")"),"أ) ألعاب المصارعة الرومانية القديمة، ب) صيد الثعالب الإنجليزي، ج) ثقافة رعاة البقر وتربية الماشية الأمريكية، د) مصارعة السومو اليابانية")</f>
        <v>أ) ألعاب المصارعة الرومانية القديمة، ب) صيد الثعالب الإنجليزي، ج) ثقافة رعاة البقر وتربية الماشية الأمريكية، د) مصارعة السومو اليابانية</v>
      </c>
      <c r="K51" s="4" t="str">
        <f ca="1">IFERROR(__xludf.DUMMYFUNCTION("GOOGLETRANSLATE(D51,""en"",""ar"")"),"ج) ثقافة رعاة البقر وتربية الماشية الأمريكية")</f>
        <v>ج) ثقافة رعاة البقر وتربية الماشية الأمريكية</v>
      </c>
      <c r="L51" s="4" t="str">
        <f ca="1">IFERROR(__xludf.DUMMYFUNCTION("GOOGLETRANSLATE(D51,""en"",""ar"")"),"ج) ثقافة رعاة البقر وتربية الماشية الأمريكية")</f>
        <v>ج) ثقافة رعاة البقر وتربية الماشية الأمريكية</v>
      </c>
      <c r="M51" s="4"/>
      <c r="N51" s="4"/>
      <c r="O51" s="4"/>
      <c r="P51" s="4"/>
      <c r="Q51" s="4"/>
      <c r="R51" s="4"/>
      <c r="S51" s="4"/>
      <c r="T51" s="4"/>
      <c r="U51" s="4"/>
      <c r="V51" s="4"/>
      <c r="W51" s="4"/>
      <c r="X51" s="4"/>
      <c r="Y51" s="4"/>
      <c r="Z51" s="4"/>
    </row>
    <row r="52" spans="1:26" ht="22.5" customHeight="1" x14ac:dyDescent="0.25">
      <c r="A52" s="2"/>
      <c r="B52" s="2"/>
      <c r="C52" s="2"/>
      <c r="D52" s="2"/>
      <c r="E52" s="2"/>
      <c r="F52" s="4"/>
      <c r="G52" s="4"/>
      <c r="H52" s="4" t="s">
        <v>118</v>
      </c>
      <c r="I52" s="4" t="str">
        <f ca="1">IFERROR(__xludf.DUMMYFUNCTION("GOOGLETRANSLATE(B52,""en"",""ar"")"),"ما هي أبرز سمة جسدية للحيوان ذي اللون الفاتح الموجود على اليسار؟")</f>
        <v>ما هي أبرز سمة جسدية للحيوان ذي اللون الفاتح الموجود على اليسار؟</v>
      </c>
      <c r="J52" s="4" t="str">
        <f ca="1">IFERROR(__xludf.DUMMYFUNCTION("GOOGLETRANSLATE(C52,""en"",""ar"")"),"أ) شعره الطويل الأشعث، ب) حدبته العضلية الكبيرة فوق كتفيه، ج) قرونه الطويلة للغاية، د) معطفه المرقط")</f>
        <v>أ) شعره الطويل الأشعث، ب) حدبته العضلية الكبيرة فوق كتفيه، ج) قرونه الطويلة للغاية، د) معطفه المرقط</v>
      </c>
      <c r="K52" s="4" t="str">
        <f ca="1">IFERROR(__xludf.DUMMYFUNCTION("GOOGLETRANSLATE(D52,""en"",""ar"")"),"ب) حدبتها العضلية الكبيرة فوق الكتفين")</f>
        <v>ب) حدبتها العضلية الكبيرة فوق الكتفين</v>
      </c>
      <c r="L52" s="4" t="str">
        <f ca="1">IFERROR(__xludf.DUMMYFUNCTION("GOOGLETRANSLATE(D52,""en"",""ar"")"),"ب) حدبتها العضلية الكبيرة فوق الكتفين")</f>
        <v>ب) حدبتها العضلية الكبيرة فوق الكتفين</v>
      </c>
      <c r="M52" s="4"/>
      <c r="N52" s="4"/>
      <c r="O52" s="4"/>
      <c r="P52" s="4"/>
      <c r="Q52" s="4"/>
      <c r="R52" s="4"/>
      <c r="S52" s="4"/>
      <c r="T52" s="4"/>
      <c r="U52" s="4"/>
      <c r="V52" s="4"/>
      <c r="W52" s="4"/>
      <c r="X52" s="4"/>
      <c r="Y52" s="4"/>
      <c r="Z52" s="4"/>
    </row>
    <row r="53" spans="1:26" ht="22.5" customHeight="1" x14ac:dyDescent="0.25">
      <c r="A53" s="2"/>
      <c r="B53" s="2"/>
      <c r="C53" s="2"/>
      <c r="D53" s="2"/>
      <c r="E53" s="2"/>
      <c r="F53" s="4"/>
      <c r="G53" s="4"/>
      <c r="H53" s="4" t="s">
        <v>118</v>
      </c>
      <c r="I53" s="4" t="str">
        <f ca="1">IFERROR(__xludf.DUMMYFUNCTION("GOOGLETRANSLATE(B53,""en"",""ar"")"),"هذه الحيوانات نوع من...")</f>
        <v>هذه الحيوانات نوع من...</v>
      </c>
      <c r="J53" s="4" t="str">
        <f ca="1">IFERROR(__xludf.DUMMYFUNCTION("GOOGLETRANSLATE(C53,""en"",""ar"")"),"أ) بقرة حلوب أوروبية (مثل الهولشتاين)، ب) جاموس أفريقي، ج) أبقار زيبو، د) بيسون أمريكي")</f>
        <v>أ) بقرة حلوب أوروبية (مثل الهولشتاين)، ب) جاموس أفريقي، ج) أبقار زيبو، د) بيسون أمريكي</v>
      </c>
      <c r="K53" s="4" t="str">
        <f ca="1">IFERROR(__xludf.DUMMYFUNCTION("GOOGLETRANSLATE(D53,""en"",""ar"")"),"ج) أبقار الزيبو")</f>
        <v>ج) أبقار الزيبو</v>
      </c>
      <c r="L53" s="4" t="str">
        <f ca="1">IFERROR(__xludf.DUMMYFUNCTION("GOOGLETRANSLATE(D53,""en"",""ar"")"),"ج) أبقار الزيبو")</f>
        <v>ج) أبقار الزيبو</v>
      </c>
      <c r="M53" s="4"/>
      <c r="N53" s="4"/>
      <c r="O53" s="4"/>
      <c r="P53" s="4"/>
      <c r="Q53" s="4"/>
      <c r="R53" s="4"/>
      <c r="S53" s="4"/>
      <c r="T53" s="4"/>
      <c r="U53" s="4"/>
      <c r="V53" s="4"/>
      <c r="W53" s="4"/>
      <c r="X53" s="4"/>
      <c r="Y53" s="4"/>
      <c r="Z53" s="4"/>
    </row>
    <row r="54" spans="1:26" ht="22.5" customHeight="1" x14ac:dyDescent="0.25">
      <c r="A54" s="2"/>
      <c r="B54" s="2"/>
      <c r="C54" s="2"/>
      <c r="D54" s="2"/>
      <c r="E54" s="2"/>
      <c r="F54" s="4"/>
      <c r="G54" s="4"/>
      <c r="H54" s="4" t="s">
        <v>118</v>
      </c>
      <c r="I54" s="4" t="str">
        <f ca="1">IFERROR(__xludf.DUMMYFUNCTION("GOOGLETRANSLATE(B54,""en"",""ar"")"),"ما هو سياق هذه المواجهة؟")</f>
        <v>ما هو سياق هذه المواجهة؟</v>
      </c>
      <c r="J54" s="4" t="str">
        <f ca="1">IFERROR(__xludf.DUMMYFUNCTION("GOOGLETRANSLATE(C54,""en"",""ar"")"),"أ) مرعى عشبي، ب) ساحة قتال رسمية، ج) شارع سكني، د) غابة كثيفة")</f>
        <v>أ) مرعى عشبي، ب) ساحة قتال رسمية، ج) شارع سكني، د) غابة كثيفة</v>
      </c>
      <c r="K54" s="4" t="str">
        <f ca="1">IFERROR(__xludf.DUMMYFUNCTION("GOOGLETRANSLATE(D54,""en"",""ar"")"),"ج) شارع سكني")</f>
        <v>ج) شارع سكني</v>
      </c>
      <c r="L54" s="4" t="str">
        <f ca="1">IFERROR(__xludf.DUMMYFUNCTION("GOOGLETRANSLATE(D54,""en"",""ar"")"),"ج) شارع سكني")</f>
        <v>ج) شارع سكني</v>
      </c>
      <c r="M54" s="4"/>
      <c r="N54" s="4"/>
      <c r="O54" s="4"/>
      <c r="P54" s="4"/>
      <c r="Q54" s="4"/>
      <c r="R54" s="4"/>
      <c r="S54" s="4"/>
      <c r="T54" s="4"/>
      <c r="U54" s="4"/>
      <c r="V54" s="4"/>
      <c r="W54" s="4"/>
      <c r="X54" s="4"/>
      <c r="Y54" s="4"/>
      <c r="Z54" s="4"/>
    </row>
    <row r="55" spans="1:26" ht="22.5" customHeight="1" x14ac:dyDescent="0.25">
      <c r="A55" s="2"/>
      <c r="B55" s="2"/>
      <c r="C55" s="2"/>
      <c r="D55" s="2"/>
      <c r="E55" s="2"/>
      <c r="F55" s="4"/>
      <c r="G55" s="4"/>
      <c r="H55" s="4" t="s">
        <v>118</v>
      </c>
      <c r="I55" s="4" t="str">
        <f ca="1">IFERROR(__xludf.DUMMYFUNCTION("GOOGLETRANSLATE(B55,""en"",""ar"")"),"ماذا يفعل الثور الأسود الموجود على اليمين؟")</f>
        <v>ماذا يفعل الثور الأسود الموجود على اليمين؟</v>
      </c>
      <c r="J55" s="4" t="str">
        <f ca="1">IFERROR(__xludf.DUMMYFUNCTION("GOOGLETRANSLATE(C55,""en"",""ar"")"),"أ) يرعى بسلام، ب) يهرب، ج) يخفض رأسه لتحدي أو مهاجمة الثور الآخر، د) نائم")</f>
        <v>أ) يرعى بسلام، ب) يهرب، ج) يخفض رأسه لتحدي أو مهاجمة الثور الآخر، د) نائم</v>
      </c>
      <c r="K55" s="4" t="str">
        <f ca="1">IFERROR(__xludf.DUMMYFUNCTION("GOOGLETRANSLATE(D55,""en"",""ar"")"),"ج) إنه يخفض رأسه لتحدي الثور الآخر أو مهاجمته")</f>
        <v>ج) إنه يخفض رأسه لتحدي الثور الآخر أو مهاجمته</v>
      </c>
      <c r="L55" s="4" t="str">
        <f ca="1">IFERROR(__xludf.DUMMYFUNCTION("GOOGLETRANSLATE(D55,""en"",""ar"")"),"ج) إنه يخفض رأسه لتحدي الثور الآخر أو مهاجمته")</f>
        <v>ج) إنه يخفض رأسه لتحدي الثور الآخر أو مهاجمته</v>
      </c>
      <c r="M55" s="4"/>
      <c r="N55" s="4"/>
      <c r="O55" s="4"/>
      <c r="P55" s="4"/>
      <c r="Q55" s="4"/>
      <c r="R55" s="4"/>
      <c r="S55" s="4"/>
      <c r="T55" s="4"/>
      <c r="U55" s="4"/>
      <c r="V55" s="4"/>
      <c r="W55" s="4"/>
      <c r="X55" s="4"/>
      <c r="Y55" s="4"/>
      <c r="Z55" s="4"/>
    </row>
    <row r="56" spans="1:26" ht="22.5" customHeight="1" x14ac:dyDescent="0.25">
      <c r="A56" s="2"/>
      <c r="B56" s="2"/>
      <c r="C56" s="2"/>
      <c r="D56" s="2"/>
      <c r="E56" s="2"/>
      <c r="F56" s="4"/>
      <c r="G56" s="4"/>
      <c r="H56" s="4" t="s">
        <v>118</v>
      </c>
      <c r="I56" s="4" t="str">
        <f ca="1">IFERROR(__xludf.DUMMYFUNCTION("GOOGLETRANSLATE(B56,""en"",""ar"")"),"من المرجح أن تكون هذه المواجهة...")</f>
        <v>من المرجح أن تكون هذه المواجهة...</v>
      </c>
      <c r="J56" s="4" t="str">
        <f ca="1">IFERROR(__xludf.DUMMYFUNCTION("GOOGLETRANSLATE(C56,""en"",""ar"")"),"أ) حدث رياضي منظم للغاية ويتطلب تذاكر، ب) صراع عفوي على السيادة بين ثيران طليقة، ج) عرض تمثيلي لفيلم، د) لعبة ودية بين حيوانين أليفين")</f>
        <v>أ) حدث رياضي منظم للغاية ويتطلب تذاكر، ب) صراع عفوي على السيادة بين ثيران طليقة، ج) عرض تمثيلي لفيلم، د) لعبة ودية بين حيوانين أليفين</v>
      </c>
      <c r="K56" s="4" t="str">
        <f ca="1">IFERROR(__xludf.DUMMYFUNCTION("GOOGLETRANSLATE(D56,""en"",""ar"")"),"ب) صراع عفوي على الهيمنة بين الثيران التي تتجول بحرية")</f>
        <v>ب) صراع عفوي على الهيمنة بين الثيران التي تتجول بحرية</v>
      </c>
      <c r="L56" s="4" t="str">
        <f ca="1">IFERROR(__xludf.DUMMYFUNCTION("GOOGLETRANSLATE(D56,""en"",""ar"")"),"ب) صراع عفوي على الهيمنة بين الثيران التي تتجول بحرية")</f>
        <v>ب) صراع عفوي على الهيمنة بين الثيران التي تتجول بحرية</v>
      </c>
      <c r="M56" s="4"/>
      <c r="N56" s="4"/>
      <c r="O56" s="4"/>
      <c r="P56" s="4"/>
      <c r="Q56" s="4"/>
      <c r="R56" s="4"/>
      <c r="S56" s="4"/>
      <c r="T56" s="4"/>
      <c r="U56" s="4"/>
      <c r="V56" s="4"/>
      <c r="W56" s="4"/>
      <c r="X56" s="4"/>
      <c r="Y56" s="4"/>
      <c r="Z56" s="4"/>
    </row>
    <row r="57" spans="1:26" ht="22.5" customHeight="1" x14ac:dyDescent="0.25">
      <c r="A57" s="2"/>
      <c r="B57" s="2"/>
      <c r="C57" s="2"/>
      <c r="D57" s="2"/>
      <c r="E57" s="2"/>
      <c r="F57" s="4"/>
      <c r="G57" s="4"/>
      <c r="H57" s="4" t="s">
        <v>118</v>
      </c>
      <c r="I57" s="4" t="str">
        <f ca="1">IFERROR(__xludf.DUMMYFUNCTION("GOOGLETRANSLATE(B57,""en"",""ar"")"),"ما هو الوقت من اليوم الذي تشير إليه الإضاءة؟")</f>
        <v>ما هو الوقت من اليوم الذي تشير إليه الإضاءة؟</v>
      </c>
      <c r="J57" s="4" t="str">
        <f ca="1">IFERROR(__xludf.DUMMYFUNCTION("GOOGLETRANSLATE(C57,""en"",""ar"")"),"أ) منتصف النهار، مع شمس ساطعة في كبد السماء، ب) أواخر فترة ما بعد الظهر، مع ضوء دافئ وضبابي، ج) منتصف الليل، د) صباح مشرق ومثلج")</f>
        <v>أ) منتصف النهار، مع شمس ساطعة في كبد السماء، ب) أواخر فترة ما بعد الظهر، مع ضوء دافئ وضبابي، ج) منتصف الليل، د) صباح مشرق ومثلج</v>
      </c>
      <c r="K57" s="4" t="str">
        <f ca="1">IFERROR(__xludf.DUMMYFUNCTION("GOOGLETRANSLATE(D57,""en"",""ar"")"),"ب) أواخر فترة ما بعد الظهر، مع ضوء دافئ وضبابي")</f>
        <v>ب) أواخر فترة ما بعد الظهر، مع ضوء دافئ وضبابي</v>
      </c>
      <c r="L57" s="4" t="str">
        <f ca="1">IFERROR(__xludf.DUMMYFUNCTION("GOOGLETRANSLATE(D57,""en"",""ar"")"),"ب) أواخر فترة ما بعد الظهر، مع ضوء دافئ وضبابي")</f>
        <v>ب) أواخر فترة ما بعد الظهر، مع ضوء دافئ وضبابي</v>
      </c>
      <c r="M57" s="4"/>
      <c r="N57" s="4"/>
      <c r="O57" s="4"/>
      <c r="P57" s="4"/>
      <c r="Q57" s="4"/>
      <c r="R57" s="4"/>
      <c r="S57" s="4"/>
      <c r="T57" s="4"/>
      <c r="U57" s="4"/>
      <c r="V57" s="4"/>
      <c r="W57" s="4"/>
      <c r="X57" s="4"/>
      <c r="Y57" s="4"/>
      <c r="Z57" s="4"/>
    </row>
    <row r="58" spans="1:26" ht="22.5" customHeight="1" x14ac:dyDescent="0.25">
      <c r="A58" s="2"/>
      <c r="B58" s="2"/>
      <c r="C58" s="2"/>
      <c r="D58" s="2"/>
      <c r="E58" s="2"/>
      <c r="F58" s="4"/>
      <c r="G58" s="4"/>
      <c r="H58" s="4" t="s">
        <v>118</v>
      </c>
      <c r="I58" s="4" t="str">
        <f ca="1">IFERROR(__xludf.DUMMYFUNCTION("GOOGLETRANSLATE(B58,""en"",""ar"")"),"ما نوع المناخ الذي تتكيف معه أبقار الزيبو بشكل جيد؟")</f>
        <v>ما نوع المناخ الذي تتكيف معه أبقار الزيبو بشكل جيد؟</v>
      </c>
      <c r="J58" s="4" t="str">
        <f ca="1">IFERROR(__xludf.DUMMYFUNCTION("GOOGLETRANSLATE(C58,""en"",""ar"")"),"أ) المناخات القطبية الباردة، ب) المناخات الحارة والرطبة، ج) المناخات المعتدلة الممطرة، د) مناخات الجبال العالية الارتفاع")</f>
        <v>أ) المناخات القطبية الباردة، ب) المناخات الحارة والرطبة، ج) المناخات المعتدلة الممطرة، د) مناخات الجبال العالية الارتفاع</v>
      </c>
      <c r="K58" s="4" t="str">
        <f ca="1">IFERROR(__xludf.DUMMYFUNCTION("GOOGLETRANSLATE(D58,""en"",""ar"")"),"ب) المناخات الحارة والرطبة")</f>
        <v>ب) المناخات الحارة والرطبة</v>
      </c>
      <c r="L58" s="4" t="str">
        <f ca="1">IFERROR(__xludf.DUMMYFUNCTION("GOOGLETRANSLATE(D58,""en"",""ar"")"),"ب) المناخات الحارة والرطبة")</f>
        <v>ب) المناخات الحارة والرطبة</v>
      </c>
      <c r="M58" s="4"/>
      <c r="N58" s="4"/>
      <c r="O58" s="4"/>
      <c r="P58" s="4"/>
      <c r="Q58" s="4"/>
      <c r="R58" s="4"/>
      <c r="S58" s="4"/>
      <c r="T58" s="4"/>
      <c r="U58" s="4"/>
      <c r="V58" s="4"/>
      <c r="W58" s="4"/>
      <c r="X58" s="4"/>
      <c r="Y58" s="4"/>
      <c r="Z58" s="4"/>
    </row>
    <row r="59" spans="1:26" ht="22.5" customHeight="1" x14ac:dyDescent="0.25">
      <c r="A59" s="2"/>
      <c r="B59" s="2"/>
      <c r="C59" s="2"/>
      <c r="D59" s="2"/>
      <c r="E59" s="2"/>
      <c r="F59" s="4"/>
      <c r="G59" s="4"/>
      <c r="H59" s="4" t="s">
        <v>118</v>
      </c>
      <c r="I59" s="4" t="str">
        <f ca="1">IFERROR(__xludf.DUMMYFUNCTION("GOOGLETRANSLATE(B59,""en"",""ar"")"),"الثور الأبيض ينعطف بعيدًا، مما قد يشير إلى أنه...")</f>
        <v>الثور الأبيض ينعطف بعيدًا، مما قد يشير إلى أنه...</v>
      </c>
      <c r="J59" s="4" t="str">
        <f ca="1">IFERROR(__xludf.DUMMYFUNCTION("GOOGLETRANSLATE(C59,""en"",""ar"")"),"أ) الاستعداد للهجوم من زاوية أخرى، ب) محاولة تجنب القتال، ج) الحيوان المهيمن ويتجاهل التحدي، د) البحث عن صاحبه")</f>
        <v>أ) الاستعداد للهجوم من زاوية أخرى، ب) محاولة تجنب القتال، ج) الحيوان المهيمن ويتجاهل التحدي، د) البحث عن صاحبه</v>
      </c>
      <c r="K59" s="4" t="str">
        <f ca="1">IFERROR(__xludf.DUMMYFUNCTION("GOOGLETRANSLATE(D59,""en"",""ar"")"),"ب) محاولة تجنب الشجار")</f>
        <v>ب) محاولة تجنب الشجار</v>
      </c>
      <c r="L59" s="4" t="str">
        <f ca="1">IFERROR(__xludf.DUMMYFUNCTION("GOOGLETRANSLATE(D59,""en"",""ar"")"),"ب) محاولة تجنب الشجار")</f>
        <v>ب) محاولة تجنب الشجار</v>
      </c>
      <c r="M59" s="4"/>
      <c r="N59" s="4"/>
      <c r="O59" s="4"/>
      <c r="P59" s="4"/>
      <c r="Q59" s="4"/>
      <c r="R59" s="4"/>
      <c r="S59" s="4"/>
      <c r="T59" s="4"/>
      <c r="U59" s="4"/>
      <c r="V59" s="4"/>
      <c r="W59" s="4"/>
      <c r="X59" s="4"/>
      <c r="Y59" s="4"/>
      <c r="Z59" s="4"/>
    </row>
    <row r="60" spans="1:26" ht="22.5" customHeight="1" x14ac:dyDescent="0.25">
      <c r="A60" s="2"/>
      <c r="B60" s="2"/>
      <c r="C60" s="2"/>
      <c r="D60" s="2"/>
      <c r="E60" s="2"/>
      <c r="F60" s="4"/>
      <c r="G60" s="4"/>
      <c r="H60" s="4" t="s">
        <v>118</v>
      </c>
      <c r="I60" s="4" t="str">
        <f ca="1">IFERROR(__xludf.DUMMYFUNCTION("GOOGLETRANSLATE(B60,""en"",""ar"")"),"يُعد وجود الماشية التي تتجول بحرية في منطقة سكنية أمراً شائعاً في...")</f>
        <v>يُعد وجود الماشية التي تتجول بحرية في منطقة سكنية أمراً شائعاً في...</v>
      </c>
      <c r="J60" s="4" t="str">
        <f ca="1">IFERROR(__xludf.DUMMYFUNCTION("GOOGLETRANSLATE(C60,""en"",""ar"")"),"أ) المدن الرئيسية في أمريكا الشمالية، ب) أجزاء كثيرة من جنوب آسيا، مثل الهند، ج) وسط لندن، د) ضواحي طوكيو")</f>
        <v>أ) المدن الرئيسية في أمريكا الشمالية، ب) أجزاء كثيرة من جنوب آسيا، مثل الهند، ج) وسط لندن، د) ضواحي طوكيو</v>
      </c>
      <c r="K60" s="4" t="str">
        <f ca="1">IFERROR(__xludf.DUMMYFUNCTION("GOOGLETRANSLATE(D60,""en"",""ar"")"),"ب) أجزاء كثيرة من جنوب آسيا، مثل الهند")</f>
        <v>ب) أجزاء كثيرة من جنوب آسيا، مثل الهند</v>
      </c>
      <c r="L60" s="4" t="str">
        <f ca="1">IFERROR(__xludf.DUMMYFUNCTION("GOOGLETRANSLATE(D60,""en"",""ar"")"),"ب) أجزاء كثيرة من جنوب آسيا، مثل الهند")</f>
        <v>ب) أجزاء كثيرة من جنوب آسيا، مثل الهند</v>
      </c>
      <c r="M60" s="4"/>
      <c r="N60" s="4"/>
      <c r="O60" s="4"/>
      <c r="P60" s="4"/>
      <c r="Q60" s="4"/>
      <c r="R60" s="4"/>
      <c r="S60" s="4"/>
      <c r="T60" s="4"/>
      <c r="U60" s="4"/>
      <c r="V60" s="4"/>
      <c r="W60" s="4"/>
      <c r="X60" s="4"/>
      <c r="Y60" s="4"/>
      <c r="Z60" s="4"/>
    </row>
    <row r="61" spans="1:26" ht="22.5" customHeight="1" x14ac:dyDescent="0.25">
      <c r="A61" s="2"/>
      <c r="B61" s="2"/>
      <c r="C61" s="2"/>
      <c r="D61" s="2"/>
      <c r="E61" s="2"/>
      <c r="F61" s="4"/>
      <c r="G61" s="4"/>
      <c r="H61" s="4" t="s">
        <v>118</v>
      </c>
      <c r="I61" s="4" t="str">
        <f ca="1">IFERROR(__xludf.DUMMYFUNCTION("GOOGLETRANSLATE(B61,""en"",""ar"")"),"تُجسّد هذه الصورة لحظة من...")</f>
        <v>تُجسّد هذه الصورة لحظة من...</v>
      </c>
      <c r="J61" s="4" t="str">
        <f ca="1">IFERROR(__xludf.DUMMYFUNCTION("GOOGLETRANSLATE(C61,""en"",""ar"")"),"أ) التعايش السلمي، ب) الشراكة بين الإنسان والحيوان، ج) التوتر والصراع الوشيك، د) الاحتفال")</f>
        <v>أ) التعايش السلمي، ب) الشراكة بين الإنسان والحيوان، ج) التوتر والصراع الوشيك، د) الاحتفال</v>
      </c>
      <c r="K61" s="4" t="str">
        <f ca="1">IFERROR(__xludf.DUMMYFUNCTION("GOOGLETRANSLATE(D61,""en"",""ar"")"),"ج) التوتر والصراع الوشيك")</f>
        <v>ج) التوتر والصراع الوشيك</v>
      </c>
      <c r="L61" s="4" t="str">
        <f ca="1">IFERROR(__xludf.DUMMYFUNCTION("GOOGLETRANSLATE(D61,""en"",""ar"")"),"ج) التوتر والصراع الوشيك")</f>
        <v>ج) التوتر والصراع الوشيك</v>
      </c>
      <c r="M61" s="4"/>
      <c r="N61" s="4"/>
      <c r="O61" s="4"/>
      <c r="P61" s="4"/>
      <c r="Q61" s="4"/>
      <c r="R61" s="4"/>
      <c r="S61" s="4"/>
      <c r="T61" s="4"/>
      <c r="U61" s="4"/>
      <c r="V61" s="4"/>
      <c r="W61" s="4"/>
      <c r="X61" s="4"/>
      <c r="Y61" s="4"/>
      <c r="Z61" s="4"/>
    </row>
    <row r="62" spans="1:26" ht="22.5" customHeight="1" x14ac:dyDescent="0.25">
      <c r="A62" s="2"/>
      <c r="B62" s="2"/>
      <c r="C62" s="2"/>
      <c r="D62" s="2"/>
      <c r="E62" s="2"/>
      <c r="F62" s="4"/>
      <c r="G62" s="4"/>
      <c r="H62" s="4" t="s">
        <v>119</v>
      </c>
      <c r="I62" s="4" t="str">
        <f ca="1">IFERROR(__xludf.DUMMYFUNCTION("GOOGLETRANSLATE(B62,""en"",""ar"")"),"ما هو سياق هذه الصورة؟")</f>
        <v>ما هو سياق هذه الصورة؟</v>
      </c>
      <c r="J62" s="4" t="str">
        <f ca="1">IFERROR(__xludf.DUMMYFUNCTION("GOOGLETRANSLATE(C62,""en"",""ar"")"),"أ) صحراء، ب) مرعى جبلي أخضر وارف، ج) شاطئ رملي، د) غابة كثيفة")</f>
        <v>أ) صحراء، ب) مرعى جبلي أخضر وارف، ج) شاطئ رملي، د) غابة كثيفة</v>
      </c>
      <c r="K62" s="4" t="str">
        <f ca="1">IFERROR(__xludf.DUMMYFUNCTION("GOOGLETRANSLATE(D62,""en"",""ar"")"),"ب) مرعى جبلي أخضر وارف")</f>
        <v>ب) مرعى جبلي أخضر وارف</v>
      </c>
      <c r="L62" s="4" t="str">
        <f ca="1">IFERROR(__xludf.DUMMYFUNCTION("GOOGLETRANSLATE(D62,""en"",""ar"")"),"ب) مرعى جبلي أخضر وارف")</f>
        <v>ب) مرعى جبلي أخضر وارف</v>
      </c>
      <c r="M62" s="4"/>
      <c r="N62" s="4"/>
      <c r="O62" s="4"/>
      <c r="P62" s="4"/>
      <c r="Q62" s="4"/>
      <c r="R62" s="4"/>
      <c r="S62" s="4"/>
      <c r="T62" s="4"/>
      <c r="U62" s="4"/>
      <c r="V62" s="4"/>
      <c r="W62" s="4"/>
      <c r="X62" s="4"/>
      <c r="Y62" s="4"/>
      <c r="Z62" s="4"/>
    </row>
    <row r="63" spans="1:26" ht="22.5" customHeight="1" x14ac:dyDescent="0.25">
      <c r="A63" s="2"/>
      <c r="B63" s="2"/>
      <c r="C63" s="2"/>
      <c r="D63" s="2"/>
      <c r="E63" s="2"/>
      <c r="F63" s="4"/>
      <c r="G63" s="4"/>
      <c r="H63" s="4" t="s">
        <v>119</v>
      </c>
      <c r="I63" s="4" t="str">
        <f ca="1">IFERROR(__xludf.DUMMYFUNCTION("GOOGLETRANSLATE(B63,""en"",""ar"")"),"ماذا تفعل البقرتان في المقدمة؟")</f>
        <v>ماذا تفعل البقرتان في المقدمة؟</v>
      </c>
      <c r="J63" s="4" t="str">
        <f ca="1">IFERROR(__xludf.DUMMYFUNCTION("GOOGLETRANSLATE(C63,""en"",""ar"")"),"أ) إنهم ينظفون بعضهم البعض، ب) إنهم يتقاتلون بالدفع وجهاً لوجه، ج) إنهم نائمون، د) إنهم يركضون في سباق")</f>
        <v>أ) إنهم ينظفون بعضهم البعض، ب) إنهم يتقاتلون بالدفع وجهاً لوجه، ج) إنهم نائمون، د) إنهم يركضون في سباق</v>
      </c>
      <c r="K63" s="4" t="str">
        <f ca="1">IFERROR(__xludf.DUMMYFUNCTION("GOOGLETRANSLATE(D63,""en"",""ar"")"),"ب) إنهم يتقاتلون بالدفع وجهاً لوجه")</f>
        <v>ب) إنهم يتقاتلون بالدفع وجهاً لوجه</v>
      </c>
      <c r="L63" s="4" t="str">
        <f ca="1">IFERROR(__xludf.DUMMYFUNCTION("GOOGLETRANSLATE(D63,""en"",""ar"")"),"ب) إنهم يتقاتلون بالدفع وجهاً لوجه")</f>
        <v>ب) إنهم يتقاتلون بالدفع وجهاً لوجه</v>
      </c>
      <c r="M63" s="4"/>
      <c r="N63" s="4"/>
      <c r="O63" s="4"/>
      <c r="P63" s="4"/>
      <c r="Q63" s="4"/>
      <c r="R63" s="4"/>
      <c r="S63" s="4"/>
      <c r="T63" s="4"/>
      <c r="U63" s="4"/>
      <c r="V63" s="4"/>
      <c r="W63" s="4"/>
      <c r="X63" s="4"/>
      <c r="Y63" s="4"/>
      <c r="Z63" s="4"/>
    </row>
    <row r="64" spans="1:26" ht="22.5" customHeight="1" x14ac:dyDescent="0.25">
      <c r="A64" s="2"/>
      <c r="B64" s="2"/>
      <c r="C64" s="2"/>
      <c r="D64" s="2"/>
      <c r="E64" s="2"/>
      <c r="F64" s="4"/>
      <c r="G64" s="4"/>
      <c r="H64" s="4" t="s">
        <v>119</v>
      </c>
      <c r="I64" s="4" t="str">
        <f ca="1">IFERROR(__xludf.DUMMYFUNCTION("GOOGLETRANSLATE(B64,""en"",""ar"")"),"هذا السلوك هو طريقة طبيعية للأبقار لـ...")</f>
        <v>هذا السلوك هو طريقة طبيعية للأبقار لـ...</v>
      </c>
      <c r="J64" s="4" t="str">
        <f ca="1">IFERROR(__xludf.DUMMYFUNCTION("GOOGLETRANSLATE(C64,""en"",""ar"")"),"أ) إيجاد أفضل طعام، ب) إنشاء تسلسل هرمي اجتماعي أو ""ترتيب هرمي""، ج) التواصل مع القطعان الأخرى، د) حماية أنفسهم من الحيوانات المفترسة")</f>
        <v>أ) إيجاد أفضل طعام، ب) إنشاء تسلسل هرمي اجتماعي أو "ترتيب هرمي"، ج) التواصل مع القطعان الأخرى، د) حماية أنفسهم من الحيوانات المفترسة</v>
      </c>
      <c r="K64" s="4" t="str">
        <f ca="1">IFERROR(__xludf.DUMMYFUNCTION("GOOGLETRANSLATE(D64,""en"",""ar"")"),"ب) لإنشاء تسلسل هرمي اجتماعي أو ""ترتيب هرمي""")</f>
        <v>ب) لإنشاء تسلسل هرمي اجتماعي أو "ترتيب هرمي"</v>
      </c>
      <c r="L64" s="4" t="str">
        <f ca="1">IFERROR(__xludf.DUMMYFUNCTION("GOOGLETRANSLATE(D64,""en"",""ar"")"),"ب) لإنشاء تسلسل هرمي اجتماعي أو ""ترتيب هرمي""")</f>
        <v>ب) لإنشاء تسلسل هرمي اجتماعي أو "ترتيب هرمي"</v>
      </c>
      <c r="M64" s="4"/>
      <c r="N64" s="4"/>
      <c r="O64" s="4"/>
      <c r="P64" s="4"/>
      <c r="Q64" s="4"/>
      <c r="R64" s="4"/>
      <c r="S64" s="4"/>
      <c r="T64" s="4"/>
      <c r="U64" s="4"/>
      <c r="V64" s="4"/>
      <c r="W64" s="4"/>
      <c r="X64" s="4"/>
      <c r="Y64" s="4"/>
      <c r="Z64" s="4"/>
    </row>
    <row r="65" spans="1:26" ht="22.5" customHeight="1" x14ac:dyDescent="0.25">
      <c r="A65" s="2"/>
      <c r="B65" s="2"/>
      <c r="C65" s="2"/>
      <c r="D65" s="2"/>
      <c r="E65" s="2"/>
      <c r="F65" s="4"/>
      <c r="G65" s="4"/>
      <c r="H65" s="4" t="s">
        <v>119</v>
      </c>
      <c r="I65" s="4" t="str">
        <f ca="1">IFERROR(__xludf.DUMMYFUNCTION("GOOGLETRANSLATE(B65,""en"",""ar"")"),"سلالة هذه الماشية، المعروفة بغريزة القتال لديها، هي...")</f>
        <v>سلالة هذه الماشية، المعروفة بغريزة القتال لديها، هي...</v>
      </c>
      <c r="J65" s="4" t="str">
        <f ca="1">IFERROR(__xludf.DUMMYFUNCTION("GOOGLETRANSLATE(C65,""en"",""ar"")"),"أ) هولشتاين، ب) هيريفورد، ج) هيرين، د) أنجوس")</f>
        <v>أ) هولشتاين، ب) هيريفورد، ج) هيرين، د) أنجوس</v>
      </c>
      <c r="K65" s="4" t="str">
        <f ca="1">IFERROR(__xludf.DUMMYFUNCTION("GOOGLETRANSLATE(D65,""en"",""ar"")"),"ج) هيرنس")</f>
        <v>ج) هيرنس</v>
      </c>
      <c r="L65" s="4" t="str">
        <f ca="1">IFERROR(__xludf.DUMMYFUNCTION("GOOGLETRANSLATE(D65,""en"",""ar"")"),"ج) هيرنس")</f>
        <v>ج) هيرنس</v>
      </c>
      <c r="M65" s="4"/>
      <c r="N65" s="4"/>
      <c r="O65" s="4"/>
      <c r="P65" s="4"/>
      <c r="Q65" s="4"/>
      <c r="R65" s="4"/>
      <c r="S65" s="4"/>
      <c r="T65" s="4"/>
      <c r="U65" s="4"/>
      <c r="V65" s="4"/>
      <c r="W65" s="4"/>
      <c r="X65" s="4"/>
      <c r="Y65" s="4"/>
      <c r="Z65" s="4"/>
    </row>
    <row r="66" spans="1:26" ht="22.5" customHeight="1" x14ac:dyDescent="0.25">
      <c r="A66" s="2"/>
      <c r="B66" s="2"/>
      <c r="C66" s="2"/>
      <c r="D66" s="2"/>
      <c r="E66" s="2"/>
      <c r="F66" s="4"/>
      <c r="G66" s="4"/>
      <c r="H66" s="4" t="s">
        <v>119</v>
      </c>
      <c r="I66" s="4" t="str">
        <f ca="1">IFERROR(__xludf.DUMMYFUNCTION("GOOGLETRANSLATE(B66,""en"",""ar"")"),"ماذا تفعل الأبقار الأخرى في القطيع؟")</f>
        <v>ماذا تفعل الأبقار الأخرى في القطيع؟</v>
      </c>
      <c r="J66" s="4" t="str">
        <f ca="1">IFERROR(__xludf.DUMMYFUNCTION("GOOGLETRANSLATE(C66,""en"",""ar"")"),"أ) جميعهم يشاركون في القتال، ب) يهربون خوفًا، ج) يتجاهلون القتال في الغالب ويرعون أو يستريحون، د) يهتفون لفريقهم المفضل")</f>
        <v>أ) جميعهم يشاركون في القتال، ب) يهربون خوفًا، ج) يتجاهلون القتال في الغالب ويرعون أو يستريحون، د) يهتفون لفريقهم المفضل</v>
      </c>
      <c r="K66" s="4" t="str">
        <f ca="1">IFERROR(__xludf.DUMMYFUNCTION("GOOGLETRANSLATE(D66,""en"",""ar"")"),"ج) إنهم يتجاهلون القتال في الغالب ويرعون أو يستريحون.")</f>
        <v>ج) إنهم يتجاهلون القتال في الغالب ويرعون أو يستريحون.</v>
      </c>
      <c r="L66" s="4" t="str">
        <f ca="1">IFERROR(__xludf.DUMMYFUNCTION("GOOGLETRANSLATE(D66,""en"",""ar"")"),"ج) إنهم يتجاهلون القتال في الغالب ويرعون أو يستريحون.")</f>
        <v>ج) إنهم يتجاهلون القتال في الغالب ويرعون أو يستريحون.</v>
      </c>
      <c r="M66" s="4"/>
      <c r="N66" s="4"/>
      <c r="O66" s="4"/>
      <c r="P66" s="4"/>
      <c r="Q66" s="4"/>
      <c r="R66" s="4"/>
      <c r="S66" s="4"/>
      <c r="T66" s="4"/>
      <c r="U66" s="4"/>
      <c r="V66" s="4"/>
      <c r="W66" s="4"/>
      <c r="X66" s="4"/>
      <c r="Y66" s="4"/>
      <c r="Z66" s="4"/>
    </row>
    <row r="67" spans="1:26" ht="22.5" customHeight="1" x14ac:dyDescent="0.25">
      <c r="A67" s="2"/>
      <c r="B67" s="2"/>
      <c r="C67" s="2"/>
      <c r="D67" s="2"/>
      <c r="E67" s="2"/>
      <c r="F67" s="4"/>
      <c r="G67" s="4"/>
      <c r="H67" s="4" t="s">
        <v>119</v>
      </c>
      <c r="I67" s="4" t="str">
        <f ca="1">IFERROR(__xludf.DUMMYFUNCTION("GOOGLETRANSLATE(B67,""en"",""ar"")"),"هذا القتال الطبيعي هو أساس أي رياضة سويسرية تقليدية؟")</f>
        <v>هذا القتال الطبيعي هو أساس أي رياضة سويسرية تقليدية؟</v>
      </c>
      <c r="J67" s="4" t="str">
        <f ca="1">IFERROR(__xludf.DUMMYFUNCTION("GOOGLETRANSLATE(C67,""en"",""ar"")"),"أ) ""كومبات دي رين"" (معركة الملكات)، ب) ركوب الثيران في الروديو، ج) سباق الثيران، د) تجارب رعي الماشية")</f>
        <v>أ) "كومبات دي رين" (معركة الملكات)، ب) ركوب الثيران في الروديو، ج) سباق الثيران، د) تجارب رعي الماشية</v>
      </c>
      <c r="K67" s="4" t="str">
        <f ca="1">IFERROR(__xludf.DUMMYFUNCTION("GOOGLETRANSLATE(D67,""en"",""ar"")"),"أ) ""Combat de Reines"" (معركة الملكات)")</f>
        <v>أ) "Combat de Reines" (معركة الملكات)</v>
      </c>
      <c r="L67" s="4" t="str">
        <f ca="1">IFERROR(__xludf.DUMMYFUNCTION("GOOGLETRANSLATE(D67,""en"",""ar"")"),"أ) ""Combat de Reines"" (معركة الملكات)")</f>
        <v>أ) "Combat de Reines" (معركة الملكات)</v>
      </c>
      <c r="M67" s="4"/>
      <c r="N67" s="4"/>
      <c r="O67" s="4"/>
      <c r="P67" s="4"/>
      <c r="Q67" s="4"/>
      <c r="R67" s="4"/>
      <c r="S67" s="4"/>
      <c r="T67" s="4"/>
      <c r="U67" s="4"/>
      <c r="V67" s="4"/>
      <c r="W67" s="4"/>
      <c r="X67" s="4"/>
      <c r="Y67" s="4"/>
      <c r="Z67" s="4"/>
    </row>
    <row r="68" spans="1:26" ht="22.5" customHeight="1" x14ac:dyDescent="0.25">
      <c r="A68" s="2"/>
      <c r="B68" s="2"/>
      <c r="C68" s="2"/>
      <c r="D68" s="2"/>
      <c r="E68" s="2"/>
      <c r="F68" s="4"/>
      <c r="G68" s="4"/>
      <c r="H68" s="4" t="s">
        <v>119</v>
      </c>
      <c r="I68" s="4" t="str">
        <f ca="1">IFERROR(__xludf.DUMMYFUNCTION("GOOGLETRANSLATE(B68,""en"",""ar"")"),"كيف تحدد الأبقار الفائز في هذه المعارك؟")</f>
        <v>كيف تحدد الأبقار الفائز في هذه المعارك؟</v>
      </c>
      <c r="J68" s="4" t="str">
        <f ca="1">IFERROR(__xludf.DUMMYFUNCTION("GOOGLETRANSLATE(C68,""en"",""ar"")"),"أ) يفوز من يُسيل الدم أولاً، ب) يفوز من يدفع الآخر أرضاً، ج) يفوز من يصمد لأطول فترة، د) يخسر من يستسلم وينسحب.")</f>
        <v>أ) يفوز من يُسيل الدم أولاً، ب) يفوز من يدفع الآخر أرضاً، ج) يفوز من يصمد لأطول فترة، د) يخسر من يستسلم وينسحب.</v>
      </c>
      <c r="K68" s="4" t="str">
        <f ca="1">IFERROR(__xludf.DUMMYFUNCTION("GOOGLETRANSLATE(D68,""en"",""ar"")"),"د) الخاسر هو من يستسلم وينسحب.")</f>
        <v>د) الخاسر هو من يستسلم وينسحب.</v>
      </c>
      <c r="L68" s="4" t="str">
        <f ca="1">IFERROR(__xludf.DUMMYFUNCTION("GOOGLETRANSLATE(D68,""en"",""ar"")"),"د) الخاسر هو من يستسلم وينسحب.")</f>
        <v>د) الخاسر هو من يستسلم وينسحب.</v>
      </c>
      <c r="M68" s="4"/>
      <c r="N68" s="4"/>
      <c r="O68" s="4"/>
      <c r="P68" s="4"/>
      <c r="Q68" s="4"/>
      <c r="R68" s="4"/>
      <c r="S68" s="4"/>
      <c r="T68" s="4"/>
      <c r="U68" s="4"/>
      <c r="V68" s="4"/>
      <c r="W68" s="4"/>
      <c r="X68" s="4"/>
      <c r="Y68" s="4"/>
      <c r="Z68" s="4"/>
    </row>
    <row r="69" spans="1:26" ht="22.5" customHeight="1" x14ac:dyDescent="0.25">
      <c r="A69" s="2"/>
      <c r="B69" s="2"/>
      <c r="C69" s="2"/>
      <c r="D69" s="2"/>
      <c r="E69" s="2"/>
      <c r="F69" s="4"/>
      <c r="G69" s="4"/>
      <c r="H69" s="4" t="s">
        <v>119</v>
      </c>
      <c r="I69" s="4" t="str">
        <f ca="1">IFERROR(__xludf.DUMMYFUNCTION("GOOGLETRANSLATE(B69,""en"",""ar"")"),"ماذا يكسب الفائز في هذه المعارك على المراعي؟")</f>
        <v>ماذا يكسب الفائز في هذه المعارك على المراعي؟</v>
      </c>
      <c r="J69" s="4" t="str">
        <f ca="1">IFERROR(__xludf.DUMMYFUNCTION("GOOGLETRANSLATE(C69,""en"",""ar"")"),"أ) كأس وجائزة مالية، ب) أولوية الوصول إلى أفضل المراعي ومصادر المياه، ج) الحق في مغادرة القطيع، د) لا شيء، الأمر للمتعة فقط")</f>
        <v>أ) كأس وجائزة مالية، ب) أولوية الوصول إلى أفضل المراعي ومصادر المياه، ج) الحق في مغادرة القطيع، د) لا شيء، الأمر للمتعة فقط</v>
      </c>
      <c r="K69" s="4" t="str">
        <f ca="1">IFERROR(__xludf.DUMMYFUNCTION("GOOGLETRANSLATE(D69,""en"",""ar"")"),"ب) الوصول التفضيلي إلى أفضل مواقع الرعي والمياه")</f>
        <v>ب) الوصول التفضيلي إلى أفضل مواقع الرعي والمياه</v>
      </c>
      <c r="L69" s="4" t="str">
        <f ca="1">IFERROR(__xludf.DUMMYFUNCTION("GOOGLETRANSLATE(D69,""en"",""ar"")"),"ب) الوصول التفضيلي إلى أفضل مواقع الرعي والمياه")</f>
        <v>ب) الوصول التفضيلي إلى أفضل مواقع الرعي والمياه</v>
      </c>
      <c r="M69" s="4"/>
      <c r="N69" s="4"/>
      <c r="O69" s="4"/>
      <c r="P69" s="4"/>
      <c r="Q69" s="4"/>
      <c r="R69" s="4"/>
      <c r="S69" s="4"/>
      <c r="T69" s="4"/>
      <c r="U69" s="4"/>
      <c r="V69" s="4"/>
      <c r="W69" s="4"/>
      <c r="X69" s="4"/>
      <c r="Y69" s="4"/>
      <c r="Z69" s="4"/>
    </row>
    <row r="70" spans="1:26" ht="22.5" customHeight="1" x14ac:dyDescent="0.25">
      <c r="A70" s="2"/>
      <c r="B70" s="2"/>
      <c r="C70" s="2"/>
      <c r="D70" s="2"/>
      <c r="E70" s="2"/>
      <c r="F70" s="4"/>
      <c r="G70" s="4"/>
      <c r="H70" s="4" t="s">
        <v>119</v>
      </c>
      <c r="I70" s="4" t="str">
        <f ca="1">IFERROR(__xludf.DUMMYFUNCTION("GOOGLETRANSLATE(B70,""en"",""ar"")"),"تشير الحالة الصحية والعضلية للماشية إلى أنها تعيش حياة تتضمن...")</f>
        <v>تشير الحالة الصحية والعضلية للماشية إلى أنها تعيش حياة تتضمن...</v>
      </c>
      <c r="J70" s="4" t="str">
        <f ca="1">IFERROR(__xludf.DUMMYFUNCTION("GOOGLETRANSLATE(C70,""en"",""ar"")"),"أ) الاحتفاظ بها في حظائر صغيرة مغلقة، ب) كثرة المشي والرعي في تضاريس جبلية، ج) نقلها بشكل متكرر بالشاحنات، د) نظام غذائي يتكون من الحبوب المصنعة فقط")</f>
        <v>أ) الاحتفاظ بها في حظائر صغيرة مغلقة، ب) كثرة المشي والرعي في تضاريس جبلية، ج) نقلها بشكل متكرر بالشاحنات، د) نظام غذائي يتكون من الحبوب المصنعة فقط</v>
      </c>
      <c r="K70" s="4" t="str">
        <f ca="1">IFERROR(__xludf.DUMMYFUNCTION("GOOGLETRANSLATE(D70,""en"",""ar"")"),"ب) الكثير من المشي والرعي في التضاريس الجبلية")</f>
        <v>ب) الكثير من المشي والرعي في التضاريس الجبلية</v>
      </c>
      <c r="L70" s="4" t="str">
        <f ca="1">IFERROR(__xludf.DUMMYFUNCTION("GOOGLETRANSLATE(D70,""en"",""ar"")"),"ب) الكثير من المشي والرعي في التضاريس الجبلية")</f>
        <v>ب) الكثير من المشي والرعي في التضاريس الجبلية</v>
      </c>
      <c r="M70" s="4"/>
      <c r="N70" s="4"/>
      <c r="O70" s="4"/>
      <c r="P70" s="4"/>
      <c r="Q70" s="4"/>
      <c r="R70" s="4"/>
      <c r="S70" s="4"/>
      <c r="T70" s="4"/>
      <c r="U70" s="4"/>
      <c r="V70" s="4"/>
      <c r="W70" s="4"/>
      <c r="X70" s="4"/>
      <c r="Y70" s="4"/>
      <c r="Z70" s="4"/>
    </row>
    <row r="71" spans="1:26" ht="22.5" customHeight="1" x14ac:dyDescent="0.25">
      <c r="A71" s="2"/>
      <c r="B71" s="2"/>
      <c r="C71" s="2"/>
      <c r="D71" s="2"/>
      <c r="E71" s="2"/>
      <c r="F71" s="4"/>
      <c r="G71" s="4"/>
      <c r="H71" s="4" t="s">
        <v>119</v>
      </c>
      <c r="I71" s="4" t="str">
        <f ca="1">IFERROR(__xludf.DUMMYFUNCTION("GOOGLETRANSLATE(B71,""en"",""ar"")"),"هذه الصورة تجسد...")</f>
        <v>هذه الصورة تجسد...</v>
      </c>
      <c r="J71" s="4" t="str">
        <f ca="1">IFERROR(__xludf.DUMMYFUNCTION("GOOGLETRANSLATE(C71,""en"",""ar"")"),"أ) حدث نادر وغير مألوف، ب) سلوك طبيعي وشائع بين حيوانات القطيع، ج) قتال بين بقرة ومفترس، د) حدث مُعدّ للسياح")</f>
        <v>أ) حدث نادر وغير مألوف، ب) سلوك طبيعي وشائع بين حيوانات القطيع، ج) قتال بين بقرة ومفترس، د) حدث مُعدّ للسياح</v>
      </c>
      <c r="K71" s="4" t="str">
        <f ca="1">IFERROR(__xludf.DUMMYFUNCTION("GOOGLETRANSLATE(D71,""en"",""ar"")"),"ب) سلوك طبيعي وشائع بين حيوانات القطيع")</f>
        <v>ب) سلوك طبيعي وشائع بين حيوانات القطيع</v>
      </c>
      <c r="L71" s="4" t="str">
        <f ca="1">IFERROR(__xludf.DUMMYFUNCTION("GOOGLETRANSLATE(D71,""en"",""ar"")"),"ب) سلوك طبيعي وشائع بين حيوانات القطيع")</f>
        <v>ب) سلوك طبيعي وشائع بين حيوانات القطيع</v>
      </c>
      <c r="M71" s="4"/>
      <c r="N71" s="4"/>
      <c r="O71" s="4"/>
      <c r="P71" s="4"/>
      <c r="Q71" s="4"/>
      <c r="R71" s="4"/>
      <c r="S71" s="4"/>
      <c r="T71" s="4"/>
      <c r="U71" s="4"/>
      <c r="V71" s="4"/>
      <c r="W71" s="4"/>
      <c r="X71" s="4"/>
      <c r="Y71" s="4"/>
      <c r="Z71" s="4"/>
    </row>
    <row r="72" spans="1:26" ht="22.5" customHeight="1" x14ac:dyDescent="0.25">
      <c r="A72" s="2"/>
      <c r="B72" s="2"/>
      <c r="C72" s="2"/>
      <c r="D72" s="2"/>
      <c r="E72" s="2"/>
      <c r="F72" s="4"/>
      <c r="G72" s="4"/>
      <c r="H72" s="4" t="s">
        <v>120</v>
      </c>
      <c r="I72" s="4" t="str">
        <f ca="1">IFERROR(__xludf.DUMMYFUNCTION("GOOGLETRANSLATE(B72,""en"",""ar"")"),"ما هو الحيوان الأسود الموجود في المقدمة؟")</f>
        <v>ما هو الحيوان الأسود الموجود في المقدمة؟</v>
      </c>
      <c r="J72" s="4" t="str">
        <f ca="1">IFERROR(__xludf.DUMMYFUNCTION("GOOGLETRANSLATE(C72,""en"",""ar"")"),"أ) بقرة حلوب، ب) ثور، ج) جاموس مائي، د) عجل")</f>
        <v>أ) بقرة حلوب، ب) ثور، ج) جاموس مائي، د) عجل</v>
      </c>
      <c r="K72" s="4" t="str">
        <f ca="1">IFERROR(__xludf.DUMMYFUNCTION("GOOGLETRANSLATE(D72,""en"",""ar"")"),"ب) ثور")</f>
        <v>ب) ثور</v>
      </c>
      <c r="L72" s="4" t="str">
        <f ca="1">IFERROR(__xludf.DUMMYFUNCTION("GOOGLETRANSLATE(D72,""en"",""ar"")"),"ب) ثور")</f>
        <v>ب) ثور</v>
      </c>
      <c r="M72" s="4"/>
      <c r="N72" s="4"/>
      <c r="O72" s="4"/>
      <c r="P72" s="4"/>
      <c r="Q72" s="4"/>
      <c r="R72" s="4"/>
      <c r="S72" s="4"/>
      <c r="T72" s="4"/>
      <c r="U72" s="4"/>
      <c r="V72" s="4"/>
      <c r="W72" s="4"/>
      <c r="X72" s="4"/>
      <c r="Y72" s="4"/>
      <c r="Z72" s="4"/>
    </row>
    <row r="73" spans="1:26" ht="22.5" customHeight="1" x14ac:dyDescent="0.25">
      <c r="A73" s="2"/>
      <c r="B73" s="2"/>
      <c r="C73" s="2"/>
      <c r="D73" s="2"/>
      <c r="E73" s="2"/>
      <c r="F73" s="4"/>
      <c r="G73" s="4"/>
      <c r="H73" s="4" t="s">
        <v>120</v>
      </c>
      <c r="I73" s="4" t="str">
        <f ca="1">IFERROR(__xludf.DUMMYFUNCTION("GOOGLETRANSLATE(B73,""en"",""ar"")"),"على ماذا يركز هذا الثور انتباهه؟")</f>
        <v>على ماذا يركز هذا الثور انتباهه؟</v>
      </c>
      <c r="J73" s="4" t="str">
        <f ca="1">IFERROR(__xludf.DUMMYFUNCTION("GOOGLETRANSLATE(C73,""en"",""ar"")"),"أ) المصور، ب) الماشية الأخرى التي ترعى على التل، ج) البقرة البنية والبيضاء التي أمامه، د) حيوان مفترس في المسافة")</f>
        <v>أ) المصور، ب) الماشية الأخرى التي ترعى على التل، ج) البقرة البنية والبيضاء التي أمامه، د) حيوان مفترس في المسافة</v>
      </c>
      <c r="K73" s="4" t="str">
        <f ca="1">IFERROR(__xludf.DUMMYFUNCTION("GOOGLETRANSLATE(D73,""en"",""ar"")"),"ج) البقرة البنية والبيضاء التي أمامها")</f>
        <v>ج) البقرة البنية والبيضاء التي أمامها</v>
      </c>
      <c r="L73" s="4" t="str">
        <f ca="1">IFERROR(__xludf.DUMMYFUNCTION("GOOGLETRANSLATE(D73,""en"",""ar"")"),"ج) البقرة البنية والبيضاء التي أمامها")</f>
        <v>ج) البقرة البنية والبيضاء التي أمامها</v>
      </c>
      <c r="M73" s="4"/>
      <c r="N73" s="4"/>
      <c r="O73" s="4"/>
      <c r="P73" s="4"/>
      <c r="Q73" s="4"/>
      <c r="R73" s="4"/>
      <c r="S73" s="4"/>
      <c r="T73" s="4"/>
      <c r="U73" s="4"/>
      <c r="V73" s="4"/>
      <c r="W73" s="4"/>
      <c r="X73" s="4"/>
      <c r="Y73" s="4"/>
      <c r="Z73" s="4"/>
    </row>
    <row r="74" spans="1:26" ht="22.5" customHeight="1" x14ac:dyDescent="0.25">
      <c r="A74" s="2"/>
      <c r="B74" s="2"/>
      <c r="C74" s="2"/>
      <c r="D74" s="2"/>
      <c r="E74" s="2"/>
      <c r="F74" s="4"/>
      <c r="G74" s="4"/>
      <c r="H74" s="4" t="s">
        <v>120</v>
      </c>
      <c r="I74" s="4" t="str">
        <f ca="1">IFERROR(__xludf.DUMMYFUNCTION("GOOGLETRANSLATE(B74,""en"",""ar"")"),"ما هي البيئة التي تتواجد فيها هذه الماشية؟")</f>
        <v>ما هي البيئة التي تتواجد فيها هذه الماشية؟</v>
      </c>
      <c r="J74" s="4" t="str">
        <f ca="1">IFERROR(__xludf.DUMMYFUNCTION("GOOGLETRANSLATE(C74,""en"",""ar"")"),"أ) صحراء رملية جافة، ب) غابة استوائية كثيفة، ج) مرعى جبلي أخضر وارف، د) حظيرة تسمين")</f>
        <v>أ) صحراء رملية جافة، ب) غابة استوائية كثيفة، ج) مرعى جبلي أخضر وارف، د) حظيرة تسمين</v>
      </c>
      <c r="K74" s="4" t="str">
        <f ca="1">IFERROR(__xludf.DUMMYFUNCTION("GOOGLETRANSLATE(D74,""en"",""ar"")"),"ج) مرعى جبلي أخضر وارف")</f>
        <v>ج) مرعى جبلي أخضر وارف</v>
      </c>
      <c r="L74" s="4" t="str">
        <f ca="1">IFERROR(__xludf.DUMMYFUNCTION("GOOGLETRANSLATE(D74,""en"",""ar"")"),"ج) مرعى جبلي أخضر وارف")</f>
        <v>ج) مرعى جبلي أخضر وارف</v>
      </c>
      <c r="M74" s="4"/>
      <c r="N74" s="4"/>
      <c r="O74" s="4"/>
      <c r="P74" s="4"/>
      <c r="Q74" s="4"/>
      <c r="R74" s="4"/>
      <c r="S74" s="4"/>
      <c r="T74" s="4"/>
      <c r="U74" s="4"/>
      <c r="V74" s="4"/>
      <c r="W74" s="4"/>
      <c r="X74" s="4"/>
      <c r="Y74" s="4"/>
      <c r="Z74" s="4"/>
    </row>
    <row r="75" spans="1:26" ht="22.5" customHeight="1" x14ac:dyDescent="0.25">
      <c r="A75" s="2"/>
      <c r="B75" s="2"/>
      <c r="C75" s="2"/>
      <c r="D75" s="2"/>
      <c r="E75" s="2"/>
      <c r="F75" s="4"/>
      <c r="G75" s="4"/>
      <c r="H75" s="4" t="s">
        <v>120</v>
      </c>
      <c r="I75" s="4" t="str">
        <f ca="1">IFERROR(__xludf.DUMMYFUNCTION("GOOGLETRANSLATE(B75,""en"",""ar"")"),"ماذا تفعل الماشية في الخلفية؟")</f>
        <v>ماذا تفعل الماشية في الخلفية؟</v>
      </c>
      <c r="J75" s="4" t="str">
        <f ca="1">IFERROR(__xludf.DUMMYFUNCTION("GOOGLETRANSLATE(C75,""en"",""ar"")"),"أ) جميعهم يتقاتلون، ب) إنهم يستريحون ويرعون، ج) إنهم يتسابقون، د) إنهم مصطفون للحلب")</f>
        <v>أ) جميعهم يتقاتلون، ب) إنهم يستريحون ويرعون، ج) إنهم يتسابقون، د) إنهم مصطفون للحلب</v>
      </c>
      <c r="K75" s="4" t="str">
        <f ca="1">IFERROR(__xludf.DUMMYFUNCTION("GOOGLETRANSLATE(D75,""en"",""ar"")"),"ب) إنهم يستريحون ويرعون")</f>
        <v>ب) إنهم يستريحون ويرعون</v>
      </c>
      <c r="L75" s="4" t="str">
        <f ca="1">IFERROR(__xludf.DUMMYFUNCTION("GOOGLETRANSLATE(D75,""en"",""ar"")"),"ب) إنهم يستريحون ويرعون")</f>
        <v>ب) إنهم يستريحون ويرعون</v>
      </c>
      <c r="M75" s="4"/>
      <c r="N75" s="4"/>
      <c r="O75" s="4"/>
      <c r="P75" s="4"/>
      <c r="Q75" s="4"/>
      <c r="R75" s="4"/>
      <c r="S75" s="4"/>
      <c r="T75" s="4"/>
      <c r="U75" s="4"/>
      <c r="V75" s="4"/>
      <c r="W75" s="4"/>
      <c r="X75" s="4"/>
      <c r="Y75" s="4"/>
      <c r="Z75" s="4"/>
    </row>
    <row r="76" spans="1:26" ht="22.5" customHeight="1" x14ac:dyDescent="0.25">
      <c r="A76" s="2"/>
      <c r="B76" s="2"/>
      <c r="C76" s="2"/>
      <c r="D76" s="2"/>
      <c r="E76" s="2"/>
      <c r="F76" s="4"/>
      <c r="G76" s="4"/>
      <c r="H76" s="4" t="s">
        <v>120</v>
      </c>
      <c r="I76" s="4" t="str">
        <f ca="1">IFERROR(__xludf.DUMMYFUNCTION("GOOGLETRANSLATE(B76,""en"",""ar"")"),"يمكن تفسير تعبير الثور الأسود، وفمه المفتوح قليلاً، على أنه علامة على...")</f>
        <v>يمكن تفسير تعبير الثور الأسود، وفمه المفتوح قليلاً، على أنه علامة على...</v>
      </c>
      <c r="J76" s="4" t="str">
        <f ca="1">IFERROR(__xludf.DUMMYFUNCTION("GOOGLETRANSLATE(C76,""en"",""ar"")"),"أ) التثاؤب، ب) التحدي أو إصدار صوت، ج) أكل العشب، د) المرض")</f>
        <v>أ) التثاؤب، ب) التحدي أو إصدار صوت، ج) أكل العشب، د) المرض</v>
      </c>
      <c r="K76" s="4" t="str">
        <f ca="1">IFERROR(__xludf.DUMMYFUNCTION("GOOGLETRANSLATE(D76,""en"",""ar"")"),"ب) تحدٍ أو تعبير صوتي")</f>
        <v>ب) تحدٍ أو تعبير صوتي</v>
      </c>
      <c r="L76" s="4" t="str">
        <f ca="1">IFERROR(__xludf.DUMMYFUNCTION("GOOGLETRANSLATE(D76,""en"",""ar"")"),"ب) تحدٍ أو تعبير صوتي")</f>
        <v>ب) تحدٍ أو تعبير صوتي</v>
      </c>
      <c r="M76" s="4"/>
      <c r="N76" s="4"/>
      <c r="O76" s="4"/>
      <c r="P76" s="4"/>
      <c r="Q76" s="4"/>
      <c r="R76" s="4"/>
      <c r="S76" s="4"/>
      <c r="T76" s="4"/>
      <c r="U76" s="4"/>
      <c r="V76" s="4"/>
      <c r="W76" s="4"/>
      <c r="X76" s="4"/>
      <c r="Y76" s="4"/>
      <c r="Z76" s="4"/>
    </row>
    <row r="77" spans="1:26" ht="22.5" customHeight="1" x14ac:dyDescent="0.25">
      <c r="A77" s="2"/>
      <c r="B77" s="2"/>
      <c r="C77" s="2"/>
      <c r="D77" s="2"/>
      <c r="E77" s="2"/>
      <c r="F77" s="4"/>
      <c r="G77" s="4"/>
      <c r="H77" s="4" t="s">
        <v>120</v>
      </c>
      <c r="I77" s="4" t="str">
        <f ca="1">IFERROR(__xludf.DUMMYFUNCTION("GOOGLETRANSLATE(B77,""en"",""ar"")"),"من المرجح أن يكون سلالة هذه الأبقار هي سلالة هيرينز السويسرية. الثور الأسود ذكر، ولكن ما هو الجنس الذي يركز عليه تقليد ""الملكات المقاتلات"" في سويسرا بشكل أساسي؟")</f>
        <v>من المرجح أن يكون سلالة هذه الأبقار هي سلالة هيرينز السويسرية. الثور الأسود ذكر، ولكن ما هو الجنس الذي يركز عليه تقليد "الملكات المقاتلات" في سويسرا بشكل أساسي؟</v>
      </c>
      <c r="J77" s="4" t="str">
        <f ca="1">IFERROR(__xludf.DUMMYFUNCTION("GOOGLETRANSLATE(C77,""en"",""ar"")"),"أ) الثيران، ب) الأبقار (الإناث)، ج) العجول المخصية (الذكور المخصية)، د) العجول الصغيرة")</f>
        <v>أ) الثيران، ب) الأبقار (الإناث)، ج) العجول المخصية (الذكور المخصية)، د) العجول الصغيرة</v>
      </c>
      <c r="K77" s="4" t="str">
        <f ca="1">IFERROR(__xludf.DUMMYFUNCTION("GOOGLETRANSLATE(D77,""en"",""ar"")"),"ب) الأبقار (الإناث)")</f>
        <v>ب) الأبقار (الإناث)</v>
      </c>
      <c r="L77" s="4" t="str">
        <f ca="1">IFERROR(__xludf.DUMMYFUNCTION("GOOGLETRANSLATE(D77,""en"",""ar"")"),"ب) الأبقار (الإناث)")</f>
        <v>ب) الأبقار (الإناث)</v>
      </c>
      <c r="M77" s="4"/>
      <c r="N77" s="4"/>
      <c r="O77" s="4"/>
      <c r="P77" s="4"/>
      <c r="Q77" s="4"/>
      <c r="R77" s="4"/>
      <c r="S77" s="4"/>
      <c r="T77" s="4"/>
      <c r="U77" s="4"/>
      <c r="V77" s="4"/>
      <c r="W77" s="4"/>
      <c r="X77" s="4"/>
      <c r="Y77" s="4"/>
      <c r="Z77" s="4"/>
    </row>
    <row r="78" spans="1:26" ht="22.5" customHeight="1" x14ac:dyDescent="0.25">
      <c r="A78" s="2"/>
      <c r="B78" s="2"/>
      <c r="C78" s="2"/>
      <c r="D78" s="2"/>
      <c r="E78" s="2"/>
      <c r="F78" s="4"/>
      <c r="G78" s="4"/>
      <c r="H78" s="4" t="s">
        <v>120</v>
      </c>
      <c r="I78" s="4" t="str">
        <f ca="1">IFERROR(__xludf.DUMMYFUNCTION("GOOGLETRANSLATE(B78,""en"",""ar"")"),"ماذا يعني وجود ثور في قطيع من الأبقار عادةً؟")</f>
        <v>ماذا يعني وجود ثور في قطيع من الأبقار عادةً؟</v>
      </c>
      <c r="J78" s="4" t="str">
        <f ca="1">IFERROR(__xludf.DUMMYFUNCTION("GOOGLETRANSLATE(C78,""en"",""ar"")"),"أ) هو المصدر الرئيسي للحليب للقطيع، ب) هو موجود لأغراض التكاثر، ج) هو حيوان أليف، د) هو مفقود")</f>
        <v>أ) هو المصدر الرئيسي للحليب للقطيع، ب) هو موجود لأغراض التكاثر، ج) هو حيوان أليف، د) هو مفقود</v>
      </c>
      <c r="K78" s="4" t="str">
        <f ca="1">IFERROR(__xludf.DUMMYFUNCTION("GOOGLETRANSLATE(D78,""en"",""ar"")"),"ب) إنه موجود لأغراض التكاثر")</f>
        <v>ب) إنه موجود لأغراض التكاثر</v>
      </c>
      <c r="L78" s="4" t="str">
        <f ca="1">IFERROR(__xludf.DUMMYFUNCTION("GOOGLETRANSLATE(D78,""en"",""ar"")"),"ب) إنه موجود لأغراض التكاثر")</f>
        <v>ب) إنه موجود لأغراض التكاثر</v>
      </c>
      <c r="M78" s="4"/>
      <c r="N78" s="4"/>
      <c r="O78" s="4"/>
      <c r="P78" s="4"/>
      <c r="Q78" s="4"/>
      <c r="R78" s="4"/>
      <c r="S78" s="4"/>
      <c r="T78" s="4"/>
      <c r="U78" s="4"/>
      <c r="V78" s="4"/>
      <c r="W78" s="4"/>
      <c r="X78" s="4"/>
      <c r="Y78" s="4"/>
      <c r="Z78" s="4"/>
    </row>
    <row r="79" spans="1:26" ht="22.5" customHeight="1" x14ac:dyDescent="0.25">
      <c r="A79" s="2"/>
      <c r="B79" s="2"/>
      <c r="C79" s="2"/>
      <c r="D79" s="2"/>
      <c r="E79" s="2"/>
      <c r="F79" s="4"/>
      <c r="G79" s="4"/>
      <c r="H79" s="4" t="s">
        <v>120</v>
      </c>
      <c r="I79" s="4" t="str">
        <f ca="1">IFERROR(__xludf.DUMMYFUNCTION("GOOGLETRANSLATE(B79,""en"",""ar"")"),"يصور المشهد لحظة من...")</f>
        <v>يصور المشهد لحظة من...</v>
      </c>
      <c r="J79" s="4" t="str">
        <f ca="1">IFERROR(__xludf.DUMMYFUNCTION("GOOGLETRANSLATE(C79,""en"",""ar"")"),"أ) مشهد مزرعة هادئ وريفي، ب) شجار عنيف ومنظم، ج) تفاعل اجتماعي طبيعي داخل قطيع من الماشية، د) مزاد للماشية")</f>
        <v>أ) مشهد مزرعة هادئ وريفي، ب) شجار عنيف ومنظم، ج) تفاعل اجتماعي طبيعي داخل قطيع من الماشية، د) مزاد للماشية</v>
      </c>
      <c r="K79" s="4" t="str">
        <f ca="1">IFERROR(__xludf.DUMMYFUNCTION("GOOGLETRANSLATE(D79,""en"",""ar"")"),"ج) تفاعل اجتماعي طبيعي داخل قطيع من الماشية")</f>
        <v>ج) تفاعل اجتماعي طبيعي داخل قطيع من الماشية</v>
      </c>
      <c r="L79" s="4" t="str">
        <f ca="1">IFERROR(__xludf.DUMMYFUNCTION("GOOGLETRANSLATE(D79,""en"",""ar"")"),"ج) تفاعل اجتماعي طبيعي داخل قطيع من الماشية")</f>
        <v>ج) تفاعل اجتماعي طبيعي داخل قطيع من الماشية</v>
      </c>
      <c r="M79" s="4"/>
      <c r="N79" s="4"/>
      <c r="O79" s="4"/>
      <c r="P79" s="4"/>
      <c r="Q79" s="4"/>
      <c r="R79" s="4"/>
      <c r="S79" s="4"/>
      <c r="T79" s="4"/>
      <c r="U79" s="4"/>
      <c r="V79" s="4"/>
      <c r="W79" s="4"/>
      <c r="X79" s="4"/>
      <c r="Y79" s="4"/>
      <c r="Z79" s="4"/>
    </row>
    <row r="80" spans="1:26" ht="22.5" customHeight="1" x14ac:dyDescent="0.25">
      <c r="A80" s="2"/>
      <c r="B80" s="2"/>
      <c r="C80" s="2"/>
      <c r="D80" s="2"/>
      <c r="E80" s="2"/>
      <c r="F80" s="4"/>
      <c r="G80" s="4"/>
      <c r="H80" s="4" t="s">
        <v>120</v>
      </c>
      <c r="I80" s="4" t="str">
        <f ca="1">IFERROR(__xludf.DUMMYFUNCTION("GOOGLETRANSLATE(B80,""en"",""ar"")"),"يُعد اختلاف اللون بين الثور الأسود والأبقار المرقطة (البنية والبيضاء) مثالاً على...")</f>
        <v>يُعد اختلاف اللون بين الثور الأسود والأبقار المرقطة (البنية والبيضاء) مثالاً على...</v>
      </c>
      <c r="J80" s="4" t="str">
        <f ca="1">IFERROR(__xludf.DUMMYFUNCTION("GOOGLETRANSLATE(C80,""en"",""ar"")"),"أ) اتساخ الأبقار، ب) كون الثور من سلالة مختلفة، ج) التباين الجنسي أو اختلاف اللون البسيط داخل السلالة، د) طلاء الثور من أجل مهرجان")</f>
        <v>أ) اتساخ الأبقار، ب) كون الثور من سلالة مختلفة، ج) التباين الجنسي أو اختلاف اللون البسيط داخل السلالة، د) طلاء الثور من أجل مهرجان</v>
      </c>
      <c r="K80" s="4" t="str">
        <f ca="1">IFERROR(__xludf.DUMMYFUNCTION("GOOGLETRANSLATE(D80,""en"",""ar"")"),"ج) الازدواج الجنسي أو اختلاف اللون البسيط داخل السلالة")</f>
        <v>ج) الازدواج الجنسي أو اختلاف اللون البسيط داخل السلالة</v>
      </c>
      <c r="L80" s="4" t="str">
        <f ca="1">IFERROR(__xludf.DUMMYFUNCTION("GOOGLETRANSLATE(D80,""en"",""ar"")"),"ج) الازدواج الجنسي أو اختلاف اللون البسيط داخل السلالة")</f>
        <v>ج) الازدواج الجنسي أو اختلاف اللون البسيط داخل السلالة</v>
      </c>
      <c r="M80" s="4"/>
      <c r="N80" s="4"/>
      <c r="O80" s="4"/>
      <c r="P80" s="4"/>
      <c r="Q80" s="4"/>
      <c r="R80" s="4"/>
      <c r="S80" s="4"/>
      <c r="T80" s="4"/>
      <c r="U80" s="4"/>
      <c r="V80" s="4"/>
      <c r="W80" s="4"/>
      <c r="X80" s="4"/>
      <c r="Y80" s="4"/>
      <c r="Z80" s="4"/>
    </row>
    <row r="81" spans="1:26" ht="22.5" customHeight="1" x14ac:dyDescent="0.25">
      <c r="A81" s="2"/>
      <c r="B81" s="2"/>
      <c r="C81" s="2"/>
      <c r="D81" s="2"/>
      <c r="E81" s="2"/>
      <c r="F81" s="4"/>
      <c r="G81" s="4"/>
      <c r="H81" s="4" t="s">
        <v>120</v>
      </c>
      <c r="I81" s="4" t="str">
        <f ca="1">IFERROR(__xludf.DUMMYFUNCTION("GOOGLETRANSLATE(B81,""en"",""ar"")"),"تم إنشاء المسار المتعرج الصاعد إلى التل بواسطة...")</f>
        <v>تم إنشاء المسار المتعرج الصاعد إلى التل بواسطة...</v>
      </c>
      <c r="J81" s="4" t="str">
        <f ca="1">IFERROR(__xludf.DUMMYFUNCTION("GOOGLETRANSLATE(C81,""en"",""ar"")"),"أ) طريق للمركبات، ب) مجرى نهر، ج) سير الماشية المتكرر عبر الزمن، د) مسار للمشي للمشاة")</f>
        <v>أ) طريق للمركبات، ب) مجرى نهر، ج) سير الماشية المتكرر عبر الزمن، د) مسار للمشي للمشاة</v>
      </c>
      <c r="K81" s="4" t="str">
        <f ca="1">IFERROR(__xludf.DUMMYFUNCTION("GOOGLETRANSLATE(D81,""en"",""ar"")"),"ج) المشي المتكرر للماشية على مر الزمن")</f>
        <v>ج) المشي المتكرر للماشية على مر الزمن</v>
      </c>
      <c r="L81" s="4" t="str">
        <f ca="1">IFERROR(__xludf.DUMMYFUNCTION("GOOGLETRANSLATE(D81,""en"",""ar"")"),"ج) المشي المتكرر للماشية على مر الزمن")</f>
        <v>ج) المشي المتكرر للماشية على مر الزمن</v>
      </c>
      <c r="M81" s="4"/>
      <c r="N81" s="4"/>
      <c r="O81" s="4"/>
      <c r="P81" s="4"/>
      <c r="Q81" s="4"/>
      <c r="R81" s="4"/>
      <c r="S81" s="4"/>
      <c r="T81" s="4"/>
      <c r="U81" s="4"/>
      <c r="V81" s="4"/>
      <c r="W81" s="4"/>
      <c r="X81" s="4"/>
      <c r="Y81" s="4"/>
      <c r="Z81" s="4"/>
    </row>
    <row r="82" spans="1:26" ht="22.5" customHeight="1" x14ac:dyDescent="0.25">
      <c r="A82" s="2"/>
      <c r="B82" s="2"/>
      <c r="C82" s="2"/>
      <c r="D82" s="2"/>
      <c r="E82" s="2"/>
      <c r="F82" s="4"/>
      <c r="G82" s="4"/>
      <c r="H82" s="4" t="s">
        <v>121</v>
      </c>
      <c r="I82" s="4" t="str">
        <f ca="1">IFERROR(__xludf.DUMMYFUNCTION("GOOGLETRANSLATE(B82,""en"",""ar"")"),"ماذا تفعل هاتان البقرتان؟")</f>
        <v>ماذا تفعل هاتان البقرتان؟</v>
      </c>
      <c r="J82" s="4" t="str">
        <f ca="1">IFERROR(__xludf.DUMMYFUNCTION("GOOGLETRANSLATE(C82,""en"",""ar"")"),"أ) يلعقان بعضهما البعض كعلامة على المودة، ب) يدفعان رأسيهما معًا في استعراض للهيمنة، ج) يهمسان ببعضهما البعض بالأسرار، د) يحاولان كلاهما أكل نفس نصلة العشب")</f>
        <v>أ) يلعقان بعضهما البعض كعلامة على المودة، ب) يدفعان رأسيهما معًا في استعراض للهيمنة، ج) يهمسان ببعضهما البعض بالأسرار، د) يحاولان كلاهما أكل نفس نصلة العشب</v>
      </c>
      <c r="K82" s="4" t="str">
        <f ca="1">IFERROR(__xludf.DUMMYFUNCTION("GOOGLETRANSLATE(D82,""en"",""ar"")"),"ب) إنهم يدفعون رؤوسهم معًا في استعراض للهيمنة")</f>
        <v>ب) إنهم يدفعون رؤوسهم معًا في استعراض للهيمنة</v>
      </c>
      <c r="L82" s="4" t="str">
        <f ca="1">IFERROR(__xludf.DUMMYFUNCTION("GOOGLETRANSLATE(D82,""en"",""ar"")"),"ب) إنهم يدفعون رؤوسهم معًا في استعراض للهيمنة")</f>
        <v>ب) إنهم يدفعون رؤوسهم معًا في استعراض للهيمنة</v>
      </c>
      <c r="M82" s="4"/>
      <c r="N82" s="4"/>
      <c r="O82" s="4"/>
      <c r="P82" s="4"/>
      <c r="Q82" s="4"/>
      <c r="R82" s="4"/>
      <c r="S82" s="4"/>
      <c r="T82" s="4"/>
      <c r="U82" s="4"/>
      <c r="V82" s="4"/>
      <c r="W82" s="4"/>
      <c r="X82" s="4"/>
      <c r="Y82" s="4"/>
      <c r="Z82" s="4"/>
    </row>
    <row r="83" spans="1:26" ht="22.5" customHeight="1" x14ac:dyDescent="0.25">
      <c r="A83" s="2"/>
      <c r="B83" s="2"/>
      <c r="C83" s="2"/>
      <c r="D83" s="2"/>
      <c r="E83" s="2"/>
      <c r="F83" s="4"/>
      <c r="G83" s="4"/>
      <c r="H83" s="4" t="s">
        <v>121</v>
      </c>
      <c r="I83" s="4" t="str">
        <f ca="1">IFERROR(__xludf.DUMMYFUNCTION("GOOGLETRANSLATE(B83,""en"",""ar"")"),"ماذا تعني العلامات الصفراء الموجودة في آذانهم؟")</f>
        <v>ماذا تعني العلامات الصفراء الموجودة في آذانهم؟</v>
      </c>
      <c r="J83" s="4" t="str">
        <f ca="1">IFERROR(__xludf.DUMMYFUNCTION("GOOGLETRANSLATE(C83,""en"",""ar"")"),"أ) إنها أقراط زينة، ب) إنها بطاقات تعريف يستخدمها المزارع، ج) إنها أجهزة سمعية، د) إنها جوائز تم الفوز بها في مسابقة")</f>
        <v>أ) إنها أقراط زينة، ب) إنها بطاقات تعريف يستخدمها المزارع، ج) إنها أجهزة سمعية، د) إنها جوائز تم الفوز بها في مسابقة</v>
      </c>
      <c r="K83" s="4" t="str">
        <f ca="1">IFERROR(__xludf.DUMMYFUNCTION("GOOGLETRANSLATE(D83,""en"",""ar"")"),"ب) إنها علامات تعريف يستخدمها المزارع")</f>
        <v>ب) إنها علامات تعريف يستخدمها المزارع</v>
      </c>
      <c r="L83" s="4" t="str">
        <f ca="1">IFERROR(__xludf.DUMMYFUNCTION("GOOGLETRANSLATE(D83,""en"",""ar"")"),"ب) إنها علامات تعريف يستخدمها المزارع")</f>
        <v>ب) إنها علامات تعريف يستخدمها المزارع</v>
      </c>
      <c r="M83" s="4"/>
      <c r="N83" s="4"/>
      <c r="O83" s="4"/>
      <c r="P83" s="4"/>
      <c r="Q83" s="4"/>
      <c r="R83" s="4"/>
      <c r="S83" s="4"/>
      <c r="T83" s="4"/>
      <c r="U83" s="4"/>
      <c r="V83" s="4"/>
      <c r="W83" s="4"/>
      <c r="X83" s="4"/>
      <c r="Y83" s="4"/>
      <c r="Z83" s="4"/>
    </row>
    <row r="84" spans="1:26" ht="22.5" customHeight="1" x14ac:dyDescent="0.25">
      <c r="A84" s="2"/>
      <c r="B84" s="2"/>
      <c r="C84" s="2"/>
      <c r="D84" s="2"/>
      <c r="E84" s="2"/>
      <c r="F84" s="4"/>
      <c r="G84" s="4"/>
      <c r="H84" s="4" t="s">
        <v>121</v>
      </c>
      <c r="I84" s="4" t="str">
        <f ca="1">IFERROR(__xludf.DUMMYFUNCTION("GOOGLETRANSLATE(B84,""en"",""ar"")"),"ما هو الإطار الذي يتم فيه هذا التفاعل؟")</f>
        <v>ما هو الإطار الذي يتم فيه هذا التفاعل؟</v>
      </c>
      <c r="J84" s="4" t="str">
        <f ca="1">IFERROR(__xludf.DUMMYFUNCTION("GOOGLETRANSLATE(C84,""en"",""ar"")"),"أ) ساحة قتال رسمية، ب) مرعى أخضر وارف، ج) حظيرة داخلية، د) صحراء")</f>
        <v>أ) ساحة قتال رسمية، ب) مرعى أخضر وارف، ج) حظيرة داخلية، د) صحراء</v>
      </c>
      <c r="K84" s="4" t="str">
        <f ca="1">IFERROR(__xludf.DUMMYFUNCTION("GOOGLETRANSLATE(D84,""en"",""ar"")"),"ب) مرعى أخضر وارف")</f>
        <v>ب) مرعى أخضر وارف</v>
      </c>
      <c r="L84" s="4" t="str">
        <f ca="1">IFERROR(__xludf.DUMMYFUNCTION("GOOGLETRANSLATE(D84,""en"",""ar"")"),"ب) مرعى أخضر وارف")</f>
        <v>ب) مرعى أخضر وارف</v>
      </c>
      <c r="M84" s="4"/>
      <c r="N84" s="4"/>
      <c r="O84" s="4"/>
      <c r="P84" s="4"/>
      <c r="Q84" s="4"/>
      <c r="R84" s="4"/>
      <c r="S84" s="4"/>
      <c r="T84" s="4"/>
      <c r="U84" s="4"/>
      <c r="V84" s="4"/>
      <c r="W84" s="4"/>
      <c r="X84" s="4"/>
      <c r="Y84" s="4"/>
      <c r="Z84" s="4"/>
    </row>
    <row r="85" spans="1:26" ht="22.5" customHeight="1" x14ac:dyDescent="0.25">
      <c r="A85" s="2"/>
      <c r="B85" s="2"/>
      <c r="C85" s="2"/>
      <c r="D85" s="2"/>
      <c r="E85" s="2"/>
      <c r="F85" s="4"/>
      <c r="G85" s="4"/>
      <c r="H85" s="4" t="s">
        <v>121</v>
      </c>
      <c r="I85" s="4" t="str">
        <f ca="1">IFERROR(__xludf.DUMMYFUNCTION("GOOGLETRANSLATE(B85,""en"",""ar"")"),"من المحتمل أن تكون البقرة ذات اللونين الأبيض والأسود...")</f>
        <v>من المحتمل أن تكون البقرة ذات اللونين الأبيض والأسود...</v>
      </c>
      <c r="J85" s="4" t="str">
        <f ca="1">IFERROR(__xludf.DUMMYFUNCTION("GOOGLETRANSLATE(C85,""en"",""ar"")"),"أ) هيرفورد، ب) تكساس لونغهورن، ج) هولشتاين فريزيان، د) بقرة المرتفعات")</f>
        <v>أ) هيرفورد، ب) تكساس لونغهورن، ج) هولشتاين فريزيان، د) بقرة المرتفعات</v>
      </c>
      <c r="K85" s="4" t="str">
        <f ca="1">IFERROR(__xludf.DUMMYFUNCTION("GOOGLETRANSLATE(D85,""en"",""ar"")"),"ج) هولشتاين فريزيان")</f>
        <v>ج) هولشتاين فريزيان</v>
      </c>
      <c r="L85" s="4" t="str">
        <f ca="1">IFERROR(__xludf.DUMMYFUNCTION("GOOGLETRANSLATE(D85,""en"",""ar"")"),"ج) هولشتاين فريزيان")</f>
        <v>ج) هولشتاين فريزيان</v>
      </c>
      <c r="M85" s="4"/>
      <c r="N85" s="4"/>
      <c r="O85" s="4"/>
      <c r="P85" s="4"/>
      <c r="Q85" s="4"/>
      <c r="R85" s="4"/>
      <c r="S85" s="4"/>
      <c r="T85" s="4"/>
      <c r="U85" s="4"/>
      <c r="V85" s="4"/>
      <c r="W85" s="4"/>
      <c r="X85" s="4"/>
      <c r="Y85" s="4"/>
      <c r="Z85" s="4"/>
    </row>
    <row r="86" spans="1:26" ht="22.5" customHeight="1" x14ac:dyDescent="0.25">
      <c r="A86" s="2"/>
      <c r="B86" s="2"/>
      <c r="C86" s="2"/>
      <c r="D86" s="2"/>
      <c r="E86" s="2"/>
      <c r="F86" s="4"/>
      <c r="G86" s="4"/>
      <c r="H86" s="4" t="s">
        <v>121</v>
      </c>
      <c r="I86" s="4" t="str">
        <f ca="1">IFERROR(__xludf.DUMMYFUNCTION("GOOGLETRANSLATE(B86,""en"",""ar"")"),"هل من المرجح أن تكون هذه المعركة خطيرة ومهددة للحياة؟")</f>
        <v>هل من المرجح أن تكون هذه المعركة خطيرة ومهددة للحياة؟</v>
      </c>
      <c r="J86" s="4" t="str">
        <f ca="1">IFERROR(__xludf.DUMMYFUNCTION("GOOGLETRANSLATE(C86,""en"",""ar"")"),"أ) نعم، من المرجح أن تقتل إحدى البقرتين الأخرى، ب) لا، هذا سلوك تنافسي طبيعي وغير مؤذٍ في الغالب، ج) نعم، سيتشاجران حتى يتدخل المزارع، د) لا، إنهما يلعبان لعبة فقط")</f>
        <v>أ) نعم، من المرجح أن تقتل إحدى البقرتين الأخرى، ب) لا، هذا سلوك تنافسي طبيعي وغير مؤذٍ في الغالب، ج) نعم، سيتشاجران حتى يتدخل المزارع، د) لا، إنهما يلعبان لعبة فقط</v>
      </c>
      <c r="K86" s="4" t="str">
        <f ca="1">IFERROR(__xludf.DUMMYFUNCTION("GOOGLETRANSLATE(D86,""en"",""ar"")"),"ب) لا، هذا سلوك تدريبي نموذجي وغير ضار في كثير من الأحيان.")</f>
        <v>ب) لا، هذا سلوك تدريبي نموذجي وغير ضار في كثير من الأحيان.</v>
      </c>
      <c r="L86" s="4" t="str">
        <f ca="1">IFERROR(__xludf.DUMMYFUNCTION("GOOGLETRANSLATE(D86,""en"",""ar"")"),"ب) لا، هذا سلوك تدريبي نموذجي وغير ضار في كثير من الأحيان.")</f>
        <v>ب) لا، هذا سلوك تدريبي نموذجي وغير ضار في كثير من الأحيان.</v>
      </c>
      <c r="M86" s="4"/>
      <c r="N86" s="4"/>
      <c r="O86" s="4"/>
      <c r="P86" s="4"/>
      <c r="Q86" s="4"/>
      <c r="R86" s="4"/>
      <c r="S86" s="4"/>
      <c r="T86" s="4"/>
      <c r="U86" s="4"/>
      <c r="V86" s="4"/>
      <c r="W86" s="4"/>
      <c r="X86" s="4"/>
      <c r="Y86" s="4"/>
      <c r="Z86" s="4"/>
    </row>
    <row r="87" spans="1:26" ht="22.5" customHeight="1" x14ac:dyDescent="0.25">
      <c r="A87" s="2"/>
      <c r="B87" s="2"/>
      <c r="C87" s="2"/>
      <c r="D87" s="2"/>
      <c r="E87" s="2"/>
      <c r="F87" s="4"/>
      <c r="G87" s="4"/>
      <c r="H87" s="4" t="s">
        <v>121</v>
      </c>
      <c r="I87" s="4" t="str">
        <f ca="1">IFERROR(__xludf.DUMMYFUNCTION("GOOGLETRANSLATE(B87,""en"",""ar"")"),"ما هو الجزء من أجسامهم الذي يستخدمونه للدفع؟")</f>
        <v>ما هو الجزء من أجسامهم الذي يستخدمونه للدفع؟</v>
      </c>
      <c r="J87" s="4" t="str">
        <f ca="1">IFERROR(__xludf.DUMMYFUNCTION("GOOGLETRANSLATE(C87,""en"",""ar"")"),"أ) أكتافهم، ب) مؤخرتهم، ج) قمم رؤوسهم وقرونهم/رؤوسهم، د) أنوفهم")</f>
        <v>أ) أكتافهم، ب) مؤخرتهم، ج) قمم رؤوسهم وقرونهم/رؤوسهم، د) أنوفهم</v>
      </c>
      <c r="K87" s="4" t="str">
        <f ca="1">IFERROR(__xludf.DUMMYFUNCTION("GOOGLETRANSLATE(D87,""en"",""ar"")"),"ج) قمم رؤوسهم وقرونها/أطرافها")</f>
        <v>ج) قمم رؤوسهم وقرونها/أطرافها</v>
      </c>
      <c r="L87" s="4" t="str">
        <f ca="1">IFERROR(__xludf.DUMMYFUNCTION("GOOGLETRANSLATE(D87,""en"",""ar"")"),"ج) قمم رؤوسهم وقرونها/أطرافها")</f>
        <v>ج) قمم رؤوسهم وقرونها/أطرافها</v>
      </c>
      <c r="M87" s="4"/>
      <c r="N87" s="4"/>
      <c r="O87" s="4"/>
      <c r="P87" s="4"/>
      <c r="Q87" s="4"/>
      <c r="R87" s="4"/>
      <c r="S87" s="4"/>
      <c r="T87" s="4"/>
      <c r="U87" s="4"/>
      <c r="V87" s="4"/>
      <c r="W87" s="4"/>
      <c r="X87" s="4"/>
      <c r="Y87" s="4"/>
      <c r="Z87" s="4"/>
    </row>
    <row r="88" spans="1:26" ht="22.5" customHeight="1" x14ac:dyDescent="0.25">
      <c r="A88" s="2"/>
      <c r="B88" s="2"/>
      <c r="C88" s="2"/>
      <c r="D88" s="2"/>
      <c r="E88" s="2"/>
      <c r="F88" s="4"/>
      <c r="G88" s="4"/>
      <c r="H88" s="4" t="s">
        <v>121</v>
      </c>
      <c r="I88" s="4" t="str">
        <f ca="1">IFERROR(__xludf.DUMMYFUNCTION("GOOGLETRANSLATE(B88,""en"",""ar"")"),"عيون البقرتين مفتوحة على مصراعيها، مما يدل على أنهما حتى في مباراة منخفضة الشدة، ...")</f>
        <v>عيون البقرتين مفتوحة على مصراعيها، مما يدل على أنهما حتى في مباراة منخفضة الشدة، ...</v>
      </c>
      <c r="J88" s="4" t="str">
        <f ca="1">IFERROR(__xludf.DUMMYFUNCTION("GOOGLETRANSLATE(C88,""en"",""ar"")"),"أ) منغمسون تمامًا ومركزون على خصمهم، ب) مشتتون بسبب المصور، ج) على وشك النوم، د) لا يأخذون الأمر على محمل الجد")</f>
        <v>أ) منغمسون تمامًا ومركزون على خصمهم، ب) مشتتون بسبب المصور، ج) على وشك النوم، د) لا يأخذون الأمر على محمل الجد</v>
      </c>
      <c r="K88" s="4" t="str">
        <f ca="1">IFERROR(__xludf.DUMMYFUNCTION("GOOGLETRANSLATE(D88,""en"",""ar"")"),"أ) منخرطين تماماً ومركزين على خصمهم")</f>
        <v>أ) منخرطين تماماً ومركزين على خصمهم</v>
      </c>
      <c r="L88" s="4" t="str">
        <f ca="1">IFERROR(__xludf.DUMMYFUNCTION("GOOGLETRANSLATE(D88,""en"",""ar"")"),"أ) منخرطين تماماً ومركزين على خصمهم")</f>
        <v>أ) منخرطين تماماً ومركزين على خصمهم</v>
      </c>
      <c r="M88" s="4"/>
      <c r="N88" s="4"/>
      <c r="O88" s="4"/>
      <c r="P88" s="4"/>
      <c r="Q88" s="4"/>
      <c r="R88" s="4"/>
      <c r="S88" s="4"/>
      <c r="T88" s="4"/>
      <c r="U88" s="4"/>
      <c r="V88" s="4"/>
      <c r="W88" s="4"/>
      <c r="X88" s="4"/>
      <c r="Y88" s="4"/>
      <c r="Z88" s="4"/>
    </row>
    <row r="89" spans="1:26" ht="22.5" customHeight="1" x14ac:dyDescent="0.25">
      <c r="A89" s="2"/>
      <c r="B89" s="2"/>
      <c r="C89" s="2"/>
      <c r="D89" s="2"/>
      <c r="E89" s="2"/>
      <c r="F89" s="4"/>
      <c r="G89" s="4"/>
      <c r="H89" s="4" t="s">
        <v>121</v>
      </c>
      <c r="I89" s="4" t="str">
        <f ca="1">IFERROR(__xludf.DUMMYFUNCTION("GOOGLETRANSLATE(B89,""en"",""ar"")"),"يُعد هذا السلوك أكثر شيوعًا عندما...")</f>
        <v>يُعد هذا السلوك أكثر شيوعًا عندما...</v>
      </c>
      <c r="J89" s="4" t="str">
        <f ca="1">IFERROR(__xludf.DUMMYFUNCTION("GOOGLETRANSLATE(C89,""en"",""ar"")"),"أ) تم إدخال بقرة جديدة إلى القطيع، ب) على وشك هطول المطر، ج) أحضر المزارع لهم الطعام، د) هم على وشك النوم")</f>
        <v>أ) تم إدخال بقرة جديدة إلى القطيع، ب) على وشك هطول المطر، ج) أحضر المزارع لهم الطعام، د) هم على وشك النوم</v>
      </c>
      <c r="K89" s="4" t="str">
        <f ca="1">IFERROR(__xludf.DUMMYFUNCTION("GOOGLETRANSLATE(D89,""en"",""ar"")"),"أ) يتم إدخال بقرة جديدة إلى القطيع")</f>
        <v>أ) يتم إدخال بقرة جديدة إلى القطيع</v>
      </c>
      <c r="L89" s="4" t="str">
        <f ca="1">IFERROR(__xludf.DUMMYFUNCTION("GOOGLETRANSLATE(D89,""en"",""ar"")"),"أ) يتم إدخال بقرة جديدة إلى القطيع")</f>
        <v>أ) يتم إدخال بقرة جديدة إلى القطيع</v>
      </c>
      <c r="M89" s="4"/>
      <c r="N89" s="4"/>
      <c r="O89" s="4"/>
      <c r="P89" s="4"/>
      <c r="Q89" s="4"/>
      <c r="R89" s="4"/>
      <c r="S89" s="4"/>
      <c r="T89" s="4"/>
      <c r="U89" s="4"/>
      <c r="V89" s="4"/>
      <c r="W89" s="4"/>
      <c r="X89" s="4"/>
      <c r="Y89" s="4"/>
      <c r="Z89" s="4"/>
    </row>
    <row r="90" spans="1:26" ht="22.5" customHeight="1" x14ac:dyDescent="0.25">
      <c r="A90" s="2"/>
      <c r="B90" s="2"/>
      <c r="C90" s="2"/>
      <c r="D90" s="2"/>
      <c r="E90" s="2"/>
      <c r="F90" s="4"/>
      <c r="G90" s="4"/>
      <c r="H90" s="4" t="s">
        <v>121</v>
      </c>
      <c r="I90" s="4" t="str">
        <f ca="1">IFERROR(__xludf.DUMMYFUNCTION("GOOGLETRANSLATE(B90,""en"",""ar"")"),"البقرة البنية لها قرون صغيرة، بينما تبدو البقرة السوداء بلا قرون. تُسمى البقرة التي لا قرون لها...")</f>
        <v>البقرة البنية لها قرون صغيرة، بينما تبدو البقرة السوداء بلا قرون. تُسمى البقرة التي لا قرون لها...</v>
      </c>
      <c r="J90" s="4" t="str">
        <f ca="1">IFERROR(__xludf.DUMMYFUNCTION("GOOGLETRANSLATE(C90,""en"",""ar"")"),"أ) عديم القرون، ب) بلا قرون، ج) منزوع القرون، د) أي مما سبق")</f>
        <v>أ) عديم القرون، ب) بلا قرون، ج) منزوع القرون، د) أي مما سبق</v>
      </c>
      <c r="K90" s="4" t="str">
        <f ca="1">IFERROR(__xludf.DUMMYFUNCTION("GOOGLETRANSLATE(D90,""en"",""ar"")"),"د) أي مما سبق")</f>
        <v>د) أي مما سبق</v>
      </c>
      <c r="L90" s="4" t="str">
        <f ca="1">IFERROR(__xludf.DUMMYFUNCTION("GOOGLETRANSLATE(D90,""en"",""ar"")"),"د) أي مما سبق")</f>
        <v>د) أي مما سبق</v>
      </c>
      <c r="M90" s="4"/>
      <c r="N90" s="4"/>
      <c r="O90" s="4"/>
      <c r="P90" s="4"/>
      <c r="Q90" s="4"/>
      <c r="R90" s="4"/>
      <c r="S90" s="4"/>
      <c r="T90" s="4"/>
      <c r="U90" s="4"/>
      <c r="V90" s="4"/>
      <c r="W90" s="4"/>
      <c r="X90" s="4"/>
      <c r="Y90" s="4"/>
      <c r="Z90" s="4"/>
    </row>
    <row r="91" spans="1:26" ht="22.5" customHeight="1" x14ac:dyDescent="0.25">
      <c r="A91" s="2"/>
      <c r="B91" s="2"/>
      <c r="C91" s="2"/>
      <c r="D91" s="2"/>
      <c r="E91" s="2"/>
      <c r="F91" s="4"/>
      <c r="G91" s="4"/>
      <c r="H91" s="4" t="s">
        <v>121</v>
      </c>
      <c r="I91" s="4" t="str">
        <f ca="1">IFERROR(__xludf.DUMMYFUNCTION("GOOGLETRANSLATE(B91,""en"",""ar"")"),"تُجسّد هذه الصورة لحظة من...")</f>
        <v>تُجسّد هذه الصورة لحظة من...</v>
      </c>
      <c r="J91" s="4" t="str">
        <f ca="1">IFERROR(__xludf.DUMMYFUNCTION("GOOGLETRANSLATE(C91,""en"",""ar"")"),"أ) حدث نادر وعنيف، ب) الحياة الاجتماعية الطبيعية للماشية، ج) أداء مُدرَّب لعرض، د) أم تُؤدِّب عجلها")</f>
        <v>أ) حدث نادر وعنيف، ب) الحياة الاجتماعية الطبيعية للماشية، ج) أداء مُدرَّب لعرض، د) أم تُؤدِّب عجلها</v>
      </c>
      <c r="K91" s="4" t="str">
        <f ca="1">IFERROR(__xludf.DUMMYFUNCTION("GOOGLETRANSLATE(D91,""en"",""ar"")"),"ب) الحياة الاجتماعية الطبيعية للماشية")</f>
        <v>ب) الحياة الاجتماعية الطبيعية للماشية</v>
      </c>
      <c r="L91" s="4" t="str">
        <f ca="1">IFERROR(__xludf.DUMMYFUNCTION("GOOGLETRANSLATE(D91,""en"",""ar"")"),"ب) الحياة الاجتماعية الطبيعية للماشية")</f>
        <v>ب) الحياة الاجتماعية الطبيعية للماشية</v>
      </c>
      <c r="M91" s="4"/>
      <c r="N91" s="4"/>
      <c r="O91" s="4"/>
      <c r="P91" s="4"/>
      <c r="Q91" s="4"/>
      <c r="R91" s="4"/>
      <c r="S91" s="4"/>
      <c r="T91" s="4"/>
      <c r="U91" s="4"/>
      <c r="V91" s="4"/>
      <c r="W91" s="4"/>
      <c r="X91" s="4"/>
      <c r="Y91" s="4"/>
      <c r="Z91" s="4"/>
    </row>
    <row r="92" spans="1:26" ht="22.5" customHeight="1" x14ac:dyDescent="0.25">
      <c r="A92" s="2"/>
      <c r="B92" s="2"/>
      <c r="C92" s="2"/>
      <c r="D92" s="2"/>
      <c r="E92" s="2"/>
      <c r="F92" s="4"/>
      <c r="G92" s="4"/>
      <c r="H92" s="4" t="s">
        <v>122</v>
      </c>
      <c r="I92" s="4" t="str">
        <f ca="1">IFERROR(__xludf.DUMMYFUNCTION("GOOGLETRANSLATE(B92,""en"",""ar"")"),"ما الذي يحدث بين البقرتين؟")</f>
        <v>ما الذي يحدث بين البقرتين؟</v>
      </c>
      <c r="J92" s="4" t="str">
        <f ca="1">IFERROR(__xludf.DUMMYFUNCTION("GOOGLETRANSLATE(C92,""en"",""ar"")"),"أ) يتبادلان المودة، ب) يتنافسان في مباراة دفع للسيطرة، ج) يساعد كل منهما الآخر على الوقوف، د) يركضان في سباق")</f>
        <v>أ) يتبادلان المودة، ب) يتنافسان في مباراة دفع للسيطرة، ج) يساعد كل منهما الآخر على الوقوف، د) يركضان في سباق</v>
      </c>
      <c r="K92" s="4" t="str">
        <f ca="1">IFERROR(__xludf.DUMMYFUNCTION("GOOGLETRANSLATE(D92,""en"",""ar"")"),"ب) إنهم يتنافسون في مباراة دفع من أجل الهيمنة")</f>
        <v>ب) إنهم يتنافسون في مباراة دفع من أجل الهيمنة</v>
      </c>
      <c r="L92" s="4" t="str">
        <f ca="1">IFERROR(__xludf.DUMMYFUNCTION("GOOGLETRANSLATE(D92,""en"",""ar"")"),"ب) إنهم يتنافسون في مباراة دفع من أجل الهيمنة")</f>
        <v>ب) إنهم يتنافسون في مباراة دفع من أجل الهيمنة</v>
      </c>
      <c r="M92" s="4"/>
      <c r="N92" s="4"/>
      <c r="O92" s="4"/>
      <c r="P92" s="4"/>
      <c r="Q92" s="4"/>
      <c r="R92" s="4"/>
      <c r="S92" s="4"/>
      <c r="T92" s="4"/>
      <c r="U92" s="4"/>
      <c r="V92" s="4"/>
      <c r="W92" s="4"/>
      <c r="X92" s="4"/>
      <c r="Y92" s="4"/>
      <c r="Z92" s="4"/>
    </row>
    <row r="93" spans="1:26" ht="22.5" customHeight="1" x14ac:dyDescent="0.25">
      <c r="A93" s="2"/>
      <c r="B93" s="2"/>
      <c r="C93" s="2"/>
      <c r="D93" s="2"/>
      <c r="E93" s="2"/>
      <c r="F93" s="4"/>
      <c r="G93" s="4"/>
      <c r="H93" s="4" t="s">
        <v>122</v>
      </c>
      <c r="I93" s="4" t="str">
        <f ca="1">IFERROR(__xludf.DUMMYFUNCTION("GOOGLETRANSLATE(B93,""en"",""ar"")"),"ماذا يُظهر الوضع الرياضي المنحني للبقرة على اليمين؟")</f>
        <v>ماذا يُظهر الوضع الرياضي المنحني للبقرة على اليمين؟</v>
      </c>
      <c r="J93" s="4" t="str">
        <f ca="1">IFERROR(__xludf.DUMMYFUNCTION("GOOGLETRANSLATE(C93,""en"",""ar"")"),"أ) على وشك الاستلقاء والنوم، ب) يستخدم قوة ساقيه وجسمه للدفع بأقصى قوة، ج) مريض أو مصاب، د) يؤدي خدعة")</f>
        <v>أ) على وشك الاستلقاء والنوم، ب) يستخدم قوة ساقيه وجسمه للدفع بأقصى قوة، ج) مريض أو مصاب، د) يؤدي خدعة</v>
      </c>
      <c r="K93" s="4" t="str">
        <f ca="1">IFERROR(__xludf.DUMMYFUNCTION("GOOGLETRANSLATE(D93,""en"",""ar"")"),"ب) يستخدم قوة ساقيه وجسمه للدفع بأقصى قوة")</f>
        <v>ب) يستخدم قوة ساقيه وجسمه للدفع بأقصى قوة</v>
      </c>
      <c r="L93" s="4" t="str">
        <f ca="1">IFERROR(__xludf.DUMMYFUNCTION("GOOGLETRANSLATE(D93,""en"",""ar"")"),"ب) يستخدم قوة ساقيه وجسمه للدفع بأقصى قوة")</f>
        <v>ب) يستخدم قوة ساقيه وجسمه للدفع بأقصى قوة</v>
      </c>
      <c r="M93" s="4"/>
      <c r="N93" s="4"/>
      <c r="O93" s="4"/>
      <c r="P93" s="4"/>
      <c r="Q93" s="4"/>
      <c r="R93" s="4"/>
      <c r="S93" s="4"/>
      <c r="T93" s="4"/>
      <c r="U93" s="4"/>
      <c r="V93" s="4"/>
      <c r="W93" s="4"/>
      <c r="X93" s="4"/>
      <c r="Y93" s="4"/>
      <c r="Z93" s="4"/>
    </row>
    <row r="94" spans="1:26" ht="22.5" customHeight="1" x14ac:dyDescent="0.25">
      <c r="A94" s="2"/>
      <c r="B94" s="2"/>
      <c r="C94" s="2"/>
      <c r="D94" s="2"/>
      <c r="E94" s="2"/>
      <c r="F94" s="4"/>
      <c r="G94" s="4"/>
      <c r="H94" s="4" t="s">
        <v>122</v>
      </c>
      <c r="I94" s="4" t="str">
        <f ca="1">IFERROR(__xludf.DUMMYFUNCTION("GOOGLETRANSLATE(B94,""en"",""ar"")"),"ماذا تشير العلامات الصفراء الموجودة في آذان الأبقار؟")</f>
        <v>ماذا تشير العلامات الصفراء الموجودة في آذان الأبقار؟</v>
      </c>
      <c r="J94" s="4" t="str">
        <f ca="1">IFERROR(__xludf.DUMMYFUNCTION("GOOGLETRANSLATE(C94,""en"",""ar"")"),"أ) لقد فازت بجوائز، ب) تُستخدم للتعريف، ج) إنها أقراط للزينة، د) تقيس درجة حرارة البقرة")</f>
        <v>أ) لقد فازت بجوائز، ب) تُستخدم للتعريف، ج) إنها أقراط للزينة، د) تقيس درجة حرارة البقرة</v>
      </c>
      <c r="K94" s="4" t="str">
        <f ca="1">IFERROR(__xludf.DUMMYFUNCTION("GOOGLETRANSLATE(D94,""en"",""ar"")"),"ب) هي لأغراض التعريف")</f>
        <v>ب) هي لأغراض التعريف</v>
      </c>
      <c r="L94" s="4" t="str">
        <f ca="1">IFERROR(__xludf.DUMMYFUNCTION("GOOGLETRANSLATE(D94,""en"",""ar"")"),"ب) هي لأغراض التعريف")</f>
        <v>ب) هي لأغراض التعريف</v>
      </c>
      <c r="M94" s="4"/>
      <c r="N94" s="4"/>
      <c r="O94" s="4"/>
      <c r="P94" s="4"/>
      <c r="Q94" s="4"/>
      <c r="R94" s="4"/>
      <c r="S94" s="4"/>
      <c r="T94" s="4"/>
      <c r="U94" s="4"/>
      <c r="V94" s="4"/>
      <c r="W94" s="4"/>
      <c r="X94" s="4"/>
      <c r="Y94" s="4"/>
      <c r="Z94" s="4"/>
    </row>
    <row r="95" spans="1:26" ht="22.5" customHeight="1" x14ac:dyDescent="0.25">
      <c r="A95" s="2"/>
      <c r="B95" s="2"/>
      <c r="C95" s="2"/>
      <c r="D95" s="2"/>
      <c r="E95" s="2"/>
      <c r="F95" s="4"/>
      <c r="G95" s="4"/>
      <c r="H95" s="4" t="s">
        <v>122</v>
      </c>
      <c r="I95" s="4" t="str">
        <f ca="1">IFERROR(__xludf.DUMMYFUNCTION("GOOGLETRANSLATE(B95,""en"",""ar"")"),"ما هو الإطار الزمني؟")</f>
        <v>ما هو الإطار الزمني؟</v>
      </c>
      <c r="J95" s="4" t="str">
        <f ca="1">IFERROR(__xludf.DUMMYFUNCTION("GOOGLETRANSLATE(C95,""en"",""ar"")"),"أ) صحراء، ب) ساحة داخلية، ج) مرعى أخضر منبسط، د) قمة جبل")</f>
        <v>أ) صحراء، ب) ساحة داخلية، ج) مرعى أخضر منبسط، د) قمة جبل</v>
      </c>
      <c r="K95" s="4" t="str">
        <f ca="1">IFERROR(__xludf.DUMMYFUNCTION("GOOGLETRANSLATE(D95,""en"",""ar"")"),"ج) مرعى أخضر مسطح")</f>
        <v>ج) مرعى أخضر مسطح</v>
      </c>
      <c r="L95" s="4" t="str">
        <f ca="1">IFERROR(__xludf.DUMMYFUNCTION("GOOGLETRANSLATE(D95,""en"",""ar"")"),"ج) مرعى أخضر مسطح")</f>
        <v>ج) مرعى أخضر مسطح</v>
      </c>
      <c r="M95" s="4"/>
      <c r="N95" s="4"/>
      <c r="O95" s="4"/>
      <c r="P95" s="4"/>
      <c r="Q95" s="4"/>
      <c r="R95" s="4"/>
      <c r="S95" s="4"/>
      <c r="T95" s="4"/>
      <c r="U95" s="4"/>
      <c r="V95" s="4"/>
      <c r="W95" s="4"/>
      <c r="X95" s="4"/>
      <c r="Y95" s="4"/>
      <c r="Z95" s="4"/>
    </row>
    <row r="96" spans="1:26" ht="22.5" customHeight="1" x14ac:dyDescent="0.25">
      <c r="A96" s="2"/>
      <c r="B96" s="2"/>
      <c r="C96" s="2"/>
      <c r="D96" s="2"/>
      <c r="E96" s="2"/>
      <c r="F96" s="4"/>
      <c r="G96" s="4"/>
      <c r="H96" s="4" t="s">
        <v>122</v>
      </c>
      <c r="I96" s="4" t="str">
        <f ca="1">IFERROR(__xludf.DUMMYFUNCTION("GOOGLETRANSLATE(B96,""en"",""ar"")"),"يُعد هذا النوع من التفاعل وسيلةً للماشية لـ...")</f>
        <v>يُعد هذا النوع من التفاعل وسيلةً للماشية لـ...</v>
      </c>
      <c r="J96" s="4" t="str">
        <f ca="1">IFERROR(__xludf.DUMMYFUNCTION("GOOGLETRANSLATE(C96,""en"",""ar"")"),"أ) تحديد من سيقود القطيع، ب) تقاسم الطعام، ج) تنظيف بعضنا البعض، د) لعب لعبة")</f>
        <v>أ) تحديد من سيقود القطيع، ب) تقاسم الطعام، ج) تنظيف بعضنا البعض، د) لعب لعبة</v>
      </c>
      <c r="K96" s="4" t="str">
        <f ca="1">IFERROR(__xludf.DUMMYFUNCTION("GOOGLETRANSLATE(D96,""en"",""ar"")"),"أ) لتحديد من سيقود القطيع")</f>
        <v>أ) لتحديد من سيقود القطيع</v>
      </c>
      <c r="L96" s="4" t="str">
        <f ca="1">IFERROR(__xludf.DUMMYFUNCTION("GOOGLETRANSLATE(D96,""en"",""ar"")"),"أ) لتحديد من سيقود القطيع")</f>
        <v>أ) لتحديد من سيقود القطيع</v>
      </c>
      <c r="M96" s="4"/>
      <c r="N96" s="4"/>
      <c r="O96" s="4"/>
      <c r="P96" s="4"/>
      <c r="Q96" s="4"/>
      <c r="R96" s="4"/>
      <c r="S96" s="4"/>
      <c r="T96" s="4"/>
      <c r="U96" s="4"/>
      <c r="V96" s="4"/>
      <c r="W96" s="4"/>
      <c r="X96" s="4"/>
      <c r="Y96" s="4"/>
      <c r="Z96" s="4"/>
    </row>
    <row r="97" spans="1:26" ht="22.5" customHeight="1" x14ac:dyDescent="0.25">
      <c r="A97" s="2"/>
      <c r="B97" s="2"/>
      <c r="C97" s="2"/>
      <c r="D97" s="2"/>
      <c r="E97" s="2"/>
      <c r="F97" s="4"/>
      <c r="G97" s="4"/>
      <c r="H97" s="4" t="s">
        <v>122</v>
      </c>
      <c r="I97" s="4" t="str">
        <f ca="1">IFERROR(__xludf.DUMMYFUNCTION("GOOGLETRANSLATE(B97,""en"",""ar"")"),"البقرة الموجودة على اليسار رأسها ملتف جانباً، ما هو الجزء الذي تستخدمه من رأسها للدفع؟")</f>
        <v>البقرة الموجودة على اليسار رأسها ملتف جانباً، ما هو الجزء الذي تستخدمه من رأسها للدفع؟</v>
      </c>
      <c r="J97" s="4" t="str">
        <f ca="1">IFERROR(__xludf.DUMMYFUNCTION("GOOGLETRANSLATE(C97,""en"",""ar"")"),"أ) أنفه، ب) ذقنه، ج) جانب رأسه وأعلاه، د) أذنيه")</f>
        <v>أ) أنفه، ب) ذقنه، ج) جانب رأسه وأعلاه، د) أذنيه</v>
      </c>
      <c r="K97" s="4" t="str">
        <f ca="1">IFERROR(__xludf.DUMMYFUNCTION("GOOGLETRANSLATE(D97,""en"",""ar"")"),"ج) جانب وأعلى رأسه")</f>
        <v>ج) جانب وأعلى رأسه</v>
      </c>
      <c r="L97" s="4" t="str">
        <f ca="1">IFERROR(__xludf.DUMMYFUNCTION("GOOGLETRANSLATE(D97,""en"",""ar"")"),"ج) جانب وأعلى رأسه")</f>
        <v>ج) جانب وأعلى رأسه</v>
      </c>
      <c r="M97" s="4"/>
      <c r="N97" s="4"/>
      <c r="O97" s="4"/>
      <c r="P97" s="4"/>
      <c r="Q97" s="4"/>
      <c r="R97" s="4"/>
      <c r="S97" s="4"/>
      <c r="T97" s="4"/>
      <c r="U97" s="4"/>
      <c r="V97" s="4"/>
      <c r="W97" s="4"/>
      <c r="X97" s="4"/>
      <c r="Y97" s="4"/>
      <c r="Z97" s="4"/>
    </row>
    <row r="98" spans="1:26" ht="22.5" customHeight="1" x14ac:dyDescent="0.25">
      <c r="A98" s="2"/>
      <c r="B98" s="2"/>
      <c r="C98" s="2"/>
      <c r="D98" s="2"/>
      <c r="E98" s="2"/>
      <c r="F98" s="4"/>
      <c r="G98" s="4"/>
      <c r="H98" s="4" t="s">
        <v>122</v>
      </c>
      <c r="I98" s="4" t="str">
        <f ca="1">IFERROR(__xludf.DUMMYFUNCTION("GOOGLETRANSLATE(B98,""en"",""ar"")"),"من المرجح أن يكون سلالة هذه الأبقار الحمراء والبيضاء...")</f>
        <v>من المرجح أن يكون سلالة هذه الأبقار الحمراء والبيضاء...</v>
      </c>
      <c r="J98" s="4" t="str">
        <f ca="1">IFERROR(__xludf.DUMMYFUNCTION("GOOGLETRANSLATE(C98,""en"",""ar"")"),"أ) سلالة ألبان مثل أيرشاير أو مونتبليارد، ب) سلالة لحوم مثل هيرفورد، ج) سلالة مصارعة مثل هيرينز، د) كل من أ و ب ممكن")</f>
        <v>أ) سلالة ألبان مثل أيرشاير أو مونتبليارد، ب) سلالة لحوم مثل هيرفورد، ج) سلالة مصارعة مثل هيرينز، د) كل من أ و ب ممكن</v>
      </c>
      <c r="K98" s="4" t="str">
        <f ca="1">IFERROR(__xludf.DUMMYFUNCTION("GOOGLETRANSLATE(D98,""en"",""ar"")"),"د) كلا الخيارين أ و ب ممكنان")</f>
        <v>د) كلا الخيارين أ و ب ممكنان</v>
      </c>
      <c r="L98" s="4" t="str">
        <f ca="1">IFERROR(__xludf.DUMMYFUNCTION("GOOGLETRANSLATE(D98,""en"",""ar"")"),"د) كلا الخيارين أ و ب ممكنان")</f>
        <v>د) كلا الخيارين أ و ب ممكنان</v>
      </c>
      <c r="M98" s="4"/>
      <c r="N98" s="4"/>
      <c r="O98" s="4"/>
      <c r="P98" s="4"/>
      <c r="Q98" s="4"/>
      <c r="R98" s="4"/>
      <c r="S98" s="4"/>
      <c r="T98" s="4"/>
      <c r="U98" s="4"/>
      <c r="V98" s="4"/>
      <c r="W98" s="4"/>
      <c r="X98" s="4"/>
      <c r="Y98" s="4"/>
      <c r="Z98" s="4"/>
    </row>
    <row r="99" spans="1:26" ht="22.5" customHeight="1" x14ac:dyDescent="0.25">
      <c r="A99" s="2"/>
      <c r="B99" s="2"/>
      <c r="C99" s="2"/>
      <c r="D99" s="2"/>
      <c r="E99" s="2"/>
      <c r="F99" s="4"/>
      <c r="G99" s="4"/>
      <c r="H99" s="4" t="s">
        <v>122</v>
      </c>
      <c r="I99" s="4" t="str">
        <f ca="1">IFERROR(__xludf.DUMMYFUNCTION("GOOGLETRANSLATE(B99,""en"",""ar"")"),"من المرجح أن تكون هذه المعركة...")</f>
        <v>من المرجح أن تكون هذه المعركة...</v>
      </c>
      <c r="J99" s="4" t="str">
        <f ca="1">IFERROR(__xludf.DUMMYFUNCTION("GOOGLETRANSLATE(C99,""en"",""ar"")"),"أ) قتال حتى الموت، ب) منافسة قصيرة غير مميتة تنتهي باستسلام إحدى الأبقار، ج) قتال مُدبّر لفيلم، د) أول لقاء بين هاتين البقرتين")</f>
        <v>أ) قتال حتى الموت، ب) منافسة قصيرة غير مميتة تنتهي باستسلام إحدى الأبقار، ج) قتال مُدبّر لفيلم، د) أول لقاء بين هاتين البقرتين</v>
      </c>
      <c r="K99" s="4" t="str">
        <f ca="1">IFERROR(__xludf.DUMMYFUNCTION("GOOGLETRANSLATE(D99,""en"",""ar"")"),"ب) منافسة قصيرة وغير مميتة تنتهي عندما تستسلم إحدى الأبقار")</f>
        <v>ب) منافسة قصيرة وغير مميتة تنتهي عندما تستسلم إحدى الأبقار</v>
      </c>
      <c r="L99" s="4" t="str">
        <f ca="1">IFERROR(__xludf.DUMMYFUNCTION("GOOGLETRANSLATE(D99,""en"",""ar"")"),"ب) منافسة قصيرة وغير مميتة تنتهي عندما تستسلم إحدى الأبقار")</f>
        <v>ب) منافسة قصيرة وغير مميتة تنتهي عندما تستسلم إحدى الأبقار</v>
      </c>
      <c r="M99" s="4"/>
      <c r="N99" s="4"/>
      <c r="O99" s="4"/>
      <c r="P99" s="4"/>
      <c r="Q99" s="4"/>
      <c r="R99" s="4"/>
      <c r="S99" s="4"/>
      <c r="T99" s="4"/>
      <c r="U99" s="4"/>
      <c r="V99" s="4"/>
      <c r="W99" s="4"/>
      <c r="X99" s="4"/>
      <c r="Y99" s="4"/>
      <c r="Z99" s="4"/>
    </row>
    <row r="100" spans="1:26" ht="22.5" customHeight="1" x14ac:dyDescent="0.25">
      <c r="A100" s="2"/>
      <c r="B100" s="2"/>
      <c r="C100" s="2"/>
      <c r="D100" s="2"/>
      <c r="E100" s="2"/>
      <c r="F100" s="4"/>
      <c r="G100" s="4"/>
      <c r="H100" s="4" t="s">
        <v>122</v>
      </c>
      <c r="I100" s="4" t="str">
        <f ca="1">IFERROR(__xludf.DUMMYFUNCTION("GOOGLETRANSLATE(B100,""en"",""ar"")"),"البقرة على اليمين تُظهر أداءً مثيراً للإعجاب...")</f>
        <v>البقرة على اليمين تُظهر أداءً مثيراً للإعجاب...</v>
      </c>
      <c r="J100" s="4" t="str">
        <f ca="1">IFERROR(__xludf.DUMMYFUNCTION("GOOGLETRANSLATE(C100,""en"",""ar"")"),"أ) الكسل، ب) السرعة، ج) المرونة والقوة، د) القدرة الصوتية")</f>
        <v>أ) الكسل، ب) السرعة، ج) المرونة والقوة، د) القدرة الصوتية</v>
      </c>
      <c r="K100" s="4" t="str">
        <f ca="1">IFERROR(__xludf.DUMMYFUNCTION("GOOGLETRANSLATE(D100,""en"",""ar"")"),"ج) المرونة والقوة")</f>
        <v>ج) المرونة والقوة</v>
      </c>
      <c r="L100" s="4" t="str">
        <f ca="1">IFERROR(__xludf.DUMMYFUNCTION("GOOGLETRANSLATE(D100,""en"",""ar"")"),"ج) المرونة والقوة")</f>
        <v>ج) المرونة والقوة</v>
      </c>
      <c r="M100" s="4"/>
      <c r="N100" s="4"/>
      <c r="O100" s="4"/>
      <c r="P100" s="4"/>
      <c r="Q100" s="4"/>
      <c r="R100" s="4"/>
      <c r="S100" s="4"/>
      <c r="T100" s="4"/>
      <c r="U100" s="4"/>
      <c r="V100" s="4"/>
      <c r="W100" s="4"/>
      <c r="X100" s="4"/>
      <c r="Y100" s="4"/>
      <c r="Z100" s="4"/>
    </row>
    <row r="101" spans="1:26" ht="22.5" customHeight="1" x14ac:dyDescent="0.25">
      <c r="A101" s="2"/>
      <c r="B101" s="2"/>
      <c r="C101" s="2"/>
      <c r="D101" s="2"/>
      <c r="E101" s="2"/>
      <c r="F101" s="4"/>
      <c r="G101" s="4"/>
      <c r="H101" s="4" t="s">
        <v>122</v>
      </c>
      <c r="I101" s="4" t="str">
        <f ca="1">IFERROR(__xludf.DUMMYFUNCTION("GOOGLETRANSLATE(B101,""en"",""ar"")"),"هذه الصورة تجسد...")</f>
        <v>هذه الصورة تجسد...</v>
      </c>
      <c r="J101" s="4" t="str">
        <f ca="1">IFERROR(__xludf.DUMMYFUNCTION("GOOGLETRANSLATE(C101,""en"",""ar"")"),"أ) لحظة طبيعية لسلوك الحيوان، ب) حدث رياضي رسمي ومنظم، ج) موقف نادر وخطير، د) لحظة صداقة بين الحيوانات")</f>
        <v>أ) لحظة طبيعية لسلوك الحيوان، ب) حدث رياضي رسمي ومنظم، ج) موقف نادر وخطير، د) لحظة صداقة بين الحيوانات</v>
      </c>
      <c r="K101" s="4" t="str">
        <f ca="1">IFERROR(__xludf.DUMMYFUNCTION("GOOGLETRANSLATE(D101,""en"",""ar"")"),"أ) لحظة طبيعية من سلوك الحيوان")</f>
        <v>أ) لحظة طبيعية من سلوك الحيوان</v>
      </c>
      <c r="L101" s="4" t="str">
        <f ca="1">IFERROR(__xludf.DUMMYFUNCTION("GOOGLETRANSLATE(D101,""en"",""ar"")"),"أ) لحظة طبيعية من سلوك الحيوان")</f>
        <v>أ) لحظة طبيعية من سلوك الحيوان</v>
      </c>
      <c r="M101" s="4"/>
      <c r="N101" s="4"/>
      <c r="O101" s="4"/>
      <c r="P101" s="4"/>
      <c r="Q101" s="4"/>
      <c r="R101" s="4"/>
      <c r="S101" s="4"/>
      <c r="T101" s="4"/>
      <c r="U101" s="4"/>
      <c r="V101" s="4"/>
      <c r="W101" s="4"/>
      <c r="X101" s="4"/>
      <c r="Y101" s="4"/>
      <c r="Z101" s="4"/>
    </row>
    <row r="102" spans="1:26" ht="22.5" customHeight="1" x14ac:dyDescent="0.25">
      <c r="A102" s="2"/>
      <c r="B102" s="2"/>
      <c r="C102" s="2"/>
      <c r="D102" s="2"/>
      <c r="E102" s="2"/>
      <c r="F102" s="4"/>
      <c r="G102" s="4"/>
      <c r="H102" s="4" t="s">
        <v>123</v>
      </c>
      <c r="I102" s="4" t="str">
        <f ca="1">IFERROR(__xludf.DUMMYFUNCTION("GOOGLETRANSLATE(B102,""en"",""ar"")"),"ما الغرض من استخدام الأرقام الكبيرة ""4"" و ""3"" المرسومة على الأبقار؟")</f>
        <v>ما الغرض من استخدام الأرقام الكبيرة "4" و "3" المرسومة على الأبقار؟</v>
      </c>
      <c r="J102" s="4" t="str">
        <f ca="1">IFERROR(__xludf.DUMMYFUNCTION("GOOGLETRANSLATE(C102,""en"",""ar"")"),"أ) لتحديد أعمارهم، ب) لتمييزهم أثناء البطولة، ج) لإظهار ترتيبهم من العام السابق، د) لتمثيل فريقهم")</f>
        <v>أ) لتحديد أعمارهم، ب) لتمييزهم أثناء البطولة، ج) لإظهار ترتيبهم من العام السابق، د) لتمثيل فريقهم</v>
      </c>
      <c r="K102" s="4" t="str">
        <f ca="1">IFERROR(__xludf.DUMMYFUNCTION("GOOGLETRANSLATE(D102,""en"",""ar"")"),"ب) لتحديد هويتهم أثناء البطولة")</f>
        <v>ب) لتحديد هويتهم أثناء البطولة</v>
      </c>
      <c r="L102" s="4" t="str">
        <f ca="1">IFERROR(__xludf.DUMMYFUNCTION("GOOGLETRANSLATE(D102,""en"",""ar"")"),"ب) لتحديد هويتهم أثناء البطولة")</f>
        <v>ب) لتحديد هويتهم أثناء البطولة</v>
      </c>
      <c r="M102" s="4"/>
      <c r="N102" s="4"/>
      <c r="O102" s="4"/>
      <c r="P102" s="4"/>
      <c r="Q102" s="4"/>
      <c r="R102" s="4"/>
      <c r="S102" s="4"/>
      <c r="T102" s="4"/>
      <c r="U102" s="4"/>
      <c r="V102" s="4"/>
      <c r="W102" s="4"/>
      <c r="X102" s="4"/>
      <c r="Y102" s="4"/>
      <c r="Z102" s="4"/>
    </row>
    <row r="103" spans="1:26" ht="22.5" customHeight="1" x14ac:dyDescent="0.25">
      <c r="A103" s="2"/>
      <c r="B103" s="2"/>
      <c r="C103" s="2"/>
      <c r="D103" s="2"/>
      <c r="E103" s="2"/>
      <c r="F103" s="4"/>
      <c r="G103" s="4"/>
      <c r="H103" s="4" t="s">
        <v>123</v>
      </c>
      <c r="I103" s="4" t="str">
        <f ca="1">IFERROR(__xludf.DUMMYFUNCTION("GOOGLETRANSLATE(B103,""en"",""ar"")"),"الأشياء الكبيرة المزخرفة التي تُعلق حول أعناق الأبقار هي...")</f>
        <v>الأشياء الكبيرة المزخرفة التي تُعلق حول أعناق الأبقار هي...</v>
      </c>
      <c r="J103" s="4" t="str">
        <f ca="1">IFERROR(__xludf.DUMMYFUNCTION("GOOGLETRANSLATE(C103,""en"",""ar"")"),"أ) أطواق تتبع بنظام تحديد المواقع العالمي (GPS)، ب) أوزان ثقيلة لإعاقة حركتها، ج) أجراس الأبقار السويسرية التقليدية وأطواق الزينة، د) واقيات الرقبة")</f>
        <v>أ) أطواق تتبع بنظام تحديد المواقع العالمي (GPS)، ب) أوزان ثقيلة لإعاقة حركتها، ج) أجراس الأبقار السويسرية التقليدية وأطواق الزينة، د) واقيات الرقبة</v>
      </c>
      <c r="K103" s="4" t="str">
        <f ca="1">IFERROR(__xludf.DUMMYFUNCTION("GOOGLETRANSLATE(D103,""en"",""ar"")"),"ج) أجراس الأبقار السويسرية التقليدية والأطواق المزخرفة")</f>
        <v>ج) أجراس الأبقار السويسرية التقليدية والأطواق المزخرفة</v>
      </c>
      <c r="L103" s="4" t="str">
        <f ca="1">IFERROR(__xludf.DUMMYFUNCTION("GOOGLETRANSLATE(D103,""en"",""ar"")"),"ج) أجراس الأبقار السويسرية التقليدية والأطواق المزخرفة")</f>
        <v>ج) أجراس الأبقار السويسرية التقليدية والأطواق المزخرفة</v>
      </c>
      <c r="M103" s="4"/>
      <c r="N103" s="4"/>
      <c r="O103" s="4"/>
      <c r="P103" s="4"/>
      <c r="Q103" s="4"/>
      <c r="R103" s="4"/>
      <c r="S103" s="4"/>
      <c r="T103" s="4"/>
      <c r="U103" s="4"/>
      <c r="V103" s="4"/>
      <c r="W103" s="4"/>
      <c r="X103" s="4"/>
      <c r="Y103" s="4"/>
      <c r="Z103" s="4"/>
    </row>
    <row r="104" spans="1:26" ht="22.5" customHeight="1" x14ac:dyDescent="0.25">
      <c r="A104" s="2"/>
      <c r="B104" s="2"/>
      <c r="C104" s="2"/>
      <c r="D104" s="2"/>
      <c r="E104" s="2"/>
      <c r="F104" s="4"/>
      <c r="G104" s="4"/>
      <c r="H104" s="4" t="s">
        <v>123</v>
      </c>
      <c r="I104" s="4" t="str">
        <f ca="1">IFERROR(__xludf.DUMMYFUNCTION("GOOGLETRANSLATE(B104,""en"",""ar"")"),"هذه الرياضة، المعروفة باسم ""Combat de Reines"" (قتال الملكات)، هي تقليد في أي بلد؟")</f>
        <v>هذه الرياضة، المعروفة باسم "Combat de Reines" (قتال الملكات)، هي تقليد في أي بلد؟</v>
      </c>
      <c r="J104" s="4" t="str">
        <f ca="1">IFERROR(__xludf.DUMMYFUNCTION("GOOGLETRANSLATE(C104,""en"",""ar"")"),"أ) إسبانيا، ب) سويسرا، ج) المكسيك، د) الهند")</f>
        <v>أ) إسبانيا، ب) سويسرا، ج) المكسيك، د) الهند</v>
      </c>
      <c r="K104" s="4" t="str">
        <f ca="1">IFERROR(__xludf.DUMMYFUNCTION("GOOGLETRANSLATE(D104,""en"",""ar"")"),"ب) سويسرا")</f>
        <v>ب) سويسرا</v>
      </c>
      <c r="L104" s="4" t="str">
        <f ca="1">IFERROR(__xludf.DUMMYFUNCTION("GOOGLETRANSLATE(D104,""en"",""ar"")"),"ب) سويسرا")</f>
        <v>ب) سويسرا</v>
      </c>
      <c r="M104" s="4"/>
      <c r="N104" s="4"/>
      <c r="O104" s="4"/>
      <c r="P104" s="4"/>
      <c r="Q104" s="4"/>
      <c r="R104" s="4"/>
      <c r="S104" s="4"/>
      <c r="T104" s="4"/>
      <c r="U104" s="4"/>
      <c r="V104" s="4"/>
      <c r="W104" s="4"/>
      <c r="X104" s="4"/>
      <c r="Y104" s="4"/>
      <c r="Z104" s="4"/>
    </row>
    <row r="105" spans="1:26" ht="22.5" customHeight="1" x14ac:dyDescent="0.25">
      <c r="A105" s="2"/>
      <c r="B105" s="2"/>
      <c r="C105" s="2"/>
      <c r="D105" s="2"/>
      <c r="E105" s="2"/>
      <c r="F105" s="4"/>
      <c r="G105" s="4"/>
      <c r="H105" s="4" t="s">
        <v>123</v>
      </c>
      <c r="I105" s="4" t="str">
        <f ca="1">IFERROR(__xludf.DUMMYFUNCTION("GOOGLETRANSLATE(B105,""en"",""ar"")"),"ما هو الهدف الأساسي للأبقار في هذه المسابقة؟")</f>
        <v>ما هو الهدف الأساسي للأبقار في هذه المسابقة؟</v>
      </c>
      <c r="J105" s="4" t="str">
        <f ca="1">IFERROR(__xludf.DUMMYFUNCTION("GOOGLETRANSLATE(C105,""en"",""ar"")"),"أ) إلحاق إصابة قاتلة بالخصم، ب) إجبار البقرة الأخرى على التراجع أو الانصراف، ج) دفع البقرة الأخرى خارج الدائرة، د) تسجيل نقاط لدى الحكم")</f>
        <v>أ) إلحاق إصابة قاتلة بالخصم، ب) إجبار البقرة الأخرى على التراجع أو الانصراف، ج) دفع البقرة الأخرى خارج الدائرة، د) تسجيل نقاط لدى الحكم</v>
      </c>
      <c r="K105" s="4" t="str">
        <f ca="1">IFERROR(__xludf.DUMMYFUNCTION("GOOGLETRANSLATE(D105,""en"",""ar"")"),"ب) لإجبار البقرة الأخرى على التراجع أو الابتعاد")</f>
        <v>ب) لإجبار البقرة الأخرى على التراجع أو الابتعاد</v>
      </c>
      <c r="L105" s="4" t="str">
        <f ca="1">IFERROR(__xludf.DUMMYFUNCTION("GOOGLETRANSLATE(D105,""en"",""ar"")"),"ب) لإجبار البقرة الأخرى على التراجع أو الابتعاد")</f>
        <v>ب) لإجبار البقرة الأخرى على التراجع أو الابتعاد</v>
      </c>
      <c r="M105" s="4"/>
      <c r="N105" s="4"/>
      <c r="O105" s="4"/>
      <c r="P105" s="4"/>
      <c r="Q105" s="4"/>
      <c r="R105" s="4"/>
      <c r="S105" s="4"/>
      <c r="T105" s="4"/>
      <c r="U105" s="4"/>
      <c r="V105" s="4"/>
      <c r="W105" s="4"/>
      <c r="X105" s="4"/>
      <c r="Y105" s="4"/>
      <c r="Z105" s="4"/>
    </row>
    <row r="106" spans="1:26" ht="22.5" customHeight="1" x14ac:dyDescent="0.25">
      <c r="A106" s="2"/>
      <c r="B106" s="2"/>
      <c r="C106" s="2"/>
      <c r="D106" s="2"/>
      <c r="E106" s="2"/>
      <c r="F106" s="4"/>
      <c r="G106" s="4"/>
      <c r="H106" s="4" t="s">
        <v>123</v>
      </c>
      <c r="I106" s="4" t="str">
        <f ca="1">IFERROR(__xludf.DUMMYFUNCTION("GOOGLETRANSLATE(B106,""en"",""ar"")"),"يُطلق على سلالة الماشية المستخدمة، والمعروفة بأجسامها العضلية وطبيعتها التنافسية، اسم...")</f>
        <v>يُطلق على سلالة الماشية المستخدمة، والمعروفة بأجسامها العضلية وطبيعتها التنافسية، اسم...</v>
      </c>
      <c r="J106" s="4" t="str">
        <f ca="1">IFERROR(__xludf.DUMMYFUNCTION("GOOGLETRANSLATE(C106,""en"",""ar"")"),"أ) هولشتاين، ب) أنجوس، ج) هيرين، د) براهمان")</f>
        <v>أ) هولشتاين، ب) أنجوس، ج) هيرين، د) براهمان</v>
      </c>
      <c r="K106" s="4" t="str">
        <f ca="1">IFERROR(__xludf.DUMMYFUNCTION("GOOGLETRANSLATE(D106,""en"",""ar"")"),"ج) هيرنس")</f>
        <v>ج) هيرنس</v>
      </c>
      <c r="L106" s="4" t="str">
        <f ca="1">IFERROR(__xludf.DUMMYFUNCTION("GOOGLETRANSLATE(D106,""en"",""ar"")"),"ج) هيرنس")</f>
        <v>ج) هيرنس</v>
      </c>
      <c r="M106" s="4"/>
      <c r="N106" s="4"/>
      <c r="O106" s="4"/>
      <c r="P106" s="4"/>
      <c r="Q106" s="4"/>
      <c r="R106" s="4"/>
      <c r="S106" s="4"/>
      <c r="T106" s="4"/>
      <c r="U106" s="4"/>
      <c r="V106" s="4"/>
      <c r="W106" s="4"/>
      <c r="X106" s="4"/>
      <c r="Y106" s="4"/>
      <c r="Z106" s="4"/>
    </row>
    <row r="107" spans="1:26" ht="22.5" customHeight="1" x14ac:dyDescent="0.25">
      <c r="A107" s="2"/>
      <c r="B107" s="2"/>
      <c r="C107" s="2"/>
      <c r="D107" s="2"/>
      <c r="E107" s="2"/>
      <c r="F107" s="4"/>
      <c r="G107" s="4"/>
      <c r="H107" s="4" t="s">
        <v>123</v>
      </c>
      <c r="I107" s="4" t="str">
        <f ca="1">IFERROR(__xludf.DUMMYFUNCTION("GOOGLETRANSLATE(B107,""en"",""ar"")"),"ماذا يدل عليه الغبار المتصاعد من الأرض؟")</f>
        <v>ماذا يدل عليه الغبار المتصاعد من الأرض؟</v>
      </c>
      <c r="J107" s="4" t="str">
        <f ca="1">IFERROR(__xludf.DUMMYFUNCTION("GOOGLETRANSLATE(C107,""en"",""ar"")"),"أ) الأرض مبتلة، ب) تهب رياح قوية، ج) القوة الهائلة والصراع الشديد للحيوانات، د) بداية حريق")</f>
        <v>أ) الأرض مبتلة، ب) تهب رياح قوية، ج) القوة الهائلة والصراع الشديد للحيوانات، د) بداية حريق</v>
      </c>
      <c r="K107" s="4" t="str">
        <f ca="1">IFERROR(__xludf.DUMMYFUNCTION("GOOGLETRANSLATE(D107,""en"",""ar"")"),"ج) القوة الهائلة والصراع الذي تخوضه الحيوانات")</f>
        <v>ج) القوة الهائلة والصراع الذي تخوضه الحيوانات</v>
      </c>
      <c r="L107" s="4" t="str">
        <f ca="1">IFERROR(__xludf.DUMMYFUNCTION("GOOGLETRANSLATE(D107,""en"",""ar"")"),"ج) القوة الهائلة والصراع الذي تخوضه الحيوانات")</f>
        <v>ج) القوة الهائلة والصراع الذي تخوضه الحيوانات</v>
      </c>
      <c r="M107" s="4"/>
      <c r="N107" s="4"/>
      <c r="O107" s="4"/>
      <c r="P107" s="4"/>
      <c r="Q107" s="4"/>
      <c r="R107" s="4"/>
      <c r="S107" s="4"/>
      <c r="T107" s="4"/>
      <c r="U107" s="4"/>
      <c r="V107" s="4"/>
      <c r="W107" s="4"/>
      <c r="X107" s="4"/>
      <c r="Y107" s="4"/>
      <c r="Z107" s="4"/>
    </row>
    <row r="108" spans="1:26" ht="22.5" customHeight="1" x14ac:dyDescent="0.25">
      <c r="A108" s="2"/>
      <c r="B108" s="2"/>
      <c r="C108" s="2"/>
      <c r="D108" s="2"/>
      <c r="E108" s="2"/>
      <c r="F108" s="4"/>
      <c r="G108" s="4"/>
      <c r="H108" s="4" t="s">
        <v>123</v>
      </c>
      <c r="I108" s="4" t="str">
        <f ca="1">IFERROR(__xludf.DUMMYFUNCTION("GOOGLETRANSLATE(B108,""en"",""ar"")"),"ما هو اللقب المرموق الذي يحصل عليه الفائز في بطولة كبرى؟")</f>
        <v>ما هو اللقب المرموق الذي يحصل عليه الفائز في بطولة كبرى؟</v>
      </c>
      <c r="J108" s="4" t="str">
        <f ca="1">IFERROR(__xludf.DUMMYFUNCTION("GOOGLETRANSLATE(C108,""en"",""ar"")"),"أ) ""الملك""، ب) ""البطل""، ج) ""الملكة""، د) ""الماتادور""")</f>
        <v>أ) "الملك"، ب) "البطل"، ج) "الملكة"، د) "الماتادور"</v>
      </c>
      <c r="K108" s="4" t="str">
        <f ca="1">IFERROR(__xludf.DUMMYFUNCTION("GOOGLETRANSLATE(D108,""en"",""ar"")"),"ج) ""لا رين"" (الملكة)")</f>
        <v>ج) "لا رين" (الملكة)</v>
      </c>
      <c r="L108" s="4" t="str">
        <f ca="1">IFERROR(__xludf.DUMMYFUNCTION("GOOGLETRANSLATE(D108,""en"",""ar"")"),"ج) ""لا رين"" (الملكة)")</f>
        <v>ج) "لا رين" (الملكة)</v>
      </c>
      <c r="M108" s="4"/>
      <c r="N108" s="4"/>
      <c r="O108" s="4"/>
      <c r="P108" s="4"/>
      <c r="Q108" s="4"/>
      <c r="R108" s="4"/>
      <c r="S108" s="4"/>
      <c r="T108" s="4"/>
      <c r="U108" s="4"/>
      <c r="V108" s="4"/>
      <c r="W108" s="4"/>
      <c r="X108" s="4"/>
      <c r="Y108" s="4"/>
      <c r="Z108" s="4"/>
    </row>
    <row r="109" spans="1:26" ht="22.5" customHeight="1" x14ac:dyDescent="0.25">
      <c r="A109" s="2"/>
      <c r="B109" s="2"/>
      <c r="C109" s="2"/>
      <c r="D109" s="2"/>
      <c r="E109" s="2"/>
      <c r="F109" s="4"/>
      <c r="G109" s="4"/>
      <c r="H109" s="4" t="s">
        <v>123</v>
      </c>
      <c r="I109" s="4" t="str">
        <f ca="1">IFERROR(__xludf.DUMMYFUNCTION("GOOGLETRANSLATE(B109,""en"",""ar"")"),"على عكس مصارعة الثيران الإسبانية، فإن هذه الرياضة...")</f>
        <v>على عكس مصارعة الثيران الإسبانية، فإن هذه الرياضة...</v>
      </c>
      <c r="J109" s="4" t="str">
        <f ca="1">IFERROR(__xludf.DUMMYFUNCTION("GOOGLETRANSLATE(C109,""en"",""ar"")"),"أ) يتضمن قتالًا بين إنسان وحيوان، ب) يؤدي دائمًا إلى موت الحيوان، ج) هو منافسة بين حيوانين ونادرًا ما يكون مميتًا، د) رياضة حديثة تم ابتكارها للتلفزيون")</f>
        <v>أ) يتضمن قتالًا بين إنسان وحيوان، ب) يؤدي دائمًا إلى موت الحيوان، ج) هو منافسة بين حيوانين ونادرًا ما يكون مميتًا، د) رياضة حديثة تم ابتكارها للتلفزيون</v>
      </c>
      <c r="K109" s="4" t="str">
        <f ca="1">IFERROR(__xludf.DUMMYFUNCTION("GOOGLETRANSLATE(D109,""en"",""ar"")"),"ج) هو تنافس بين حيوانين ونادراً ما يكون مميتاً")</f>
        <v>ج) هو تنافس بين حيوانين ونادراً ما يكون مميتاً</v>
      </c>
      <c r="L109" s="4" t="str">
        <f ca="1">IFERROR(__xludf.DUMMYFUNCTION("GOOGLETRANSLATE(D109,""en"",""ar"")"),"ج) هو تنافس بين حيوانين ونادراً ما يكون مميتاً")</f>
        <v>ج) هو تنافس بين حيوانين ونادراً ما يكون مميتاً</v>
      </c>
      <c r="M109" s="4"/>
      <c r="N109" s="4"/>
      <c r="O109" s="4"/>
      <c r="P109" s="4"/>
      <c r="Q109" s="4"/>
      <c r="R109" s="4"/>
      <c r="S109" s="4"/>
      <c r="T109" s="4"/>
      <c r="U109" s="4"/>
      <c r="V109" s="4"/>
      <c r="W109" s="4"/>
      <c r="X109" s="4"/>
      <c r="Y109" s="4"/>
      <c r="Z109" s="4"/>
    </row>
    <row r="110" spans="1:26" ht="22.5" customHeight="1" x14ac:dyDescent="0.25">
      <c r="A110" s="2"/>
      <c r="B110" s="2"/>
      <c r="C110" s="2"/>
      <c r="D110" s="2"/>
      <c r="E110" s="2"/>
      <c r="F110" s="4"/>
      <c r="G110" s="4"/>
      <c r="H110" s="4" t="s">
        <v>123</v>
      </c>
      <c r="I110" s="4" t="str">
        <f ca="1">IFERROR(__xludf.DUMMYFUNCTION("GOOGLETRANSLATE(B110,""en"",""ar"")"),"يبدو أن قرون البقرة السوداء كانت...")</f>
        <v>يبدو أن قرون البقرة السوداء كانت...</v>
      </c>
      <c r="J110" s="4" t="str">
        <f ca="1">IFERROR(__xludf.DUMMYFUNCTION("GOOGLETRANSLATE(C110,""en"",""ar"")"),"أ) مدببة، ب) مزينة بشرائط، ج) غير حادة أو مغطاة لأسباب السلامة، د) مطلية باللون الأبيض")</f>
        <v>أ) مدببة، ب) مزينة بشرائط، ج) غير حادة أو مغطاة لأسباب السلامة، د) مطلية باللون الأبيض</v>
      </c>
      <c r="K110" s="4" t="str">
        <f ca="1">IFERROR(__xludf.DUMMYFUNCTION("GOOGLETRANSLATE(D110,""en"",""ar"")"),"ج) طرف غير حاد أو مغطى لأغراض السلامة")</f>
        <v>ج) طرف غير حاد أو مغطى لأغراض السلامة</v>
      </c>
      <c r="L110" s="4" t="str">
        <f ca="1">IFERROR(__xludf.DUMMYFUNCTION("GOOGLETRANSLATE(D110,""en"",""ar"")"),"ج) طرف غير حاد أو مغطى لأغراض السلامة")</f>
        <v>ج) طرف غير حاد أو مغطى لأغراض السلامة</v>
      </c>
      <c r="M110" s="4"/>
      <c r="N110" s="4"/>
      <c r="O110" s="4"/>
      <c r="P110" s="4"/>
      <c r="Q110" s="4"/>
      <c r="R110" s="4"/>
      <c r="S110" s="4"/>
      <c r="T110" s="4"/>
      <c r="U110" s="4"/>
      <c r="V110" s="4"/>
      <c r="W110" s="4"/>
      <c r="X110" s="4"/>
      <c r="Y110" s="4"/>
      <c r="Z110" s="4"/>
    </row>
    <row r="111" spans="1:26" ht="22.5" customHeight="1" x14ac:dyDescent="0.25">
      <c r="A111" s="2"/>
      <c r="B111" s="2"/>
      <c r="C111" s="2"/>
      <c r="D111" s="2"/>
      <c r="E111" s="2"/>
      <c r="F111" s="4"/>
      <c r="G111" s="4"/>
      <c r="H111" s="4" t="s">
        <v>123</v>
      </c>
      <c r="I111" s="4" t="str">
        <f ca="1">IFERROR(__xludf.DUMMYFUNCTION("GOOGLETRANSLATE(B111,""en"",""ar"")"),"الأشخاص الظاهرون في الخلفية هم...")</f>
        <v>الأشخاص الظاهرون في الخلفية هم...</v>
      </c>
      <c r="J111" s="4" t="str">
        <f ca="1">IFERROR(__xludf.DUMMYFUNCTION("GOOGLETRANSLATE(C111,""en"",""ar"")"),"أ) المصارعون الآخرون، ب) حكام المسابقة، ج) المدربون والمسؤولون، د) عدم الانتباه")</f>
        <v>أ) المصارعون الآخرون، ب) حكام المسابقة، ج) المدربون والمسؤولون، د) عدم الانتباه</v>
      </c>
      <c r="K111" s="4" t="str">
        <f ca="1">IFERROR(__xludf.DUMMYFUNCTION("GOOGLETRANSLATE(D111,""en"",""ar"")"),"ج) المشرفون والمسؤولون")</f>
        <v>ج) المشرفون والمسؤولون</v>
      </c>
      <c r="L111" s="4" t="str">
        <f ca="1">IFERROR(__xludf.DUMMYFUNCTION("GOOGLETRANSLATE(D111,""en"",""ar"")"),"ج) المشرفون والمسؤولون")</f>
        <v>ج) المشرفون والمسؤولون</v>
      </c>
      <c r="M111" s="4"/>
      <c r="N111" s="4"/>
      <c r="O111" s="4"/>
      <c r="P111" s="4"/>
      <c r="Q111" s="4"/>
      <c r="R111" s="4"/>
      <c r="S111" s="4"/>
      <c r="T111" s="4"/>
      <c r="U111" s="4"/>
      <c r="V111" s="4"/>
      <c r="W111" s="4"/>
      <c r="X111" s="4"/>
      <c r="Y111" s="4"/>
      <c r="Z111" s="4"/>
    </row>
    <row r="112" spans="1:26" ht="22.5" customHeight="1" x14ac:dyDescent="0.25">
      <c r="A112" s="2"/>
      <c r="B112" s="2"/>
      <c r="C112" s="2"/>
      <c r="D112" s="2"/>
      <c r="E112" s="2"/>
      <c r="F112" s="4"/>
      <c r="G112" s="4"/>
      <c r="H112" s="4" t="s">
        <v>124</v>
      </c>
      <c r="I112" s="4" t="str">
        <f ca="1">IFERROR(__xludf.DUMMYFUNCTION("GOOGLETRANSLATE(B112,""en"",""ar"")"),"الحيوان الموجود على اليمين هو زيبو، وهو نوع من الماشية يتميز بأي سمة؟")</f>
        <v>الحيوان الموجود على اليمين هو زيبو، وهو نوع من الماشية يتميز بأي سمة؟</v>
      </c>
      <c r="J112" s="4" t="str">
        <f ca="1">IFERROR(__xludf.DUMMYFUNCTION("GOOGLETRANSLATE(C112,""en"",""ar"")"),"أ) معطفه الطويل الكثيف، ب) حدبة كتفه الكبيرة، ج) بقعه السوداء والبيضاء، د) عدم وجود قرون لديه")</f>
        <v>أ) معطفه الطويل الكثيف، ب) حدبة كتفه الكبيرة، ج) بقعه السوداء والبيضاء، د) عدم وجود قرون لديه</v>
      </c>
      <c r="K112" s="4" t="str">
        <f ca="1">IFERROR(__xludf.DUMMYFUNCTION("GOOGLETRANSLATE(D112,""en"",""ar"")"),"ب) حدبة كتفها الكبيرة")</f>
        <v>ب) حدبة كتفها الكبيرة</v>
      </c>
      <c r="L112" s="4" t="str">
        <f ca="1">IFERROR(__xludf.DUMMYFUNCTION("GOOGLETRANSLATE(D112,""en"",""ar"")"),"ب) حدبة كتفها الكبيرة")</f>
        <v>ب) حدبة كتفها الكبيرة</v>
      </c>
      <c r="M112" s="4"/>
      <c r="N112" s="4"/>
      <c r="O112" s="4"/>
      <c r="P112" s="4"/>
      <c r="Q112" s="4"/>
      <c r="R112" s="4"/>
      <c r="S112" s="4"/>
      <c r="T112" s="4"/>
      <c r="U112" s="4"/>
      <c r="V112" s="4"/>
      <c r="W112" s="4"/>
      <c r="X112" s="4"/>
      <c r="Y112" s="4"/>
      <c r="Z112" s="4"/>
    </row>
    <row r="113" spans="1:26" ht="22.5" customHeight="1" x14ac:dyDescent="0.25">
      <c r="A113" s="2"/>
      <c r="B113" s="2"/>
      <c r="C113" s="2"/>
      <c r="D113" s="2"/>
      <c r="E113" s="2"/>
      <c r="F113" s="4"/>
      <c r="G113" s="4"/>
      <c r="H113" s="4" t="s">
        <v>124</v>
      </c>
      <c r="I113" s="4" t="str">
        <f ca="1">IFERROR(__xludf.DUMMYFUNCTION("GOOGLETRANSLATE(B113,""en"",""ar"")"),"استنادًا إلى الطراز المعماري (السقف المصنوع من القش) ونوع الماشية، فمن المرجح أن هذا الحدث يجري في...")</f>
        <v>استنادًا إلى الطراز المعماري (السقف المصنوع من القش) ونوع الماشية، فمن المرجح أن هذا الحدث يجري في...</v>
      </c>
      <c r="J113" s="4" t="str">
        <f ca="1">IFERROR(__xludf.DUMMYFUNCTION("GOOGLETRANSLATE(C113,""en"",""ar"")"),"أ) سويسرا، ب) إسبانيا، ج) الولايات المتحدة، د) جنوب شرق آسيا (مثل تايلاند)")</f>
        <v>أ) سويسرا، ب) إسبانيا، ج) الولايات المتحدة، د) جنوب شرق آسيا (مثل تايلاند)</v>
      </c>
      <c r="K113" s="4" t="str">
        <f ca="1">IFERROR(__xludf.DUMMYFUNCTION("GOOGLETRANSLATE(D113,""en"",""ar"")"),"د) جنوب شرق آسيا (مثل تايلاند)")</f>
        <v>د) جنوب شرق آسيا (مثل تايلاند)</v>
      </c>
      <c r="L113" s="4" t="str">
        <f ca="1">IFERROR(__xludf.DUMMYFUNCTION("GOOGLETRANSLATE(D113,""en"",""ar"")"),"د) جنوب شرق آسيا (مثل تايلاند)")</f>
        <v>د) جنوب شرق آسيا (مثل تايلاند)</v>
      </c>
      <c r="M113" s="4"/>
      <c r="N113" s="4"/>
      <c r="O113" s="4"/>
      <c r="P113" s="4"/>
      <c r="Q113" s="4"/>
      <c r="R113" s="4"/>
      <c r="S113" s="4"/>
      <c r="T113" s="4"/>
      <c r="U113" s="4"/>
      <c r="V113" s="4"/>
      <c r="W113" s="4"/>
      <c r="X113" s="4"/>
      <c r="Y113" s="4"/>
      <c r="Z113" s="4"/>
    </row>
    <row r="114" spans="1:26" ht="22.5" customHeight="1" x14ac:dyDescent="0.25">
      <c r="A114" s="2"/>
      <c r="B114" s="2"/>
      <c r="C114" s="2"/>
      <c r="D114" s="2"/>
      <c r="E114" s="2"/>
      <c r="F114" s="4"/>
      <c r="G114" s="4"/>
      <c r="H114" s="4" t="s">
        <v>124</v>
      </c>
      <c r="I114" s="4" t="str">
        <f ca="1">IFERROR(__xludf.DUMMYFUNCTION("GOOGLETRANSLATE(B114,""en"",""ar"")"),"ما هي جودة الصورة؟")</f>
        <v>ما هي جودة الصورة؟</v>
      </c>
      <c r="J114" s="4" t="str">
        <f ca="1">IFERROR(__xludf.DUMMYFUNCTION("GOOGLETRANSLATE(C114,""en"",""ar"")"),"أ) إنها صورة رقمية حديثة عالية الدقة، ب) يبدو أنها مأخوذة من فيلم أو تسجيل فيديو قديم، ج) إنها صورة بالأبيض والأسود، د) إنها صورة مولدة بواسطة الكمبيوتر")</f>
        <v>أ) إنها صورة رقمية حديثة عالية الدقة، ب) يبدو أنها مأخوذة من فيلم أو تسجيل فيديو قديم، ج) إنها صورة بالأبيض والأسود، د) إنها صورة مولدة بواسطة الكمبيوتر</v>
      </c>
      <c r="K114" s="4" t="str">
        <f ca="1">IFERROR(__xludf.DUMMYFUNCTION("GOOGLETRANSLATE(D114,""en"",""ar"")"),"ب) يبدو أنه مأخوذ من فيلم أو تسجيل فيديو قديم")</f>
        <v>ب) يبدو أنه مأخوذ من فيلم أو تسجيل فيديو قديم</v>
      </c>
      <c r="L114" s="4" t="str">
        <f ca="1">IFERROR(__xludf.DUMMYFUNCTION("GOOGLETRANSLATE(D114,""en"",""ar"")"),"ب) يبدو أنه مأخوذ من فيلم أو تسجيل فيديو قديم")</f>
        <v>ب) يبدو أنه مأخوذ من فيلم أو تسجيل فيديو قديم</v>
      </c>
      <c r="M114" s="4"/>
      <c r="N114" s="4"/>
      <c r="O114" s="4"/>
      <c r="P114" s="4"/>
      <c r="Q114" s="4"/>
      <c r="R114" s="4"/>
      <c r="S114" s="4"/>
      <c r="T114" s="4"/>
      <c r="U114" s="4"/>
      <c r="V114" s="4"/>
      <c r="W114" s="4"/>
      <c r="X114" s="4"/>
      <c r="Y114" s="4"/>
      <c r="Z114" s="4"/>
    </row>
    <row r="115" spans="1:26" ht="22.5" customHeight="1" x14ac:dyDescent="0.25">
      <c r="A115" s="2"/>
      <c r="B115" s="2"/>
      <c r="C115" s="2"/>
      <c r="D115" s="2"/>
      <c r="E115" s="2"/>
      <c r="F115" s="4"/>
      <c r="G115" s="4"/>
      <c r="H115" s="4" t="s">
        <v>124</v>
      </c>
      <c r="I115" s="4" t="str">
        <f ca="1">IFERROR(__xludf.DUMMYFUNCTION("GOOGLETRANSLATE(B115,""en"",""ar"")"),"ماذا يفعل الثور البني؟")</f>
        <v>ماذا يفعل الثور البني؟</v>
      </c>
      <c r="J115" s="4" t="str">
        <f ca="1">IFERROR(__xludf.DUMMYFUNCTION("GOOGLETRANSLATE(C115,""en"",""ar"")"),"أ) يرعى بسلام، ب) يندفع أو يتحرك بسرعة حول الحلقة، ج) ينام، د) يتم غسله")</f>
        <v>أ) يرعى بسلام، ب) يندفع أو يتحرك بسرعة حول الحلقة، ج) ينام، د) يتم غسله</v>
      </c>
      <c r="K115" s="4" t="str">
        <f ca="1">IFERROR(__xludf.DUMMYFUNCTION("GOOGLETRANSLATE(D115,""en"",""ar"")"),"ب) يقوم بالشحن أو يتحرك بسرعة حول الحلقة")</f>
        <v>ب) يقوم بالشحن أو يتحرك بسرعة حول الحلقة</v>
      </c>
      <c r="L115" s="4" t="str">
        <f ca="1">IFERROR(__xludf.DUMMYFUNCTION("GOOGLETRANSLATE(D115,""en"",""ar"")"),"ب) يقوم بالشحن أو يتحرك بسرعة حول الحلقة")</f>
        <v>ب) يقوم بالشحن أو يتحرك بسرعة حول الحلقة</v>
      </c>
      <c r="M115" s="4"/>
      <c r="N115" s="4"/>
      <c r="O115" s="4"/>
      <c r="P115" s="4"/>
      <c r="Q115" s="4"/>
      <c r="R115" s="4"/>
      <c r="S115" s="4"/>
      <c r="T115" s="4"/>
      <c r="U115" s="4"/>
      <c r="V115" s="4"/>
      <c r="W115" s="4"/>
      <c r="X115" s="4"/>
      <c r="Y115" s="4"/>
      <c r="Z115" s="4"/>
    </row>
    <row r="116" spans="1:26" ht="22.5" customHeight="1" x14ac:dyDescent="0.25">
      <c r="A116" s="2"/>
      <c r="B116" s="2"/>
      <c r="C116" s="2"/>
      <c r="D116" s="2"/>
      <c r="E116" s="2"/>
      <c r="F116" s="4"/>
      <c r="G116" s="4"/>
      <c r="H116" s="4" t="s">
        <v>124</v>
      </c>
      <c r="I116" s="4" t="str">
        <f ca="1">IFERROR(__xludf.DUMMYFUNCTION("GOOGLETRANSLATE(B116,""en"",""ar"")"),"ما الغرض من السياج الخشبي وهيكل السقف المصنوع من القش؟")</f>
        <v>ما الغرض من السياج الخشبي وهيكل السقف المصنوع من القش؟</v>
      </c>
      <c r="J116" s="4" t="str">
        <f ca="1">IFERROR(__xludf.DUMMYFUNCTION("GOOGLETRANSLATE(C116,""en"",""ar"")"),"أ) إنه حظيرة للحيوانات، ب) إنه الحلبة التي تُقام فيها المعركة وتوفر الظل للمتفرجين، ج) إنه خلفية زخرفية، د) إنه مطعم")</f>
        <v>أ) إنه حظيرة للحيوانات، ب) إنه الحلبة التي تُقام فيها المعركة وتوفر الظل للمتفرجين، ج) إنه خلفية زخرفية، د) إنه مطعم</v>
      </c>
      <c r="K116" s="4" t="str">
        <f ca="1">IFERROR(__xludf.DUMMYFUNCTION("GOOGLETRANSLATE(D116,""en"",""ar"")"),"ب) إنها الساحة التي تستضيف النزال وتوفر الظل للمتفرجين")</f>
        <v>ب) إنها الساحة التي تستضيف النزال وتوفر الظل للمتفرجين</v>
      </c>
      <c r="L116" s="4" t="str">
        <f ca="1">IFERROR(__xludf.DUMMYFUNCTION("GOOGLETRANSLATE(D116,""en"",""ar"")"),"ب) إنها الساحة التي تستضيف النزال وتوفر الظل للمتفرجين")</f>
        <v>ب) إنها الساحة التي تستضيف النزال وتوفر الظل للمتفرجين</v>
      </c>
      <c r="M116" s="4"/>
      <c r="N116" s="4"/>
      <c r="O116" s="4"/>
      <c r="P116" s="4"/>
      <c r="Q116" s="4"/>
      <c r="R116" s="4"/>
      <c r="S116" s="4"/>
      <c r="T116" s="4"/>
      <c r="U116" s="4"/>
      <c r="V116" s="4"/>
      <c r="W116" s="4"/>
      <c r="X116" s="4"/>
      <c r="Y116" s="4"/>
      <c r="Z116" s="4"/>
    </row>
    <row r="117" spans="1:26" ht="22.5" customHeight="1" x14ac:dyDescent="0.25">
      <c r="A117" s="2"/>
      <c r="B117" s="2"/>
      <c r="C117" s="2"/>
      <c r="D117" s="2"/>
      <c r="E117" s="2"/>
      <c r="F117" s="4"/>
      <c r="G117" s="4"/>
      <c r="H117" s="4" t="s">
        <v>124</v>
      </c>
      <c r="I117" s="4" t="str">
        <f ca="1">IFERROR(__xludf.DUMMYFUNCTION("GOOGLETRANSLATE(B117,""en"",""ar"")"),"على عكس مصارعة الأبقار السويسرية، يمكن أن تكون مصارعة الثيران في هذه المنطقة...")</f>
        <v>على عكس مصارعة الأبقار السويسرية، يمكن أن تكون مصارعة الثيران في هذه المنطقة...</v>
      </c>
      <c r="J117" s="4" t="str">
        <f ca="1">IFERROR(__xludf.DUMMYFUNCTION("GOOGLETRANSLATE(C117,""en"",""ar"")"),"أ) رياضة خالية تمامًا من الاحتكاك، ب) رياضة أكثر عنفًا ودموية، ج) منافسة قائمة على الجمال، د) سباق مع الزمن")</f>
        <v>أ) رياضة خالية تمامًا من الاحتكاك، ب) رياضة أكثر عنفًا ودموية، ج) منافسة قائمة على الجمال، د) سباق مع الزمن</v>
      </c>
      <c r="K117" s="4" t="str">
        <f ca="1">IFERROR(__xludf.DUMMYFUNCTION("GOOGLETRANSLATE(D117,""en"",""ar"")"),"ب) حادثة أكثر عنفاً ودموية")</f>
        <v>ب) حادثة أكثر عنفاً ودموية</v>
      </c>
      <c r="L117" s="4" t="str">
        <f ca="1">IFERROR(__xludf.DUMMYFUNCTION("GOOGLETRANSLATE(D117,""en"",""ar"")"),"ب) حادثة أكثر عنفاً ودموية")</f>
        <v>ب) حادثة أكثر عنفاً ودموية</v>
      </c>
      <c r="M117" s="4"/>
      <c r="N117" s="4"/>
      <c r="O117" s="4"/>
      <c r="P117" s="4"/>
      <c r="Q117" s="4"/>
      <c r="R117" s="4"/>
      <c r="S117" s="4"/>
      <c r="T117" s="4"/>
      <c r="U117" s="4"/>
      <c r="V117" s="4"/>
      <c r="W117" s="4"/>
      <c r="X117" s="4"/>
      <c r="Y117" s="4"/>
      <c r="Z117" s="4"/>
    </row>
    <row r="118" spans="1:26" ht="22.5" customHeight="1" x14ac:dyDescent="0.25">
      <c r="A118" s="2"/>
      <c r="B118" s="2"/>
      <c r="C118" s="2"/>
      <c r="D118" s="2"/>
      <c r="E118" s="2"/>
      <c r="F118" s="4"/>
      <c r="G118" s="4"/>
      <c r="H118" s="4" t="s">
        <v>124</v>
      </c>
      <c r="I118" s="4" t="str">
        <f ca="1">IFERROR(__xludf.DUMMYFUNCTION("GOOGLETRANSLATE(B118,""en"",""ar"")"),"المتفرجون هم...")</f>
        <v>المتفرجون هم...</v>
      </c>
      <c r="J118" s="4" t="str">
        <f ca="1">IFERROR(__xludf.DUMMYFUNCTION("GOOGLETRANSLATE(C118,""en"",""ar"")"),"أ) يجلسون بعيدًا في ملعب حديث، ب) يشاهدون من خلف حاجز بسيط ريفي، ج) غير موجودين، د) في الحلبة مع الحيوانات")</f>
        <v>أ) يجلسون بعيدًا في ملعب حديث، ب) يشاهدون من خلف حاجز بسيط ريفي، ج) غير موجودين، د) في الحلبة مع الحيوانات</v>
      </c>
      <c r="K118" s="4" t="str">
        <f ca="1">IFERROR(__xludf.DUMMYFUNCTION("GOOGLETRANSLATE(D118,""en"",""ar"")"),"ب) المشاهدة من خلف حاجز بسيط وريفي")</f>
        <v>ب) المشاهدة من خلف حاجز بسيط وريفي</v>
      </c>
      <c r="L118" s="4" t="str">
        <f ca="1">IFERROR(__xludf.DUMMYFUNCTION("GOOGLETRANSLATE(D118,""en"",""ar"")"),"ب) المشاهدة من خلف حاجز بسيط وريفي")</f>
        <v>ب) المشاهدة من خلف حاجز بسيط وريفي</v>
      </c>
      <c r="M118" s="4"/>
      <c r="N118" s="4"/>
      <c r="O118" s="4"/>
      <c r="P118" s="4"/>
      <c r="Q118" s="4"/>
      <c r="R118" s="4"/>
      <c r="S118" s="4"/>
      <c r="T118" s="4"/>
      <c r="U118" s="4"/>
      <c r="V118" s="4"/>
      <c r="W118" s="4"/>
      <c r="X118" s="4"/>
      <c r="Y118" s="4"/>
      <c r="Z118" s="4"/>
    </row>
    <row r="119" spans="1:26" ht="22.5" customHeight="1" x14ac:dyDescent="0.25">
      <c r="A119" s="2"/>
      <c r="B119" s="2"/>
      <c r="C119" s="2"/>
      <c r="D119" s="2"/>
      <c r="E119" s="2"/>
      <c r="F119" s="4"/>
      <c r="G119" s="4"/>
      <c r="H119" s="4" t="s">
        <v>124</v>
      </c>
      <c r="I119" s="4" t="str">
        <f ca="1">IFERROR(__xludf.DUMMYFUNCTION("GOOGLETRANSLATE(B119,""en"",""ar"")"),"هذا النوع من الأحداث هو...")</f>
        <v>هذا النوع من الأحداث هو...</v>
      </c>
      <c r="J119" s="4" t="str">
        <f ca="1">IFERROR(__xludf.DUMMYFUNCTION("GOOGLETRANSLATE(C119,""en"",""ar"")"),"أ) اختراع حديث للسياح، ب) شكل تقليدي من أشكال الترفيه المجتمعي، ج) ممارسة زراعية إلزامية، د) احتفال ديني")</f>
        <v>أ) اختراع حديث للسياح، ب) شكل تقليدي من أشكال الترفيه المجتمعي، ج) ممارسة زراعية إلزامية، د) احتفال ديني</v>
      </c>
      <c r="K119" s="4" t="str">
        <f ca="1">IFERROR(__xludf.DUMMYFUNCTION("GOOGLETRANSLATE(D119,""en"",""ar"")"),"ب) شكل تقليدي من أشكال الترفيه المجتمعي")</f>
        <v>ب) شكل تقليدي من أشكال الترفيه المجتمعي</v>
      </c>
      <c r="L119" s="4" t="str">
        <f ca="1">IFERROR(__xludf.DUMMYFUNCTION("GOOGLETRANSLATE(D119,""en"",""ar"")"),"ب) شكل تقليدي من أشكال الترفيه المجتمعي")</f>
        <v>ب) شكل تقليدي من أشكال الترفيه المجتمعي</v>
      </c>
      <c r="M119" s="4"/>
      <c r="N119" s="4"/>
      <c r="O119" s="4"/>
      <c r="P119" s="4"/>
      <c r="Q119" s="4"/>
      <c r="R119" s="4"/>
      <c r="S119" s="4"/>
      <c r="T119" s="4"/>
      <c r="U119" s="4"/>
      <c r="V119" s="4"/>
      <c r="W119" s="4"/>
      <c r="X119" s="4"/>
      <c r="Y119" s="4"/>
      <c r="Z119" s="4"/>
    </row>
    <row r="120" spans="1:26" ht="22.5" customHeight="1" x14ac:dyDescent="0.25">
      <c r="A120" s="2"/>
      <c r="B120" s="2"/>
      <c r="C120" s="2"/>
      <c r="D120" s="2"/>
      <c r="E120" s="2"/>
      <c r="F120" s="4"/>
      <c r="G120" s="4"/>
      <c r="H120" s="4" t="s">
        <v>124</v>
      </c>
      <c r="I120" s="4" t="str">
        <f ca="1">IFERROR(__xludf.DUMMYFUNCTION("GOOGLETRANSLATE(B120,""en"",""ar"")"),"الثور البني بصدد مواجهة...")</f>
        <v>الثور البني بصدد مواجهة...</v>
      </c>
      <c r="J120" s="4" t="str">
        <f ca="1">IFERROR(__xludf.DUMMYFUNCTION("GOOGLETRANSLATE(C120,""en"",""ar"")"),"أ) مصارع ثيران بشري، ب) ثور آخر (يظهر جزء منه على اليسار)، ج) عباءة حمراء، د) الحكم")</f>
        <v>أ) مصارع ثيران بشري، ب) ثور آخر (يظهر جزء منه على اليسار)، ج) عباءة حمراء، د) الحكم</v>
      </c>
      <c r="K120" s="4" t="str">
        <f ca="1">IFERROR(__xludf.DUMMYFUNCTION("GOOGLETRANSLATE(D120,""en"",""ar"")"),"ب) ثور آخر (يظهر جزء منه على اليسار)")</f>
        <v>ب) ثور آخر (يظهر جزء منه على اليسار)</v>
      </c>
      <c r="L120" s="4" t="str">
        <f ca="1">IFERROR(__xludf.DUMMYFUNCTION("GOOGLETRANSLATE(D120,""en"",""ar"")"),"ب) ثور آخر (يظهر جزء منه على اليسار)")</f>
        <v>ب) ثور آخر (يظهر جزء منه على اليسار)</v>
      </c>
      <c r="M120" s="4"/>
      <c r="N120" s="4"/>
      <c r="O120" s="4"/>
      <c r="P120" s="4"/>
      <c r="Q120" s="4"/>
      <c r="R120" s="4"/>
      <c r="S120" s="4"/>
      <c r="T120" s="4"/>
      <c r="U120" s="4"/>
      <c r="V120" s="4"/>
      <c r="W120" s="4"/>
      <c r="X120" s="4"/>
      <c r="Y120" s="4"/>
      <c r="Z120" s="4"/>
    </row>
    <row r="121" spans="1:26" ht="22.5" customHeight="1" x14ac:dyDescent="0.25">
      <c r="A121" s="2"/>
      <c r="B121" s="2"/>
      <c r="C121" s="2"/>
      <c r="D121" s="2"/>
      <c r="E121" s="2"/>
      <c r="F121" s="4"/>
      <c r="G121" s="4"/>
      <c r="H121" s="4" t="s">
        <v>124</v>
      </c>
      <c r="I121" s="4" t="str">
        <f ca="1">IFERROR(__xludf.DUMMYFUNCTION("GOOGLETRANSLATE(B121,""en"",""ar"")"),"تُعدّ هذه الرياضة اختباراً لقدرات الحيوانات...")</f>
        <v>تُعدّ هذه الرياضة اختباراً لقدرات الحيوانات...</v>
      </c>
      <c r="J121" s="4" t="str">
        <f ca="1">IFERROR(__xludf.DUMMYFUNCTION("GOOGLETRANSLATE(C121,""en"",""ar"")"),"أ) السرعة، ب) خفة الحركة، ج) القوة والعدوانية، د) الذكاء")</f>
        <v>أ) السرعة، ب) خفة الحركة، ج) القوة والعدوانية، د) الذكاء</v>
      </c>
      <c r="K121" s="4" t="str">
        <f ca="1">IFERROR(__xludf.DUMMYFUNCTION("GOOGLETRANSLATE(D121,""en"",""ar"")"),"ج) القوة والعدوانية")</f>
        <v>ج) القوة والعدوانية</v>
      </c>
      <c r="L121" s="4" t="str">
        <f ca="1">IFERROR(__xludf.DUMMYFUNCTION("GOOGLETRANSLATE(D121,""en"",""ar"")"),"ج) القوة والعدوانية")</f>
        <v>ج) القوة والعدوانية</v>
      </c>
      <c r="M121" s="4"/>
      <c r="N121" s="4"/>
      <c r="O121" s="4"/>
      <c r="P121" s="4"/>
      <c r="Q121" s="4"/>
      <c r="R121" s="4"/>
      <c r="S121" s="4"/>
      <c r="T121" s="4"/>
      <c r="U121" s="4"/>
      <c r="V121" s="4"/>
      <c r="W121" s="4"/>
      <c r="X121" s="4"/>
      <c r="Y121" s="4"/>
      <c r="Z121" s="4"/>
    </row>
    <row r="122" spans="1:26" ht="22.5" customHeight="1" x14ac:dyDescent="0.25">
      <c r="A122" s="2"/>
      <c r="B122" s="2"/>
      <c r="C122" s="2"/>
      <c r="D122" s="2"/>
      <c r="E122" s="2"/>
      <c r="F122" s="4"/>
      <c r="G122" s="4"/>
      <c r="H122" s="4" t="s">
        <v>125</v>
      </c>
      <c r="I122" s="4" t="str">
        <f ca="1">IFERROR(__xludf.DUMMYFUNCTION("GOOGLETRANSLATE(B122,""en"",""ar"")"),"الحيوان الموجود في هذه الصورة هو تورو برافو، المعروف أيضاً باسم...")</f>
        <v>الحيوان الموجود في هذه الصورة هو تورو برافو، المعروف أيضاً باسم...</v>
      </c>
      <c r="J122" s="4" t="str">
        <f ca="1">IFERROR(__xludf.DUMMYFUNCTION("GOOGLETRANSLATE(C122,""en"",""ar"")"),"أ) بقرة سويسرية من سلالة هيرن، ب) ثور روديو أمريكي، ج) ثور قتال إسباني، د) ثور زيبو هندي")</f>
        <v>أ) بقرة سويسرية من سلالة هيرن، ب) ثور روديو أمريكي، ج) ثور قتال إسباني، د) ثور زيبو هندي</v>
      </c>
      <c r="K122" s="4" t="str">
        <f ca="1">IFERROR(__xludf.DUMMYFUNCTION("GOOGLETRANSLATE(D122,""en"",""ar"")"),"ج) الثور الإسباني المقاتل")</f>
        <v>ج) الثور الإسباني المقاتل</v>
      </c>
      <c r="L122" s="4" t="str">
        <f ca="1">IFERROR(__xludf.DUMMYFUNCTION("GOOGLETRANSLATE(D122,""en"",""ar"")"),"ج) الثور الإسباني المقاتل")</f>
        <v>ج) الثور الإسباني المقاتل</v>
      </c>
      <c r="M122" s="4"/>
      <c r="N122" s="4"/>
      <c r="O122" s="4"/>
      <c r="P122" s="4"/>
      <c r="Q122" s="4"/>
      <c r="R122" s="4"/>
      <c r="S122" s="4"/>
      <c r="T122" s="4"/>
      <c r="U122" s="4"/>
      <c r="V122" s="4"/>
      <c r="W122" s="4"/>
      <c r="X122" s="4"/>
      <c r="Y122" s="4"/>
      <c r="Z122" s="4"/>
    </row>
    <row r="123" spans="1:26" ht="22.5" customHeight="1" x14ac:dyDescent="0.25">
      <c r="A123" s="2"/>
      <c r="B123" s="2"/>
      <c r="C123" s="2"/>
      <c r="D123" s="2"/>
      <c r="E123" s="2"/>
      <c r="F123" s="4"/>
      <c r="G123" s="4"/>
      <c r="H123" s="4" t="s">
        <v>125</v>
      </c>
      <c r="I123" s="4" t="str">
        <f ca="1">IFERROR(__xludf.DUMMYFUNCTION("GOOGLETRANSLATE(B123,""en"",""ar"")"),"ما هو الإطار الزمني؟")</f>
        <v>ما هو الإطار الزمني؟</v>
      </c>
      <c r="J123" s="4" t="str">
        <f ca="1">IFERROR(__xludf.DUMMYFUNCTION("GOOGLETRANSLATE(C123,""en"",""ar"")"),"أ) مرعى مزرعة، ب) حلبة مصارعة الثيران، ج) حديقة عامة، د) صحراء")</f>
        <v>أ) مرعى مزرعة، ب) حلبة مصارعة الثيران، ج) حديقة عامة، د) صحراء</v>
      </c>
      <c r="K123" s="4" t="str">
        <f ca="1">IFERROR(__xludf.DUMMYFUNCTION("GOOGLETRANSLATE(D123,""en"",""ar"")"),"ب) حلقة مصارعة الثيران (بلازا دي توروس)")</f>
        <v>ب) حلقة مصارعة الثيران (بلازا دي توروس)</v>
      </c>
      <c r="L123" s="4" t="str">
        <f ca="1">IFERROR(__xludf.DUMMYFUNCTION("GOOGLETRANSLATE(D123,""en"",""ar"")"),"ب) حلقة مصارعة الثيران (بلازا دي توروس)")</f>
        <v>ب) حلقة مصارعة الثيران (بلازا دي توروس)</v>
      </c>
      <c r="M123" s="4"/>
      <c r="N123" s="4"/>
      <c r="O123" s="4"/>
      <c r="P123" s="4"/>
      <c r="Q123" s="4"/>
      <c r="R123" s="4"/>
      <c r="S123" s="4"/>
      <c r="T123" s="4"/>
      <c r="U123" s="4"/>
      <c r="V123" s="4"/>
      <c r="W123" s="4"/>
      <c r="X123" s="4"/>
      <c r="Y123" s="4"/>
      <c r="Z123" s="4"/>
    </row>
    <row r="124" spans="1:26" ht="22.5" customHeight="1" x14ac:dyDescent="0.25">
      <c r="A124" s="2"/>
      <c r="B124" s="2"/>
      <c r="C124" s="2"/>
      <c r="D124" s="2"/>
      <c r="E124" s="2"/>
      <c r="F124" s="4"/>
      <c r="G124" s="4"/>
      <c r="H124" s="4" t="s">
        <v>125</v>
      </c>
      <c r="I124" s="4" t="str">
        <f ca="1">IFERROR(__xludf.DUMMYFUNCTION("GOOGLETRANSLATE(B124,""en"",""ar"")"),"ماذا يفعل الثور؟")</f>
        <v>ماذا يفعل الثور؟</v>
      </c>
      <c r="J124" s="4" t="str">
        <f ca="1">IFERROR(__xludf.DUMMYFUNCTION("GOOGLETRANSLATE(C124,""en"",""ar"")"),"أ) إنه واقف بلا حراك، ب) إنه نائم، ج) إنه يجري بسرعة عالية، د) إنه يأكل")</f>
        <v>أ) إنه واقف بلا حراك، ب) إنه نائم، ج) إنه يجري بسرعة عالية، د) إنه يأكل</v>
      </c>
      <c r="K124" s="4" t="str">
        <f ca="1">IFERROR(__xludf.DUMMYFUNCTION("GOOGLETRANSLATE(D124,""en"",""ar"")"),"ج) إنه يعمل بسرعة عالية")</f>
        <v>ج) إنه يعمل بسرعة عالية</v>
      </c>
      <c r="L124" s="4" t="str">
        <f ca="1">IFERROR(__xludf.DUMMYFUNCTION("GOOGLETRANSLATE(D124,""en"",""ar"")"),"ج) إنه يعمل بسرعة عالية")</f>
        <v>ج) إنه يعمل بسرعة عالية</v>
      </c>
      <c r="M124" s="4"/>
      <c r="N124" s="4"/>
      <c r="O124" s="4"/>
      <c r="P124" s="4"/>
      <c r="Q124" s="4"/>
      <c r="R124" s="4"/>
      <c r="S124" s="4"/>
      <c r="T124" s="4"/>
      <c r="U124" s="4"/>
      <c r="V124" s="4"/>
      <c r="W124" s="4"/>
      <c r="X124" s="4"/>
      <c r="Y124" s="4"/>
      <c r="Z124" s="4"/>
    </row>
    <row r="125" spans="1:26" ht="22.5" customHeight="1" x14ac:dyDescent="0.25">
      <c r="A125" s="2"/>
      <c r="B125" s="2"/>
      <c r="C125" s="2"/>
      <c r="D125" s="2"/>
      <c r="E125" s="2"/>
      <c r="F125" s="4"/>
      <c r="G125" s="4"/>
      <c r="H125" s="4" t="s">
        <v>125</v>
      </c>
      <c r="I125" s="4" t="str">
        <f ca="1">IFERROR(__xludf.DUMMYFUNCTION("GOOGLETRANSLATE(B125,""en"",""ar"")"),"ما هي الأشياء التي وُضعت في ظهر الثور؟")</f>
        <v>ما هي الأشياء التي وُضعت في ظهر الثور؟</v>
      </c>
      <c r="J125" s="4" t="str">
        <f ca="1">IFERROR(__xludf.DUMMYFUNCTION("GOOGLETRANSLATE(C125,""en"",""ar"")"),"أ) أشرطة زينة، ب) أجهزة تتبع نظام تحديد المواقع العالمي (GPS)، ج) أشرطة زينة، د) ريش")</f>
        <v>أ) أشرطة زينة، ب) أجهزة تتبع نظام تحديد المواقع العالمي (GPS)، ج) أشرطة زينة، د) ريش</v>
      </c>
      <c r="K125" s="4" t="str">
        <f ca="1">IFERROR(__xludf.DUMMYFUNCTION("GOOGLETRANSLATE(D125,""en"",""ar"")"),"ج) باندريلاس")</f>
        <v>ج) باندريلاس</v>
      </c>
      <c r="L125" s="4" t="str">
        <f ca="1">IFERROR(__xludf.DUMMYFUNCTION("GOOGLETRANSLATE(D125,""en"",""ar"")"),"ج) باندريلاس")</f>
        <v>ج) باندريلاس</v>
      </c>
      <c r="M125" s="4"/>
      <c r="N125" s="4"/>
      <c r="O125" s="4"/>
      <c r="P125" s="4"/>
      <c r="Q125" s="4"/>
      <c r="R125" s="4"/>
      <c r="S125" s="4"/>
      <c r="T125" s="4"/>
      <c r="U125" s="4"/>
      <c r="V125" s="4"/>
      <c r="W125" s="4"/>
      <c r="X125" s="4"/>
      <c r="Y125" s="4"/>
      <c r="Z125" s="4"/>
    </row>
    <row r="126" spans="1:26" ht="22.5" customHeight="1" x14ac:dyDescent="0.25">
      <c r="A126" s="2"/>
      <c r="B126" s="2"/>
      <c r="C126" s="2"/>
      <c r="D126" s="2"/>
      <c r="E126" s="2"/>
      <c r="F126" s="4"/>
      <c r="G126" s="4"/>
      <c r="H126" s="4" t="s">
        <v>125</v>
      </c>
      <c r="I126" s="4" t="str">
        <f ca="1">IFERROR(__xludf.DUMMYFUNCTION("GOOGLETRANSLATE(B126,""en"",""ar"")"),"الغرض من البانديريلا هو...")</f>
        <v>الغرض من البانديريلا هو...</v>
      </c>
      <c r="J126" s="4" t="str">
        <f ca="1">IFERROR(__xludf.DUMMYFUNCTION("GOOGLETRANSLATE(C126,""en"",""ar"")"),"أ) تزيين الثور، ب) استفزاز الثور لشن هجمات أخرى واختبار شجاعته، ج) معالجة إصابة سابقة، د) العمل كلجام للفارس")</f>
        <v>أ) تزيين الثور، ب) استفزاز الثور لشن هجمات أخرى واختبار شجاعته، ج) معالجة إصابة سابقة، د) العمل كلجام للفارس</v>
      </c>
      <c r="K126" s="4" t="str">
        <f ca="1">IFERROR(__xludf.DUMMYFUNCTION("GOOGLETRANSLATE(D126,""en"",""ar"")"),"ب) لحث الثور على شن المزيد من الهجمات واختبار شجاعته")</f>
        <v>ب) لحث الثور على شن المزيد من الهجمات واختبار شجاعته</v>
      </c>
      <c r="L126" s="4" t="str">
        <f ca="1">IFERROR(__xludf.DUMMYFUNCTION("GOOGLETRANSLATE(D126,""en"",""ar"")"),"ب) لحث الثور على شن المزيد من الهجمات واختبار شجاعته")</f>
        <v>ب) لحث الثور على شن المزيد من الهجمات واختبار شجاعته</v>
      </c>
      <c r="M126" s="4"/>
      <c r="N126" s="4"/>
      <c r="O126" s="4"/>
      <c r="P126" s="4"/>
      <c r="Q126" s="4"/>
      <c r="R126" s="4"/>
      <c r="S126" s="4"/>
      <c r="T126" s="4"/>
      <c r="U126" s="4"/>
      <c r="V126" s="4"/>
      <c r="W126" s="4"/>
      <c r="X126" s="4"/>
      <c r="Y126" s="4"/>
      <c r="Z126" s="4"/>
    </row>
    <row r="127" spans="1:26" ht="22.5" customHeight="1" x14ac:dyDescent="0.25">
      <c r="A127" s="2"/>
      <c r="B127" s="2"/>
      <c r="C127" s="2"/>
      <c r="D127" s="2"/>
      <c r="E127" s="2"/>
      <c r="F127" s="4"/>
      <c r="G127" s="4"/>
      <c r="H127" s="4" t="s">
        <v>125</v>
      </c>
      <c r="I127" s="4" t="str">
        <f ca="1">IFERROR(__xludf.DUMMYFUNCTION("GOOGLETRANSLATE(B127,""en"",""ar"")"),"تشتهر هذه الفعالية في أي بلد، ولكنها ليست حكراً عليه؟")</f>
        <v>تشتهر هذه الفعالية في أي بلد، ولكنها ليست حكراً عليه؟</v>
      </c>
      <c r="J127" s="4" t="str">
        <f ca="1">IFERROR(__xludf.DUMMYFUNCTION("GOOGLETRANSLATE(C127,""en"",""ar"")"),"أ) أستراليا، ب) كندا، ج) اليابان، د) إسبانيا")</f>
        <v>أ) أستراليا، ب) كندا، ج) اليابان، د) إسبانيا</v>
      </c>
      <c r="K127" s="4" t="str">
        <f ca="1">IFERROR(__xludf.DUMMYFUNCTION("GOOGLETRANSLATE(D127,""en"",""ar"")"),"د) إسبانيا")</f>
        <v>د) إسبانيا</v>
      </c>
      <c r="L127" s="4" t="str">
        <f ca="1">IFERROR(__xludf.DUMMYFUNCTION("GOOGLETRANSLATE(D127,""en"",""ar"")"),"د) إسبانيا")</f>
        <v>د) إسبانيا</v>
      </c>
      <c r="M127" s="4"/>
      <c r="N127" s="4"/>
      <c r="O127" s="4"/>
      <c r="P127" s="4"/>
      <c r="Q127" s="4"/>
      <c r="R127" s="4"/>
      <c r="S127" s="4"/>
      <c r="T127" s="4"/>
      <c r="U127" s="4"/>
      <c r="V127" s="4"/>
      <c r="W127" s="4"/>
      <c r="X127" s="4"/>
      <c r="Y127" s="4"/>
      <c r="Z127" s="4"/>
    </row>
    <row r="128" spans="1:26" ht="22.5" customHeight="1" x14ac:dyDescent="0.25">
      <c r="A128" s="2"/>
      <c r="B128" s="2"/>
      <c r="C128" s="2"/>
      <c r="D128" s="2"/>
      <c r="E128" s="2"/>
      <c r="F128" s="4"/>
      <c r="G128" s="4"/>
      <c r="H128" s="4" t="s">
        <v>125</v>
      </c>
      <c r="I128" s="4" t="str">
        <f ca="1">IFERROR(__xludf.DUMMYFUNCTION("GOOGLETRANSLATE(B128,""en"",""ar"")"),"إن بنية الثور الجسدية، وخاصة رقبته وكتفيه الضخمتين، هي نتيجة لـ...")</f>
        <v>إن بنية الثور الجسدية، وخاصة رقبته وكتفيه الضخمتين، هي نتيجة لـ...</v>
      </c>
      <c r="J128" s="4" t="str">
        <f ca="1">IFERROR(__xludf.DUMMYFUNCTION("GOOGLETRANSLATE(C128,""en"",""ar"")"),"أ) نظام غذائي غني بالدهون، ب) كونها سلالة ألبان، ج) التربية الانتقائية للقوة والعدوانية، د) قلة التمارين الرياضية")</f>
        <v>أ) نظام غذائي غني بالدهون، ب) كونها سلالة ألبان، ج) التربية الانتقائية للقوة والعدوانية، د) قلة التمارين الرياضية</v>
      </c>
      <c r="K128" s="4" t="str">
        <f ca="1">IFERROR(__xludf.DUMMYFUNCTION("GOOGLETRANSLATE(D128,""en"",""ar"")"),"ج) التربية الانتقائية للقوة والعدوانية")</f>
        <v>ج) التربية الانتقائية للقوة والعدوانية</v>
      </c>
      <c r="L128" s="4" t="str">
        <f ca="1">IFERROR(__xludf.DUMMYFUNCTION("GOOGLETRANSLATE(D128,""en"",""ar"")"),"ج) التربية الانتقائية للقوة والعدوانية")</f>
        <v>ج) التربية الانتقائية للقوة والعدوانية</v>
      </c>
      <c r="M128" s="4"/>
      <c r="N128" s="4"/>
      <c r="O128" s="4"/>
      <c r="P128" s="4"/>
      <c r="Q128" s="4"/>
      <c r="R128" s="4"/>
      <c r="S128" s="4"/>
      <c r="T128" s="4"/>
      <c r="U128" s="4"/>
      <c r="V128" s="4"/>
      <c r="W128" s="4"/>
      <c r="X128" s="4"/>
      <c r="Y128" s="4"/>
      <c r="Z128" s="4"/>
    </row>
    <row r="129" spans="1:26" ht="22.5" customHeight="1" x14ac:dyDescent="0.25">
      <c r="A129" s="2"/>
      <c r="B129" s="2"/>
      <c r="C129" s="2"/>
      <c r="D129" s="2"/>
      <c r="E129" s="2"/>
      <c r="F129" s="4"/>
      <c r="G129" s="4"/>
      <c r="H129" s="4" t="s">
        <v>125</v>
      </c>
      <c r="I129" s="4" t="str">
        <f ca="1">IFERROR(__xludf.DUMMYFUNCTION("GOOGLETRANSLATE(B129,""en"",""ar"")"),"الدائرة البيضاء المرسومة على الجدار الأحمر هي جزء من...")</f>
        <v>الدائرة البيضاء المرسومة على الجدار الأحمر هي جزء من...</v>
      </c>
      <c r="J129" s="4" t="str">
        <f ca="1">IFERROR(__xludf.DUMMYFUNCTION("GOOGLETRANSLATE(C129,""en"",""ar"")"),"أ) مناظر طبيعية لتهدئة الثور، ب) العلامات الرسمية لحلبة مصارعة الثيران، ج) هدف لمصارع الثيران، د) إعلان")</f>
        <v>أ) مناظر طبيعية لتهدئة الثور، ب) العلامات الرسمية لحلبة مصارعة الثيران، ج) هدف لمصارع الثيران، د) إعلان</v>
      </c>
      <c r="K129" s="4" t="str">
        <f ca="1">IFERROR(__xludf.DUMMYFUNCTION("GOOGLETRANSLATE(D129,""en"",""ar"")"),"ب) العلامات الرسمية لحلبة مصارعة الثيران")</f>
        <v>ب) العلامات الرسمية لحلبة مصارعة الثيران</v>
      </c>
      <c r="L129" s="4" t="str">
        <f ca="1">IFERROR(__xludf.DUMMYFUNCTION("GOOGLETRANSLATE(D129,""en"",""ar"")"),"ب) العلامات الرسمية لحلبة مصارعة الثيران")</f>
        <v>ب) العلامات الرسمية لحلبة مصارعة الثيران</v>
      </c>
      <c r="M129" s="4"/>
      <c r="N129" s="4"/>
      <c r="O129" s="4"/>
      <c r="P129" s="4"/>
      <c r="Q129" s="4"/>
      <c r="R129" s="4"/>
      <c r="S129" s="4"/>
      <c r="T129" s="4"/>
      <c r="U129" s="4"/>
      <c r="V129" s="4"/>
      <c r="W129" s="4"/>
      <c r="X129" s="4"/>
      <c r="Y129" s="4"/>
      <c r="Z129" s="4"/>
    </row>
    <row r="130" spans="1:26" ht="22.5" customHeight="1" x14ac:dyDescent="0.25">
      <c r="A130" s="2"/>
      <c r="B130" s="2"/>
      <c r="C130" s="2"/>
      <c r="D130" s="2"/>
      <c r="E130" s="2"/>
      <c r="F130" s="4"/>
      <c r="G130" s="4"/>
      <c r="H130" s="4" t="s">
        <v>125</v>
      </c>
      <c r="I130" s="4" t="str">
        <f ca="1">IFERROR(__xludf.DUMMYFUNCTION("GOOGLETRANSLATE(B130,""en"",""ar"")"),"تُعتبر هذه الرياضة مثيرة للجدل للغاية، ويرجع ذلك أساساً إلى...")</f>
        <v>تُعتبر هذه الرياضة مثيرة للجدل للغاية، ويرجع ذلك أساساً إلى...</v>
      </c>
      <c r="J130" s="4" t="str">
        <f ca="1">IFERROR(__xludf.DUMMYFUNCTION("GOOGLETRANSLATE(C130,""en"",""ar"")"),"أ) ارتفاع تكلفة التذاكر، ب) طولها، ج) المخاوف بشأن القسوة على الحيوانات، د) كمية الغبار التي تُنتجها")</f>
        <v>أ) ارتفاع تكلفة التذاكر، ب) طولها، ج) المخاوف بشأن القسوة على الحيوانات، د) كمية الغبار التي تُنتجها</v>
      </c>
      <c r="K130" s="4" t="str">
        <f ca="1">IFERROR(__xludf.DUMMYFUNCTION("GOOGLETRANSLATE(D130,""en"",""ar"")"),"ج) مخاوف بشأن القسوة على الحيوانات")</f>
        <v>ج) مخاوف بشأن القسوة على الحيوانات</v>
      </c>
      <c r="L130" s="4" t="str">
        <f ca="1">IFERROR(__xludf.DUMMYFUNCTION("GOOGLETRANSLATE(D130,""en"",""ar"")"),"ج) مخاوف بشأن القسوة على الحيوانات")</f>
        <v>ج) مخاوف بشأن القسوة على الحيوانات</v>
      </c>
      <c r="M130" s="4"/>
      <c r="N130" s="4"/>
      <c r="O130" s="4"/>
      <c r="P130" s="4"/>
      <c r="Q130" s="4"/>
      <c r="R130" s="4"/>
      <c r="S130" s="4"/>
      <c r="T130" s="4"/>
      <c r="U130" s="4"/>
      <c r="V130" s="4"/>
      <c r="W130" s="4"/>
      <c r="X130" s="4"/>
      <c r="Y130" s="4"/>
      <c r="Z130" s="4"/>
    </row>
    <row r="131" spans="1:26" ht="22.5" customHeight="1" x14ac:dyDescent="0.25">
      <c r="A131" s="2"/>
      <c r="B131" s="2"/>
      <c r="C131" s="2"/>
      <c r="D131" s="2"/>
      <c r="E131" s="2"/>
      <c r="F131" s="4"/>
      <c r="G131" s="4"/>
      <c r="H131" s="4" t="s">
        <v>125</v>
      </c>
      <c r="I131" s="4" t="str">
        <f ca="1">IFERROR(__xludf.DUMMYFUNCTION("GOOGLETRANSLATE(B131,""en"",""ar"")"),"يبدو أن حوافر الثور كانت...")</f>
        <v>يبدو أن حوافر الثور كانت...</v>
      </c>
      <c r="J131" s="4" t="str">
        <f ca="1">IFERROR(__xludf.DUMMYFUNCTION("GOOGLETRANSLATE(C131,""en"",""ar"")"),"أ) مطلية للزينة، ب) مشذبة أو مزودة بحذاء لتحسين الثبات، ج) مغطاة بالطين، د) مصابة")</f>
        <v>أ) مطلية للزينة، ب) مشذبة أو مزودة بحذاء لتحسين الثبات، ج) مغطاة بالطين، د) مصابة</v>
      </c>
      <c r="K131" s="4" t="str">
        <f ca="1">IFERROR(__xludf.DUMMYFUNCTION("GOOGLETRANSLATE(D131,""en"",""ar"")"),"ب) تم تقليمها أو تزويدها بأحذية لتحسين التماسك")</f>
        <v>ب) تم تقليمها أو تزويدها بأحذية لتحسين التماسك</v>
      </c>
      <c r="L131" s="4" t="str">
        <f ca="1">IFERROR(__xludf.DUMMYFUNCTION("GOOGLETRANSLATE(D131,""en"",""ar"")"),"ب) تم تقليمها أو تزويدها بأحذية لتحسين التماسك")</f>
        <v>ب) تم تقليمها أو تزويدها بأحذية لتحسين التماسك</v>
      </c>
      <c r="M131" s="4"/>
      <c r="N131" s="4"/>
      <c r="O131" s="4"/>
      <c r="P131" s="4"/>
      <c r="Q131" s="4"/>
      <c r="R131" s="4"/>
      <c r="S131" s="4"/>
      <c r="T131" s="4"/>
      <c r="U131" s="4"/>
      <c r="V131" s="4"/>
      <c r="W131" s="4"/>
      <c r="X131" s="4"/>
      <c r="Y131" s="4"/>
      <c r="Z131" s="4"/>
    </row>
    <row r="132" spans="1:26" ht="22.5" customHeight="1" x14ac:dyDescent="0.25">
      <c r="A132" s="2"/>
      <c r="B132" s="2"/>
      <c r="C132" s="2"/>
      <c r="D132" s="2"/>
      <c r="E132" s="2"/>
      <c r="F132" s="4"/>
      <c r="G132" s="4"/>
      <c r="H132" s="4" t="s">
        <v>126</v>
      </c>
      <c r="I132" s="4" t="str">
        <f ca="1">IFERROR(__xludf.DUMMYFUNCTION("GOOGLETRANSLATE(B132,""en"",""ar"")"),"تُجسّد هذه الصورة المقربة لحظة من...")</f>
        <v>تُجسّد هذه الصورة المقربة لحظة من...</v>
      </c>
      <c r="J132" s="4" t="str">
        <f ca="1">IFERROR(__xludf.DUMMYFUNCTION("GOOGLETRANSLATE(C132,""en"",""ar"")"),"أ) تنظيف هادئ، ب) قتال عنيف وجهاً لوجه، ج) ثوران نائمان، د) بقرة وأمها")</f>
        <v>أ) تنظيف هادئ، ب) قتال عنيف وجهاً لوجه، ج) ثوران نائمان، د) بقرة وأمها</v>
      </c>
      <c r="K132" s="4" t="str">
        <f ca="1">IFERROR(__xludf.DUMMYFUNCTION("GOOGLETRANSLATE(D132,""en"",""ar"")"),"ب) قتال عنيف وجهاً لوجه")</f>
        <v>ب) قتال عنيف وجهاً لوجه</v>
      </c>
      <c r="L132" s="4" t="str">
        <f ca="1">IFERROR(__xludf.DUMMYFUNCTION("GOOGLETRANSLATE(D132,""en"",""ar"")"),"ب) قتال عنيف وجهاً لوجه")</f>
        <v>ب) قتال عنيف وجهاً لوجه</v>
      </c>
      <c r="M132" s="4"/>
      <c r="N132" s="4"/>
      <c r="O132" s="4"/>
      <c r="P132" s="4"/>
      <c r="Q132" s="4"/>
      <c r="R132" s="4"/>
      <c r="S132" s="4"/>
      <c r="T132" s="4"/>
      <c r="U132" s="4"/>
      <c r="V132" s="4"/>
      <c r="W132" s="4"/>
      <c r="X132" s="4"/>
      <c r="Y132" s="4"/>
      <c r="Z132" s="4"/>
    </row>
    <row r="133" spans="1:26" ht="22.5" customHeight="1" x14ac:dyDescent="0.25">
      <c r="A133" s="2"/>
      <c r="B133" s="2"/>
      <c r="C133" s="2"/>
      <c r="D133" s="2"/>
      <c r="E133" s="2"/>
      <c r="F133" s="4"/>
      <c r="G133" s="4"/>
      <c r="H133" s="4" t="s">
        <v>126</v>
      </c>
      <c r="I133" s="4" t="str">
        <f ca="1">IFERROR(__xludf.DUMMYFUNCTION("GOOGLETRANSLATE(B133,""en"",""ar"")"),"ماذا تعني العيون الواسعة والحادة للثيران؟")</f>
        <v>ماذا تعني العيون الواسعة والحادة للثيران؟</v>
      </c>
      <c r="J133" s="4" t="str">
        <f ca="1">IFERROR(__xludf.DUMMYFUNCTION("GOOGLETRANSLATE(C133,""en"",""ar"")"),"أ) إنهم هادئون ومسترخون، ب) إنهم متعبون وعلى وشك النوم، ج) إنهم مليئون بالأدرينالين ويركزون على القتال، د) إنهم ينظرون إلى المصور")</f>
        <v>أ) إنهم هادئون ومسترخون، ب) إنهم متعبون وعلى وشك النوم، ج) إنهم مليئون بالأدرينالين ويركزون على القتال، د) إنهم ينظرون إلى المصور</v>
      </c>
      <c r="K133" s="4" t="str">
        <f ca="1">IFERROR(__xludf.DUMMYFUNCTION("GOOGLETRANSLATE(D133,""en"",""ar"")"),"ج) إنهم مفعمون بالأدرينالين ويركزون على القتال")</f>
        <v>ج) إنهم مفعمون بالأدرينالين ويركزون على القتال</v>
      </c>
      <c r="L133" s="4" t="str">
        <f ca="1">IFERROR(__xludf.DUMMYFUNCTION("GOOGLETRANSLATE(D133,""en"",""ar"")"),"ج) إنهم مفعمون بالأدرينالين ويركزون على القتال")</f>
        <v>ج) إنهم مفعمون بالأدرينالين ويركزون على القتال</v>
      </c>
      <c r="M133" s="4"/>
      <c r="N133" s="4"/>
      <c r="O133" s="4"/>
      <c r="P133" s="4"/>
      <c r="Q133" s="4"/>
      <c r="R133" s="4"/>
      <c r="S133" s="4"/>
      <c r="T133" s="4"/>
      <c r="U133" s="4"/>
      <c r="V133" s="4"/>
      <c r="W133" s="4"/>
      <c r="X133" s="4"/>
      <c r="Y133" s="4"/>
      <c r="Z133" s="4"/>
    </row>
    <row r="134" spans="1:26" ht="22.5" customHeight="1" x14ac:dyDescent="0.25">
      <c r="A134" s="2"/>
      <c r="B134" s="2"/>
      <c r="C134" s="2"/>
      <c r="D134" s="2"/>
      <c r="E134" s="2"/>
      <c r="F134" s="4"/>
      <c r="G134" s="4"/>
      <c r="H134" s="4" t="s">
        <v>126</v>
      </c>
      <c r="I134" s="4" t="str">
        <f ca="1">IFERROR(__xludf.DUMMYFUNCTION("GOOGLETRANSLATE(B134,""en"",""ar"")"),"ما هي الطريقة الأساسية للقتال الموضحة هنا؟")</f>
        <v>ما هي الطريقة الأساسية للقتال الموضحة هنا؟</v>
      </c>
      <c r="J134" s="4" t="str">
        <f ca="1">IFERROR(__xludf.DUMMYFUNCTION("GOOGLETRANSLATE(C134,""en"",""ar"")"),"أ) الركل، ب) العض، ج) استخدام رؤوسهم وقرونهم للضغط، د) إصدار أصوات عالية")</f>
        <v>أ) الركل، ب) العض، ج) استخدام رؤوسهم وقرونهم للضغط، د) إصدار أصوات عالية</v>
      </c>
      <c r="K134" s="4" t="str">
        <f ca="1">IFERROR(__xludf.DUMMYFUNCTION("GOOGLETRANSLATE(D134,""en"",""ar"")"),"ج) استخدام رؤوسهم وقرونهم للضغط")</f>
        <v>ج) استخدام رؤوسهم وقرونهم للضغط</v>
      </c>
      <c r="L134" s="4" t="str">
        <f ca="1">IFERROR(__xludf.DUMMYFUNCTION("GOOGLETRANSLATE(D134,""en"",""ar"")"),"ج) استخدام رؤوسهم وقرونهم للضغط")</f>
        <v>ج) استخدام رؤوسهم وقرونهم للضغط</v>
      </c>
      <c r="M134" s="4"/>
      <c r="N134" s="4"/>
      <c r="O134" s="4"/>
      <c r="P134" s="4"/>
      <c r="Q134" s="4"/>
      <c r="R134" s="4"/>
      <c r="S134" s="4"/>
      <c r="T134" s="4"/>
      <c r="U134" s="4"/>
      <c r="V134" s="4"/>
      <c r="W134" s="4"/>
      <c r="X134" s="4"/>
      <c r="Y134" s="4"/>
      <c r="Z134" s="4"/>
    </row>
    <row r="135" spans="1:26" ht="22.5" customHeight="1" x14ac:dyDescent="0.25">
      <c r="A135" s="2"/>
      <c r="B135" s="2"/>
      <c r="C135" s="2"/>
      <c r="D135" s="2"/>
      <c r="E135" s="2"/>
      <c r="F135" s="4"/>
      <c r="G135" s="4"/>
      <c r="H135" s="4" t="s">
        <v>126</v>
      </c>
      <c r="I135" s="4" t="str">
        <f ca="1">IFERROR(__xludf.DUMMYFUNCTION("GOOGLETRANSLATE(B135,""en"",""ar"")"),"من المرجح أن يكون نوع هذه الحيوانات السوداء القوية...")</f>
        <v>من المرجح أن يكون نوع هذه الحيوانات السوداء القوية...</v>
      </c>
      <c r="J135" s="4" t="str">
        <f ca="1">IFERROR(__xludf.DUMMYFUNCTION("GOOGLETRANSLATE(C135,""en"",""ar"")"),"أ) سلالة ألبان وديعة مثل جيرسي، ب) سلالة مختارة لقوتها وقدرتها على القتال، ج) سلالة صغيرة تُستخدم كحيوان أليف، د) سلالة بدون قرون")</f>
        <v>أ) سلالة ألبان وديعة مثل جيرسي، ب) سلالة مختارة لقوتها وقدرتها على القتال، ج) سلالة صغيرة تُستخدم كحيوان أليف، د) سلالة بدون قرون</v>
      </c>
      <c r="K135" s="4" t="str">
        <f ca="1">IFERROR(__xludf.DUMMYFUNCTION("GOOGLETRANSLATE(D135,""en"",""ar"")"),"ب) سلالة مختارة لقوتها وقدرتها على القتال")</f>
        <v>ب) سلالة مختارة لقوتها وقدرتها على القتال</v>
      </c>
      <c r="L135" s="4" t="str">
        <f ca="1">IFERROR(__xludf.DUMMYFUNCTION("GOOGLETRANSLATE(D135,""en"",""ar"")"),"ب) سلالة مختارة لقوتها وقدرتها على القتال")</f>
        <v>ب) سلالة مختارة لقوتها وقدرتها على القتال</v>
      </c>
      <c r="M135" s="4"/>
      <c r="N135" s="4"/>
      <c r="O135" s="4"/>
      <c r="P135" s="4"/>
      <c r="Q135" s="4"/>
      <c r="R135" s="4"/>
      <c r="S135" s="4"/>
      <c r="T135" s="4"/>
      <c r="U135" s="4"/>
      <c r="V135" s="4"/>
      <c r="W135" s="4"/>
      <c r="X135" s="4"/>
      <c r="Y135" s="4"/>
      <c r="Z135" s="4"/>
    </row>
    <row r="136" spans="1:26" ht="22.5" customHeight="1" x14ac:dyDescent="0.25">
      <c r="A136" s="2"/>
      <c r="B136" s="2"/>
      <c r="C136" s="2"/>
      <c r="D136" s="2"/>
      <c r="E136" s="2"/>
      <c r="F136" s="4"/>
      <c r="G136" s="4"/>
      <c r="H136" s="4" t="s">
        <v>126</v>
      </c>
      <c r="I136" s="4" t="str">
        <f ca="1">IFERROR(__xludf.DUMMYFUNCTION("GOOGLETRANSLATE(B136,""en"",""ar"")"),"ماذا تشير العلامة الصفراء الموجودة في أذن الثور اليمنى؟")</f>
        <v>ماذا تشير العلامة الصفراء الموجودة في أذن الثور اليمنى؟</v>
      </c>
      <c r="J136" s="4" t="str">
        <f ca="1">IFERROR(__xludf.DUMMYFUNCTION("GOOGLETRANSLATE(C136,""en"",""ar"")"),"أ) إنها قرط زينة، ب) إنها بطاقة تعريف للمزارع أو المتسابق، ج) إنها علامة على النصر، د) إنها جهاز تتبع")</f>
        <v>أ) إنها قرط زينة، ب) إنها بطاقة تعريف للمزارع أو المتسابق، ج) إنها علامة على النصر، د) إنها جهاز تتبع</v>
      </c>
      <c r="K136" s="4" t="str">
        <f ca="1">IFERROR(__xludf.DUMMYFUNCTION("GOOGLETRANSLATE(D136,""en"",""ar"")"),"ب) إنها علامة تعريف خاصة بالمزارع أو المنافس")</f>
        <v>ب) إنها علامة تعريف خاصة بالمزارع أو المنافس</v>
      </c>
      <c r="L136" s="4" t="str">
        <f ca="1">IFERROR(__xludf.DUMMYFUNCTION("GOOGLETRANSLATE(D136,""en"",""ar"")"),"ب) إنها علامة تعريف خاصة بالمزارع أو المنافس")</f>
        <v>ب) إنها علامة تعريف خاصة بالمزارع أو المنافس</v>
      </c>
      <c r="M136" s="4"/>
      <c r="N136" s="4"/>
      <c r="O136" s="4"/>
      <c r="P136" s="4"/>
      <c r="Q136" s="4"/>
      <c r="R136" s="4"/>
      <c r="S136" s="4"/>
      <c r="T136" s="4"/>
      <c r="U136" s="4"/>
      <c r="V136" s="4"/>
      <c r="W136" s="4"/>
      <c r="X136" s="4"/>
      <c r="Y136" s="4"/>
      <c r="Z136" s="4"/>
    </row>
    <row r="137" spans="1:26" ht="22.5" customHeight="1" x14ac:dyDescent="0.25">
      <c r="A137" s="2"/>
      <c r="B137" s="2"/>
      <c r="C137" s="2"/>
      <c r="D137" s="2"/>
      <c r="E137" s="2"/>
      <c r="F137" s="4"/>
      <c r="G137" s="4"/>
      <c r="H137" s="4" t="s">
        <v>126</v>
      </c>
      <c r="I137" s="4" t="str">
        <f ca="1">IFERROR(__xludf.DUMMYFUNCTION("GOOGLETRANSLATE(B137,""en"",""ar"")"),"المادة الشبيهة بالخيط المتدلية من فم الثور الأيمن هي...")</f>
        <v>المادة الشبيهة بالخيط المتدلية من فم الثور الأيمن هي...</v>
      </c>
      <c r="J137" s="4" t="str">
        <f ca="1">IFERROR(__xludf.DUMMYFUNCTION("GOOGLETRANSLATE(C137,""en"",""ar"")"),"أ) قطعة من الحبل، ب) العشب الذي كان يأكله للتو، ج) اللعاب، د) شرابة زينة")</f>
        <v>أ) قطعة من الحبل، ب) العشب الذي كان يأكله للتو، ج) اللعاب، د) شرابة زينة</v>
      </c>
      <c r="K137" s="4" t="str">
        <f ca="1">IFERROR(__xludf.DUMMYFUNCTION("GOOGLETRANSLATE(D137,""en"",""ar"")"),"ج) اللعاب أو سيلان اللعاب")</f>
        <v>ج) اللعاب أو سيلان اللعاب</v>
      </c>
      <c r="L137" s="4" t="str">
        <f ca="1">IFERROR(__xludf.DUMMYFUNCTION("GOOGLETRANSLATE(D137,""en"",""ar"")"),"ج) اللعاب أو سيلان اللعاب")</f>
        <v>ج) اللعاب أو سيلان اللعاب</v>
      </c>
      <c r="M137" s="4"/>
      <c r="N137" s="4"/>
      <c r="O137" s="4"/>
      <c r="P137" s="4"/>
      <c r="Q137" s="4"/>
      <c r="R137" s="4"/>
      <c r="S137" s="4"/>
      <c r="T137" s="4"/>
      <c r="U137" s="4"/>
      <c r="V137" s="4"/>
      <c r="W137" s="4"/>
      <c r="X137" s="4"/>
      <c r="Y137" s="4"/>
      <c r="Z137" s="4"/>
    </row>
    <row r="138" spans="1:26" ht="22.5" customHeight="1" x14ac:dyDescent="0.25">
      <c r="A138" s="2"/>
      <c r="B138" s="2"/>
      <c r="C138" s="2"/>
      <c r="D138" s="2"/>
      <c r="E138" s="2"/>
      <c r="F138" s="4"/>
      <c r="G138" s="4"/>
      <c r="H138" s="4" t="s">
        <v>126</v>
      </c>
      <c r="I138" s="4" t="str">
        <f ca="1">IFERROR(__xludf.DUMMYFUNCTION("GOOGLETRANSLATE(B138,""en"",""ar"")"),"هذه المواجهة اختبار لـ...")</f>
        <v>هذه المواجهة اختبار لـ...</v>
      </c>
      <c r="J138" s="4" t="str">
        <f ca="1">IFERROR(__xludf.DUMMYFUNCTION("GOOGLETRANSLATE(C138,""en"",""ar"")"),"أ) السرعة لمسافات طويلة، ب) الرشاقة والمرونة، ج) القوة البدنية المطلقة والهيمنة، د) الصداقة بين الثورين")</f>
        <v>أ) السرعة لمسافات طويلة، ب) الرشاقة والمرونة، ج) القوة البدنية المطلقة والهيمنة، د) الصداقة بين الثورين</v>
      </c>
      <c r="K138" s="4" t="str">
        <f ca="1">IFERROR(__xludf.DUMMYFUNCTION("GOOGLETRANSLATE(D138,""en"",""ar"")"),"ج) القوة البدنية الخالصة والهيمنة")</f>
        <v>ج) القوة البدنية الخالصة والهيمنة</v>
      </c>
      <c r="L138" s="4" t="str">
        <f ca="1">IFERROR(__xludf.DUMMYFUNCTION("GOOGLETRANSLATE(D138,""en"",""ar"")"),"ج) القوة البدنية الخالصة والهيمنة")</f>
        <v>ج) القوة البدنية الخالصة والهيمنة</v>
      </c>
      <c r="M138" s="4"/>
      <c r="N138" s="4"/>
      <c r="O138" s="4"/>
      <c r="P138" s="4"/>
      <c r="Q138" s="4"/>
      <c r="R138" s="4"/>
      <c r="S138" s="4"/>
      <c r="T138" s="4"/>
      <c r="U138" s="4"/>
      <c r="V138" s="4"/>
      <c r="W138" s="4"/>
      <c r="X138" s="4"/>
      <c r="Y138" s="4"/>
      <c r="Z138" s="4"/>
    </row>
    <row r="139" spans="1:26" ht="22.5" customHeight="1" x14ac:dyDescent="0.25">
      <c r="A139" s="2"/>
      <c r="B139" s="2"/>
      <c r="C139" s="2"/>
      <c r="D139" s="2"/>
      <c r="E139" s="2"/>
      <c r="F139" s="4"/>
      <c r="G139" s="4"/>
      <c r="H139" s="4" t="s">
        <v>126</v>
      </c>
      <c r="I139" s="4" t="str">
        <f ca="1">IFERROR(__xludf.DUMMYFUNCTION("GOOGLETRANSLATE(B139,""en"",""ar"")"),"تم وضع قرون الثور الأيسر...")</f>
        <v>تم وضع قرون الثور الأيسر...</v>
      </c>
      <c r="J139" s="4" t="str">
        <f ca="1">IFERROR(__xludf.DUMMYFUNCTION("GOOGLETRANSLATE(C139,""en"",""ar"")"),"أ) بعيدًا عن الثور الآخر بأمان، ب) لدفع الثور الآخر برفق، ج) بالقرب من عين الثور الآخر ووجهه بشكل خطير، د) تم إبعادهم")</f>
        <v>أ) بعيدًا عن الثور الآخر بأمان، ب) لدفع الثور الآخر برفق، ج) بالقرب من عين الثور الآخر ووجهه بشكل خطير، د) تم إبعادهم</v>
      </c>
      <c r="K139" s="4" t="str">
        <f ca="1">IFERROR(__xludf.DUMMYFUNCTION("GOOGLETRANSLATE(D139,""en"",""ar"")"),"ج) قريب بشكل خطير من هدف الهدف الآخر ووجهه")</f>
        <v>ج) قريب بشكل خطير من هدف الهدف الآخر ووجهه</v>
      </c>
      <c r="L139" s="4" t="str">
        <f ca="1">IFERROR(__xludf.DUMMYFUNCTION("GOOGLETRANSLATE(D139,""en"",""ar"")"),"ج) قريب بشكل خطير من هدف الهدف الآخر ووجهه")</f>
        <v>ج) قريب بشكل خطير من هدف الهدف الآخر ووجهه</v>
      </c>
      <c r="M139" s="4"/>
      <c r="N139" s="4"/>
      <c r="O139" s="4"/>
      <c r="P139" s="4"/>
      <c r="Q139" s="4"/>
      <c r="R139" s="4"/>
      <c r="S139" s="4"/>
      <c r="T139" s="4"/>
      <c r="U139" s="4"/>
      <c r="V139" s="4"/>
      <c r="W139" s="4"/>
      <c r="X139" s="4"/>
      <c r="Y139" s="4"/>
      <c r="Z139" s="4"/>
    </row>
    <row r="140" spans="1:26" ht="22.5" customHeight="1" x14ac:dyDescent="0.25">
      <c r="A140" s="2"/>
      <c r="B140" s="2"/>
      <c r="C140" s="2"/>
      <c r="D140" s="2"/>
      <c r="E140" s="2"/>
      <c r="F140" s="4"/>
      <c r="G140" s="4"/>
      <c r="H140" s="4" t="s">
        <v>126</v>
      </c>
      <c r="I140" s="4" t="str">
        <f ca="1">IFERROR(__xludf.DUMMYFUNCTION("GOOGLETRANSLATE(B140,""en"",""ar"")"),"يبدو أن الأرض عبارة عن ساحة ترابية أو رملية، وهو أمر مفيد لأنه...")</f>
        <v>يبدو أن الأرض عبارة عن ساحة ترابية أو رملية، وهو أمر مفيد لأنه...</v>
      </c>
      <c r="J140" s="4" t="str">
        <f ca="1">IFERROR(__xludf.DUMMYFUNCTION("GOOGLETRANSLATE(C140,""en"",""ar"")"),"أ) يسهل تنظيفه، ب) يوفر ثباتًا أفضل وسطح هبوط أكثر نعومة، ج) هو السطح الوحيد الذي يمكن للثيران المشي عليه، د) يبدو جيدًا على شاشة التلفزيون")</f>
        <v>أ) يسهل تنظيفه، ب) يوفر ثباتًا أفضل وسطح هبوط أكثر نعومة، ج) هو السطح الوحيد الذي يمكن للثيران المشي عليه، د) يبدو جيدًا على شاشة التلفزيون</v>
      </c>
      <c r="K140" s="4" t="str">
        <f ca="1">IFERROR(__xludf.DUMMYFUNCTION("GOOGLETRANSLATE(D140,""en"",""ar"")"),"ب) يوفر ثباتًا أفضل وسطح هبوط أكثر نعومة")</f>
        <v>ب) يوفر ثباتًا أفضل وسطح هبوط أكثر نعومة</v>
      </c>
      <c r="L140" s="4" t="str">
        <f ca="1">IFERROR(__xludf.DUMMYFUNCTION("GOOGLETRANSLATE(D140,""en"",""ar"")"),"ب) يوفر ثباتًا أفضل وسطح هبوط أكثر نعومة")</f>
        <v>ب) يوفر ثباتًا أفضل وسطح هبوط أكثر نعومة</v>
      </c>
      <c r="M140" s="4"/>
      <c r="N140" s="4"/>
      <c r="O140" s="4"/>
      <c r="P140" s="4"/>
      <c r="Q140" s="4"/>
      <c r="R140" s="4"/>
      <c r="S140" s="4"/>
      <c r="T140" s="4"/>
      <c r="U140" s="4"/>
      <c r="V140" s="4"/>
      <c r="W140" s="4"/>
      <c r="X140" s="4"/>
      <c r="Y140" s="4"/>
      <c r="Z140" s="4"/>
    </row>
    <row r="141" spans="1:26" ht="22.5" customHeight="1" x14ac:dyDescent="0.25">
      <c r="A141" s="2"/>
      <c r="B141" s="2"/>
      <c r="C141" s="2"/>
      <c r="D141" s="2"/>
      <c r="E141" s="2"/>
      <c r="F141" s="4"/>
      <c r="G141" s="4"/>
      <c r="H141" s="4" t="s">
        <v>126</v>
      </c>
      <c r="I141" s="4" t="str">
        <f ca="1">IFERROR(__xludf.DUMMYFUNCTION("GOOGLETRANSLATE(B141,""en"",""ar"")"),"تم اقتصاص الصورة بشكل ضيق للتأكيد على...")</f>
        <v>تم اقتصاص الصورة بشكل ضيق للتأكيد على...</v>
      </c>
      <c r="J141" s="4" t="str">
        <f ca="1">IFERROR(__xludf.DUMMYFUNCTION("GOOGLETRANSLATE(C141,""en"",""ar"")"),"أ) الحشد الكبير الذي يشاهد، ب) الموقع الخلاب، ج) القوة الهائلة والعاطفة الجياشة في النزال، د) دور الحكم")</f>
        <v>أ) الحشد الكبير الذي يشاهد، ب) الموقع الخلاب، ج) القوة الهائلة والعاطفة الجياشة في النزال، د) دور الحكم</v>
      </c>
      <c r="K141" s="4" t="str">
        <f ca="1">IFERROR(__xludf.DUMMYFUNCTION("GOOGLETRANSLATE(D141,""en"",""ar"")"),"ج) القوة الخام والعاطفة الجياشة في القتال")</f>
        <v>ج) القوة الخام والعاطفة الجياشة في القتال</v>
      </c>
      <c r="L141" s="4" t="str">
        <f ca="1">IFERROR(__xludf.DUMMYFUNCTION("GOOGLETRANSLATE(D141,""en"",""ar"")"),"ج) القوة الخام والعاطفة الجياشة في القتال")</f>
        <v>ج) القوة الخام والعاطفة الجياشة في القتال</v>
      </c>
      <c r="M141" s="4"/>
      <c r="N141" s="4"/>
      <c r="O141" s="4"/>
      <c r="P141" s="4"/>
      <c r="Q141" s="4"/>
      <c r="R141" s="4"/>
      <c r="S141" s="4"/>
      <c r="T141" s="4"/>
      <c r="U141" s="4"/>
      <c r="V141" s="4"/>
      <c r="W141" s="4"/>
      <c r="X141" s="4"/>
      <c r="Y141" s="4"/>
      <c r="Z141" s="4"/>
    </row>
    <row r="142" spans="1:26" ht="22.5" customHeight="1" x14ac:dyDescent="0.25">
      <c r="A142" s="2"/>
      <c r="B142" s="2"/>
      <c r="C142" s="2"/>
      <c r="D142" s="2"/>
      <c r="E142" s="2"/>
      <c r="F142" s="4"/>
      <c r="G142" s="4"/>
      <c r="H142" s="4" t="s">
        <v>127</v>
      </c>
      <c r="I142" s="4" t="str">
        <f ca="1">IFERROR(__xludf.DUMMYFUNCTION("GOOGLETRANSLATE(B142,""en"",""ar"")"),"ما هو الموضوع الرئيسي لهذه الصورة؟")</f>
        <v>ما هو الموضوع الرئيسي لهذه الصورة؟</v>
      </c>
      <c r="J142" s="4" t="str">
        <f ca="1">IFERROR(__xludf.DUMMYFUNCTION("GOOGLETRANSLATE(C142,""en"",""ar"")"),"أ) قطيع من الأبقار يتقاتل، ب) لقطة مقرّبة لوجه بقرة، وخاصة أنفها، ج) مزارع يطعم ماشيته، د) مزاد للماشية")</f>
        <v>أ) قطيع من الأبقار يتقاتل، ب) لقطة مقرّبة لوجه بقرة، وخاصة أنفها، ج) مزارع يطعم ماشيته، د) مزاد للماشية</v>
      </c>
      <c r="K142" s="4" t="str">
        <f ca="1">IFERROR(__xludf.DUMMYFUNCTION("GOOGLETRANSLATE(D142,""en"",""ar"")"),"ب) صورة مقرّبة لوجه بقرة، وخاصة أنفها")</f>
        <v>ب) صورة مقرّبة لوجه بقرة، وخاصة أنفها</v>
      </c>
      <c r="L142" s="4" t="str">
        <f ca="1">IFERROR(__xludf.DUMMYFUNCTION("GOOGLETRANSLATE(D142,""en"",""ar"")"),"ب) صورة مقرّبة لوجه بقرة، وخاصة أنفها")</f>
        <v>ب) صورة مقرّبة لوجه بقرة، وخاصة أنفها</v>
      </c>
      <c r="M142" s="4"/>
      <c r="N142" s="4"/>
      <c r="O142" s="4"/>
      <c r="P142" s="4"/>
      <c r="Q142" s="4"/>
      <c r="R142" s="4"/>
      <c r="S142" s="4"/>
      <c r="T142" s="4"/>
      <c r="U142" s="4"/>
      <c r="V142" s="4"/>
      <c r="W142" s="4"/>
      <c r="X142" s="4"/>
      <c r="Y142" s="4"/>
      <c r="Z142" s="4"/>
    </row>
    <row r="143" spans="1:26" ht="22.5" customHeight="1" x14ac:dyDescent="0.25">
      <c r="A143" s="2"/>
      <c r="B143" s="2"/>
      <c r="C143" s="2"/>
      <c r="D143" s="2"/>
      <c r="E143" s="2"/>
      <c r="F143" s="4"/>
      <c r="G143" s="4"/>
      <c r="H143" s="4" t="s">
        <v>127</v>
      </c>
      <c r="I143" s="4" t="str">
        <f ca="1">IFERROR(__xludf.DUMMYFUNCTION("GOOGLETRANSLATE(B143,""en"",""ar"")"),"ما هو نوع هذه البقرة؟")</f>
        <v>ما هو نوع هذه البقرة؟</v>
      </c>
      <c r="J143" s="4" t="str">
        <f ca="1">IFERROR(__xludf.DUMMYFUNCTION("GOOGLETRANSLATE(C143,""en"",""ar"")"),"أ) تكساس لونغهورن، ب) هيرفورد، ج) هولشتاين فريزيان، د) أبقار المرتفعات")</f>
        <v>أ) تكساس لونغهورن، ب) هيرفورد، ج) هولشتاين فريزيان، د) أبقار المرتفعات</v>
      </c>
      <c r="K143" s="4" t="str">
        <f ca="1">IFERROR(__xludf.DUMMYFUNCTION("GOOGLETRANSLATE(D143,""en"",""ar"")"),"ج) هولشتاين فريزيان")</f>
        <v>ج) هولشتاين فريزيان</v>
      </c>
      <c r="L143" s="4" t="str">
        <f ca="1">IFERROR(__xludf.DUMMYFUNCTION("GOOGLETRANSLATE(D143,""en"",""ar"")"),"ج) هولشتاين فريزيان")</f>
        <v>ج) هولشتاين فريزيان</v>
      </c>
      <c r="M143" s="4"/>
      <c r="N143" s="4"/>
      <c r="O143" s="4"/>
      <c r="P143" s="4"/>
      <c r="Q143" s="4"/>
      <c r="R143" s="4"/>
      <c r="S143" s="4"/>
      <c r="T143" s="4"/>
      <c r="U143" s="4"/>
      <c r="V143" s="4"/>
      <c r="W143" s="4"/>
      <c r="X143" s="4"/>
      <c r="Y143" s="4"/>
      <c r="Z143" s="4"/>
    </row>
    <row r="144" spans="1:26" ht="22.5" customHeight="1" x14ac:dyDescent="0.25">
      <c r="A144" s="2"/>
      <c r="B144" s="2"/>
      <c r="C144" s="2"/>
      <c r="D144" s="2"/>
      <c r="E144" s="2"/>
      <c r="F144" s="4"/>
      <c r="G144" s="4"/>
      <c r="H144" s="4" t="s">
        <v>127</v>
      </c>
      <c r="I144" s="4" t="str">
        <f ca="1">IFERROR(__xludf.DUMMYFUNCTION("GOOGLETRANSLATE(B144,""en"",""ar"")"),"هل هذه البقرة منخرطة في شجار؟")</f>
        <v>هل هذه البقرة منخرطة في شجار؟</v>
      </c>
      <c r="J144" s="4" t="str">
        <f ca="1">IFERROR(__xludf.DUMMYFUNCTION("GOOGLETRANSLATE(C144,""en"",""ar"")"),"أ) نعم، إنها تتشاجر بشراسة مع بقرة أخرى، ب) لا، تبدو هادئة ومن المرجح أنها في حظيرة أو مكان مخصص للرعي، ج) من المستحيل تحديد ذلك، د) نعم، إنها على وشك مهاجمة المصور")</f>
        <v>أ) نعم، إنها تتشاجر بشراسة مع بقرة أخرى، ب) لا، تبدو هادئة ومن المرجح أنها في حظيرة أو مكان مخصص للرعي، ج) من المستحيل تحديد ذلك، د) نعم، إنها على وشك مهاجمة المصور</v>
      </c>
      <c r="K144" s="4" t="str">
        <f ca="1">IFERROR(__xludf.DUMMYFUNCTION("GOOGLETRANSLATE(D144,""en"",""ar"")"),"ب) لا، يبدو هادئًا ومن المرجح أنه في حظيرة أو قفص")</f>
        <v>ب) لا، يبدو هادئًا ومن المرجح أنه في حظيرة أو قفص</v>
      </c>
      <c r="L144" s="4" t="str">
        <f ca="1">IFERROR(__xludf.DUMMYFUNCTION("GOOGLETRANSLATE(D144,""en"",""ar"")"),"ب) لا، يبدو هادئًا ومن المرجح أنه في حظيرة أو قفص")</f>
        <v>ب) لا، يبدو هادئًا ومن المرجح أنه في حظيرة أو قفص</v>
      </c>
      <c r="M144" s="4"/>
      <c r="N144" s="4"/>
      <c r="O144" s="4"/>
      <c r="P144" s="4"/>
      <c r="Q144" s="4"/>
      <c r="R144" s="4"/>
      <c r="S144" s="4"/>
      <c r="T144" s="4"/>
      <c r="U144" s="4"/>
      <c r="V144" s="4"/>
      <c r="W144" s="4"/>
      <c r="X144" s="4"/>
      <c r="Y144" s="4"/>
      <c r="Z144" s="4"/>
    </row>
    <row r="145" spans="1:26" ht="22.5" customHeight="1" x14ac:dyDescent="0.25">
      <c r="A145" s="2"/>
      <c r="B145" s="2"/>
      <c r="C145" s="2"/>
      <c r="D145" s="2"/>
      <c r="E145" s="2"/>
      <c r="F145" s="4"/>
      <c r="G145" s="4"/>
      <c r="H145" s="4" t="s">
        <v>127</v>
      </c>
      <c r="I145" s="4" t="str">
        <f ca="1">IFERROR(__xludf.DUMMYFUNCTION("GOOGLETRANSLATE(B145,""en"",""ar"")"),"ما هو ملمس أنف البقرة، كما يظهر في هذه الصورة المقربة؟")</f>
        <v>ما هو ملمس أنف البقرة، كما يظهر في هذه الصورة المقربة؟</v>
      </c>
      <c r="J145" s="4" t="str">
        <f ca="1">IFERROR(__xludf.DUMMYFUNCTION("GOOGLETRANSLATE(C145,""en"",""ar"")"),"أ) ناعم وجاف، ب) مغطى بالفرو، ج) خشن وجلدي، وغالبًا ما يكون رطبًا، د) متقشر مثل الزواحف")</f>
        <v>أ) ناعم وجاف، ب) مغطى بالفرو، ج) خشن وجلدي، وغالبًا ما يكون رطبًا، د) متقشر مثل الزواحف</v>
      </c>
      <c r="K145" s="4" t="str">
        <f ca="1">IFERROR(__xludf.DUMMYFUNCTION("GOOGLETRANSLATE(D145,""en"",""ar"")"),"ج) خشن وجلدي، وغالبًا ما يكون رطبًا")</f>
        <v>ج) خشن وجلدي، وغالبًا ما يكون رطبًا</v>
      </c>
      <c r="L145" s="4" t="str">
        <f ca="1">IFERROR(__xludf.DUMMYFUNCTION("GOOGLETRANSLATE(D145,""en"",""ar"")"),"ج) خشن وجلدي، وغالبًا ما يكون رطبًا")</f>
        <v>ج) خشن وجلدي، وغالبًا ما يكون رطبًا</v>
      </c>
      <c r="M145" s="4"/>
      <c r="N145" s="4"/>
      <c r="O145" s="4"/>
      <c r="P145" s="4"/>
      <c r="Q145" s="4"/>
      <c r="R145" s="4"/>
      <c r="S145" s="4"/>
      <c r="T145" s="4"/>
      <c r="U145" s="4"/>
      <c r="V145" s="4"/>
      <c r="W145" s="4"/>
      <c r="X145" s="4"/>
      <c r="Y145" s="4"/>
      <c r="Z145" s="4"/>
    </row>
    <row r="146" spans="1:26" ht="22.5" customHeight="1" x14ac:dyDescent="0.25">
      <c r="A146" s="2"/>
      <c r="B146" s="2"/>
      <c r="C146" s="2"/>
      <c r="D146" s="2"/>
      <c r="E146" s="2"/>
      <c r="F146" s="4"/>
      <c r="G146" s="4"/>
      <c r="H146" s="4" t="s">
        <v>127</v>
      </c>
      <c r="I146" s="4" t="str">
        <f ca="1">IFERROR(__xludf.DUMMYFUNCTION("GOOGLETRANSLATE(B146,""en"",""ar"")"),"ما هو القضيب المعدني الموجود في المقدمة؟")</f>
        <v>ما هو القضيب المعدني الموجود في المقدمة؟</v>
      </c>
      <c r="J146" s="4" t="str">
        <f ca="1">IFERROR(__xludf.DUMMYFUNCTION("GOOGLETRANSLATE(C146,""en"",""ar"")"),"أ) سياج أو حاجز، ب) جزء من معلف، ج) بوابة، د) أي مما سبق")</f>
        <v>أ) سياج أو حاجز، ب) جزء من معلف، ج) بوابة، د) أي مما سبق</v>
      </c>
      <c r="K146" s="4" t="str">
        <f ca="1">IFERROR(__xludf.DUMMYFUNCTION("GOOGLETRANSLATE(D146,""en"",""ar"")"),"د) أي مما سبق")</f>
        <v>د) أي مما سبق</v>
      </c>
      <c r="L146" s="4" t="str">
        <f ca="1">IFERROR(__xludf.DUMMYFUNCTION("GOOGLETRANSLATE(D146,""en"",""ar"")"),"د) أي مما سبق")</f>
        <v>د) أي مما سبق</v>
      </c>
      <c r="M146" s="4"/>
      <c r="N146" s="4"/>
      <c r="O146" s="4"/>
      <c r="P146" s="4"/>
      <c r="Q146" s="4"/>
      <c r="R146" s="4"/>
      <c r="S146" s="4"/>
      <c r="T146" s="4"/>
      <c r="U146" s="4"/>
      <c r="V146" s="4"/>
      <c r="W146" s="4"/>
      <c r="X146" s="4"/>
      <c r="Y146" s="4"/>
      <c r="Z146" s="4"/>
    </row>
    <row r="147" spans="1:26" ht="22.5" customHeight="1" x14ac:dyDescent="0.25">
      <c r="A147" s="2"/>
      <c r="B147" s="2"/>
      <c r="C147" s="2"/>
      <c r="D147" s="2"/>
      <c r="E147" s="2"/>
      <c r="F147" s="4"/>
      <c r="G147" s="4"/>
      <c r="H147" s="4" t="s">
        <v>127</v>
      </c>
      <c r="I147" s="4" t="str">
        <f ca="1">IFERROR(__xludf.DUMMYFUNCTION("GOOGLETRANSLATE(B147,""en"",""ar"")"),"ما هو الغرض من سلالة هولشتاين؟")</f>
        <v>ما هو الغرض من سلالة هولشتاين؟</v>
      </c>
      <c r="J147" s="4" t="str">
        <f ca="1">IFERROR(__xludf.DUMMYFUNCTION("GOOGLETRANSLATE(C147,""en"",""ar"")"),"أ) يتم تربيتها للقتال، ب) تُستخدم في المقام الأول لإنتاج اللحوم، ج) يتم تربيتها لإنتاج كميات كبيرة من الحليب، د) يتم الاحتفاظ بها كحيوانات أليفة")</f>
        <v>أ) يتم تربيتها للقتال، ب) تُستخدم في المقام الأول لإنتاج اللحوم، ج) يتم تربيتها لإنتاج كميات كبيرة من الحليب، د) يتم الاحتفاظ بها كحيوانات أليفة</v>
      </c>
      <c r="K147" s="4" t="str">
        <f ca="1">IFERROR(__xludf.DUMMYFUNCTION("GOOGLETRANSLATE(D147,""en"",""ar"")"),"ج) يتم تربيتها لإنتاج كميات كبيرة من الحليب")</f>
        <v>ج) يتم تربيتها لإنتاج كميات كبيرة من الحليب</v>
      </c>
      <c r="L147" s="4" t="str">
        <f ca="1">IFERROR(__xludf.DUMMYFUNCTION("GOOGLETRANSLATE(D147,""en"",""ar"")"),"ج) يتم تربيتها لإنتاج كميات كبيرة من الحليب")</f>
        <v>ج) يتم تربيتها لإنتاج كميات كبيرة من الحليب</v>
      </c>
      <c r="M147" s="4"/>
      <c r="N147" s="4"/>
      <c r="O147" s="4"/>
      <c r="P147" s="4"/>
      <c r="Q147" s="4"/>
      <c r="R147" s="4"/>
      <c r="S147" s="4"/>
      <c r="T147" s="4"/>
      <c r="U147" s="4"/>
      <c r="V147" s="4"/>
      <c r="W147" s="4"/>
      <c r="X147" s="4"/>
      <c r="Y147" s="4"/>
      <c r="Z147" s="4"/>
    </row>
    <row r="148" spans="1:26" ht="22.5" customHeight="1" x14ac:dyDescent="0.25">
      <c r="A148" s="2"/>
      <c r="B148" s="2"/>
      <c r="C148" s="2"/>
      <c r="D148" s="2"/>
      <c r="E148" s="2"/>
      <c r="F148" s="4"/>
      <c r="G148" s="4"/>
      <c r="H148" s="4" t="s">
        <v>127</v>
      </c>
      <c r="I148" s="4" t="str">
        <f ca="1">IFERROR(__xludf.DUMMYFUNCTION("GOOGLETRANSLATE(B148,""en"",""ar"")"),"ما هي الحالة العاطفية أو الحالة التي من المحتمل أن تكون عليها البقرة؟")</f>
        <v>ما هي الحالة العاطفية أو الحالة التي من المحتمل أن تكون عليها البقرة؟</v>
      </c>
      <c r="J148" s="4" t="str">
        <f ca="1">IFERROR(__xludf.DUMMYFUNCTION("GOOGLETRANSLATE(C148,""en"",""ar"")"),"أ) عدواني، ب) خائف، ج) فضولي أو هادئ، د) نائم")</f>
        <v>أ) عدواني، ب) خائف، ج) فضولي أو هادئ، د) نائم</v>
      </c>
      <c r="K148" s="4" t="str">
        <f ca="1">IFERROR(__xludf.DUMMYFUNCTION("GOOGLETRANSLATE(D148,""en"",""ar"")"),"ج) فضولي أو هادئ")</f>
        <v>ج) فضولي أو هادئ</v>
      </c>
      <c r="L148" s="4" t="str">
        <f ca="1">IFERROR(__xludf.DUMMYFUNCTION("GOOGLETRANSLATE(D148,""en"",""ar"")"),"ج) فضولي أو هادئ")</f>
        <v>ج) فضولي أو هادئ</v>
      </c>
      <c r="M148" s="4"/>
      <c r="N148" s="4"/>
      <c r="O148" s="4"/>
      <c r="P148" s="4"/>
      <c r="Q148" s="4"/>
      <c r="R148" s="4"/>
      <c r="S148" s="4"/>
      <c r="T148" s="4"/>
      <c r="U148" s="4"/>
      <c r="V148" s="4"/>
      <c r="W148" s="4"/>
      <c r="X148" s="4"/>
      <c r="Y148" s="4"/>
      <c r="Z148" s="4"/>
    </row>
    <row r="149" spans="1:26" ht="22.5" customHeight="1" x14ac:dyDescent="0.25">
      <c r="A149" s="2"/>
      <c r="B149" s="2"/>
      <c r="C149" s="2"/>
      <c r="D149" s="2"/>
      <c r="E149" s="2"/>
      <c r="F149" s="4"/>
      <c r="G149" s="4"/>
      <c r="H149" s="4" t="s">
        <v>127</v>
      </c>
      <c r="I149" s="4" t="str">
        <f ca="1">IFERROR(__xludf.DUMMYFUNCTION("GOOGLETRANSLATE(B149,""en"",""ar"")"),"تتناقض هذه الصورة مع صور القتال لأنها تُظهر...")</f>
        <v>تتناقض هذه الصورة مع صور القتال لأنها تُظهر...</v>
      </c>
      <c r="J149" s="4" t="str">
        <f ca="1">IFERROR(__xludf.DUMMYFUNCTION("GOOGLETRANSLATE(C149,""en"",""ar"")"),"أ) الجانب العدواني للماشية، ب) الطبيعة الأليفة والوديعة لحيوانات المزرعة، ج) نوع نادر ومهدد بالانقراض، د) حيوان في البرية")</f>
        <v>أ) الجانب العدواني للماشية، ب) الطبيعة الأليفة والوديعة لحيوانات المزرعة، ج) نوع نادر ومهدد بالانقراض، د) حيوان في البرية</v>
      </c>
      <c r="K149" s="4" t="str">
        <f ca="1">IFERROR(__xludf.DUMMYFUNCTION("GOOGLETRANSLATE(D149,""en"",""ar"")"),"ب) الطبيعة الأليفة والوديعة لحيوانات المزرعة")</f>
        <v>ب) الطبيعة الأليفة والوديعة لحيوانات المزرعة</v>
      </c>
      <c r="L149" s="4" t="str">
        <f ca="1">IFERROR(__xludf.DUMMYFUNCTION("GOOGLETRANSLATE(D149,""en"",""ar"")"),"ب) الطبيعة الأليفة والوديعة لحيوانات المزرعة")</f>
        <v>ب) الطبيعة الأليفة والوديعة لحيوانات المزرعة</v>
      </c>
      <c r="M149" s="4"/>
      <c r="N149" s="4"/>
      <c r="O149" s="4"/>
      <c r="P149" s="4"/>
      <c r="Q149" s="4"/>
      <c r="R149" s="4"/>
      <c r="S149" s="4"/>
      <c r="T149" s="4"/>
      <c r="U149" s="4"/>
      <c r="V149" s="4"/>
      <c r="W149" s="4"/>
      <c r="X149" s="4"/>
      <c r="Y149" s="4"/>
      <c r="Z149" s="4"/>
    </row>
    <row r="150" spans="1:26" ht="22.5" customHeight="1" x14ac:dyDescent="0.25">
      <c r="A150" s="2"/>
      <c r="B150" s="2"/>
      <c r="C150" s="2"/>
      <c r="D150" s="2"/>
      <c r="E150" s="2"/>
      <c r="F150" s="4"/>
      <c r="G150" s="4"/>
      <c r="H150" s="4" t="s">
        <v>127</v>
      </c>
      <c r="I150" s="4" t="str">
        <f ca="1">IFERROR(__xludf.DUMMYFUNCTION("GOOGLETRANSLATE(B150,""en"",""ar"")"),"النمط المنقط باللونين الأسود والوردي على أنف البقرة هو...")</f>
        <v>النمط المنقط باللونين الأسود والوردي على أنف البقرة هو...</v>
      </c>
      <c r="J150" s="4" t="str">
        <f ca="1">IFERROR(__xludf.DUMMYFUNCTION("GOOGLETRANSLATE(C150,""en"",""ar"")"),"أ) علامة على المرض، ب) صبغة طبيعية فريدة لكل بقرة، ج) طلاء يضعه المزارع، د) أوساخ")</f>
        <v>أ) علامة على المرض، ب) صبغة طبيعية فريدة لكل بقرة، ج) طلاء يضعه المزارع، د) أوساخ</v>
      </c>
      <c r="K150" s="4" t="str">
        <f ca="1">IFERROR(__xludf.DUMMYFUNCTION("GOOGLETRANSLATE(D150,""en"",""ar"")"),"ب) صبغة طبيعية فريدة لكل بقرة")</f>
        <v>ب) صبغة طبيعية فريدة لكل بقرة</v>
      </c>
      <c r="L150" s="4" t="str">
        <f ca="1">IFERROR(__xludf.DUMMYFUNCTION("GOOGLETRANSLATE(D150,""en"",""ar"")"),"ب) صبغة طبيعية فريدة لكل بقرة")</f>
        <v>ب) صبغة طبيعية فريدة لكل بقرة</v>
      </c>
      <c r="M150" s="4"/>
      <c r="N150" s="4"/>
      <c r="O150" s="4"/>
      <c r="P150" s="4"/>
      <c r="Q150" s="4"/>
      <c r="R150" s="4"/>
      <c r="S150" s="4"/>
      <c r="T150" s="4"/>
      <c r="U150" s="4"/>
      <c r="V150" s="4"/>
      <c r="W150" s="4"/>
      <c r="X150" s="4"/>
      <c r="Y150" s="4"/>
      <c r="Z150" s="4"/>
    </row>
    <row r="151" spans="1:26" ht="22.5" customHeight="1" x14ac:dyDescent="0.25">
      <c r="A151" s="2"/>
      <c r="B151" s="2"/>
      <c r="C151" s="2"/>
      <c r="D151" s="2"/>
      <c r="E151" s="2"/>
      <c r="F151" s="4"/>
      <c r="G151" s="4"/>
      <c r="H151" s="4" t="s">
        <v>127</v>
      </c>
      <c r="I151" s="4" t="str">
        <f ca="1">IFERROR(__xludf.DUMMYFUNCTION("GOOGLETRANSLATE(B151,""en"",""ar"")"),"ما هي الأشكال الضبابية في الخلفية؟")</f>
        <v>ما هي الأشكال الضبابية في الخلفية؟</v>
      </c>
      <c r="J151" s="4" t="str">
        <f ca="1">IFERROR(__xludf.DUMMYFUNCTION("GOOGLETRANSLATE(C151,""en"",""ar"")"),"أ) أشجار في مرعى، ب) أبقار أخرى في الحظيرة، ج) حشد من المتفرجين، د) جدارية مرسومة")</f>
        <v>أ) أشجار في مرعى، ب) أبقار أخرى في الحظيرة، ج) حشد من المتفرجين، د) جدارية مرسومة</v>
      </c>
      <c r="K151" s="4" t="str">
        <f ca="1">IFERROR(__xludf.DUMMYFUNCTION("GOOGLETRANSLATE(D151,""en"",""ar"")"),"ب) الأبقار الأخرى في الحظيرة")</f>
        <v>ب) الأبقار الأخرى في الحظيرة</v>
      </c>
      <c r="L151" s="4" t="str">
        <f ca="1">IFERROR(__xludf.DUMMYFUNCTION("GOOGLETRANSLATE(D151,""en"",""ar"")"),"ب) الأبقار الأخرى في الحظيرة")</f>
        <v>ب) الأبقار الأخرى في الحظيرة</v>
      </c>
      <c r="M151" s="4"/>
      <c r="N151" s="4"/>
      <c r="O151" s="4"/>
      <c r="P151" s="4"/>
      <c r="Q151" s="4"/>
      <c r="R151" s="4"/>
      <c r="S151" s="4"/>
      <c r="T151" s="4"/>
      <c r="U151" s="4"/>
      <c r="V151" s="4"/>
      <c r="W151" s="4"/>
      <c r="X151" s="4"/>
      <c r="Y151" s="4"/>
      <c r="Z151" s="4"/>
    </row>
    <row r="152" spans="1:26" ht="22.5" customHeight="1" x14ac:dyDescent="0.25">
      <c r="A152" s="2"/>
      <c r="B152" s="2"/>
      <c r="C152" s="2"/>
      <c r="D152" s="2"/>
      <c r="E152" s="2"/>
      <c r="F152" s="4"/>
      <c r="G152" s="4"/>
      <c r="H152" s="4" t="s">
        <v>128</v>
      </c>
      <c r="I152" s="4" t="str">
        <f ca="1">IFERROR(__xludf.DUMMYFUNCTION("GOOGLETRANSLATE(B152,""en"",""ar"")"),"الحيوانات الموضحة في هذه الصورة هي...")</f>
        <v>الحيوانات الموضحة في هذه الصورة هي...</v>
      </c>
      <c r="J152" s="4" t="str">
        <f ca="1">IFERROR(__xludf.DUMMYFUNCTION("GOOGLETRANSLATE(C152,""en"",""ar"")"),"أ) أبقار الألبان، ب) العجول الصغيرة، ج) الثيران القوية والبالغة، د) الجاموس المائي")</f>
        <v>أ) أبقار الألبان، ب) العجول الصغيرة، ج) الثيران القوية والبالغة، د) الجاموس المائي</v>
      </c>
      <c r="K152" s="4" t="str">
        <f ca="1">IFERROR(__xludf.DUMMYFUNCTION("GOOGLETRANSLATE(D152,""en"",""ar"")"),"ج) ثيران قوية وناضجة")</f>
        <v>ج) ثيران قوية وناضجة</v>
      </c>
      <c r="L152" s="4" t="str">
        <f ca="1">IFERROR(__xludf.DUMMYFUNCTION("GOOGLETRANSLATE(D152,""en"",""ar"")"),"ج) ثيران قوية وناضجة")</f>
        <v>ج) ثيران قوية وناضجة</v>
      </c>
      <c r="M152" s="4"/>
      <c r="N152" s="4"/>
      <c r="O152" s="4"/>
      <c r="P152" s="4"/>
      <c r="Q152" s="4"/>
      <c r="R152" s="4"/>
      <c r="S152" s="4"/>
      <c r="T152" s="4"/>
      <c r="U152" s="4"/>
      <c r="V152" s="4"/>
      <c r="W152" s="4"/>
      <c r="X152" s="4"/>
      <c r="Y152" s="4"/>
      <c r="Z152" s="4"/>
    </row>
    <row r="153" spans="1:26" ht="22.5" customHeight="1" x14ac:dyDescent="0.25">
      <c r="A153" s="2"/>
      <c r="B153" s="2"/>
      <c r="C153" s="2"/>
      <c r="D153" s="2"/>
      <c r="E153" s="2"/>
      <c r="F153" s="4"/>
      <c r="G153" s="4"/>
      <c r="H153" s="4" t="s">
        <v>128</v>
      </c>
      <c r="I153" s="4" t="str">
        <f ca="1">IFERROR(__xludf.DUMMYFUNCTION("GOOGLETRANSLATE(B153,""en"",""ar"")"),"ماذا يفعل الثيران؟")</f>
        <v>ماذا يفعل الثيران؟</v>
      </c>
      <c r="J153" s="4" t="str">
        <f ca="1">IFERROR(__xludf.DUMMYFUNCTION("GOOGLETRANSLATE(C153,""en"",""ar"")"),"أ) الرعي جنباً إلى جنب، ب) الاستعداد للهجوم على مصارع الثيران، ج) الانخراط في قتالٍ مباشرٍ للسيطرة، د) النوم")</f>
        <v>أ) الرعي جنباً إلى جنب، ب) الاستعداد للهجوم على مصارع الثيران، ج) الانخراط في قتالٍ مباشرٍ للسيطرة، د) النوم</v>
      </c>
      <c r="K153" s="4" t="str">
        <f ca="1">IFERROR(__xludf.DUMMYFUNCTION("GOOGLETRANSLATE(D153,""en"",""ar"")"),"ج) الانخراط في قتال هيمنة مباشر")</f>
        <v>ج) الانخراط في قتال هيمنة مباشر</v>
      </c>
      <c r="L153" s="4" t="str">
        <f ca="1">IFERROR(__xludf.DUMMYFUNCTION("GOOGLETRANSLATE(D153,""en"",""ar"")"),"ج) الانخراط في قتال هيمنة مباشر")</f>
        <v>ج) الانخراط في قتال هيمنة مباشر</v>
      </c>
      <c r="M153" s="4"/>
      <c r="N153" s="4"/>
      <c r="O153" s="4"/>
      <c r="P153" s="4"/>
      <c r="Q153" s="4"/>
      <c r="R153" s="4"/>
      <c r="S153" s="4"/>
      <c r="T153" s="4"/>
      <c r="U153" s="4"/>
      <c r="V153" s="4"/>
      <c r="W153" s="4"/>
      <c r="X153" s="4"/>
      <c r="Y153" s="4"/>
      <c r="Z153" s="4"/>
    </row>
    <row r="154" spans="1:26" ht="22.5" customHeight="1" x14ac:dyDescent="0.25">
      <c r="A154" s="2"/>
      <c r="B154" s="2"/>
      <c r="C154" s="2"/>
      <c r="D154" s="2"/>
      <c r="E154" s="2"/>
      <c r="F154" s="4"/>
      <c r="G154" s="4"/>
      <c r="H154" s="4" t="s">
        <v>128</v>
      </c>
      <c r="I154" s="4" t="str">
        <f ca="1">IFERROR(__xludf.DUMMYFUNCTION("GOOGLETRANSLATE(B154,""en"",""ar"")"),"ما هو الهدف الأساسي من هذا النوع من القتال بين الثيران؟")</f>
        <v>ما هو الهدف الأساسي من هذا النوع من القتال بين الثيران؟</v>
      </c>
      <c r="J154" s="4" t="str">
        <f ca="1">IFERROR(__xludf.DUMMYFUNCTION("GOOGLETRANSLATE(C154,""en"",""ar"")"),"أ) لتحديد أيهما الأسرع، ب) لإثبات الهيمنة وحقوق التزاوج، ج) هو شكل من أشكال السلوك المرح، د) لإثارة إعجاب الجمهور البشري")</f>
        <v>أ) لتحديد أيهما الأسرع، ب) لإثبات الهيمنة وحقوق التزاوج، ج) هو شكل من أشكال السلوك المرح، د) لإثارة إعجاب الجمهور البشري</v>
      </c>
      <c r="K154" s="4" t="str">
        <f ca="1">IFERROR(__xludf.DUMMYFUNCTION("GOOGLETRANSLATE(D154,""en"",""ar"")"),"ب) لإثبات الهيمنة وحقوق التزاوج")</f>
        <v>ب) لإثبات الهيمنة وحقوق التزاوج</v>
      </c>
      <c r="L154" s="4" t="str">
        <f ca="1">IFERROR(__xludf.DUMMYFUNCTION("GOOGLETRANSLATE(D154,""en"",""ar"")"),"ب) لإثبات الهيمنة وحقوق التزاوج")</f>
        <v>ب) لإثبات الهيمنة وحقوق التزاوج</v>
      </c>
      <c r="M154" s="4"/>
      <c r="N154" s="4"/>
      <c r="O154" s="4"/>
      <c r="P154" s="4"/>
      <c r="Q154" s="4"/>
      <c r="R154" s="4"/>
      <c r="S154" s="4"/>
      <c r="T154" s="4"/>
      <c r="U154" s="4"/>
      <c r="V154" s="4"/>
      <c r="W154" s="4"/>
      <c r="X154" s="4"/>
      <c r="Y154" s="4"/>
      <c r="Z154" s="4"/>
    </row>
    <row r="155" spans="1:26" ht="22.5" customHeight="1" x14ac:dyDescent="0.25">
      <c r="A155" s="2"/>
      <c r="B155" s="2"/>
      <c r="C155" s="2"/>
      <c r="D155" s="2"/>
      <c r="E155" s="2"/>
      <c r="F155" s="4"/>
      <c r="G155" s="4"/>
      <c r="H155" s="4" t="s">
        <v>128</v>
      </c>
      <c r="I155" s="4" t="str">
        <f ca="1">IFERROR(__xludf.DUMMYFUNCTION("GOOGLETRANSLATE(B155,""en"",""ar"")"),"قرون الثور على اليسار هي...")</f>
        <v>قرون الثور على اليسار هي...</v>
      </c>
      <c r="J155" s="4" t="str">
        <f ca="1">IFERROR(__xludf.DUMMYFUNCTION("GOOGLETRANSLATE(C155,""en"",""ar"")"),"أ) صغير جدًا وبالكاد يُرى، ب) مدبب وحاد، ج) طويل وسميك وأبيض أو فاتح اللون، د) مكسور")</f>
        <v>أ) صغير جدًا وبالكاد يُرى، ب) مدبب وحاد، ج) طويل وسميك وأبيض أو فاتح اللون، د) مكسور</v>
      </c>
      <c r="K155" s="4" t="str">
        <f ca="1">IFERROR(__xludf.DUMMYFUNCTION("GOOGLETRANSLATE(D155,""en"",""ar"")"),"ج) طويلة، سميكة، وبيضاء أو فاتحة اللون")</f>
        <v>ج) طويلة، سميكة، وبيضاء أو فاتحة اللون</v>
      </c>
      <c r="L155" s="4" t="str">
        <f ca="1">IFERROR(__xludf.DUMMYFUNCTION("GOOGLETRANSLATE(D155,""en"",""ar"")"),"ج) طويلة، سميكة، وبيضاء أو فاتحة اللون")</f>
        <v>ج) طويلة، سميكة، وبيضاء أو فاتحة اللون</v>
      </c>
      <c r="M155" s="4"/>
      <c r="N155" s="4"/>
      <c r="O155" s="4"/>
      <c r="P155" s="4"/>
      <c r="Q155" s="4"/>
      <c r="R155" s="4"/>
      <c r="S155" s="4"/>
      <c r="T155" s="4"/>
      <c r="U155" s="4"/>
      <c r="V155" s="4"/>
      <c r="W155" s="4"/>
      <c r="X155" s="4"/>
      <c r="Y155" s="4"/>
      <c r="Z155" s="4"/>
    </row>
    <row r="156" spans="1:26" ht="22.5" customHeight="1" x14ac:dyDescent="0.25">
      <c r="A156" s="2"/>
      <c r="B156" s="2"/>
      <c r="C156" s="2"/>
      <c r="D156" s="2"/>
      <c r="E156" s="2"/>
      <c r="F156" s="4"/>
      <c r="G156" s="4"/>
      <c r="H156" s="4" t="s">
        <v>128</v>
      </c>
      <c r="I156" s="4" t="str">
        <f ca="1">IFERROR(__xludf.DUMMYFUNCTION("GOOGLETRANSLATE(B156,""en"",""ar"")"),"ماذا تدل عليه وضعية الثور على اليسار، برأسه المنخفض والملتوي؟")</f>
        <v>ماذا تدل عليه وضعية الثور على اليسار، برأسه المنخفض والملتوي؟</v>
      </c>
      <c r="J156" s="4" t="str">
        <f ca="1">IFERROR(__xludf.DUMMYFUNCTION("GOOGLETRANSLATE(C156,""en"",""ar"")"),"أ) إنها علامة على الاستسلام، ب) إنها تستعد للاشتباك والمواجهة مع خصمها، ج) إنها تنظر إلى شيء ما على الأرض، د) إنها متعبة وعلى وشك الاستلقاء")</f>
        <v>أ) إنها علامة على الاستسلام، ب) إنها تستعد للاشتباك والمواجهة مع خصمها، ج) إنها تنظر إلى شيء ما على الأرض، د) إنها متعبة وعلى وشك الاستلقاء</v>
      </c>
      <c r="K156" s="4" t="str">
        <f ca="1">IFERROR(__xludf.DUMMYFUNCTION("GOOGLETRANSLATE(D156,""en"",""ar"")"),"ب) إنها تستعد للاشتباك والمواجهة مع خصمها")</f>
        <v>ب) إنها تستعد للاشتباك والمواجهة مع خصمها</v>
      </c>
      <c r="L156" s="4" t="str">
        <f ca="1">IFERROR(__xludf.DUMMYFUNCTION("GOOGLETRANSLATE(D156,""en"",""ar"")"),"ب) إنها تستعد للاشتباك والمواجهة مع خصمها")</f>
        <v>ب) إنها تستعد للاشتباك والمواجهة مع خصمها</v>
      </c>
      <c r="M156" s="4"/>
      <c r="N156" s="4"/>
      <c r="O156" s="4"/>
      <c r="P156" s="4"/>
      <c r="Q156" s="4"/>
      <c r="R156" s="4"/>
      <c r="S156" s="4"/>
      <c r="T156" s="4"/>
      <c r="U156" s="4"/>
      <c r="V156" s="4"/>
      <c r="W156" s="4"/>
      <c r="X156" s="4"/>
      <c r="Y156" s="4"/>
      <c r="Z156" s="4"/>
    </row>
    <row r="157" spans="1:26" ht="22.5" customHeight="1" x14ac:dyDescent="0.25">
      <c r="A157" s="2"/>
      <c r="B157" s="2"/>
      <c r="C157" s="2"/>
      <c r="D157" s="2"/>
      <c r="E157" s="2"/>
      <c r="F157" s="4"/>
      <c r="G157" s="4"/>
      <c r="H157" s="4" t="s">
        <v>128</v>
      </c>
      <c r="I157" s="4" t="str">
        <f ca="1">IFERROR(__xludf.DUMMYFUNCTION("GOOGLETRANSLATE(B157,""en"",""ar"")"),"هذه المسابقة هي اختبار لـ...")</f>
        <v>هذه المسابقة هي اختبار لـ...</v>
      </c>
      <c r="J157" s="4" t="str">
        <f ca="1">IFERROR(__xludf.DUMMYFUNCTION("GOOGLETRANSLATE(C157,""en"",""ar"")"),"أ) خفة الحركة، ب) السرعة، ج) القوة البدنية، د) الذكاء")</f>
        <v>أ) خفة الحركة، ب) السرعة، ج) القوة البدنية، د) الذكاء</v>
      </c>
      <c r="K157" s="4" t="str">
        <f ca="1">IFERROR(__xludf.DUMMYFUNCTION("GOOGLETRANSLATE(D157,""en"",""ar"")"),"ج) القوة الخام")</f>
        <v>ج) القوة الخام</v>
      </c>
      <c r="L157" s="4" t="str">
        <f ca="1">IFERROR(__xludf.DUMMYFUNCTION("GOOGLETRANSLATE(D157,""en"",""ar"")"),"ج) القوة الخام")</f>
        <v>ج) القوة الخام</v>
      </c>
      <c r="M157" s="4"/>
      <c r="N157" s="4"/>
      <c r="O157" s="4"/>
      <c r="P157" s="4"/>
      <c r="Q157" s="4"/>
      <c r="R157" s="4"/>
      <c r="S157" s="4"/>
      <c r="T157" s="4"/>
      <c r="U157" s="4"/>
      <c r="V157" s="4"/>
      <c r="W157" s="4"/>
      <c r="X157" s="4"/>
      <c r="Y157" s="4"/>
      <c r="Z157" s="4"/>
    </row>
    <row r="158" spans="1:26" ht="22.5" customHeight="1" x14ac:dyDescent="0.25">
      <c r="A158" s="2"/>
      <c r="B158" s="2"/>
      <c r="C158" s="2"/>
      <c r="D158" s="2"/>
      <c r="E158" s="2"/>
      <c r="F158" s="4"/>
      <c r="G158" s="4"/>
      <c r="H158" s="4" t="s">
        <v>128</v>
      </c>
      <c r="I158" s="4" t="str">
        <f ca="1">IFERROR(__xludf.DUMMYFUNCTION("GOOGLETRANSLATE(B158,""en"",""ar"")"),"أين من المرجح أن تدور هذه المعركة؟")</f>
        <v>أين من المرجح أن تدور هذه المعركة؟</v>
      </c>
      <c r="J158" s="4" t="str">
        <f ca="1">IFERROR(__xludf.DUMMYFUNCTION("GOOGLETRANSLATE(C158,""en"",""ar"")"),"أ) في حظيرة داخلية صغيرة، ب) في شارع بالمدينة، ج) في ساحة أو مرعى مفتوح كبير، د) في الماء")</f>
        <v>أ) في حظيرة داخلية صغيرة، ب) في شارع بالمدينة، ج) في ساحة أو مرعى مفتوح كبير، د) في الماء</v>
      </c>
      <c r="K158" s="4" t="str">
        <f ca="1">IFERROR(__xludf.DUMMYFUNCTION("GOOGLETRANSLATE(D158,""en"",""ar"")"),"ج) في ساحة أو مرعى كبير ومفتوح")</f>
        <v>ج) في ساحة أو مرعى كبير ومفتوح</v>
      </c>
      <c r="L158" s="4" t="str">
        <f ca="1">IFERROR(__xludf.DUMMYFUNCTION("GOOGLETRANSLATE(D158,""en"",""ar"")"),"ج) في ساحة أو مرعى كبير ومفتوح")</f>
        <v>ج) في ساحة أو مرعى كبير ومفتوح</v>
      </c>
      <c r="M158" s="4"/>
      <c r="N158" s="4"/>
      <c r="O158" s="4"/>
      <c r="P158" s="4"/>
      <c r="Q158" s="4"/>
      <c r="R158" s="4"/>
      <c r="S158" s="4"/>
      <c r="T158" s="4"/>
      <c r="U158" s="4"/>
      <c r="V158" s="4"/>
      <c r="W158" s="4"/>
      <c r="X158" s="4"/>
      <c r="Y158" s="4"/>
      <c r="Z158" s="4"/>
    </row>
    <row r="159" spans="1:26" ht="22.5" customHeight="1" x14ac:dyDescent="0.25">
      <c r="A159" s="2"/>
      <c r="B159" s="2"/>
      <c r="C159" s="2"/>
      <c r="D159" s="2"/>
      <c r="E159" s="2"/>
      <c r="F159" s="4"/>
      <c r="G159" s="4"/>
      <c r="H159" s="4" t="s">
        <v>128</v>
      </c>
      <c r="I159" s="4" t="str">
        <f ca="1">IFERROR(__xludf.DUMMYFUNCTION("GOOGLETRANSLATE(B159,""en"",""ar"")"),"ما هي السمة الجسدية الرئيسية لهذه الثيران، والمتكيفة مع القتال؟")</f>
        <v>ما هي السمة الجسدية الرئيسية لهذه الثيران، والمتكيفة مع القتال؟</v>
      </c>
      <c r="J159" s="4" t="str">
        <f ca="1">IFERROR(__xludf.DUMMYFUNCTION("GOOGLETRANSLATE(C159,""en"",""ar"")"),"أ) ذيولها الطويلة لتحقيق التوازن، ب) عيونها الكبيرة لرؤية ممتازة، ج) أعناقها وأكتافها السميكة بشكل لا يصدق، د) حوافرها الصغيرة الرقيقة")</f>
        <v>أ) ذيولها الطويلة لتحقيق التوازن، ب) عيونها الكبيرة لرؤية ممتازة، ج) أعناقها وأكتافها السميكة بشكل لا يصدق، د) حوافرها الصغيرة الرقيقة</v>
      </c>
      <c r="K159" s="4" t="str">
        <f ca="1">IFERROR(__xludf.DUMMYFUNCTION("GOOGLETRANSLATE(D159,""en"",""ar"")"),"ج) أعناقهم وأكتافهم السميكة بشكل لا يصدق")</f>
        <v>ج) أعناقهم وأكتافهم السميكة بشكل لا يصدق</v>
      </c>
      <c r="L159" s="4" t="str">
        <f ca="1">IFERROR(__xludf.DUMMYFUNCTION("GOOGLETRANSLATE(D159,""en"",""ar"")"),"ج) أعناقهم وأكتافهم السميكة بشكل لا يصدق")</f>
        <v>ج) أعناقهم وأكتافهم السميكة بشكل لا يصدق</v>
      </c>
      <c r="M159" s="4"/>
      <c r="N159" s="4"/>
      <c r="O159" s="4"/>
      <c r="P159" s="4"/>
      <c r="Q159" s="4"/>
      <c r="R159" s="4"/>
      <c r="S159" s="4"/>
      <c r="T159" s="4"/>
      <c r="U159" s="4"/>
      <c r="V159" s="4"/>
      <c r="W159" s="4"/>
      <c r="X159" s="4"/>
      <c r="Y159" s="4"/>
      <c r="Z159" s="4"/>
    </row>
    <row r="160" spans="1:26" ht="22.5" customHeight="1" x14ac:dyDescent="0.25">
      <c r="A160" s="2"/>
      <c r="B160" s="2"/>
      <c r="C160" s="2"/>
      <c r="D160" s="2"/>
      <c r="E160" s="2"/>
      <c r="F160" s="4"/>
      <c r="G160" s="4"/>
      <c r="H160" s="4" t="s">
        <v>128</v>
      </c>
      <c r="I160" s="4" t="str">
        <f ca="1">IFERROR(__xludf.DUMMYFUNCTION("GOOGLETRANSLATE(B160,""en"",""ar"")"),"الثور الموجود على اليمين رأسه منخفض ويركز بشدة على خصمه، وهي علامة على...")</f>
        <v>الثور الموجود على اليمين رأسه منخفض ويركز بشدة على خصمه، وهي علامة على...</v>
      </c>
      <c r="J160" s="4" t="str">
        <f ca="1">IFERROR(__xludf.DUMMYFUNCTION("GOOGLETRANSLATE(C160,""en"",""ar"")"),"أ) العدوان والتركيز، ب) الخوف، ج) التشتت، د) الرغبة في اللعب")</f>
        <v>أ) العدوان والتركيز، ب) الخوف، ج) التشتت، د) الرغبة في اللعب</v>
      </c>
      <c r="K160" s="4" t="str">
        <f ca="1">IFERROR(__xludf.DUMMYFUNCTION("GOOGLETRANSLATE(D160,""en"",""ar"")"),"أ) العدوان والتركيز")</f>
        <v>أ) العدوان والتركيز</v>
      </c>
      <c r="L160" s="4" t="str">
        <f ca="1">IFERROR(__xludf.DUMMYFUNCTION("GOOGLETRANSLATE(D160,""en"",""ar"")"),"أ) العدوان والتركيز")</f>
        <v>أ) العدوان والتركيز</v>
      </c>
      <c r="M160" s="4"/>
      <c r="N160" s="4"/>
      <c r="O160" s="4"/>
      <c r="P160" s="4"/>
      <c r="Q160" s="4"/>
      <c r="R160" s="4"/>
      <c r="S160" s="4"/>
      <c r="T160" s="4"/>
      <c r="U160" s="4"/>
      <c r="V160" s="4"/>
      <c r="W160" s="4"/>
      <c r="X160" s="4"/>
      <c r="Y160" s="4"/>
      <c r="Z160" s="4"/>
    </row>
    <row r="161" spans="1:26" ht="22.5" customHeight="1" x14ac:dyDescent="0.25">
      <c r="A161" s="2"/>
      <c r="B161" s="2"/>
      <c r="C161" s="2"/>
      <c r="D161" s="2"/>
      <c r="E161" s="2"/>
      <c r="F161" s="4"/>
      <c r="G161" s="4"/>
      <c r="H161" s="4" t="s">
        <v>128</v>
      </c>
      <c r="I161" s="4" t="str">
        <f ca="1">IFERROR(__xludf.DUMMYFUNCTION("GOOGLETRANSLATE(B161,""en"",""ar"")"),"هذه الصورة تجسد اللحظة...")</f>
        <v>هذه الصورة تجسد اللحظة...</v>
      </c>
      <c r="J161" s="4" t="str">
        <f ca="1">IFERROR(__xludf.DUMMYFUNCTION("GOOGLETRANSLATE(C161,""en"",""ar"")"),"أ) بعد انتهاء النزال، ب) قبل الاصطدام الجسدي مباشرة، ج) خلال فترة الراحة، د) عندما يقوم المدربون بفصل الثيران")</f>
        <v>أ) بعد انتهاء النزال، ب) قبل الاصطدام الجسدي مباشرة، ج) خلال فترة الراحة، د) عندما يقوم المدربون بفصل الثيران</v>
      </c>
      <c r="K161" s="4" t="str">
        <f ca="1">IFERROR(__xludf.DUMMYFUNCTION("GOOGLETRANSLATE(D161,""en"",""ar"")"),"ب) قبل الاصطدام الجسدي مباشرة")</f>
        <v>ب) قبل الاصطدام الجسدي مباشرة</v>
      </c>
      <c r="L161" s="4" t="str">
        <f ca="1">IFERROR(__xludf.DUMMYFUNCTION("GOOGLETRANSLATE(D161,""en"",""ar"")"),"ب) قبل الاصطدام الجسدي مباشرة")</f>
        <v>ب) قبل الاصطدام الجسدي مباشرة</v>
      </c>
      <c r="M161" s="4"/>
      <c r="N161" s="4"/>
      <c r="O161" s="4"/>
      <c r="P161" s="4"/>
      <c r="Q161" s="4"/>
      <c r="R161" s="4"/>
      <c r="S161" s="4"/>
      <c r="T161" s="4"/>
      <c r="U161" s="4"/>
      <c r="V161" s="4"/>
      <c r="W161" s="4"/>
      <c r="X161" s="4"/>
      <c r="Y161" s="4"/>
      <c r="Z161" s="4"/>
    </row>
    <row r="162" spans="1:26" ht="22.5" customHeight="1" x14ac:dyDescent="0.25">
      <c r="A162" s="2"/>
      <c r="B162" s="2"/>
      <c r="C162" s="2"/>
      <c r="D162" s="2"/>
      <c r="E162" s="2"/>
      <c r="F162" s="4"/>
      <c r="G162" s="4"/>
      <c r="H162" s="4" t="s">
        <v>129</v>
      </c>
      <c r="I162" s="4" t="str">
        <f ca="1">IFERROR(__xludf.DUMMYFUNCTION("GOOGLETRANSLATE(B162,""en"",""ar"")"),"الأشياء الكبيرة المعلقة من أعناق الأبقار هي...")</f>
        <v>الأشياء الكبيرة المعلقة من أعناق الأبقار هي...</v>
      </c>
      <c r="J162" s="4" t="str">
        <f ca="1">IFERROR(__xludf.DUMMYFUNCTION("GOOGLETRANSLATE(C162,""en"",""ar"")"),"أ) أكياس العلف، ب) أوعية الماء، ج) أجراس أبقار كبيرة مزخرفة، د) وسائد للراحة")</f>
        <v>أ) أكياس العلف، ب) أوعية الماء، ج) أجراس أبقار كبيرة مزخرفة، د) وسائد للراحة</v>
      </c>
      <c r="K162" s="4" t="str">
        <f ca="1">IFERROR(__xludf.DUMMYFUNCTION("GOOGLETRANSLATE(D162,""en"",""ar"")"),"ج) أجراس أبقار كبيرة ومزخرفة")</f>
        <v>ج) أجراس أبقار كبيرة ومزخرفة</v>
      </c>
      <c r="L162" s="4" t="str">
        <f ca="1">IFERROR(__xludf.DUMMYFUNCTION("GOOGLETRANSLATE(D162,""en"",""ar"")"),"ج) أجراس أبقار كبيرة ومزخرفة")</f>
        <v>ج) أجراس أبقار كبيرة ومزخرفة</v>
      </c>
      <c r="M162" s="4"/>
      <c r="N162" s="4"/>
      <c r="O162" s="4"/>
      <c r="P162" s="4"/>
      <c r="Q162" s="4"/>
      <c r="R162" s="4"/>
      <c r="S162" s="4"/>
      <c r="T162" s="4"/>
      <c r="U162" s="4"/>
      <c r="V162" s="4"/>
      <c r="W162" s="4"/>
      <c r="X162" s="4"/>
      <c r="Y162" s="4"/>
      <c r="Z162" s="4"/>
    </row>
    <row r="163" spans="1:26" ht="22.5" customHeight="1" x14ac:dyDescent="0.25">
      <c r="A163" s="2"/>
      <c r="B163" s="2"/>
      <c r="C163" s="2"/>
      <c r="D163" s="2"/>
      <c r="E163" s="2"/>
      <c r="F163" s="4"/>
      <c r="G163" s="4"/>
      <c r="H163" s="4" t="s">
        <v>129</v>
      </c>
      <c r="I163" s="4" t="str">
        <f ca="1">IFERROR(__xludf.DUMMYFUNCTION("GOOGLETRANSLATE(B163,""en"",""ar"")"),"تُظهر هذه الصورة مشهداً كلاسيكياً من أي تقليد؟")</f>
        <v>تُظهر هذه الصورة مشهداً كلاسيكياً من أي تقليد؟</v>
      </c>
      <c r="J163" s="4" t="str">
        <f ca="1">IFERROR(__xludf.DUMMYFUNCTION("GOOGLETRANSLATE(C163,""en"",""ar"")"),"أ) مصارعة الثيران الإسبانية، ب) الروديو الأمريكي، ج) مصارعة الأبقار السويسرية، د) عبادة الماشية الهندية")</f>
        <v>أ) مصارعة الثيران الإسبانية، ب) الروديو الأمريكي، ج) مصارعة الأبقار السويسرية، د) عبادة الماشية الهندية</v>
      </c>
      <c r="K163" s="4" t="str">
        <f ca="1">IFERROR(__xludf.DUMMYFUNCTION("GOOGLETRANSLATE(D163,""en"",""ar"")"),"ج) مصارعة الأبقار السويسرية")</f>
        <v>ج) مصارعة الأبقار السويسرية</v>
      </c>
      <c r="L163" s="4" t="str">
        <f ca="1">IFERROR(__xludf.DUMMYFUNCTION("GOOGLETRANSLATE(D163,""en"",""ar"")"),"ج) مصارعة الأبقار السويسرية")</f>
        <v>ج) مصارعة الأبقار السويسرية</v>
      </c>
      <c r="M163" s="4"/>
      <c r="N163" s="4"/>
      <c r="O163" s="4"/>
      <c r="P163" s="4"/>
      <c r="Q163" s="4"/>
      <c r="R163" s="4"/>
      <c r="S163" s="4"/>
      <c r="T163" s="4"/>
      <c r="U163" s="4"/>
      <c r="V163" s="4"/>
      <c r="W163" s="4"/>
      <c r="X163" s="4"/>
      <c r="Y163" s="4"/>
      <c r="Z163" s="4"/>
    </row>
    <row r="164" spans="1:26" ht="22.5" customHeight="1" x14ac:dyDescent="0.25">
      <c r="A164" s="2"/>
      <c r="B164" s="2"/>
      <c r="C164" s="2"/>
      <c r="D164" s="2"/>
      <c r="E164" s="2"/>
      <c r="F164" s="4"/>
      <c r="G164" s="4"/>
      <c r="H164" s="4" t="s">
        <v>129</v>
      </c>
      <c r="I164" s="4" t="str">
        <f ca="1">IFERROR(__xludf.DUMMYFUNCTION("GOOGLETRANSLATE(B164,""en"",""ar"")"),"ما هو الهدف من هذا القتال؟")</f>
        <v>ما هو الهدف من هذا القتال؟</v>
      </c>
      <c r="J164" s="4" t="str">
        <f ca="1">IFERROR(__xludf.DUMMYFUNCTION("GOOGLETRANSLATE(C164,""en"",""ar"")"),"أ) للترفيه عن السياح، ب) لتحديد أي بقرة هي الأكثر هيمنة، ج) لحل نزاع بين المزارعين، د) لتجهيز الأبقار للذبح")</f>
        <v>أ) للترفيه عن السياح، ب) لتحديد أي بقرة هي الأكثر هيمنة، ج) لحل نزاع بين المزارعين، د) لتجهيز الأبقار للذبح</v>
      </c>
      <c r="K164" s="4" t="str">
        <f ca="1">IFERROR(__xludf.DUMMYFUNCTION("GOOGLETRANSLATE(D164,""en"",""ar"")"),"ب) لتحديد أي بقرة هي الأكثر هيمنة")</f>
        <v>ب) لتحديد أي بقرة هي الأكثر هيمنة</v>
      </c>
      <c r="L164" s="4" t="str">
        <f ca="1">IFERROR(__xludf.DUMMYFUNCTION("GOOGLETRANSLATE(D164,""en"",""ar"")"),"ب) لتحديد أي بقرة هي الأكثر هيمنة")</f>
        <v>ب) لتحديد أي بقرة هي الأكثر هيمنة</v>
      </c>
      <c r="M164" s="4"/>
      <c r="N164" s="4"/>
      <c r="O164" s="4"/>
      <c r="P164" s="4"/>
      <c r="Q164" s="4"/>
      <c r="R164" s="4"/>
      <c r="S164" s="4"/>
      <c r="T164" s="4"/>
      <c r="U164" s="4"/>
      <c r="V164" s="4"/>
      <c r="W164" s="4"/>
      <c r="X164" s="4"/>
      <c r="Y164" s="4"/>
      <c r="Z164" s="4"/>
    </row>
    <row r="165" spans="1:26" ht="22.5" customHeight="1" x14ac:dyDescent="0.25">
      <c r="A165" s="2"/>
      <c r="B165" s="2"/>
      <c r="C165" s="2"/>
      <c r="D165" s="2"/>
      <c r="E165" s="2"/>
      <c r="F165" s="4"/>
      <c r="G165" s="4"/>
      <c r="H165" s="4" t="s">
        <v>129</v>
      </c>
      <c r="I165" s="4" t="str">
        <f ca="1">IFERROR(__xludf.DUMMYFUNCTION("GOOGLETRANSLATE(B165,""en"",""ar"")"),"سلالة هذه الأبقار السوداء، موطنها الأصلي جبال الألب السويسرية، هي...")</f>
        <v>سلالة هذه الأبقار السوداء، موطنها الأصلي جبال الألب السويسرية، هي...</v>
      </c>
      <c r="J165" s="4" t="str">
        <f ca="1">IFERROR(__xludf.DUMMYFUNCTION("GOOGLETRANSLATE(C165,""en"",""ar"")"),"أ) أنجوس، ب) هولشتاين، ج) جالواي، د) هيرين")</f>
        <v>أ) أنجوس، ب) هولشتاين، ج) جالواي، د) هيرين</v>
      </c>
      <c r="K165" s="4" t="str">
        <f ca="1">IFERROR(__xludf.DUMMYFUNCTION("GOOGLETRANSLATE(D165,""en"",""ar"")"),"د) هيرنس")</f>
        <v>د) هيرنس</v>
      </c>
      <c r="L165" s="4" t="str">
        <f ca="1">IFERROR(__xludf.DUMMYFUNCTION("GOOGLETRANSLATE(D165,""en"",""ar"")"),"د) هيرنس")</f>
        <v>د) هيرنس</v>
      </c>
      <c r="M165" s="4"/>
      <c r="N165" s="4"/>
      <c r="O165" s="4"/>
      <c r="P165" s="4"/>
      <c r="Q165" s="4"/>
      <c r="R165" s="4"/>
      <c r="S165" s="4"/>
      <c r="T165" s="4"/>
      <c r="U165" s="4"/>
      <c r="V165" s="4"/>
      <c r="W165" s="4"/>
      <c r="X165" s="4"/>
      <c r="Y165" s="4"/>
      <c r="Z165" s="4"/>
    </row>
    <row r="166" spans="1:26" ht="22.5" customHeight="1" x14ac:dyDescent="0.25">
      <c r="A166" s="2"/>
      <c r="B166" s="2"/>
      <c r="C166" s="2"/>
      <c r="D166" s="2"/>
      <c r="E166" s="2"/>
      <c r="F166" s="4"/>
      <c r="G166" s="4"/>
      <c r="H166" s="4" t="s">
        <v>129</v>
      </c>
      <c r="I166" s="4" t="str">
        <f ca="1">IFERROR(__xludf.DUMMYFUNCTION("GOOGLETRANSLATE(B166,""en"",""ar"")"),"كيف يتم تحديد الفائز في النزال؟")</f>
        <v>كيف يتم تحديد الفائز في النزال؟</v>
      </c>
      <c r="J166" s="4" t="str">
        <f ca="1">IFERROR(__xludf.DUMMYFUNCTION("GOOGLETRANSLATE(C166,""en"",""ar"")"),"أ) البقرة التي تدفع الأخرى خارج الدائرة تفوز، ب) البقرة التي تجبر الأخرى على التراجع والابتعاد تفوز، ج) البقرة التي تُسيل الدم أولاً تفوز، د) لجنة من الحكام تُقيّم النزال")</f>
        <v>أ) البقرة التي تدفع الأخرى خارج الدائرة تفوز، ب) البقرة التي تجبر الأخرى على التراجع والابتعاد تفوز، ج) البقرة التي تُسيل الدم أولاً تفوز، د) لجنة من الحكام تُقيّم النزال</v>
      </c>
      <c r="K166" s="4" t="str">
        <f ca="1">IFERROR(__xludf.DUMMYFUNCTION("GOOGLETRANSLATE(D166,""en"",""ar"")"),"ب) البقرة التي تجبر الأخرى على الابتعاد والتراجع هي التي تفوز")</f>
        <v>ب) البقرة التي تجبر الأخرى على الابتعاد والتراجع هي التي تفوز</v>
      </c>
      <c r="L166" s="4" t="str">
        <f ca="1">IFERROR(__xludf.DUMMYFUNCTION("GOOGLETRANSLATE(D166,""en"",""ar"")"),"ب) البقرة التي تجبر الأخرى على الابتعاد والتراجع هي التي تفوز")</f>
        <v>ب) البقرة التي تجبر الأخرى على الابتعاد والتراجع هي التي تفوز</v>
      </c>
      <c r="M166" s="4"/>
      <c r="N166" s="4"/>
      <c r="O166" s="4"/>
      <c r="P166" s="4"/>
      <c r="Q166" s="4"/>
      <c r="R166" s="4"/>
      <c r="S166" s="4"/>
      <c r="T166" s="4"/>
      <c r="U166" s="4"/>
      <c r="V166" s="4"/>
      <c r="W166" s="4"/>
      <c r="X166" s="4"/>
      <c r="Y166" s="4"/>
      <c r="Z166" s="4"/>
    </row>
    <row r="167" spans="1:26" ht="22.5" customHeight="1" x14ac:dyDescent="0.25">
      <c r="A167" s="2"/>
      <c r="B167" s="2"/>
      <c r="C167" s="2"/>
      <c r="D167" s="2"/>
      <c r="E167" s="2"/>
      <c r="F167" s="4"/>
      <c r="G167" s="4"/>
      <c r="H167" s="4" t="s">
        <v>129</v>
      </c>
      <c r="I167" s="4" t="str">
        <f ca="1">IFERROR(__xludf.DUMMYFUNCTION("GOOGLETRANSLATE(B167,""en"",""ar"")"),"ماذا يرمز إليه طوق الجلد المزخرف والمزخرف؟")</f>
        <v>ماذا يرمز إليه طوق الجلد المزخرف والمزخرف؟</v>
      </c>
      <c r="J167" s="4" t="str">
        <f ca="1">IFERROR(__xludf.DUMMYFUNCTION("GOOGLETRANSLATE(C167,""en"",""ar"")"),"أ) إنها علامة على انخفاض قيمة الحيوان، ب) إنها مصدر فخر ثقافي وتُظهر القيمة العالية للحيوان، ج) إنها أداة أمان حديثة، د) إنها طوق مؤقت مخصص للقتال فقط")</f>
        <v>أ) إنها علامة على انخفاض قيمة الحيوان، ب) إنها مصدر فخر ثقافي وتُظهر القيمة العالية للحيوان، ج) إنها أداة أمان حديثة، د) إنها طوق مؤقت مخصص للقتال فقط</v>
      </c>
      <c r="K167" s="4" t="str">
        <f ca="1">IFERROR(__xludf.DUMMYFUNCTION("GOOGLETRANSLATE(D167,""en"",""ar"")"),"ب) إنه مصدر فخر ثقافي ويُظهر القيمة العالية للحيوان")</f>
        <v>ب) إنه مصدر فخر ثقافي ويُظهر القيمة العالية للحيوان</v>
      </c>
      <c r="L167" s="4" t="str">
        <f ca="1">IFERROR(__xludf.DUMMYFUNCTION("GOOGLETRANSLATE(D167,""en"",""ar"")"),"ب) إنه مصدر فخر ثقافي ويُظهر القيمة العالية للحيوان")</f>
        <v>ب) إنه مصدر فخر ثقافي ويُظهر القيمة العالية للحيوان</v>
      </c>
      <c r="M167" s="4"/>
      <c r="N167" s="4"/>
      <c r="O167" s="4"/>
      <c r="P167" s="4"/>
      <c r="Q167" s="4"/>
      <c r="R167" s="4"/>
      <c r="S167" s="4"/>
      <c r="T167" s="4"/>
      <c r="U167" s="4"/>
      <c r="V167" s="4"/>
      <c r="W167" s="4"/>
      <c r="X167" s="4"/>
      <c r="Y167" s="4"/>
      <c r="Z167" s="4"/>
    </row>
    <row r="168" spans="1:26" ht="22.5" customHeight="1" x14ac:dyDescent="0.25">
      <c r="A168" s="2"/>
      <c r="B168" s="2"/>
      <c r="C168" s="2"/>
      <c r="D168" s="2"/>
      <c r="E168" s="2"/>
      <c r="F168" s="4"/>
      <c r="G168" s="4"/>
      <c r="H168" s="4" t="s">
        <v>129</v>
      </c>
      <c r="I168" s="4" t="str">
        <f ca="1">IFERROR(__xludf.DUMMYFUNCTION("GOOGLETRANSLATE(B168,""en"",""ar"")"),"يبدو أن الإعداد هو...")</f>
        <v>يبدو أن الإعداد هو...</v>
      </c>
      <c r="J168" s="4" t="str">
        <f ca="1">IFERROR(__xludf.DUMMYFUNCTION("GOOGLETRANSLATE(C168,""en"",""ar"")"),"أ) حظيرة داخلية، ب) صحراء، ج) مرعى جبلي عشبي، د) حديقة مدينة")</f>
        <v>أ) حظيرة داخلية، ب) صحراء، ج) مرعى جبلي عشبي، د) حديقة مدينة</v>
      </c>
      <c r="K168" s="4" t="str">
        <f ca="1">IFERROR(__xludf.DUMMYFUNCTION("GOOGLETRANSLATE(D168,""en"",""ar"")"),"ج) مرعى جبلي عشبي")</f>
        <v>ج) مرعى جبلي عشبي</v>
      </c>
      <c r="L168" s="4" t="str">
        <f ca="1">IFERROR(__xludf.DUMMYFUNCTION("GOOGLETRANSLATE(D168,""en"",""ar"")"),"ج) مرعى جبلي عشبي")</f>
        <v>ج) مرعى جبلي عشبي</v>
      </c>
      <c r="M168" s="4"/>
      <c r="N168" s="4"/>
      <c r="O168" s="4"/>
      <c r="P168" s="4"/>
      <c r="Q168" s="4"/>
      <c r="R168" s="4"/>
      <c r="S168" s="4"/>
      <c r="T168" s="4"/>
      <c r="U168" s="4"/>
      <c r="V168" s="4"/>
      <c r="W168" s="4"/>
      <c r="X168" s="4"/>
      <c r="Y168" s="4"/>
      <c r="Z168" s="4"/>
    </row>
    <row r="169" spans="1:26" ht="22.5" customHeight="1" x14ac:dyDescent="0.25">
      <c r="A169" s="2"/>
      <c r="B169" s="2"/>
      <c r="C169" s="2"/>
      <c r="D169" s="2"/>
      <c r="E169" s="2"/>
      <c r="F169" s="4"/>
      <c r="G169" s="4"/>
      <c r="H169" s="4" t="s">
        <v>129</v>
      </c>
      <c r="I169" s="4" t="str">
        <f ca="1">IFERROR(__xludf.DUMMYFUNCTION("GOOGLETRANSLATE(B169,""en"",""ar"")"),"هل تشكل هذه المعارك خطراً على الأبقار عادةً؟")</f>
        <v>هل تشكل هذه المعارك خطراً على الأبقار عادةً؟</v>
      </c>
      <c r="J169" s="4" t="str">
        <f ca="1">IFERROR(__xludf.DUMMYFUNCTION("GOOGLETRANSLATE(C169,""en"",""ar"")"),"أ) نعم، عادةً ما تكون مميتة، ب) لا، إنها طقوسية في الغالب والإصابات نادرة، ج) نعم، ولكن البقرة الخاسرة فقط هي التي تُصاب، د) من المستحيل الجزم بذلك")</f>
        <v>أ) نعم، عادةً ما تكون مميتة، ب) لا، إنها طقوسية في الغالب والإصابات نادرة، ج) نعم، ولكن البقرة الخاسرة فقط هي التي تُصاب، د) من المستحيل الجزم بذلك</v>
      </c>
      <c r="K169" s="4" t="str">
        <f ca="1">IFERROR(__xludf.DUMMYFUNCTION("GOOGLETRANSLATE(D169,""en"",""ar"")"),"ب) لا، إنها طقوسية في الغالب، والإصابات نادرة.")</f>
        <v>ب) لا، إنها طقوسية في الغالب، والإصابات نادرة.</v>
      </c>
      <c r="L169" s="4" t="str">
        <f ca="1">IFERROR(__xludf.DUMMYFUNCTION("GOOGLETRANSLATE(D169,""en"",""ar"")"),"ب) لا، إنها طقوسية في الغالب، والإصابات نادرة.")</f>
        <v>ب) لا، إنها طقوسية في الغالب، والإصابات نادرة.</v>
      </c>
      <c r="M169" s="4"/>
      <c r="N169" s="4"/>
      <c r="O169" s="4"/>
      <c r="P169" s="4"/>
      <c r="Q169" s="4"/>
      <c r="R169" s="4"/>
      <c r="S169" s="4"/>
      <c r="T169" s="4"/>
      <c r="U169" s="4"/>
      <c r="V169" s="4"/>
      <c r="W169" s="4"/>
      <c r="X169" s="4"/>
      <c r="Y169" s="4"/>
      <c r="Z169" s="4"/>
    </row>
    <row r="170" spans="1:26" ht="22.5" customHeight="1" x14ac:dyDescent="0.25">
      <c r="A170" s="2"/>
      <c r="B170" s="2"/>
      <c r="C170" s="2"/>
      <c r="D170" s="2"/>
      <c r="E170" s="2"/>
      <c r="F170" s="4"/>
      <c r="G170" s="4"/>
      <c r="H170" s="4" t="s">
        <v>129</v>
      </c>
      <c r="I170" s="4" t="str">
        <f ca="1">IFERROR(__xludf.DUMMYFUNCTION("GOOGLETRANSLATE(B170,""en"",""ar"")"),"من المحتمل أن تكون البقع العاكسة والمزخرفة على طوق البقرة اليمنى...")</f>
        <v>من المحتمل أن تكون البقع العاكسة والمزخرفة على طوق البقرة اليمنى...</v>
      </c>
      <c r="J170" s="4" t="str">
        <f ca="1">IFERROR(__xludf.DUMMYFUNCTION("GOOGLETRANSLATE(C170,""en"",""ar"")"),"أ) شاشات الكمبيوتر، ب) المشغولات المعدنية أو المسامير الزخرفية التقليدية، ج) المرايا، د) المصابيح")</f>
        <v>أ) شاشات الكمبيوتر، ب) المشغولات المعدنية أو المسامير الزخرفية التقليدية، ج) المرايا، د) المصابيح</v>
      </c>
      <c r="K170" s="4" t="str">
        <f ca="1">IFERROR(__xludf.DUMMYFUNCTION("GOOGLETRANSLATE(D170,""en"",""ar"")"),"ب) المشغولات المعدنية الزخرفية التقليدية أو المسامير")</f>
        <v>ب) المشغولات المعدنية الزخرفية التقليدية أو المسامير</v>
      </c>
      <c r="L170" s="4" t="str">
        <f ca="1">IFERROR(__xludf.DUMMYFUNCTION("GOOGLETRANSLATE(D170,""en"",""ar"")"),"ب) المشغولات المعدنية الزخرفية التقليدية أو المسامير")</f>
        <v>ب) المشغولات المعدنية الزخرفية التقليدية أو المسامير</v>
      </c>
      <c r="M170" s="4"/>
      <c r="N170" s="4"/>
      <c r="O170" s="4"/>
      <c r="P170" s="4"/>
      <c r="Q170" s="4"/>
      <c r="R170" s="4"/>
      <c r="S170" s="4"/>
      <c r="T170" s="4"/>
      <c r="U170" s="4"/>
      <c r="V170" s="4"/>
      <c r="W170" s="4"/>
      <c r="X170" s="4"/>
      <c r="Y170" s="4"/>
      <c r="Z170" s="4"/>
    </row>
    <row r="171" spans="1:26" ht="22.5" customHeight="1" x14ac:dyDescent="0.25">
      <c r="A171" s="2"/>
      <c r="B171" s="2"/>
      <c r="C171" s="2"/>
      <c r="D171" s="2"/>
      <c r="E171" s="2"/>
      <c r="F171" s="4"/>
      <c r="G171" s="4"/>
      <c r="H171" s="4" t="s">
        <v>129</v>
      </c>
      <c r="I171" s="4" t="str">
        <f ca="1">IFERROR(__xludf.DUMMYFUNCTION("GOOGLETRANSLATE(B171,""en"",""ar"")"),"يحتفل هذا التقليد بـ...")</f>
        <v>يحتفل هذا التقليد بـ...</v>
      </c>
      <c r="J171" s="4" t="str">
        <f ca="1">IFERROR(__xludf.DUMMYFUNCTION("GOOGLETRANSLATE(C171,""en"",""ar"")"),"أ) نهاية موسم الحصاد، ب) السلوك الطبيعي وقوة سلالة الماشية المحلية، ج) معركة تاريخية، د) تأسيس قرية جديدة")</f>
        <v>أ) نهاية موسم الحصاد، ب) السلوك الطبيعي وقوة سلالة الماشية المحلية، ج) معركة تاريخية، د) تأسيس قرية جديدة</v>
      </c>
      <c r="K171" s="4" t="str">
        <f ca="1">IFERROR(__xludf.DUMMYFUNCTION("GOOGLETRANSLATE(D171,""en"",""ar"")"),"ب) السلوك الطبيعي وقوة سلالة الماشية المحلية")</f>
        <v>ب) السلوك الطبيعي وقوة سلالة الماشية المحلية</v>
      </c>
      <c r="L171" s="4" t="str">
        <f ca="1">IFERROR(__xludf.DUMMYFUNCTION("GOOGLETRANSLATE(D171,""en"",""ar"")"),"ب) السلوك الطبيعي وقوة سلالة الماشية المحلية")</f>
        <v>ب) السلوك الطبيعي وقوة سلالة الماشية المحلية</v>
      </c>
      <c r="M171" s="4"/>
      <c r="N171" s="4"/>
      <c r="O171" s="4"/>
      <c r="P171" s="4"/>
      <c r="Q171" s="4"/>
      <c r="R171" s="4"/>
      <c r="S171" s="4"/>
      <c r="T171" s="4"/>
      <c r="U171" s="4"/>
      <c r="V171" s="4"/>
      <c r="W171" s="4"/>
      <c r="X171" s="4"/>
      <c r="Y171" s="4"/>
      <c r="Z171" s="4"/>
    </row>
    <row r="172" spans="1:26" ht="22.5" customHeight="1" x14ac:dyDescent="0.25">
      <c r="A172" s="2"/>
      <c r="B172" s="2"/>
      <c r="C172" s="2"/>
      <c r="D172" s="2"/>
      <c r="E172" s="2"/>
      <c r="F172" s="4"/>
      <c r="G172" s="4"/>
      <c r="H172" s="4" t="s">
        <v>130</v>
      </c>
      <c r="I172" s="4" t="str">
        <f ca="1">IFERROR(__xludf.DUMMYFUNCTION("GOOGLETRANSLATE(B172,""en"",""ar"")"),"هذا الحيوان هو ثور زيبو، ما هي السمة البارزة التي يسهل التعرف عليه من خلالها؟")</f>
        <v>هذا الحيوان هو ثور زيبو، ما هي السمة البارزة التي يسهل التعرف عليه من خلالها؟</v>
      </c>
      <c r="J172" s="4" t="str">
        <f ca="1">IFERROR(__xludf.DUMMYFUNCTION("GOOGLETRANSLATE(C172,""en"",""ar"")"),"أ) معطفه الطويل الكثيف، ب) بقعُه السوداء والبيضاء، ج) حدبة كتفه الكبيرة وأذنيه المتدليتين، د) قرونه الضخمة والعريضة")</f>
        <v>أ) معطفه الطويل الكثيف، ب) بقعُه السوداء والبيضاء، ج) حدبة كتفه الكبيرة وأذنيه المتدليتين، د) قرونه الضخمة والعريضة</v>
      </c>
      <c r="K172" s="4" t="str">
        <f ca="1">IFERROR(__xludf.DUMMYFUNCTION("GOOGLETRANSLATE(D172,""en"",""ar"")"),"ج) حدبة كتفها الكبيرة وأذنيها المتدليتين")</f>
        <v>ج) حدبة كتفها الكبيرة وأذنيها المتدليتين</v>
      </c>
      <c r="L172" s="4" t="str">
        <f ca="1">IFERROR(__xludf.DUMMYFUNCTION("GOOGLETRANSLATE(D172,""en"",""ar"")"),"ج) حدبة كتفها الكبيرة وأذنيها المتدليتين")</f>
        <v>ج) حدبة كتفها الكبيرة وأذنيها المتدليتين</v>
      </c>
      <c r="M172" s="4"/>
      <c r="N172" s="4"/>
      <c r="O172" s="4"/>
      <c r="P172" s="4"/>
      <c r="Q172" s="4"/>
      <c r="R172" s="4"/>
      <c r="S172" s="4"/>
      <c r="T172" s="4"/>
      <c r="U172" s="4"/>
      <c r="V172" s="4"/>
      <c r="W172" s="4"/>
      <c r="X172" s="4"/>
      <c r="Y172" s="4"/>
      <c r="Z172" s="4"/>
    </row>
    <row r="173" spans="1:26" ht="22.5" customHeight="1" x14ac:dyDescent="0.25">
      <c r="A173" s="2"/>
      <c r="B173" s="2"/>
      <c r="C173" s="2"/>
      <c r="D173" s="2"/>
      <c r="E173" s="2"/>
      <c r="F173" s="4"/>
      <c r="G173" s="4"/>
      <c r="H173" s="4" t="s">
        <v>130</v>
      </c>
      <c r="I173" s="4" t="str">
        <f ca="1">IFERROR(__xludf.DUMMYFUNCTION("GOOGLETRANSLATE(B173,""en"",""ar"")"),"ما الذي حدث لأطراف قرون الثور؟")</f>
        <v>ما الذي حدث لأطراف قرون الثور؟</v>
      </c>
      <c r="J173" s="4" t="str">
        <f ca="1">IFERROR(__xludf.DUMMYFUNCTION("GOOGLETRANSLATE(C173,""en"",""ar"")"),"أ) تم شحذها، ب) تم طلاؤها باللون الأحمر، ج) تم تغطيتها أو تغليفها بمادة بيضاء، د) تم تزيينها بالزهور")</f>
        <v>أ) تم شحذها، ب) تم طلاؤها باللون الأحمر، ج) تم تغطيتها أو تغليفها بمادة بيضاء، د) تم تزيينها بالزهور</v>
      </c>
      <c r="K173" s="4" t="str">
        <f ca="1">IFERROR(__xludf.DUMMYFUNCTION("GOOGLETRANSLATE(D173,""en"",""ar"")"),"ج) تم تغطيتها أو تغليفها بمادة بيضاء")</f>
        <v>ج) تم تغطيتها أو تغليفها بمادة بيضاء</v>
      </c>
      <c r="L173" s="4" t="str">
        <f ca="1">IFERROR(__xludf.DUMMYFUNCTION("GOOGLETRANSLATE(D173,""en"",""ar"")"),"ج) تم تغطيتها أو تغليفها بمادة بيضاء")</f>
        <v>ج) تم تغطيتها أو تغليفها بمادة بيضاء</v>
      </c>
      <c r="M173" s="4"/>
      <c r="N173" s="4"/>
      <c r="O173" s="4"/>
      <c r="P173" s="4"/>
      <c r="Q173" s="4"/>
      <c r="R173" s="4"/>
      <c r="S173" s="4"/>
      <c r="T173" s="4"/>
      <c r="U173" s="4"/>
      <c r="V173" s="4"/>
      <c r="W173" s="4"/>
      <c r="X173" s="4"/>
      <c r="Y173" s="4"/>
      <c r="Z173" s="4"/>
    </row>
    <row r="174" spans="1:26" ht="22.5" customHeight="1" x14ac:dyDescent="0.25">
      <c r="A174" s="2"/>
      <c r="B174" s="2"/>
      <c r="C174" s="2"/>
      <c r="D174" s="2"/>
      <c r="E174" s="2"/>
      <c r="F174" s="4"/>
      <c r="G174" s="4"/>
      <c r="H174" s="4" t="s">
        <v>130</v>
      </c>
      <c r="I174" s="4" t="str">
        <f ca="1">IFERROR(__xludf.DUMMYFUNCTION("GOOGLETRANSLATE(B174,""en"",""ar"")"),"ماذا يفعل الثور؟")</f>
        <v>ماذا يفعل الثور؟</v>
      </c>
      <c r="J174" s="4" t="str">
        <f ca="1">IFERROR(__xludf.DUMMYFUNCTION("GOOGLETRANSLATE(C174,""en"",""ar"")"),"أ) إنه يأكل، ب) إنه يشرب الماء، ج) إنه يخدش الأرض بأنفه أو قرونه، د) إنه نائم")</f>
        <v>أ) إنه يأكل، ب) إنه يشرب الماء، ج) إنه يخدش الأرض بأنفه أو قرونه، د) إنه نائم</v>
      </c>
      <c r="K174" s="4" t="str">
        <f ca="1">IFERROR(__xludf.DUMMYFUNCTION("GOOGLETRANSLATE(D174,""en"",""ar"")"),"ج) إنه يخدش الأرض بأنفه أو قرونه")</f>
        <v>ج) إنه يخدش الأرض بأنفه أو قرونه</v>
      </c>
      <c r="L174" s="4" t="str">
        <f ca="1">IFERROR(__xludf.DUMMYFUNCTION("GOOGLETRANSLATE(D174,""en"",""ar"")"),"ج) إنه يخدش الأرض بأنفه أو قرونه")</f>
        <v>ج) إنه يخدش الأرض بأنفه أو قرونه</v>
      </c>
      <c r="M174" s="4"/>
      <c r="N174" s="4"/>
      <c r="O174" s="4"/>
      <c r="P174" s="4"/>
      <c r="Q174" s="4"/>
      <c r="R174" s="4"/>
      <c r="S174" s="4"/>
      <c r="T174" s="4"/>
      <c r="U174" s="4"/>
      <c r="V174" s="4"/>
      <c r="W174" s="4"/>
      <c r="X174" s="4"/>
      <c r="Y174" s="4"/>
      <c r="Z174" s="4"/>
    </row>
    <row r="175" spans="1:26" ht="22.5" customHeight="1" x14ac:dyDescent="0.25">
      <c r="A175" s="2"/>
      <c r="B175" s="2"/>
      <c r="C175" s="2"/>
      <c r="D175" s="2"/>
      <c r="E175" s="2"/>
      <c r="F175" s="4"/>
      <c r="G175" s="4"/>
      <c r="H175" s="4" t="s">
        <v>130</v>
      </c>
      <c r="I175" s="4" t="str">
        <f ca="1">IFERROR(__xludf.DUMMYFUNCTION("GOOGLETRANSLATE(B175,""en"",""ar"")"),"أين من المرجح أن يحدث هذا الحدث؟")</f>
        <v>أين من المرجح أن يحدث هذا الحدث؟</v>
      </c>
      <c r="J175" s="4" t="str">
        <f ca="1">IFERROR(__xludf.DUMMYFUNCTION("GOOGLETRANSLATE(C175,""en"",""ar"")"),"أ) في ملعب حديث في أوروبا، ب) في مزرعة في الولايات المتحدة، ج) في ساحة قرية ريفية، ربما في جنوب شرق آسيا، د) في القطب الشمالي")</f>
        <v>أ) في ملعب حديث في أوروبا، ب) في مزرعة في الولايات المتحدة، ج) في ساحة قرية ريفية، ربما في جنوب شرق آسيا، د) في القطب الشمالي</v>
      </c>
      <c r="K175" s="4" t="str">
        <f ca="1">IFERROR(__xludf.DUMMYFUNCTION("GOOGLETRANSLATE(D175,""en"",""ar"")"),"ج) في ساحة قرية ريفية، ربما في جنوب شرق آسيا")</f>
        <v>ج) في ساحة قرية ريفية، ربما في جنوب شرق آسيا</v>
      </c>
      <c r="L175" s="4" t="str">
        <f ca="1">IFERROR(__xludf.DUMMYFUNCTION("GOOGLETRANSLATE(D175,""en"",""ar"")"),"ج) في ساحة قرية ريفية، ربما في جنوب شرق آسيا")</f>
        <v>ج) في ساحة قرية ريفية، ربما في جنوب شرق آسيا</v>
      </c>
      <c r="M175" s="4"/>
      <c r="N175" s="4"/>
      <c r="O175" s="4"/>
      <c r="P175" s="4"/>
      <c r="Q175" s="4"/>
      <c r="R175" s="4"/>
      <c r="S175" s="4"/>
      <c r="T175" s="4"/>
      <c r="U175" s="4"/>
      <c r="V175" s="4"/>
      <c r="W175" s="4"/>
      <c r="X175" s="4"/>
      <c r="Y175" s="4"/>
      <c r="Z175" s="4"/>
    </row>
    <row r="176" spans="1:26" ht="22.5" customHeight="1" x14ac:dyDescent="0.25">
      <c r="A176" s="2"/>
      <c r="B176" s="2"/>
      <c r="C176" s="2"/>
      <c r="D176" s="2"/>
      <c r="E176" s="2"/>
      <c r="F176" s="4"/>
      <c r="G176" s="4"/>
      <c r="H176" s="4" t="s">
        <v>130</v>
      </c>
      <c r="I176" s="4" t="str">
        <f ca="1">IFERROR(__xludf.DUMMYFUNCTION("GOOGLETRANSLATE(B176,""en"",""ar"")"),"من المحتمل أن يكون الحبل المربوط بشكل غير محكم حول رقبة الثور...")</f>
        <v>من المحتمل أن يكون الحبل المربوط بشكل غير محكم حول رقبة الثور...</v>
      </c>
      <c r="J176" s="4" t="str">
        <f ca="1">IFERROR(__xludf.DUMMYFUNCTION("GOOGLETRANSLATE(C176,""en"",""ar"")"),"أ) قلادة زينة، ب) وسيلة لتسجيل النقاط، ج) لجام بسيط لقيادة الحيوان، د) سلاح يستخدمه الخصم")</f>
        <v>أ) قلادة زينة، ب) وسيلة لتسجيل النقاط، ج) لجام بسيط لقيادة الحيوان، د) سلاح يستخدمه الخصم</v>
      </c>
      <c r="K176" s="4" t="str">
        <f ca="1">IFERROR(__xludf.DUMMYFUNCTION("GOOGLETRANSLATE(D176,""en"",""ar"")"),"ج) لجام بسيط لقيادة الحيوان")</f>
        <v>ج) لجام بسيط لقيادة الحيوان</v>
      </c>
      <c r="L176" s="4" t="str">
        <f ca="1">IFERROR(__xludf.DUMMYFUNCTION("GOOGLETRANSLATE(D176,""en"",""ar"")"),"ج) لجام بسيط لقيادة الحيوان")</f>
        <v>ج) لجام بسيط لقيادة الحيوان</v>
      </c>
      <c r="M176" s="4"/>
      <c r="N176" s="4"/>
      <c r="O176" s="4"/>
      <c r="P176" s="4"/>
      <c r="Q176" s="4"/>
      <c r="R176" s="4"/>
      <c r="S176" s="4"/>
      <c r="T176" s="4"/>
      <c r="U176" s="4"/>
      <c r="V176" s="4"/>
      <c r="W176" s="4"/>
      <c r="X176" s="4"/>
      <c r="Y176" s="4"/>
      <c r="Z176" s="4"/>
    </row>
    <row r="177" spans="1:26" ht="22.5" customHeight="1" x14ac:dyDescent="0.25">
      <c r="A177" s="2"/>
      <c r="B177" s="2"/>
      <c r="C177" s="2"/>
      <c r="D177" s="2"/>
      <c r="E177" s="2"/>
      <c r="F177" s="4"/>
      <c r="G177" s="4"/>
      <c r="H177" s="4" t="s">
        <v>130</v>
      </c>
      <c r="I177" s="4" t="str">
        <f ca="1">IFERROR(__xludf.DUMMYFUNCTION("GOOGLETRANSLATE(B177,""en"",""ar"")"),"الأشخاص الظاهرون في الخلفية هم...")</f>
        <v>الأشخاص الظاهرون في الخلفية هم...</v>
      </c>
      <c r="J177" s="4" t="str">
        <f ca="1">IFERROR(__xludf.DUMMYFUNCTION("GOOGLETRANSLATE(C177,""en"",""ar"")"),"أ) مالكو الثور، ب) الحكام، ج) المتفرجون، د) المتنافسون الآخرون")</f>
        <v>أ) مالكو الثور، ب) الحكام، ج) المتفرجون، د) المتنافسون الآخرون</v>
      </c>
      <c r="K177" s="4" t="str">
        <f ca="1">IFERROR(__xludf.DUMMYFUNCTION("GOOGLETRANSLATE(D177,""en"",""ar"")"),"ج) المتفرجون")</f>
        <v>ج) المتفرجون</v>
      </c>
      <c r="L177" s="4" t="str">
        <f ca="1">IFERROR(__xludf.DUMMYFUNCTION("GOOGLETRANSLATE(D177,""en"",""ar"")"),"ج) المتفرجون")</f>
        <v>ج) المتفرجون</v>
      </c>
      <c r="M177" s="4"/>
      <c r="N177" s="4"/>
      <c r="O177" s="4"/>
      <c r="P177" s="4"/>
      <c r="Q177" s="4"/>
      <c r="R177" s="4"/>
      <c r="S177" s="4"/>
      <c r="T177" s="4"/>
      <c r="U177" s="4"/>
      <c r="V177" s="4"/>
      <c r="W177" s="4"/>
      <c r="X177" s="4"/>
      <c r="Y177" s="4"/>
      <c r="Z177" s="4"/>
    </row>
    <row r="178" spans="1:26" ht="22.5" customHeight="1" x14ac:dyDescent="0.25">
      <c r="A178" s="2"/>
      <c r="B178" s="2"/>
      <c r="C178" s="2"/>
      <c r="D178" s="2"/>
      <c r="E178" s="2"/>
      <c r="F178" s="4"/>
      <c r="G178" s="4"/>
      <c r="H178" s="4" t="s">
        <v>130</v>
      </c>
      <c r="I178" s="4" t="str">
        <f ca="1">IFERROR(__xludf.DUMMYFUNCTION("GOOGLETRANSLATE(B178,""en"",""ar"")"),"تشير وضعية الثور، برأسه المنخفض وجسمه المتوتر، إلى أنه...")</f>
        <v>تشير وضعية الثور، برأسه المنخفض وجسمه المتوتر، إلى أنه...</v>
      </c>
      <c r="J178" s="4" t="str">
        <f ca="1">IFERROR(__xludf.DUMMYFUNCTION("GOOGLETRANSLATE(C178,""en"",""ar"")"),"أ) مسترخٍ وهادئ، ب) يستعد للقتال أو يُظهر تحديًا، ج) خائف ويحاول الاختباء، د) متعب وعلى وشك الاستلقاء")</f>
        <v>أ) مسترخٍ وهادئ، ب) يستعد للقتال أو يُظهر تحديًا، ج) خائف ويحاول الاختباء، د) متعب وعلى وشك الاستلقاء</v>
      </c>
      <c r="K178" s="4" t="str">
        <f ca="1">IFERROR(__xludf.DUMMYFUNCTION("GOOGLETRANSLATE(D178,""en"",""ar"")"),"ب) الاستعداد للقتال أو إظهار التحدي")</f>
        <v>ب) الاستعداد للقتال أو إظهار التحدي</v>
      </c>
      <c r="L178" s="4" t="str">
        <f ca="1">IFERROR(__xludf.DUMMYFUNCTION("GOOGLETRANSLATE(D178,""en"",""ar"")"),"ب) الاستعداد للقتال أو إظهار التحدي")</f>
        <v>ب) الاستعداد للقتال أو إظهار التحدي</v>
      </c>
      <c r="M178" s="4"/>
      <c r="N178" s="4"/>
      <c r="O178" s="4"/>
      <c r="P178" s="4"/>
      <c r="Q178" s="4"/>
      <c r="R178" s="4"/>
      <c r="S178" s="4"/>
      <c r="T178" s="4"/>
      <c r="U178" s="4"/>
      <c r="V178" s="4"/>
      <c r="W178" s="4"/>
      <c r="X178" s="4"/>
      <c r="Y178" s="4"/>
      <c r="Z178" s="4"/>
    </row>
    <row r="179" spans="1:26" ht="22.5" customHeight="1" x14ac:dyDescent="0.25">
      <c r="A179" s="2"/>
      <c r="B179" s="2"/>
      <c r="C179" s="2"/>
      <c r="D179" s="2"/>
      <c r="E179" s="2"/>
      <c r="F179" s="4"/>
      <c r="G179" s="4"/>
      <c r="H179" s="4" t="s">
        <v>130</v>
      </c>
      <c r="I179" s="4" t="str">
        <f ca="1">IFERROR(__xludf.DUMMYFUNCTION("GOOGLETRANSLATE(B179,""en"",""ar"")"),"غالباً ما يتضمن أسلوب قتال ثيران الزيبو...")</f>
        <v>غالباً ما يتضمن أسلوب قتال ثيران الزيبو...</v>
      </c>
      <c r="J179" s="4" t="str">
        <f ca="1">IFERROR(__xludf.DUMMYFUNCTION("GOOGLETRANSLATE(C179,""en"",""ar"")"),"أ) الدفع فقط، دون استخدام القرون، ب) اشتباكات أكثر نشاطًا وأحيانًا أكثر عنفًا من مصارعة الأبقار السويسرية، ج) رقصة طقوسية، د) سباق نحو خط النهاية")</f>
        <v>أ) الدفع فقط، دون استخدام القرون، ب) اشتباكات أكثر نشاطًا وأحيانًا أكثر عنفًا من مصارعة الأبقار السويسرية، ج) رقصة طقوسية، د) سباق نحو خط النهاية</v>
      </c>
      <c r="K179" s="4" t="str">
        <f ca="1">IFERROR(__xludf.DUMMYFUNCTION("GOOGLETRANSLATE(D179,""en"",""ar"")"),"ب) اشتباكات أكثر نشاطًا وأحيانًا أكثر عنفًا من مصارعة الأبقار السويسرية")</f>
        <v>ب) اشتباكات أكثر نشاطًا وأحيانًا أكثر عنفًا من مصارعة الأبقار السويسرية</v>
      </c>
      <c r="L179" s="4" t="str">
        <f ca="1">IFERROR(__xludf.DUMMYFUNCTION("GOOGLETRANSLATE(D179,""en"",""ar"")"),"ب) اشتباكات أكثر نشاطًا وأحيانًا أكثر عنفًا من مصارعة الأبقار السويسرية")</f>
        <v>ب) اشتباكات أكثر نشاطًا وأحيانًا أكثر عنفًا من مصارعة الأبقار السويسرية</v>
      </c>
      <c r="M179" s="4"/>
      <c r="N179" s="4"/>
      <c r="O179" s="4"/>
      <c r="P179" s="4"/>
      <c r="Q179" s="4"/>
      <c r="R179" s="4"/>
      <c r="S179" s="4"/>
      <c r="T179" s="4"/>
      <c r="U179" s="4"/>
      <c r="V179" s="4"/>
      <c r="W179" s="4"/>
      <c r="X179" s="4"/>
      <c r="Y179" s="4"/>
      <c r="Z179" s="4"/>
    </row>
    <row r="180" spans="1:26" ht="22.5" customHeight="1" x14ac:dyDescent="0.25">
      <c r="A180" s="2"/>
      <c r="B180" s="2"/>
      <c r="C180" s="2"/>
      <c r="D180" s="2"/>
      <c r="E180" s="2"/>
      <c r="F180" s="4"/>
      <c r="G180" s="4"/>
      <c r="H180" s="4" t="s">
        <v>130</v>
      </c>
      <c r="I180" s="4" t="str">
        <f ca="1">IFERROR(__xludf.DUMMYFUNCTION("GOOGLETRANSLATE(B180,""en"",""ar"")"),"يبدو أن هذا الثور يتمتع بحالة بدنية ممتازة، وهذا دليل على أنه...")</f>
        <v>يبدو أن هذا الثور يتمتع بحالة بدنية ممتازة، وهذا دليل على أنه...</v>
      </c>
      <c r="J180" s="4" t="str">
        <f ca="1">IFERROR(__xludf.DUMMYFUNCTION("GOOGLETRANSLATE(C180,""en"",""ar"")"),"أ) حيوان بري، ب) حيوان قتالي مُعتنى به جيدًا، ج) حيوان أليف، د) حيوان حلوب")</f>
        <v>أ) حيوان بري، ب) حيوان قتالي مُعتنى به جيدًا، ج) حيوان أليف، د) حيوان حلوب</v>
      </c>
      <c r="K180" s="4" t="str">
        <f ca="1">IFERROR(__xludf.DUMMYFUNCTION("GOOGLETRANSLATE(D180,""en"",""ar"")"),"ب) حيوان قتالي يتم الاعتناء به جيداً")</f>
        <v>ب) حيوان قتالي يتم الاعتناء به جيداً</v>
      </c>
      <c r="L180" s="4" t="str">
        <f ca="1">IFERROR(__xludf.DUMMYFUNCTION("GOOGLETRANSLATE(D180,""en"",""ar"")"),"ب) حيوان قتالي يتم الاعتناء به جيداً")</f>
        <v>ب) حيوان قتالي يتم الاعتناء به جيداً</v>
      </c>
      <c r="M180" s="4"/>
      <c r="N180" s="4"/>
      <c r="O180" s="4"/>
      <c r="P180" s="4"/>
      <c r="Q180" s="4"/>
      <c r="R180" s="4"/>
      <c r="S180" s="4"/>
      <c r="T180" s="4"/>
      <c r="U180" s="4"/>
      <c r="V180" s="4"/>
      <c r="W180" s="4"/>
      <c r="X180" s="4"/>
      <c r="Y180" s="4"/>
      <c r="Z180" s="4"/>
    </row>
    <row r="181" spans="1:26" ht="22.5" customHeight="1" x14ac:dyDescent="0.25">
      <c r="A181" s="2"/>
      <c r="B181" s="2"/>
      <c r="C181" s="2"/>
      <c r="D181" s="2"/>
      <c r="E181" s="2"/>
      <c r="F181" s="4"/>
      <c r="G181" s="4"/>
      <c r="H181" s="4" t="s">
        <v>130</v>
      </c>
      <c r="I181" s="4" t="str">
        <f ca="1">IFERROR(__xludf.DUMMYFUNCTION("GOOGLETRANSLATE(B181,""en"",""ar"")"),"تُعد أرضية الملعب الرملية أو الترابية مهمة لأنها...")</f>
        <v>تُعد أرضية الملعب الرملية أو الترابية مهمة لأنها...</v>
      </c>
      <c r="J181" s="4" t="str">
        <f ca="1">IFERROR(__xludf.DUMMYFUNCTION("GOOGLETRANSLATE(C181,""en"",""ar"")"),"أ) يوفر ثباتًا جيدًا للثيران، ب) ناعم ويقلل من خطر الإصابة، ج) سهل التنظيف، د) كل من أ و ب")</f>
        <v>أ) يوفر ثباتًا جيدًا للثيران، ب) ناعم ويقلل من خطر الإصابة، ج) سهل التنظيف، د) كل من أ و ب</v>
      </c>
      <c r="K181" s="4" t="str">
        <f ca="1">IFERROR(__xludf.DUMMYFUNCTION("GOOGLETRANSLATE(D181,""en"",""ar"")"),"د) كل من أ و ب")</f>
        <v>د) كل من أ و ب</v>
      </c>
      <c r="L181" s="4" t="str">
        <f ca="1">IFERROR(__xludf.DUMMYFUNCTION("GOOGLETRANSLATE(D181,""en"",""ar"")"),"د) كل من أ و ب")</f>
        <v>د) كل من أ و ب</v>
      </c>
      <c r="M181" s="4"/>
      <c r="N181" s="4"/>
      <c r="O181" s="4"/>
      <c r="P181" s="4"/>
      <c r="Q181" s="4"/>
      <c r="R181" s="4"/>
      <c r="S181" s="4"/>
      <c r="T181" s="4"/>
      <c r="U181" s="4"/>
      <c r="V181" s="4"/>
      <c r="W181" s="4"/>
      <c r="X181" s="4"/>
      <c r="Y181" s="4"/>
      <c r="Z181" s="4"/>
    </row>
    <row r="182" spans="1:26" ht="22.5" customHeight="1" x14ac:dyDescent="0.25">
      <c r="A182" s="2"/>
      <c r="B182" s="2"/>
      <c r="C182" s="2"/>
      <c r="D182" s="2"/>
      <c r="E182" s="2"/>
      <c r="F182" s="4"/>
      <c r="G182" s="4"/>
      <c r="H182" s="4" t="s">
        <v>131</v>
      </c>
      <c r="I182" s="4" t="str">
        <f ca="1">IFERROR(__xludf.DUMMYFUNCTION("GOOGLETRANSLATE(B182,""en"",""ar"")"),"ما هو سياق هذه الصورة؟")</f>
        <v>ما هو سياق هذه الصورة؟</v>
      </c>
      <c r="J182" s="4" t="str">
        <f ca="1">IFERROR(__xludf.DUMMYFUNCTION("GOOGLETRANSLATE(C182,""en"",""ar"")"),"أ) ساحة داخلية مزدحمة، ب) مرعى مظلم وكئيب في منطقة جبلية، ج) شاطئ مشرق مشمس، د) شارع مزدحم في المدينة")</f>
        <v>أ) ساحة داخلية مزدحمة، ب) مرعى مظلم وكئيب في منطقة جبلية، ج) شاطئ مشرق مشمس، د) شارع مزدحم في المدينة</v>
      </c>
      <c r="K182" s="4" t="str">
        <f ca="1">IFERROR(__xludf.DUMMYFUNCTION("GOOGLETRANSLATE(D182,""en"",""ar"")"),"ب) مرعى مظلم وكئيب في منطقة جبلية")</f>
        <v>ب) مرعى مظلم وكئيب في منطقة جبلية</v>
      </c>
      <c r="L182" s="4" t="str">
        <f ca="1">IFERROR(__xludf.DUMMYFUNCTION("GOOGLETRANSLATE(D182,""en"",""ar"")"),"ب) مرعى مظلم وكئيب في منطقة جبلية")</f>
        <v>ب) مرعى مظلم وكئيب في منطقة جبلية</v>
      </c>
      <c r="M182" s="4"/>
      <c r="N182" s="4"/>
      <c r="O182" s="4"/>
      <c r="P182" s="4"/>
      <c r="Q182" s="4"/>
      <c r="R182" s="4"/>
      <c r="S182" s="4"/>
      <c r="T182" s="4"/>
      <c r="U182" s="4"/>
      <c r="V182" s="4"/>
      <c r="W182" s="4"/>
      <c r="X182" s="4"/>
      <c r="Y182" s="4"/>
      <c r="Z182" s="4"/>
    </row>
    <row r="183" spans="1:26" ht="22.5" customHeight="1" x14ac:dyDescent="0.25">
      <c r="A183" s="2"/>
      <c r="B183" s="2"/>
      <c r="C183" s="2"/>
      <c r="D183" s="2"/>
      <c r="E183" s="2"/>
      <c r="F183" s="4"/>
      <c r="G183" s="4"/>
      <c r="H183" s="4" t="s">
        <v>131</v>
      </c>
      <c r="I183" s="4" t="str">
        <f ca="1">IFERROR(__xludf.DUMMYFUNCTION("GOOGLETRANSLATE(B183,""en"",""ar"")"),"ما هو التأثير الذي يخلقه إضاءة المشهد، حيث تكون الحيوانات في الغالب في الظل؟")</f>
        <v>ما هو التأثير الذي يخلقه إضاءة المشهد، حيث تكون الحيوانات في الغالب في الظل؟</v>
      </c>
      <c r="J183" s="4" t="str">
        <f ca="1">IFERROR(__xludf.DUMMYFUNCTION("GOOGLETRANSLATE(C183,""en"",""ar"")"),"أ) رؤية واضحة ومفصلة للأبقار، ب) تأثير الظلال الذي يُبرز أشكالها، ج) جوٌّ مشرق ومبهج، د) الانطباع بأنه منتصف النهار")</f>
        <v>أ) رؤية واضحة ومفصلة للأبقار، ب) تأثير الظلال الذي يُبرز أشكالها، ج) جوٌّ مشرق ومبهج، د) الانطباع بأنه منتصف النهار</v>
      </c>
      <c r="K183" s="4" t="str">
        <f ca="1">IFERROR(__xludf.DUMMYFUNCTION("GOOGLETRANSLATE(D183,""en"",""ar"")"),"ب) تأثير الظل، مما يبرز أشكالها")</f>
        <v>ب) تأثير الظل، مما يبرز أشكالها</v>
      </c>
      <c r="L183" s="4" t="str">
        <f ca="1">IFERROR(__xludf.DUMMYFUNCTION("GOOGLETRANSLATE(D183,""en"",""ar"")"),"ب) تأثير الظل، مما يبرز أشكالها")</f>
        <v>ب) تأثير الظل، مما يبرز أشكالها</v>
      </c>
      <c r="M183" s="4"/>
      <c r="N183" s="4"/>
      <c r="O183" s="4"/>
      <c r="P183" s="4"/>
      <c r="Q183" s="4"/>
      <c r="R183" s="4"/>
      <c r="S183" s="4"/>
      <c r="T183" s="4"/>
      <c r="U183" s="4"/>
      <c r="V183" s="4"/>
      <c r="W183" s="4"/>
      <c r="X183" s="4"/>
      <c r="Y183" s="4"/>
      <c r="Z183" s="4"/>
    </row>
    <row r="184" spans="1:26" ht="22.5" customHeight="1" x14ac:dyDescent="0.25">
      <c r="A184" s="2"/>
      <c r="B184" s="2"/>
      <c r="C184" s="2"/>
      <c r="D184" s="2"/>
      <c r="E184" s="2"/>
      <c r="F184" s="4"/>
      <c r="G184" s="4"/>
      <c r="H184" s="4" t="s">
        <v>131</v>
      </c>
      <c r="I184" s="4" t="str">
        <f ca="1">IFERROR(__xludf.DUMMYFUNCTION("GOOGLETRANSLATE(B184,""en"",""ar"")"),"ماذا تفعل البقرتان اللتان تقعان في وسط القطيع؟")</f>
        <v>ماذا تفعل البقرتان اللتان تقعان في وسط القطيع؟</v>
      </c>
      <c r="J184" s="4" t="str">
        <f ca="1">IFERROR(__xludf.DUMMYFUNCTION("GOOGLETRANSLATE(C184,""en"",""ar"")"),"أ) إنهم نائمون، ب) إنهم يتقاتلون من أجل السيطرة، ج) إنهم يتقاسمون الطعام، د) إنهم يخوضون سباقاً")</f>
        <v>أ) إنهم نائمون، ب) إنهم يتقاتلون من أجل السيطرة، ج) إنهم يتقاسمون الطعام، د) إنهم يخوضون سباقاً</v>
      </c>
      <c r="K184" s="4" t="str">
        <f ca="1">IFERROR(__xludf.DUMMYFUNCTION("GOOGLETRANSLATE(D184,""en"",""ar"")"),"ب) إنهم يتقاتلون من أجل الهيمنة")</f>
        <v>ب) إنهم يتقاتلون من أجل الهيمنة</v>
      </c>
      <c r="L184" s="4" t="str">
        <f ca="1">IFERROR(__xludf.DUMMYFUNCTION("GOOGLETRANSLATE(D184,""en"",""ar"")"),"ب) إنهم يتقاتلون من أجل الهيمنة")</f>
        <v>ب) إنهم يتقاتلون من أجل الهيمنة</v>
      </c>
      <c r="M184" s="4"/>
      <c r="N184" s="4"/>
      <c r="O184" s="4"/>
      <c r="P184" s="4"/>
      <c r="Q184" s="4"/>
      <c r="R184" s="4"/>
      <c r="S184" s="4"/>
      <c r="T184" s="4"/>
      <c r="U184" s="4"/>
      <c r="V184" s="4"/>
      <c r="W184" s="4"/>
      <c r="X184" s="4"/>
      <c r="Y184" s="4"/>
      <c r="Z184" s="4"/>
    </row>
    <row r="185" spans="1:26" ht="22.5" customHeight="1" x14ac:dyDescent="0.25">
      <c r="A185" s="2"/>
      <c r="B185" s="2"/>
      <c r="C185" s="2"/>
      <c r="D185" s="2"/>
      <c r="E185" s="2"/>
      <c r="F185" s="4"/>
      <c r="G185" s="4"/>
      <c r="H185" s="4" t="s">
        <v>131</v>
      </c>
      <c r="I185" s="4" t="str">
        <f ca="1">IFERROR(__xludf.DUMMYFUNCTION("GOOGLETRANSLATE(B185,""en"",""ar"")"),"من المرجح أن يكون هذا التفاعل...")</f>
        <v>من المرجح أن يكون هذا التفاعل...</v>
      </c>
      <c r="J185" s="4" t="str">
        <f ca="1">IFERROR(__xludf.DUMMYFUNCTION("GOOGLETRANSLATE(C185,""en"",""ar"")"),"أ) منافسة رسمية ومنظمة، ب) عرض طبيعي للسلوك الاجتماعي داخل القطيع، ج) معركة نادرة ومهددة للحياة، د) خدعة يعلمها المزارع")</f>
        <v>أ) منافسة رسمية ومنظمة، ب) عرض طبيعي للسلوك الاجتماعي داخل القطيع، ج) معركة نادرة ومهددة للحياة، د) خدعة يعلمها المزارع</v>
      </c>
      <c r="K185" s="4" t="str">
        <f ca="1">IFERROR(__xludf.DUMMYFUNCTION("GOOGLETRANSLATE(D185,""en"",""ar"")"),"ب) عرض طبيعي للسلوك الاجتماعي داخل القطيع")</f>
        <v>ب) عرض طبيعي للسلوك الاجتماعي داخل القطيع</v>
      </c>
      <c r="L185" s="4" t="str">
        <f ca="1">IFERROR(__xludf.DUMMYFUNCTION("GOOGLETRANSLATE(D185,""en"",""ar"")"),"ب) عرض طبيعي للسلوك الاجتماعي داخل القطيع")</f>
        <v>ب) عرض طبيعي للسلوك الاجتماعي داخل القطيع</v>
      </c>
      <c r="M185" s="4"/>
      <c r="N185" s="4"/>
      <c r="O185" s="4"/>
      <c r="P185" s="4"/>
      <c r="Q185" s="4"/>
      <c r="R185" s="4"/>
      <c r="S185" s="4"/>
      <c r="T185" s="4"/>
      <c r="U185" s="4"/>
      <c r="V185" s="4"/>
      <c r="W185" s="4"/>
      <c r="X185" s="4"/>
      <c r="Y185" s="4"/>
      <c r="Z185" s="4"/>
    </row>
    <row r="186" spans="1:26" ht="22.5" customHeight="1" x14ac:dyDescent="0.25">
      <c r="A186" s="2"/>
      <c r="B186" s="2"/>
      <c r="C186" s="2"/>
      <c r="D186" s="2"/>
      <c r="E186" s="2"/>
      <c r="F186" s="4"/>
      <c r="G186" s="4"/>
      <c r="H186" s="4" t="s">
        <v>131</v>
      </c>
      <c r="I186" s="4" t="str">
        <f ca="1">IFERROR(__xludf.DUMMYFUNCTION("GOOGLETRANSLATE(B186,""en"",""ar"")"),"من المرجح أن يكون سلالة هذه الماشية الداكنة ذات اللون الموحد، والمعروفة بميلها للقتال، ...")</f>
        <v>من المرجح أن يكون سلالة هذه الماشية الداكنة ذات اللون الموحد، والمعروفة بميلها للقتال، ...</v>
      </c>
      <c r="J186" s="4" t="str">
        <f ca="1">IFERROR(__xludf.DUMMYFUNCTION("GOOGLETRANSLATE(C186,""en"",""ar"")"),"أ) هولشتاين، ب) هيريفورد، ج) هيرين، د) جيرسي")</f>
        <v>أ) هولشتاين، ب) هيريفورد، ج) هيرين، د) جيرسي</v>
      </c>
      <c r="K186" s="4" t="str">
        <f ca="1">IFERROR(__xludf.DUMMYFUNCTION("GOOGLETRANSLATE(D186,""en"",""ar"")"),"ج) هيرنس")</f>
        <v>ج) هيرنس</v>
      </c>
      <c r="L186" s="4" t="str">
        <f ca="1">IFERROR(__xludf.DUMMYFUNCTION("GOOGLETRANSLATE(D186,""en"",""ar"")"),"ج) هيرنس")</f>
        <v>ج) هيرنس</v>
      </c>
      <c r="M186" s="4"/>
      <c r="N186" s="4"/>
      <c r="O186" s="4"/>
      <c r="P186" s="4"/>
      <c r="Q186" s="4"/>
      <c r="R186" s="4"/>
      <c r="S186" s="4"/>
      <c r="T186" s="4"/>
      <c r="U186" s="4"/>
      <c r="V186" s="4"/>
      <c r="W186" s="4"/>
      <c r="X186" s="4"/>
      <c r="Y186" s="4"/>
      <c r="Z186" s="4"/>
    </row>
    <row r="187" spans="1:26" ht="22.5" customHeight="1" x14ac:dyDescent="0.25">
      <c r="A187" s="2"/>
      <c r="B187" s="2"/>
      <c r="C187" s="2"/>
      <c r="D187" s="2"/>
      <c r="E187" s="2"/>
      <c r="F187" s="4"/>
      <c r="G187" s="4"/>
      <c r="H187" s="4" t="s">
        <v>131</v>
      </c>
      <c r="I187" s="4" t="str">
        <f ca="1">IFERROR(__xludf.DUMMYFUNCTION("GOOGLETRANSLATE(B187,""en"",""ar"")"),"ماذا تفعل الحيوانات الأخرى في القطيع؟")</f>
        <v>ماذا تفعل الحيوانات الأخرى في القطيع؟</v>
      </c>
      <c r="J187" s="4" t="str">
        <f ca="1">IFERROR(__xludf.DUMMYFUNCTION("GOOGLETRANSLATE(C187,""en"",""ar"")"),"أ) جميعهم ينضمون إلى القتال، ب) يشاهدون القتال باهتمام، ج) معظمهم يستريحون أو يقفون بهدوء، د) يهربون خوفاً")</f>
        <v>أ) جميعهم ينضمون إلى القتال، ب) يشاهدون القتال باهتمام، ج) معظمهم يستريحون أو يقفون بهدوء، د) يهربون خوفاً</v>
      </c>
      <c r="K187" s="4" t="str">
        <f ca="1">IFERROR(__xludf.DUMMYFUNCTION("GOOGLETRANSLATE(D187,""en"",""ar"")"),"ج) إنهم في الغالب يستريحون أو يقفون بهدوء")</f>
        <v>ج) إنهم في الغالب يستريحون أو يقفون بهدوء</v>
      </c>
      <c r="L187" s="4" t="str">
        <f ca="1">IFERROR(__xludf.DUMMYFUNCTION("GOOGLETRANSLATE(D187,""en"",""ar"")"),"ج) إنهم في الغالب يستريحون أو يقفون بهدوء")</f>
        <v>ج) إنهم في الغالب يستريحون أو يقفون بهدوء</v>
      </c>
      <c r="M187" s="4"/>
      <c r="N187" s="4"/>
      <c r="O187" s="4"/>
      <c r="P187" s="4"/>
      <c r="Q187" s="4"/>
      <c r="R187" s="4"/>
      <c r="S187" s="4"/>
      <c r="T187" s="4"/>
      <c r="U187" s="4"/>
      <c r="V187" s="4"/>
      <c r="W187" s="4"/>
      <c r="X187" s="4"/>
      <c r="Y187" s="4"/>
      <c r="Z187" s="4"/>
    </row>
    <row r="188" spans="1:26" ht="22.5" customHeight="1" x14ac:dyDescent="0.25">
      <c r="A188" s="2"/>
      <c r="B188" s="2"/>
      <c r="C188" s="2"/>
      <c r="D188" s="2"/>
      <c r="E188" s="2"/>
      <c r="F188" s="4"/>
      <c r="G188" s="4"/>
      <c r="H188" s="4" t="s">
        <v>131</v>
      </c>
      <c r="I188" s="4" t="str">
        <f ca="1">IFERROR(__xludf.DUMMYFUNCTION("GOOGLETRANSLATE(B188,""en"",""ar"")"),"السياج الظاهر في الصورة هو...")</f>
        <v>السياج الظاهر في الصورة هو...</v>
      </c>
      <c r="J188" s="4" t="str">
        <f ca="1">IFERROR(__xludf.DUMMYFUNCTION("GOOGLETRANSLATE(C188,""en"",""ar"")"),"أ) جدار طويل متين، ب) سياج مرعى بسيط بأعمدة وأسلاك، ج) درابزين معدني مزخرف، د) حاجز من الحبال")</f>
        <v>أ) جدار طويل متين، ب) سياج مرعى بسيط بأعمدة وأسلاك، ج) درابزين معدني مزخرف، د) حاجز من الحبال</v>
      </c>
      <c r="K188" s="4" t="str">
        <f ca="1">IFERROR(__xludf.DUMMYFUNCTION("GOOGLETRANSLATE(D188,""en"",""ar"")"),"ب) سياج مرعى بسيط بأعمدة وأسلاك")</f>
        <v>ب) سياج مرعى بسيط بأعمدة وأسلاك</v>
      </c>
      <c r="L188" s="4" t="str">
        <f ca="1">IFERROR(__xludf.DUMMYFUNCTION("GOOGLETRANSLATE(D188,""en"",""ar"")"),"ب) سياج مرعى بسيط بأعمدة وأسلاك")</f>
        <v>ب) سياج مرعى بسيط بأعمدة وأسلاك</v>
      </c>
      <c r="M188" s="4"/>
      <c r="N188" s="4"/>
      <c r="O188" s="4"/>
      <c r="P188" s="4"/>
      <c r="Q188" s="4"/>
      <c r="R188" s="4"/>
      <c r="S188" s="4"/>
      <c r="T188" s="4"/>
      <c r="U188" s="4"/>
      <c r="V188" s="4"/>
      <c r="W188" s="4"/>
      <c r="X188" s="4"/>
      <c r="Y188" s="4"/>
      <c r="Z188" s="4"/>
    </row>
    <row r="189" spans="1:26" ht="22.5" customHeight="1" x14ac:dyDescent="0.25">
      <c r="A189" s="2"/>
      <c r="B189" s="2"/>
      <c r="C189" s="2"/>
      <c r="D189" s="2"/>
      <c r="E189" s="2"/>
      <c r="F189" s="4"/>
      <c r="G189" s="4"/>
      <c r="H189" s="4" t="s">
        <v>131</v>
      </c>
      <c r="I189" s="4" t="str">
        <f ca="1">IFERROR(__xludf.DUMMYFUNCTION("GOOGLETRANSLATE(B189,""en"",""ar"")"),"الأرض في المقدمة هي...")</f>
        <v>الأرض في المقدمة هي...</v>
      </c>
      <c r="J189" s="4" t="str">
        <f ca="1">IFERROR(__xludf.DUMMYFUNCTION("GOOGLETRANSLATE(C189,""en"",""ar"")"),"أ) مغطاة بالعشب الأخضر الكثيف، ب) جافة ومغبرة، ج) صخرية، د) موحلة ومُداسة جيداً")</f>
        <v>أ) مغطاة بالعشب الأخضر الكثيف، ب) جافة ومغبرة، ج) صخرية، د) موحلة ومُداسة جيداً</v>
      </c>
      <c r="K189" s="4" t="str">
        <f ca="1">IFERROR(__xludf.DUMMYFUNCTION("GOOGLETRANSLATE(D189,""en"",""ar"")"),"د) موحلة ومُداسة جيداً")</f>
        <v>د) موحلة ومُداسة جيداً</v>
      </c>
      <c r="L189" s="4" t="str">
        <f ca="1">IFERROR(__xludf.DUMMYFUNCTION("GOOGLETRANSLATE(D189,""en"",""ar"")"),"د) موحلة ومُداسة جيداً")</f>
        <v>د) موحلة ومُداسة جيداً</v>
      </c>
      <c r="M189" s="4"/>
      <c r="N189" s="4"/>
      <c r="O189" s="4"/>
      <c r="P189" s="4"/>
      <c r="Q189" s="4"/>
      <c r="R189" s="4"/>
      <c r="S189" s="4"/>
      <c r="T189" s="4"/>
      <c r="U189" s="4"/>
      <c r="V189" s="4"/>
      <c r="W189" s="4"/>
      <c r="X189" s="4"/>
      <c r="Y189" s="4"/>
      <c r="Z189" s="4"/>
    </row>
    <row r="190" spans="1:26" ht="22.5" customHeight="1" x14ac:dyDescent="0.25">
      <c r="A190" s="2"/>
      <c r="B190" s="2"/>
      <c r="C190" s="2"/>
      <c r="D190" s="2"/>
      <c r="E190" s="2"/>
      <c r="F190" s="4"/>
      <c r="G190" s="4"/>
      <c r="H190" s="4" t="s">
        <v>131</v>
      </c>
      <c r="I190" s="4" t="str">
        <f ca="1">IFERROR(__xludf.DUMMYFUNCTION("GOOGLETRANSLATE(B190,""en"",""ar"")"),"تُجسد هذه الصورة لحظة...")</f>
        <v>تُجسد هذه الصورة لحظة...</v>
      </c>
      <c r="J190" s="4" t="str">
        <f ca="1">IFERROR(__xludf.DUMMYFUNCTION("GOOGLETRANSLATE(C190,""en"",""ar"")"),"أ) صاخب وفوضوي، ب) هادئ وذو أجواء مميزة، ج) مليء بالألوان الزاهية، د) مزدحم جداً بالناس")</f>
        <v>أ) صاخب وفوضوي، ب) هادئ وذو أجواء مميزة، ج) مليء بالألوان الزاهية، د) مزدحم جداً بالناس</v>
      </c>
      <c r="K190" s="4" t="str">
        <f ca="1">IFERROR(__xludf.DUMMYFUNCTION("GOOGLETRANSLATE(D190,""en"",""ar"")"),"ب) هادئ وذو أجواء مميزة")</f>
        <v>ب) هادئ وذو أجواء مميزة</v>
      </c>
      <c r="L190" s="4" t="str">
        <f ca="1">IFERROR(__xludf.DUMMYFUNCTION("GOOGLETRANSLATE(D190,""en"",""ar"")"),"ب) هادئ وذو أجواء مميزة")</f>
        <v>ب) هادئ وذو أجواء مميزة</v>
      </c>
      <c r="M190" s="4"/>
      <c r="N190" s="4"/>
      <c r="O190" s="4"/>
      <c r="P190" s="4"/>
      <c r="Q190" s="4"/>
      <c r="R190" s="4"/>
      <c r="S190" s="4"/>
      <c r="T190" s="4"/>
      <c r="U190" s="4"/>
      <c r="V190" s="4"/>
      <c r="W190" s="4"/>
      <c r="X190" s="4"/>
      <c r="Y190" s="4"/>
      <c r="Z190" s="4"/>
    </row>
    <row r="191" spans="1:26" ht="22.5" customHeight="1" x14ac:dyDescent="0.25">
      <c r="A191" s="2"/>
      <c r="B191" s="2"/>
      <c r="C191" s="2"/>
      <c r="D191" s="2"/>
      <c r="E191" s="2"/>
      <c r="F191" s="4"/>
      <c r="G191" s="4"/>
      <c r="H191" s="4" t="s">
        <v>131</v>
      </c>
      <c r="I191" s="4" t="str">
        <f ca="1">IFERROR(__xludf.DUMMYFUNCTION("GOOGLETRANSLATE(B191,""en"",""ar"")"),"سينتهي الشجار بين البقرتين عندما...")</f>
        <v>سينتهي الشجار بين البقرتين عندما...</v>
      </c>
      <c r="J191" s="4" t="str">
        <f ca="1">IFERROR(__xludf.DUMMYFUNCTION("GOOGLETRANSLATE(C191,""en"",""ar"")"),"أ) يُطلق الحكم صافرته، ب) تستدير بقرة واحدة وتمشي بعيدًا، ج) تغرب الشمس، د) ينادي المزارع الأبقار لحلبها")</f>
        <v>أ) يُطلق الحكم صافرته، ب) تستدير بقرة واحدة وتمشي بعيدًا، ج) تغرب الشمس، د) ينادي المزارع الأبقار لحلبها</v>
      </c>
      <c r="K191" s="4" t="str">
        <f ca="1">IFERROR(__xludf.DUMMYFUNCTION("GOOGLETRANSLATE(D191,""en"",""ar"")"),"ب) استدارت بقرة واحدة ومشت بعيدًا")</f>
        <v>ب) استدارت بقرة واحدة ومشت بعيدًا</v>
      </c>
      <c r="L191" s="4" t="str">
        <f ca="1">IFERROR(__xludf.DUMMYFUNCTION("GOOGLETRANSLATE(D191,""en"",""ar"")"),"ب) استدارت بقرة واحدة ومشت بعيدًا")</f>
        <v>ب) استدارت بقرة واحدة ومشت بعيدًا</v>
      </c>
      <c r="M191" s="4"/>
      <c r="N191" s="4"/>
      <c r="O191" s="4"/>
      <c r="P191" s="4"/>
      <c r="Q191" s="4"/>
      <c r="R191" s="4"/>
      <c r="S191" s="4"/>
      <c r="T191" s="4"/>
      <c r="U191" s="4"/>
      <c r="V191" s="4"/>
      <c r="W191" s="4"/>
      <c r="X191" s="4"/>
      <c r="Y191" s="4"/>
      <c r="Z191" s="4"/>
    </row>
    <row r="192" spans="1:26" ht="22.5" customHeight="1" x14ac:dyDescent="0.25">
      <c r="A192" s="2"/>
      <c r="B192" s="2"/>
      <c r="C192" s="2"/>
      <c r="D192" s="2"/>
      <c r="E192" s="2"/>
      <c r="F192" s="4"/>
      <c r="G192" s="4"/>
      <c r="H192" s="4" t="s">
        <v>132</v>
      </c>
      <c r="I192" s="4" t="str">
        <f ca="1">IFERROR(__xludf.DUMMYFUNCTION("GOOGLETRANSLATE(B192,""en"",""ar"")"),"ما هو الموضوع الرئيسي لهذه الصورة؟")</f>
        <v>ما هو الموضوع الرئيسي لهذه الصورة؟</v>
      </c>
      <c r="J192" s="4" t="str">
        <f ca="1">IFERROR(__xludf.DUMMYFUNCTION("GOOGLETRANSLATE(C192,""en"",""ar"")"),"أ) قطيع كبير من الماشية يتصارع، ب) صورة لبقرة واحدة، ج) مزاد للماشية، د) حدث روديو")</f>
        <v>أ) قطيع كبير من الماشية يتصارع، ب) صورة لبقرة واحدة، ج) مزاد للماشية، د) حدث روديو</v>
      </c>
      <c r="K192" s="4" t="str">
        <f ca="1">IFERROR(__xludf.DUMMYFUNCTION("GOOGLETRANSLATE(D192,""en"",""ar"")"),"ب) صورة لبقرة واحدة")</f>
        <v>ب) صورة لبقرة واحدة</v>
      </c>
      <c r="L192" s="4" t="str">
        <f ca="1">IFERROR(__xludf.DUMMYFUNCTION("GOOGLETRANSLATE(D192,""en"",""ar"")"),"ب) صورة لبقرة واحدة")</f>
        <v>ب) صورة لبقرة واحدة</v>
      </c>
      <c r="M192" s="4"/>
      <c r="N192" s="4"/>
      <c r="O192" s="4"/>
      <c r="P192" s="4"/>
      <c r="Q192" s="4"/>
      <c r="R192" s="4"/>
      <c r="S192" s="4"/>
      <c r="T192" s="4"/>
      <c r="U192" s="4"/>
      <c r="V192" s="4"/>
      <c r="W192" s="4"/>
      <c r="X192" s="4"/>
      <c r="Y192" s="4"/>
      <c r="Z192" s="4"/>
    </row>
    <row r="193" spans="1:26" ht="22.5" customHeight="1" x14ac:dyDescent="0.25">
      <c r="A193" s="2"/>
      <c r="B193" s="2"/>
      <c r="C193" s="2"/>
      <c r="D193" s="2"/>
      <c r="E193" s="2"/>
      <c r="F193" s="4"/>
      <c r="G193" s="4"/>
      <c r="H193" s="4" t="s">
        <v>132</v>
      </c>
      <c r="I193" s="4" t="str">
        <f ca="1">IFERROR(__xludf.DUMMYFUNCTION("GOOGLETRANSLATE(B193,""en"",""ar"")"),"ما هي الحالة النفسية لهذه البقرة؟")</f>
        <v>ما هي الحالة النفسية لهذه البقرة؟</v>
      </c>
      <c r="J193" s="4" t="str">
        <f ca="1">IFERROR(__xludf.DUMMYFUNCTION("GOOGLETRANSLATE(C193,""en"",""ar"")"),"أ) إنه عدواني للغاية وعلى وشك الهجوم، ب) إنه خائف ومذعور، ج) إنه هادئ وساكن، د) إنه نعسان وملول")</f>
        <v>أ) إنه عدواني للغاية وعلى وشك الهجوم، ب) إنه خائف ومذعور، ج) إنه هادئ وساكن، د) إنه نعسان وملول</v>
      </c>
      <c r="K193" s="4" t="str">
        <f ca="1">IFERROR(__xludf.DUMMYFUNCTION("GOOGLETRANSLATE(D193,""en"",""ar"")"),"ج) إنه هادئ وساكن")</f>
        <v>ج) إنه هادئ وساكن</v>
      </c>
      <c r="L193" s="4" t="str">
        <f ca="1">IFERROR(__xludf.DUMMYFUNCTION("GOOGLETRANSLATE(D193,""en"",""ar"")"),"ج) إنه هادئ وساكن")</f>
        <v>ج) إنه هادئ وساكن</v>
      </c>
      <c r="M193" s="4"/>
      <c r="N193" s="4"/>
      <c r="O193" s="4"/>
      <c r="P193" s="4"/>
      <c r="Q193" s="4"/>
      <c r="R193" s="4"/>
      <c r="S193" s="4"/>
      <c r="T193" s="4"/>
      <c r="U193" s="4"/>
      <c r="V193" s="4"/>
      <c r="W193" s="4"/>
      <c r="X193" s="4"/>
      <c r="Y193" s="4"/>
      <c r="Z193" s="4"/>
    </row>
    <row r="194" spans="1:26" ht="22.5" customHeight="1" x14ac:dyDescent="0.25">
      <c r="A194" s="2"/>
      <c r="B194" s="2"/>
      <c r="C194" s="2"/>
      <c r="D194" s="2"/>
      <c r="E194" s="2"/>
      <c r="F194" s="4"/>
      <c r="G194" s="4"/>
      <c r="H194" s="4" t="s">
        <v>132</v>
      </c>
      <c r="I194" s="4" t="str">
        <f ca="1">IFERROR(__xludf.DUMMYFUNCTION("GOOGLETRANSLATE(B194,""en"",""ar"")"),"ما هو على الأرجح سلالة هذه البقرة؟")</f>
        <v>ما هو على الأرجح سلالة هذه البقرة؟</v>
      </c>
      <c r="J194" s="4" t="str">
        <f ca="1">IFERROR(__xludf.DUMMYFUNCTION("GOOGLETRANSLATE(C194,""en"",""ar"")"),"أ) سلالة قتالية مثل هيرينز، ب) زيبو، ج) سلالة ألبان مثل أيرشاير أو سلالة ثنائية الغرض مثل سيمينتال، د) جاموس بري")</f>
        <v>أ) سلالة قتالية مثل هيرينز، ب) زيبو، ج) سلالة ألبان مثل أيرشاير أو سلالة ثنائية الغرض مثل سيمينتال، د) جاموس بري</v>
      </c>
      <c r="K194" s="4" t="str">
        <f ca="1">IFERROR(__xludf.DUMMYFUNCTION("GOOGLETRANSLATE(D194,""en"",""ar"")"),"ج) سلالة ألبان مثل أيرشاير أو سلالة ثنائية الغرض مثل سيمينتال")</f>
        <v>ج) سلالة ألبان مثل أيرشاير أو سلالة ثنائية الغرض مثل سيمينتال</v>
      </c>
      <c r="L194" s="4" t="str">
        <f ca="1">IFERROR(__xludf.DUMMYFUNCTION("GOOGLETRANSLATE(D194,""en"",""ar"")"),"ج) سلالة ألبان مثل أيرشاير أو سلالة ثنائية الغرض مثل سيمينتال")</f>
        <v>ج) سلالة ألبان مثل أيرشاير أو سلالة ثنائية الغرض مثل سيمينتال</v>
      </c>
      <c r="M194" s="4"/>
      <c r="N194" s="4"/>
      <c r="O194" s="4"/>
      <c r="P194" s="4"/>
      <c r="Q194" s="4"/>
      <c r="R194" s="4"/>
      <c r="S194" s="4"/>
      <c r="T194" s="4"/>
      <c r="U194" s="4"/>
      <c r="V194" s="4"/>
      <c r="W194" s="4"/>
      <c r="X194" s="4"/>
      <c r="Y194" s="4"/>
      <c r="Z194" s="4"/>
    </row>
    <row r="195" spans="1:26" ht="22.5" customHeight="1" x14ac:dyDescent="0.25">
      <c r="A195" s="2"/>
      <c r="B195" s="2"/>
      <c r="C195" s="2"/>
      <c r="D195" s="2"/>
      <c r="E195" s="2"/>
      <c r="F195" s="4"/>
      <c r="G195" s="4"/>
      <c r="H195" s="4" t="s">
        <v>132</v>
      </c>
      <c r="I195" s="4" t="str">
        <f ca="1">IFERROR(__xludf.DUMMYFUNCTION("GOOGLETRANSLATE(B195,""en"",""ar"")"),"الإضاءة في الصورة هي...")</f>
        <v>الإضاءة في الصورة هي...</v>
      </c>
      <c r="J195" s="4" t="str">
        <f ca="1">IFERROR(__xludf.DUMMYFUNCTION("GOOGLETRANSLATE(C195,""en"",""ar"")"),"أ) قاسية ومباشرة، من شمس الظهيرة، ب) داكنة، من ضوء كاشف واحد ليلاً، ج) ناعمة ودافئة، على الأرجح من ""الساعة الذهبية""، د) ناتجة عن وميض الكاميرا")</f>
        <v>أ) قاسية ومباشرة، من شمس الظهيرة، ب) داكنة، من ضوء كاشف واحد ليلاً، ج) ناعمة ودافئة، على الأرجح من "الساعة الذهبية"، د) ناتجة عن وميض الكاميرا</v>
      </c>
      <c r="K195" s="4" t="str">
        <f ca="1">IFERROR(__xludf.DUMMYFUNCTION("GOOGLETRANSLATE(D195,""en"",""ar"")"),"ج) ناعم ودافئ، على الأرجح من ""الساعة الذهبية""")</f>
        <v>ج) ناعم ودافئ، على الأرجح من "الساعة الذهبية"</v>
      </c>
      <c r="L195" s="4" t="str">
        <f ca="1">IFERROR(__xludf.DUMMYFUNCTION("GOOGLETRANSLATE(D195,""en"",""ar"")"),"ج) ناعم ودافئ، على الأرجح من ""الساعة الذهبية""")</f>
        <v>ج) ناعم ودافئ، على الأرجح من "الساعة الذهبية"</v>
      </c>
      <c r="M195" s="4"/>
      <c r="N195" s="4"/>
      <c r="O195" s="4"/>
      <c r="P195" s="4"/>
      <c r="Q195" s="4"/>
      <c r="R195" s="4"/>
      <c r="S195" s="4"/>
      <c r="T195" s="4"/>
      <c r="U195" s="4"/>
      <c r="V195" s="4"/>
      <c r="W195" s="4"/>
      <c r="X195" s="4"/>
      <c r="Y195" s="4"/>
      <c r="Z195" s="4"/>
    </row>
    <row r="196" spans="1:26" ht="22.5" customHeight="1" x14ac:dyDescent="0.25">
      <c r="A196" s="2"/>
      <c r="B196" s="2"/>
      <c r="C196" s="2"/>
      <c r="D196" s="2"/>
      <c r="E196" s="2"/>
      <c r="F196" s="4"/>
      <c r="G196" s="4"/>
      <c r="H196" s="4" t="s">
        <v>132</v>
      </c>
      <c r="I196" s="4" t="str">
        <f ca="1">IFERROR(__xludf.DUMMYFUNCTION("GOOGLETRANSLATE(B196,""en"",""ar"")"),"ما هو الجسم الأبيض الموجود بالقرب من مؤخرة البقرة؟")</f>
        <v>ما هو الجسم الأبيض الموجود بالقرب من مؤخرة البقرة؟</v>
      </c>
      <c r="J196" s="4" t="str">
        <f ca="1">IFERROR(__xludf.DUMMYFUNCTION("GOOGLETRANSLATE(C196,""en"",""ar"")"),"أ) عجل، ب) عمود سياج، ج) ذيل بقرة أخرى، د) كيس بلاستيكي")</f>
        <v>أ) عجل، ب) عمود سياج، ج) ذيل بقرة أخرى، د) كيس بلاستيكي</v>
      </c>
      <c r="K196" s="4" t="str">
        <f ca="1">IFERROR(__xludf.DUMMYFUNCTION("GOOGLETRANSLATE(D196,""en"",""ar"")"),"ج) ذيل بقرة أخرى")</f>
        <v>ج) ذيل بقرة أخرى</v>
      </c>
      <c r="L196" s="4" t="str">
        <f ca="1">IFERROR(__xludf.DUMMYFUNCTION("GOOGLETRANSLATE(D196,""en"",""ar"")"),"ج) ذيل بقرة أخرى")</f>
        <v>ج) ذيل بقرة أخرى</v>
      </c>
      <c r="M196" s="4"/>
      <c r="N196" s="4"/>
      <c r="O196" s="4"/>
      <c r="P196" s="4"/>
      <c r="Q196" s="4"/>
      <c r="R196" s="4"/>
      <c r="S196" s="4"/>
      <c r="T196" s="4"/>
      <c r="U196" s="4"/>
      <c r="V196" s="4"/>
      <c r="W196" s="4"/>
      <c r="X196" s="4"/>
      <c r="Y196" s="4"/>
      <c r="Z196" s="4"/>
    </row>
    <row r="197" spans="1:26" ht="22.5" customHeight="1" x14ac:dyDescent="0.25">
      <c r="A197" s="2"/>
      <c r="B197" s="2"/>
      <c r="C197" s="2"/>
      <c r="D197" s="2"/>
      <c r="E197" s="2"/>
      <c r="F197" s="4"/>
      <c r="G197" s="4"/>
      <c r="H197" s="4" t="s">
        <v>132</v>
      </c>
      <c r="I197" s="4" t="str">
        <f ca="1">IFERROR(__xludf.DUMMYFUNCTION("GOOGLETRANSLATE(B197,""en"",""ar"")"),"هل هذا قتال بين الأبقار؟")</f>
        <v>هل هذا قتال بين الأبقار؟</v>
      </c>
      <c r="J197" s="4" t="str">
        <f ca="1">IFERROR(__xludf.DUMMYFUNCTION("GOOGLETRANSLATE(C197,""en"",""ar"")"),"أ) نعم، إنها تستعد لمقاتلة البقرة المجاورة لها، ب) لا، إنه مشهد سلمي خالٍ من أي صراع، ج) نعم، لقد انتهت للتو من معركة وانتصرت، د) من المستحيل تحديد ذلك")</f>
        <v>أ) نعم، إنها تستعد لمقاتلة البقرة المجاورة لها، ب) لا، إنه مشهد سلمي خالٍ من أي صراع، ج) نعم، لقد انتهت للتو من معركة وانتصرت، د) من المستحيل تحديد ذلك</v>
      </c>
      <c r="K197" s="4" t="str">
        <f ca="1">IFERROR(__xludf.DUMMYFUNCTION("GOOGLETRANSLATE(D197,""en"",""ar"")"),"ب) لا، إنه مشهد سلمي خالٍ من أي نزاع.")</f>
        <v>ب) لا، إنه مشهد سلمي خالٍ من أي نزاع.</v>
      </c>
      <c r="L197" s="4" t="str">
        <f ca="1">IFERROR(__xludf.DUMMYFUNCTION("GOOGLETRANSLATE(D197,""en"",""ar"")"),"ب) لا، إنه مشهد سلمي خالٍ من أي نزاع.")</f>
        <v>ب) لا، إنه مشهد سلمي خالٍ من أي نزاع.</v>
      </c>
      <c r="M197" s="4"/>
      <c r="N197" s="4"/>
      <c r="O197" s="4"/>
      <c r="P197" s="4"/>
      <c r="Q197" s="4"/>
      <c r="R197" s="4"/>
      <c r="S197" s="4"/>
      <c r="T197" s="4"/>
      <c r="U197" s="4"/>
      <c r="V197" s="4"/>
      <c r="W197" s="4"/>
      <c r="X197" s="4"/>
      <c r="Y197" s="4"/>
      <c r="Z197" s="4"/>
    </row>
    <row r="198" spans="1:26" ht="22.5" customHeight="1" x14ac:dyDescent="0.25">
      <c r="A198" s="2"/>
      <c r="B198" s="2"/>
      <c r="C198" s="2"/>
      <c r="D198" s="2"/>
      <c r="E198" s="2"/>
      <c r="F198" s="4"/>
      <c r="G198" s="4"/>
      <c r="H198" s="4" t="s">
        <v>132</v>
      </c>
      <c r="I198" s="4" t="str">
        <f ca="1">IFERROR(__xludf.DUMMYFUNCTION("GOOGLETRANSLATE(B198,""en"",""ar"")"),"الذبابة التي تظهر بالقرب من عين البقرة مشهد شائع لـ...")</f>
        <v>الذبابة التي تظهر بالقرب من عين البقرة مشهد شائع لـ...</v>
      </c>
      <c r="J198" s="4" t="str">
        <f ca="1">IFERROR(__xludf.DUMMYFUNCTION("GOOGLETRANSLATE(C198,""en"",""ar"")"),"أ) جميع الحيوانات، ب) الماشية التي تعيش في الهواء الطلق، ج) الحيوانات المريضة، د) الحيوانات النظيفة جداً")</f>
        <v>أ) جميع الحيوانات، ب) الماشية التي تعيش في الهواء الطلق، ج) الحيوانات المريضة، د) الحيوانات النظيفة جداً</v>
      </c>
      <c r="K198" s="4" t="str">
        <f ca="1">IFERROR(__xludf.DUMMYFUNCTION("GOOGLETRANSLATE(D198,""en"",""ar"")"),"ب) الماشية التي تعيش في الهواء الطلق")</f>
        <v>ب) الماشية التي تعيش في الهواء الطلق</v>
      </c>
      <c r="L198" s="4" t="str">
        <f ca="1">IFERROR(__xludf.DUMMYFUNCTION("GOOGLETRANSLATE(D198,""en"",""ar"")"),"ب) الماشية التي تعيش في الهواء الطلق")</f>
        <v>ب) الماشية التي تعيش في الهواء الطلق</v>
      </c>
      <c r="M198" s="4"/>
      <c r="N198" s="4"/>
      <c r="O198" s="4"/>
      <c r="P198" s="4"/>
      <c r="Q198" s="4"/>
      <c r="R198" s="4"/>
      <c r="S198" s="4"/>
      <c r="T198" s="4"/>
      <c r="U198" s="4"/>
      <c r="V198" s="4"/>
      <c r="W198" s="4"/>
      <c r="X198" s="4"/>
      <c r="Y198" s="4"/>
      <c r="Z198" s="4"/>
    </row>
    <row r="199" spans="1:26" ht="22.5" customHeight="1" x14ac:dyDescent="0.25">
      <c r="A199" s="2"/>
      <c r="B199" s="2"/>
      <c r="C199" s="2"/>
      <c r="D199" s="2"/>
      <c r="E199" s="2"/>
      <c r="F199" s="4"/>
      <c r="G199" s="4"/>
      <c r="H199" s="4" t="s">
        <v>132</v>
      </c>
      <c r="I199" s="4" t="str">
        <f ca="1">IFERROR(__xludf.DUMMYFUNCTION("GOOGLETRANSLATE(B199,""en"",""ar"")"),"تتميز هذه الصورة عن غيرها في المجموعة لأن...")</f>
        <v>تتميز هذه الصورة عن غيرها في المجموعة لأن...</v>
      </c>
      <c r="J199" s="4" t="str">
        <f ca="1">IFERROR(__xludf.DUMMYFUNCTION("GOOGLETRANSLATE(C199,""en"",""ar"")"),"أ) إنها الصورة الوحيدة الملونة، ب) إنها صورة هادئة وليست لقطة حركة، ج) تم التقاطها في مكان مغلق، د) تظهر فيها فصيلة مختلفة من الحيوانات")</f>
        <v>أ) إنها الصورة الوحيدة الملونة، ب) إنها صورة هادئة وليست لقطة حركة، ج) تم التقاطها في مكان مغلق، د) تظهر فيها فصيلة مختلفة من الحيوانات</v>
      </c>
      <c r="K199" s="4" t="str">
        <f ca="1">IFERROR(__xludf.DUMMYFUNCTION("GOOGLETRANSLATE(D199,""en"",""ar"")"),"ب) إنها صورة هادئة، وليست لقطة حركة.")</f>
        <v>ب) إنها صورة هادئة، وليست لقطة حركة.</v>
      </c>
      <c r="L199" s="4" t="str">
        <f ca="1">IFERROR(__xludf.DUMMYFUNCTION("GOOGLETRANSLATE(D199,""en"",""ar"")"),"ب) إنها صورة هادئة، وليست لقطة حركة.")</f>
        <v>ب) إنها صورة هادئة، وليست لقطة حركة.</v>
      </c>
      <c r="M199" s="4"/>
      <c r="N199" s="4"/>
      <c r="O199" s="4"/>
      <c r="P199" s="4"/>
      <c r="Q199" s="4"/>
      <c r="R199" s="4"/>
      <c r="S199" s="4"/>
      <c r="T199" s="4"/>
      <c r="U199" s="4"/>
      <c r="V199" s="4"/>
      <c r="W199" s="4"/>
      <c r="X199" s="4"/>
      <c r="Y199" s="4"/>
      <c r="Z199" s="4"/>
    </row>
    <row r="200" spans="1:26" ht="22.5" customHeight="1" x14ac:dyDescent="0.25">
      <c r="A200" s="2"/>
      <c r="B200" s="2"/>
      <c r="C200" s="2"/>
      <c r="D200" s="2"/>
      <c r="E200" s="2"/>
      <c r="F200" s="4"/>
      <c r="G200" s="4"/>
      <c r="H200" s="4" t="s">
        <v>132</v>
      </c>
      <c r="I200" s="4" t="str">
        <f ca="1">IFERROR(__xludf.DUMMYFUNCTION("GOOGLETRANSLATE(B200,""en"",""ar"")"),"رأس البقرة ملتف قليلاً، كما لو كان...")</f>
        <v>رأس البقرة ملتف قليلاً، كما لو كان...</v>
      </c>
      <c r="J200" s="4" t="str">
        <f ca="1">IFERROR(__xludf.DUMMYFUNCTION("GOOGLETRANSLATE(C200,""en"",""ar"")"),"أ) على وشك الشحن، ب) ينظر إلى شيء خارج نطاق الكاميرا، ج) يخفي وجهه، د) يأكل")</f>
        <v>أ) على وشك الشحن، ب) ينظر إلى شيء خارج نطاق الكاميرا، ج) يخفي وجهه، د) يأكل</v>
      </c>
      <c r="K200" s="4" t="str">
        <f ca="1">IFERROR(__xludf.DUMMYFUNCTION("GOOGLETRANSLATE(D200,""en"",""ar"")"),"ب) النظر إلى شيء خارج نطاق الكاميرا")</f>
        <v>ب) النظر إلى شيء خارج نطاق الكاميرا</v>
      </c>
      <c r="L200" s="4" t="str">
        <f ca="1">IFERROR(__xludf.DUMMYFUNCTION("GOOGLETRANSLATE(D200,""en"",""ar"")"),"ب) النظر إلى شيء خارج نطاق الكاميرا")</f>
        <v>ب) النظر إلى شيء خارج نطاق الكاميرا</v>
      </c>
      <c r="M200" s="4"/>
      <c r="N200" s="4"/>
      <c r="O200" s="4"/>
      <c r="P200" s="4"/>
      <c r="Q200" s="4"/>
      <c r="R200" s="4"/>
      <c r="S200" s="4"/>
      <c r="T200" s="4"/>
      <c r="U200" s="4"/>
      <c r="V200" s="4"/>
      <c r="W200" s="4"/>
      <c r="X200" s="4"/>
      <c r="Y200" s="4"/>
      <c r="Z200" s="4"/>
    </row>
    <row r="201" spans="1:26" ht="22.5" customHeight="1" x14ac:dyDescent="0.25">
      <c r="A201" s="2"/>
      <c r="B201" s="2"/>
      <c r="C201" s="2"/>
      <c r="D201" s="2"/>
      <c r="E201" s="2"/>
      <c r="F201" s="4"/>
      <c r="G201" s="4"/>
      <c r="H201" s="4" t="s">
        <v>132</v>
      </c>
      <c r="I201" s="4" t="str">
        <f ca="1">IFERROR(__xludf.DUMMYFUNCTION("GOOGLETRANSLATE(B201,""en"",""ar"")"),"تُبرز هذه الصورة...")</f>
        <v>تُبرز هذه الصورة...</v>
      </c>
      <c r="J201" s="4" t="str">
        <f ca="1">IFERROR(__xludf.DUMMYFUNCTION("GOOGLETRANSLATE(C201,""en"",""ar"")"),"أ) الطبيعة العدوانية لجميع الماشية، ب) الجمال الهادئ لحيوان المزرعة المستأنس، ج) مخاطر الزراعة، د) القيمة الاقتصادية للماشية")</f>
        <v>أ) الطبيعة العدوانية لجميع الماشية، ب) الجمال الهادئ لحيوان المزرعة المستأنس، ج) مخاطر الزراعة، د) القيمة الاقتصادية للماشية</v>
      </c>
      <c r="K201" s="4" t="str">
        <f ca="1">IFERROR(__xludf.DUMMYFUNCTION("GOOGLETRANSLATE(D201,""en"",""ar"")"),"ب) الجمال الهادئ لحيوان مزرعة أليف")</f>
        <v>ب) الجمال الهادئ لحيوان مزرعة أليف</v>
      </c>
      <c r="L201" s="4" t="str">
        <f ca="1">IFERROR(__xludf.DUMMYFUNCTION("GOOGLETRANSLATE(D201,""en"",""ar"")"),"ب) الجمال الهادئ لحيوان مزرعة أليف")</f>
        <v>ب) الجمال الهادئ لحيوان مزرعة أليف</v>
      </c>
      <c r="M201" s="4"/>
      <c r="N201" s="4"/>
      <c r="O201" s="4"/>
      <c r="P201" s="4"/>
      <c r="Q201" s="4"/>
      <c r="R201" s="4"/>
      <c r="S201" s="4"/>
      <c r="T201" s="4"/>
      <c r="U201" s="4"/>
      <c r="V201" s="4"/>
      <c r="W201" s="4"/>
      <c r="X201" s="4"/>
      <c r="Y201" s="4"/>
      <c r="Z201" s="4"/>
    </row>
    <row r="202" spans="1:26" ht="22.5" customHeight="1" x14ac:dyDescent="0.25">
      <c r="A202" s="2"/>
      <c r="B202" s="2"/>
      <c r="C202" s="2"/>
      <c r="D202" s="2"/>
      <c r="E202" s="2"/>
      <c r="F202" s="4"/>
      <c r="G202" s="4"/>
      <c r="H202" s="4" t="s">
        <v>133</v>
      </c>
      <c r="I202" s="4" t="str">
        <f ca="1">IFERROR(__xludf.DUMMYFUNCTION("GOOGLETRANSLATE(B202,""en"",""ar"")"),"تُصوّر هذه الصورة مشهداً كلاسيكياً من أي رياضة سويسرية تقليدية؟")</f>
        <v>تُصوّر هذه الصورة مشهداً كلاسيكياً من أي رياضة سويسرية تقليدية؟</v>
      </c>
      <c r="J202" s="4" t="str">
        <f ca="1">IFERROR(__xludf.DUMMYFUNCTION("GOOGLETRANSLATE(C202,""en"",""ar"")"),"أ) ركوب الثيران في الروديو، ب) مصارعة الثيران الإسبانية، ج) ""كومبات دي رينز"" (معركة الملكات)، د) سباق الثيران")</f>
        <v>أ) ركوب الثيران في الروديو، ب) مصارعة الثيران الإسبانية، ج) "كومبات دي رينز" (معركة الملكات)، د) سباق الثيران</v>
      </c>
      <c r="K202" s="4" t="str">
        <f ca="1">IFERROR(__xludf.DUMMYFUNCTION("GOOGLETRANSLATE(D202,""en"",""ar"")"),"ج) ""Combat de Reines"" (معركة الملكات)")</f>
        <v>ج) "Combat de Reines" (معركة الملكات)</v>
      </c>
      <c r="L202" s="4" t="str">
        <f ca="1">IFERROR(__xludf.DUMMYFUNCTION("GOOGLETRANSLATE(D202,""en"",""ar"")"),"ج) ""Combat de Reines"" (معركة الملكات)")</f>
        <v>ج) "Combat de Reines" (معركة الملكات)</v>
      </c>
      <c r="M202" s="4"/>
      <c r="N202" s="4"/>
      <c r="O202" s="4"/>
      <c r="P202" s="4"/>
      <c r="Q202" s="4"/>
      <c r="R202" s="4"/>
      <c r="S202" s="4"/>
      <c r="T202" s="4"/>
      <c r="U202" s="4"/>
      <c r="V202" s="4"/>
      <c r="W202" s="4"/>
      <c r="X202" s="4"/>
      <c r="Y202" s="4"/>
      <c r="Z202" s="4"/>
    </row>
    <row r="203" spans="1:26" ht="22.5" customHeight="1" x14ac:dyDescent="0.25">
      <c r="A203" s="2"/>
      <c r="B203" s="2"/>
      <c r="C203" s="2"/>
      <c r="D203" s="2"/>
      <c r="E203" s="2"/>
      <c r="F203" s="4"/>
      <c r="G203" s="4"/>
      <c r="H203" s="4" t="s">
        <v>133</v>
      </c>
      <c r="I203" s="4" t="str">
        <f ca="1">IFERROR(__xludf.DUMMYFUNCTION("GOOGLETRANSLATE(B203,""en"",""ar"")"),"ما هي الطريقة الأساسية التي تتقاتل بها هذه الأبقار؟")</f>
        <v>ما هي الطريقة الأساسية التي تتقاتل بها هذه الأبقار؟</v>
      </c>
      <c r="J203" s="4" t="str">
        <f ca="1">IFERROR(__xludf.DUMMYFUNCTION("GOOGLETRANSLATE(C203,""en"",""ar"")"),"أ) بالركل، ب) بالعض، ج) بالدفع وجهاً لوجه، د) بالهجوم من مسافة بعيدة")</f>
        <v>أ) بالركل، ب) بالعض، ج) بالدفع وجهاً لوجه، د) بالهجوم من مسافة بعيدة</v>
      </c>
      <c r="K203" s="4" t="str">
        <f ca="1">IFERROR(__xludf.DUMMYFUNCTION("GOOGLETRANSLATE(D203,""en"",""ar"")"),"ج) عن طريق المواجهة المباشرة")</f>
        <v>ج) عن طريق المواجهة المباشرة</v>
      </c>
      <c r="L203" s="4" t="str">
        <f ca="1">IFERROR(__xludf.DUMMYFUNCTION("GOOGLETRANSLATE(D203,""en"",""ar"")"),"ج) عن طريق المواجهة المباشرة")</f>
        <v>ج) عن طريق المواجهة المباشرة</v>
      </c>
      <c r="M203" s="4"/>
      <c r="N203" s="4"/>
      <c r="O203" s="4"/>
      <c r="P203" s="4"/>
      <c r="Q203" s="4"/>
      <c r="R203" s="4"/>
      <c r="S203" s="4"/>
      <c r="T203" s="4"/>
      <c r="U203" s="4"/>
      <c r="V203" s="4"/>
      <c r="W203" s="4"/>
      <c r="X203" s="4"/>
      <c r="Y203" s="4"/>
      <c r="Z203" s="4"/>
    </row>
    <row r="204" spans="1:26" ht="22.5" customHeight="1" x14ac:dyDescent="0.25">
      <c r="A204" s="2"/>
      <c r="B204" s="2"/>
      <c r="C204" s="2"/>
      <c r="D204" s="2"/>
      <c r="E204" s="2"/>
      <c r="F204" s="4"/>
      <c r="G204" s="4"/>
      <c r="H204" s="4" t="s">
        <v>133</v>
      </c>
      <c r="I204" s="4" t="str">
        <f ca="1">IFERROR(__xludf.DUMMYFUNCTION("GOOGLETRANSLATE(B204,""en"",""ar"")"),"ماذا يمثل الطلاء الأبيض على ظهر البقرة؟")</f>
        <v>ماذا يمثل الطلاء الأبيض على ظهر البقرة؟</v>
      </c>
      <c r="J204" s="4" t="str">
        <f ca="1">IFERROR(__xludf.DUMMYFUNCTION("GOOGLETRANSLATE(C204,""en"",""ar"")"),"أ) زخرفة تقليدية، ب) رقم تعريف للبطولة، ج) الأحرف الأولى من اسم المالك، د) علامة إصابة سابقة")</f>
        <v>أ) زخرفة تقليدية، ب) رقم تعريف للبطولة، ج) الأحرف الأولى من اسم المالك، د) علامة إصابة سابقة</v>
      </c>
      <c r="K204" s="4" t="str">
        <f ca="1">IFERROR(__xludf.DUMMYFUNCTION("GOOGLETRANSLATE(D204,""en"",""ar"")"),"ب) رقم تعريف خاص بالبطولة")</f>
        <v>ب) رقم تعريف خاص بالبطولة</v>
      </c>
      <c r="L204" s="4" t="str">
        <f ca="1">IFERROR(__xludf.DUMMYFUNCTION("GOOGLETRANSLATE(D204,""en"",""ar"")"),"ب) رقم تعريف خاص بالبطولة")</f>
        <v>ب) رقم تعريف خاص بالبطولة</v>
      </c>
      <c r="M204" s="4"/>
      <c r="N204" s="4"/>
      <c r="O204" s="4"/>
      <c r="P204" s="4"/>
      <c r="Q204" s="4"/>
      <c r="R204" s="4"/>
      <c r="S204" s="4"/>
      <c r="T204" s="4"/>
      <c r="U204" s="4"/>
      <c r="V204" s="4"/>
      <c r="W204" s="4"/>
      <c r="X204" s="4"/>
      <c r="Y204" s="4"/>
      <c r="Z204" s="4"/>
    </row>
    <row r="205" spans="1:26" ht="22.5" customHeight="1" x14ac:dyDescent="0.25">
      <c r="A205" s="2"/>
      <c r="B205" s="2"/>
      <c r="C205" s="2"/>
      <c r="D205" s="2"/>
      <c r="E205" s="2"/>
      <c r="F205" s="4"/>
      <c r="G205" s="4"/>
      <c r="H205" s="4" t="s">
        <v>133</v>
      </c>
      <c r="I205" s="4" t="str">
        <f ca="1">IFERROR(__xludf.DUMMYFUNCTION("GOOGLETRANSLATE(B205,""en"",""ar"")"),"إن سحابة الغبار المحيطة بالحيوانات هي نتيجة لـ...")</f>
        <v>إن سحابة الغبار المحيطة بالحيوانات هي نتيجة لـ...</v>
      </c>
      <c r="J205" s="4" t="str">
        <f ca="1">IFERROR(__xludf.DUMMYFUNCTION("GOOGLETRANSLATE(C205,""en"",""ar"")"),"أ) نار قريبة، ب) القوة الهائلة التي يمارسونها على الأرض الجافة، ج) الرياح، د) تأثير خاص من صنع المنظمين")</f>
        <v>أ) نار قريبة، ب) القوة الهائلة التي يمارسونها على الأرض الجافة، ج) الرياح، د) تأثير خاص من صنع المنظمين</v>
      </c>
      <c r="K205" s="4" t="str">
        <f ca="1">IFERROR(__xludf.DUMMYFUNCTION("GOOGLETRANSLATE(D205,""en"",""ar"")"),"ب) القوة الهائلة التي يمارسونها على الأرض الجافة")</f>
        <v>ب) القوة الهائلة التي يمارسونها على الأرض الجافة</v>
      </c>
      <c r="L205" s="4" t="str">
        <f ca="1">IFERROR(__xludf.DUMMYFUNCTION("GOOGLETRANSLATE(D205,""en"",""ar"")"),"ب) القوة الهائلة التي يمارسونها على الأرض الجافة")</f>
        <v>ب) القوة الهائلة التي يمارسونها على الأرض الجافة</v>
      </c>
      <c r="M205" s="4"/>
      <c r="N205" s="4"/>
      <c r="O205" s="4"/>
      <c r="P205" s="4"/>
      <c r="Q205" s="4"/>
      <c r="R205" s="4"/>
      <c r="S205" s="4"/>
      <c r="T205" s="4"/>
      <c r="U205" s="4"/>
      <c r="V205" s="4"/>
      <c r="W205" s="4"/>
      <c r="X205" s="4"/>
      <c r="Y205" s="4"/>
      <c r="Z205" s="4"/>
    </row>
    <row r="206" spans="1:26" ht="22.5" customHeight="1" x14ac:dyDescent="0.25">
      <c r="A206" s="2"/>
      <c r="B206" s="2"/>
      <c r="C206" s="2"/>
      <c r="D206" s="2"/>
      <c r="E206" s="2"/>
      <c r="F206" s="4"/>
      <c r="G206" s="4"/>
      <c r="H206" s="4" t="s">
        <v>133</v>
      </c>
      <c r="I206" s="4" t="str">
        <f ca="1">IFERROR(__xludf.DUMMYFUNCTION("GOOGLETRANSLATE(B206,""en"",""ar"")"),"تُستخدم الأشرطة الجلدية السميكة حول أعناقهم لتثبيتهم...")</f>
        <v>تُستخدم الأشرطة الجلدية السميكة حول أعناقهم لتثبيتهم...</v>
      </c>
      <c r="J206" s="4" t="str">
        <f ca="1">IFERROR(__xludf.DUMMYFUNCTION("GOOGLETRANSLATE(C206,""en"",""ar"")"),"أ) أجهزة تتبع نظام تحديد المواقع العالمي (GPS)، ب) أوزان ثقيلة لزيادة صعوبة القتال، ج) أجراس أبقار تقليدية كبيرة، د) لجام للفارس")</f>
        <v>أ) أجهزة تتبع نظام تحديد المواقع العالمي (GPS)، ب) أوزان ثقيلة لزيادة صعوبة القتال، ج) أجراس أبقار تقليدية كبيرة، د) لجام للفارس</v>
      </c>
      <c r="K206" s="4" t="str">
        <f ca="1">IFERROR(__xludf.DUMMYFUNCTION("GOOGLETRANSLATE(D206,""en"",""ar"")"),"ج) أجراس الأبقار التقليدية الكبيرة")</f>
        <v>ج) أجراس الأبقار التقليدية الكبيرة</v>
      </c>
      <c r="L206" s="4" t="str">
        <f ca="1">IFERROR(__xludf.DUMMYFUNCTION("GOOGLETRANSLATE(D206,""en"",""ar"")"),"ج) أجراس الأبقار التقليدية الكبيرة")</f>
        <v>ج) أجراس الأبقار التقليدية الكبيرة</v>
      </c>
      <c r="M206" s="4"/>
      <c r="N206" s="4"/>
      <c r="O206" s="4"/>
      <c r="P206" s="4"/>
      <c r="Q206" s="4"/>
      <c r="R206" s="4"/>
      <c r="S206" s="4"/>
      <c r="T206" s="4"/>
      <c r="U206" s="4"/>
      <c r="V206" s="4"/>
      <c r="W206" s="4"/>
      <c r="X206" s="4"/>
      <c r="Y206" s="4"/>
      <c r="Z206" s="4"/>
    </row>
    <row r="207" spans="1:26" ht="22.5" customHeight="1" x14ac:dyDescent="0.25">
      <c r="A207" s="2"/>
      <c r="B207" s="2"/>
      <c r="C207" s="2"/>
      <c r="D207" s="2"/>
      <c r="E207" s="2"/>
      <c r="F207" s="4"/>
      <c r="G207" s="4"/>
      <c r="H207" s="4" t="s">
        <v>133</v>
      </c>
      <c r="I207" s="4" t="str">
        <f ca="1">IFERROR(__xludf.DUMMYFUNCTION("GOOGLETRANSLATE(B207,""en"",""ar"")"),"سلالة الماشية المستخدمة في هذه الرياضة، والمعروفة بطبيعتها القتالية، هي...")</f>
        <v>سلالة الماشية المستخدمة في هذه الرياضة، والمعروفة بطبيعتها القتالية، هي...</v>
      </c>
      <c r="J207" s="4" t="str">
        <f ca="1">IFERROR(__xludf.DUMMYFUNCTION("GOOGLETRANSLATE(C207,""en"",""ar"")"),"أ) هولشتاين، ب) تكساس لونغهورن، ج) هيرينز، د) جيرسي")</f>
        <v>أ) هولشتاين، ب) تكساس لونغهورن، ج) هيرينز، د) جيرسي</v>
      </c>
      <c r="K207" s="4" t="str">
        <f ca="1">IFERROR(__xludf.DUMMYFUNCTION("GOOGLETRANSLATE(D207,""en"",""ar"")"),"ج) هيرنس")</f>
        <v>ج) هيرنس</v>
      </c>
      <c r="L207" s="4" t="str">
        <f ca="1">IFERROR(__xludf.DUMMYFUNCTION("GOOGLETRANSLATE(D207,""en"",""ar"")"),"ج) هيرنس")</f>
        <v>ج) هيرنس</v>
      </c>
      <c r="M207" s="4"/>
      <c r="N207" s="4"/>
      <c r="O207" s="4"/>
      <c r="P207" s="4"/>
      <c r="Q207" s="4"/>
      <c r="R207" s="4"/>
      <c r="S207" s="4"/>
      <c r="T207" s="4"/>
      <c r="U207" s="4"/>
      <c r="V207" s="4"/>
      <c r="W207" s="4"/>
      <c r="X207" s="4"/>
      <c r="Y207" s="4"/>
      <c r="Z207" s="4"/>
    </row>
    <row r="208" spans="1:26" ht="22.5" customHeight="1" x14ac:dyDescent="0.25">
      <c r="A208" s="2"/>
      <c r="B208" s="2"/>
      <c r="C208" s="2"/>
      <c r="D208" s="2"/>
      <c r="E208" s="2"/>
      <c r="F208" s="4"/>
      <c r="G208" s="4"/>
      <c r="H208" s="4" t="s">
        <v>133</v>
      </c>
      <c r="I208" s="4" t="str">
        <f ca="1">IFERROR(__xludf.DUMMYFUNCTION("GOOGLETRANSLATE(B208,""en"",""ar"")"),"الهدف من هذه المعركة هو...")</f>
        <v>الهدف من هذه المعركة هو...</v>
      </c>
      <c r="J208" s="4" t="str">
        <f ca="1">IFERROR(__xludf.DUMMYFUNCTION("GOOGLETRANSLATE(C208,""en"",""ar"")"),"أ) إجبار البقرة الأخرى على الابتعاد أو التراجع، ب) دفع البقرة الأخرى خارج الدائرة، ج) إصابة قرون البقرة الأخرى، د) الفوز بقرار من القاضي")</f>
        <v>أ) إجبار البقرة الأخرى على الابتعاد أو التراجع، ب) دفع البقرة الأخرى خارج الدائرة، ج) إصابة قرون البقرة الأخرى، د) الفوز بقرار من القاضي</v>
      </c>
      <c r="K208" s="4" t="str">
        <f ca="1">IFERROR(__xludf.DUMMYFUNCTION("GOOGLETRANSLATE(D208,""en"",""ar"")"),"أ) لإجبار البقرة الأخرى على الابتعاد أو التراجع")</f>
        <v>أ) لإجبار البقرة الأخرى على الابتعاد أو التراجع</v>
      </c>
      <c r="L208" s="4" t="str">
        <f ca="1">IFERROR(__xludf.DUMMYFUNCTION("GOOGLETRANSLATE(D208,""en"",""ar"")"),"أ) لإجبار البقرة الأخرى على الابتعاد أو التراجع")</f>
        <v>أ) لإجبار البقرة الأخرى على الابتعاد أو التراجع</v>
      </c>
      <c r="M208" s="4"/>
      <c r="N208" s="4"/>
      <c r="O208" s="4"/>
      <c r="P208" s="4"/>
      <c r="Q208" s="4"/>
      <c r="R208" s="4"/>
      <c r="S208" s="4"/>
      <c r="T208" s="4"/>
      <c r="U208" s="4"/>
      <c r="V208" s="4"/>
      <c r="W208" s="4"/>
      <c r="X208" s="4"/>
      <c r="Y208" s="4"/>
      <c r="Z208" s="4"/>
    </row>
    <row r="209" spans="1:26" ht="22.5" customHeight="1" x14ac:dyDescent="0.25">
      <c r="A209" s="2"/>
      <c r="B209" s="2"/>
      <c r="C209" s="2"/>
      <c r="D209" s="2"/>
      <c r="E209" s="2"/>
      <c r="F209" s="4"/>
      <c r="G209" s="4"/>
      <c r="H209" s="4" t="s">
        <v>133</v>
      </c>
      <c r="I209" s="4" t="str">
        <f ca="1">IFERROR(__xludf.DUMMYFUNCTION("GOOGLETRANSLATE(B209,""en"",""ar"")"),"كيف يبدو قرن البقرة على اليمين؟")</f>
        <v>كيف يبدو قرن البقرة على اليمين؟</v>
      </c>
      <c r="J209" s="4" t="str">
        <f ca="1">IFERROR(__xludf.DUMMYFUNCTION("GOOGLETRANSLATE(C209,""en"",""ar"")"),"أ) حاد ومدبب تمامًا، ب) تم تبلده أو تغطيته لأسباب تتعلق بالسلامة، ج) مكسور، د) مزين بشرائط")</f>
        <v>أ) حاد ومدبب تمامًا، ب) تم تبلده أو تغطيته لأسباب تتعلق بالسلامة، ج) مكسور، د) مزين بشرائط</v>
      </c>
      <c r="K209" s="4" t="str">
        <f ca="1">IFERROR(__xludf.DUMMYFUNCTION("GOOGLETRANSLATE(D209,""en"",""ar"")"),"ب) تم تلطيفها أو تغطيتها لأغراض السلامة")</f>
        <v>ب) تم تلطيفها أو تغطيتها لأغراض السلامة</v>
      </c>
      <c r="L209" s="4" t="str">
        <f ca="1">IFERROR(__xludf.DUMMYFUNCTION("GOOGLETRANSLATE(D209,""en"",""ar"")"),"ب) تم تلطيفها أو تغطيتها لأغراض السلامة")</f>
        <v>ب) تم تلطيفها أو تغطيتها لأغراض السلامة</v>
      </c>
      <c r="M209" s="4"/>
      <c r="N209" s="4"/>
      <c r="O209" s="4"/>
      <c r="P209" s="4"/>
      <c r="Q209" s="4"/>
      <c r="R209" s="4"/>
      <c r="S209" s="4"/>
      <c r="T209" s="4"/>
      <c r="U209" s="4"/>
      <c r="V209" s="4"/>
      <c r="W209" s="4"/>
      <c r="X209" s="4"/>
      <c r="Y209" s="4"/>
      <c r="Z209" s="4"/>
    </row>
    <row r="210" spans="1:26" ht="22.5" customHeight="1" x14ac:dyDescent="0.25">
      <c r="A210" s="2"/>
      <c r="B210" s="2"/>
      <c r="C210" s="2"/>
      <c r="D210" s="2"/>
      <c r="E210" s="2"/>
      <c r="F210" s="4"/>
      <c r="G210" s="4"/>
      <c r="H210" s="4" t="s">
        <v>133</v>
      </c>
      <c r="I210" s="4" t="str">
        <f ca="1">IFERROR(__xludf.DUMMYFUNCTION("GOOGLETRANSLATE(B210,""en"",""ar"")"),"هذه الرياضة هي احتفال بـ...")</f>
        <v>هذه الرياضة هي احتفال بـ...</v>
      </c>
      <c r="J210" s="4" t="str">
        <f ca="1">IFERROR(__xludf.DUMMYFUNCTION("GOOGLETRANSLATE(C210,""en"",""ar"")"),"أ) نهاية فصل الشتاء، ب) قوة الماشية وتسلسلها الهرمي أثناء صعودها إلى المراعي الألبية، ج) انتصار عسكري تاريخي، د) صناعة الألبان المحلية")</f>
        <v>أ) نهاية فصل الشتاء، ب) قوة الماشية وتسلسلها الهرمي أثناء صعودها إلى المراعي الألبية، ج) انتصار عسكري تاريخي، د) صناعة الألبان المحلية</v>
      </c>
      <c r="K210" s="4" t="str">
        <f ca="1">IFERROR(__xludf.DUMMYFUNCTION("GOOGLETRANSLATE(D210,""en"",""ar"")"),"ب) قوة وتسلسل هرمية الماشية أثناء صعودها إلى المراعي الألبية")</f>
        <v>ب) قوة وتسلسل هرمية الماشية أثناء صعودها إلى المراعي الألبية</v>
      </c>
      <c r="L210" s="4" t="str">
        <f ca="1">IFERROR(__xludf.DUMMYFUNCTION("GOOGLETRANSLATE(D210,""en"",""ar"")"),"ب) قوة وتسلسل هرمية الماشية أثناء صعودها إلى المراعي الألبية")</f>
        <v>ب) قوة وتسلسل هرمية الماشية أثناء صعودها إلى المراعي الألبية</v>
      </c>
      <c r="M210" s="4"/>
      <c r="N210" s="4"/>
      <c r="O210" s="4"/>
      <c r="P210" s="4"/>
      <c r="Q210" s="4"/>
      <c r="R210" s="4"/>
      <c r="S210" s="4"/>
      <c r="T210" s="4"/>
      <c r="U210" s="4"/>
      <c r="V210" s="4"/>
      <c r="W210" s="4"/>
      <c r="X210" s="4"/>
      <c r="Y210" s="4"/>
      <c r="Z210" s="4"/>
    </row>
    <row r="211" spans="1:26" ht="22.5" customHeight="1" x14ac:dyDescent="0.25">
      <c r="A211" s="2"/>
      <c r="B211" s="2"/>
      <c r="C211" s="2"/>
      <c r="D211" s="2"/>
      <c r="E211" s="2"/>
      <c r="F211" s="4"/>
      <c r="G211" s="4"/>
      <c r="H211" s="4" t="s">
        <v>133</v>
      </c>
      <c r="I211" s="4" t="str">
        <f ca="1">IFERROR(__xludf.DUMMYFUNCTION("GOOGLETRANSLATE(B211,""en"",""ar"")"),"بخلاف العديد من تقاليد مصارعة الثيران الأخرى، تستخدم هذه الرياضة حصرياً...")</f>
        <v>بخلاف العديد من تقاليد مصارعة الثيران الأخرى، تستخدم هذه الرياضة حصرياً...</v>
      </c>
      <c r="J211" s="4" t="str">
        <f ca="1">IFERROR(__xludf.DUMMYFUNCTION("GOOGLETRANSLATE(C211,""en"",""ar"")"),"أ) الثيران، ب) الأبقار (الإناث)، ج) العجول المخصية، د) العجول الصغيرة")</f>
        <v>أ) الثيران، ب) الأبقار (الإناث)، ج) العجول المخصية، د) العجول الصغيرة</v>
      </c>
      <c r="K211" s="4" t="str">
        <f ca="1">IFERROR(__xludf.DUMMYFUNCTION("GOOGLETRANSLATE(D211,""en"",""ar"")"),"ب) الأبقار (الإناث)")</f>
        <v>ب) الأبقار (الإناث)</v>
      </c>
      <c r="L211" s="4" t="str">
        <f ca="1">IFERROR(__xludf.DUMMYFUNCTION("GOOGLETRANSLATE(D211,""en"",""ar"")"),"ب) الأبقار (الإناث)")</f>
        <v>ب) الأبقار (الإناث)</v>
      </c>
      <c r="M211" s="4"/>
      <c r="N211" s="4"/>
      <c r="O211" s="4"/>
      <c r="P211" s="4"/>
      <c r="Q211" s="4"/>
      <c r="R211" s="4"/>
      <c r="S211" s="4"/>
      <c r="T211" s="4"/>
      <c r="U211" s="4"/>
      <c r="V211" s="4"/>
      <c r="W211" s="4"/>
      <c r="X211" s="4"/>
      <c r="Y211" s="4"/>
      <c r="Z211" s="4"/>
    </row>
    <row r="212" spans="1:26" ht="22.5" customHeight="1" x14ac:dyDescent="0.25">
      <c r="A212" s="2"/>
      <c r="B212" s="2"/>
      <c r="C212" s="2"/>
      <c r="D212" s="2"/>
      <c r="E212" s="2"/>
      <c r="F212" s="4"/>
      <c r="G212" s="4"/>
      <c r="H212" s="4" t="s">
        <v>134</v>
      </c>
      <c r="I212" s="4" t="str">
        <f ca="1">IFERROR(__xludf.DUMMYFUNCTION("GOOGLETRANSLATE(B212,""en"",""ar"")"),"ما الذي يحدث في هذه الصورة؟")</f>
        <v>ما الذي يحدث في هذه الصورة؟</v>
      </c>
      <c r="J212" s="4" t="str">
        <f ca="1">IFERROR(__xludf.DUMMYFUNCTION("GOOGLETRANSLATE(C212,""en"",""ar"")"),"أ) بقرتان تتصارعان، ب) رجلان يحاولان مصارعة ثور وطرحه أرضًا، ج) طبيب بيطري يعالج ثورًا مصابًا، د) مزارعون يحاولون تزيين ثور لمهرجان")</f>
        <v>أ) بقرتان تتصارعان، ب) رجلان يحاولان مصارعة ثور وطرحه أرضًا، ج) طبيب بيطري يعالج ثورًا مصابًا، د) مزارعون يحاولون تزيين ثور لمهرجان</v>
      </c>
      <c r="K212" s="4" t="str">
        <f ca="1">IFERROR(__xludf.DUMMYFUNCTION("GOOGLETRANSLATE(D212,""en"",""ar"")"),"ب) رجلان يحاولان مصارعة ثور وإسقاطه أرضاً")</f>
        <v>ب) رجلان يحاولان مصارعة ثور وإسقاطه أرضاً</v>
      </c>
      <c r="L212" s="4" t="str">
        <f ca="1">IFERROR(__xludf.DUMMYFUNCTION("GOOGLETRANSLATE(D212,""en"",""ar"")"),"ب) رجلان يحاولان مصارعة ثور وإسقاطه أرضاً")</f>
        <v>ب) رجلان يحاولان مصارعة ثور وإسقاطه أرضاً</v>
      </c>
      <c r="M212" s="4"/>
      <c r="N212" s="4"/>
      <c r="O212" s="4"/>
      <c r="P212" s="4"/>
      <c r="Q212" s="4"/>
      <c r="R212" s="4"/>
      <c r="S212" s="4"/>
      <c r="T212" s="4"/>
      <c r="U212" s="4"/>
      <c r="V212" s="4"/>
      <c r="W212" s="4"/>
      <c r="X212" s="4"/>
      <c r="Y212" s="4"/>
      <c r="Z212" s="4"/>
    </row>
    <row r="213" spans="1:26" ht="22.5" customHeight="1" x14ac:dyDescent="0.25">
      <c r="A213" s="2"/>
      <c r="B213" s="2"/>
      <c r="C213" s="2"/>
      <c r="D213" s="2"/>
      <c r="E213" s="2"/>
      <c r="F213" s="4"/>
      <c r="G213" s="4"/>
      <c r="H213" s="4" t="s">
        <v>134</v>
      </c>
      <c r="I213" s="4" t="str">
        <f ca="1">IFERROR(__xludf.DUMMYFUNCTION("GOOGLETRANSLATE(B213,""en"",""ar"")"),"الحيوان الظاهر في هذه الصورة هو ثور زيبو أو سلالة مشابهة، ويمكن التعرف عليه من خلال...")</f>
        <v>الحيوان الظاهر في هذه الصورة هو ثور زيبو أو سلالة مشابهة، ويمكن التعرف عليه من خلال...</v>
      </c>
      <c r="J213" s="4" t="str">
        <f ca="1">IFERROR(__xludf.DUMMYFUNCTION("GOOGLETRANSLATE(C213,""en"",""ar"")"),"أ) معطف طويل أشعث، ب) بقع سوداء وبيضاء، ج) حدبة كبيرة على الكتف، د) قرون كبيرة جداً")</f>
        <v>أ) معطف طويل أشعث، ب) بقع سوداء وبيضاء، ج) حدبة كبيرة على الكتف، د) قرون كبيرة جداً</v>
      </c>
      <c r="K213" s="4" t="str">
        <f ca="1">IFERROR(__xludf.DUMMYFUNCTION("GOOGLETRANSLATE(D213,""en"",""ar"")"),"ج) حدبة كتف كبيرة")</f>
        <v>ج) حدبة كتف كبيرة</v>
      </c>
      <c r="L213" s="4" t="str">
        <f ca="1">IFERROR(__xludf.DUMMYFUNCTION("GOOGLETRANSLATE(D213,""en"",""ar"")"),"ج) حدبة كتف كبيرة")</f>
        <v>ج) حدبة كتف كبيرة</v>
      </c>
      <c r="M213" s="4"/>
      <c r="N213" s="4"/>
      <c r="O213" s="4"/>
      <c r="P213" s="4"/>
      <c r="Q213" s="4"/>
      <c r="R213" s="4"/>
      <c r="S213" s="4"/>
      <c r="T213" s="4"/>
      <c r="U213" s="4"/>
      <c r="V213" s="4"/>
      <c r="W213" s="4"/>
      <c r="X213" s="4"/>
      <c r="Y213" s="4"/>
      <c r="Z213" s="4"/>
    </row>
    <row r="214" spans="1:26" ht="22.5" customHeight="1" x14ac:dyDescent="0.25">
      <c r="A214" s="2"/>
      <c r="B214" s="2"/>
      <c r="C214" s="2"/>
      <c r="D214" s="2"/>
      <c r="E214" s="2"/>
      <c r="F214" s="4"/>
      <c r="G214" s="4"/>
      <c r="H214" s="4" t="s">
        <v>134</v>
      </c>
      <c r="I214" s="4" t="str">
        <f ca="1">IFERROR(__xludf.DUMMYFUNCTION("GOOGLETRANSLATE(B214,""en"",""ar"")"),"هذه الرياضة عبارة عن منافسة مباشرة بين...")</f>
        <v>هذه الرياضة عبارة عن منافسة مباشرة بين...</v>
      </c>
      <c r="J214" s="4" t="str">
        <f ca="1">IFERROR(__xludf.DUMMYFUNCTION("GOOGLETRANSLATE(C214,""en"",""ar"")"),"أ) حيوانان، ب) الحيوان والساعة، ج) قوة الإنسان وقوة الحيوان، د) فريقان من الناس")</f>
        <v>أ) حيوانان، ب) الحيوان والساعة، ج) قوة الإنسان وقوة الحيوان، د) فريقان من الناس</v>
      </c>
      <c r="K214" s="4" t="str">
        <f ca="1">IFERROR(__xludf.DUMMYFUNCTION("GOOGLETRANSLATE(D214,""en"",""ar"")"),"ج) قوة الإنسان وقوة الحيوان")</f>
        <v>ج) قوة الإنسان وقوة الحيوان</v>
      </c>
      <c r="L214" s="4" t="str">
        <f ca="1">IFERROR(__xludf.DUMMYFUNCTION("GOOGLETRANSLATE(D214,""en"",""ar"")"),"ج) قوة الإنسان وقوة الحيوان")</f>
        <v>ج) قوة الإنسان وقوة الحيوان</v>
      </c>
      <c r="M214" s="4"/>
      <c r="N214" s="4"/>
      <c r="O214" s="4"/>
      <c r="P214" s="4"/>
      <c r="Q214" s="4"/>
      <c r="R214" s="4"/>
      <c r="S214" s="4"/>
      <c r="T214" s="4"/>
      <c r="U214" s="4"/>
      <c r="V214" s="4"/>
      <c r="W214" s="4"/>
      <c r="X214" s="4"/>
      <c r="Y214" s="4"/>
      <c r="Z214" s="4"/>
    </row>
    <row r="215" spans="1:26" ht="22.5" customHeight="1" x14ac:dyDescent="0.25">
      <c r="A215" s="2"/>
      <c r="B215" s="2"/>
      <c r="C215" s="2"/>
      <c r="D215" s="2"/>
      <c r="E215" s="2"/>
      <c r="F215" s="4"/>
      <c r="G215" s="4"/>
      <c r="H215" s="4" t="s">
        <v>134</v>
      </c>
      <c r="I215" s="4" t="str">
        <f ca="1">IFERROR(__xludf.DUMMYFUNCTION("GOOGLETRANSLATE(B215,""en"",""ar"")"),"الرجل الموجود في المقدمة في وضع خطير لأن...")</f>
        <v>الرجل الموجود في المقدمة في وضع خطير لأن...</v>
      </c>
      <c r="J215" s="4" t="str">
        <f ca="1">IFERROR(__xludf.DUMMYFUNCTION("GOOGLETRANSLATE(C215,""en"",""ar"")"),"أ) قد يُسحق أو يُطعن من قبل الثور، ب) قد تتسخ ملابسه، ج) قد يهرب الثور، د) قد يبدأ الجمهور بالهتاف")</f>
        <v>أ) قد يُسحق أو يُطعن من قبل الثور، ب) قد تتسخ ملابسه، ج) قد يهرب الثور، د) قد يبدأ الجمهور بالهتاف</v>
      </c>
      <c r="K215" s="4" t="str">
        <f ca="1">IFERROR(__xludf.DUMMYFUNCTION("GOOGLETRANSLATE(D215,""en"",""ar"")"),"أ) قد يتعرض للسحق أو النطح من قبل الثور")</f>
        <v>أ) قد يتعرض للسحق أو النطح من قبل الثور</v>
      </c>
      <c r="L215" s="4" t="str">
        <f ca="1">IFERROR(__xludf.DUMMYFUNCTION("GOOGLETRANSLATE(D215,""en"",""ar"")"),"أ) قد يتعرض للسحق أو النطح من قبل الثور")</f>
        <v>أ) قد يتعرض للسحق أو النطح من قبل الثور</v>
      </c>
      <c r="M215" s="4"/>
      <c r="N215" s="4"/>
      <c r="O215" s="4"/>
      <c r="P215" s="4"/>
      <c r="Q215" s="4"/>
      <c r="R215" s="4"/>
      <c r="S215" s="4"/>
      <c r="T215" s="4"/>
      <c r="U215" s="4"/>
      <c r="V215" s="4"/>
      <c r="W215" s="4"/>
      <c r="X215" s="4"/>
      <c r="Y215" s="4"/>
      <c r="Z215" s="4"/>
    </row>
    <row r="216" spans="1:26" ht="22.5" customHeight="1" x14ac:dyDescent="0.25">
      <c r="A216" s="2"/>
      <c r="B216" s="2"/>
      <c r="C216" s="2"/>
      <c r="D216" s="2"/>
      <c r="E216" s="2"/>
      <c r="F216" s="4"/>
      <c r="G216" s="4"/>
      <c r="H216" s="4" t="s">
        <v>134</v>
      </c>
      <c r="I216" s="4" t="str">
        <f ca="1">IFERROR(__xludf.DUMMYFUNCTION("GOOGLETRANSLATE(B216,""en"",""ar"")"),"ماذا يفعل الرجل الموجود في الخلفية؟")</f>
        <v>ماذا يفعل الرجل الموجود في الخلفية؟</v>
      </c>
      <c r="J216" s="4" t="str">
        <f ca="1">IFERROR(__xludf.DUMMYFUNCTION("GOOGLETRANSLATE(C216,""en"",""ar"")"),"أ) يحاول تهدئة الثور بالتحدث إليه، ب) يحاول السيطرة على رأس الثور وعنقه، ج) يلتقط صورة للحدث، د) يهرب")</f>
        <v>أ) يحاول تهدئة الثور بالتحدث إليه، ب) يحاول السيطرة على رأس الثور وعنقه، ج) يلتقط صورة للحدث، د) يهرب</v>
      </c>
      <c r="K216" s="4" t="str">
        <f ca="1">IFERROR(__xludf.DUMMYFUNCTION("GOOGLETRANSLATE(D216,""en"",""ar"")"),"ب) إنه يحاول السيطرة على رأس الثور وعنقه")</f>
        <v>ب) إنه يحاول السيطرة على رأس الثور وعنقه</v>
      </c>
      <c r="L216" s="4" t="str">
        <f ca="1">IFERROR(__xludf.DUMMYFUNCTION("GOOGLETRANSLATE(D216,""en"",""ar"")"),"ب) إنه يحاول السيطرة على رأس الثور وعنقه")</f>
        <v>ب) إنه يحاول السيطرة على رأس الثور وعنقه</v>
      </c>
      <c r="M216" s="4"/>
      <c r="N216" s="4"/>
      <c r="O216" s="4"/>
      <c r="P216" s="4"/>
      <c r="Q216" s="4"/>
      <c r="R216" s="4"/>
      <c r="S216" s="4"/>
      <c r="T216" s="4"/>
      <c r="U216" s="4"/>
      <c r="V216" s="4"/>
      <c r="W216" s="4"/>
      <c r="X216" s="4"/>
      <c r="Y216" s="4"/>
      <c r="Z216" s="4"/>
    </row>
    <row r="217" spans="1:26" ht="22.5" customHeight="1" x14ac:dyDescent="0.25">
      <c r="A217" s="2"/>
      <c r="B217" s="2"/>
      <c r="C217" s="2"/>
      <c r="D217" s="2"/>
      <c r="E217" s="2"/>
      <c r="F217" s="4"/>
      <c r="G217" s="4"/>
      <c r="H217" s="4" t="s">
        <v>134</v>
      </c>
      <c r="I217" s="4" t="str">
        <f ca="1">IFERROR(__xludf.DUMMYFUNCTION("GOOGLETRANSLATE(B217,""en"",""ar"")"),"أرضية الساحة مغطاة بـ...")</f>
        <v>أرضية الساحة مغطاة بـ...</v>
      </c>
      <c r="J217" s="4" t="str">
        <f ca="1">IFERROR(__xludf.DUMMYFUNCTION("GOOGLETRANSLATE(C217,""en"",""ar"")"),"أ) عشب أخضر، ب) رمل ونشارة خشب، ج) ماء، د) خرسانة")</f>
        <v>أ) عشب أخضر، ب) رمل ونشارة خشب، ج) ماء، د) خرسانة</v>
      </c>
      <c r="K217" s="4" t="str">
        <f ca="1">IFERROR(__xludf.DUMMYFUNCTION("GOOGLETRANSLATE(D217,""en"",""ar"")"),"ب) الرمل ونشارة الخشب")</f>
        <v>ب) الرمل ونشارة الخشب</v>
      </c>
      <c r="L217" s="4" t="str">
        <f ca="1">IFERROR(__xludf.DUMMYFUNCTION("GOOGLETRANSLATE(D217,""en"",""ar"")"),"ب) الرمل ونشارة الخشب")</f>
        <v>ب) الرمل ونشارة الخشب</v>
      </c>
      <c r="M217" s="4"/>
      <c r="N217" s="4"/>
      <c r="O217" s="4"/>
      <c r="P217" s="4"/>
      <c r="Q217" s="4"/>
      <c r="R217" s="4"/>
      <c r="S217" s="4"/>
      <c r="T217" s="4"/>
      <c r="U217" s="4"/>
      <c r="V217" s="4"/>
      <c r="W217" s="4"/>
      <c r="X217" s="4"/>
      <c r="Y217" s="4"/>
      <c r="Z217" s="4"/>
    </row>
    <row r="218" spans="1:26" ht="22.5" customHeight="1" x14ac:dyDescent="0.25">
      <c r="A218" s="2"/>
      <c r="B218" s="2"/>
      <c r="C218" s="2"/>
      <c r="D218" s="2"/>
      <c r="E218" s="2"/>
      <c r="F218" s="4"/>
      <c r="G218" s="4"/>
      <c r="H218" s="4" t="s">
        <v>134</v>
      </c>
      <c r="I218" s="4" t="str">
        <f ca="1">IFERROR(__xludf.DUMMYFUNCTION("GOOGLETRANSLATE(B218,""en"",""ar"")"),"على عكس ركوب الثيران في مسابقات الروديو، فإن الهدف هنا ليس ركوب الحيوان، بل...")</f>
        <v>على عكس ركوب الثيران في مسابقات الروديو، فإن الهدف هنا ليس ركوب الحيوان، بل...</v>
      </c>
      <c r="J218" s="4" t="str">
        <f ca="1">IFERROR(__xludf.DUMMYFUNCTION("GOOGLETRANSLATE(C218,""en"",""ar"")"),"أ) سباقها، ب) إخضاعها، ج) تزيينها، د) بيعها")</f>
        <v>أ) سباقها، ب) إخضاعها، ج) تزيينها، د) بيعها</v>
      </c>
      <c r="K218" s="4" t="str">
        <f ca="1">IFERROR(__xludf.DUMMYFUNCTION("GOOGLETRANSLATE(D218,""en"",""ar"")"),"ب) إخضاعه")</f>
        <v>ب) إخضاعه</v>
      </c>
      <c r="L218" s="4" t="str">
        <f ca="1">IFERROR(__xludf.DUMMYFUNCTION("GOOGLETRANSLATE(D218,""en"",""ar"")"),"ب) إخضاعه")</f>
        <v>ب) إخضاعه</v>
      </c>
      <c r="M218" s="4"/>
      <c r="N218" s="4"/>
      <c r="O218" s="4"/>
      <c r="P218" s="4"/>
      <c r="Q218" s="4"/>
      <c r="R218" s="4"/>
      <c r="S218" s="4"/>
      <c r="T218" s="4"/>
      <c r="U218" s="4"/>
      <c r="V218" s="4"/>
      <c r="W218" s="4"/>
      <c r="X218" s="4"/>
      <c r="Y218" s="4"/>
      <c r="Z218" s="4"/>
    </row>
    <row r="219" spans="1:26" ht="22.5" customHeight="1" x14ac:dyDescent="0.25">
      <c r="A219" s="2"/>
      <c r="B219" s="2"/>
      <c r="C219" s="2"/>
      <c r="D219" s="2"/>
      <c r="E219" s="2"/>
      <c r="F219" s="4"/>
      <c r="G219" s="4"/>
      <c r="H219" s="4" t="s">
        <v>134</v>
      </c>
      <c r="I219" s="4" t="str">
        <f ca="1">IFERROR(__xludf.DUMMYFUNCTION("GOOGLETRANSLATE(B219,""en"",""ar"")"),"ملابس المشاركين هي...")</f>
        <v>ملابس المشاركين هي...</v>
      </c>
      <c r="J219" s="4" t="str">
        <f ca="1">IFERROR(__xludf.DUMMYFUNCTION("GOOGLETRANSLATE(C219,""en"",""ar"")"),"أ) دروع ثقيلة واقية، ب) أردية احتفالية تقليدية، ج) ملابس عصرية بسيطة (تيشيرتات وسراويل جينز)، د) جلود الحيوانات")</f>
        <v>أ) دروع ثقيلة واقية، ب) أردية احتفالية تقليدية، ج) ملابس عصرية بسيطة (تيشيرتات وسراويل جينز)، د) جلود الحيوانات</v>
      </c>
      <c r="K219" s="4" t="str">
        <f ca="1">IFERROR(__xludf.DUMMYFUNCTION("GOOGLETRANSLATE(D219,""en"",""ar"")"),"ج) ملابس بسيطة وعصرية غير رسمية (تيشيرتات وجينز)")</f>
        <v>ج) ملابس بسيطة وعصرية غير رسمية (تيشيرتات وجينز)</v>
      </c>
      <c r="L219" s="4" t="str">
        <f ca="1">IFERROR(__xludf.DUMMYFUNCTION("GOOGLETRANSLATE(D219,""en"",""ar"")"),"ج) ملابس بسيطة وعصرية غير رسمية (تيشيرتات وجينز)")</f>
        <v>ج) ملابس بسيطة وعصرية غير رسمية (تيشيرتات وجينز)</v>
      </c>
      <c r="M219" s="4"/>
      <c r="N219" s="4"/>
      <c r="O219" s="4"/>
      <c r="P219" s="4"/>
      <c r="Q219" s="4"/>
      <c r="R219" s="4"/>
      <c r="S219" s="4"/>
      <c r="T219" s="4"/>
      <c r="U219" s="4"/>
      <c r="V219" s="4"/>
      <c r="W219" s="4"/>
      <c r="X219" s="4"/>
      <c r="Y219" s="4"/>
      <c r="Z219" s="4"/>
    </row>
    <row r="220" spans="1:26" ht="22.5" customHeight="1" x14ac:dyDescent="0.25">
      <c r="A220" s="2"/>
      <c r="B220" s="2"/>
      <c r="C220" s="2"/>
      <c r="D220" s="2"/>
      <c r="E220" s="2"/>
      <c r="F220" s="4"/>
      <c r="G220" s="4"/>
      <c r="H220" s="4" t="s">
        <v>134</v>
      </c>
      <c r="I220" s="4" t="str">
        <f ca="1">IFERROR(__xludf.DUMMYFUNCTION("GOOGLETRANSLATE(B220,""en"",""ar"")"),"يشير الملصق الموجود في الخلفية والذي يحمل كلمة ""CELL"" إلى أن هذا...")</f>
        <v>يشير الملصق الموجود في الخلفية والذي يحمل كلمة "CELL" إلى أن هذا...</v>
      </c>
      <c r="J220" s="4" t="str">
        <f ca="1">IFERROR(__xludf.DUMMYFUNCTION("GOOGLETRANSLATE(C220,""en"",""ar"")"),"أ) طقس تقليدي قديم، ب) حدث حديث برعاية تجارية، ج) نشاط مزرعة خاصة، د) برنامج تديره الحكومة")</f>
        <v>أ) طقس تقليدي قديم، ب) حدث حديث برعاية تجارية، ج) نشاط مزرعة خاصة، د) برنامج تديره الحكومة</v>
      </c>
      <c r="K220" s="4" t="str">
        <f ca="1">IFERROR(__xludf.DUMMYFUNCTION("GOOGLETRANSLATE(D220,""en"",""ar"")"),"ب) حدث حديث برعاية تجارية")</f>
        <v>ب) حدث حديث برعاية تجارية</v>
      </c>
      <c r="L220" s="4" t="str">
        <f ca="1">IFERROR(__xludf.DUMMYFUNCTION("GOOGLETRANSLATE(D220,""en"",""ar"")"),"ب) حدث حديث برعاية تجارية")</f>
        <v>ب) حدث حديث برعاية تجارية</v>
      </c>
      <c r="M220" s="4"/>
      <c r="N220" s="4"/>
      <c r="O220" s="4"/>
      <c r="P220" s="4"/>
      <c r="Q220" s="4"/>
      <c r="R220" s="4"/>
      <c r="S220" s="4"/>
      <c r="T220" s="4"/>
      <c r="U220" s="4"/>
      <c r="V220" s="4"/>
      <c r="W220" s="4"/>
      <c r="X220" s="4"/>
      <c r="Y220" s="4"/>
      <c r="Z220" s="4"/>
    </row>
    <row r="221" spans="1:26" ht="22.5" customHeight="1" x14ac:dyDescent="0.25">
      <c r="A221" s="2"/>
      <c r="B221" s="2"/>
      <c r="C221" s="2"/>
      <c r="D221" s="2"/>
      <c r="E221" s="2"/>
      <c r="F221" s="4"/>
      <c r="G221" s="4"/>
      <c r="H221" s="4" t="s">
        <v>134</v>
      </c>
      <c r="I221" s="4" t="str">
        <f ca="1">IFERROR(__xludf.DUMMYFUNCTION("GOOGLETRANSLATE(B221,""en"",""ar"")"),"يُبرز هذا النوع من الفعاليات...")</f>
        <v>يُبرز هذا النوع من الفعاليات...</v>
      </c>
      <c r="J221" s="4" t="str">
        <f ca="1">IFERROR(__xludf.DUMMYFUNCTION("GOOGLETRANSLATE(C221,""en"",""ar"")"),"أ) طبيعة الماشية الوديعة، ب) استخدام الماشية في الزراعة، ج) القوة الهائلة للثور وشجاعة المشاركين، د) أهمية رعاية الحيوان في الرياضة")</f>
        <v>أ) طبيعة الماشية الوديعة، ب) استخدام الماشية في الزراعة، ج) القوة الهائلة للثور وشجاعة المشاركين، د) أهمية رعاية الحيوان في الرياضة</v>
      </c>
      <c r="K221" s="4" t="str">
        <f ca="1">IFERROR(__xludf.DUMMYFUNCTION("GOOGLETRANSLATE(D221,""en"",""ar"")"),"ج) القوة الهائلة للثور وشجاعة المشاركين")</f>
        <v>ج) القوة الهائلة للثور وشجاعة المشاركين</v>
      </c>
      <c r="L221" s="4" t="str">
        <f ca="1">IFERROR(__xludf.DUMMYFUNCTION("GOOGLETRANSLATE(D221,""en"",""ar"")"),"ج) القوة الهائلة للثور وشجاعة المشاركين")</f>
        <v>ج) القوة الهائلة للثور وشجاعة المشاركين</v>
      </c>
      <c r="M221" s="4"/>
      <c r="N221" s="4"/>
      <c r="O221" s="4"/>
      <c r="P221" s="4"/>
      <c r="Q221" s="4"/>
      <c r="R221" s="4"/>
      <c r="S221" s="4"/>
      <c r="T221" s="4"/>
      <c r="U221" s="4"/>
      <c r="V221" s="4"/>
      <c r="W221" s="4"/>
      <c r="X221" s="4"/>
      <c r="Y221" s="4"/>
      <c r="Z221" s="4"/>
    </row>
    <row r="222" spans="1:26" ht="22.5" customHeight="1" x14ac:dyDescent="0.25">
      <c r="A222" s="2"/>
      <c r="B222" s="2"/>
      <c r="C222" s="2"/>
      <c r="D222" s="2"/>
      <c r="E222" s="2"/>
      <c r="F222" s="4"/>
      <c r="G222" s="4"/>
      <c r="H222" s="4" t="s">
        <v>135</v>
      </c>
      <c r="I222" s="4" t="str">
        <f ca="1">IFERROR(__xludf.DUMMYFUNCTION("GOOGLETRANSLATE(B222,""en"",""ar"")"),"الحيوان الظاهر في الصورة هو ""تورو برافو""، أو ثور القتال الإسباني. ما هي أبرز سماته؟")</f>
        <v>الحيوان الظاهر في الصورة هو "تورو برافو"، أو ثور القتال الإسباني. ما هي أبرز سماته؟</v>
      </c>
      <c r="J222" s="4" t="str">
        <f ca="1">IFERROR(__xludf.DUMMYFUNCTION("GOOGLETRANSLATE(C222,""en"",""ar"")"),"أ) إنتاجها العالي من الحليب، ب) طبيعتها الوديعة واللطيفة، ج) عدوانيتها وقوتها البدنية، د) فرائها الطويل الكثيف")</f>
        <v>أ) إنتاجها العالي من الحليب، ب) طبيعتها الوديعة واللطيفة، ج) عدوانيتها وقوتها البدنية، د) فرائها الطويل الكثيف</v>
      </c>
      <c r="K222" s="4" t="str">
        <f ca="1">IFERROR(__xludf.DUMMYFUNCTION("GOOGLETRANSLATE(D222,""en"",""ar"")"),"ج) عدوانيتها وقوتها الرياضية")</f>
        <v>ج) عدوانيتها وقوتها الرياضية</v>
      </c>
      <c r="L222" s="4" t="str">
        <f ca="1">IFERROR(__xludf.DUMMYFUNCTION("GOOGLETRANSLATE(D222,""en"",""ar"")"),"ج) عدوانيتها وقوتها الرياضية")</f>
        <v>ج) عدوانيتها وقوتها الرياضية</v>
      </c>
      <c r="M222" s="4"/>
      <c r="N222" s="4"/>
      <c r="O222" s="4"/>
      <c r="P222" s="4"/>
      <c r="Q222" s="4"/>
      <c r="R222" s="4"/>
      <c r="S222" s="4"/>
      <c r="T222" s="4"/>
      <c r="U222" s="4"/>
      <c r="V222" s="4"/>
      <c r="W222" s="4"/>
      <c r="X222" s="4"/>
      <c r="Y222" s="4"/>
      <c r="Z222" s="4"/>
    </row>
    <row r="223" spans="1:26" ht="22.5" customHeight="1" x14ac:dyDescent="0.25">
      <c r="A223" s="2"/>
      <c r="B223" s="2"/>
      <c r="C223" s="2"/>
      <c r="D223" s="2"/>
      <c r="E223" s="2"/>
      <c r="F223" s="4"/>
      <c r="G223" s="4"/>
      <c r="H223" s="4" t="s">
        <v>135</v>
      </c>
      <c r="I223" s="4" t="str">
        <f ca="1">IFERROR(__xludf.DUMMYFUNCTION("GOOGLETRANSLATE(B223,""en"",""ar"")"),"ما هو سياق هذه الصورة؟")</f>
        <v>ما هو سياق هذه الصورة؟</v>
      </c>
      <c r="J223" s="4" t="str">
        <f ca="1">IFERROR(__xludf.DUMMYFUNCTION("GOOGLETRANSLATE(C223,""en"",""ar"")"),"أ) حديقة عامة، ب) مرعى مزرعة، ج) حلبة مصارعة الثيران، د) غابة")</f>
        <v>أ) حديقة عامة، ب) مرعى مزرعة، ج) حلبة مصارعة الثيران، د) غابة</v>
      </c>
      <c r="K223" s="4" t="str">
        <f ca="1">IFERROR(__xludf.DUMMYFUNCTION("GOOGLETRANSLATE(D223,""en"",""ar"")"),"ج) حلقة مصارعة الثيران (بلازا دي توروس)")</f>
        <v>ج) حلقة مصارعة الثيران (بلازا دي توروس)</v>
      </c>
      <c r="L223" s="4" t="str">
        <f ca="1">IFERROR(__xludf.DUMMYFUNCTION("GOOGLETRANSLATE(D223,""en"",""ar"")"),"ج) حلقة مصارعة الثيران (بلازا دي توروس)")</f>
        <v>ج) حلقة مصارعة الثيران (بلازا دي توروس)</v>
      </c>
      <c r="M223" s="4"/>
      <c r="N223" s="4"/>
      <c r="O223" s="4"/>
      <c r="P223" s="4"/>
      <c r="Q223" s="4"/>
      <c r="R223" s="4"/>
      <c r="S223" s="4"/>
      <c r="T223" s="4"/>
      <c r="U223" s="4"/>
      <c r="V223" s="4"/>
      <c r="W223" s="4"/>
      <c r="X223" s="4"/>
      <c r="Y223" s="4"/>
      <c r="Z223" s="4"/>
    </row>
    <row r="224" spans="1:26" ht="22.5" customHeight="1" x14ac:dyDescent="0.25">
      <c r="A224" s="2"/>
      <c r="B224" s="2"/>
      <c r="C224" s="2"/>
      <c r="D224" s="2"/>
      <c r="E224" s="2"/>
      <c r="F224" s="4"/>
      <c r="G224" s="4"/>
      <c r="H224" s="4" t="s">
        <v>135</v>
      </c>
      <c r="I224" s="4" t="str">
        <f ca="1">IFERROR(__xludf.DUMMYFUNCTION("GOOGLETRANSLATE(B224,""en"",""ar"")"),"ماذا يفعل الثور؟")</f>
        <v>ماذا يفعل الثور؟</v>
      </c>
      <c r="J224" s="4" t="str">
        <f ca="1">IFERROR(__xludf.DUMMYFUNCTION("GOOGLETRANSLATE(C224,""en"",""ar"")"),"أ) إنه نائم، ب) إنه يرعى، ج) إنه يجري أو يشحن، د) إنه يشرب الماء")</f>
        <v>أ) إنه نائم، ب) إنه يرعى، ج) إنه يجري أو يشحن، د) إنه يشرب الماء</v>
      </c>
      <c r="K224" s="4" t="str">
        <f ca="1">IFERROR(__xludf.DUMMYFUNCTION("GOOGLETRANSLATE(D224,""en"",""ar"")"),"ج) إنه قيد التشغيل أو الشحن")</f>
        <v>ج) إنه قيد التشغيل أو الشحن</v>
      </c>
      <c r="L224" s="4" t="str">
        <f ca="1">IFERROR(__xludf.DUMMYFUNCTION("GOOGLETRANSLATE(D224,""en"",""ar"")"),"ج) إنه قيد التشغيل أو الشحن")</f>
        <v>ج) إنه قيد التشغيل أو الشحن</v>
      </c>
      <c r="M224" s="4"/>
      <c r="N224" s="4"/>
      <c r="O224" s="4"/>
      <c r="P224" s="4"/>
      <c r="Q224" s="4"/>
      <c r="R224" s="4"/>
      <c r="S224" s="4"/>
      <c r="T224" s="4"/>
      <c r="U224" s="4"/>
      <c r="V224" s="4"/>
      <c r="W224" s="4"/>
      <c r="X224" s="4"/>
      <c r="Y224" s="4"/>
      <c r="Z224" s="4"/>
    </row>
    <row r="225" spans="1:26" ht="22.5" customHeight="1" x14ac:dyDescent="0.25">
      <c r="A225" s="2"/>
      <c r="B225" s="2"/>
      <c r="C225" s="2"/>
      <c r="D225" s="2"/>
      <c r="E225" s="2"/>
      <c r="F225" s="4"/>
      <c r="G225" s="4"/>
      <c r="H225" s="4" t="s">
        <v>135</v>
      </c>
      <c r="I225" s="4" t="str">
        <f ca="1">IFERROR(__xludf.DUMMYFUNCTION("GOOGLETRANSLATE(B225,""en"",""ar"")"),"ما هو الظل الظاهر في أقصى اليسار؟")</f>
        <v>ما هو الظل الظاهر في أقصى اليسار؟</v>
      </c>
      <c r="J225" s="4" t="str">
        <f ca="1">IFERROR(__xludf.DUMMYFUNCTION("GOOGLETRANSLATE(C225,""en"",""ar"")"),"أ) ظل شجرة، ب) ظل ثور، ج) ظل شخص، يُرجح أنه مصارع ثيران أو حامل راية، د) ظل سحابة")</f>
        <v>أ) ظل شجرة، ب) ظل ثور، ج) ظل شخص، يُرجح أنه مصارع ثيران أو حامل راية، د) ظل سحابة</v>
      </c>
      <c r="K225" s="4" t="str">
        <f ca="1">IFERROR(__xludf.DUMMYFUNCTION("GOOGLETRANSLATE(D225,""en"",""ar"")"),"ج) ظل شخص، يُرجح أنه مصارع ثيران أو حامل راية.")</f>
        <v>ج) ظل شخص، يُرجح أنه مصارع ثيران أو حامل راية.</v>
      </c>
      <c r="L225" s="4" t="str">
        <f ca="1">IFERROR(__xludf.DUMMYFUNCTION("GOOGLETRANSLATE(D225,""en"",""ar"")"),"ج) ظل شخص، يُرجح أنه مصارع ثيران أو حامل راية.")</f>
        <v>ج) ظل شخص، يُرجح أنه مصارع ثيران أو حامل راية.</v>
      </c>
      <c r="M225" s="4"/>
      <c r="N225" s="4"/>
      <c r="O225" s="4"/>
      <c r="P225" s="4"/>
      <c r="Q225" s="4"/>
      <c r="R225" s="4"/>
      <c r="S225" s="4"/>
      <c r="T225" s="4"/>
      <c r="U225" s="4"/>
      <c r="V225" s="4"/>
      <c r="W225" s="4"/>
      <c r="X225" s="4"/>
      <c r="Y225" s="4"/>
      <c r="Z225" s="4"/>
    </row>
    <row r="226" spans="1:26" ht="22.5" customHeight="1" x14ac:dyDescent="0.25">
      <c r="A226" s="2"/>
      <c r="B226" s="2"/>
      <c r="C226" s="2"/>
      <c r="D226" s="2"/>
      <c r="E226" s="2"/>
      <c r="F226" s="4"/>
      <c r="G226" s="4"/>
      <c r="H226" s="4" t="s">
        <v>135</v>
      </c>
      <c r="I226" s="4" t="str">
        <f ca="1">IFERROR(__xludf.DUMMYFUNCTION("GOOGLETRANSLATE(B226,""en"",""ar"")"),"رياضة مصارعة الثيران الإسبانية هي...")</f>
        <v>رياضة مصارعة الثيران الإسبانية هي...</v>
      </c>
      <c r="J226" s="4" t="str">
        <f ca="1">IFERROR(__xludf.DUMMYFUNCTION("GOOGLETRANSLATE(C226,""en"",""ar"")"),"أ) منافسة بين ثورين، ب) سباق مع الزمن، ج) عرض طقوسي مثير للجدل يتضمن قتال البشر للثور، د) رياضة حديثة غير عنيفة")</f>
        <v>أ) منافسة بين ثورين، ب) سباق مع الزمن، ج) عرض طقوسي مثير للجدل يتضمن قتال البشر للثور، د) رياضة حديثة غير عنيفة</v>
      </c>
      <c r="K226" s="4" t="str">
        <f ca="1">IFERROR(__xludf.DUMMYFUNCTION("GOOGLETRANSLATE(D226,""en"",""ar"")"),"ج) مشهد طقوسي ومثير للجدل يتضمن مصارعة البشر للثور")</f>
        <v>ج) مشهد طقوسي ومثير للجدل يتضمن مصارعة البشر للثور</v>
      </c>
      <c r="L226" s="4" t="str">
        <f ca="1">IFERROR(__xludf.DUMMYFUNCTION("GOOGLETRANSLATE(D226,""en"",""ar"")"),"ج) مشهد طقوسي ومثير للجدل يتضمن مصارعة البشر للثور")</f>
        <v>ج) مشهد طقوسي ومثير للجدل يتضمن مصارعة البشر للثور</v>
      </c>
      <c r="M226" s="4"/>
      <c r="N226" s="4"/>
      <c r="O226" s="4"/>
      <c r="P226" s="4"/>
      <c r="Q226" s="4"/>
      <c r="R226" s="4"/>
      <c r="S226" s="4"/>
      <c r="T226" s="4"/>
      <c r="U226" s="4"/>
      <c r="V226" s="4"/>
      <c r="W226" s="4"/>
      <c r="X226" s="4"/>
      <c r="Y226" s="4"/>
      <c r="Z226" s="4"/>
    </row>
    <row r="227" spans="1:26" ht="22.5" customHeight="1" x14ac:dyDescent="0.25">
      <c r="A227" s="2"/>
      <c r="B227" s="2"/>
      <c r="C227" s="2"/>
      <c r="D227" s="2"/>
      <c r="E227" s="2"/>
      <c r="F227" s="4"/>
      <c r="G227" s="4"/>
      <c r="H227" s="4" t="s">
        <v>135</v>
      </c>
      <c r="I227" s="4" t="str">
        <f ca="1">IFERROR(__xludf.DUMMYFUNCTION("GOOGLETRANSLATE(B227,""en"",""ar"")"),"يُستخدم الرمل الموجود في الساحة لـ...")</f>
        <v>يُستخدم الرمل الموجود في الساحة لـ...</v>
      </c>
      <c r="J227" s="4" t="str">
        <f ca="1">IFERROR(__xludf.DUMMYFUNCTION("GOOGLETRANSLATE(C227,""en"",""ar"")"),"أ) توفير هبوط ناعم للثور، ب) امتصاص الدم وتوفير قوة جر، ج) الحفاظ على برودة الثور، د) جعل الساحة تبدو كشاطئ")</f>
        <v>أ) توفير هبوط ناعم للثور، ب) امتصاص الدم وتوفير قوة جر، ج) الحفاظ على برودة الثور، د) جعل الساحة تبدو كشاطئ</v>
      </c>
      <c r="K227" s="4" t="str">
        <f ca="1">IFERROR(__xludf.DUMMYFUNCTION("GOOGLETRANSLATE(D227,""en"",""ar"")"),"ب) امتصاص الدم وتوفير قوة الجر")</f>
        <v>ب) امتصاص الدم وتوفير قوة الجر</v>
      </c>
      <c r="L227" s="4" t="str">
        <f ca="1">IFERROR(__xludf.DUMMYFUNCTION("GOOGLETRANSLATE(D227,""en"",""ar"")"),"ب) امتصاص الدم وتوفير قوة الجر")</f>
        <v>ب) امتصاص الدم وتوفير قوة الجر</v>
      </c>
      <c r="M227" s="4"/>
      <c r="N227" s="4"/>
      <c r="O227" s="4"/>
      <c r="P227" s="4"/>
      <c r="Q227" s="4"/>
      <c r="R227" s="4"/>
      <c r="S227" s="4"/>
      <c r="T227" s="4"/>
      <c r="U227" s="4"/>
      <c r="V227" s="4"/>
      <c r="W227" s="4"/>
      <c r="X227" s="4"/>
      <c r="Y227" s="4"/>
      <c r="Z227" s="4"/>
    </row>
    <row r="228" spans="1:26" ht="22.5" customHeight="1" x14ac:dyDescent="0.25">
      <c r="A228" s="2"/>
      <c r="B228" s="2"/>
      <c r="C228" s="2"/>
      <c r="D228" s="2"/>
      <c r="E228" s="2"/>
      <c r="F228" s="4"/>
      <c r="G228" s="4"/>
      <c r="H228" s="4" t="s">
        <v>135</v>
      </c>
      <c r="I228" s="4" t="str">
        <f ca="1">IFERROR(__xludf.DUMMYFUNCTION("GOOGLETRANSLATE(B228,""en"",""ar"")"),"ما الغرض من الجدار الأحمر؟")</f>
        <v>ما الغرض من الجدار الأحمر؟</v>
      </c>
      <c r="J228" s="4" t="str">
        <f ca="1">IFERROR(__xludf.DUMMYFUNCTION("GOOGLETRANSLATE(C228,""en"",""ar"")"),"أ) هو عنصر زخرفي بحت، ب) هو حاجز أمان لحماية المشاركين والجمهور، ج) هو لوحة نتائج، د) هو شاشة لعرض الأفلام")</f>
        <v>أ) هو عنصر زخرفي بحت، ب) هو حاجز أمان لحماية المشاركين والجمهور، ج) هو لوحة نتائج، د) هو شاشة لعرض الأفلام</v>
      </c>
      <c r="K228" s="4" t="str">
        <f ca="1">IFERROR(__xludf.DUMMYFUNCTION("GOOGLETRANSLATE(D228,""en"",""ar"")"),"ب) إنه حاجز أمان لحماية المشاركين والجمهور")</f>
        <v>ب) إنه حاجز أمان لحماية المشاركين والجمهور</v>
      </c>
      <c r="L228" s="4" t="str">
        <f ca="1">IFERROR(__xludf.DUMMYFUNCTION("GOOGLETRANSLATE(D228,""en"",""ar"")"),"ب) إنه حاجز أمان لحماية المشاركين والجمهور")</f>
        <v>ب) إنه حاجز أمان لحماية المشاركين والجمهور</v>
      </c>
      <c r="M228" s="4"/>
      <c r="N228" s="4"/>
      <c r="O228" s="4"/>
      <c r="P228" s="4"/>
      <c r="Q228" s="4"/>
      <c r="R228" s="4"/>
      <c r="S228" s="4"/>
      <c r="T228" s="4"/>
      <c r="U228" s="4"/>
      <c r="V228" s="4"/>
      <c r="W228" s="4"/>
      <c r="X228" s="4"/>
      <c r="Y228" s="4"/>
      <c r="Z228" s="4"/>
    </row>
    <row r="229" spans="1:26" ht="22.5" customHeight="1" x14ac:dyDescent="0.25">
      <c r="A229" s="2"/>
      <c r="B229" s="2"/>
      <c r="C229" s="2"/>
      <c r="D229" s="2"/>
      <c r="E229" s="2"/>
      <c r="F229" s="4"/>
      <c r="G229" s="4"/>
      <c r="H229" s="4" t="s">
        <v>135</v>
      </c>
      <c r="I229" s="4" t="str">
        <f ca="1">IFERROR(__xludf.DUMMYFUNCTION("GOOGLETRANSLATE(B229,""en"",""ar"")"),"يُعرف الثور من هذا السلالة بـ...")</f>
        <v>يُعرف الثور من هذا السلالة بـ...</v>
      </c>
      <c r="J229" s="4" t="str">
        <f ca="1">IFERROR(__xludf.DUMMYFUNCTION("GOOGLETRANSLATE(C229,""en"",""ar"")"),"أ) بنية صغيرة ورقيقة، ب) بنية قوية وعضلية، خاصة في الرقبة والكتفين، ج) عدم القدرة على الجري بسرعة، د) سلوك ودود ومرح")</f>
        <v>أ) بنية صغيرة ورقيقة، ب) بنية قوية وعضلية، خاصة في الرقبة والكتفين، ج) عدم القدرة على الجري بسرعة، د) سلوك ودود ومرح</v>
      </c>
      <c r="K229" s="4" t="str">
        <f ca="1">IFERROR(__xludf.DUMMYFUNCTION("GOOGLETRANSLATE(D229,""en"",""ar"")"),"ب) بنيتها العضلية القوية، وخاصة في الرقبة والكتفين")</f>
        <v>ب) بنيتها العضلية القوية، وخاصة في الرقبة والكتفين</v>
      </c>
      <c r="L229" s="4" t="str">
        <f ca="1">IFERROR(__xludf.DUMMYFUNCTION("GOOGLETRANSLATE(D229,""en"",""ar"")"),"ب) بنيتها العضلية القوية، وخاصة في الرقبة والكتفين")</f>
        <v>ب) بنيتها العضلية القوية، وخاصة في الرقبة والكتفين</v>
      </c>
      <c r="M229" s="4"/>
      <c r="N229" s="4"/>
      <c r="O229" s="4"/>
      <c r="P229" s="4"/>
      <c r="Q229" s="4"/>
      <c r="R229" s="4"/>
      <c r="S229" s="4"/>
      <c r="T229" s="4"/>
      <c r="U229" s="4"/>
      <c r="V229" s="4"/>
      <c r="W229" s="4"/>
      <c r="X229" s="4"/>
      <c r="Y229" s="4"/>
      <c r="Z229" s="4"/>
    </row>
    <row r="230" spans="1:26" ht="22.5" customHeight="1" x14ac:dyDescent="0.25">
      <c r="A230" s="2"/>
      <c r="B230" s="2"/>
      <c r="C230" s="2"/>
      <c r="D230" s="2"/>
      <c r="E230" s="2"/>
      <c r="F230" s="4"/>
      <c r="G230" s="4"/>
      <c r="H230" s="4" t="s">
        <v>135</v>
      </c>
      <c r="I230" s="4" t="str">
        <f ca="1">IFERROR(__xludf.DUMMYFUNCTION("GOOGLETRANSLATE(B230,""en"",""ar"")"),"من المحتمل أن هذه الصورة تلتقط لحظة من...")</f>
        <v>من المحتمل أن هذه الصورة تلتقط لحظة من...</v>
      </c>
      <c r="J230" s="4" t="str">
        <f ca="1">IFERROR(__xludf.DUMMYFUNCTION("GOOGLETRANSLATE(C230,""en"",""ar"")"),"أ) بداية حياة الثور في المزرعة، ب) مصارعة الثيران الإسبانية التقليدية أو حدث ""جري الثيران""، ج) مزاد الماشية، د) فحص بيطري")</f>
        <v>أ) بداية حياة الثور في المزرعة، ب) مصارعة الثيران الإسبانية التقليدية أو حدث "جري الثيران"، ج) مزاد الماشية، د) فحص بيطري</v>
      </c>
      <c r="K230" s="4" t="str">
        <f ca="1">IFERROR(__xludf.DUMMYFUNCTION("GOOGLETRANSLATE(D230,""en"",""ar"")"),"ب) مصارعة الثيران الإسبانية التقليدية أو حدث ""سير الثيران""")</f>
        <v>ب) مصارعة الثيران الإسبانية التقليدية أو حدث "سير الثيران"</v>
      </c>
      <c r="L230" s="4" t="str">
        <f ca="1">IFERROR(__xludf.DUMMYFUNCTION("GOOGLETRANSLATE(D230,""en"",""ar"")"),"ب) مصارعة الثيران الإسبانية التقليدية أو حدث ""سير الثيران""")</f>
        <v>ب) مصارعة الثيران الإسبانية التقليدية أو حدث "سير الثيران"</v>
      </c>
      <c r="M230" s="4"/>
      <c r="N230" s="4"/>
      <c r="O230" s="4"/>
      <c r="P230" s="4"/>
      <c r="Q230" s="4"/>
      <c r="R230" s="4"/>
      <c r="S230" s="4"/>
      <c r="T230" s="4"/>
      <c r="U230" s="4"/>
      <c r="V230" s="4"/>
      <c r="W230" s="4"/>
      <c r="X230" s="4"/>
      <c r="Y230" s="4"/>
      <c r="Z230" s="4"/>
    </row>
    <row r="231" spans="1:26" ht="22.5" customHeight="1" x14ac:dyDescent="0.25">
      <c r="A231" s="2"/>
      <c r="B231" s="2"/>
      <c r="C231" s="2"/>
      <c r="D231" s="2"/>
      <c r="E231" s="2"/>
      <c r="F231" s="4"/>
      <c r="G231" s="4"/>
      <c r="H231" s="4" t="s">
        <v>135</v>
      </c>
      <c r="I231" s="4" t="str">
        <f ca="1">IFERROR(__xludf.DUMMYFUNCTION("GOOGLETRANSLATE(B231,""en"",""ar"")"),"يبدو أن الثور يركز على شيء ما خارج الإطار إلى اليسار، وهي الطريقة التي يتبعها مصارع الثيران...")</f>
        <v>يبدو أن الثور يركز على شيء ما خارج الإطار إلى اليسار، وهي الطريقة التي يتبعها مصارع الثيران...</v>
      </c>
      <c r="J231" s="4" t="str">
        <f ca="1">IFERROR(__xludf.DUMMYFUNCTION("GOOGLETRANSLATE(C231,""en"",""ar"")"),"أ) يهدئ الثور، ب) يتحكم في هجوم الثور باستخدام عباءة، ج) يطعم الثور، د) يقيد الثور بالحبل")</f>
        <v>أ) يهدئ الثور، ب) يتحكم في هجوم الثور باستخدام عباءة، ج) يطعم الثور، د) يقيد الثور بالحبل</v>
      </c>
      <c r="K231" s="4" t="str">
        <f ca="1">IFERROR(__xludf.DUMMYFUNCTION("GOOGLETRANSLATE(D231,""en"",""ar"")"),"ب) يتحكم في هجوم الثور باستخدام عباءة")</f>
        <v>ب) يتحكم في هجوم الثور باستخدام عباءة</v>
      </c>
      <c r="L231" s="4" t="str">
        <f ca="1">IFERROR(__xludf.DUMMYFUNCTION("GOOGLETRANSLATE(D231,""en"",""ar"")"),"ب) يتحكم في هجوم الثور باستخدام عباءة")</f>
        <v>ب) يتحكم في هجوم الثور باستخدام عباءة</v>
      </c>
      <c r="M231" s="4"/>
      <c r="N231" s="4"/>
      <c r="O231" s="4"/>
      <c r="P231" s="4"/>
      <c r="Q231" s="4"/>
      <c r="R231" s="4"/>
      <c r="S231" s="4"/>
      <c r="T231" s="4"/>
      <c r="U231" s="4"/>
      <c r="V231" s="4"/>
      <c r="W231" s="4"/>
      <c r="X231" s="4"/>
      <c r="Y231" s="4"/>
      <c r="Z231" s="4"/>
    </row>
    <row r="232" spans="1:26" ht="22.5" customHeight="1" x14ac:dyDescent="0.25">
      <c r="A232" s="2"/>
      <c r="B232" s="2"/>
      <c r="C232" s="2"/>
      <c r="D232" s="2"/>
      <c r="E232" s="2"/>
      <c r="F232" s="4"/>
      <c r="G232" s="4"/>
      <c r="H232" s="4" t="s">
        <v>136</v>
      </c>
      <c r="I232" s="4" t="str">
        <f ca="1">IFERROR(__xludf.DUMMYFUNCTION("GOOGLETRANSLATE(B232,""en"",""ar"")"),"ما هي أبرز سمة جسدية لهذين الحيوانين؟")</f>
        <v>ما هي أبرز سمة جسدية لهذين الحيوانين؟</v>
      </c>
      <c r="J232" s="4" t="str">
        <f ca="1">IFERROR(__xludf.DUMMYFUNCTION("GOOGLETRANSLATE(C232,""en"",""ar"")"),"أ) قرونها الطويلة للغاية، ب) معاطفها الطويلة الكثيفة المجعدة، ج) بقعها السوداء والبيضاء، د) حدبات أكتافها الكبيرة")</f>
        <v>أ) قرونها الطويلة للغاية، ب) معاطفها الطويلة الكثيفة المجعدة، ج) بقعها السوداء والبيضاء، د) حدبات أكتافها الكبيرة</v>
      </c>
      <c r="K232" s="4" t="str">
        <f ca="1">IFERROR(__xludf.DUMMYFUNCTION("GOOGLETRANSLATE(D232,""en"",""ar"")"),"ب) معاطفهم الطويلة، الكثيفة، والمجعدة")</f>
        <v>ب) معاطفهم الطويلة، الكثيفة، والمجعدة</v>
      </c>
      <c r="L232" s="4" t="str">
        <f ca="1">IFERROR(__xludf.DUMMYFUNCTION("GOOGLETRANSLATE(D232,""en"",""ar"")"),"ب) معاطفهم الطويلة، الكثيفة، والمجعدة")</f>
        <v>ب) معاطفهم الطويلة، الكثيفة، والمجعدة</v>
      </c>
      <c r="M232" s="4"/>
      <c r="N232" s="4"/>
      <c r="O232" s="4"/>
      <c r="P232" s="4"/>
      <c r="Q232" s="4"/>
      <c r="R232" s="4"/>
      <c r="S232" s="4"/>
      <c r="T232" s="4"/>
      <c r="U232" s="4"/>
      <c r="V232" s="4"/>
      <c r="W232" s="4"/>
      <c r="X232" s="4"/>
      <c r="Y232" s="4"/>
      <c r="Z232" s="4"/>
    </row>
    <row r="233" spans="1:26" ht="22.5" customHeight="1" x14ac:dyDescent="0.25">
      <c r="A233" s="2"/>
      <c r="B233" s="2"/>
      <c r="C233" s="2"/>
      <c r="D233" s="2"/>
      <c r="E233" s="2"/>
      <c r="F233" s="4"/>
      <c r="G233" s="4"/>
      <c r="H233" s="4" t="s">
        <v>136</v>
      </c>
      <c r="I233" s="4" t="str">
        <f ca="1">IFERROR(__xludf.DUMMYFUNCTION("GOOGLETRANSLATE(B233,""en"",""ar"")"),"من المحتمل أن تكون هذه الحيوانات...")</f>
        <v>من المحتمل أن تكون هذه الحيوانات...</v>
      </c>
      <c r="J233" s="4" t="str">
        <f ca="1">IFERROR(__xludf.DUMMYFUNCTION("GOOGLETRANSLATE(C233,""en"",""ar"")"),"أ) ثيران بالغة في قتال جاد، ب) عجول صغيرة أو ثيران صغيرة تتبارز بمرح، ج) أم وصغارها، د) نوعان مختلفان من الحيوانات")</f>
        <v>أ) ثيران بالغة في قتال جاد، ب) عجول صغيرة أو ثيران صغيرة تتبارز بمرح، ج) أم وصغارها، د) نوعان مختلفان من الحيوانات</v>
      </c>
      <c r="K233" s="4" t="str">
        <f ca="1">IFERROR(__xludf.DUMMYFUNCTION("GOOGLETRANSLATE(D233,""en"",""ar"")"),"ب) عجول صغيرة أو ثيران تتنافس بمرح")</f>
        <v>ب) عجول صغيرة أو ثيران تتنافس بمرح</v>
      </c>
      <c r="L233" s="4" t="str">
        <f ca="1">IFERROR(__xludf.DUMMYFUNCTION("GOOGLETRANSLATE(D233,""en"",""ar"")"),"ب) عجول صغيرة أو ثيران تتنافس بمرح")</f>
        <v>ب) عجول صغيرة أو ثيران تتنافس بمرح</v>
      </c>
      <c r="M233" s="4"/>
      <c r="N233" s="4"/>
      <c r="O233" s="4"/>
      <c r="P233" s="4"/>
      <c r="Q233" s="4"/>
      <c r="R233" s="4"/>
      <c r="S233" s="4"/>
      <c r="T233" s="4"/>
      <c r="U233" s="4"/>
      <c r="V233" s="4"/>
      <c r="W233" s="4"/>
      <c r="X233" s="4"/>
      <c r="Y233" s="4"/>
      <c r="Z233" s="4"/>
    </row>
    <row r="234" spans="1:26" ht="22.5" customHeight="1" x14ac:dyDescent="0.25">
      <c r="A234" s="2"/>
      <c r="B234" s="2"/>
      <c r="C234" s="2"/>
      <c r="D234" s="2"/>
      <c r="E234" s="2"/>
      <c r="F234" s="4"/>
      <c r="G234" s="4"/>
      <c r="H234" s="4" t="s">
        <v>136</v>
      </c>
      <c r="I234" s="4" t="str">
        <f ca="1">IFERROR(__xludf.DUMMYFUNCTION("GOOGLETRANSLATE(B234,""en"",""ar"")"),"ربما يكون هذا السلالة، بفروها الكثيف، سلالة تراثية مثل...")</f>
        <v>ربما يكون هذا السلالة، بفروها الكثيف، سلالة تراثية مثل...</v>
      </c>
      <c r="J234" s="4" t="str">
        <f ca="1">IFERROR(__xludf.DUMMYFUNCTION("GOOGLETRANSLATE(C234,""en"",""ar"")"),"أ) هولشتاين، ب) زيبو، ج) غالاوي أو سلالة تقليدية مماثلة، د) تكساس لونغهورن")</f>
        <v>أ) هولشتاين، ب) زيبو، ج) غالاوي أو سلالة تقليدية مماثلة، د) تكساس لونغهورن</v>
      </c>
      <c r="K234" s="4" t="str">
        <f ca="1">IFERROR(__xludf.DUMMYFUNCTION("GOOGLETRANSLATE(D234,""en"",""ar"")"),"ج) غالاوي أو سلالة تقليدية مماثلة")</f>
        <v>ج) غالاوي أو سلالة تقليدية مماثلة</v>
      </c>
      <c r="L234" s="4" t="str">
        <f ca="1">IFERROR(__xludf.DUMMYFUNCTION("GOOGLETRANSLATE(D234,""en"",""ar"")"),"ج) غالاوي أو سلالة تقليدية مماثلة")</f>
        <v>ج) غالاوي أو سلالة تقليدية مماثلة</v>
      </c>
      <c r="M234" s="4"/>
      <c r="N234" s="4"/>
      <c r="O234" s="4"/>
      <c r="P234" s="4"/>
      <c r="Q234" s="4"/>
      <c r="R234" s="4"/>
      <c r="S234" s="4"/>
      <c r="T234" s="4"/>
      <c r="U234" s="4"/>
      <c r="V234" s="4"/>
      <c r="W234" s="4"/>
      <c r="X234" s="4"/>
      <c r="Y234" s="4"/>
      <c r="Z234" s="4"/>
    </row>
    <row r="235" spans="1:26" ht="22.5" customHeight="1" x14ac:dyDescent="0.25">
      <c r="A235" s="2"/>
      <c r="B235" s="2"/>
      <c r="C235" s="2"/>
      <c r="D235" s="2"/>
      <c r="E235" s="2"/>
      <c r="F235" s="4"/>
      <c r="G235" s="4"/>
      <c r="H235" s="4" t="s">
        <v>136</v>
      </c>
      <c r="I235" s="4" t="str">
        <f ca="1">IFERROR(__xludf.DUMMYFUNCTION("GOOGLETRANSLATE(B235,""en"",""ar"")"),"ما هي الأشياء الصفراء الموجودة في آذانهم؟")</f>
        <v>ما هي الأشياء الصفراء الموجودة في آذانهم؟</v>
      </c>
      <c r="J235" s="4" t="str">
        <f ca="1">IFERROR(__xludf.DUMMYFUNCTION("GOOGLETRANSLATE(C235,""en"",""ar"")"),"أ) أقراط زينة، ب) زهور، ج) بطاقات أسعار، د) بطاقات تعريف المزارعين")</f>
        <v>أ) أقراط زينة، ب) زهور، ج) بطاقات أسعار، د) بطاقات تعريف المزارعين</v>
      </c>
      <c r="K235" s="4" t="str">
        <f ca="1">IFERROR(__xludf.DUMMYFUNCTION("GOOGLETRANSLATE(D235,""en"",""ar"")"),"د) بطاقات تعريف المزارعين")</f>
        <v>د) بطاقات تعريف المزارعين</v>
      </c>
      <c r="L235" s="4" t="str">
        <f ca="1">IFERROR(__xludf.DUMMYFUNCTION("GOOGLETRANSLATE(D235,""en"",""ar"")"),"د) بطاقات تعريف المزارعين")</f>
        <v>د) بطاقات تعريف المزارعين</v>
      </c>
      <c r="M235" s="4"/>
      <c r="N235" s="4"/>
      <c r="O235" s="4"/>
      <c r="P235" s="4"/>
      <c r="Q235" s="4"/>
      <c r="R235" s="4"/>
      <c r="S235" s="4"/>
      <c r="T235" s="4"/>
      <c r="U235" s="4"/>
      <c r="V235" s="4"/>
      <c r="W235" s="4"/>
      <c r="X235" s="4"/>
      <c r="Y235" s="4"/>
      <c r="Z235" s="4"/>
    </row>
    <row r="236" spans="1:26" ht="22.5" customHeight="1" x14ac:dyDescent="0.25">
      <c r="A236" s="2"/>
      <c r="B236" s="2"/>
      <c r="C236" s="2"/>
      <c r="D236" s="2"/>
      <c r="E236" s="2"/>
      <c r="F236" s="4"/>
      <c r="G236" s="4"/>
      <c r="H236" s="4" t="s">
        <v>136</v>
      </c>
      <c r="I236" s="4" t="str">
        <f ca="1">IFERROR(__xludf.DUMMYFUNCTION("GOOGLETRANSLATE(B236,""en"",""ar"")"),"ما هو الإطار الذي يتم فيه هذا التفاعل؟")</f>
        <v>ما هو الإطار الذي يتم فيه هذا التفاعل؟</v>
      </c>
      <c r="J236" s="4" t="str">
        <f ca="1">IFERROR(__xludf.DUMMYFUNCTION("GOOGLETRANSLATE(C236,""en"",""ar"")"),"أ) ساحة قتال رسمية، ب) حظيرة داخلية، ج) مرعى عشبي، د) صحراء")</f>
        <v>أ) ساحة قتال رسمية، ب) حظيرة داخلية، ج) مرعى عشبي، د) صحراء</v>
      </c>
      <c r="K236" s="4" t="str">
        <f ca="1">IFERROR(__xludf.DUMMYFUNCTION("GOOGLETRANSLATE(D236,""en"",""ar"")"),"ج) مرعى عشبي")</f>
        <v>ج) مرعى عشبي</v>
      </c>
      <c r="L236" s="4" t="str">
        <f ca="1">IFERROR(__xludf.DUMMYFUNCTION("GOOGLETRANSLATE(D236,""en"",""ar"")"),"ج) مرعى عشبي")</f>
        <v>ج) مرعى عشبي</v>
      </c>
      <c r="M236" s="4"/>
      <c r="N236" s="4"/>
      <c r="O236" s="4"/>
      <c r="P236" s="4"/>
      <c r="Q236" s="4"/>
      <c r="R236" s="4"/>
      <c r="S236" s="4"/>
      <c r="T236" s="4"/>
      <c r="U236" s="4"/>
      <c r="V236" s="4"/>
      <c r="W236" s="4"/>
      <c r="X236" s="4"/>
      <c r="Y236" s="4"/>
      <c r="Z236" s="4"/>
    </row>
    <row r="237" spans="1:26" ht="22.5" customHeight="1" x14ac:dyDescent="0.25">
      <c r="A237" s="2"/>
      <c r="B237" s="2"/>
      <c r="C237" s="2"/>
      <c r="D237" s="2"/>
      <c r="E237" s="2"/>
      <c r="F237" s="4"/>
      <c r="G237" s="4"/>
      <c r="H237" s="4" t="s">
        <v>136</v>
      </c>
      <c r="I237" s="4" t="str">
        <f ca="1">IFERROR(__xludf.DUMMYFUNCTION("GOOGLETRANSLATE(B237,""en"",""ar"")"),"ما الغرض من هذا السلوك العدواني؟")</f>
        <v>ما الغرض من هذا السلوك العدواني؟</v>
      </c>
      <c r="J237" s="4" t="str">
        <f ca="1">IFERROR(__xludf.DUMMYFUNCTION("GOOGLETRANSLATE(C237,""en"",""ar"")"),"أ) إنها علامة على المودة، ب) إنها وسيلة لتحديد المكانة الاجتماعية داخل القطيع، ج) إنهم يحاولون إسقاط بعضهم البعض من أجل التسلية، د) إنهم يتشاجرون على كومة طعام محددة")</f>
        <v>أ) إنها علامة على المودة، ب) إنها وسيلة لتحديد المكانة الاجتماعية داخل القطيع، ج) إنهم يحاولون إسقاط بعضهم البعض من أجل التسلية، د) إنهم يتشاجرون على كومة طعام محددة</v>
      </c>
      <c r="K237" s="4" t="str">
        <f ca="1">IFERROR(__xludf.DUMMYFUNCTION("GOOGLETRANSLATE(D237,""en"",""ar"")"),"ب) إنها وسيلة لتحديد المكانة الاجتماعية داخل القطيع")</f>
        <v>ب) إنها وسيلة لتحديد المكانة الاجتماعية داخل القطيع</v>
      </c>
      <c r="L237" s="4" t="str">
        <f ca="1">IFERROR(__xludf.DUMMYFUNCTION("GOOGLETRANSLATE(D237,""en"",""ar"")"),"ب) إنها وسيلة لتحديد المكانة الاجتماعية داخل القطيع")</f>
        <v>ب) إنها وسيلة لتحديد المكانة الاجتماعية داخل القطيع</v>
      </c>
      <c r="M237" s="4"/>
      <c r="N237" s="4"/>
      <c r="O237" s="4"/>
      <c r="P237" s="4"/>
      <c r="Q237" s="4"/>
      <c r="R237" s="4"/>
      <c r="S237" s="4"/>
      <c r="T237" s="4"/>
      <c r="U237" s="4"/>
      <c r="V237" s="4"/>
      <c r="W237" s="4"/>
      <c r="X237" s="4"/>
      <c r="Y237" s="4"/>
      <c r="Z237" s="4"/>
    </row>
    <row r="238" spans="1:26" ht="22.5" customHeight="1" x14ac:dyDescent="0.25">
      <c r="A238" s="2"/>
      <c r="B238" s="2"/>
      <c r="C238" s="2"/>
      <c r="D238" s="2"/>
      <c r="E238" s="2"/>
      <c r="F238" s="4"/>
      <c r="G238" s="4"/>
      <c r="H238" s="4" t="s">
        <v>136</v>
      </c>
      <c r="I238" s="4" t="str">
        <f ca="1">IFERROR(__xludf.DUMMYFUNCTION("GOOGLETRANSLATE(B238,""en"",""ar"")"),"هل هذا النوع من التدريب على القتال خطير عادةً؟")</f>
        <v>هل هذا النوع من التدريب على القتال خطير عادةً؟</v>
      </c>
      <c r="J238" s="4" t="str">
        <f ca="1">IFERROR(__xludf.DUMMYFUNCTION("GOOGLETRANSLATE(C238,""en"",""ar"")"),"أ) نعم، يؤدي ذلك دائمًا تقريبًا إلى الموت، ب) لا، إنه اختبار قوة طقوسي وغير ضار في كثير من الأحيان، ج) نعم، سيقاتلون حتى يتدخل إنسان، د) لا، لأن قرونهم ليست حقيقية")</f>
        <v>أ) نعم، يؤدي ذلك دائمًا تقريبًا إلى الموت، ب) لا، إنه اختبار قوة طقوسي وغير ضار في كثير من الأحيان، ج) نعم، سيقاتلون حتى يتدخل إنسان، د) لا، لأن قرونهم ليست حقيقية</v>
      </c>
      <c r="K238" s="4" t="str">
        <f ca="1">IFERROR(__xludf.DUMMYFUNCTION("GOOGLETRANSLATE(D238,""en"",""ar"")"),"ب) لا، إنه اختبار قوة طقوسي وغير ضار في كثير من الأحيان")</f>
        <v>ب) لا، إنه اختبار قوة طقوسي وغير ضار في كثير من الأحيان</v>
      </c>
      <c r="L238" s="4" t="str">
        <f ca="1">IFERROR(__xludf.DUMMYFUNCTION("GOOGLETRANSLATE(D238,""en"",""ar"")"),"ب) لا، إنه اختبار قوة طقوسي وغير ضار في كثير من الأحيان")</f>
        <v>ب) لا، إنه اختبار قوة طقوسي وغير ضار في كثير من الأحيان</v>
      </c>
      <c r="M238" s="4"/>
      <c r="N238" s="4"/>
      <c r="O238" s="4"/>
      <c r="P238" s="4"/>
      <c r="Q238" s="4"/>
      <c r="R238" s="4"/>
      <c r="S238" s="4"/>
      <c r="T238" s="4"/>
      <c r="U238" s="4"/>
      <c r="V238" s="4"/>
      <c r="W238" s="4"/>
      <c r="X238" s="4"/>
      <c r="Y238" s="4"/>
      <c r="Z238" s="4"/>
    </row>
    <row r="239" spans="1:26" ht="22.5" customHeight="1" x14ac:dyDescent="0.25">
      <c r="A239" s="2"/>
      <c r="B239" s="2"/>
      <c r="C239" s="2"/>
      <c r="D239" s="2"/>
      <c r="E239" s="2"/>
      <c r="F239" s="4"/>
      <c r="G239" s="4"/>
      <c r="H239" s="4" t="s">
        <v>136</v>
      </c>
      <c r="I239" s="4" t="str">
        <f ca="1">IFERROR(__xludf.DUMMYFUNCTION("GOOGLETRANSLATE(B239,""en"",""ar"")"),"الحيوان الموجود على اليسار يرفع حافره، مما يشير إلى...")</f>
        <v>الحيوان الموجود على اليسار يرفع حافره، مما يشير إلى...</v>
      </c>
      <c r="J239" s="4" t="str">
        <f ca="1">IFERROR(__xludf.DUMMYFUNCTION("GOOGLETRANSLATE(C239,""en"",""ar"")"),"أ) إنه مصاب، ب) إنه يحفر بحثًا عن الجذور، ج) إنه يدفع ويتحرك بنشاط للحصول على قوة دفع، د) إنه يتخذ وضعية أمام الكاميرا")</f>
        <v>أ) إنه مصاب، ب) إنه يحفر بحثًا عن الجذور، ج) إنه يدفع ويتحرك بنشاط للحصول على قوة دفع، د) إنه يتخذ وضعية أمام الكاميرا</v>
      </c>
      <c r="K239" s="4" t="str">
        <f ca="1">IFERROR(__xludf.DUMMYFUNCTION("GOOGLETRANSLATE(D239,""en"",""ar"")"),"ج) إنها تدفع وتتحرك بنشاط من أجل الحصول على نفوذ")</f>
        <v>ج) إنها تدفع وتتحرك بنشاط من أجل الحصول على نفوذ</v>
      </c>
      <c r="L239" s="4" t="str">
        <f ca="1">IFERROR(__xludf.DUMMYFUNCTION("GOOGLETRANSLATE(D239,""en"",""ar"")"),"ج) إنها تدفع وتتحرك بنشاط من أجل الحصول على نفوذ")</f>
        <v>ج) إنها تدفع وتتحرك بنشاط من أجل الحصول على نفوذ</v>
      </c>
      <c r="M239" s="4"/>
      <c r="N239" s="4"/>
      <c r="O239" s="4"/>
      <c r="P239" s="4"/>
      <c r="Q239" s="4"/>
      <c r="R239" s="4"/>
      <c r="S239" s="4"/>
      <c r="T239" s="4"/>
      <c r="U239" s="4"/>
      <c r="V239" s="4"/>
      <c r="W239" s="4"/>
      <c r="X239" s="4"/>
      <c r="Y239" s="4"/>
      <c r="Z239" s="4"/>
    </row>
    <row r="240" spans="1:26" ht="22.5" customHeight="1" x14ac:dyDescent="0.25">
      <c r="A240" s="2"/>
      <c r="B240" s="2"/>
      <c r="C240" s="2"/>
      <c r="D240" s="2"/>
      <c r="E240" s="2"/>
      <c r="F240" s="4"/>
      <c r="G240" s="4"/>
      <c r="H240" s="4" t="s">
        <v>136</v>
      </c>
      <c r="I240" s="4" t="str">
        <f ca="1">IFERROR(__xludf.DUMMYFUNCTION("GOOGLETRANSLATE(B240,""en"",""ar"")"),"هذه الصورة تجسد...")</f>
        <v>هذه الصورة تجسد...</v>
      </c>
      <c r="J240" s="4" t="str">
        <f ca="1">IFERROR(__xludf.DUMMYFUNCTION("GOOGLETRANSLATE(C240,""en"",""ar"")"),"أ) حدث رياضي رسمي ومنظم، ب) لحظة طبيعية من سلوك الحيوان، ج) مشهد نادر وعنيف، د) إنسان يدرب الحيوانات على القتال")</f>
        <v>أ) حدث رياضي رسمي ومنظم، ب) لحظة طبيعية من سلوك الحيوان، ج) مشهد نادر وعنيف، د) إنسان يدرب الحيوانات على القتال</v>
      </c>
      <c r="K240" s="4" t="str">
        <f ca="1">IFERROR(__xludf.DUMMYFUNCTION("GOOGLETRANSLATE(D240,""en"",""ar"")"),"ب) لحظة طبيعية من سلوك الحيوان")</f>
        <v>ب) لحظة طبيعية من سلوك الحيوان</v>
      </c>
      <c r="L240" s="4" t="str">
        <f ca="1">IFERROR(__xludf.DUMMYFUNCTION("GOOGLETRANSLATE(D240,""en"",""ar"")"),"ب) لحظة طبيعية من سلوك الحيوان")</f>
        <v>ب) لحظة طبيعية من سلوك الحيوان</v>
      </c>
      <c r="M240" s="4"/>
      <c r="N240" s="4"/>
      <c r="O240" s="4"/>
      <c r="P240" s="4"/>
      <c r="Q240" s="4"/>
      <c r="R240" s="4"/>
      <c r="S240" s="4"/>
      <c r="T240" s="4"/>
      <c r="U240" s="4"/>
      <c r="V240" s="4"/>
      <c r="W240" s="4"/>
      <c r="X240" s="4"/>
      <c r="Y240" s="4"/>
      <c r="Z240" s="4"/>
    </row>
    <row r="241" spans="1:26" ht="22.5" customHeight="1" x14ac:dyDescent="0.25">
      <c r="A241" s="2"/>
      <c r="B241" s="2"/>
      <c r="C241" s="2"/>
      <c r="D241" s="2"/>
      <c r="E241" s="2"/>
      <c r="F241" s="4"/>
      <c r="G241" s="4"/>
      <c r="H241" s="4" t="s">
        <v>136</v>
      </c>
      <c r="I241" s="4" t="str">
        <f ca="1">IFERROR(__xludf.DUMMYFUNCTION("GOOGLETRANSLATE(B241,""en"",""ar"")"),"ينصب تركيز الحيوانات على...")</f>
        <v>ينصب تركيز الحيوانات على...</v>
      </c>
      <c r="J241" s="4" t="str">
        <f ca="1">IFERROR(__xludf.DUMMYFUNCTION("GOOGLETRANSLATE(C241,""en"",""ar"")"),"أ) كليهما على بعضهما البعض، ب) على المصور، ج) على العشب الذي هم على وشك أكله، د) على حيوانات أخرى في القطيع")</f>
        <v>أ) كليهما على بعضهما البعض، ب) على المصور، ج) على العشب الذي هم على وشك أكله، د) على حيوانات أخرى في القطيع</v>
      </c>
      <c r="K241" s="4" t="str">
        <f ca="1">IFERROR(__xludf.DUMMYFUNCTION("GOOGLETRANSLATE(D241,""en"",""ar"")"),"أ) يعتمد كل منهما على الآخر تمامًا")</f>
        <v>أ) يعتمد كل منهما على الآخر تمامًا</v>
      </c>
      <c r="L241" s="4" t="str">
        <f ca="1">IFERROR(__xludf.DUMMYFUNCTION("GOOGLETRANSLATE(D241,""en"",""ar"")"),"أ) يعتمد كل منهما على الآخر تمامًا")</f>
        <v>أ) يعتمد كل منهما على الآخر تمامًا</v>
      </c>
      <c r="M241" s="4"/>
      <c r="N241" s="4"/>
      <c r="O241" s="4"/>
      <c r="P241" s="4"/>
      <c r="Q241" s="4"/>
      <c r="R241" s="4"/>
      <c r="S241" s="4"/>
      <c r="T241" s="4"/>
      <c r="U241" s="4"/>
      <c r="V241" s="4"/>
      <c r="W241" s="4"/>
      <c r="X241" s="4"/>
      <c r="Y241" s="4"/>
      <c r="Z241" s="4"/>
    </row>
    <row r="242" spans="1:26" ht="22.5" customHeight="1" x14ac:dyDescent="0.25">
      <c r="A242" s="2"/>
      <c r="B242" s="2"/>
      <c r="C242" s="2"/>
      <c r="D242" s="2"/>
      <c r="E242" s="2"/>
      <c r="F242" s="4"/>
      <c r="G242" s="4"/>
      <c r="H242" s="4" t="s">
        <v>137</v>
      </c>
      <c r="I242" s="4" t="str">
        <f ca="1">IFERROR(__xludf.DUMMYFUNCTION("GOOGLETRANSLATE(B242,""en"",""ar"")"),"ما هو النشاط الأساسي للأبقار في هذه الصورة؟")</f>
        <v>ما هو النشاط الأساسي للأبقار في هذه الصورة؟</v>
      </c>
      <c r="J242" s="4" t="str">
        <f ca="1">IFERROR(__xludf.DUMMYFUNCTION("GOOGLETRANSLATE(C242,""en"",""ar"")"),"أ) إنهم يتقاتلون من أجل السيطرة، ب) إنهم نائمون، ج) إنهم يأكلون أو ينتظرون في حظيرة، د) إنهم يركضون في حقل")</f>
        <v>أ) إنهم يتقاتلون من أجل السيطرة، ب) إنهم نائمون، ج) إنهم يأكلون أو ينتظرون في حظيرة، د) إنهم يركضون في حقل</v>
      </c>
      <c r="K242" s="4" t="str">
        <f ca="1">IFERROR(__xludf.DUMMYFUNCTION("GOOGLETRANSLATE(D242,""en"",""ar"")"),"ج) إنهم يأكلون أو ينتظرون في حظيرة")</f>
        <v>ج) إنهم يأكلون أو ينتظرون في حظيرة</v>
      </c>
      <c r="L242" s="4" t="str">
        <f ca="1">IFERROR(__xludf.DUMMYFUNCTION("GOOGLETRANSLATE(D242,""en"",""ar"")"),"ج) إنهم يأكلون أو ينتظرون في حظيرة")</f>
        <v>ج) إنهم يأكلون أو ينتظرون في حظيرة</v>
      </c>
      <c r="M242" s="4"/>
      <c r="N242" s="4"/>
      <c r="O242" s="4"/>
      <c r="P242" s="4"/>
      <c r="Q242" s="4"/>
      <c r="R242" s="4"/>
      <c r="S242" s="4"/>
      <c r="T242" s="4"/>
      <c r="U242" s="4"/>
      <c r="V242" s="4"/>
      <c r="W242" s="4"/>
      <c r="X242" s="4"/>
      <c r="Y242" s="4"/>
      <c r="Z242" s="4"/>
    </row>
    <row r="243" spans="1:26" ht="22.5" customHeight="1" x14ac:dyDescent="0.25">
      <c r="A243" s="2"/>
      <c r="B243" s="2"/>
      <c r="C243" s="2"/>
      <c r="D243" s="2"/>
      <c r="E243" s="2"/>
      <c r="F243" s="4"/>
      <c r="G243" s="4"/>
      <c r="H243" s="4" t="s">
        <v>137</v>
      </c>
      <c r="I243" s="4" t="str">
        <f ca="1">IFERROR(__xludf.DUMMYFUNCTION("GOOGLETRANSLATE(B243,""en"",""ar"")"),"ما هو سلالة هذه الأبقار، المعروفة بكونها أعلى حيوانات إنتاج الألبان في العالم؟")</f>
        <v>ما هو سلالة هذه الأبقار، المعروفة بكونها أعلى حيوانات إنتاج الألبان في العالم؟</v>
      </c>
      <c r="J243" s="4" t="str">
        <f ca="1">IFERROR(__xludf.DUMMYFUNCTION("GOOGLETRANSLATE(C243,""en"",""ar"")"),"أ) هيرفورد، ب) أنجوس، ج) هولشتاين فريزيان، د) تكساس لونغهورن")</f>
        <v>أ) هيرفورد، ب) أنجوس، ج) هولشتاين فريزيان، د) تكساس لونغهورن</v>
      </c>
      <c r="K243" s="4" t="str">
        <f ca="1">IFERROR(__xludf.DUMMYFUNCTION("GOOGLETRANSLATE(D243,""en"",""ar"")"),"ج) هولشتاين فريزيان")</f>
        <v>ج) هولشتاين فريزيان</v>
      </c>
      <c r="L243" s="4" t="str">
        <f ca="1">IFERROR(__xludf.DUMMYFUNCTION("GOOGLETRANSLATE(D243,""en"",""ar"")"),"ج) هولشتاين فريزيان")</f>
        <v>ج) هولشتاين فريزيان</v>
      </c>
      <c r="M243" s="4"/>
      <c r="N243" s="4"/>
      <c r="O243" s="4"/>
      <c r="P243" s="4"/>
      <c r="Q243" s="4"/>
      <c r="R243" s="4"/>
      <c r="S243" s="4"/>
      <c r="T243" s="4"/>
      <c r="U243" s="4"/>
      <c r="V243" s="4"/>
      <c r="W243" s="4"/>
      <c r="X243" s="4"/>
      <c r="Y243" s="4"/>
      <c r="Z243" s="4"/>
    </row>
    <row r="244" spans="1:26" ht="22.5" customHeight="1" x14ac:dyDescent="0.25">
      <c r="A244" s="2"/>
      <c r="B244" s="2"/>
      <c r="C244" s="2"/>
      <c r="D244" s="2"/>
      <c r="E244" s="2"/>
      <c r="F244" s="4"/>
      <c r="G244" s="4"/>
      <c r="H244" s="4" t="s">
        <v>137</v>
      </c>
      <c r="I244" s="4" t="str">
        <f ca="1">IFERROR(__xludf.DUMMYFUNCTION("GOOGLETRANSLATE(B244,""en"",""ar"")"),"ما هو الإطار الزمني؟")</f>
        <v>ما هو الإطار الزمني؟</v>
      </c>
      <c r="J244" s="4" t="str">
        <f ca="1">IFERROR(__xludf.DUMMYFUNCTION("GOOGLETRANSLATE(C244,""en"",""ar"")"),"أ) مرعى مفتوح، ب) مزرعة صغيرة تقليدية، ج) مزرعة ألبان صناعية حديثة، د) مزاد للماشية")</f>
        <v>أ) مرعى مفتوح، ب) مزرعة صغيرة تقليدية، ج) مزرعة ألبان صناعية حديثة، د) مزاد للماشية</v>
      </c>
      <c r="K244" s="4" t="str">
        <f ca="1">IFERROR(__xludf.DUMMYFUNCTION("GOOGLETRANSLATE(D244,""en"",""ar"")"),"ج) مزرعة ألبان صناعية حديثة")</f>
        <v>ج) مزرعة ألبان صناعية حديثة</v>
      </c>
      <c r="L244" s="4" t="str">
        <f ca="1">IFERROR(__xludf.DUMMYFUNCTION("GOOGLETRANSLATE(D244,""en"",""ar"")"),"ج) مزرعة ألبان صناعية حديثة")</f>
        <v>ج) مزرعة ألبان صناعية حديثة</v>
      </c>
      <c r="M244" s="4"/>
      <c r="N244" s="4"/>
      <c r="O244" s="4"/>
      <c r="P244" s="4"/>
      <c r="Q244" s="4"/>
      <c r="R244" s="4"/>
      <c r="S244" s="4"/>
      <c r="T244" s="4"/>
      <c r="U244" s="4"/>
      <c r="V244" s="4"/>
      <c r="W244" s="4"/>
      <c r="X244" s="4"/>
      <c r="Y244" s="4"/>
      <c r="Z244" s="4"/>
    </row>
    <row r="245" spans="1:26" ht="22.5" customHeight="1" x14ac:dyDescent="0.25">
      <c r="A245" s="2"/>
      <c r="B245" s="2"/>
      <c r="C245" s="2"/>
      <c r="D245" s="2"/>
      <c r="E245" s="2"/>
      <c r="F245" s="4"/>
      <c r="G245" s="4"/>
      <c r="H245" s="4" t="s">
        <v>137</v>
      </c>
      <c r="I245" s="4" t="str">
        <f ca="1">IFERROR(__xludf.DUMMYFUNCTION("GOOGLETRANSLATE(B245,""en"",""ar"")"),"ما الغرض من القضبان المعدنية التي تُقفل رؤوس الأبقار؟")</f>
        <v>ما الغرض من القضبان المعدنية التي تُقفل رؤوس الأبقار؟</v>
      </c>
      <c r="J245" s="4" t="str">
        <f ca="1">IFERROR(__xludf.DUMMYFUNCTION("GOOGLETRANSLATE(C245,""en"",""ar"")"),"أ) لمنعهم من الشجار، ب) لإبقائهم في مكانهم أثناء حلبهم أو إطعامهم، ج) هو شكل من أشكال العقاب، د) لمساعدتهم على النوم واقفين")</f>
        <v>أ) لمنعهم من الشجار، ب) لإبقائهم في مكانهم أثناء حلبهم أو إطعامهم، ج) هو شكل من أشكال العقاب، د) لمساعدتهم على النوم واقفين</v>
      </c>
      <c r="K245" s="4" t="str">
        <f ca="1">IFERROR(__xludf.DUMMYFUNCTION("GOOGLETRANSLATE(D245,""en"",""ar"")"),"ب) لتثبيتها في مكانها أثناء حلبها أو إطعامها")</f>
        <v>ب) لتثبيتها في مكانها أثناء حلبها أو إطعامها</v>
      </c>
      <c r="L245" s="4" t="str">
        <f ca="1">IFERROR(__xludf.DUMMYFUNCTION("GOOGLETRANSLATE(D245,""en"",""ar"")"),"ب) لتثبيتها في مكانها أثناء حلبها أو إطعامها")</f>
        <v>ب) لتثبيتها في مكانها أثناء حلبها أو إطعامها</v>
      </c>
      <c r="M245" s="4"/>
      <c r="N245" s="4"/>
      <c r="O245" s="4"/>
      <c r="P245" s="4"/>
      <c r="Q245" s="4"/>
      <c r="R245" s="4"/>
      <c r="S245" s="4"/>
      <c r="T245" s="4"/>
      <c r="U245" s="4"/>
      <c r="V245" s="4"/>
      <c r="W245" s="4"/>
      <c r="X245" s="4"/>
      <c r="Y245" s="4"/>
      <c r="Z245" s="4"/>
    </row>
    <row r="246" spans="1:26" ht="22.5" customHeight="1" x14ac:dyDescent="0.25">
      <c r="A246" s="2"/>
      <c r="B246" s="2"/>
      <c r="C246" s="2"/>
      <c r="D246" s="2"/>
      <c r="E246" s="2"/>
      <c r="F246" s="4"/>
      <c r="G246" s="4"/>
      <c r="H246" s="4" t="s">
        <v>137</v>
      </c>
      <c r="I246" s="4" t="str">
        <f ca="1">IFERROR(__xludf.DUMMYFUNCTION("GOOGLETRANSLATE(B246,""en"",""ar"")"),"ماذا تعني العلامات الصفراء الموجودة في آذانهم؟")</f>
        <v>ماذا تعني العلامات الصفراء الموجودة في آذانهم؟</v>
      </c>
      <c r="J246" s="4" t="str">
        <f ca="1">IFERROR(__xludf.DUMMYFUNCTION("GOOGLETRANSLATE(C246,""en"",""ar"")"),"أ) سعرهم، ب) فوزهم بجائزة، ج) أرقام تعريفهم الفردية، د) أعمارهم")</f>
        <v>أ) سعرهم، ب) فوزهم بجائزة، ج) أرقام تعريفهم الفردية، د) أعمارهم</v>
      </c>
      <c r="K246" s="4" t="str">
        <f ca="1">IFERROR(__xludf.DUMMYFUNCTION("GOOGLETRANSLATE(D246,""en"",""ar"")"),"ج) أرقام تعريفهم الفردية")</f>
        <v>ج) أرقام تعريفهم الفردية</v>
      </c>
      <c r="L246" s="4" t="str">
        <f ca="1">IFERROR(__xludf.DUMMYFUNCTION("GOOGLETRANSLATE(D246,""en"",""ar"")"),"ج) أرقام تعريفهم الفردية")</f>
        <v>ج) أرقام تعريفهم الفردية</v>
      </c>
      <c r="M246" s="4"/>
      <c r="N246" s="4"/>
      <c r="O246" s="4"/>
      <c r="P246" s="4"/>
      <c r="Q246" s="4"/>
      <c r="R246" s="4"/>
      <c r="S246" s="4"/>
      <c r="T246" s="4"/>
      <c r="U246" s="4"/>
      <c r="V246" s="4"/>
      <c r="W246" s="4"/>
      <c r="X246" s="4"/>
      <c r="Y246" s="4"/>
      <c r="Z246" s="4"/>
    </row>
    <row r="247" spans="1:26" ht="22.5" customHeight="1" x14ac:dyDescent="0.25">
      <c r="A247" s="2"/>
      <c r="B247" s="2"/>
      <c r="C247" s="2"/>
      <c r="D247" s="2"/>
      <c r="E247" s="2"/>
      <c r="F247" s="4"/>
      <c r="G247" s="4"/>
      <c r="H247" s="4" t="s">
        <v>137</v>
      </c>
      <c r="I247" s="4" t="str">
        <f ca="1">IFERROR(__xludf.DUMMYFUNCTION("GOOGLETRANSLATE(B247,""en"",""ar"")"),"البقرة التي في المنتصف تنظر...")</f>
        <v>البقرة التي في المنتصف تنظر...</v>
      </c>
      <c r="J247" s="4" t="str">
        <f ca="1">IFERROR(__xludf.DUMMYFUNCTION("GOOGLETRANSLATE(C247,""en"",""ar"")"),"أ) عند الأبقار الأخرى، ب) عند معلف الطعام، ج) مباشرة عند الكاميرا، د) أعلى السقف")</f>
        <v>أ) عند الأبقار الأخرى، ب) عند معلف الطعام، ج) مباشرة عند الكاميرا، د) أعلى السقف</v>
      </c>
      <c r="K247" s="4" t="str">
        <f ca="1">IFERROR(__xludf.DUMMYFUNCTION("GOOGLETRANSLATE(D247,""en"",""ar"")"),"ج) مباشرة نحو الكاميرا")</f>
        <v>ج) مباشرة نحو الكاميرا</v>
      </c>
      <c r="L247" s="4" t="str">
        <f ca="1">IFERROR(__xludf.DUMMYFUNCTION("GOOGLETRANSLATE(D247,""en"",""ar"")"),"ج) مباشرة نحو الكاميرا")</f>
        <v>ج) مباشرة نحو الكاميرا</v>
      </c>
      <c r="M247" s="4"/>
      <c r="N247" s="4"/>
      <c r="O247" s="4"/>
      <c r="P247" s="4"/>
      <c r="Q247" s="4"/>
      <c r="R247" s="4"/>
      <c r="S247" s="4"/>
      <c r="T247" s="4"/>
      <c r="U247" s="4"/>
      <c r="V247" s="4"/>
      <c r="W247" s="4"/>
      <c r="X247" s="4"/>
      <c r="Y247" s="4"/>
      <c r="Z247" s="4"/>
    </row>
    <row r="248" spans="1:26" ht="22.5" customHeight="1" x14ac:dyDescent="0.25">
      <c r="A248" s="2"/>
      <c r="B248" s="2"/>
      <c r="C248" s="2"/>
      <c r="D248" s="2"/>
      <c r="E248" s="2"/>
      <c r="F248" s="4"/>
      <c r="G248" s="4"/>
      <c r="H248" s="4" t="s">
        <v>137</v>
      </c>
      <c r="I248" s="4" t="str">
        <f ca="1">IFERROR(__xludf.DUMMYFUNCTION("GOOGLETRANSLATE(B248,""en"",""ar"")"),"تم تصميم البيئة العامة لهذه المزرعة من أجل...")</f>
        <v>تم تصميم البيئة العامة لهذه المزرعة من أجل...</v>
      </c>
      <c r="J248" s="4" t="str">
        <f ca="1">IFERROR(__xludf.DUMMYFUNCTION("GOOGLETRANSLATE(C248,""en"",""ar"")"),"أ) راحة الحيوانات وحريتها، ب) الكفاءة والإنتاج على نطاق واسع، ج) الترفيه العام، د) الزراعة التقليدية على نطاق صغير")</f>
        <v>أ) راحة الحيوانات وحريتها، ب) الكفاءة والإنتاج على نطاق واسع، ج) الترفيه العام، د) الزراعة التقليدية على نطاق صغير</v>
      </c>
      <c r="K248" s="4" t="str">
        <f ca="1">IFERROR(__xludf.DUMMYFUNCTION("GOOGLETRANSLATE(D248,""en"",""ar"")"),"ب) الكفاءة والإنتاج على نطاق واسع")</f>
        <v>ب) الكفاءة والإنتاج على نطاق واسع</v>
      </c>
      <c r="L248" s="4" t="str">
        <f ca="1">IFERROR(__xludf.DUMMYFUNCTION("GOOGLETRANSLATE(D248,""en"",""ar"")"),"ب) الكفاءة والإنتاج على نطاق واسع")</f>
        <v>ب) الكفاءة والإنتاج على نطاق واسع</v>
      </c>
      <c r="M248" s="4"/>
      <c r="N248" s="4"/>
      <c r="O248" s="4"/>
      <c r="P248" s="4"/>
      <c r="Q248" s="4"/>
      <c r="R248" s="4"/>
      <c r="S248" s="4"/>
      <c r="T248" s="4"/>
      <c r="U248" s="4"/>
      <c r="V248" s="4"/>
      <c r="W248" s="4"/>
      <c r="X248" s="4"/>
      <c r="Y248" s="4"/>
      <c r="Z248" s="4"/>
    </row>
    <row r="249" spans="1:26" ht="22.5" customHeight="1" x14ac:dyDescent="0.25">
      <c r="A249" s="2"/>
      <c r="B249" s="2"/>
      <c r="C249" s="2"/>
      <c r="D249" s="2"/>
      <c r="E249" s="2"/>
      <c r="F249" s="4"/>
      <c r="G249" s="4"/>
      <c r="H249" s="4" t="s">
        <v>137</v>
      </c>
      <c r="I249" s="4" t="str">
        <f ca="1">IFERROR(__xludf.DUMMYFUNCTION("GOOGLETRANSLATE(B249,""en"",""ar"")"),"هل تظهر في هذه الصورة أي نزاع أو قتال؟")</f>
        <v>هل تظهر في هذه الصورة أي نزاع أو قتال؟</v>
      </c>
      <c r="J249" s="4" t="str">
        <f ca="1">IFERROR(__xludf.DUMMYFUNCTION("GOOGLETRANSLATE(C249,""en"",""ar"")"),"أ) نعم، الأبقار في الخلفية تتشاجر، ب) نعم، البقرة في المقدمة عدوانية، ج) لا، تبدو الأبقار هادئة ومنظمة، د) غير واضح")</f>
        <v>أ) نعم، الأبقار في الخلفية تتشاجر، ب) نعم، البقرة في المقدمة عدوانية، ج) لا، تبدو الأبقار هادئة ومنظمة، د) غير واضح</v>
      </c>
      <c r="K249" s="4" t="str">
        <f ca="1">IFERROR(__xludf.DUMMYFUNCTION("GOOGLETRANSLATE(D249,""en"",""ar"")"),"ج) لا، تبدو الأبقار هادئة ومنظمة.")</f>
        <v>ج) لا، تبدو الأبقار هادئة ومنظمة.</v>
      </c>
      <c r="L249" s="4" t="str">
        <f ca="1">IFERROR(__xludf.DUMMYFUNCTION("GOOGLETRANSLATE(D249,""en"",""ar"")"),"ج) لا، تبدو الأبقار هادئة ومنظمة.")</f>
        <v>ج) لا، تبدو الأبقار هادئة ومنظمة.</v>
      </c>
      <c r="M249" s="4"/>
      <c r="N249" s="4"/>
      <c r="O249" s="4"/>
      <c r="P249" s="4"/>
      <c r="Q249" s="4"/>
      <c r="R249" s="4"/>
      <c r="S249" s="4"/>
      <c r="T249" s="4"/>
      <c r="U249" s="4"/>
      <c r="V249" s="4"/>
      <c r="W249" s="4"/>
      <c r="X249" s="4"/>
      <c r="Y249" s="4"/>
      <c r="Z249" s="4"/>
    </row>
    <row r="250" spans="1:26" ht="22.5" customHeight="1" x14ac:dyDescent="0.25">
      <c r="A250" s="2"/>
      <c r="B250" s="2"/>
      <c r="C250" s="2"/>
      <c r="D250" s="2"/>
      <c r="E250" s="2"/>
      <c r="F250" s="4"/>
      <c r="G250" s="4"/>
      <c r="H250" s="4" t="s">
        <v>137</v>
      </c>
      <c r="I250" s="4" t="str">
        <f ca="1">IFERROR(__xludf.DUMMYFUNCTION("GOOGLETRANSLATE(B250,""en"",""ar"")"),"تُعدّ البقعة البيضاء على شكل قلب على جبهة البقرة الرائدة مثالاً على...")</f>
        <v>تُعدّ البقعة البيضاء على شكل قلب على جبهة البقرة الرائدة مثالاً على...</v>
      </c>
      <c r="J250" s="4" t="str">
        <f ca="1">IFERROR(__xludf.DUMMYFUNCTION("GOOGLETRANSLATE(C250,""en"",""ar"")"),"أ) علامة من المالك، ب) اختلاف طبيعي في نمط الفرو، ج) علامة طلاء مؤقتة، د) ندبة من عراك")</f>
        <v>أ) علامة من المالك، ب) اختلاف طبيعي في نمط الفرو، ج) علامة طلاء مؤقتة، د) ندبة من عراك</v>
      </c>
      <c r="K250" s="4" t="str">
        <f ca="1">IFERROR(__xludf.DUMMYFUNCTION("GOOGLETRANSLATE(D250,""en"",""ar"")"),"ب) تنوع نمط الفراء الطبيعي")</f>
        <v>ب) تنوع نمط الفراء الطبيعي</v>
      </c>
      <c r="L250" s="4" t="str">
        <f ca="1">IFERROR(__xludf.DUMMYFUNCTION("GOOGLETRANSLATE(D250,""en"",""ar"")"),"ب) تنوع نمط الفراء الطبيعي")</f>
        <v>ب) تنوع نمط الفراء الطبيعي</v>
      </c>
      <c r="M250" s="4"/>
      <c r="N250" s="4"/>
      <c r="O250" s="4"/>
      <c r="P250" s="4"/>
      <c r="Q250" s="4"/>
      <c r="R250" s="4"/>
      <c r="S250" s="4"/>
      <c r="T250" s="4"/>
      <c r="U250" s="4"/>
      <c r="V250" s="4"/>
      <c r="W250" s="4"/>
      <c r="X250" s="4"/>
      <c r="Y250" s="4"/>
      <c r="Z250" s="4"/>
    </row>
    <row r="251" spans="1:26" ht="22.5" customHeight="1" x14ac:dyDescent="0.25">
      <c r="A251" s="2"/>
      <c r="B251" s="2"/>
      <c r="C251" s="2"/>
      <c r="D251" s="2"/>
      <c r="E251" s="2"/>
      <c r="F251" s="4"/>
      <c r="G251" s="4"/>
      <c r="H251" s="4" t="s">
        <v>137</v>
      </c>
      <c r="I251" s="4" t="str">
        <f ca="1">IFERROR(__xludf.DUMMYFUNCTION("GOOGLETRANSLATE(B251,""en"",""ar"")"),"تتميز هذه الصورة عن غيرها في المجموعة لأنها...")</f>
        <v>تتميز هذه الصورة عن غيرها في المجموعة لأنها...</v>
      </c>
      <c r="J251" s="4" t="str">
        <f ca="1">IFERROR(__xludf.DUMMYFUNCTION("GOOGLETRANSLATE(C251,""en"",""ar"")"),"أ) تُظهر أبقارًا تتصارع، ب) لا تُصوّر أي قتال أو صراع، ج) التُقطت ليلًا، د) بالأبيض والأسود")</f>
        <v>أ) تُظهر أبقارًا تتصارع، ب) لا تُصوّر أي قتال أو صراع، ج) التُقطت ليلًا، د) بالأبيض والأسود</v>
      </c>
      <c r="K251" s="4" t="str">
        <f ca="1">IFERROR(__xludf.DUMMYFUNCTION("GOOGLETRANSLATE(D251,""en"",""ar"")"),"ب) لا يصور أي قتال أو صراع")</f>
        <v>ب) لا يصور أي قتال أو صراع</v>
      </c>
      <c r="L251" s="4" t="str">
        <f ca="1">IFERROR(__xludf.DUMMYFUNCTION("GOOGLETRANSLATE(D251,""en"",""ar"")"),"ب) لا يصور أي قتال أو صراع")</f>
        <v>ب) لا يصور أي قتال أو صراع</v>
      </c>
      <c r="M251" s="4"/>
      <c r="N251" s="4"/>
      <c r="O251" s="4"/>
      <c r="P251" s="4"/>
      <c r="Q251" s="4"/>
      <c r="R251" s="4"/>
      <c r="S251" s="4"/>
      <c r="T251" s="4"/>
      <c r="U251" s="4"/>
      <c r="V251" s="4"/>
      <c r="W251" s="4"/>
      <c r="X251" s="4"/>
      <c r="Y251" s="4"/>
      <c r="Z251" s="4"/>
    </row>
    <row r="252" spans="1:26" ht="22.5" customHeight="1" x14ac:dyDescent="0.25">
      <c r="A252" s="2"/>
      <c r="B252" s="2"/>
      <c r="C252" s="2"/>
      <c r="D252" s="2"/>
      <c r="E252" s="2"/>
      <c r="F252" s="4"/>
      <c r="G252" s="4"/>
      <c r="H252" s="4" t="s">
        <v>138</v>
      </c>
      <c r="I252" s="4" t="str">
        <f ca="1">IFERROR(__xludf.DUMMYFUNCTION("GOOGLETRANSLATE(B252,""en"",""ar"")"),"الحيوانات الموجودة في هذه الصورة هي أبقار من نوع زيبو، والتي يمكن التعرف عليها بسهولة من خلال أي سمة؟")</f>
        <v>الحيوانات الموجودة في هذه الصورة هي أبقار من نوع زيبو، والتي يمكن التعرف عليها بسهولة من خلال أي سمة؟</v>
      </c>
      <c r="J252" s="4" t="str">
        <f ca="1">IFERROR(__xludf.DUMMYFUNCTION("GOOGLETRANSLATE(C252,""en"",""ar"")"),"أ) شعرهم الطويل الأشعث، ب) حدبات أكتافهم الكبيرة، ج) لونهم الأسود الموحد، د) حجمهم الصغير جداً")</f>
        <v>أ) شعرهم الطويل الأشعث، ب) حدبات أكتافهم الكبيرة، ج) لونهم الأسود الموحد، د) حجمهم الصغير جداً</v>
      </c>
      <c r="K252" s="4" t="str">
        <f ca="1">IFERROR(__xludf.DUMMYFUNCTION("GOOGLETRANSLATE(D252,""en"",""ar"")"),"ب) حدبات أكتافهم الكبيرة")</f>
        <v>ب) حدبات أكتافهم الكبيرة</v>
      </c>
      <c r="L252" s="4" t="str">
        <f ca="1">IFERROR(__xludf.DUMMYFUNCTION("GOOGLETRANSLATE(D252,""en"",""ar"")"),"ب) حدبات أكتافهم الكبيرة")</f>
        <v>ب) حدبات أكتافهم الكبيرة</v>
      </c>
      <c r="M252" s="4"/>
      <c r="N252" s="4"/>
      <c r="O252" s="4"/>
      <c r="P252" s="4"/>
      <c r="Q252" s="4"/>
      <c r="R252" s="4"/>
      <c r="S252" s="4"/>
      <c r="T252" s="4"/>
      <c r="U252" s="4"/>
      <c r="V252" s="4"/>
      <c r="W252" s="4"/>
      <c r="X252" s="4"/>
      <c r="Y252" s="4"/>
      <c r="Z252" s="4"/>
    </row>
    <row r="253" spans="1:26" ht="22.5" customHeight="1" x14ac:dyDescent="0.25">
      <c r="A253" s="2"/>
      <c r="B253" s="2"/>
      <c r="C253" s="2"/>
      <c r="D253" s="2"/>
      <c r="E253" s="2"/>
      <c r="F253" s="4"/>
      <c r="G253" s="4"/>
      <c r="H253" s="4" t="s">
        <v>138</v>
      </c>
      <c r="I253" s="4" t="str">
        <f ca="1">IFERROR(__xludf.DUMMYFUNCTION("GOOGLETRANSLATE(B253,""en"",""ar"")"),"ماذا يفعل الثوران؟")</f>
        <v>ماذا يفعل الثوران؟</v>
      </c>
      <c r="J253" s="4" t="str">
        <f ca="1">IFERROR(__xludf.DUMMYFUNCTION("GOOGLETRANSLATE(C253,""en"",""ar"")"),"أ) يشربان الماء معًا، ب) يخوضان قتالًا شرسًا وجهاً لوجه، ج) يقوم أحد المدربين بغسلهما، د) يستريحان في الوحل")</f>
        <v>أ) يشربان الماء معًا، ب) يخوضان قتالًا شرسًا وجهاً لوجه، ج) يقوم أحد المدربين بغسلهما، د) يستريحان في الوحل</v>
      </c>
      <c r="K253" s="4" t="str">
        <f ca="1">IFERROR(__xludf.DUMMYFUNCTION("GOOGLETRANSLATE(D253,""en"",""ar"")"),"ب) إنهم يخوضون معركة شرسة وجهاً لوجه")</f>
        <v>ب) إنهم يخوضون معركة شرسة وجهاً لوجه</v>
      </c>
      <c r="L253" s="4" t="str">
        <f ca="1">IFERROR(__xludf.DUMMYFUNCTION("GOOGLETRANSLATE(D253,""en"",""ar"")"),"ب) إنهم يخوضون معركة شرسة وجهاً لوجه")</f>
        <v>ب) إنهم يخوضون معركة شرسة وجهاً لوجه</v>
      </c>
      <c r="M253" s="4"/>
      <c r="N253" s="4"/>
      <c r="O253" s="4"/>
      <c r="P253" s="4"/>
      <c r="Q253" s="4"/>
      <c r="R253" s="4"/>
      <c r="S253" s="4"/>
      <c r="T253" s="4"/>
      <c r="U253" s="4"/>
      <c r="V253" s="4"/>
      <c r="W253" s="4"/>
      <c r="X253" s="4"/>
      <c r="Y253" s="4"/>
      <c r="Z253" s="4"/>
    </row>
    <row r="254" spans="1:26" ht="22.5" customHeight="1" x14ac:dyDescent="0.25">
      <c r="A254" s="2"/>
      <c r="B254" s="2"/>
      <c r="C254" s="2"/>
      <c r="D254" s="2"/>
      <c r="E254" s="2"/>
      <c r="F254" s="4"/>
      <c r="G254" s="4"/>
      <c r="H254" s="4" t="s">
        <v>138</v>
      </c>
      <c r="I254" s="4" t="str">
        <f ca="1">IFERROR(__xludf.DUMMYFUNCTION("GOOGLETRANSLATE(B254,""en"",""ar"")"),"ما هو مكان هذا القتال؟")</f>
        <v>ما هو مكان هذا القتال؟</v>
      </c>
      <c r="J254" s="4" t="str">
        <f ca="1">IFERROR(__xludf.DUMMYFUNCTION("GOOGLETRANSLATE(C254,""en"",""ar"")"),"أ) مرعى أخضر، ب) ساحة حديثة مسيجة، ج) منطقة موحلة ومائية، د) شارع في المدينة")</f>
        <v>أ) مرعى أخضر، ب) ساحة حديثة مسيجة، ج) منطقة موحلة ومائية، د) شارع في المدينة</v>
      </c>
      <c r="K254" s="4" t="str">
        <f ca="1">IFERROR(__xludf.DUMMYFUNCTION("GOOGLETRANSLATE(D254,""en"",""ar"")"),"ج) منطقة موحلة ومائية")</f>
        <v>ج) منطقة موحلة ومائية</v>
      </c>
      <c r="L254" s="4" t="str">
        <f ca="1">IFERROR(__xludf.DUMMYFUNCTION("GOOGLETRANSLATE(D254,""en"",""ar"")"),"ج) منطقة موحلة ومائية")</f>
        <v>ج) منطقة موحلة ومائية</v>
      </c>
      <c r="M254" s="4"/>
      <c r="N254" s="4"/>
      <c r="O254" s="4"/>
      <c r="P254" s="4"/>
      <c r="Q254" s="4"/>
      <c r="R254" s="4"/>
      <c r="S254" s="4"/>
      <c r="T254" s="4"/>
      <c r="U254" s="4"/>
      <c r="V254" s="4"/>
      <c r="W254" s="4"/>
      <c r="X254" s="4"/>
      <c r="Y254" s="4"/>
      <c r="Z254" s="4"/>
    </row>
    <row r="255" spans="1:26" ht="22.5" customHeight="1" x14ac:dyDescent="0.25">
      <c r="A255" s="2"/>
      <c r="B255" s="2"/>
      <c r="C255" s="2"/>
      <c r="D255" s="2"/>
      <c r="E255" s="2"/>
      <c r="F255" s="4"/>
      <c r="G255" s="4"/>
      <c r="H255" s="4" t="s">
        <v>138</v>
      </c>
      <c r="I255" s="4" t="str">
        <f ca="1">IFERROR(__xludf.DUMMYFUNCTION("GOOGLETRANSLATE(B255,""en"",""ar"")"),"لماذا قد تتقاتل الثيران في الماء أو بالقرب منه؟")</f>
        <v>لماذا قد تتقاتل الثيران في الماء أو بالقرب منه؟</v>
      </c>
      <c r="J255" s="4" t="str">
        <f ca="1">IFERROR(__xludf.DUMMYFUNCTION("GOOGLETRANSLATE(C255,""en"",""ar"")"),"أ) يساعدهم الماء على البقاء باردين أثناء المجهود، ب) يمكن أن تكون مصادر المياه مورداً رئيسياً للتحكم، ج) يوفر الطين ثباتاً أفضل، د) كل من أ و ب")</f>
        <v>أ) يساعدهم الماء على البقاء باردين أثناء المجهود، ب) يمكن أن تكون مصادر المياه مورداً رئيسياً للتحكم، ج) يوفر الطين ثباتاً أفضل، د) كل من أ و ب</v>
      </c>
      <c r="K255" s="4" t="str">
        <f ca="1">IFERROR(__xludf.DUMMYFUNCTION("GOOGLETRANSLATE(D255,""en"",""ar"")"),"د) كل من أ و ب")</f>
        <v>د) كل من أ و ب</v>
      </c>
      <c r="L255" s="4" t="str">
        <f ca="1">IFERROR(__xludf.DUMMYFUNCTION("GOOGLETRANSLATE(D255,""en"",""ar"")"),"د) كل من أ و ب")</f>
        <v>د) كل من أ و ب</v>
      </c>
      <c r="M255" s="4"/>
      <c r="N255" s="4"/>
      <c r="O255" s="4"/>
      <c r="P255" s="4"/>
      <c r="Q255" s="4"/>
      <c r="R255" s="4"/>
      <c r="S255" s="4"/>
      <c r="T255" s="4"/>
      <c r="U255" s="4"/>
      <c r="V255" s="4"/>
      <c r="W255" s="4"/>
      <c r="X255" s="4"/>
      <c r="Y255" s="4"/>
      <c r="Z255" s="4"/>
    </row>
    <row r="256" spans="1:26" ht="22.5" customHeight="1" x14ac:dyDescent="0.25">
      <c r="A256" s="2"/>
      <c r="B256" s="2"/>
      <c r="C256" s="2"/>
      <c r="D256" s="2"/>
      <c r="E256" s="2"/>
      <c r="F256" s="4"/>
      <c r="G256" s="4"/>
      <c r="H256" s="4" t="s">
        <v>138</v>
      </c>
      <c r="I256" s="4" t="str">
        <f ca="1">IFERROR(__xludf.DUMMYFUNCTION("GOOGLETRANSLATE(B256,""en"",""ar"")"),"المادة السوداء الموجودة على ظهر الثور الأسود هي...")</f>
        <v>المادة السوداء الموجودة على ظهر الثور الأسود هي...</v>
      </c>
      <c r="J256" s="4" t="str">
        <f ca="1">IFERROR(__xludf.DUMMYFUNCTION("GOOGLETRANSLATE(C256,""en"",""ar"")"),"أ) نمط فرائها الطبيعي، ب) ظل، ج) طين رطب، د) طلاء")</f>
        <v>أ) نمط فرائها الطبيعي، ب) ظل، ج) طين رطب، د) طلاء</v>
      </c>
      <c r="K256" s="4" t="str">
        <f ca="1">IFERROR(__xludf.DUMMYFUNCTION("GOOGLETRANSLATE(D256,""en"",""ar"")"),"ج) الطين الرطب")</f>
        <v>ج) الطين الرطب</v>
      </c>
      <c r="L256" s="4" t="str">
        <f ca="1">IFERROR(__xludf.DUMMYFUNCTION("GOOGLETRANSLATE(D256,""en"",""ar"")"),"ج) الطين الرطب")</f>
        <v>ج) الطين الرطب</v>
      </c>
      <c r="M256" s="4"/>
      <c r="N256" s="4"/>
      <c r="O256" s="4"/>
      <c r="P256" s="4"/>
      <c r="Q256" s="4"/>
      <c r="R256" s="4"/>
      <c r="S256" s="4"/>
      <c r="T256" s="4"/>
      <c r="U256" s="4"/>
      <c r="V256" s="4"/>
      <c r="W256" s="4"/>
      <c r="X256" s="4"/>
      <c r="Y256" s="4"/>
      <c r="Z256" s="4"/>
    </row>
    <row r="257" spans="1:26" ht="22.5" customHeight="1" x14ac:dyDescent="0.25">
      <c r="A257" s="2"/>
      <c r="B257" s="2"/>
      <c r="C257" s="2"/>
      <c r="D257" s="2"/>
      <c r="E257" s="2"/>
      <c r="F257" s="4"/>
      <c r="G257" s="4"/>
      <c r="H257" s="4" t="s">
        <v>138</v>
      </c>
      <c r="I257" s="4" t="str">
        <f ca="1">IFERROR(__xludf.DUMMYFUNCTION("GOOGLETRANSLATE(B257,""en"",""ar"")"),"يُعد هذا النوع من مصارعة الثيران، بين ثورين، رياضة تقليدية في أجزاء من...")</f>
        <v>يُعد هذا النوع من مصارعة الثيران، بين ثورين، رياضة تقليدية في أجزاء من...</v>
      </c>
      <c r="J257" s="4" t="str">
        <f ca="1">IFERROR(__xludf.DUMMYFUNCTION("GOOGLETRANSLATE(C257,""en"",""ar"")"),"أ) أمريكا الشمالية، ب) أوروبا، ج) جنوب شرق آسيا، د) القارة القطبية الجنوبية")</f>
        <v>أ) أمريكا الشمالية، ب) أوروبا، ج) جنوب شرق آسيا، د) القارة القطبية الجنوبية</v>
      </c>
      <c r="K257" s="4" t="str">
        <f ca="1">IFERROR(__xludf.DUMMYFUNCTION("GOOGLETRANSLATE(D257,""en"",""ar"")"),"ج) جنوب شرق آسيا")</f>
        <v>ج) جنوب شرق آسيا</v>
      </c>
      <c r="L257" s="4" t="str">
        <f ca="1">IFERROR(__xludf.DUMMYFUNCTION("GOOGLETRANSLATE(D257,""en"",""ar"")"),"ج) جنوب شرق آسيا")</f>
        <v>ج) جنوب شرق آسيا</v>
      </c>
      <c r="M257" s="4"/>
      <c r="N257" s="4"/>
      <c r="O257" s="4"/>
      <c r="P257" s="4"/>
      <c r="Q257" s="4"/>
      <c r="R257" s="4"/>
      <c r="S257" s="4"/>
      <c r="T257" s="4"/>
      <c r="U257" s="4"/>
      <c r="V257" s="4"/>
      <c r="W257" s="4"/>
      <c r="X257" s="4"/>
      <c r="Y257" s="4"/>
      <c r="Z257" s="4"/>
    </row>
    <row r="258" spans="1:26" ht="22.5" customHeight="1" x14ac:dyDescent="0.25">
      <c r="A258" s="2"/>
      <c r="B258" s="2"/>
      <c r="C258" s="2"/>
      <c r="D258" s="2"/>
      <c r="E258" s="2"/>
      <c r="F258" s="4"/>
      <c r="G258" s="4"/>
      <c r="H258" s="4" t="s">
        <v>138</v>
      </c>
      <c r="I258" s="4" t="str">
        <f ca="1">IFERROR(__xludf.DUMMYFUNCTION("GOOGLETRANSLATE(B258,""en"",""ar"")"),"قرون الثور البني هي...")</f>
        <v>قرون الثور البني هي...</v>
      </c>
      <c r="J258" s="4" t="str">
        <f ca="1">IFERROR(__xludf.DUMMYFUNCTION("GOOGLETRANSLATE(C258,""en"",""ar"")"),"أ) طويل جدًا ورفيع، ب) قصير وسميك ومنحنٍ، ج) مغطى بالزخارف، د) غير حقيقي")</f>
        <v>أ) طويل جدًا ورفيع، ب) قصير وسميك ومنحنٍ، ج) مغطى بالزخارف، د) غير حقيقي</v>
      </c>
      <c r="K258" s="4" t="str">
        <f ca="1">IFERROR(__xludf.DUMMYFUNCTION("GOOGLETRANSLATE(D258,""en"",""ar"")"),"ب) قصيرة، سميكة، ومنحنية")</f>
        <v>ب) قصيرة، سميكة، ومنحنية</v>
      </c>
      <c r="L258" s="4" t="str">
        <f ca="1">IFERROR(__xludf.DUMMYFUNCTION("GOOGLETRANSLATE(D258,""en"",""ar"")"),"ب) قصيرة، سميكة، ومنحنية")</f>
        <v>ب) قصيرة، سميكة، ومنحنية</v>
      </c>
      <c r="M258" s="4"/>
      <c r="N258" s="4"/>
      <c r="O258" s="4"/>
      <c r="P258" s="4"/>
      <c r="Q258" s="4"/>
      <c r="R258" s="4"/>
      <c r="S258" s="4"/>
      <c r="T258" s="4"/>
      <c r="U258" s="4"/>
      <c r="V258" s="4"/>
      <c r="W258" s="4"/>
      <c r="X258" s="4"/>
      <c r="Y258" s="4"/>
      <c r="Z258" s="4"/>
    </row>
    <row r="259" spans="1:26" ht="22.5" customHeight="1" x14ac:dyDescent="0.25">
      <c r="A259" s="2"/>
      <c r="B259" s="2"/>
      <c r="C259" s="2"/>
      <c r="D259" s="2"/>
      <c r="E259" s="2"/>
      <c r="F259" s="4"/>
      <c r="G259" s="4"/>
      <c r="H259" s="4" t="s">
        <v>138</v>
      </c>
      <c r="I259" s="4" t="str">
        <f ca="1">IFERROR(__xludf.DUMMYFUNCTION("GOOGLETRANSLATE(B259,""en"",""ar"")"),"هذه المباراة اختبار لـ...")</f>
        <v>هذه المباراة اختبار لـ...</v>
      </c>
      <c r="J259" s="4" t="str">
        <f ca="1">IFERROR(__xludf.DUMMYFUNCTION("GOOGLETRANSLATE(C259,""en"",""ar"")"),"أ) الرشاقة والسرعة، ب) القوة والتحمل الخالصان، ج) الرابطة بين الثور ومربيه، د) ذكاء الثور")</f>
        <v>أ) الرشاقة والسرعة، ب) القوة والتحمل الخالصان، ج) الرابطة بين الثور ومربيه، د) ذكاء الثور</v>
      </c>
      <c r="K259" s="4" t="str">
        <f ca="1">IFERROR(__xludf.DUMMYFUNCTION("GOOGLETRANSLATE(D259,""en"",""ar"")"),"ب) القوة والتحمل الخالصان")</f>
        <v>ب) القوة والتحمل الخالصان</v>
      </c>
      <c r="L259" s="4" t="str">
        <f ca="1">IFERROR(__xludf.DUMMYFUNCTION("GOOGLETRANSLATE(D259,""en"",""ar"")"),"ب) القوة والتحمل الخالصان")</f>
        <v>ب) القوة والتحمل الخالصان</v>
      </c>
      <c r="M259" s="4"/>
      <c r="N259" s="4"/>
      <c r="O259" s="4"/>
      <c r="P259" s="4"/>
      <c r="Q259" s="4"/>
      <c r="R259" s="4"/>
      <c r="S259" s="4"/>
      <c r="T259" s="4"/>
      <c r="U259" s="4"/>
      <c r="V259" s="4"/>
      <c r="W259" s="4"/>
      <c r="X259" s="4"/>
      <c r="Y259" s="4"/>
      <c r="Z259" s="4"/>
    </row>
    <row r="260" spans="1:26" ht="22.5" customHeight="1" x14ac:dyDescent="0.25">
      <c r="A260" s="2"/>
      <c r="B260" s="2"/>
      <c r="C260" s="2"/>
      <c r="D260" s="2"/>
      <c r="E260" s="2"/>
      <c r="F260" s="4"/>
      <c r="G260" s="4"/>
      <c r="H260" s="4" t="s">
        <v>138</v>
      </c>
      <c r="I260" s="4" t="str">
        <f ca="1">IFERROR(__xludf.DUMMYFUNCTION("GOOGLETRANSLATE(B260,""en"",""ar"")"),"ما هي النتيجة المحتملة لهذه المعركة؟")</f>
        <v>ما هي النتيجة المحتملة لهذه المعركة؟</v>
      </c>
      <c r="J260" s="4" t="str">
        <f ca="1">IFERROR(__xludf.DUMMYFUNCTION("GOOGLETRANSLATE(C260,""en"",""ar"")"),"أ) ستنتهي بموت أحد الثورين، ب) ستنتهي عندما يستسلم أحد الثورين ويتراجع، ج) سيوقفها الحكم بعد انقضاء وقت محدد، د) ستنتهي عندما يسقط كلا الثورين من الإرهاق")</f>
        <v>أ) ستنتهي بموت أحد الثورين، ب) ستنتهي عندما يستسلم أحد الثورين ويتراجع، ج) سيوقفها الحكم بعد انقضاء وقت محدد، د) ستنتهي عندما يسقط كلا الثورين من الإرهاق</v>
      </c>
      <c r="K260" s="4" t="str">
        <f ca="1">IFERROR(__xludf.DUMMYFUNCTION("GOOGLETRANSLATE(D260,""en"",""ar"")"),"ب) سينتهي الأمر عندما يستسلم أحد الثيران ويتراجع")</f>
        <v>ب) سينتهي الأمر عندما يستسلم أحد الثيران ويتراجع</v>
      </c>
      <c r="L260" s="4" t="str">
        <f ca="1">IFERROR(__xludf.DUMMYFUNCTION("GOOGLETRANSLATE(D260,""en"",""ar"")"),"ب) سينتهي الأمر عندما يستسلم أحد الثيران ويتراجع")</f>
        <v>ب) سينتهي الأمر عندما يستسلم أحد الثيران ويتراجع</v>
      </c>
      <c r="M260" s="4"/>
      <c r="N260" s="4"/>
      <c r="O260" s="4"/>
      <c r="P260" s="4"/>
      <c r="Q260" s="4"/>
      <c r="R260" s="4"/>
      <c r="S260" s="4"/>
      <c r="T260" s="4"/>
      <c r="U260" s="4"/>
      <c r="V260" s="4"/>
      <c r="W260" s="4"/>
      <c r="X260" s="4"/>
      <c r="Y260" s="4"/>
      <c r="Z260" s="4"/>
    </row>
    <row r="261" spans="1:26" ht="22.5" customHeight="1" x14ac:dyDescent="0.25">
      <c r="A261" s="2"/>
      <c r="B261" s="2"/>
      <c r="C261" s="2"/>
      <c r="D261" s="2"/>
      <c r="E261" s="2"/>
      <c r="F261" s="4"/>
      <c r="G261" s="4"/>
      <c r="H261" s="4" t="s">
        <v>138</v>
      </c>
      <c r="I261" s="4" t="str">
        <f ca="1">IFERROR(__xludf.DUMMYFUNCTION("GOOGLETRANSLATE(B261,""en"",""ar"")"),"يُظهر التوتر العضلي في رقاب وأكتاف الثيران...")</f>
        <v>يُظهر التوتر العضلي في رقاب وأكتاف الثيران...</v>
      </c>
      <c r="J261" s="4" t="str">
        <f ca="1">IFERROR(__xludf.DUMMYFUNCTION("GOOGLETRANSLATE(C261,""en"",""ar"")"),"أ) إنهم مسترخون، ب) إنهم يبذلون أقصى جهد، ج) إنهم يستعدون للنوم، د) إنهم خائفون")</f>
        <v>أ) إنهم مسترخون، ب) إنهم يبذلون أقصى جهد، ج) إنهم يستعدون للنوم، د) إنهم خائفون</v>
      </c>
      <c r="K261" s="4" t="str">
        <f ca="1">IFERROR(__xludf.DUMMYFUNCTION("GOOGLETRANSLATE(D261,""en"",""ar"")"),"ب) إنهم يبذلون أقصى قوة")</f>
        <v>ب) إنهم يبذلون أقصى قوة</v>
      </c>
      <c r="L261" s="4" t="str">
        <f ca="1">IFERROR(__xludf.DUMMYFUNCTION("GOOGLETRANSLATE(D261,""en"",""ar"")"),"ب) إنهم يبذلون أقصى قوة")</f>
        <v>ب) إنهم يبذلون أقصى قوة</v>
      </c>
      <c r="M261" s="4"/>
      <c r="N261" s="4"/>
      <c r="O261" s="4"/>
      <c r="P261" s="4"/>
      <c r="Q261" s="4"/>
      <c r="R261" s="4"/>
      <c r="S261" s="4"/>
      <c r="T261" s="4"/>
      <c r="U261" s="4"/>
      <c r="V261" s="4"/>
      <c r="W261" s="4"/>
      <c r="X261" s="4"/>
      <c r="Y261" s="4"/>
      <c r="Z261" s="4"/>
    </row>
    <row r="262" spans="1:26" ht="22.5" customHeight="1" x14ac:dyDescent="0.25">
      <c r="A262" s="2"/>
      <c r="B262" s="2"/>
      <c r="C262" s="2"/>
      <c r="D262" s="2"/>
      <c r="E262" s="2"/>
      <c r="F262" s="4"/>
      <c r="G262" s="4"/>
      <c r="H262" s="4" t="s">
        <v>139</v>
      </c>
      <c r="I262" s="4" t="str">
        <f ca="1">IFERROR(__xludf.DUMMYFUNCTION("GOOGLETRANSLATE(B262,""en"",""ar"")"),"ما هو سياق هذه الصورة؟")</f>
        <v>ما هو سياق هذه الصورة؟</v>
      </c>
      <c r="J262" s="4" t="str">
        <f ca="1">IFERROR(__xludf.DUMMYFUNCTION("GOOGLETRANSLATE(C262,""en"",""ar"")"),"أ) مرعى مفتوح، ب) غابة كثيفة، ج) حظيرة أو قفص داخلي، د) ساحة قتال")</f>
        <v>أ) مرعى مفتوح، ب) غابة كثيفة، ج) حظيرة أو قفص داخلي، د) ساحة قتال</v>
      </c>
      <c r="K262" s="4" t="str">
        <f ca="1">IFERROR(__xludf.DUMMYFUNCTION("GOOGLETRANSLATE(D262,""en"",""ar"")"),"ج) حظيرة أو قفص داخلي")</f>
        <v>ج) حظيرة أو قفص داخلي</v>
      </c>
      <c r="L262" s="4" t="str">
        <f ca="1">IFERROR(__xludf.DUMMYFUNCTION("GOOGLETRANSLATE(D262,""en"",""ar"")"),"ج) حظيرة أو قفص داخلي")</f>
        <v>ج) حظيرة أو قفص داخلي</v>
      </c>
      <c r="M262" s="4"/>
      <c r="N262" s="4"/>
      <c r="O262" s="4"/>
      <c r="P262" s="4"/>
      <c r="Q262" s="4"/>
      <c r="R262" s="4"/>
      <c r="S262" s="4"/>
      <c r="T262" s="4"/>
      <c r="U262" s="4"/>
      <c r="V262" s="4"/>
      <c r="W262" s="4"/>
      <c r="X262" s="4"/>
      <c r="Y262" s="4"/>
      <c r="Z262" s="4"/>
    </row>
    <row r="263" spans="1:26" ht="22.5" customHeight="1" x14ac:dyDescent="0.25">
      <c r="A263" s="2"/>
      <c r="B263" s="2"/>
      <c r="C263" s="2"/>
      <c r="D263" s="2"/>
      <c r="E263" s="2"/>
      <c r="F263" s="4"/>
      <c r="G263" s="4"/>
      <c r="H263" s="4" t="s">
        <v>139</v>
      </c>
      <c r="I263" s="4" t="str">
        <f ca="1">IFERROR(__xludf.DUMMYFUNCTION("GOOGLETRANSLATE(B263,""en"",""ar"")"),"ماذا تفعل البقرتان؟")</f>
        <v>ماذا تفعل البقرتان؟</v>
      </c>
      <c r="J263" s="4" t="str">
        <f ca="1">IFERROR(__xludf.DUMMYFUNCTION("GOOGLETRANSLATE(C263,""en"",""ar"")"),"أ) إنهم في قتال عنيف، ب) إنهم يأكلون التبن من الأرض، ج) إنهم نائمون، د) يتم حلبهم")</f>
        <v>أ) إنهم في قتال عنيف، ب) إنهم يأكلون التبن من الأرض، ج) إنهم نائمون، د) يتم حلبهم</v>
      </c>
      <c r="K263" s="4" t="str">
        <f ca="1">IFERROR(__xludf.DUMMYFUNCTION("GOOGLETRANSLATE(D263,""en"",""ar"")"),"ب) إنهم يأكلون التبن من الأرض")</f>
        <v>ب) إنهم يأكلون التبن من الأرض</v>
      </c>
      <c r="L263" s="4" t="str">
        <f ca="1">IFERROR(__xludf.DUMMYFUNCTION("GOOGLETRANSLATE(D263,""en"",""ar"")"),"ب) إنهم يأكلون التبن من الأرض")</f>
        <v>ب) إنهم يأكلون التبن من الأرض</v>
      </c>
      <c r="M263" s="4"/>
      <c r="N263" s="4"/>
      <c r="O263" s="4"/>
      <c r="P263" s="4"/>
      <c r="Q263" s="4"/>
      <c r="R263" s="4"/>
      <c r="S263" s="4"/>
      <c r="T263" s="4"/>
      <c r="U263" s="4"/>
      <c r="V263" s="4"/>
      <c r="W263" s="4"/>
      <c r="X263" s="4"/>
      <c r="Y263" s="4"/>
      <c r="Z263" s="4"/>
    </row>
    <row r="264" spans="1:26" ht="22.5" customHeight="1" x14ac:dyDescent="0.25">
      <c r="A264" s="2"/>
      <c r="B264" s="2"/>
      <c r="C264" s="2"/>
      <c r="D264" s="2"/>
      <c r="E264" s="2"/>
      <c r="F264" s="4"/>
      <c r="G264" s="4"/>
      <c r="H264" s="4" t="s">
        <v>139</v>
      </c>
      <c r="I264" s="4" t="str">
        <f ca="1">IFERROR(__xludf.DUMMYFUNCTION("GOOGLETRANSLATE(B264,""en"",""ar"")"),"ماذا تعني العلامات الصفراء الموجودة في آذانهم؟")</f>
        <v>ماذا تعني العلامات الصفراء الموجودة في آذانهم؟</v>
      </c>
      <c r="J264" s="4" t="str">
        <f ca="1">IFERROR(__xludf.DUMMYFUNCTION("GOOGLETRANSLATE(C264,""en"",""ar"")"),"أ) هي للزينة، ب) تُظهر سعر البقرة، ج) تُستخدم لتحديد هوية المزرعة، د) تُشير إلى الفائز في النزال")</f>
        <v>أ) هي للزينة، ب) تُظهر سعر البقرة، ج) تُستخدم لتحديد هوية المزرعة، د) تُشير إلى الفائز في النزال</v>
      </c>
      <c r="K264" s="4" t="str">
        <f ca="1">IFERROR(__xludf.DUMMYFUNCTION("GOOGLETRANSLATE(D264,""en"",""ar"")"),"ج) تُستخدم لتحديد هوية المزارع")</f>
        <v>ج) تُستخدم لتحديد هوية المزارع</v>
      </c>
      <c r="L264" s="4" t="str">
        <f ca="1">IFERROR(__xludf.DUMMYFUNCTION("GOOGLETRANSLATE(D264,""en"",""ar"")"),"ج) تُستخدم لتحديد هوية المزارع")</f>
        <v>ج) تُستخدم لتحديد هوية المزارع</v>
      </c>
      <c r="M264" s="4"/>
      <c r="N264" s="4"/>
      <c r="O264" s="4"/>
      <c r="P264" s="4"/>
      <c r="Q264" s="4"/>
      <c r="R264" s="4"/>
      <c r="S264" s="4"/>
      <c r="T264" s="4"/>
      <c r="U264" s="4"/>
      <c r="V264" s="4"/>
      <c r="W264" s="4"/>
      <c r="X264" s="4"/>
      <c r="Y264" s="4"/>
      <c r="Z264" s="4"/>
    </row>
    <row r="265" spans="1:26" ht="22.5" customHeight="1" x14ac:dyDescent="0.25">
      <c r="A265" s="2"/>
      <c r="B265" s="2"/>
      <c r="C265" s="2"/>
      <c r="D265" s="2"/>
      <c r="E265" s="2"/>
      <c r="F265" s="4"/>
      <c r="G265" s="4"/>
      <c r="H265" s="4" t="s">
        <v>139</v>
      </c>
      <c r="I265" s="4" t="str">
        <f ca="1">IFERROR(__xludf.DUMMYFUNCTION("GOOGLETRANSLATE(B265,""en"",""ar"")"),"ما الذي يُربط حول أعناق الأبقار؟")</f>
        <v>ما الذي يُربط حول أعناق الأبقار؟</v>
      </c>
      <c r="J265" s="4" t="str">
        <f ca="1">IFERROR(__xludf.DUMMYFUNCTION("GOOGLETRANSLATE(C265,""en"",""ar"")"),"أ) أشرطة زينة، ب) سلاسل معدنية ثقيلة، ج) حبال بسيطة، د) لا شيء")</f>
        <v>أ) أشرطة زينة، ب) سلاسل معدنية ثقيلة، ج) حبال بسيطة، د) لا شيء</v>
      </c>
      <c r="K265" s="4" t="str">
        <f ca="1">IFERROR(__xludf.DUMMYFUNCTION("GOOGLETRANSLATE(D265,""en"",""ar"")"),"ج) حبال بسيطة")</f>
        <v>ج) حبال بسيطة</v>
      </c>
      <c r="L265" s="4" t="str">
        <f ca="1">IFERROR(__xludf.DUMMYFUNCTION("GOOGLETRANSLATE(D265,""en"",""ar"")"),"ج) حبال بسيطة")</f>
        <v>ج) حبال بسيطة</v>
      </c>
      <c r="M265" s="4"/>
      <c r="N265" s="4"/>
      <c r="O265" s="4"/>
      <c r="P265" s="4"/>
      <c r="Q265" s="4"/>
      <c r="R265" s="4"/>
      <c r="S265" s="4"/>
      <c r="T265" s="4"/>
      <c r="U265" s="4"/>
      <c r="V265" s="4"/>
      <c r="W265" s="4"/>
      <c r="X265" s="4"/>
      <c r="Y265" s="4"/>
      <c r="Z265" s="4"/>
    </row>
    <row r="266" spans="1:26" ht="22.5" customHeight="1" x14ac:dyDescent="0.25">
      <c r="A266" s="2"/>
      <c r="B266" s="2"/>
      <c r="C266" s="2"/>
      <c r="D266" s="2"/>
      <c r="E266" s="2"/>
      <c r="F266" s="4"/>
      <c r="G266" s="4"/>
      <c r="H266" s="4" t="s">
        <v>139</v>
      </c>
      <c r="I266" s="4" t="str">
        <f ca="1">IFERROR(__xludf.DUMMYFUNCTION("GOOGLETRANSLATE(B266,""en"",""ar"")"),"من المرجح أن يكون سلالة هذه الماشية، ذات الآذان المتدلية والفراء الناعم، ...")</f>
        <v>من المرجح أن يكون سلالة هذه الماشية، ذات الآذان المتدلية والفراء الناعم، ...</v>
      </c>
      <c r="J266" s="4" t="str">
        <f ca="1">IFERROR(__xludf.DUMMYFUNCTION("GOOGLETRANSLATE(C266,""en"",""ar"")"),"أ) المرتفعات الاسكتلندية، ب) هولشتاين، ج) زيبو أو سلالة مهجنة من الزيبو، د) تكساس لونغهورن")</f>
        <v>أ) المرتفعات الاسكتلندية، ب) هولشتاين، ج) زيبو أو سلالة مهجنة من الزيبو، د) تكساس لونغهورن</v>
      </c>
      <c r="K266" s="4" t="str">
        <f ca="1">IFERROR(__xludf.DUMMYFUNCTION("GOOGLETRANSLATE(D266,""en"",""ar"")"),"ج) ثور زيبو أو سلالة هجينة من الزيبو")</f>
        <v>ج) ثور زيبو أو سلالة هجينة من الزيبو</v>
      </c>
      <c r="L266" s="4" t="str">
        <f ca="1">IFERROR(__xludf.DUMMYFUNCTION("GOOGLETRANSLATE(D266,""en"",""ar"")"),"ج) ثور زيبو أو سلالة هجينة من الزيبو")</f>
        <v>ج) ثور زيبو أو سلالة هجينة من الزيبو</v>
      </c>
      <c r="M266" s="4"/>
      <c r="N266" s="4"/>
      <c r="O266" s="4"/>
      <c r="P266" s="4"/>
      <c r="Q266" s="4"/>
      <c r="R266" s="4"/>
      <c r="S266" s="4"/>
      <c r="T266" s="4"/>
      <c r="U266" s="4"/>
      <c r="V266" s="4"/>
      <c r="W266" s="4"/>
      <c r="X266" s="4"/>
      <c r="Y266" s="4"/>
      <c r="Z266" s="4"/>
    </row>
    <row r="267" spans="1:26" ht="22.5" customHeight="1" x14ac:dyDescent="0.25">
      <c r="A267" s="2"/>
      <c r="B267" s="2"/>
      <c r="C267" s="2"/>
      <c r="D267" s="2"/>
      <c r="E267" s="2"/>
      <c r="F267" s="4"/>
      <c r="G267" s="4"/>
      <c r="H267" s="4" t="s">
        <v>139</v>
      </c>
      <c r="I267" s="4" t="str">
        <f ca="1">IFERROR(__xludf.DUMMYFUNCTION("GOOGLETRANSLATE(B267,""en"",""ar"")"),"من المرجح أن هذا المشهد يصور...")</f>
        <v>من المرجح أن هذا المشهد يصور...</v>
      </c>
      <c r="J267" s="4" t="str">
        <f ca="1">IFERROR(__xludf.DUMMYFUNCTION("GOOGLETRANSLATE(C267,""en"",""ar"")"),"أ) نزال بطولة، ب) مشهد عادي يومي في حظيرة أو سوق، ج) حدث نادر وخطير، د) طقوس ما قبل النزال")</f>
        <v>أ) نزال بطولة، ب) مشهد عادي يومي في حظيرة أو سوق، ج) حدث نادر وخطير، د) طقوس ما قبل النزال</v>
      </c>
      <c r="K267" s="4" t="str">
        <f ca="1">IFERROR(__xludf.DUMMYFUNCTION("GOOGLETRANSLATE(D267,""en"",""ar"")"),"ب) مشهد عادي يومي في حظيرة أو في سوق")</f>
        <v>ب) مشهد عادي يومي في حظيرة أو في سوق</v>
      </c>
      <c r="L267" s="4" t="str">
        <f ca="1">IFERROR(__xludf.DUMMYFUNCTION("GOOGLETRANSLATE(D267,""en"",""ar"")"),"ب) مشهد عادي يومي في حظيرة أو في سوق")</f>
        <v>ب) مشهد عادي يومي في حظيرة أو في سوق</v>
      </c>
      <c r="M267" s="4"/>
      <c r="N267" s="4"/>
      <c r="O267" s="4"/>
      <c r="P267" s="4"/>
      <c r="Q267" s="4"/>
      <c r="R267" s="4"/>
      <c r="S267" s="4"/>
      <c r="T267" s="4"/>
      <c r="U267" s="4"/>
      <c r="V267" s="4"/>
      <c r="W267" s="4"/>
      <c r="X267" s="4"/>
      <c r="Y267" s="4"/>
      <c r="Z267" s="4"/>
    </row>
    <row r="268" spans="1:26" ht="22.5" customHeight="1" x14ac:dyDescent="0.25">
      <c r="A268" s="2"/>
      <c r="B268" s="2"/>
      <c r="C268" s="2"/>
      <c r="D268" s="2"/>
      <c r="E268" s="2"/>
      <c r="F268" s="4"/>
      <c r="G268" s="4"/>
      <c r="H268" s="4" t="s">
        <v>139</v>
      </c>
      <c r="I268" s="4" t="str">
        <f ca="1">IFERROR(__xludf.DUMMYFUNCTION("GOOGLETRANSLATE(B268,""en"",""ar"")"),"ما هي المادة الموجودة على الأرض؟")</f>
        <v>ما هي المادة الموجودة على الأرض؟</v>
      </c>
      <c r="J268" s="4" t="str">
        <f ca="1">IFERROR(__xludf.DUMMYFUNCTION("GOOGLETRANSLATE(C268,""en"",""ar"")"),"أ) الرمل، ب) الخرسانة، ج) القش أو التبن، د) الماء")</f>
        <v>أ) الرمل، ب) الخرسانة، ج) القش أو التبن، د) الماء</v>
      </c>
      <c r="K268" s="4" t="str">
        <f ca="1">IFERROR(__xludf.DUMMYFUNCTION("GOOGLETRANSLATE(D268,""en"",""ar"")"),"ج) القش أو التبن")</f>
        <v>ج) القش أو التبن</v>
      </c>
      <c r="L268" s="4" t="str">
        <f ca="1">IFERROR(__xludf.DUMMYFUNCTION("GOOGLETRANSLATE(D268,""en"",""ar"")"),"ج) القش أو التبن")</f>
        <v>ج) القش أو التبن</v>
      </c>
      <c r="M268" s="4"/>
      <c r="N268" s="4"/>
      <c r="O268" s="4"/>
      <c r="P268" s="4"/>
      <c r="Q268" s="4"/>
      <c r="R268" s="4"/>
      <c r="S268" s="4"/>
      <c r="T268" s="4"/>
      <c r="U268" s="4"/>
      <c r="V268" s="4"/>
      <c r="W268" s="4"/>
      <c r="X268" s="4"/>
      <c r="Y268" s="4"/>
      <c r="Z268" s="4"/>
    </row>
    <row r="269" spans="1:26" ht="22.5" customHeight="1" x14ac:dyDescent="0.25">
      <c r="A269" s="2"/>
      <c r="B269" s="2"/>
      <c r="C269" s="2"/>
      <c r="D269" s="2"/>
      <c r="E269" s="2"/>
      <c r="F269" s="4"/>
      <c r="G269" s="4"/>
      <c r="H269" s="4" t="s">
        <v>139</v>
      </c>
      <c r="I269" s="4" t="str">
        <f ca="1">IFERROR(__xludf.DUMMYFUNCTION("GOOGLETRANSLATE(B269,""en"",""ar"")"),"يظهر الرقم ""5"" باللون الأبيض على مؤخرة البقرة اليمنى. من المرجح أن يكون هذا...")</f>
        <v>يظهر الرقم "5" باللون الأبيض على مؤخرة البقرة اليمنى. من المرجح أن يكون هذا...</v>
      </c>
      <c r="J269" s="4" t="str">
        <f ca="1">IFERROR(__xludf.DUMMYFUNCTION("GOOGLETRANSLATE(C269,""en"",""ar"")"),"أ) علامة طبيعية، ب) علامة تجارية أو علامة طلاء للتعريف، ج) ندبة، د) عمر البقرة")</f>
        <v>أ) علامة طبيعية، ب) علامة تجارية أو علامة طلاء للتعريف، ج) ندبة، د) عمر البقرة</v>
      </c>
      <c r="K269" s="4" t="str">
        <f ca="1">IFERROR(__xludf.DUMMYFUNCTION("GOOGLETRANSLATE(D269,""en"",""ar"")"),"ب) علامة تجارية أو علامة طلاء للتعريف")</f>
        <v>ب) علامة تجارية أو علامة طلاء للتعريف</v>
      </c>
      <c r="L269" s="4" t="str">
        <f ca="1">IFERROR(__xludf.DUMMYFUNCTION("GOOGLETRANSLATE(D269,""en"",""ar"")"),"ب) علامة تجارية أو علامة طلاء للتعريف")</f>
        <v>ب) علامة تجارية أو علامة طلاء للتعريف</v>
      </c>
      <c r="M269" s="4"/>
      <c r="N269" s="4"/>
      <c r="O269" s="4"/>
      <c r="P269" s="4"/>
      <c r="Q269" s="4"/>
      <c r="R269" s="4"/>
      <c r="S269" s="4"/>
      <c r="T269" s="4"/>
      <c r="U269" s="4"/>
      <c r="V269" s="4"/>
      <c r="W269" s="4"/>
      <c r="X269" s="4"/>
      <c r="Y269" s="4"/>
      <c r="Z269" s="4"/>
    </row>
    <row r="270" spans="1:26" ht="22.5" customHeight="1" x14ac:dyDescent="0.25">
      <c r="A270" s="2"/>
      <c r="B270" s="2"/>
      <c r="C270" s="2"/>
      <c r="D270" s="2"/>
      <c r="E270" s="2"/>
      <c r="F270" s="4"/>
      <c r="G270" s="4"/>
      <c r="H270" s="4" t="s">
        <v>139</v>
      </c>
      <c r="I270" s="4" t="str">
        <f ca="1">IFERROR(__xludf.DUMMYFUNCTION("GOOGLETRANSLATE(B270,""en"",""ar"")"),"يمكن وصف التفاعل بين البقرتين على أفضل وجه بأنه...")</f>
        <v>يمكن وصف التفاعل بين البقرتين على أفضل وجه بأنه...</v>
      </c>
      <c r="J270" s="4" t="str">
        <f ca="1">IFERROR(__xludf.DUMMYFUNCTION("GOOGLETRANSLATE(C270,""en"",""ar"")"),"أ) معركة عنيفة، ب) تأكيد هادئ ولطيف للهيمنة، ج) علامة على مودة عميقة، د) لا يوجد تفاعل")</f>
        <v>أ) معركة عنيفة، ب) تأكيد هادئ ولطيف للهيمنة، ج) علامة على مودة عميقة، د) لا يوجد تفاعل</v>
      </c>
      <c r="K270" s="4" t="str">
        <f ca="1">IFERROR(__xludf.DUMMYFUNCTION("GOOGLETRANSLATE(D270,""en"",""ar"")"),"ب) تأكيد هادئ ولطيف للهيمنة")</f>
        <v>ب) تأكيد هادئ ولطيف للهيمنة</v>
      </c>
      <c r="L270" s="4" t="str">
        <f ca="1">IFERROR(__xludf.DUMMYFUNCTION("GOOGLETRANSLATE(D270,""en"",""ar"")"),"ب) تأكيد هادئ ولطيف للهيمنة")</f>
        <v>ب) تأكيد هادئ ولطيف للهيمنة</v>
      </c>
      <c r="M270" s="4"/>
      <c r="N270" s="4"/>
      <c r="O270" s="4"/>
      <c r="P270" s="4"/>
      <c r="Q270" s="4"/>
      <c r="R270" s="4"/>
      <c r="S270" s="4"/>
      <c r="T270" s="4"/>
      <c r="U270" s="4"/>
      <c r="V270" s="4"/>
      <c r="W270" s="4"/>
      <c r="X270" s="4"/>
      <c r="Y270" s="4"/>
      <c r="Z270" s="4"/>
    </row>
    <row r="271" spans="1:26" ht="22.5" customHeight="1" x14ac:dyDescent="0.25">
      <c r="A271" s="2"/>
      <c r="B271" s="2"/>
      <c r="C271" s="2"/>
      <c r="D271" s="2"/>
      <c r="E271" s="2"/>
      <c r="F271" s="4"/>
      <c r="G271" s="4"/>
      <c r="H271" s="4" t="s">
        <v>139</v>
      </c>
      <c r="I271" s="4" t="str">
        <f ca="1">IFERROR(__xludf.DUMMYFUNCTION("GOOGLETRANSLATE(B271,""en"",""ar"")"),"تتباين هذه الصورة مع العديد من الصور الأخرى في المجموعة لأنها...")</f>
        <v>تتباين هذه الصورة مع العديد من الصور الأخرى في المجموعة لأنها...</v>
      </c>
      <c r="J271" s="4" t="str">
        <f ca="1">IFERROR(__xludf.DUMMYFUNCTION("GOOGLETRANSLATE(C271,""en"",""ar"")"),"أ) عنيف للغاية ومليء بالحركة، ب) هادئ للغاية وعادي، ج) بالأبيض والأسود، د) تم التقاطه من مسافة بعيدة جدًا")</f>
        <v>أ) عنيف للغاية ومليء بالحركة، ب) هادئ للغاية وعادي، ج) بالأبيض والأسود، د) تم التقاطه من مسافة بعيدة جدًا</v>
      </c>
      <c r="K271" s="4" t="str">
        <f ca="1">IFERROR(__xludf.DUMMYFUNCTION("GOOGLETRANSLATE(D271,""en"",""ar"")"),"ب) هادئ للغاية وعادي")</f>
        <v>ب) هادئ للغاية وعادي</v>
      </c>
      <c r="L271" s="4" t="str">
        <f ca="1">IFERROR(__xludf.DUMMYFUNCTION("GOOGLETRANSLATE(D271,""en"",""ar"")"),"ب) هادئ للغاية وعادي")</f>
        <v>ب) هادئ للغاية وعادي</v>
      </c>
      <c r="M271" s="4"/>
      <c r="N271" s="4"/>
      <c r="O271" s="4"/>
      <c r="P271" s="4"/>
      <c r="Q271" s="4"/>
      <c r="R271" s="4"/>
      <c r="S271" s="4"/>
      <c r="T271" s="4"/>
      <c r="U271" s="4"/>
      <c r="V271" s="4"/>
      <c r="W271" s="4"/>
      <c r="X271" s="4"/>
      <c r="Y271" s="4"/>
      <c r="Z271" s="4"/>
    </row>
    <row r="272" spans="1:26" ht="22.5" customHeight="1" x14ac:dyDescent="0.25">
      <c r="A272" s="2"/>
      <c r="B272" s="2"/>
      <c r="C272" s="2"/>
      <c r="D272" s="2"/>
      <c r="E272" s="2"/>
      <c r="F272" s="4"/>
      <c r="G272" s="4"/>
      <c r="H272" s="4" t="s">
        <v>140</v>
      </c>
      <c r="I272" s="4" t="str">
        <f ca="1">IFERROR(__xludf.DUMMYFUNCTION("GOOGLETRANSLATE(B272,""en"",""ar"")"),"الحيوانات الظاهرة في هذه اللقطة المقربة المكثفة هي...")</f>
        <v>الحيوانات الظاهرة في هذه اللقطة المقربة المكثفة هي...</v>
      </c>
      <c r="J272" s="4" t="str">
        <f ca="1">IFERROR(__xludf.DUMMYFUNCTION("GOOGLETRANSLATE(C272,""en"",""ar"")"),"أ) أبقار حلوب، ب) جواميس برية، ج) ثيران تتصارع مع الأبقار أو الثيران، د) عجول صغيرة")</f>
        <v>أ) أبقار حلوب، ب) جواميس برية، ج) ثيران تتصارع مع الأبقار أو الثيران، د) عجول صغيرة</v>
      </c>
      <c r="K272" s="4" t="str">
        <f ca="1">IFERROR(__xludf.DUMMYFUNCTION("GOOGLETRANSLATE(D272,""en"",""ar"")"),"ج) مصارعة الهرنس للأبقار أو الثيران")</f>
        <v>ج) مصارعة الهرنس للأبقار أو الثيران</v>
      </c>
      <c r="L272" s="4" t="str">
        <f ca="1">IFERROR(__xludf.DUMMYFUNCTION("GOOGLETRANSLATE(D272,""en"",""ar"")"),"ج) مصارعة الهرنس للأبقار أو الثيران")</f>
        <v>ج) مصارعة الهرنس للأبقار أو الثيران</v>
      </c>
      <c r="M272" s="4"/>
      <c r="N272" s="4"/>
      <c r="O272" s="4"/>
      <c r="P272" s="4"/>
      <c r="Q272" s="4"/>
      <c r="R272" s="4"/>
      <c r="S272" s="4"/>
      <c r="T272" s="4"/>
      <c r="U272" s="4"/>
      <c r="V272" s="4"/>
      <c r="W272" s="4"/>
      <c r="X272" s="4"/>
      <c r="Y272" s="4"/>
      <c r="Z272" s="4"/>
    </row>
    <row r="273" spans="1:26" ht="22.5" customHeight="1" x14ac:dyDescent="0.25">
      <c r="A273" s="2"/>
      <c r="B273" s="2"/>
      <c r="C273" s="2"/>
      <c r="D273" s="2"/>
      <c r="E273" s="2"/>
      <c r="F273" s="4"/>
      <c r="G273" s="4"/>
      <c r="H273" s="4" t="s">
        <v>140</v>
      </c>
      <c r="I273" s="4" t="str">
        <f ca="1">IFERROR(__xludf.DUMMYFUNCTION("GOOGLETRANSLATE(B273,""en"",""ar"")"),"ماذا تفعل الحيوانات؟")</f>
        <v>ماذا تفعل الحيوانات؟</v>
      </c>
      <c r="J273" s="4" t="str">
        <f ca="1">IFERROR(__xludf.DUMMYFUNCTION("GOOGLETRANSLATE(C273,""en"",""ar"")"),"أ) يرعون معًا، ب) يتصارعون وجهًا لوجه في مباراة دفع قوية، ج) يستريحون، د) يتم تقييمهم في مسابقة جمال")</f>
        <v>أ) يرعون معًا، ب) يتصارعون وجهًا لوجه في مباراة دفع قوية، ج) يستريحون، د) يتم تقييمهم في مسابقة جمال</v>
      </c>
      <c r="K273" s="4" t="str">
        <f ca="1">IFERROR(__xludf.DUMMYFUNCTION("GOOGLETRANSLATE(D273,""en"",""ar"")"),"ب) إنهم متنافسون وجهاً لوجه في مباراة دفع قوية")</f>
        <v>ب) إنهم متنافسون وجهاً لوجه في مباراة دفع قوية</v>
      </c>
      <c r="L273" s="4" t="str">
        <f ca="1">IFERROR(__xludf.DUMMYFUNCTION("GOOGLETRANSLATE(D273,""en"",""ar"")"),"ب) إنهم متنافسون وجهاً لوجه في مباراة دفع قوية")</f>
        <v>ب) إنهم متنافسون وجهاً لوجه في مباراة دفع قوية</v>
      </c>
      <c r="M273" s="4"/>
      <c r="N273" s="4"/>
      <c r="O273" s="4"/>
      <c r="P273" s="4"/>
      <c r="Q273" s="4"/>
      <c r="R273" s="4"/>
      <c r="S273" s="4"/>
      <c r="T273" s="4"/>
      <c r="U273" s="4"/>
      <c r="V273" s="4"/>
      <c r="W273" s="4"/>
      <c r="X273" s="4"/>
      <c r="Y273" s="4"/>
      <c r="Z273" s="4"/>
    </row>
    <row r="274" spans="1:26" ht="22.5" customHeight="1" x14ac:dyDescent="0.25">
      <c r="A274" s="2"/>
      <c r="B274" s="2"/>
      <c r="C274" s="2"/>
      <c r="D274" s="2"/>
      <c r="E274" s="2"/>
      <c r="F274" s="4"/>
      <c r="G274" s="4"/>
      <c r="H274" s="4" t="s">
        <v>140</v>
      </c>
      <c r="I274" s="4" t="str">
        <f ca="1">IFERROR(__xludf.DUMMYFUNCTION("GOOGLETRANSLATE(B274,""en"",""ar"")"),"إن الغبار المتطاير في الهواء هو نتيجة لـ...")</f>
        <v>إن الغبار المتطاير في الهواء هو نتيجة لـ...</v>
      </c>
      <c r="J274" s="4" t="str">
        <f ca="1">IFERROR(__xludf.DUMMYFUNCTION("GOOGLETRANSLATE(C274,""en"",""ar"")"),"أ) يوم عاصف، ب) القوة الهائلة لحوافرهم وهي تغرز في الأرض، ج) شخص يلقي التراب عليهم، د) انفجار صغير")</f>
        <v>أ) يوم عاصف، ب) القوة الهائلة لحوافرهم وهي تغرز في الأرض، ج) شخص يلقي التراب عليهم، د) انفجار صغير</v>
      </c>
      <c r="K274" s="4" t="str">
        <f ca="1">IFERROR(__xludf.DUMMYFUNCTION("GOOGLETRANSLATE(D274,""en"",""ar"")"),"ب) القوة الهائلة لحوافرهم وهي تحفر في الأرض")</f>
        <v>ب) القوة الهائلة لحوافرهم وهي تحفر في الأرض</v>
      </c>
      <c r="L274" s="4" t="str">
        <f ca="1">IFERROR(__xludf.DUMMYFUNCTION("GOOGLETRANSLATE(D274,""en"",""ar"")"),"ب) القوة الهائلة لحوافرهم وهي تحفر في الأرض")</f>
        <v>ب) القوة الهائلة لحوافرهم وهي تحفر في الأرض</v>
      </c>
      <c r="M274" s="4"/>
      <c r="N274" s="4"/>
      <c r="O274" s="4"/>
      <c r="P274" s="4"/>
      <c r="Q274" s="4"/>
      <c r="R274" s="4"/>
      <c r="S274" s="4"/>
      <c r="T274" s="4"/>
      <c r="U274" s="4"/>
      <c r="V274" s="4"/>
      <c r="W274" s="4"/>
      <c r="X274" s="4"/>
      <c r="Y274" s="4"/>
      <c r="Z274" s="4"/>
    </row>
    <row r="275" spans="1:26" ht="22.5" customHeight="1" x14ac:dyDescent="0.25">
      <c r="A275" s="2"/>
      <c r="B275" s="2"/>
      <c r="C275" s="2"/>
      <c r="D275" s="2"/>
      <c r="E275" s="2"/>
      <c r="F275" s="4"/>
      <c r="G275" s="4"/>
      <c r="H275" s="4" t="s">
        <v>140</v>
      </c>
      <c r="I275" s="4" t="str">
        <f ca="1">IFERROR(__xludf.DUMMYFUNCTION("GOOGLETRANSLATE(B275,""en"",""ar"")"),"ما هو العنصر التقليدي الظاهر على طوق البقرة الموجودة على اليمين؟")</f>
        <v>ما هو العنصر التقليدي الظاهر على طوق البقرة الموجودة على اليمين؟</v>
      </c>
      <c r="J275" s="4" t="str">
        <f ca="1">IFERROR(__xludf.DUMMYFUNCTION("GOOGLETRANSLATE(C275,""en"",""ar"")"),"أ) جهاز تتبع GPS، ب) علم صغير، ج) جرس بقرة كبير مزخرف، د) لوحة اسم")</f>
        <v>أ) جهاز تتبع GPS، ب) علم صغير، ج) جرس بقرة كبير مزخرف، د) لوحة اسم</v>
      </c>
      <c r="K275" s="4" t="str">
        <f ca="1">IFERROR(__xludf.DUMMYFUNCTION("GOOGLETRANSLATE(D275,""en"",""ar"")"),"ج) جرس بقرة كبير مزخرف")</f>
        <v>ج) جرس بقرة كبير مزخرف</v>
      </c>
      <c r="L275" s="4" t="str">
        <f ca="1">IFERROR(__xludf.DUMMYFUNCTION("GOOGLETRANSLATE(D275,""en"",""ar"")"),"ج) جرس بقرة كبير مزخرف")</f>
        <v>ج) جرس بقرة كبير مزخرف</v>
      </c>
      <c r="M275" s="4"/>
      <c r="N275" s="4"/>
      <c r="O275" s="4"/>
      <c r="P275" s="4"/>
      <c r="Q275" s="4"/>
      <c r="R275" s="4"/>
      <c r="S275" s="4"/>
      <c r="T275" s="4"/>
      <c r="U275" s="4"/>
      <c r="V275" s="4"/>
      <c r="W275" s="4"/>
      <c r="X275" s="4"/>
      <c r="Y275" s="4"/>
      <c r="Z275" s="4"/>
    </row>
    <row r="276" spans="1:26" ht="22.5" customHeight="1" x14ac:dyDescent="0.25">
      <c r="A276" s="2"/>
      <c r="B276" s="2"/>
      <c r="C276" s="2"/>
      <c r="D276" s="2"/>
      <c r="E276" s="2"/>
      <c r="F276" s="4"/>
      <c r="G276" s="4"/>
      <c r="H276" s="4" t="s">
        <v>140</v>
      </c>
      <c r="I276" s="4" t="str">
        <f ca="1">IFERROR(__xludf.DUMMYFUNCTION("GOOGLETRANSLATE(B276,""en"",""ar"")"),"يُظهر التعبير في عين البقرة الظاهرة على اليمين...")</f>
        <v>يُظهر التعبير في عين البقرة الظاهرة على اليمين...</v>
      </c>
      <c r="J276" s="4" t="str">
        <f ca="1">IFERROR(__xludf.DUMMYFUNCTION("GOOGLETRANSLATE(C276,""en"",""ar"")"),"أ) الهدوء والاسترخاء، ب) الخوف، ج) التركيز الشديد والإجهاد، د) النعاس")</f>
        <v>أ) الهدوء والاسترخاء، ب) الخوف، ج) التركيز الشديد والإجهاد، د) النعاس</v>
      </c>
      <c r="K276" s="4" t="str">
        <f ca="1">IFERROR(__xludf.DUMMYFUNCTION("GOOGLETRANSLATE(D276,""en"",""ar"")"),"ج) التركيز الشديد والإجهاد")</f>
        <v>ج) التركيز الشديد والإجهاد</v>
      </c>
      <c r="L276" s="4" t="str">
        <f ca="1">IFERROR(__xludf.DUMMYFUNCTION("GOOGLETRANSLATE(D276,""en"",""ar"")"),"ج) التركيز الشديد والإجهاد")</f>
        <v>ج) التركيز الشديد والإجهاد</v>
      </c>
      <c r="M276" s="4"/>
      <c r="N276" s="4"/>
      <c r="O276" s="4"/>
      <c r="P276" s="4"/>
      <c r="Q276" s="4"/>
      <c r="R276" s="4"/>
      <c r="S276" s="4"/>
      <c r="T276" s="4"/>
      <c r="U276" s="4"/>
      <c r="V276" s="4"/>
      <c r="W276" s="4"/>
      <c r="X276" s="4"/>
      <c r="Y276" s="4"/>
      <c r="Z276" s="4"/>
    </row>
    <row r="277" spans="1:26" ht="22.5" customHeight="1" x14ac:dyDescent="0.25">
      <c r="A277" s="2"/>
      <c r="B277" s="2"/>
      <c r="C277" s="2"/>
      <c r="D277" s="2"/>
      <c r="E277" s="2"/>
      <c r="F277" s="4"/>
      <c r="G277" s="4"/>
      <c r="H277" s="4" t="s">
        <v>140</v>
      </c>
      <c r="I277" s="4" t="str">
        <f ca="1">IFERROR(__xludf.DUMMYFUNCTION("GOOGLETRANSLATE(B277,""en"",""ar"")"),"ماذا حدث لطرف قرن البقرة اليسرى؟")</f>
        <v>ماذا حدث لطرف قرن البقرة اليسرى؟</v>
      </c>
      <c r="J277" s="4" t="str">
        <f ca="1">IFERROR(__xludf.DUMMYFUNCTION("GOOGLETRANSLATE(C277,""en"",""ar"")"),"أ) مطلي باللون الأحمر للزينة، ب) تم ثنيه أو كسره لأسباب تتعلق بالسلامة، ج) له غطاء معدني حاد، د) ينمو له قرن جديد")</f>
        <v>أ) مطلي باللون الأحمر للزينة، ب) تم ثنيه أو كسره لأسباب تتعلق بالسلامة، ج) له غطاء معدني حاد، د) ينمو له قرن جديد</v>
      </c>
      <c r="K277" s="4" t="str">
        <f ca="1">IFERROR(__xludf.DUMMYFUNCTION("GOOGLETRANSLATE(D277,""en"",""ar"")"),"ب) تم تبلدها أو كسرها لأسباب تتعلق بالسلامة")</f>
        <v>ب) تم تبلدها أو كسرها لأسباب تتعلق بالسلامة</v>
      </c>
      <c r="L277" s="4" t="str">
        <f ca="1">IFERROR(__xludf.DUMMYFUNCTION("GOOGLETRANSLATE(D277,""en"",""ar"")"),"ب) تم تبلدها أو كسرها لأسباب تتعلق بالسلامة")</f>
        <v>ب) تم تبلدها أو كسرها لأسباب تتعلق بالسلامة</v>
      </c>
      <c r="M277" s="4"/>
      <c r="N277" s="4"/>
      <c r="O277" s="4"/>
      <c r="P277" s="4"/>
      <c r="Q277" s="4"/>
      <c r="R277" s="4"/>
      <c r="S277" s="4"/>
      <c r="T277" s="4"/>
      <c r="U277" s="4"/>
      <c r="V277" s="4"/>
      <c r="W277" s="4"/>
      <c r="X277" s="4"/>
      <c r="Y277" s="4"/>
      <c r="Z277" s="4"/>
    </row>
    <row r="278" spans="1:26" ht="22.5" customHeight="1" x14ac:dyDescent="0.25">
      <c r="A278" s="2"/>
      <c r="B278" s="2"/>
      <c r="C278" s="2"/>
      <c r="D278" s="2"/>
      <c r="E278" s="2"/>
      <c r="F278" s="4"/>
      <c r="G278" s="4"/>
      <c r="H278" s="4" t="s">
        <v>140</v>
      </c>
      <c r="I278" s="4" t="str">
        <f ca="1">IFERROR(__xludf.DUMMYFUNCTION("GOOGLETRANSLATE(B278,""en"",""ar"")"),"تُبرز هذه اللقطة المقربة...")</f>
        <v>تُبرز هذه اللقطة المقربة...</v>
      </c>
      <c r="J278" s="4" t="str">
        <f ca="1">IFERROR(__xludf.DUMMYFUNCTION("GOOGLETRANSLATE(C278,""en"",""ar"")"),"أ) كبر حجم الساحة، ب) جمال المناظر الطبيعية المحيطة، ج) القوة البدنية الهائلة للحيوانات، د) أهمية المتفرجين")</f>
        <v>أ) كبر حجم الساحة، ب) جمال المناظر الطبيعية المحيطة، ج) القوة البدنية الهائلة للحيوانات، د) أهمية المتفرجين</v>
      </c>
      <c r="K278" s="4" t="str">
        <f ca="1">IFERROR(__xludf.DUMMYFUNCTION("GOOGLETRANSLATE(D278,""en"",""ar"")"),"ج) القوة الخام والعضلات القوية للحيوانات")</f>
        <v>ج) القوة الخام والعضلات القوية للحيوانات</v>
      </c>
      <c r="L278" s="4" t="str">
        <f ca="1">IFERROR(__xludf.DUMMYFUNCTION("GOOGLETRANSLATE(D278,""en"",""ar"")"),"ج) القوة الخام والعضلات القوية للحيوانات")</f>
        <v>ج) القوة الخام والعضلات القوية للحيوانات</v>
      </c>
      <c r="M278" s="4"/>
      <c r="N278" s="4"/>
      <c r="O278" s="4"/>
      <c r="P278" s="4"/>
      <c r="Q278" s="4"/>
      <c r="R278" s="4"/>
      <c r="S278" s="4"/>
      <c r="T278" s="4"/>
      <c r="U278" s="4"/>
      <c r="V278" s="4"/>
      <c r="W278" s="4"/>
      <c r="X278" s="4"/>
      <c r="Y278" s="4"/>
      <c r="Z278" s="4"/>
    </row>
    <row r="279" spans="1:26" ht="22.5" customHeight="1" x14ac:dyDescent="0.25">
      <c r="A279" s="2"/>
      <c r="B279" s="2"/>
      <c r="C279" s="2"/>
      <c r="D279" s="2"/>
      <c r="E279" s="2"/>
      <c r="F279" s="4"/>
      <c r="G279" s="4"/>
      <c r="H279" s="4" t="s">
        <v>140</v>
      </c>
      <c r="I279" s="4" t="str">
        <f ca="1">IFERROR(__xludf.DUMMYFUNCTION("GOOGLETRANSLATE(B279,""en"",""ar"")"),"هذه الرياضة عبارة عن منافسة بين...")</f>
        <v>هذه الرياضة عبارة عن منافسة بين...</v>
      </c>
      <c r="J279" s="4" t="str">
        <f ca="1">IFERROR(__xludf.DUMMYFUNCTION("GOOGLETRANSLATE(C279,""en"",""ar"")"),"أ) السرعة، ب) خفة الحركة، ج) القوة والإرادة، د) الجمال")</f>
        <v>أ) السرعة، ب) خفة الحركة، ج) القوة والإرادة، د) الجمال</v>
      </c>
      <c r="K279" s="4" t="str">
        <f ca="1">IFERROR(__xludf.DUMMYFUNCTION("GOOGLETRANSLATE(D279,""en"",""ar"")"),"ج) القوة والإرادة")</f>
        <v>ج) القوة والإرادة</v>
      </c>
      <c r="L279" s="4" t="str">
        <f ca="1">IFERROR(__xludf.DUMMYFUNCTION("GOOGLETRANSLATE(D279,""en"",""ar"")"),"ج) القوة والإرادة")</f>
        <v>ج) القوة والإرادة</v>
      </c>
      <c r="M279" s="4"/>
      <c r="N279" s="4"/>
      <c r="O279" s="4"/>
      <c r="P279" s="4"/>
      <c r="Q279" s="4"/>
      <c r="R279" s="4"/>
      <c r="S279" s="4"/>
      <c r="T279" s="4"/>
      <c r="U279" s="4"/>
      <c r="V279" s="4"/>
      <c r="W279" s="4"/>
      <c r="X279" s="4"/>
      <c r="Y279" s="4"/>
      <c r="Z279" s="4"/>
    </row>
    <row r="280" spans="1:26" ht="22.5" customHeight="1" x14ac:dyDescent="0.25">
      <c r="A280" s="2"/>
      <c r="B280" s="2"/>
      <c r="C280" s="2"/>
      <c r="D280" s="2"/>
      <c r="E280" s="2"/>
      <c r="F280" s="4"/>
      <c r="G280" s="4"/>
      <c r="H280" s="4" t="s">
        <v>140</v>
      </c>
      <c r="I280" s="4" t="str">
        <f ca="1">IFERROR(__xludf.DUMMYFUNCTION("GOOGLETRANSLATE(B280,""en"",""ar"")"),"أرضية الساحة مصنوعة من...")</f>
        <v>أرضية الساحة مصنوعة من...</v>
      </c>
      <c r="J280" s="4" t="str">
        <f ca="1">IFERROR(__xludf.DUMMYFUNCTION("GOOGLETRANSLATE(C280,""en"",""ar"")"),"أ) عشب، ب) تربة داكنة مفككة، ج) خرسانة، د) رمل")</f>
        <v>أ) عشب، ب) تربة داكنة مفككة، ج) خرسانة، د) رمل</v>
      </c>
      <c r="K280" s="4" t="str">
        <f ca="1">IFERROR(__xludf.DUMMYFUNCTION("GOOGLETRANSLATE(D280,""en"",""ar"")"),"ب) تربة داكنة مفككة")</f>
        <v>ب) تربة داكنة مفككة</v>
      </c>
      <c r="L280" s="4" t="str">
        <f ca="1">IFERROR(__xludf.DUMMYFUNCTION("GOOGLETRANSLATE(D280,""en"",""ar"")"),"ب) تربة داكنة مفككة")</f>
        <v>ب) تربة داكنة مفككة</v>
      </c>
      <c r="M280" s="4"/>
      <c r="N280" s="4"/>
      <c r="O280" s="4"/>
      <c r="P280" s="4"/>
      <c r="Q280" s="4"/>
      <c r="R280" s="4"/>
      <c r="S280" s="4"/>
      <c r="T280" s="4"/>
      <c r="U280" s="4"/>
      <c r="V280" s="4"/>
      <c r="W280" s="4"/>
      <c r="X280" s="4"/>
      <c r="Y280" s="4"/>
      <c r="Z280" s="4"/>
    </row>
    <row r="281" spans="1:26" ht="22.5" customHeight="1" x14ac:dyDescent="0.25">
      <c r="A281" s="2"/>
      <c r="B281" s="2"/>
      <c r="C281" s="2"/>
      <c r="D281" s="2"/>
      <c r="E281" s="2"/>
      <c r="F281" s="4"/>
      <c r="G281" s="4"/>
      <c r="H281" s="4" t="s">
        <v>140</v>
      </c>
      <c r="I281" s="4" t="str">
        <f ca="1">IFERROR(__xludf.DUMMYFUNCTION("GOOGLETRANSLATE(B281,""en"",""ar"")"),"الهدف الرئيسي من هذه المعركة هو تحديد أي بقرة هي الأكثر هيمنة، مما يمنحها لقب...")</f>
        <v>الهدف الرئيسي من هذه المعركة هو تحديد أي بقرة هي الأكثر هيمنة، مما يمنحها لقب...</v>
      </c>
      <c r="J281" s="4" t="str">
        <f ca="1">IFERROR(__xludf.DUMMYFUNCTION("GOOGLETRANSLATE(C281,""en"",""ar"")"),"أ) ""الرئيس""، ب) ""الأقوى""، ج) ""الملكة""، د) ""الفائز""")</f>
        <v>أ) "الرئيس"، ب) "الأقوى"، ج) "الملكة"، د) "الفائز"</v>
      </c>
      <c r="K281" s="4" t="str">
        <f ca="1">IFERROR(__xludf.DUMMYFUNCTION("GOOGLETRANSLATE(D281,""en"",""ar"")"),"ج) ""الملكة""")</f>
        <v>ج) "الملكة"</v>
      </c>
      <c r="L281" s="4" t="str">
        <f ca="1">IFERROR(__xludf.DUMMYFUNCTION("GOOGLETRANSLATE(D281,""en"",""ar"")"),"ج) ""الملكة""")</f>
        <v>ج) "الملكة"</v>
      </c>
      <c r="M281" s="4"/>
      <c r="N281" s="4"/>
      <c r="O281" s="4"/>
      <c r="P281" s="4"/>
      <c r="Q281" s="4"/>
      <c r="R281" s="4"/>
      <c r="S281" s="4"/>
      <c r="T281" s="4"/>
      <c r="U281" s="4"/>
      <c r="V281" s="4"/>
      <c r="W281" s="4"/>
      <c r="X281" s="4"/>
      <c r="Y281" s="4"/>
      <c r="Z281" s="4"/>
    </row>
    <row r="282" spans="1:26" ht="22.5" customHeight="1" x14ac:dyDescent="0.25">
      <c r="A282" s="2"/>
      <c r="B282" s="2"/>
      <c r="C282" s="2"/>
      <c r="D282" s="2"/>
      <c r="E282" s="2"/>
      <c r="F282" s="4"/>
      <c r="G282" s="4"/>
      <c r="H282" s="4" t="s">
        <v>141</v>
      </c>
      <c r="I282" s="4" t="str">
        <f ca="1">IFERROR(__xludf.DUMMYFUNCTION("GOOGLETRANSLATE(B282,""en"",""ar"")"),"ماذا يفعل الحيوانان؟")</f>
        <v>ماذا يفعل الحيوانان؟</v>
      </c>
      <c r="J282" s="4" t="str">
        <f ca="1">IFERROR(__xludf.DUMMYFUNCTION("GOOGLETRANSLATE(C282,""en"",""ar"")"),"أ) يتشاجران بشراسة، ب) يتلامسان بحنان، ج) يضغطان رأسيهما معًا برفق، د) ينامان واقفين")</f>
        <v>أ) يتشاجران بشراسة، ب) يتلامسان بحنان، ج) يضغطان رأسيهما معًا برفق، د) ينامان واقفين</v>
      </c>
      <c r="K282" s="4" t="str">
        <f ca="1">IFERROR(__xludf.DUMMYFUNCTION("GOOGLETRANSLATE(D282,""en"",""ar"")"),"ج) إنهم يضغطون رؤوسهم برفق معًا")</f>
        <v>ج) إنهم يضغطون رؤوسهم برفق معًا</v>
      </c>
      <c r="L282" s="4" t="str">
        <f ca="1">IFERROR(__xludf.DUMMYFUNCTION("GOOGLETRANSLATE(D282,""en"",""ar"")"),"ج) إنهم يضغطون رؤوسهم برفق معًا")</f>
        <v>ج) إنهم يضغطون رؤوسهم برفق معًا</v>
      </c>
      <c r="M282" s="4"/>
      <c r="N282" s="4"/>
      <c r="O282" s="4"/>
      <c r="P282" s="4"/>
      <c r="Q282" s="4"/>
      <c r="R282" s="4"/>
      <c r="S282" s="4"/>
      <c r="T282" s="4"/>
      <c r="U282" s="4"/>
      <c r="V282" s="4"/>
      <c r="W282" s="4"/>
      <c r="X282" s="4"/>
      <c r="Y282" s="4"/>
      <c r="Z282" s="4"/>
    </row>
    <row r="283" spans="1:26" ht="22.5" customHeight="1" x14ac:dyDescent="0.25">
      <c r="A283" s="2"/>
      <c r="B283" s="2"/>
      <c r="C283" s="2"/>
      <c r="D283" s="2"/>
      <c r="E283" s="2"/>
      <c r="F283" s="4"/>
      <c r="G283" s="4"/>
      <c r="H283" s="4" t="s">
        <v>141</v>
      </c>
      <c r="I283" s="4" t="str">
        <f ca="1">IFERROR(__xludf.DUMMYFUNCTION("GOOGLETRANSLATE(B283,""en"",""ar"")"),"ما هو المزاج الذي توحي به هذه الصورة؟")</f>
        <v>ما هو المزاج الذي توحي به هذه الصورة؟</v>
      </c>
      <c r="J283" s="4" t="str">
        <f ca="1">IFERROR(__xludf.DUMMYFUNCTION("GOOGLETRANSLATE(C283,""en"",""ar"")"),"أ) عنيف وفوضوي، ب) متوتر وعدواني، ج) هادئ وساكن ولطيف تقريبًا، د) مرح ونشيط")</f>
        <v>أ) عنيف وفوضوي، ب) متوتر وعدواني، ج) هادئ وساكن ولطيف تقريبًا، د) مرح ونشيط</v>
      </c>
      <c r="K283" s="4" t="str">
        <f ca="1">IFERROR(__xludf.DUMMYFUNCTION("GOOGLETRANSLATE(D283,""en"",""ar"")"),"ج) هادئ، ساكن، ولطيف تقريبًا")</f>
        <v>ج) هادئ، ساكن، ولطيف تقريبًا</v>
      </c>
      <c r="L283" s="4" t="str">
        <f ca="1">IFERROR(__xludf.DUMMYFUNCTION("GOOGLETRANSLATE(D283,""en"",""ar"")"),"ج) هادئ، ساكن، ولطيف تقريبًا")</f>
        <v>ج) هادئ، ساكن، ولطيف تقريبًا</v>
      </c>
      <c r="M283" s="4"/>
      <c r="N283" s="4"/>
      <c r="O283" s="4"/>
      <c r="P283" s="4"/>
      <c r="Q283" s="4"/>
      <c r="R283" s="4"/>
      <c r="S283" s="4"/>
      <c r="T283" s="4"/>
      <c r="U283" s="4"/>
      <c r="V283" s="4"/>
      <c r="W283" s="4"/>
      <c r="X283" s="4"/>
      <c r="Y283" s="4"/>
      <c r="Z283" s="4"/>
    </row>
    <row r="284" spans="1:26" ht="22.5" customHeight="1" x14ac:dyDescent="0.25">
      <c r="A284" s="2"/>
      <c r="B284" s="2"/>
      <c r="C284" s="2"/>
      <c r="D284" s="2"/>
      <c r="E284" s="2"/>
      <c r="F284" s="4"/>
      <c r="G284" s="4"/>
      <c r="H284" s="4" t="s">
        <v>141</v>
      </c>
      <c r="I284" s="4" t="str">
        <f ca="1">IFERROR(__xludf.DUMMYFUNCTION("GOOGLETRANSLATE(B284,""en"",""ar"")"),"من المرجح أن يكون سلالة هذه الماشية، بعلاماتها البنية الفاتحة والبيضاء، ...")</f>
        <v>من المرجح أن يكون سلالة هذه الماشية، بعلاماتها البنية الفاتحة والبيضاء، ...</v>
      </c>
      <c r="J284" s="4" t="str">
        <f ca="1">IFERROR(__xludf.DUMMYFUNCTION("GOOGLETRANSLATE(C284,""en"",""ar"")"),"أ) هولشتاين (أسود وأبيض)، ب) تكساس لونغهورن (قرون طويلة)، ج) سلالة لحوم مثل سيمينتال أو هيرفورد، د) زيبو (ذو سنام)")</f>
        <v>أ) هولشتاين (أسود وأبيض)، ب) تكساس لونغهورن (قرون طويلة)، ج) سلالة لحوم مثل سيمينتال أو هيرفورد، د) زيبو (ذو سنام)</v>
      </c>
      <c r="K284" s="4" t="str">
        <f ca="1">IFERROR(__xludf.DUMMYFUNCTION("GOOGLETRANSLATE(D284,""en"",""ar"")"),"ج) سلالة من سلالات الأبقار مثل سيمينتال أو هيرفورد")</f>
        <v>ج) سلالة من سلالات الأبقار مثل سيمينتال أو هيرفورد</v>
      </c>
      <c r="L284" s="4" t="str">
        <f ca="1">IFERROR(__xludf.DUMMYFUNCTION("GOOGLETRANSLATE(D284,""en"",""ar"")"),"ج) سلالة من سلالات الأبقار مثل سيمينتال أو هيرفورد")</f>
        <v>ج) سلالة من سلالات الأبقار مثل سيمينتال أو هيرفورد</v>
      </c>
      <c r="M284" s="4"/>
      <c r="N284" s="4"/>
      <c r="O284" s="4"/>
      <c r="P284" s="4"/>
      <c r="Q284" s="4"/>
      <c r="R284" s="4"/>
      <c r="S284" s="4"/>
      <c r="T284" s="4"/>
      <c r="U284" s="4"/>
      <c r="V284" s="4"/>
      <c r="W284" s="4"/>
      <c r="X284" s="4"/>
      <c r="Y284" s="4"/>
      <c r="Z284" s="4"/>
    </row>
    <row r="285" spans="1:26" ht="22.5" customHeight="1" x14ac:dyDescent="0.25">
      <c r="A285" s="2"/>
      <c r="B285" s="2"/>
      <c r="C285" s="2"/>
      <c r="D285" s="2"/>
      <c r="E285" s="2"/>
      <c r="F285" s="4"/>
      <c r="G285" s="4"/>
      <c r="H285" s="4" t="s">
        <v>141</v>
      </c>
      <c r="I285" s="4" t="str">
        <f ca="1">IFERROR(__xludf.DUMMYFUNCTION("GOOGLETRANSLATE(B285,""en"",""ar"")"),"ما هو الإطار الذي يتم فيه هذا التفاعل؟")</f>
        <v>ما هو الإطار الذي يتم فيه هذا التفاعل؟</v>
      </c>
      <c r="J285" s="4" t="str">
        <f ca="1">IFERROR(__xludf.DUMMYFUNCTION("GOOGLETRANSLATE(C285,""en"",""ar"")"),"أ) ساحة قتال مزدحمة، ب) حظيرة أو ساحة مزرعة بسيطة، ج) غابة كثيفة، د) شارع في المدينة")</f>
        <v>أ) ساحة قتال مزدحمة، ب) حظيرة أو ساحة مزرعة بسيطة، ج) غابة كثيفة، د) شارع في المدينة</v>
      </c>
      <c r="K285" s="4" t="str">
        <f ca="1">IFERROR(__xludf.DUMMYFUNCTION("GOOGLETRANSLATE(D285,""en"",""ar"")"),"ب) ساحة مزرعة بسيطة أو حظيرة")</f>
        <v>ب) ساحة مزرعة بسيطة أو حظيرة</v>
      </c>
      <c r="L285" s="4" t="str">
        <f ca="1">IFERROR(__xludf.DUMMYFUNCTION("GOOGLETRANSLATE(D285,""en"",""ar"")"),"ب) ساحة مزرعة بسيطة أو حظيرة")</f>
        <v>ب) ساحة مزرعة بسيطة أو حظيرة</v>
      </c>
      <c r="M285" s="4"/>
      <c r="N285" s="4"/>
      <c r="O285" s="4"/>
      <c r="P285" s="4"/>
      <c r="Q285" s="4"/>
      <c r="R285" s="4"/>
      <c r="S285" s="4"/>
      <c r="T285" s="4"/>
      <c r="U285" s="4"/>
      <c r="V285" s="4"/>
      <c r="W285" s="4"/>
      <c r="X285" s="4"/>
      <c r="Y285" s="4"/>
      <c r="Z285" s="4"/>
    </row>
    <row r="286" spans="1:26" ht="22.5" customHeight="1" x14ac:dyDescent="0.25">
      <c r="A286" s="2"/>
      <c r="B286" s="2"/>
      <c r="C286" s="2"/>
      <c r="D286" s="2"/>
      <c r="E286" s="2"/>
      <c r="F286" s="4"/>
      <c r="G286" s="4"/>
      <c r="H286" s="4" t="s">
        <v>141</v>
      </c>
      <c r="I286" s="4" t="str">
        <f ca="1">IFERROR(__xludf.DUMMYFUNCTION("GOOGLETRANSLATE(B286,""en"",""ar"")"),"هذا السلوك هو شكل من أشكال...")</f>
        <v>هذا السلوك هو شكل من أشكال...</v>
      </c>
      <c r="J286" s="4" t="str">
        <f ca="1">IFERROR(__xludf.DUMMYFUNCTION("GOOGLETRANSLATE(C286,""en"",""ar"")"),"أ) قتال حتى الموت، ب) تفاعل اجتماعي طبيعي لتحديد المكانة، ج) خدعة مُدربة لعرض، د) طقوس التزاوج")</f>
        <v>أ) قتال حتى الموت، ب) تفاعل اجتماعي طبيعي لتحديد المكانة، ج) خدعة مُدربة لعرض، د) طقوس التزاوج</v>
      </c>
      <c r="K286" s="4" t="str">
        <f ca="1">IFERROR(__xludf.DUMMYFUNCTION("GOOGLETRANSLATE(D286,""en"",""ar"")"),"ب) تفاعل اجتماعي طبيعي لتحديد المكانة")</f>
        <v>ب) تفاعل اجتماعي طبيعي لتحديد المكانة</v>
      </c>
      <c r="L286" s="4" t="str">
        <f ca="1">IFERROR(__xludf.DUMMYFUNCTION("GOOGLETRANSLATE(D286,""en"",""ar"")"),"ب) تفاعل اجتماعي طبيعي لتحديد المكانة")</f>
        <v>ب) تفاعل اجتماعي طبيعي لتحديد المكانة</v>
      </c>
      <c r="M286" s="4"/>
      <c r="N286" s="4"/>
      <c r="O286" s="4"/>
      <c r="P286" s="4"/>
      <c r="Q286" s="4"/>
      <c r="R286" s="4"/>
      <c r="S286" s="4"/>
      <c r="T286" s="4"/>
      <c r="U286" s="4"/>
      <c r="V286" s="4"/>
      <c r="W286" s="4"/>
      <c r="X286" s="4"/>
      <c r="Y286" s="4"/>
      <c r="Z286" s="4"/>
    </row>
    <row r="287" spans="1:26" ht="22.5" customHeight="1" x14ac:dyDescent="0.25">
      <c r="A287" s="2"/>
      <c r="B287" s="2"/>
      <c r="C287" s="2"/>
      <c r="D287" s="2"/>
      <c r="E287" s="2"/>
      <c r="F287" s="4"/>
      <c r="G287" s="4"/>
      <c r="H287" s="4" t="s">
        <v>141</v>
      </c>
      <c r="I287" s="4" t="str">
        <f ca="1">IFERROR(__xludf.DUMMYFUNCTION("GOOGLETRANSLATE(B287,""en"",""ar"")"),"الحيوان الموجود على اليمين له وجه أبيض، وهي علامة مميزة لأي سلالة؟")</f>
        <v>الحيوان الموجود على اليمين له وجه أبيض، وهي علامة مميزة لأي سلالة؟</v>
      </c>
      <c r="J287" s="4" t="str">
        <f ca="1">IFERROR(__xludf.DUMMYFUNCTION("GOOGLETRANSLATE(C287,""en"",""ar"")"),"أ) أنجوس، ب) هيرفورد، ج) جيرسي، د) جميع ما سبق")</f>
        <v>أ) أنجوس، ب) هيرفورد، ج) جيرسي، د) جميع ما سبق</v>
      </c>
      <c r="K287" s="4" t="str">
        <f ca="1">IFERROR(__xludf.DUMMYFUNCTION("GOOGLETRANSLATE(D287,""en"",""ar"")"),"ب) هيريفورد")</f>
        <v>ب) هيريفورد</v>
      </c>
      <c r="L287" s="4" t="str">
        <f ca="1">IFERROR(__xludf.DUMMYFUNCTION("GOOGLETRANSLATE(D287,""en"",""ar"")"),"ب) هيريفورد")</f>
        <v>ب) هيريفورد</v>
      </c>
      <c r="M287" s="4"/>
      <c r="N287" s="4"/>
      <c r="O287" s="4"/>
      <c r="P287" s="4"/>
      <c r="Q287" s="4"/>
      <c r="R287" s="4"/>
      <c r="S287" s="4"/>
      <c r="T287" s="4"/>
      <c r="U287" s="4"/>
      <c r="V287" s="4"/>
      <c r="W287" s="4"/>
      <c r="X287" s="4"/>
      <c r="Y287" s="4"/>
      <c r="Z287" s="4"/>
    </row>
    <row r="288" spans="1:26" ht="22.5" customHeight="1" x14ac:dyDescent="0.25">
      <c r="A288" s="2"/>
      <c r="B288" s="2"/>
      <c r="C288" s="2"/>
      <c r="D288" s="2"/>
      <c r="E288" s="2"/>
      <c r="F288" s="4"/>
      <c r="G288" s="4"/>
      <c r="H288" s="4" t="s">
        <v>141</v>
      </c>
      <c r="I288" s="4" t="str">
        <f ca="1">IFERROR(__xludf.DUMMYFUNCTION("GOOGLETRANSLATE(B288,""en"",""ar"")"),"يخلق تناسق وضعيتهم إحساسًا بـ...")</f>
        <v>يخلق تناسق وضعيتهم إحساسًا بـ...</v>
      </c>
      <c r="J288" s="4" t="str">
        <f ca="1">IFERROR(__xludf.DUMMYFUNCTION("GOOGLETRANSLATE(C288,""en"",""ar"")"),"أ) الفوضى، ب) التوازن والانسجام، ج) السرعة، د) الخطر")</f>
        <v>أ) الفوضى، ب) التوازن والانسجام، ج) السرعة، د) الخطر</v>
      </c>
      <c r="K288" s="4" t="str">
        <f ca="1">IFERROR(__xludf.DUMMYFUNCTION("GOOGLETRANSLATE(D288,""en"",""ar"")"),"ب) التوازن والانسجام")</f>
        <v>ب) التوازن والانسجام</v>
      </c>
      <c r="L288" s="4" t="str">
        <f ca="1">IFERROR(__xludf.DUMMYFUNCTION("GOOGLETRANSLATE(D288,""en"",""ar"")"),"ب) التوازن والانسجام")</f>
        <v>ب) التوازن والانسجام</v>
      </c>
      <c r="M288" s="4"/>
      <c r="N288" s="4"/>
      <c r="O288" s="4"/>
      <c r="P288" s="4"/>
      <c r="Q288" s="4"/>
      <c r="R288" s="4"/>
      <c r="S288" s="4"/>
      <c r="T288" s="4"/>
      <c r="U288" s="4"/>
      <c r="V288" s="4"/>
      <c r="W288" s="4"/>
      <c r="X288" s="4"/>
      <c r="Y288" s="4"/>
      <c r="Z288" s="4"/>
    </row>
    <row r="289" spans="1:26" ht="22.5" customHeight="1" x14ac:dyDescent="0.25">
      <c r="A289" s="2"/>
      <c r="B289" s="2"/>
      <c r="C289" s="2"/>
      <c r="D289" s="2"/>
      <c r="E289" s="2"/>
      <c r="F289" s="4"/>
      <c r="G289" s="4"/>
      <c r="H289" s="4" t="s">
        <v>141</v>
      </c>
      <c r="I289" s="4" t="str">
        <f ca="1">IFERROR(__xludf.DUMMYFUNCTION("GOOGLETRANSLATE(B289,""en"",""ar"")"),"هل توجد أي علامات إصابة أو دماء؟")</f>
        <v>هل توجد أي علامات إصابة أو دماء؟</v>
      </c>
      <c r="J289" s="4" t="str">
        <f ca="1">IFERROR(__xludf.DUMMYFUNCTION("GOOGLETRANSLATE(C289,""en"",""ar"")"),"أ) نعم، ينزف كلا الحيوانين بوضوح، ب) نعم، الحيوان الموجود على اليسار مصاب بجرح كبير، ج) لا، يبدو التفاعل غير عنيف تمامًا، د) من المستحيل تحديد ذلك")</f>
        <v>أ) نعم، ينزف كلا الحيوانين بوضوح، ب) نعم، الحيوان الموجود على اليسار مصاب بجرح كبير، ج) لا، يبدو التفاعل غير عنيف تمامًا، د) من المستحيل تحديد ذلك</v>
      </c>
      <c r="K289" s="4" t="str">
        <f ca="1">IFERROR(__xludf.DUMMYFUNCTION("GOOGLETRANSLATE(D289,""en"",""ar"")"),"ج) لا، يبدو أن التفاعل غير عنيف تماماً.")</f>
        <v>ج) لا، يبدو أن التفاعل غير عنيف تماماً.</v>
      </c>
      <c r="L289" s="4" t="str">
        <f ca="1">IFERROR(__xludf.DUMMYFUNCTION("GOOGLETRANSLATE(D289,""en"",""ar"")"),"ج) لا، يبدو أن التفاعل غير عنيف تماماً.")</f>
        <v>ج) لا، يبدو أن التفاعل غير عنيف تماماً.</v>
      </c>
      <c r="M289" s="4"/>
      <c r="N289" s="4"/>
      <c r="O289" s="4"/>
      <c r="P289" s="4"/>
      <c r="Q289" s="4"/>
      <c r="R289" s="4"/>
      <c r="S289" s="4"/>
      <c r="T289" s="4"/>
      <c r="U289" s="4"/>
      <c r="V289" s="4"/>
      <c r="W289" s="4"/>
      <c r="X289" s="4"/>
      <c r="Y289" s="4"/>
      <c r="Z289" s="4"/>
    </row>
    <row r="290" spans="1:26" ht="22.5" customHeight="1" x14ac:dyDescent="0.25">
      <c r="A290" s="2"/>
      <c r="B290" s="2"/>
      <c r="C290" s="2"/>
      <c r="D290" s="2"/>
      <c r="E290" s="2"/>
      <c r="F290" s="4"/>
      <c r="G290" s="4"/>
      <c r="H290" s="4" t="s">
        <v>141</v>
      </c>
      <c r="I290" s="4" t="str">
        <f ca="1">IFERROR(__xludf.DUMMYFUNCTION("GOOGLETRANSLATE(B290,""en"",""ar"")"),"على ماذا تقف الحيوانات؟")</f>
        <v>على ماذا تقف الحيوانات؟</v>
      </c>
      <c r="J290" s="4" t="str">
        <f ca="1">IFERROR(__xludf.DUMMYFUNCTION("GOOGLETRANSLATE(C290,""en"",""ar"")"),"أ) عشب أخضر، ب) تراب أو رمل مضغوط مع بعض القش المتناثر، ج) خرسانة، د) ماء")</f>
        <v>أ) عشب أخضر، ب) تراب أو رمل مضغوط مع بعض القش المتناثر، ج) خرسانة، د) ماء</v>
      </c>
      <c r="K290" s="4" t="str">
        <f ca="1">IFERROR(__xludf.DUMMYFUNCTION("GOOGLETRANSLATE(D290,""en"",""ar"")"),"ب) تراب مضغوط أو رمل، مع بعض القش المتناثر")</f>
        <v>ب) تراب مضغوط أو رمل، مع بعض القش المتناثر</v>
      </c>
      <c r="L290" s="4" t="str">
        <f ca="1">IFERROR(__xludf.DUMMYFUNCTION("GOOGLETRANSLATE(D290,""en"",""ar"")"),"ب) تراب مضغوط أو رمل، مع بعض القش المتناثر")</f>
        <v>ب) تراب مضغوط أو رمل، مع بعض القش المتناثر</v>
      </c>
      <c r="M290" s="4"/>
      <c r="N290" s="4"/>
      <c r="O290" s="4"/>
      <c r="P290" s="4"/>
      <c r="Q290" s="4"/>
      <c r="R290" s="4"/>
      <c r="S290" s="4"/>
      <c r="T290" s="4"/>
      <c r="U290" s="4"/>
      <c r="V290" s="4"/>
      <c r="W290" s="4"/>
      <c r="X290" s="4"/>
      <c r="Y290" s="4"/>
      <c r="Z290" s="4"/>
    </row>
    <row r="291" spans="1:26" ht="22.5" customHeight="1" x14ac:dyDescent="0.25">
      <c r="A291" s="2"/>
      <c r="B291" s="2"/>
      <c r="C291" s="2"/>
      <c r="D291" s="2"/>
      <c r="E291" s="2"/>
      <c r="F291" s="4"/>
      <c r="G291" s="4"/>
      <c r="H291" s="4" t="s">
        <v>141</v>
      </c>
      <c r="I291" s="4" t="str">
        <f ca="1">IFERROR(__xludf.DUMMYFUNCTION("GOOGLETRANSLATE(B291,""en"",""ar"")"),"تُظهر هذه الصورة أن ليس كل صراعات السيطرة...")</f>
        <v>تُظهر هذه الصورة أن ليس كل صراعات السيطرة...</v>
      </c>
      <c r="J291" s="4" t="str">
        <f ca="1">IFERROR(__xludf.DUMMYFUNCTION("GOOGLETRANSLATE(C291,""en"",""ar"")"),"أ) بين الذكور، ب) قصير، ج) عنيف، د) عادل")</f>
        <v>أ) بين الذكور، ب) قصير، ج) عنيف، د) عادل</v>
      </c>
      <c r="K291" s="4" t="str">
        <f ca="1">IFERROR(__xludf.DUMMYFUNCTION("GOOGLETRANSLATE(D291,""en"",""ar"")"),"ج) عنيف")</f>
        <v>ج) عنيف</v>
      </c>
      <c r="L291" s="4" t="str">
        <f ca="1">IFERROR(__xludf.DUMMYFUNCTION("GOOGLETRANSLATE(D291,""en"",""ar"")"),"ج) عنيف")</f>
        <v>ج) عنيف</v>
      </c>
      <c r="M291" s="4"/>
      <c r="N291" s="4"/>
      <c r="O291" s="4"/>
      <c r="P291" s="4"/>
      <c r="Q291" s="4"/>
      <c r="R291" s="4"/>
      <c r="S291" s="4"/>
      <c r="T291" s="4"/>
      <c r="U291" s="4"/>
      <c r="V291" s="4"/>
      <c r="W291" s="4"/>
      <c r="X291" s="4"/>
      <c r="Y291" s="4"/>
      <c r="Z291" s="4"/>
    </row>
    <row r="292" spans="1:26" ht="22.5" customHeight="1" x14ac:dyDescent="0.25">
      <c r="A292" s="2"/>
      <c r="B292" s="2"/>
      <c r="C292" s="2"/>
      <c r="D292" s="2"/>
      <c r="E292" s="2"/>
      <c r="F292" s="4"/>
      <c r="G292" s="4"/>
      <c r="H292" s="4" t="s">
        <v>142</v>
      </c>
      <c r="I292" s="4" t="str">
        <f ca="1">IFERROR(__xludf.DUMMYFUNCTION("GOOGLETRANSLATE(B292,""en"",""ar"")"),"يُظهر هذا المشهد المليء بالحركة والغبار حيوانين منخرطين في أي نوع من المنافسة؟")</f>
        <v>يُظهر هذا المشهد المليء بالحركة والغبار حيوانين منخرطين في أي نوع من المنافسة؟</v>
      </c>
      <c r="J292" s="4" t="str">
        <f ca="1">IFERROR(__xludf.DUMMYFUNCTION("GOOGLETRANSLATE(C292,""en"",""ar"")"),"أ) سباق، ب) مباراة دفع وجهاً لوجه، ج) مسابقة قفز، د) لعبة مطاردة مرحة")</f>
        <v>أ) سباق، ب) مباراة دفع وجهاً لوجه، ج) مسابقة قفز، د) لعبة مطاردة مرحة</v>
      </c>
      <c r="K292" s="4" t="str">
        <f ca="1">IFERROR(__xludf.DUMMYFUNCTION("GOOGLETRANSLATE(D292,""en"",""ar"")"),"ب) مباراة دفع وجهاً لوجه")</f>
        <v>ب) مباراة دفع وجهاً لوجه</v>
      </c>
      <c r="L292" s="4" t="str">
        <f ca="1">IFERROR(__xludf.DUMMYFUNCTION("GOOGLETRANSLATE(D292,""en"",""ar"")"),"ب) مباراة دفع وجهاً لوجه")</f>
        <v>ب) مباراة دفع وجهاً لوجه</v>
      </c>
      <c r="M292" s="4"/>
      <c r="N292" s="4"/>
      <c r="O292" s="4"/>
      <c r="P292" s="4"/>
      <c r="Q292" s="4"/>
      <c r="R292" s="4"/>
      <c r="S292" s="4"/>
      <c r="T292" s="4"/>
      <c r="U292" s="4"/>
      <c r="V292" s="4"/>
      <c r="W292" s="4"/>
      <c r="X292" s="4"/>
      <c r="Y292" s="4"/>
      <c r="Z292" s="4"/>
    </row>
    <row r="293" spans="1:26" ht="22.5" customHeight="1" x14ac:dyDescent="0.25">
      <c r="A293" s="2"/>
      <c r="B293" s="2"/>
      <c r="C293" s="2"/>
      <c r="D293" s="2"/>
      <c r="E293" s="2"/>
      <c r="F293" s="4"/>
      <c r="G293" s="4"/>
      <c r="H293" s="4" t="s">
        <v>142</v>
      </c>
      <c r="I293" s="4" t="str">
        <f ca="1">IFERROR(__xludf.DUMMYFUNCTION("GOOGLETRANSLATE(B293,""en"",""ar"")"),"هذا النوع من القتال المنظم بين الأبقار هو رياضة تقليدية مرتبطة بأي بلد؟")</f>
        <v>هذا النوع من القتال المنظم بين الأبقار هو رياضة تقليدية مرتبطة بأي بلد؟</v>
      </c>
      <c r="J293" s="4" t="str">
        <f ca="1">IFERROR(__xludf.DUMMYFUNCTION("GOOGLETRANSLATE(C293,""en"",""ar"")"),"أ) المكسيك، ب) اليابان، ج) سويسرا، د) كينيا")</f>
        <v>أ) المكسيك، ب) اليابان، ج) سويسرا، د) كينيا</v>
      </c>
      <c r="K293" s="4" t="str">
        <f ca="1">IFERROR(__xludf.DUMMYFUNCTION("GOOGLETRANSLATE(D293,""en"",""ar"")"),"ج) سويسرا")</f>
        <v>ج) سويسرا</v>
      </c>
      <c r="L293" s="4" t="str">
        <f ca="1">IFERROR(__xludf.DUMMYFUNCTION("GOOGLETRANSLATE(D293,""en"",""ar"")"),"ج) سويسرا")</f>
        <v>ج) سويسرا</v>
      </c>
      <c r="M293" s="4"/>
      <c r="N293" s="4"/>
      <c r="O293" s="4"/>
      <c r="P293" s="4"/>
      <c r="Q293" s="4"/>
      <c r="R293" s="4"/>
      <c r="S293" s="4"/>
      <c r="T293" s="4"/>
      <c r="U293" s="4"/>
      <c r="V293" s="4"/>
      <c r="W293" s="4"/>
      <c r="X293" s="4"/>
      <c r="Y293" s="4"/>
      <c r="Z293" s="4"/>
    </row>
    <row r="294" spans="1:26" ht="22.5" customHeight="1" x14ac:dyDescent="0.25">
      <c r="A294" s="2"/>
      <c r="B294" s="2"/>
      <c r="C294" s="2"/>
      <c r="D294" s="2"/>
      <c r="E294" s="2"/>
      <c r="F294" s="4"/>
      <c r="G294" s="4"/>
      <c r="H294" s="4" t="s">
        <v>142</v>
      </c>
      <c r="I294" s="4" t="str">
        <f ca="1">IFERROR(__xludf.DUMMYFUNCTION("GOOGLETRANSLATE(B294,""en"",""ar"")"),"ما هو الجسم الأحمر الموجود في أذن البقرة اليسرى؟")</f>
        <v>ما هو الجسم الأحمر الموجود في أذن البقرة اليسرى؟</v>
      </c>
      <c r="J294" s="4" t="str">
        <f ca="1">IFERROR(__xludf.DUMMYFUNCTION("GOOGLETRANSLATE(C294,""en"",""ar"")"),"أ) زهرة، ب) إصابة، ج) بطاقة تعريف، د) قرط")</f>
        <v>أ) زهرة، ب) إصابة، ج) بطاقة تعريف، د) قرط</v>
      </c>
      <c r="K294" s="4" t="str">
        <f ca="1">IFERROR(__xludf.DUMMYFUNCTION("GOOGLETRANSLATE(D294,""en"",""ar"")"),"ج) بطاقة تعريف")</f>
        <v>ج) بطاقة تعريف</v>
      </c>
      <c r="L294" s="4" t="str">
        <f ca="1">IFERROR(__xludf.DUMMYFUNCTION("GOOGLETRANSLATE(D294,""en"",""ar"")"),"ج) بطاقة تعريف")</f>
        <v>ج) بطاقة تعريف</v>
      </c>
      <c r="M294" s="4"/>
      <c r="N294" s="4"/>
      <c r="O294" s="4"/>
      <c r="P294" s="4"/>
      <c r="Q294" s="4"/>
      <c r="R294" s="4"/>
      <c r="S294" s="4"/>
      <c r="T294" s="4"/>
      <c r="U294" s="4"/>
      <c r="V294" s="4"/>
      <c r="W294" s="4"/>
      <c r="X294" s="4"/>
      <c r="Y294" s="4"/>
      <c r="Z294" s="4"/>
    </row>
    <row r="295" spans="1:26" ht="22.5" customHeight="1" x14ac:dyDescent="0.25">
      <c r="A295" s="2"/>
      <c r="B295" s="2"/>
      <c r="C295" s="2"/>
      <c r="D295" s="2"/>
      <c r="E295" s="2"/>
      <c r="F295" s="4"/>
      <c r="G295" s="4"/>
      <c r="H295" s="4" t="s">
        <v>142</v>
      </c>
      <c r="I295" s="4" t="str">
        <f ca="1">IFERROR(__xludf.DUMMYFUNCTION("GOOGLETRANSLATE(B295,""en"",""ar"")"),"سحابة الغبار هي علامة على...")</f>
        <v>سحابة الغبار هي علامة على...</v>
      </c>
      <c r="J295" s="4" t="str">
        <f ca="1">IFERROR(__xludf.DUMMYFUNCTION("GOOGLETRANSLATE(C295,""en"",""ar"")"),"أ) القوة الهائلة للحيوانات والظروف الجافة، ب) عاصفة تقترب، ج) حريق قريب، د) استخدام المؤثرات الخاصة")</f>
        <v>أ) القوة الهائلة للحيوانات والظروف الجافة، ب) عاصفة تقترب، ج) حريق قريب، د) استخدام المؤثرات الخاصة</v>
      </c>
      <c r="K295" s="4" t="str">
        <f ca="1">IFERROR(__xludf.DUMMYFUNCTION("GOOGLETRANSLATE(D295,""en"",""ar"")"),"أ) القوة الهائلة للحيوانات والظروف الجافة")</f>
        <v>أ) القوة الهائلة للحيوانات والظروف الجافة</v>
      </c>
      <c r="L295" s="4" t="str">
        <f ca="1">IFERROR(__xludf.DUMMYFUNCTION("GOOGLETRANSLATE(D295,""en"",""ar"")"),"أ) القوة الهائلة للحيوانات والظروف الجافة")</f>
        <v>أ) القوة الهائلة للحيوانات والظروف الجافة</v>
      </c>
      <c r="M295" s="4"/>
      <c r="N295" s="4"/>
      <c r="O295" s="4"/>
      <c r="P295" s="4"/>
      <c r="Q295" s="4"/>
      <c r="R295" s="4"/>
      <c r="S295" s="4"/>
      <c r="T295" s="4"/>
      <c r="U295" s="4"/>
      <c r="V295" s="4"/>
      <c r="W295" s="4"/>
      <c r="X295" s="4"/>
      <c r="Y295" s="4"/>
      <c r="Z295" s="4"/>
    </row>
    <row r="296" spans="1:26" ht="22.5" customHeight="1" x14ac:dyDescent="0.25">
      <c r="A296" s="2"/>
      <c r="B296" s="2"/>
      <c r="C296" s="2"/>
      <c r="D296" s="2"/>
      <c r="E296" s="2"/>
      <c r="F296" s="4"/>
      <c r="G296" s="4"/>
      <c r="H296" s="4" t="s">
        <v>142</v>
      </c>
      <c r="I296" s="4" t="str">
        <f ca="1">IFERROR(__xludf.DUMMYFUNCTION("GOOGLETRANSLATE(B296,""en"",""ar"")"),"ما هو الجزء من أجسام الحيوانات الذي تستخدمه في القتال؟")</f>
        <v>ما هو الجزء من أجسام الحيوانات الذي تستخدمه في القتال؟</v>
      </c>
      <c r="J296" s="4" t="str">
        <f ca="1">IFERROR(__xludf.DUMMYFUNCTION("GOOGLETRANSLATE(C296,""en"",""ar"")"),"أ) ذيولها، ب) حوافرها، ج) رؤوسها وقرونها، د) أسنانها")</f>
        <v>أ) ذيولها، ب) حوافرها، ج) رؤوسها وقرونها، د) أسنانها</v>
      </c>
      <c r="K296" s="4" t="str">
        <f ca="1">IFERROR(__xludf.DUMMYFUNCTION("GOOGLETRANSLATE(D296,""en"",""ar"")"),"ج) رؤوسهم وقرونهم")</f>
        <v>ج) رؤوسهم وقرونهم</v>
      </c>
      <c r="L296" s="4" t="str">
        <f ca="1">IFERROR(__xludf.DUMMYFUNCTION("GOOGLETRANSLATE(D296,""en"",""ar"")"),"ج) رؤوسهم وقرونهم")</f>
        <v>ج) رؤوسهم وقرونهم</v>
      </c>
      <c r="M296" s="4"/>
      <c r="N296" s="4"/>
      <c r="O296" s="4"/>
      <c r="P296" s="4"/>
      <c r="Q296" s="4"/>
      <c r="R296" s="4"/>
      <c r="S296" s="4"/>
      <c r="T296" s="4"/>
      <c r="U296" s="4"/>
      <c r="V296" s="4"/>
      <c r="W296" s="4"/>
      <c r="X296" s="4"/>
      <c r="Y296" s="4"/>
      <c r="Z296" s="4"/>
    </row>
    <row r="297" spans="1:26" ht="22.5" customHeight="1" x14ac:dyDescent="0.25">
      <c r="A297" s="2"/>
      <c r="B297" s="2"/>
      <c r="C297" s="2"/>
      <c r="D297" s="2"/>
      <c r="E297" s="2"/>
      <c r="F297" s="4"/>
      <c r="G297" s="4"/>
      <c r="H297" s="4" t="s">
        <v>142</v>
      </c>
      <c r="I297" s="4" t="str">
        <f ca="1">IFERROR(__xludf.DUMMYFUNCTION("GOOGLETRANSLATE(B297,""en"",""ar"")"),"الهدف من هذه المسابقة هو تحديد...")</f>
        <v>الهدف من هذه المسابقة هو تحديد...</v>
      </c>
      <c r="J297" s="4" t="str">
        <f ca="1">IFERROR(__xludf.DUMMYFUNCTION("GOOGLETRANSLATE(C297,""en"",""ar"")"),"أ) أي بقرة هي الأسرع؟ ب) أي بقرة هي الأجمل؟ ج) أي بقرة هي الأكثر سيطرة؟ د) أي بقرة تُصدر أكبر قدر من الضجيج؟")</f>
        <v>أ) أي بقرة هي الأسرع؟ ب) أي بقرة هي الأجمل؟ ج) أي بقرة هي الأكثر سيطرة؟ د) أي بقرة تُصدر أكبر قدر من الضجيج؟</v>
      </c>
      <c r="K297" s="4" t="str">
        <f ca="1">IFERROR(__xludf.DUMMYFUNCTION("GOOGLETRANSLATE(D297,""en"",""ar"")"),"ج) أي بقرة هي الأكثر هيمنة")</f>
        <v>ج) أي بقرة هي الأكثر هيمنة</v>
      </c>
      <c r="L297" s="4" t="str">
        <f ca="1">IFERROR(__xludf.DUMMYFUNCTION("GOOGLETRANSLATE(D297,""en"",""ar"")"),"ج) أي بقرة هي الأكثر هيمنة")</f>
        <v>ج) أي بقرة هي الأكثر هيمنة</v>
      </c>
      <c r="M297" s="4"/>
      <c r="N297" s="4"/>
      <c r="O297" s="4"/>
      <c r="P297" s="4"/>
      <c r="Q297" s="4"/>
      <c r="R297" s="4"/>
      <c r="S297" s="4"/>
      <c r="T297" s="4"/>
      <c r="U297" s="4"/>
      <c r="V297" s="4"/>
      <c r="W297" s="4"/>
      <c r="X297" s="4"/>
      <c r="Y297" s="4"/>
      <c r="Z297" s="4"/>
    </row>
    <row r="298" spans="1:26" ht="22.5" customHeight="1" x14ac:dyDescent="0.25">
      <c r="A298" s="2"/>
      <c r="B298" s="2"/>
      <c r="C298" s="2"/>
      <c r="D298" s="2"/>
      <c r="E298" s="2"/>
      <c r="F298" s="4"/>
      <c r="G298" s="4"/>
      <c r="H298" s="4" t="s">
        <v>142</v>
      </c>
      <c r="I298" s="4" t="str">
        <f ca="1">IFERROR(__xludf.DUMMYFUNCTION("GOOGLETRANSLATE(B298,""en"",""ar"")"),"قرون هذه الحيوانات هي...")</f>
        <v>قرون هذه الحيوانات هي...</v>
      </c>
      <c r="J298" s="4" t="str">
        <f ca="1">IFERROR(__xludf.DUMMYFUNCTION("GOOGLETRANSLATE(C298,""en"",""ar"")"),"أ) طويلة ورفيعة للغاية، ب) قصيرة وسميكة ومنحنية للأعلى، ج) مثبتة صناعياً، د) مطلية بألوان زاهية")</f>
        <v>أ) طويلة ورفيعة للغاية، ب) قصيرة وسميكة ومنحنية للأعلى، ج) مثبتة صناعياً، د) مطلية بألوان زاهية</v>
      </c>
      <c r="K298" s="4" t="str">
        <f ca="1">IFERROR(__xludf.DUMMYFUNCTION("GOOGLETRANSLATE(D298,""en"",""ar"")"),"ب) قصيرة، سميكة، ومنحنية للأعلى")</f>
        <v>ب) قصيرة، سميكة، ومنحنية للأعلى</v>
      </c>
      <c r="L298" s="4" t="str">
        <f ca="1">IFERROR(__xludf.DUMMYFUNCTION("GOOGLETRANSLATE(D298,""en"",""ar"")"),"ب) قصيرة، سميكة، ومنحنية للأعلى")</f>
        <v>ب) قصيرة، سميكة، ومنحنية للأعلى</v>
      </c>
      <c r="M298" s="4"/>
      <c r="N298" s="4"/>
      <c r="O298" s="4"/>
      <c r="P298" s="4"/>
      <c r="Q298" s="4"/>
      <c r="R298" s="4"/>
      <c r="S298" s="4"/>
      <c r="T298" s="4"/>
      <c r="U298" s="4"/>
      <c r="V298" s="4"/>
      <c r="W298" s="4"/>
      <c r="X298" s="4"/>
      <c r="Y298" s="4"/>
      <c r="Z298" s="4"/>
    </row>
    <row r="299" spans="1:26" ht="22.5" customHeight="1" x14ac:dyDescent="0.25">
      <c r="A299" s="2"/>
      <c r="B299" s="2"/>
      <c r="C299" s="2"/>
      <c r="D299" s="2"/>
      <c r="E299" s="2"/>
      <c r="F299" s="4"/>
      <c r="G299" s="4"/>
      <c r="H299" s="4" t="s">
        <v>142</v>
      </c>
      <c r="I299" s="4" t="str">
        <f ca="1">IFERROR(__xludf.DUMMYFUNCTION("GOOGLETRANSLATE(B299,""en"",""ar"")"),"المنظور القريب والمليء بالحركة يجعل القتال يبدو...")</f>
        <v>المنظور القريب والمليء بالحركة يجعل القتال يبدو...</v>
      </c>
      <c r="J299" s="4" t="str">
        <f ca="1">IFERROR(__xludf.DUMMYFUNCTION("GOOGLETRANSLATE(C299,""en"",""ar"")"),"أ) بعيد وممل، ب) هادئ وسلمي، ج) قوي ومؤثر، د) مصطنع ومزيف")</f>
        <v>أ) بعيد وممل، ب) هادئ وسلمي، ج) قوي ومؤثر، د) مصطنع ومزيف</v>
      </c>
      <c r="K299" s="4" t="str">
        <f ca="1">IFERROR(__xludf.DUMMYFUNCTION("GOOGLETRANSLATE(D299,""en"",""ar"")"),"ج) مكثف وقوي")</f>
        <v>ج) مكثف وقوي</v>
      </c>
      <c r="L299" s="4" t="str">
        <f ca="1">IFERROR(__xludf.DUMMYFUNCTION("GOOGLETRANSLATE(D299,""en"",""ar"")"),"ج) مكثف وقوي")</f>
        <v>ج) مكثف وقوي</v>
      </c>
      <c r="M299" s="4"/>
      <c r="N299" s="4"/>
      <c r="O299" s="4"/>
      <c r="P299" s="4"/>
      <c r="Q299" s="4"/>
      <c r="R299" s="4"/>
      <c r="S299" s="4"/>
      <c r="T299" s="4"/>
      <c r="U299" s="4"/>
      <c r="V299" s="4"/>
      <c r="W299" s="4"/>
      <c r="X299" s="4"/>
      <c r="Y299" s="4"/>
      <c r="Z299" s="4"/>
    </row>
    <row r="300" spans="1:26" ht="22.5" customHeight="1" x14ac:dyDescent="0.25">
      <c r="A300" s="2"/>
      <c r="B300" s="2"/>
      <c r="C300" s="2"/>
      <c r="D300" s="2"/>
      <c r="E300" s="2"/>
      <c r="F300" s="4"/>
      <c r="G300" s="4"/>
      <c r="H300" s="4" t="s">
        <v>142</v>
      </c>
      <c r="I300" s="4" t="str">
        <f ca="1">IFERROR(__xludf.DUMMYFUNCTION("GOOGLETRANSLATE(B300,""en"",""ar"")"),"هل هذه الرياضة قاتلة عادةً للحيوانات؟")</f>
        <v>هل هذه الرياضة قاتلة عادةً للحيوانات؟</v>
      </c>
      <c r="J300" s="4" t="str">
        <f ca="1">IFERROR(__xludf.DUMMYFUNCTION("GOOGLETRANSLATE(C300,""en"",""ar"")"),"أ) نعم، في أغلب الأحيان، ب) لا، إنها منافسة غير دموية إلى حد كبير ونادراً ما تحدث إصابات، ج) نعم، ولكن فقط للخاسر، د) يعتمد ذلك على مزاج الجمهور")</f>
        <v>أ) نعم، في أغلب الأحيان، ب) لا، إنها منافسة غير دموية إلى حد كبير ونادراً ما تحدث إصابات، ج) نعم، ولكن فقط للخاسر، د) يعتمد ذلك على مزاج الجمهور</v>
      </c>
      <c r="K300" s="4" t="str">
        <f ca="1">IFERROR(__xludf.DUMMYFUNCTION("GOOGLETRANSLATE(D300,""en"",""ar"")"),"ب) لا، إنها منافسة غير دموية إلى حد كبير ونادراً ما تحدث إصابات.")</f>
        <v>ب) لا، إنها منافسة غير دموية إلى حد كبير ونادراً ما تحدث إصابات.</v>
      </c>
      <c r="L300" s="4" t="str">
        <f ca="1">IFERROR(__xludf.DUMMYFUNCTION("GOOGLETRANSLATE(D300,""en"",""ar"")"),"ب) لا، إنها منافسة غير دموية إلى حد كبير ونادراً ما تحدث إصابات.")</f>
        <v>ب) لا، إنها منافسة غير دموية إلى حد كبير ونادراً ما تحدث إصابات.</v>
      </c>
      <c r="M300" s="4"/>
      <c r="N300" s="4"/>
      <c r="O300" s="4"/>
      <c r="P300" s="4"/>
      <c r="Q300" s="4"/>
      <c r="R300" s="4"/>
      <c r="S300" s="4"/>
      <c r="T300" s="4"/>
      <c r="U300" s="4"/>
      <c r="V300" s="4"/>
      <c r="W300" s="4"/>
      <c r="X300" s="4"/>
      <c r="Y300" s="4"/>
      <c r="Z300" s="4"/>
    </row>
    <row r="301" spans="1:26" ht="22.5" customHeight="1" x14ac:dyDescent="0.25">
      <c r="A301" s="2"/>
      <c r="B301" s="2"/>
      <c r="C301" s="2"/>
      <c r="D301" s="2"/>
      <c r="E301" s="2"/>
      <c r="F301" s="4"/>
      <c r="G301" s="4"/>
      <c r="H301" s="4" t="s">
        <v>142</v>
      </c>
      <c r="I301" s="4" t="str">
        <f ca="1">IFERROR(__xludf.DUMMYFUNCTION("GOOGLETRANSLATE(B301,""en"",""ar"")"),"يحتفي هذا التقليد بالسلوك الطبيعي للأبقار في تأسيس...")</f>
        <v>يحتفي هذا التقليد بالسلوك الطبيعي للأبقار في تأسيس...</v>
      </c>
      <c r="J301" s="4" t="str">
        <f ca="1">IFERROR(__xludf.DUMMYFUNCTION("GOOGLETRANSLATE(C301,""en"",""ar"")"),"أ) أراضيهم، ب) وحداتهم العائلية، ج) التسلسل الهرمي الاجتماعي للقطيع، د) مسارات هجرتهم")</f>
        <v>أ) أراضيهم، ب) وحداتهم العائلية، ج) التسلسل الهرمي الاجتماعي للقطيع، د) مسارات هجرتهم</v>
      </c>
      <c r="K301" s="4" t="str">
        <f ca="1">IFERROR(__xludf.DUMMYFUNCTION("GOOGLETRANSLATE(D301,""en"",""ar"")"),"ج) التسلسل الهرمي الاجتماعي للقطيع")</f>
        <v>ج) التسلسل الهرمي الاجتماعي للقطيع</v>
      </c>
      <c r="L301" s="4" t="str">
        <f ca="1">IFERROR(__xludf.DUMMYFUNCTION("GOOGLETRANSLATE(D301,""en"",""ar"")"),"ج) التسلسل الهرمي الاجتماعي للقطيع")</f>
        <v>ج) التسلسل الهرمي الاجتماعي للقطيع</v>
      </c>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count="1">
    <dataValidation type="list" allowBlank="1" showDropDown="1" showErrorMessage="1" sqref="H2:H301 A2:A301" xr:uid="{00000000-0002-0000-0400-000000000000}">
      <formula1>"cow_fighting_30.jpg,cow_fighting_45.jpg,cow_fighting_10.jpg,cow_fighting_60.jpg,cow_fighting_23.jpg,cow_fighting_51.jpg,cow_fighting_41.jpg,cow_fighting_42.jpg,cow_fighting_5.jpg,cow_fighting_34.jpg,cow_fighting_100.jpg,cow_fighting_35.jpg,cow_fighting_83"&amp;".jpg,cow_fighting_94.jpg,cow_fighting_52.jpg,cow_fighting_48.jpg,cow_fighting_17.jpg,cow_fighting_74.jpg,cow_fighting_99.jpg,cow_fighting_85.jpg,cow_fighting_84.jpg,cow_fighting_96.jpg,cow_fighting_92.jpg,cow_fighting_76.jpg,cow_fighting_90.jpg,cow_fighti"&amp;"ng_91.jpg,cow_fighting_97.jpg,cow_fighting_65.jpg,cow_fighting_82.jpg,cow_fighting_68.jpg"</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Horse_Racing</vt:lpstr>
      <vt:lpstr>Camel_Racing</vt:lpstr>
      <vt:lpstr>Nuba_Wrestling</vt:lpstr>
      <vt:lpstr>Nubian_Stick_Fighting</vt:lpstr>
      <vt:lpstr>Cow_fighting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Niladri Ghosh</cp:lastModifiedBy>
  <dcterms:modified xsi:type="dcterms:W3CDTF">2025-12-26T19:38:17Z</dcterms:modified>
</cp:coreProperties>
</file>
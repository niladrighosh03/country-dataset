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el_Racing" sheetId="1" r:id="rId4"/>
    <sheet state="visible" name="Nuba_Wrestling" sheetId="2" r:id="rId5"/>
    <sheet state="hidden" name="Nubian_stick_Fighting_1" sheetId="3" r:id="rId6"/>
    <sheet state="visible" name="Nubian_Stick_Fighting" sheetId="4" r:id="rId7"/>
    <sheet state="visible" name="Horse_Racing" sheetId="5" r:id="rId8"/>
    <sheet state="visible" name="Cow_Fighting" sheetId="6" r:id="rId9"/>
  </sheets>
  <definedNames/>
  <calcPr/>
</workbook>
</file>

<file path=xl/sharedStrings.xml><?xml version="1.0" encoding="utf-8"?>
<sst xmlns="http://schemas.openxmlformats.org/spreadsheetml/2006/main" count="3250" uniqueCount="2557">
  <si>
    <t>No.</t>
  </si>
  <si>
    <t>Question</t>
  </si>
  <si>
    <t>Options</t>
  </si>
  <si>
    <t>Answer</t>
  </si>
  <si>
    <t>Description</t>
  </si>
  <si>
    <t>لا.</t>
  </si>
  <si>
    <t>سؤال</t>
  </si>
  <si>
    <t>خيارات</t>
  </si>
  <si>
    <t>إجابة</t>
  </si>
  <si>
    <t>وصف</t>
  </si>
  <si>
    <t>What is the minimum age allowed for a jockey to participate in camel races?</t>
  </si>
  <si>
    <t>a) 10 years; b) 12 years; c) 15 years; d) 18 years</t>
  </si>
  <si>
    <t>b) 12 years</t>
  </si>
  <si>
    <t>The minimum age allowed to participate in the races is 12 years.</t>
  </si>
  <si>
    <t>How many camels can a competitor enter in one race?</t>
  </si>
  <si>
    <t>a) Only one camel; b) Two camels; c) Three camels; d) Five camels</t>
  </si>
  <si>
    <t>a) Only one camel</t>
  </si>
  <si>
    <t>A competitor is allowed to enter only one camel in the race.</t>
  </si>
  <si>
    <t>What is the maximum speed typically permitted in camel racing to ensure safety?</t>
  </si>
  <si>
    <t>a) 40 km/h; b) 50 km/h; c) 60 km/h; d) 70 km/h</t>
  </si>
  <si>
    <t>b) 50 km/h</t>
  </si>
  <si>
    <t>The maximum permitted speed is 50 km/h to ensure the safety of the camel and the rider.</t>
  </si>
  <si>
    <t>Is it permissible to use electronic devices to stimulate camels during a race?</t>
  </si>
  <si>
    <t>a) Yes, it is allowed; b) No, it is not allowed; c) Only in some special races; d) Only for trained camels</t>
  </si>
  <si>
    <t>b) No, it is not allowed</t>
  </si>
  <si>
    <t>The use of electronic devices that affect the camel's performance in the race is prohibited.</t>
  </si>
  <si>
    <t>What is a key legal requirement for a camel to participate in a race?</t>
  </si>
  <si>
    <t>a) Registration only; b) Submission of a health certificate; c) Obtaining a permit from the local federation; d) No legal requirements</t>
  </si>
  <si>
    <t>b) Submission of a health certificate</t>
  </si>
  <si>
    <t>A health certificate must be presented for the camel to ensure its ability to participate in the race.</t>
  </si>
  <si>
    <t>Can competitors adjust the camel's path during the race?</t>
  </si>
  <si>
    <t>a) Yes, the route can be modified at any time; b) No, the specified route must be adhered to; c) Only in case of an accident; d) The route can only be modified when a certain point is reached</t>
  </si>
  <si>
    <t>b) No, the specified route must be adhered to</t>
  </si>
  <si>
    <t>Competitors must adhere to the designated route without changing it during the race.</t>
  </si>
  <si>
    <t>How many participants are typically allowed in a single camel race?</t>
  </si>
  <si>
    <t>a) 10 runners; b) 20 runners; c) 50 runners; d) Depends on the track size</t>
  </si>
  <si>
    <t>d) Depends on the track size</t>
  </si>
  <si>
    <t>The number of participants depends on the track capacity and available space.</t>
  </si>
  <si>
    <t>Are harsh whips or goads allowed in camel racing?</t>
  </si>
  <si>
    <t>a) Yes, it is allowed; b) No, it is prohibited; c) It is allowed in some cases; d) It is only allowed for professional racers</t>
  </si>
  <si>
    <t>b) No, it is prohibited</t>
  </si>
  <si>
    <t>The use of harsh stimulating tools is prohibited to ensure the safety of the camel.</t>
  </si>
  <si>
    <t>What is the recommended minimum training period for a camel before a race?</t>
  </si>
  <si>
    <t>a) One week; b) One month; c) Two months; d) Three months</t>
  </si>
  <si>
    <t>b) One month</t>
  </si>
  <si>
    <t>It is recommended to train the camel for at least one month before the race.</t>
  </si>
  <si>
    <t>Are camels monitored by officials during a race?</t>
  </si>
  <si>
    <t>a) Yes, they are watched by the judges; b) No, they are not watched; c) Yes, but they are watched only at the beginning; d) The camels are watched only after the race</t>
  </si>
  <si>
    <t>a) Yes, they are monitored by referees</t>
  </si>
  <si>
    <t>Camels are monitored during the race to ensure they adhere to the rules.</t>
  </si>
  <si>
    <t>Are competitors allowed to participate in more than one race per day?</t>
  </si>
  <si>
    <t>a) Yes, they are allowed; b) No, only one race per day; c) Only on the same track; d) Only in local races</t>
  </si>
  <si>
    <t>b) No, only one race per day</t>
  </si>
  <si>
    <t>Competitors are only allowed to participate in one race per day.</t>
  </si>
  <si>
    <t>Can camels participate in a race without any prior training?</t>
  </si>
  <si>
    <t>a) Yes, it is allowed; b) No, they must be trained; c) Only if previously trained; d) Formal training is not needed</t>
  </si>
  <si>
    <t>b) No, they must undergo training</t>
  </si>
  <si>
    <t>Camels must be properly trained before racing to ensure good performance.</t>
  </si>
  <si>
    <t>Are there special tracks designated for camel racing in the desert?</t>
  </si>
  <si>
    <t>a) Yes, special tracks are designated; b) No, racing is anywhere; c) Only in major cities; d) Not allowed in the desert</t>
  </si>
  <si>
    <t>a) Yes, special tracks are allocated</t>
  </si>
  <si>
    <t>Specific tracks are designated in the desert for camel racing.</t>
  </si>
  <si>
    <t>What is the typical minimum weight for a camel to be eligible for racing?</t>
  </si>
  <si>
    <t>a) 200 kg; b) 300 kg; c) 400 kg; d) 500 kg</t>
  </si>
  <si>
    <t>b) 300 kg</t>
  </si>
  <si>
    <t>The minimum weight allowed for a camel is 300 kg.</t>
  </si>
  <si>
    <t>Are there restrictions on the financial rewards in camel racing?</t>
  </si>
  <si>
    <t>a) No restrictions; b) Yes, based on race level; c) Only in-kind rewards; d) No cash rewards</t>
  </si>
  <si>
    <t>b) Yes, based on race level</t>
  </si>
  <si>
    <t>Financial rewards are determined according to the level of the race.</t>
  </si>
  <si>
    <t>Can jockeys use ropes to tie themselves to the camel during a race?</t>
  </si>
  <si>
    <t>a) Yes, they can use it; b) No, it is prohibited; c) Only in emergencies; d) Only professionals may use it</t>
  </si>
  <si>
    <t>The use of ropes for securing the jockey is prohibited to ensure the camel's freedom of movement.</t>
  </si>
  <si>
    <t>Are jockeys allowed to use motorcycles to guide camels during a race?</t>
  </si>
  <si>
    <t>a) Yes, it is allowed; b) No, it is prohibited; c) Allowed in major cities; d) Only in private races</t>
  </si>
  <si>
    <t>Motorcycles are not permitted to guide camels during the race.</t>
  </si>
  <si>
    <t>Is the race distance determined based on the level of the jockeys?</t>
  </si>
  <si>
    <t>a) Yes, based on level; b) No, distance is fixed; c) Based on camel's age; d) Based on track size</t>
  </si>
  <si>
    <t>b) No, the distance is fixed</t>
  </si>
  <si>
    <t>The distance is fixed for all participants in the race.</t>
  </si>
  <si>
    <t>What safety precaution is essential during a camel race?</t>
  </si>
  <si>
    <t>a) Camel monitoring only; b) Safety collars for jockeys; c) Providing emergency medical facilities; d) Camera monitoring</t>
  </si>
  <si>
    <t>c) Providing emergency medical facilities</t>
  </si>
  <si>
    <t>Emergency medical teams are provided to ensure the safety of the contestants and camels.</t>
  </si>
  <si>
    <t>Are competitors allowed to give vocal instructions to the camel during the race?</t>
  </si>
  <si>
    <t>a) Yes, they are allowed; b) No, they are not allowed; c) In case of emergency; d) Only if the camel strays</t>
  </si>
  <si>
    <t>a) Yes, they are allowed</t>
  </si>
  <si>
    <t>Competitors are allowed to give instructions during the race to direct the camel.</t>
  </si>
  <si>
    <t>Does the race require special equipment like helmets for jockeys?</t>
  </si>
  <si>
    <t>a) Yes, special equipment is mandatory; b) No, equipment is not required; c) Regular equipment is allowed; d) Only professionals use special equipment</t>
  </si>
  <si>
    <t>a) Yes, special equipment is mandatory</t>
  </si>
  <si>
    <t>The race requires the use of special equipment such as helmets and harnesses to assist the riders and camels.</t>
  </si>
  <si>
    <t>Are competitors allowed to make changes to their uniform during the race?</t>
  </si>
  <si>
    <t>a) Yes, they can change; b) No, they must wear a uniform; c) Only if there is a change in weather; d) They can wear whatever they want</t>
  </si>
  <si>
    <t>b) No, they must wear a uniform</t>
  </si>
  <si>
    <t>Competitors must wear a uniform that complies with the rules.</t>
  </si>
  <si>
    <t>What action is taken if a competitor violates the race rules?</t>
  </si>
  <si>
    <t>a) Only a warning is given; b) They are suspended from the race; c) Allowed to resume after a fine; d) Permanently expelled</t>
  </si>
  <si>
    <t>b) They are suspended from the race</t>
  </si>
  <si>
    <t>If a competitor violates the racing rules, he or she will be immediately disqualified.</t>
  </si>
  <si>
    <t>Are spectators allowed to be close to the track during the race?</t>
  </si>
  <si>
    <t>a) Yes, they can participate; b) No, the public is not allowed; c) The public can attend but from a distance; d) The public is allowed to participate</t>
  </si>
  <si>
    <t>c) The audience can attend but from a distance</t>
  </si>
  <si>
    <t>Spectators are allowed to attend, but must stay away from the track for safety.</t>
  </si>
  <si>
    <t>Is video technology used in race evaluation and judging?</t>
  </si>
  <si>
    <t>a) Yes, video is used for evaluation; b) No, video is not used; c) Only for post-race review; d) Only to record the race</t>
  </si>
  <si>
    <t>a) Yes, video is used for evaluation</t>
  </si>
  <si>
    <t>Video technologies are used to help evaluate performance and ensure judging integrity.</t>
  </si>
  <si>
    <t>Are race assistants or team members allowed on the track during the race?</t>
  </si>
  <si>
    <t>a) Yes, they can assist along the course; b) No, the race must be without assistants; c) Only team members can assist; d) Only in emergency situations</t>
  </si>
  <si>
    <t>b) No, the race must be without assistants</t>
  </si>
  <si>
    <t>To ensure race safety and fairness, assistants are not allowed on the track.</t>
  </si>
  <si>
    <t>Are competitors from Sudan allowed to participate in races in other countries?</t>
  </si>
  <si>
    <t>a) Yes, in approved international races; b) No, only in local races; c) Only if the championship is internationally recognized; d) Not allowed at all</t>
  </si>
  <si>
    <t>a) Yes, in approved international races</t>
  </si>
  <si>
    <t>Competitors are allowed to participate in international races approved by world federations.</t>
  </si>
  <si>
    <t>What is the maximum number of camels that can participate in a major championship race?</t>
  </si>
  <si>
    <t>a) 50 camels; b) 100 camels; c) 200 camels; d) Depends on the track</t>
  </si>
  <si>
    <t>b) 100 camels</t>
  </si>
  <si>
    <t>The maximum number of camels participating in the race varies, but in most cases about 100 are allowed.</t>
  </si>
  <si>
    <t>Is it permissible to use performance-enhancing medications to stimulate camels?</t>
  </si>
  <si>
    <t>a) Yes, in private races; b) No, the use of medications is prohibited; c) Only in case of illness; d) Allowed under veterinary supervision</t>
  </si>
  <si>
    <t>b) No, the use of medications is prohibited</t>
  </si>
  <si>
    <t>The use of drugs to stimulate camels during racing is prohibited.</t>
  </si>
  <si>
    <t>Are official certificates issued to winning contestants in races?</t>
  </si>
  <si>
    <t>a) Yes, official certificates are issued; b) No, certificates are not issued; c) Only cash prizes are given; d) Only in-kind prizes are delivered</t>
  </si>
  <si>
    <t>a) Yes, official certificates are issued</t>
  </si>
  <si>
    <t>Official certificates are issued to the winning competitors in the race.</t>
  </si>
  <si>
    <t>What is the maximum weight a camel can carry during a race, including the jockey and saddle?</t>
  </si>
  <si>
    <t>a) 50 kg; b) 70 kg; c) 100 kg; d) 120 kg</t>
  </si>
  <si>
    <t>b) 70 kg</t>
  </si>
  <si>
    <t>Camels are allowed to carry a maximum weight of 70 kg during the race.</t>
  </si>
  <si>
    <t>Is it allowed to change the jockey or equipment between different race heats on the same day?</t>
  </si>
  <si>
    <t>a) Yes, it is permissible; b) No, equipment must remain the same; c) Only permissible in case of damage; d) Only professionals are allowed to change</t>
  </si>
  <si>
    <t>a) Yes, it is permissible</t>
  </si>
  <si>
    <t>Changing the jockey or equipment between races is permitted, but equipment must comply with the regulations.</t>
  </si>
  <si>
    <t>Can jockeys receive medical assistance during the race?</t>
  </si>
  <si>
    <t>a) Yes, competitors may use medical staff; b) No, they are not allowed to use anyone; c) Only after the race; d) Only in an emergency</t>
  </si>
  <si>
    <t>a) Yes, competitors can use the medical staff</t>
  </si>
  <si>
    <t>Competitors are allowed to use medical personnel if they are injured during the race.</t>
  </si>
  <si>
    <t>Can competitors switch between camels during a single race?</t>
  </si>
  <si>
    <t>a) Yes, at any time; b) No, the rider must remain with the starting camel; c) Only after half the distance; d) Only in special races</t>
  </si>
  <si>
    <t>b) No, the rider must remain with the starting camel</t>
  </si>
  <si>
    <t>Competitors are not allowed to switch camels during the race.</t>
  </si>
  <si>
    <t>Are last-minute modifications to the race route allowed for any reason?</t>
  </si>
  <si>
    <t>a) Yes, at any time; b) No, the route must remain constant; c) Only in an emergency; d) Only in special races</t>
  </si>
  <si>
    <t>b) No, the track must remain constant</t>
  </si>
  <si>
    <t>The track must remain constant throughout the race to ensure fairness for all participants.</t>
  </si>
  <si>
    <t>Are competitors allowed to use protective shoes or boots on their camels during a race?</t>
  </si>
  <si>
    <t>a) Yes, camel boots are allowed; b) No, camels must be barefoot; c) Only in desert areas; d) Only if recommended by the trainer</t>
  </si>
  <si>
    <t>a) Yes, camel shoes are allowed</t>
  </si>
  <si>
    <t>Camel boots are permitted in racing to provide comfort and protection.</t>
  </si>
  <si>
    <t>Are camels allowed to participate in races if they are recovering from recent surgery?</t>
  </si>
  <si>
    <t>a) Yes, they are allowed; b) No, the camels must be completely healthy; c) Only with permission from a veterinarian; d) Several weeks after the operation</t>
  </si>
  <si>
    <t>b) No, the camels must be completely healthy</t>
  </si>
  <si>
    <t>Camels must be in perfect health and free from any health problems before participating.</t>
  </si>
  <si>
    <t>Is the camel's maximum speed determined and capped before the race begins?</t>
  </si>
  <si>
    <t>a) Yes, based on the camel; b) No, speed is determined during the race; c) Monitored by electronic devices; d) Determined by race type</t>
  </si>
  <si>
    <t>b) No, speed is determined during the race</t>
  </si>
  <si>
    <t>A camel's speed during a race is determined by its strength and ability in the moment.</t>
  </si>
  <si>
    <t>Are camels allowed to have their nutrition changed on the day of the race?</t>
  </si>
  <si>
    <t>a) Yes, at any time; b) No, a specific diet must be adhered to; c) Only if the camel has low energy; d) Never</t>
  </si>
  <si>
    <t>b) No, you must follow a specific diet</t>
  </si>
  <si>
    <t>Camels must be given a specific diet before the race to maintain their energy.</t>
  </si>
  <si>
    <t>Are competitors allowed to adjust their camel's speed during the race?</t>
  </si>
  <si>
    <t>a) Yes, at any time; b) No, a set speed must be maintained; c) Only in an emergency; d) Only if requested by the referee</t>
  </si>
  <si>
    <t>a) Yes, they can adjust the speed</t>
  </si>
  <si>
    <t>Competitors are allowed to adjust the speed according to their strategy and the camel's needs.</t>
  </si>
  <si>
    <t>Can competitors use any tools to physically stimulate the camel during the race?</t>
  </si>
  <si>
    <t>a) Yes, stimulating devices are permitted; b) No, any stimulating tools are prohibited; c) Only harmless devices are permitted; d) Permitted under referee supervision</t>
  </si>
  <si>
    <t>b) No, any stimulating tools are prohibited</t>
  </si>
  <si>
    <t>The use of camel stimulators is prohibited during the race to ensure their safety.</t>
  </si>
  <si>
    <t>Are competitors allowed to participate in races in more than one country in a single season?</t>
  </si>
  <si>
    <t>a) Yes, in international races; b) No, only in local races; c) Only professionals can; d) Only if organized by the local federation</t>
  </si>
  <si>
    <t>a) Yes, in international races</t>
  </si>
  <si>
    <t>Competitors are allowed to participate in international races recognized by world federations.</t>
  </si>
  <si>
    <t>Are coaches allowed on the track to assist jockeys during the race?</t>
  </si>
  <si>
    <t>a) Yes, they can assist; b) No, no outside assistance is allowed; c) Only professional coaches; d) They can attend but not assist</t>
  </si>
  <si>
    <t>b) No, no outside assistance is allowed</t>
  </si>
  <si>
    <t>To ensure fairness, no coaches or assistants are allowed on the track during the race.</t>
  </si>
  <si>
    <t>Is the starting order of the camels determined before the race?</t>
  </si>
  <si>
    <t>a) Yes, the order is determined at the start; b) No, it's determined during the race; c) Determined by distance covered; d) Based on competitor level</t>
  </si>
  <si>
    <t>a) Yes, the order is determined initially</t>
  </si>
  <si>
    <t>The order of the camels is determined at the beginning to ensure fairness in the race.</t>
  </si>
  <si>
    <t>Are camels allowed to use accessory devices such as blinders or earplugs?</t>
  </si>
  <si>
    <t>a) Yes, accessories are permitted; b) No, accessories are prohibited; c) Permitted in special races; d) Only in emergencies</t>
  </si>
  <si>
    <t>b) No, accessories are prohibited</t>
  </si>
  <si>
    <t>The use of any supplementary equipment like blinders is prohibited to ensure the safety of the camel.</t>
  </si>
  <si>
    <t>Are competitors allowed to change lanes if they feel their assigned lane is unsafe?</t>
  </si>
  <si>
    <t>a) Yes, they can change the route; b) No, they must stick to the route; c) Only if the camel is sick; d) Not allowed under any circumstances</t>
  </si>
  <si>
    <t>b) No, they must stick to the path</t>
  </si>
  <si>
    <t>Competitors must adhere to the designated route even in emergency situations.</t>
  </si>
  <si>
    <t>Is race victory determined by the total distance covered or the time taken?</t>
  </si>
  <si>
    <t>a) Based on distance; b) Based on time taken; c) Based on camel power; d) Based on number of rounds</t>
  </si>
  <si>
    <t>b) Based on the time taken</t>
  </si>
  <si>
    <t>The winner is determined based on the time taken to complete the race.</t>
  </si>
  <si>
    <t>Can a camel participate in two different races on the same day?</t>
  </si>
  <si>
    <t>a) Yes, in more than one race; b) No, a time interval is required; c) Only in an emergency; d) Only well-trained camels</t>
  </si>
  <si>
    <t>b) No, a time interval is required</t>
  </si>
  <si>
    <t>There must be a time interval between races to ensure the camel rests.</t>
  </si>
  <si>
    <t>Is it allowed to change a camel's equipment during a single race?</t>
  </si>
  <si>
    <t>a) Yes, at any time; b) No, equipment must remain constant; c) Only in an emergency; d) Only if authorized by judges</t>
  </si>
  <si>
    <t>b) No, the equipment must remain constant</t>
  </si>
  <si>
    <t>Equipment must remain stable throughout the race to ensure equality among competitors.</t>
  </si>
  <si>
    <t>Are competitors allowed to participate in multiple race categories on the same day?</t>
  </si>
  <si>
    <t>a) Yes, they can; b) No, only one race per day; c) Only in different areas; d) Only if the races are short</t>
  </si>
  <si>
    <t>Competitors are only allowed to participate in one race per day to maintain the camel's health.</t>
  </si>
  <si>
    <t>What modern technology is mandatory for identifying camels in official races to prevent substitution?</t>
  </si>
  <si>
    <t>a) Ear tags; b) Branded marks; c) Microchip implants; d) Owner's testimony</t>
  </si>
  <si>
    <t>c) Microchip implants</t>
  </si>
  <si>
    <t>Modern races use microchips to provide a tamper-proof way to verify a camel's identity and pedigree.</t>
  </si>
  <si>
    <t>If a jockey falls off but the camel continues and crosses the finish line first, what is the official result?</t>
  </si>
  <si>
    <t>a) The camel wins the race; b) The camel is disqualified; c) The race is restarted; d) The jockey is fined</t>
  </si>
  <si>
    <t>b) The camel is disqualified</t>
  </si>
  <si>
    <t>A camel must be mounted by its jockey when it crosses the finish line for the result to be valid.</t>
  </si>
  <si>
    <t>What is the standard procedure if a starting gate fails to open for one camel?</t>
  </si>
  <si>
    <t>a) The race continues without that camel; b) A false start is declared and the race is restarted; c) The camel is given a time credit; d) The camel is disqualified</t>
  </si>
  <si>
    <t>b) A false start is declared and the race is restarted</t>
  </si>
  <si>
    <t>To ensure fairness, any mechanical failure at the start that disadvantages a competitor results in a full restart.</t>
  </si>
  <si>
    <t>What specific type of whip is generally permitted in regulated camel racing?</t>
  </si>
  <si>
    <t>a) Any type of whip is allowed; b) A long, hard leather whip; c) A short, padded, air-cushioned whip; d) No whips are allowed</t>
  </si>
  <si>
    <t>c) A short, padded, air-cushioned whip</t>
  </si>
  <si>
    <t>To protect the animal, regulations often specify soft, padded whips that make noise but cause minimal pain.</t>
  </si>
  <si>
    <t>What is the official protocol if a camel interferes with and obstructs another camel during a race?</t>
  </si>
  <si>
    <t>a) Both camels are disqualified; b) The interfering camel is disqualified or placed last; c) The jockeys are given a warning; d) The race continues without action</t>
  </si>
  <si>
    <t>b) The interfering camel is disqualified or placed last</t>
  </si>
  <si>
    <t>Stewards review interference cases and will disqualify the offending camel to maintain fair competition.</t>
  </si>
  <si>
    <t>Are jockeys required to undergo a weigh-in before the race?</t>
  </si>
  <si>
    <t>a) No, there are no weight restrictions; b) Yes, to ensure they are not underweight; c) Yes, to ensure they meet a minimum weight for fairness; d) Only in championship races</t>
  </si>
  <si>
    <t>c) Yes, to ensure they meet a minimum weight for fairness</t>
  </si>
  <si>
    <t>Jockeys are weighed to ensure they meet a standard minimum weight, preventing an unfair advantage from being too light.</t>
  </si>
  <si>
    <t>What is the rule regarding a camel that leaves the designated track and then re-enters to finish?</t>
  </si>
  <si>
    <t>a) The camel is allowed to continue; b) The camel is immediately disqualified; c) The camel receives a time penalty; d) The camel is placed last</t>
  </si>
  <si>
    <t>b) The camel is immediately disqualified</t>
  </si>
  <si>
    <t>A camel must stay within the marked boundaries of the racetrack for the entire duration of the race.</t>
  </si>
  <si>
    <t>What is the term for a race specifically for two-year-old camels?</t>
  </si>
  <si>
    <t>a) Thaniya; b) Jidaa; c) Hiwar; d) Mufrood</t>
  </si>
  <si>
    <t>d) Mufrood</t>
  </si>
  <si>
    <t>Camel races are segmented by age groups, with 'Mufrood' designating the category for the youngest competitors.</t>
  </si>
  <si>
    <t>Is sponsorship branding allowed on the jockey’s uniform and the camel's saddle?</t>
  </si>
  <si>
    <t>a) No, all branding is prohibited; b) Yes, but it must be approved by the federation; c) Only the camel's owner's name is allowed; d) Only national symbols are permitted</t>
  </si>
  <si>
    <t>b) Yes, but it must be approved by the federation</t>
  </si>
  <si>
    <t>Commercial sponsorships are common but must adhere to size, placement, and content regulations set by the race organizers.</t>
  </si>
  <si>
    <t>What happens if a race ends in a "photo finish" where two camels cross the line simultaneously?</t>
  </si>
  <si>
    <t>a) The race is declared a draw; b) The race is re-run; c) High-speed cameras determine the winner by the nose; d) The prize is split between the two</t>
  </si>
  <si>
    <t>c) High-speed cameras determine the winner by the nose</t>
  </si>
  <si>
    <t>Official results are determined by which camel's nose tip crosses the finish line first, as captured by photo-finish technology.</t>
  </si>
  <si>
    <t>What action is taken against a camel owner who is caught attempting to race an unregistered camel?</t>
  </si>
  <si>
    <t>a) A simple warning; b) A monetary fine and disqualification; c) The camel is registered on the spot; d) The owner is banned from the event</t>
  </si>
  <si>
    <t>b) A monetary fine and disqualification</t>
  </si>
  <si>
    <t>Racing an unregistered camel is a serious offense leading to immediate disqualification and financial penalties.</t>
  </si>
  <si>
    <t>What is the mandatory veterinary check performed immediately after a race?</t>
  </si>
  <si>
    <t>a) A check for dehydration and exhaustion; b) A measurement of the camel's height; c) A check for whip marks; d) A check of the camel's teeth</t>
  </si>
  <si>
    <t>a) A check for dehydration and exhaustion</t>
  </si>
  <si>
    <t>Post-race checks are crucial to ensure the animal's welfare and identify any signs of distress or injury.</t>
  </si>
  <si>
    <t>Is it permissible for a jockey to dismount and run alongside the camel to encourage it?</t>
  </si>
  <si>
    <t>a) Yes, this is a valid tactic; b) No, the jockey must remain mounted; c) Only in the final 100 meters; d) Only if the saddle breaks</t>
  </si>
  <si>
    <t>b) No, the jockey must remain mounted</t>
  </si>
  <si>
    <t>The jockey must be on the camel for the entire race; dismounting results in disqualification.</t>
  </si>
  <si>
    <t>What is the rule regarding the use of specific vocal commands or sounds by jockeys?</t>
  </si>
  <si>
    <t>a) All sounds are prohibited; b) Only traditional calls are allowed; c) There are no rules on vocal commands; d) Jockeys can only use whistles</t>
  </si>
  <si>
    <t>c) There are no rules on vocal commands</t>
  </si>
  <si>
    <t>Jockeys are generally free to use their voices to encourage and guide their camels as they see fit.</t>
  </si>
  <si>
    <t>What happens if a sandstorm begins mid-race, severely reducing visibility?</t>
  </si>
  <si>
    <t>a) Jockeys continue at their own risk; b) The race is immediately halted by officials; c) The race distance is extended; d) Jockeys use GPS to navigate</t>
  </si>
  <si>
    <t>b) The race is immediately halted by officials</t>
  </si>
  <si>
    <t>Safety is paramount. In hazardous weather like sandstorms, officials will stop the race to prevent accidents.</t>
  </si>
  <si>
    <t>Are there regulations concerning the design and material of the camel saddle (Al-Shadad)?</t>
  </si>
  <si>
    <t>a) No, any saddle design is acceptable; b) Yes, saddles must be of a traditional design; c) Yes, there are weight and safety specifications; d) Saddles are not allowed</t>
  </si>
  <si>
    <t>c) Yes, there are weight and safety specifications</t>
  </si>
  <si>
    <t>Saddles must meet specific regulatory standards for weight, material, and design to ensure they do not injure the camel.</t>
  </si>
  <si>
    <t>What is the procedure if a jockey files an official protest regarding interference from another racer?</t>
  </si>
  <si>
    <t>a) The result is immediately overturned; b) The protest is reviewed by a board of stewards using video evidence; c) The two jockeys must re-race; d) Protests are not allowed</t>
  </si>
  <si>
    <t>b) The protest is reviewed by a board of stewards using video evidence</t>
  </si>
  <si>
    <t>A formal protest triggers a review by officials, who will analyze race footage to make a final ruling.</t>
  </si>
  <si>
    <t>Is it legal for a team to use a "pacemaker" camel that runs alongside the track to spur their camel on?</t>
  </si>
  <si>
    <t>a) Yes, it is a common strategy; b) No, this is considered illegal outside assistance; c) Only if the pacemaker is of the same owner; d) Only in training sessions</t>
  </si>
  <si>
    <t>b) No, this is considered illegal outside assistance</t>
  </si>
  <si>
    <t>All camels must race without external pacemakers to ensure a fair competition.</t>
  </si>
  <si>
    <t>What is the rule on the number of times a jockey can use the whip in the final stretch of the race?</t>
  </si>
  <si>
    <t>a) Unlimited use is allowed; b) A specific number of hits is enforced; c) Whipping is banned in the final stretch; d) Only underhand whipping is allowed</t>
  </si>
  <si>
    <t>b) A specific number of hits is enforced</t>
  </si>
  <si>
    <t>Many federations limit the number of whip strikes in the final 100-200 meters to protect the camel from overuse.</t>
  </si>
  <si>
    <t>What is the typical retirement age for a champion racing camel?</t>
  </si>
  <si>
    <t>a) 5-6 years; b) 7-10 years; c) 12-15 years; d) Over 20 years</t>
  </si>
  <si>
    <t>c) 12-15 years</t>
  </si>
  <si>
    <t>While they can race younger, peak camels often retire around 12-15 years, frequently becoming valuable for breeding.</t>
  </si>
  <si>
    <t>If a jockey's whip accidentally falls onto the track, what is the correct protocol?</t>
  </si>
  <si>
    <t>a) The jockey can dismount to retrieve it; b) A race official will hand it back; c) The jockey must finish the race without it; d) The race is stopped</t>
  </si>
  <si>
    <t>c) The jockey must finish the race without it</t>
  </si>
  <si>
    <t>A jockey cannot receive outside assistance or stop to retrieve fallen equipment during a race.</t>
  </si>
  <si>
    <t>Are there rules governing the pre-race warm-up routine for camels?</t>
  </si>
  <si>
    <t>a) No, warm-ups are at the owner's discretion; b) Yes, camels must warm up in a designated area; c) Warm-ups are prohibited; d) Only a 5-minute warm-up is allowed</t>
  </si>
  <si>
    <t>b) Yes, camels must warm up in a designated area</t>
  </si>
  <si>
    <t>To prevent track congestion and ensure safety, official warm-ups are restricted to specific zones.</t>
  </si>
  <si>
    <t>What happens if a winning camel is found to have a prohibited anti-inflammatory drug in its system?</t>
  </si>
  <si>
    <t>a) A warning is issued; b) The owner pays a fine, but the win stands; c) Immediate disqualification and potential suspension; d) The result is recorded with an asterisk</t>
  </si>
  <si>
    <t>c) Immediate disqualification and potential suspension</t>
  </si>
  <si>
    <t>The presence of banned substances leads to disqualification, forfeiture of prize money, and suspension for the owner/trainer.</t>
  </si>
  <si>
    <t>Can a race be officially started with a traditional signal, like a flag drop, instead of an electronic gate?</t>
  </si>
  <si>
    <t>a) No, electronic gates are mandatory; b) Yes, if all participants agree; c) Yes, this is common in smaller, local races; d) Only if the electronic gate malfunctions</t>
  </si>
  <si>
    <t>c) Yes, this is common in smaller, local races</t>
  </si>
  <si>
    <t>While championships use electronic gates, traditional races often rely on a flag drop or gunshot to start.</t>
  </si>
  <si>
    <t>What is the rule if a camel bites another camel during the race?</t>
  </si>
  <si>
    <t>a) The biting camel is immediately disqualified; b) The bitten camel is disqualified; c) The race continues as it is natural behavior; d) Both camels are given a time penalty</t>
  </si>
  <si>
    <t>a) The biting camel is immediately disqualified</t>
  </si>
  <si>
    <t>Aggressive and dangerous behavior such as biting is a cause for immediate disqualification.</t>
  </si>
  <si>
    <t>Is it mandatory for a jockey to wear a protective vest?</t>
  </si>
  <si>
    <t>a) Yes, a safety vest is mandatory; b) No, it is optional; c) Only for jockeys under 18; d) Only for races longer than 5 km</t>
  </si>
  <si>
    <t>a) Yes, a safety vest is mandatory</t>
  </si>
  <si>
    <t>Similar to horse racing, protective vests are required to minimize injury to the jockey in case of a fall.</t>
  </si>
  <si>
    <t>What is the protocol if a chase vehicle belonging to an owner drives too close to the track and interferes with another camel?</t>
  </si>
  <si>
    <t>a) The vehicle's owner is warned; b) The vehicle's owner's camel is disqualified; c) The race is immediately stopped; d) There are no rules for chase vehicles</t>
  </si>
  <si>
    <t>b) The vehicle's owner's camel is disqualified</t>
  </si>
  <si>
    <t>The actions of an owner's support team can lead to the disqualification of their camel if they interfere with the race.</t>
  </si>
  <si>
    <t>Are camels required to have their pedigree and lineage registered with the racing federation?</t>
  </si>
  <si>
    <t>a) No, registration is optional; b) Yes, for all official championship races; c) Only for camels of foreign origin; d) Only for male camels</t>
  </si>
  <si>
    <t>b) Yes, for all official championship races</t>
  </si>
  <si>
    <t>Pedigree registration is crucial for tracking bloodlines, preventing fraud, and for breeding purposes.</t>
  </si>
  <si>
    <t>What happens if a jockey continues to whip a camel that is clearly exhausted or injured?</t>
  </si>
  <si>
    <t>a) It is considered part of the race; b) The jockey is praised for determination; c) The jockey faces severe penalties, including suspension; d) The camel is given medical attention after the race</t>
  </si>
  <si>
    <t>c) The jockey faces severe penalties, including suspension</t>
  </si>
  <si>
    <t>Animal welfare rules are strict; continuing to push an unfit camel is a serious offense against the sport's ethics.</t>
  </si>
  <si>
    <t>Can an owner substitute a registered camel with another one on race day if the first one is unwell?</t>
  </si>
  <si>
    <t>a) Yes, if the substitute is also registered; b) No, no substitutions are allowed; c) Yes, with a veterinarian's note; d) Only if done 24 hours before the race</t>
  </si>
  <si>
    <t>b) No, no substitutions are allowed</t>
  </si>
  <si>
    <t>Once the final list of participants is confirmed, no last-minute substitutions are permitted to ensure regulatory control.</t>
  </si>
  <si>
    <t>What is the official rule if a camel is found to have been administered a tranquilizer before a race?</t>
  </si>
  <si>
    <t>a) It is allowed for nervous camels; b) The camel is disqualified and the owner is suspended; c) A fine is paid; d) The camel is allowed to race after a delay</t>
  </si>
  <si>
    <t>b) The camel is disqualified and the owner is suspended</t>
  </si>
  <si>
    <t>Using sedatives is illegal and considered a severe form of race manipulation and animal endangerment.</t>
  </si>
  <si>
    <t>How are starting positions in the gates typically determined for a major race?</t>
  </si>
  <si>
    <t>a) By the camel's age; b) By the owner's reputation; c) By a random draw or lottery system; d) By the camel's previous race times</t>
  </si>
  <si>
    <t>c) By a random draw or lottery system</t>
  </si>
  <si>
    <t>To ensure fairness, starting positions are allocated randomly rather than based on ranking or status.</t>
  </si>
  <si>
    <t>What happens if a jockey uses foul or abusive language towards race officials?</t>
  </si>
  <si>
    <t>a) A verbal warning is given; b) The jockey is subject to fines and/or suspension; c) The jockey's camel is disqualified; d) The incident is ignored</t>
  </si>
  <si>
    <t>b) The jockey is subject to fines and/or suspension</t>
  </si>
  <si>
    <t>Unsportsmanlike conduct towards officials is a serious offense that is penalized separately from race performance.</t>
  </si>
  <si>
    <t>Are there regulations on the length and flexibility of the reins used by the jockey?</t>
  </si>
  <si>
    <t>a) No, any type of rein is allowed; b) Yes, reins must be of a standard length and material; c) Reins are not permitted; d) Only leather reins are allowed</t>
  </si>
  <si>
    <t>b) Yes, reins must be of a standard length and material</t>
  </si>
  <si>
    <t>Equipment regulations specify the type of reins that can be used to ensure they are safe and do not give an unfair advantage.</t>
  </si>
  <si>
    <t>What is the procedure if a camel collapses and dies on the track during a race?</t>
  </si>
  <si>
    <t>a) The race continues around the animal; b) The race is immediately stopped and cancelled; c) The jockey is held responsible; d) The owner receives compensation</t>
  </si>
  <si>
    <t>b) The race is immediately stopped and cancelled</t>
  </si>
  <si>
    <t>In the event of a fatality, the race is stopped out of respect and to ensure the safe removal of the animal.</t>
  </si>
  <si>
    <t>Is it legal to perform "blood doping" (enhancing oxygen-carrying capacity) on a racing camel?</t>
  </si>
  <si>
    <t>a) Yes, if done by a veterinarian; b) No, it is a strictly banned practice; c) Only for older camels; d) It is not tested for, so it is allowed</t>
  </si>
  <si>
    <t>b) No, it is a strictly banned practice</t>
  </si>
  <si>
    <t>Blood doping is an illegal and unethical method of performance enhancement and is grounds for a lifetime ban.</t>
  </si>
  <si>
    <t>What is the rule if a jockey's personal electronic device (like a phone) falls on the track during the race?</t>
  </si>
  <si>
    <t>a) The race is stopped to retrieve it; b) It is ignored and the race continues; c) The jockey is disqualified for carrying it; d) A fine is issued after the race</t>
  </si>
  <si>
    <t>c) The jockey is disqualified for carrying it</t>
  </si>
  <si>
    <t>Jockeys are typically forbidden from carrying personal electronics during a race to prevent cheating.</t>
  </si>
  <si>
    <t>Can a race be run in the opposite direction on the track?</t>
  </si>
  <si>
    <t>a) Yes, if all owners agree; b) No, races are always run in a standardized direction; c) Only for ceremonial races; d) Only if the track is circular</t>
  </si>
  <si>
    <t>b) No, races are always run in a standardized direction</t>
  </si>
  <si>
    <t>For consistency and safety, all official races on a given track are run in the same direction (usually counter-clockwise).</t>
  </si>
  <si>
    <t>What is the penalty for an owner who deliberately enters a 4-year-old camel in a race for 3-year-olds?</t>
  </si>
  <si>
    <t>a) The camel is moved to the correct race; b) The owner is given a warning; c) Disqualification and a ban for fraudulent entry; d) A handicap is applied to the camel</t>
  </si>
  <si>
    <t>c) Disqualification and a ban for fraudulent entry</t>
  </si>
  <si>
    <t>Misrepresenting a camel's age is a serious act of fraud and is met with severe penalties.</t>
  </si>
  <si>
    <t>Are there rules about the post-race cool-down procedure for camels?</t>
  </si>
  <si>
    <t>a) No, it is up to the owner; b) Yes, a mandatory cool-down period must be observed; c) Camels are immediately put in trailers; d) They are only cooled down if they look tired</t>
  </si>
  <si>
    <t>b) Yes, a mandatory cool-down period must be observed</t>
  </si>
  <si>
    <t>To ensure animal welfare, regulations often require owners to properly walk and cool down their camels after a race.</t>
  </si>
  <si>
    <t>What happens if a drone used for broadcasting the race crashes onto the track mid-race?</t>
  </si>
  <si>
    <t>a) The race continues; b) The race is immediately stopped and will be re-run; c) The last camel to pass the drone wins; d) The jockeys must avoid the drone</t>
  </si>
  <si>
    <t>b) The race is immediately stopped and will be re-run</t>
  </si>
  <si>
    <t>An external object falling onto the track that poses a hazard or interferes with the race necessitates a stoppage and re-run.</t>
  </si>
  <si>
    <t>Is it legal for a jockey to hold onto another jockey's saddle for balance?</t>
  </si>
  <si>
    <t>a) Yes, if it is accidental; b) No, this is grounds for immediate disqualification; c) Only for a few seconds; d) A warning is issued</t>
  </si>
  <si>
    <t>b) No, this is grounds for immediate disqualification</t>
  </si>
  <si>
    <t>Physical contact with another competitor or their equipment is a serious form of interference.</t>
  </si>
  <si>
    <t>What is the official protocol for a jockey who wishes to withdraw their camel from a race after entering the paddock?</t>
  </si>
  <si>
    <t>a) They can leave at any time; b) They must get permission from the chief steward; c) They forfeit their registration fee but face no other penalty; d) They are banned from the next race</t>
  </si>
  <si>
    <t>b) They must get permission from the chief steward</t>
  </si>
  <si>
    <t>Once in the pre-race paddock, a camel cannot be withdrawn without a valid reason (like injury) approved by officials.</t>
  </si>
  <si>
    <t>Are there rules about the type of sand or soil used for the track surface?</t>
  </si>
  <si>
    <t>a) No, any sand is acceptable; b) Yes, the sand must be of a specific depth and composition; c) The track is usually made of dirt, not sand; d) The owners vote on the surface type</t>
  </si>
  <si>
    <t>b) Yes, the sand must be of a specific depth and composition</t>
  </si>
  <si>
    <t>To ensure safety and consistency, federations regulate the track surface to prevent it from being too deep or too hard.</t>
  </si>
  <si>
    <t>If a camel wins a race, is it mandatory for it to provide a urine or blood sample for testing?</t>
  </si>
  <si>
    <t>a) Yes, winners are always tested; b) No, testing is completely random; c) Only if the camel looks suspicious; d) Only the top three finishers are tested</t>
  </si>
  <si>
    <t>a) Yes, winners are always tested</t>
  </si>
  <si>
    <t>It is standard procedure for the winner (and often other top finishers) of every race to undergo mandatory doping tests.</t>
  </si>
  <si>
    <t>What is the rule concerning a camel that is blind in one eye?</t>
  </si>
  <si>
    <t>a) It is not allowed to race; b) It is allowed if it passes a veterinary inspection; c) It can only race on straight tracks; d) It must wear special protective gear</t>
  </si>
  <si>
    <t>b) It is allowed if it passes a veterinary inspection</t>
  </si>
  <si>
    <t>A physical disability does not automatically disqualify a camel, provided a vet certifies it is safe for the camel and others to race.</t>
  </si>
  <si>
    <t>Can an owner file a protest based on another jockey's excessive shouting?</t>
  </si>
  <si>
    <t>a) No, shouting is not regulated; b) Yes, if it is deemed to have distracted their camel; c) Only if the shouting included insults; d) Only if it happened at the starting gate</t>
  </si>
  <si>
    <t>b) Yes, if it is deemed to have distracted their camel</t>
  </si>
  <si>
    <t>While vocal commands are allowed, a protest can be filed if the shouting was intentionally directed to unfairly affect another competitor.</t>
  </si>
  <si>
    <t>What is the penalty for removing a camel’s microchip?</t>
  </si>
  <si>
    <t>a) A fine; b) A one-year ban for the camel; c) A lifetime ban for the owner and camel; d) No penalty if a new one is inserted</t>
  </si>
  <si>
    <t>c) A lifetime ban for the owner and camel</t>
  </si>
  <si>
    <t>Tampering with official identification is the most serious form of fraud and results in a permanent ban from the sport.</t>
  </si>
  <si>
    <t>Are there time limits for completing a race?</t>
  </si>
  <si>
    <t>a) Yes, any camel that is too slow is stopped; b) No, all camels are allowed to finish; c) Only in endurance races; d) Only for young camels</t>
  </si>
  <si>
    <t>b) No, all camels are allowed to finish</t>
  </si>
  <si>
    <t>In sprint races, all participants who start are typically allowed to complete the course, regardless of their time.</t>
  </si>
  <si>
    <t>What is the rule if a jockey is found to be intoxicated before a race?</t>
  </si>
  <si>
    <t>a) They are allowed to race if they feel fine; b) They are immediately replaced by a substitute jockey; c) They are removed and their camel is disqualified; d) They are fined but allowed to race</t>
  </si>
  <si>
    <t>c) They are removed and their camel is disqualified</t>
  </si>
  <si>
    <t>Jockeys must pass sobriety tests; racing under the influence is a major safety violation leading to disqualification.</t>
  </si>
  <si>
    <t>What is the standard procedure if the winner of a race fails the post-race doping test?</t>
  </si>
  <si>
    <t>a) A fine is issued and the result stands; b) The camel is banned for one season; c) The camel is disqualified and the runner-up is declared the winner; d) The race result is nullified with no winner</t>
  </si>
  <si>
    <t>c) The camel is disqualified and the runner-up is declared the winner</t>
  </si>
  <si>
    <t>A positive doping test results in immediate disqualification, and the official standings are adjusted accordingly.</t>
  </si>
  <si>
    <t>Are there specific regulations for the ceremonial decorations placed on a camel before a race?</t>
  </si>
  <si>
    <t>a) No, any decoration is allowed; b) Yes, decorations must not interfere with movement or vision; c) Decorations are prohibited; d) Only traditional fabrics are allowed</t>
  </si>
  <si>
    <t>b) Yes, decorations must not interfere with movement or vision</t>
  </si>
  <si>
    <t>While decorations are encouraged culturally, they must be safely secured and not obstruct the camel or other competitors.</t>
  </si>
  <si>
    <t>What is the rule if a camel refuses to enter the starting gate after several attempts?</t>
  </si>
  <si>
    <t>a) The camel is moved to an outside gate; b) The camel is declared a "late scratch" and withdrawn; c) The race starts without it; d) The owner is allowed to manually push it in</t>
  </si>
  <si>
    <t>b) The camel is declared a "late scratch" and withdrawn</t>
  </si>
  <si>
    <t>For the sake of starting the race on time, a persistently unruly camel will be withdrawn by the officials.</t>
  </si>
  <si>
    <t>Can a female camel race against male camels in a mixed-gender race?</t>
  </si>
  <si>
    <t>a) No, races are strictly gender-segregated; b) Yes, this is common in many race categories; c) Only if the female camel is older; d) Only in non-championship events</t>
  </si>
  <si>
    <t>b) Yes, this is common in many race categories</t>
  </si>
  <si>
    <t>Unlike many other animal racing sports, female camels (which are often preferred) regularly compete against males.</t>
  </si>
  <si>
    <t>What is the penalty for a jockey who fails to attend the mandatory pre-race briefing?</t>
  </si>
  <si>
    <t>a) No penalty; b) A monetary fine; c) Disqualification from the race; d) A handicap is applied</t>
  </si>
  <si>
    <t>b) A monetary fine</t>
  </si>
  <si>
    <t>Attendance at the jockey briefing is mandatory, and unexcused absences typically result in a fine.</t>
  </si>
  <si>
    <t>Is it legal for an owner to enter two camels that are identical twins in the same race?</t>
  </si>
  <si>
    <t>a) Yes, if both are registered; b) No, only one of the twins can be entered; c) Yes, but they must start in adjacent gates; d) No, as it can confuse the judges</t>
  </si>
  <si>
    <t>b) No, only one of the twins can be entered</t>
  </si>
  <si>
    <t>To avoid confusion and potential for illicit substitution, typically only one of a pair of identical twins can be entered in a single race.</t>
  </si>
  <si>
    <t>What is the official action if a jockey's saddle becomes completely detached during the race?</t>
  </si>
  <si>
    <t>a) The jockey can continue bareback; b) It is an automatic disqualification; c) The race is stopped for an equipment fix; d) The jockey can grab another jockey's saddle</t>
  </si>
  <si>
    <t>b) It is an automatic disqualification</t>
  </si>
  <si>
    <t>Losing essential equipment like a saddle is considered a major incident that results in disqualification for safety reasons.</t>
  </si>
  <si>
    <t>Are there rules about the type of footwear a jockey must wear?</t>
  </si>
  <si>
    <t>a) No, jockeys must be barefoot; b) Yes, they must wear approved racing boots; c) Any type of shoe is acceptable; d) Only sandals are allowed</t>
  </si>
  <si>
    <t>b) Yes, they must wear approved racing boots</t>
  </si>
  <si>
    <t>Jockeys are required to wear specific lightweight, safety-approved boots during a race.</t>
  </si>
  <si>
    <t>If a race is cancelled due to extreme heat, what is the standard procedure for prize money?</t>
  </si>
  <si>
    <t>a) It is forfeited by all; b) It is distributed equally among all participants; c) The race is rescheduled and the prize money carries over; d) The prize money is awarded based on starting positions</t>
  </si>
  <si>
    <t>c) The race is rescheduled and the prize money carries over</t>
  </si>
  <si>
    <t>If a race is cancelled for safety reasons, it is almost always rescheduled for a later date with the original purse intact.</t>
  </si>
  <si>
    <t>What is the regulation on communication devices between a jockey and their trainer during a race?</t>
  </si>
  <si>
    <t>a) One-way earpieces are allowed; b) All forms of electronic communication are banned; c) Jockeys can carry radios; d) Only in endurance races</t>
  </si>
  <si>
    <t>b) All forms of electronic communication are banned</t>
  </si>
  <si>
    <t>To prevent unfair advantages, jockeys are not allowed to have any electronic communication with their team during a race.</t>
  </si>
  <si>
    <t>What happens if a camel's official racing blanket (with its number) falls off mid-race?</t>
  </si>
  <si>
    <t>a) The camel is disqualified; b) The jockey must try to pick it up; c) The race continues, and identity is confirmed by microchip; d) The jockey is fined after the race</t>
  </si>
  <si>
    <t>c) The race continues, and identity is confirmed by microchip</t>
  </si>
  <si>
    <t>While not ideal, the loss of a racing number is not grounds for disqualification, as the microchip serves as primary identification.</t>
  </si>
  <si>
    <t>What is the term for a race exclusively for camels born and raised in Sudan?</t>
  </si>
  <si>
    <t>a) Al-Sudaniyah Challenge; b) Local-Born Classic; c) Asayel Race; d) Mahaliyat Run</t>
  </si>
  <si>
    <t>d) Mahaliyat Run</t>
  </si>
  <si>
    <t>Mahaliyat' refers to races restricted to local-bred camels to promote domestic breeding.</t>
  </si>
  <si>
    <t>Is it a requirement for camels to undergo a vision test before being cleared to race?</t>
  </si>
  <si>
    <t>a) Yes, all camels must pass a vision test; b) No, vision tests are not standard procedure; c) Only for camels that have had a previous eye injury; d) Only for night races</t>
  </si>
  <si>
    <t>b) No, vision tests are not standard procedure</t>
  </si>
  <si>
    <t>A general veterinary inspection is required, but a specific ophthalmology test is not a standard part of the pre-race check.</t>
  </si>
  <si>
    <t>What is the rule on a jockey making excessive noise (e.g., screaming) to intimidate another camel?</t>
  </si>
  <si>
    <t>a) This is considered a clever tactic; b) This is a foul and can lead to disqualification; c) It is allowed as long as no insults are used; d) There is no rule against it</t>
  </si>
  <si>
    <t>b) This is a foul and can lead to disqualification</t>
  </si>
  <si>
    <t>Deliberately intimidating or interfering with another animal is considered unsportsmanlike conduct.</t>
  </si>
  <si>
    <t>If a race official observes a deep cut or bleeding on a camel at the starting line, what action must be taken?</t>
  </si>
  <si>
    <t>a) The camel is allowed to race but must see a vet after; b) The camel is "scratched" (withdrawn) by the vet for welfare reasons; c) The camel is given a bandage and allowed to race; d) The owner can decide if the camel is fit to run</t>
  </si>
  <si>
    <t>b) The camel is "scratched" (withdrawn) by the vet for welfare reasons</t>
  </si>
  <si>
    <t>The on-site veterinarian has the authority to withdraw any animal from a race if they deem it unfit or at risk.</t>
  </si>
  <si>
    <t>What is the primary function of the robot jockey used in many modern camel races?</t>
  </si>
  <si>
    <t>a) To reduce the camel's weight; b) To provide more precise steering than a human; c) To use a remote-controlled whip and give vocal commands; d) To steer the camel automatically via GPS</t>
  </si>
  <si>
    <t>c) To use a remote-controlled whip and give vocal commands</t>
  </si>
  <si>
    <t>Robot jockeys are operated by trainers in chase vehicles, allowing them to apply whips and broadcast commands via a speaker.</t>
  </si>
  <si>
    <t>What is the penalty for an owner who uses a fake health certificate to enter a camel in a race?</t>
  </si>
  <si>
    <t>a) A warning for the first offense; b) A small fine; c) A long-term ban from the sport for fraud; d) The camel is re-inspected on the spot</t>
  </si>
  <si>
    <t>c) A long-term ban from the sport for fraud</t>
  </si>
  <si>
    <t>Forgery of official documents is a major fraudulent act that results in severe penalties, including lengthy suspensions.</t>
  </si>
  <si>
    <t>Are there rules about the camel's diet in the 24 hours leading up to a race?</t>
  </si>
  <si>
    <t>a) No, the diet is not regulated; b) Yes, only specific grains and water are allowed; c) Camels are required to fast; d) They can only eat dates and milk</t>
  </si>
  <si>
    <t>b) Yes, only specific grains and water are allowed</t>
  </si>
  <si>
    <t>To prevent the use of performance-altering substances and ensure animal health, pre-race diets are often monitored or regulated.</t>
  </si>
  <si>
    <t>If a jockey is injured and cannot continue, can a substitute jockey take over mid-race?</t>
  </si>
  <si>
    <t>a) Yes, if the substitute is on standby; b) No, the camel must be withdrawn from the race; c) Only if the camel is in the lead; d) Yes, but with a time penalty</t>
  </si>
  <si>
    <t>b) No, the camel must be withdrawn from the race</t>
  </si>
  <si>
    <t>There are no "pit stops" or substitutions in camel racing; if the jockey cannot continue, the entry is withdrawn.</t>
  </si>
  <si>
    <t>What is the regulation regarding the use of traditional good luck charms or amulets on camels?</t>
  </si>
  <si>
    <t>a) They are strictly forbidden; b) They are allowed as long as they are safe and secure; c) Only charms blessed by a religious figure are allowed; d) They must be registered with the race officials</t>
  </si>
  <si>
    <t>b) They are allowed as long as they are safe and secure</t>
  </si>
  <si>
    <t>Cultural traditions are respected, provided the items do not pose a safety risk to any of the competitors.</t>
  </si>
  <si>
    <t>What action is taken if a camel is found to be fitted with oversized or illegal shoes?</t>
  </si>
  <si>
    <t>a) The shoes are replaced with legal ones; b) The camel is disqualified before the race; c) The camel is allowed to run barefoot; d) A weight penalty is added</t>
  </si>
  <si>
    <t>b) The camel is disqualified before the race</t>
  </si>
  <si>
    <t>All equipment, including shoes, must comply with regulations, and non-compliance results in disqualification.</t>
  </si>
  <si>
    <t>Is it permissible for a jockey to carry a small water bottle during a long-distance race?</t>
  </si>
  <si>
    <t>a) Yes, for hydration; b) No, carrying extra items is prohibited; c) Only if it is provided by race officials; d) Only in desert races</t>
  </si>
  <si>
    <t>b) No, carrying extra items is prohibited</t>
  </si>
  <si>
    <t>Jockeys are weighed with their gear, and carrying additional items like water bottles is not allowed to maintain weight rules.</t>
  </si>
  <si>
    <t>What happens if the electronic timing system fails during a championship race?</t>
  </si>
  <si>
    <t>a) The race is immediately cancelled; b) A manual backup timing system is used; c) The winner is decided by the judges' visual consensus; d) The prize money is split</t>
  </si>
  <si>
    <t>b) A manual backup timing system is used</t>
  </si>
  <si>
    <t>Racecourses have official backup systems (like manual stopwatches) to ensure a result can still be recorded accurately.</t>
  </si>
  <si>
    <t>What is the rule for a camel that has a known aggressive temperament (e.g., a history of biting)?</t>
  </si>
  <si>
    <t>a) It is banned from all races; b) It may be required to wear a muzzle; c) It must start from the outermost gate; d) There are no specific rules for temperament</t>
  </si>
  <si>
    <t>b) It may be required to wear a muzzle</t>
  </si>
  <si>
    <t>To ensure safety, race officials can mandate specific equipment like muzzles for camels with a history of dangerous behavior.</t>
  </si>
  <si>
    <t>Are jockeys allowed to communicate with each other during a race?</t>
  </si>
  <si>
    <t>a) Yes, communication is allowed; b) No, they are forbidden from speaking to each other; c) Only to warn of danger; d) Only between teammates</t>
  </si>
  <si>
    <t>c) Only to warn of danger</t>
  </si>
  <si>
    <t>While strategic talk is forbidden, shouting a warning about a hazard (e.g., a fallen camel) is acceptable for safety.</t>
  </si>
  <si>
    <t>What is the official term for a camel that has been specifically bred for racing?</t>
  </si>
  <si>
    <t>a) A "Dhabian"; b) A "Hajeen"; c) A "Maha"; d) A "Jameel"</t>
  </si>
  <si>
    <t>b) A "Hajeen"</t>
  </si>
  <si>
    <t>Hajeen' is the term used for a camel of a racing breed, known for its lean body and stamina.</t>
  </si>
  <si>
    <t>What is the protocol if a camel gives birth unexpectedly in the paddock before a race?</t>
  </si>
  <si>
    <t>a) The camel is still required to race; b) The camel is immediately withdrawn for veterinary care; c) The owner is fined for negligence; d) The race is delayed until the camel is ready</t>
  </si>
  <si>
    <t>b) The camel is immediately withdrawn for veterinary care</t>
  </si>
  <si>
    <t>The welfare of the mother and newborn is the absolute priority, leading to an immediate and mandatory withdrawal.</t>
  </si>
  <si>
    <t>What is the penalty for an owner who publicly disputes a judge's decision in a disrespectful manner?</t>
  </si>
  <si>
    <t>a) A warning; b) A fine and possible suspension from future races; c) Their camel is disqualified retroactively; d) They are ignored by the officials</t>
  </si>
  <si>
    <t>b) A fine and possible suspension from future races</t>
  </si>
  <si>
    <t>Publicly disrespecting officials is a breach of the code of conduct and is subject to penalties.</t>
  </si>
  <si>
    <t>Are there regulations on the maximum number of races a single camel can participate in per season?</t>
  </si>
  <si>
    <t>a) No, it's up to the owner; b) Yes, a limit is set by the federation; c) Only for camels under 5 years old; d) The limit is 10 races</t>
  </si>
  <si>
    <t>b) Yes, a limit is set by the federation</t>
  </si>
  <si>
    <t>To prevent over-racing and protect animal welfare, many federations impose a cap on the number of races per season.</t>
  </si>
  <si>
    <t>If a jockey is under the minimum age but has parental consent, can an exception be made?</t>
  </si>
  <si>
    <t>a) Yes, with a signed waiver; b) No, the minimum age rule is absolute; c) Only for minor local races; d) Only if they pass a skills test</t>
  </si>
  <si>
    <t>b) No, the minimum age rule is absolute</t>
  </si>
  <si>
    <t>Safety and child welfare regulations mean the minimum age for jockeys is a strict, non-negotiable rule.</t>
  </si>
  <si>
    <t>What happens if a camel's rein breaks during the race?</t>
  </si>
  <si>
    <t>a) The jockey must try to steer with their hands; b) It is an automatic disqualification; c) The race is stopped; d) The jockey can get a replacement rein</t>
  </si>
  <si>
    <t>Losing the primary means of control is a major safety hazard, forcing the jockey to pull up and withdraw.</t>
  </si>
  <si>
    <t>Is it legal to use embryo transfer technology for breeding racing camels?</t>
  </si>
  <si>
    <t>a) No, only natural breeding is allowed; b) Yes, it is a common and accepted practice; c) It is legal but the resulting camels cannot race; d) It is only allowed for royal stables</t>
  </si>
  <si>
    <t>b) Yes, it is a common and accepted practice</t>
  </si>
  <si>
    <t>Advanced breeding technologies like embryo transfer are widely used to propagate desirable traits from champion female camels.</t>
  </si>
  <si>
    <t>What is the rule regarding a camel that has had cosmetic surgery to improve its appearance?</t>
  </si>
  <si>
    <t>a) It is allowed; b) It is banned as fraudulent representation; c) It must be declared to the officials; d) It receives a beauty prize instead</t>
  </si>
  <si>
    <t>b) It is banned as fraudulent representation</t>
  </si>
  <si>
    <t>Any surgical alteration to a camel's appearance is considered fraud and is strictly prohibited.</t>
  </si>
  <si>
    <t>If a race is sponsored by a company, are jockeys required to wear the sponsor's logo?</t>
  </si>
  <si>
    <t>a) No, it is optional; b) Yes, it is a mandatory part of the race uniform; c) Only if they are paid extra; d) Only the winning jockey wears it</t>
  </si>
  <si>
    <t>b) Yes, it is a mandatory part of the race uniform</t>
  </si>
  <si>
    <t>As part of the race agreement, all participants are typically required to display the official event sponsor's branding.</t>
  </si>
  <si>
    <t>What happens if a jockey is found to have placed a bet on their own race?</t>
  </si>
  <si>
    <t>a) It is allowed if they bet on themselves to win; b) They receive a fine; c) They receive a lifetime ban from the sport; d) Their winnings are confiscated</t>
  </si>
  <si>
    <t>c) They receive a lifetime ban from the sport</t>
  </si>
  <si>
    <t>To maintain the integrity of the sport, jockeys, owners, and trainers are strictly forbidden from betting on races they are involved in.</t>
  </si>
  <si>
    <t>What is the official procedure if a fire alarm goes off at the racetrack facility during a race?</t>
  </si>
  <si>
    <t>a) The race continues as it is likely a false alarm; b) The race is immediately stopped by officials; c) Jockeys can decide whether to continue; d) The results are taken from the moment the alarm sounded</t>
  </si>
  <si>
    <t>b) The race is immediately stopped by officials</t>
  </si>
  <si>
    <t>Any potential safety threat, such as a fire alarm, requires an immediate halt to all activity.</t>
  </si>
  <si>
    <t>Are there rules about a camel's name?</t>
  </si>
  <si>
    <t>a) No, any name is allowed; b) Yes, names must be approved and cannot be offensive; c) Names are limited to 10 characters; d) Camels are only known by their number</t>
  </si>
  <si>
    <t>b) Yes, names must be approved and cannot be offensive</t>
  </si>
  <si>
    <t>Camel names must be registered and are subject to approval by the racing authority to prevent duplication and offensive language.</t>
  </si>
  <si>
    <t>If a jockey is suspended, are they allowed to be present in the paddock or training areas?</t>
  </si>
  <si>
    <t>a) Yes, but they cannot race; b) No, a suspension includes a ban from all official areas; c) Only if they are with another owner; d) Only to watch the races</t>
  </si>
  <si>
    <t>b) No, a suspension includes a ban from all official areas</t>
  </si>
  <si>
    <t>A suspension is a comprehensive ban that prohibits the individual from entering any restricted areas of the racetrack.</t>
  </si>
  <si>
    <t>What is the rule on using a mobile phone to record a POV video during the race?</t>
  </si>
  <si>
    <t>a) Allowed for social media; b) Strictly prohibited; c) Allowed if the phone is mounted safely; d) Only for professional jockeys</t>
  </si>
  <si>
    <t>b) Strictly prohibited</t>
  </si>
  <si>
    <t>Carrying personal electronic devices is banned to prevent distractions and potential for illegal communication.</t>
  </si>
  <si>
    <t>What is the official decision if a camel completes the race but is later found to have been given an excessive amount of water (water-loading)?</t>
  </si>
  <si>
    <t>a) The result stands; b) Disqualification for violating welfare rules; c) A time penalty is added; d) A fine is issued to the owner</t>
  </si>
  <si>
    <t>b) Disqualification for violating welfare rules</t>
  </si>
  <si>
    <t>Forcing a camel to drink excessive water is an animal welfare violation that can lead to disqualification.</t>
  </si>
  <si>
    <t>Can a camel be disqualified for having hooves that are improperly trimmed?</t>
  </si>
  <si>
    <t>a) No, hoof condition is not checked; b) Yes, if a vet deems it a risk to the camel's health; c) Only if it affects the camel's speed; d) Only in championship races</t>
  </si>
  <si>
    <t>b) Yes, if a vet deems it a risk to the camel's health</t>
  </si>
  <si>
    <t>A pre-race veterinary check includes hoof condition, and poor trimming can be grounds for withdrawal if it poses a safety risk.</t>
  </si>
  <si>
    <t>What happens if a winning jockey refuses to participate in the post-race prize ceremony?</t>
  </si>
  <si>
    <t>a) They forfeit their prize money; b) A substitute accepts the prize; c) The prize is mailed to them; d) There is no penalty</t>
  </si>
  <si>
    <t>a) They forfeit their prize money</t>
  </si>
  <si>
    <t>Participation in official ceremonies is often mandatory, and refusal can lead to the forfeiture of winnings.</t>
  </si>
  <si>
    <t>Is it legal to train a racing camel using a treadmill?</t>
  </si>
  <si>
    <t>a) No, only track training is allowed; b) Yes, it is a common conditioning method; c) Only for camels recovering from injury; d) Only in professional training centers</t>
  </si>
  <si>
    <t>b) Yes, it is a common conditioning method</t>
  </si>
  <si>
    <t>Modern training often includes specialized equipment like treadmills and swimming pools to build stamina.</t>
  </si>
  <si>
    <t>What is the maximum age for a camel to be eligible to compete in races?</t>
  </si>
  <si>
    <t>a) 15 years; b) 20 years; c) 25 years; d) There is no official maximum age</t>
  </si>
  <si>
    <t>d) There is no official maximum age</t>
  </si>
  <si>
    <t>While camels become less competitive as they age, there is typically no strict upper age limit for participation.</t>
  </si>
  <si>
    <t>What is the maximum permitted weight for a robot jockey used in a race?</t>
  </si>
  <si>
    <t>a) 1-2 kg; b) 2-3 kg; c) 4-5 kg; d) There is no weight limit</t>
  </si>
  <si>
    <t>b) 2-3 kg</t>
  </si>
  <si>
    <t>Robot jockeys are designed to be extremely lightweight (typically 2-3 kg) to avoid burdening the camel, a rule that evolved to replace child jockeys.</t>
  </si>
  <si>
    <t>If a race is cancelled, are owners refunded their registration fees?</t>
  </si>
  <si>
    <t>a) No, all fees are non-refundable; b) Yes, a full refund is issued; c) A partial credit for a future race is given; d) Only if the cancellation was the organizer's fault</t>
  </si>
  <si>
    <t>c) A partial credit for a future race is given</t>
  </si>
  <si>
    <t>Typically, if a race is cancelled, owners are offered a credit to enter another race rather than a full cash refund.</t>
  </si>
  <si>
    <t>What is the rule if a jockey's helmet comes off during the race?</t>
  </si>
  <si>
    <t>a) They can continue without it; b) They must stop and put it back on; c) It results in an automatic disqualification; d) A fine is issued after the race</t>
  </si>
  <si>
    <t>c) It results in an automatic disqualification</t>
  </si>
  <si>
    <t>For safety, jockeys must wear properly secured helmets at all times; losing one is a major safety breach.</t>
  </si>
  <si>
    <t>Are there rules against using camels that have been cloned?</t>
  </si>
  <si>
    <t>a) No, cloned camels are allowed; b) Yes, cloned camels are banned from racing; c) They are allowed but must be declared; d) They can only participate in special exhibition races</t>
  </si>
  <si>
    <t>c) They are allowed but must be declared</t>
  </si>
  <si>
    <t>Cloning is a part of modern breeding, but racing federations require cloned animals to be officially declared on their registration.</t>
  </si>
  <si>
    <t>What is the procedure for a camel that acts aggressively in the paddock before the race?</t>
  </si>
  <si>
    <t>a) It is given a tranquilizer; b) It is withdrawn from the race by officials; c) It is moved to a separate, isolated pen; d) The owner is asked to control it</t>
  </si>
  <si>
    <t>b) It is withdrawn from the race by officials</t>
  </si>
  <si>
    <t>If a camel is deemed a danger to other animals or people in the pre-race area, it will be removed from the competition.</t>
  </si>
  <si>
    <t>What is the official decision if a camel wins but is later found to belong to a suspended owner?</t>
  </si>
  <si>
    <t>a) The win is upheld; b) The camel is disqualified and the owner's suspension is extended; c) The prize money is held until the suspension is over; d) The jockey is also suspended</t>
  </si>
  <si>
    <t>b) The camel is disqualified and the owner's suspension is extended</t>
  </si>
  <si>
    <t>An owner cannot circumvent a suspension by having someone else race their camel; this is a serious violation.</t>
  </si>
  <si>
    <t>What is the basic rule regarding the balance of techniques in Nubian wrestling?</t>
  </si>
  <si>
    <t>a) Continuous attack only; b) Continuous defense only; c) A combination of attack and defense; d) No fixed rules</t>
  </si>
  <si>
    <t>c) A combination of offense and defense</t>
  </si>
  <si>
    <t>Nubian wrestling relies on a combination of offense and defense to achieve victory.</t>
  </si>
  <si>
    <t>What is the primary equipment used as a tool in traditional Nubian wrestling?</t>
  </si>
  <si>
    <t>a) Yes, any tool is allowed; b) No, only sticks must be used; c) Only traditional weapons; d) Depends on local laws</t>
  </si>
  <si>
    <t>b) No, only sticks should be used.</t>
  </si>
  <si>
    <t>In traditional Nubian wrestling, sticks are used as the primary fighting tool.</t>
  </si>
  <si>
    <t>What is the typical duration of a match in Nubian wrestling?</t>
  </si>
  <si>
    <t>a) No specific duration; b) Fixed duration not exceeding 10 minutes; c) Depends on the number of rounds; d) The duration is determined by the wrestlers' strength</t>
  </si>
  <si>
    <t>a) There is no specific period.</t>
  </si>
  <si>
    <t>The Nubian wrestling match is not based on a specific time, but rather on strength and endurance.</t>
  </si>
  <si>
    <t>Can a wrestler use any fighting techniques they wish in Nubian wrestling?</t>
  </si>
  <si>
    <t>a) Yes, any techniques are allowed; b) No, the wrestler must adhere to certain techniques; c) Only with coach supervision; d) Only traditional techniques</t>
  </si>
  <si>
    <t>b) No, the wrestler must adhere to certain techniques.</t>
  </si>
  <si>
    <t>Nubian wrestling follows specific techniques that rely on physical strength and special tactics.</t>
  </si>
  <si>
    <t>Is interference from the audience permitted during a Nubian wrestling match?</t>
  </si>
  <si>
    <t>a) Yes, the audience can interfere; b) No, it must be done only under the supervision of the coach; c) Interference is allowed with conditions; d) Only signaling is allowed</t>
  </si>
  <si>
    <t>b) No, it should only be done under the supervision of a trainer.</t>
  </si>
  <si>
    <t>Spectator interference is not allowed in Nubian wrestling and must only take place under the supervision of a coach.</t>
  </si>
  <si>
    <t>What is the ruling in Nubian wrestling if a match ends in a tie?</t>
  </si>
  <si>
    <t>a) There is no referee for a tie; b) Winner is based on most hits; c) An extra round is held; d) The referee decides the winner</t>
  </si>
  <si>
    <t>c) An additional round is called.</t>
  </si>
  <si>
    <t>In the event of a tie, an extra round is held to determine the winner.</t>
  </si>
  <si>
    <t>Is a wrestler allowed to withdraw from a match for any reason?</t>
  </si>
  <si>
    <t>a) Yes, at any time; b) No, they must complete the match; c) Only in case of injury; d) Only after three rounds</t>
  </si>
  <si>
    <t>c) Withdrawal is only permitted in case of injury.</t>
  </si>
  <si>
    <t>If a wrestler sustains an injury that could affect his safety, he may withdraw with the coach's approval.</t>
  </si>
  <si>
    <t>What is the rule regarding the application of force in Nubian wrestling?</t>
  </si>
  <si>
    <t>a) Permitted at any time; b) Force must be used cautiously and tactically; c) Use of force is prohibited; d) Only permitted in an attack</t>
  </si>
  <si>
    <t>b) Force must be used cautiously and tactically.</t>
  </si>
  <si>
    <t>Nubian wrestling requires the tactical use of power to achieve success, rather than using it haphazardly.</t>
  </si>
  <si>
    <t>Is a wrestler allowed to use dangerous moves that could cause serious injury?</t>
  </si>
  <si>
    <t>a) Yes, any move is allowed; b) No, dangerous moves are prohibited; c) Only as part of a tactic; d) Allowed with doctor's supervision</t>
  </si>
  <si>
    <t>b) No, dangerous movements are prohibited.</t>
  </si>
  <si>
    <t>Nubian wrestling prohibits moves that could cause serious injury to wrestlers.</t>
  </si>
  <si>
    <t>Is it a requirement for a wrestler to be physically ready before entering a match?</t>
  </si>
  <si>
    <t>a) No, there are no prerequisites; b) Yes, good physical condition is required; c) Only good mental condition is needed; d) No training is required</t>
  </si>
  <si>
    <t>b) Yes, the wrestler must be in good physical condition.</t>
  </si>
  <si>
    <t>A wrestler must be in good physical condition to endure and execute moves correctly.</t>
  </si>
  <si>
    <t>Is a wrestler permitted to use illegal methods to win a match?</t>
  </si>
  <si>
    <t>a) Yes, if it is in his interest; b) No, the laws must be adhered to; c) Only if they are not discovered; d) Allowed if they are within the tactic</t>
  </si>
  <si>
    <t>b) No, you must comply with the laws.</t>
  </si>
  <si>
    <t>Nubian wrestling requires adherence to recognized rules and techniques, and the use of illegal methods is prohibited.</t>
  </si>
  <si>
    <t>Is a referee required to be present at every Nubian wrestling match?</t>
  </si>
  <si>
    <t>a) Yes, a permanent referee is in every match; b) No, a referee is not necessary; c) Only in major matches; d) Only in inter-tribal matches</t>
  </si>
  <si>
    <t>a) Yes, there is a permanent referee in every match.</t>
  </si>
  <si>
    <t>Nubian wrestling requires a referee at every match to ensure the rules are followed and integrity is ensured.</t>
  </si>
  <si>
    <t>What is the rule regarding the size of the area where Nubian wrestling is played?</t>
  </si>
  <si>
    <t>a) It can be any open space; b) It must be in a pre-defined space; c) It must be in an enclosed area; d) The space must be very large</t>
  </si>
  <si>
    <t>b) It must be played in a pre-defined space.</t>
  </si>
  <si>
    <t>Nubian wrestling is usually played in a specific area that provides safety and comfort for the wrestlers.</t>
  </si>
  <si>
    <t>Is a wrestler allowed to alter their strategy during a match?</t>
  </si>
  <si>
    <t>a) Yes, at any time; b) No, they must stick to one strategy; c) Only after the first round; d) Only in case of a loss</t>
  </si>
  <si>
    <t>a) Yes, he can change his strategy at any time.</t>
  </si>
  <si>
    <t>Nubian wrestling requires the wrestler to be flexible in his strategies and able to adapt to the course of the match.</t>
  </si>
  <si>
    <t>What is the rule governing a wrestler's use of defensive techniques?</t>
  </si>
  <si>
    <t>a) Any defensive technique is allowed; b) Defense must be effective and not exaggerated; c) Defense is not used; d) Defense is allowed only after an attack</t>
  </si>
  <si>
    <t>b) The defense must be effective and not exaggerated.</t>
  </si>
  <si>
    <t>Defense methods should be balanced and effective without being excessive or exaggerated.</t>
  </si>
  <si>
    <t>What is the rule regarding how long a wrestler can rest during a match?</t>
  </si>
  <si>
    <t>a) There are no rest periods; b) Rest as needed; c) A short rest period is given mid-match; d) Only allowed for an injury</t>
  </si>
  <si>
    <t>c) A short break is given in the middle of the match.</t>
  </si>
  <si>
    <t>Nubian wrestling provides a short rest period in the middle of the match for the wrestlers.</t>
  </si>
  <si>
    <t>Is a wrestler allowed to use psychological techniques to influence an opponent?</t>
  </si>
  <si>
    <t>a) Yes, psychological methods are allowed; b) No, they must be limited to physical methods; c) Only in final matches; d) Only if part of a tactic</t>
  </si>
  <si>
    <t>b) No, it should be limited to physical methods.</t>
  </si>
  <si>
    <t>Nubian wrestling is limited to physical techniques and the use of psychological methods to influence the opponent is not permitted.</t>
  </si>
  <si>
    <t>Is a wrestler permitted to change their clothes during a match?</t>
  </si>
  <si>
    <t>a) Yes, at any time; b) No, they must wear the same clothes; c) Only after the first round; d) If the clothes are uncomfortable</t>
  </si>
  <si>
    <t>b) No, he must wear the same clothes throughout the match.</t>
  </si>
  <si>
    <t>The wrestler must wear the appropriate clothing and cannot change it during the match.</t>
  </si>
  <si>
    <t>Are certain wrestling techniques only allowed during specific periods of a match?</t>
  </si>
  <si>
    <t>a) Yes, special techniques at certain stages; b) No, any techniques at any time; c) Special techniques only at the end; d) There are no special techniques</t>
  </si>
  <si>
    <t>b) No, any techniques can be used at any time.</t>
  </si>
  <si>
    <t>In Nubian wrestling, all recognized techniques are allowed to be used at any time during the match.</t>
  </si>
  <si>
    <t>What is the rule regarding the use of excessive force in Nubian wrestling?</t>
  </si>
  <si>
    <t>a) Always allowed; b) Never allowed; c) Only on the defensive; d) Only in important matches</t>
  </si>
  <si>
    <t>b) Excessive force shall not be used at any time.</t>
  </si>
  <si>
    <t>Nubian wrestling prohibits the use of excessive force to ensure the safety of wrestlers.</t>
  </si>
  <si>
    <t>What is the rule regarding the number of wrestlers in each match?</t>
  </si>
  <si>
    <t>a) Can be more than two wrestlers; b) Must be two wrestlers only; c) Determined by local laws; d) Team matches only in major tournaments</t>
  </si>
  <si>
    <t>b) The match must be between two wrestlers only.</t>
  </si>
  <si>
    <t>Nubian wrestling usually requires only two wrestlers in each match.</t>
  </si>
  <si>
    <t>Is a wrestler allowed to repeat the same moves throughout a match?</t>
  </si>
  <si>
    <t>a) Yes, they can repeat moves; b) No, they must change moves; c) Only if moves are effective; d) Only in defense</t>
  </si>
  <si>
    <t>b) No, he must change moves throughout the match.</t>
  </si>
  <si>
    <t>Nubian wrestling requires variety in moves and the repetition of the same move throughout the match is not allowed.</t>
  </si>
  <si>
    <t>Can a wrestler stop a match simply because they feel pain?</t>
  </si>
  <si>
    <t>a) Yes, they can stop; b) No, only in emergency situations; c) After consulting the referee; d) After each round</t>
  </si>
  <si>
    <t>b) No, he can only stop the match in emergency situations.</t>
  </si>
  <si>
    <t>A wrestler cannot stop a match unless there is a serious injury or emergency.</t>
  </si>
  <si>
    <t>Are wrestlers required to be medically examined before their matches?</t>
  </si>
  <si>
    <t>a) Yes, a medical examination is mandatory; b) No, there is no examination; c) Only in major tournaments; d) Only after the match</t>
  </si>
  <si>
    <t>a) Yes, the wrestler must undergo a medical examination.</t>
  </si>
  <si>
    <t>The wrestler must undergo a medical examination before the match to ensure his safety.</t>
  </si>
  <si>
    <t>Is it permissible for a wrestler to use violent moves against their opponent?</t>
  </si>
  <si>
    <t>a) Yes, at any time; b) No, only appropriate and safe moves; c) Only in defensive situations; d) Only in final matches</t>
  </si>
  <si>
    <t>b) No, only appropriate and safe movements should be used.</t>
  </si>
  <si>
    <t>Nubian wrestling prohibits the use of violent moves that might endanger the wrestler.</t>
  </si>
  <si>
    <t>Is a wrestler allowed to use tactical intelligence to win a match?</t>
  </si>
  <si>
    <t>a) Yes, tactical intelligence is allowed; b) No, must rely on physical strength only; c) Only in official matches; d) Only after the first rounds</t>
  </si>
  <si>
    <t>a) Yes, the use of tactical intelligence is allowed.</t>
  </si>
  <si>
    <t>Nubian wrestling requires wrestlers to use tactical intelligence as well as physical strength to achieve superiority.</t>
  </si>
  <si>
    <t>What is the primary rule for determining the winner in Nubian wrestling?</t>
  </si>
  <si>
    <t>a) The one who can completely subdue the opponent; b) The one who scores the most points; c) The one who defends best; d) The one who stays standing the longest</t>
  </si>
  <si>
    <t>a) The winner is the one who can completely subdue the opponent.</t>
  </si>
  <si>
    <t>In Nubian wrestling, the winner is determined based on the ability to completely subdue the opponent.</t>
  </si>
  <si>
    <t>Is a wrestler allowed to adjust their fighting style during a match?</t>
  </si>
  <si>
    <t>a) Yes, style modification is allowed; b) No, the same style must be used; c) Only in the final rounds; d) Only if facing a stronger opponent</t>
  </si>
  <si>
    <t>a) Yes, it is allowed to modify the style.</t>
  </si>
  <si>
    <t>Nubian wrestling allows the wrestler to adjust his strategy and style throughout the match.</t>
  </si>
  <si>
    <t>Does a wrestler have to follow a certain pre-defined style during a match?</t>
  </si>
  <si>
    <t>a) Yes, a specific style is mandatory; b) No, they can use any style that suits them; c) Must stick to a traditional style; d) Must not follow a specific style</t>
  </si>
  <si>
    <t>b) No, he can use any method that suits him.</t>
  </si>
  <si>
    <t>Nubian wrestling allows the wrestler to use techniques that suit him based on his strength and strategy.</t>
  </si>
  <si>
    <t>Is a wrestler allowed to use complex moves during a wrestling match?</t>
  </si>
  <si>
    <t>a) Yes, complex moves are allowed; b) No, moves must be simple; c) Only in final matches; d) Never allowed</t>
  </si>
  <si>
    <t>a) Yes, complex movements are allowed.</t>
  </si>
  <si>
    <t>Nubian wrestling requires wrestlers to use a variety of moves including complex ones to gain supremacy.</t>
  </si>
  <si>
    <t>What is the rule that determines how points are scored in Nubian wrestling?</t>
  </si>
  <si>
    <t>a) Points are based on control of the opponent; b) Points are based on powerful strikes; c) Points are based on defensive moves; d) Points are not scored</t>
  </si>
  <si>
    <t>a) Points are scored based on control over the opponent.</t>
  </si>
  <si>
    <t>Points in Nubian wrestling are scored based on a wrestler's ability to control his opponent.</t>
  </si>
  <si>
    <t>What is the rule governing a wrestler who exits the ring during a match?</t>
  </si>
  <si>
    <t>a) A wrestler may never leave; b) Only allowed while defending; c) Can leave for a short rest; d) Leaving the ring results in losing the match</t>
  </si>
  <si>
    <t>d) Leaving the ring results in losing the match.</t>
  </si>
  <si>
    <t>A wrestler who leaves the ring is considered a loser in Nubian wrestling.</t>
  </si>
  <si>
    <t>Is a wrestler allowed to rely solely on their physical strength to win?</t>
  </si>
  <si>
    <t>a) Yes, strength is the only factor; b) No, tactics must be used with strength; c) Yes, if they are an expert tactician; d) Strength is not important</t>
  </si>
  <si>
    <t>b) No, the tactic must be used with physical force.</t>
  </si>
  <si>
    <t>In Nubian wrestling, it is not enough to rely solely on physical strength, but it must be combined with tactics.</t>
  </si>
  <si>
    <t>Do the rules of Nubian wrestling differ between local and international tournaments?</t>
  </si>
  <si>
    <t>a) Yes, there are significant differences; b) No, the rules are the same; c) Local rules differ slightly; d) Only world rules are valid</t>
  </si>
  <si>
    <t>b) No, the rules are the same in all tournaments.</t>
  </si>
  <si>
    <t>The rules of Nubian wrestling do not differ between local and international championships.</t>
  </si>
  <si>
    <t>Is a wrestler allowed to use a completely defensive tactic throughout a match?</t>
  </si>
  <si>
    <t>a) Yes, defense is always allowed; b) No, defense must be balanced with offense; c) Only in the final rounds; d) Defense is prohibited</t>
  </si>
  <si>
    <t>b) No, the defense must be balanced with the attack.</t>
  </si>
  <si>
    <t>In Nubian wrestling, a wrestler must balance defense with offense to achieve success.</t>
  </si>
  <si>
    <t>Is a wrestler allowed to use prohibited techniques when under pressure?</t>
  </si>
  <si>
    <t>a) Yes, in pressure situations; b) No, rules must be followed even under pressure; c) Only if the referee requests it; d) Only in the final rounds</t>
  </si>
  <si>
    <t>b) No, the laws must be adhered to even in cases of pressure.</t>
  </si>
  <si>
    <t>A wrestler must adhere to the rules and avoid forbidden techniques even under pressure.</t>
  </si>
  <si>
    <t>Can a wrestler change their physical position and move freely during a match?</t>
  </si>
  <si>
    <t>a) Yes, they are allowed to move freely; b) No, they must stay in a designated place; c) Only after the rest period; d) Movement is allowed within limits</t>
  </si>
  <si>
    <t>a) Yes, he is allowed to move freely.</t>
  </si>
  <si>
    <t>The wrestler is allowed to move freely inside the ring during the match.</t>
  </si>
  <si>
    <t>Are wrestlers allowed to use any weapons other than sticks?</t>
  </si>
  <si>
    <t>a) Yes, other weapons are allowed; b) No, sticks are the only allowed tool; c) Only in private matches; d) Only in official matches</t>
  </si>
  <si>
    <t>b) No, sticks are the only tool allowed.</t>
  </si>
  <si>
    <t>Nubian wrestling relies solely on sticks as its primary fighting tool.</t>
  </si>
  <si>
    <t>Can a wrestler continue fighting if they are injured during a match?</t>
  </si>
  <si>
    <t>a) Yes, as long as they are able; b) No, they must stop immediately if in pain; c) If the injury is not serious; d) Must ask the referee's permission</t>
  </si>
  <si>
    <t>b) No, he should stop immediately if he feels pain.</t>
  </si>
  <si>
    <t>If a wrestler feels pain or injury, he must stop fighting for his own safety.</t>
  </si>
  <si>
    <t>Is it allowed for a wrestler to use lifting techniques in Nubian wrestling?</t>
  </si>
  <si>
    <t>a) Yes, lifting techniques are essential; b) No, lifting is prohibited; c) Only in the final rounds; d) Only against a larger opponent</t>
  </si>
  <si>
    <t>a) Yes, lifting techniques are allowed and considered essential.</t>
  </si>
  <si>
    <t>Lifting techniques are part of Nubian wrestling strategies and are considered basic skills.</t>
  </si>
  <si>
    <t>Is a wrestler in a Nubian match allowed to use ground-based fighting moves?</t>
  </si>
  <si>
    <t>a) Yes, ground moves are allowed; b) No, ground moves are prohibited; c) Only in the final rounds; d) Only in defense</t>
  </si>
  <si>
    <t>a) Yes, ground moves are allowed in Nubian wrestling.</t>
  </si>
  <si>
    <t>Ground moves are part of Nubian wrestling strategies and can be used legally.</t>
  </si>
  <si>
    <t>What is the rule regarding the timing of rounds in a Nubian wrestling match?</t>
  </si>
  <si>
    <t>a) There is no set time for a round; b) Each round is one minute; c) Rounds last three minutes; d) Rounds must be very short</t>
  </si>
  <si>
    <t>a) There is no specific time for the tour.</t>
  </si>
  <si>
    <t>Nubian wrestling does not set a specific time for each round, but rather depends on the progression of the match.</t>
  </si>
  <si>
    <t>Is a wrestler allowed to use strong striking techniques directly to an opponent's head?</t>
  </si>
  <si>
    <t>a) Yes, headbutting is always allowed; b) No, direct head strikes must be avoided; c) Only in defense; d) Only in special cases</t>
  </si>
  <si>
    <t>b) No, direct hits to the head should be avoided.</t>
  </si>
  <si>
    <t>Direct headbutts are prohibited in Nubian wrestling for the safety of the opponent.</t>
  </si>
  <si>
    <t>Is a wrestler allowed to attack using only their hands in Nubian wrestling?</t>
  </si>
  <si>
    <t>a) Yes, only hands must be used; b) No, both hands and sticks are allowed; c) Only hands in ground wrestling; d) Only sticks in the attack</t>
  </si>
  <si>
    <t>b) No, both hands and sticks are allowed.</t>
  </si>
  <si>
    <t>Nubian wrestling is characterised by a variety of attacks and can use hands and sticks in combination.</t>
  </si>
  <si>
    <t>Is a wrestler allowed to adjust their strategy after each round of a match?</t>
  </si>
  <si>
    <t>a) Yes, they can change strategy after each round; b) No, they must stick to one strategy; c) Modification allowed after the first round only; d) Only defensive modification is allowed</t>
  </si>
  <si>
    <t>a) Yes, he can change his strategy after each round.</t>
  </si>
  <si>
    <t>Nubian wrestling encourages constant adjustment of strategies to ensure success.</t>
  </si>
  <si>
    <t>Is a wrestler in a Nubian match allowed to focus only on offense without any defense?</t>
  </si>
  <si>
    <t>a) Yes, only attack can win; b) No, there must be a balance; c) Only in the final rounds; d) Only in case of complete defense</t>
  </si>
  <si>
    <t>b) No, there must be a balance between attack and defense.</t>
  </si>
  <si>
    <t>In Nubian wrestling, there must be a balance between offense and defense to achieve superiority.</t>
  </si>
  <si>
    <t>Can a wrestler use a stealth or surprise attack tactic during a match?</t>
  </si>
  <si>
    <t>a) Yes, stealth is a legal tactic; b) No, stealth is strictly prohibited; c) Allowed in a surprise attack; d) Only in the final rounds</t>
  </si>
  <si>
    <t>b) No, offside is strictly prohibited.</t>
  </si>
  <si>
    <t>Offside or surprise attacks are not allowed in Nubian wrestling, and fighting must be direct.</t>
  </si>
  <si>
    <t>What is the rule governing rematches in Nubian wrestling if a winner is not determined?</t>
  </si>
  <si>
    <t>a) A rematch is automatically played; b) A rematch is not allowed; c) Only in case of injuries; d) Only if there is a draw</t>
  </si>
  <si>
    <t>a) The match will be replayed automatically if no winner is determined.</t>
  </si>
  <si>
    <t>Nubian wrestling allows for a rematch if there is no winner.</t>
  </si>
  <si>
    <t>Is the winner of a Nubian wrestling match determined by the number of hits or moves only?</t>
  </si>
  <si>
    <t>a) Yes, by the number of strikes; b) No, by the ability to control the opponent; c) By the strength of the strike; d) By the type of moves used</t>
  </si>
  <si>
    <t>b) No, it depends on the ability to control the opponent.</t>
  </si>
  <si>
    <t>The winner in Nubian wrestling is determined based on the ability to control the opponent.</t>
  </si>
  <si>
    <t>Is a wrestler allowed to use sudden, unpredictable moves at any time during a match?</t>
  </si>
  <si>
    <t>a) Yes, sudden movements are allowed at any time; b) No, only in defense; c) Only in the final rounds; d) Sudden movements are prohibited</t>
  </si>
  <si>
    <t>a) Yes, sudden movements are allowed at any time.</t>
  </si>
  <si>
    <t>Nubian wrestling allows for the use of sudden moves at any time to gain superiority.</t>
  </si>
  <si>
    <t>How is a "fall" officially defined to determine a winner in Nubian wrestling?</t>
  </si>
  <si>
    <t>a) When a wrestler's knee touches the ground; b) When a wrestler's back touches the ground; c) When a wrestler is thrown out of the ring; d) When a wrestler verbally submits</t>
  </si>
  <si>
    <t>b) When a wrestler's back touches the ground</t>
  </si>
  <si>
    <t>Victory by fall is achieved only when a wrestler forces their opponent's back to make contact with the ground, signifying complete control.</t>
  </si>
  <si>
    <t>What is the official penalty for a wrestler who is caught intentionally grabbing their opponent's clothing?</t>
  </si>
  <si>
    <t>a) The match is immediately stopped; b) A formal warning is issued for the first offense; c) The wrestler loses the match; d) There is no penalty for this</t>
  </si>
  <si>
    <t>b) A formal warning is issued for the first offense</t>
  </si>
  <si>
    <t>Grabbing clothing is an illegal tactic. A wrestler will be warned on the first instance, with subsequent violations leading to point deductions or disqualification.</t>
  </si>
  <si>
    <t>Are there specific rules about the material and thickness of the wrestling stick?</t>
  </si>
  <si>
    <t>a) Any wooden stick is allowed; b) It must be made of flexible bamboo; c) There are specific rules on length and material; d) The sticks must be padded</t>
  </si>
  <si>
    <t>c) There are specific rules on length and material</t>
  </si>
  <si>
    <t>To ensure fairness and safety, the wrestling stick must conform to official regulations regarding its length, thickness, and the type of wood used.</t>
  </si>
  <si>
    <t>If both wrestlers fall out of the ring simultaneously while engaged, what is the referee's decision?</t>
  </si>
  <si>
    <t>a) The last wrestler to touch inside the ring wins; b) The match is declared a draw; c) The match is restarted from the center; d) Both wrestlers are disqualified</t>
  </si>
  <si>
    <t>c) The match is restarted from the center</t>
  </si>
  <si>
    <t>When an action takes both competitors out of bounds without a clear winner, the referee will stop the action and restart the match in the center of the ring.</t>
  </si>
  <si>
    <t>What is the rule regarding the traditional pre-match dance or display?</t>
  </si>
  <si>
    <t>a) It is optional for the wrestlers; b) It is a mandatory part of the opening ceremony; c) It is only performed in championship finals; d) Only the defending champion performs it</t>
  </si>
  <si>
    <t>b) It is a mandatory part of the opening ceremony</t>
  </si>
  <si>
    <t>The pre-match ritualistic dance is an integral part of the cultural tradition, serving as a display of readiness and respect.</t>
  </si>
  <si>
    <t>Are choking techniques or submission holds that restrict breathing permitted in Nubian wrestling?</t>
  </si>
  <si>
    <t>a) Yes, they are a key part of the sport; b) No, all chokeholds are strictly illegal; c) Only if applied for less than 5 seconds; d) Only in advanced competitions</t>
  </si>
  <si>
    <t>b) No, all chokeholds are strictly illegal</t>
  </si>
  <si>
    <t>For the safety of the competitors, any technique that restricts an opponent's ability to breathe is a major foul.</t>
  </si>
  <si>
    <t>If a wrestler is bleeding, what is the mandatory procedure?</t>
  </si>
  <si>
    <t>a) The wrestler can choose to continue; b) The match is paused for medical attention; c) The match is forfeited by the bleeding wrestler; d) The wrestler is given a towel and continues</t>
  </si>
  <si>
    <t>b) The match is paused for medical attention</t>
  </si>
  <si>
    <t>The referee must stop the match to allow medical staff to control the bleeding and assess the injury before deciding if the wrestler can continue.</t>
  </si>
  <si>
    <t>What is the official ruling if a wrestler's stick breaks during the match?</t>
  </si>
  <si>
    <t>a) The wrestler must continue without a stick; b) The wrestler automatically loses the round; c) The referee pauses the match to provide a replacement; d) The wrestler can take their opponent's stick</t>
  </si>
  <si>
    <t>c) The referee pauses the match to provide a replacement</t>
  </si>
  <si>
    <t>The match is temporarily halted to ensure both competitors are properly equipped, and a standardized replacement stick is provided.</t>
  </si>
  <si>
    <t>Is a wrestler allowed to apply joint locks to fingers or toes?</t>
  </si>
  <si>
    <t>a) Yes, all joint locks are permitted; b) No, small-joint manipulation is illegal; c) Only to the thumb; d) Only if the opponent is on the ground</t>
  </si>
  <si>
    <t>b) No, small-joint manipulation is illegal</t>
  </si>
  <si>
    <t>To prevent serious and lasting injury, applying pressure to small joints like fingers and toes is a prohibited technique.</t>
  </si>
  <si>
    <t>What happens if a wrestler is found to have applied a slippery substance (like oil) to their body before a match?</t>
  </si>
  <si>
    <t>a) A warning is issued; b) The wrestler must wash it off; c) The wrestler is immediately disqualified; d) The opponent is allowed to do the same</t>
  </si>
  <si>
    <t>c) The wrestler is immediately disqualified</t>
  </si>
  <si>
    <t>Using foreign substances to gain an unfair advantage by making it difficult to be gripped is considered cheating.</t>
  </si>
  <si>
    <t>What is the official term for the designated wrestling area or ring?</t>
  </si>
  <si>
    <t>a) The Circle; b) The Mat; c) The Halba; d) The Arena</t>
  </si>
  <si>
    <t>c) The Halba</t>
  </si>
  <si>
    <t>In the context of Sudanese and Nubian wrestling, the traditional ring is often referred to as the 'Halba'.</t>
  </si>
  <si>
    <t>Is it a requirement for wrestlers to touch hands or sticks before the start of each round?</t>
  </si>
  <si>
    <t>a) No, it is not required; b) Yes, it is a mandatory sign of respect; c) Only in the first round; d) Only if the referee requests it</t>
  </si>
  <si>
    <t>b) Yes, it is a mandatory sign of respect</t>
  </si>
  <si>
    <t>A ritualistic touch or salute is required before engagement to signify sportsmanship and mutual respect.</t>
  </si>
  <si>
    <t>If a wrestler wins a point but then taunts their opponent disrespectfully, what action can the referee take?</t>
  </si>
  <si>
    <t>a) No action is taken; b) The wrestler's point is nullified; c) The wrestler is given a formal warning for unsportsmanlike conduct; d) An extra point is given to the opponent</t>
  </si>
  <si>
    <t>c) The wrestler is given a formal warning for unsportsmanlike conduct</t>
  </si>
  <si>
    <t>While the scored point may stand, any act of disrespect is a separate offense that is penalized with a warning or point deduction.</t>
  </si>
  <si>
    <t>Are there specific rules about the type of footwear, if any, that is allowed?</t>
  </si>
  <si>
    <t>a) Wrestlers must be barefoot; b) Any type of athletic shoe is allowed; c) Only soft leather slippers are permitted; d) There are no rules on footwear</t>
  </si>
  <si>
    <t>a) Wrestlers must be barefoot</t>
  </si>
  <si>
    <t>Traditional Nubian wrestling is practiced barefoot to maintain a connection with the ground and for safety reasons.</t>
  </si>
  <si>
    <t>What is the procedure if a wrestler accidentally strikes the referee with their stick?</t>
  </si>
  <si>
    <t>a) The wrestler is immediately disqualified; b) The match continues as it was an accident; c) The match is paused, and a warning is issued; d) A point is deducted from the wrestler</t>
  </si>
  <si>
    <t>c) The match is paused, and a warning is issued</t>
  </si>
  <si>
    <t>Even if accidental, making contact with an official is a serious foul that requires a stoppage and a formal warning.</t>
  </si>
  <si>
    <t>Is it legal to use the opponent's own stick against them if they are disarmed?</t>
  </si>
  <si>
    <t>a) Yes, it is a clever tactic; b) No, a wrestler can only use their own stick; c) Only if the opponent has been thrown to the ground; d) Only for a single strike</t>
  </si>
  <si>
    <t>b) No, a wrestler can only use their own stick</t>
  </si>
  <si>
    <t>A wrestler cannot use their opponent's weapon. If disarmed, they must focus on defense until the match is paused or they can recover their stick.</t>
  </si>
  <si>
    <t>What is the ruling if a wrestler is clearly more passive and avoids engagement for a prolonged period?</t>
  </si>
  <si>
    <t>a) This is a valid defensive strategy; b) The referee will issue a warning for passivity; c) The wrestler automatically loses the match; d) The audience decides if it's passive</t>
  </si>
  <si>
    <t>b) The referee will issue a warning for passivity</t>
  </si>
  <si>
    <t>A wrestler must actively participate in the match. Consistently refusing to engage will result in a formal caution for passivity.</t>
  </si>
  <si>
    <t>Are there rules about the minimum or maximum weight of the wrestlers?</t>
  </si>
  <si>
    <t>a) Yes, there are strict weight classes; b) No, wrestlers of any weight can compete against each other; c) Only in championship tournaments; d) Only for wrestlers under 18</t>
  </si>
  <si>
    <t>b) No, wrestlers of any weight can compete against each other</t>
  </si>
  <si>
    <t>Traditional Nubian wrestling does not use modern weight classes, making it a test of skill against potentially larger opponents.</t>
  </si>
  <si>
    <t>What happens if a wrestler's coach or corner-man shouts instructions during the match?</t>
  </si>
  <si>
    <t>a) This is not allowed; b) This is a standard and permitted practice; c) Only one-word commands are allowed; d) Only if the wrestler is in a defensive position</t>
  </si>
  <si>
    <t>b) This is a standard and permitted practice</t>
  </si>
  <si>
    <t>Coaches are allowed to provide tactical instructions from their designated area during the match.</t>
  </si>
  <si>
    <t>How is the winner determined if a match ends due to a double injury where neither wrestler can continue?</t>
  </si>
  <si>
    <t>a) The wrestler with more points at the time wins; b) The match is declared a draw or no-contest; c) The wrestler who was less injured wins; d) The coaches decide the winner</t>
  </si>
  <si>
    <t>b) The match is declared a draw or no-contest</t>
  </si>
  <si>
    <t>If a match cannot be completed due to a simultaneous and accidental injury to both competitors, it is typically ruled a no-contest.</t>
  </si>
  <si>
    <t>Is it permissible to strike an opponent who is on the ground?</t>
  </si>
  <si>
    <t>a) Yes, ground strikes are allowed; b) No, a wrestler on the ground cannot be struck; c) Only with an open hand; d) Only to the body, not the head</t>
  </si>
  <si>
    <t>b) No, a wrestler on the ground cannot be struck</t>
  </si>
  <si>
    <t>Once a wrestler's back is on the ground, the fight is typically over. Striking a downed opponent is a major foul.</t>
  </si>
  <si>
    <t>What is the rule regarding hair pulling or grabbing?</t>
  </si>
  <si>
    <t>a) It is a legal tactic to gain control; b) It is strictly forbidden; c) Only if the hair is long; d) Only in self-defense</t>
  </si>
  <si>
    <t>b) It is strictly forbidden</t>
  </si>
  <si>
    <t>Hair pulling is considered an unsportsmanlike and illegal foul.</t>
  </si>
  <si>
    <t>If a wrestler believes the referee made a wrong call, what is the correct procedure?</t>
  </si>
  <si>
    <t>a) They should stop the fight and argue; b) They can appeal through their coach after the match; c) They can ask the audience for their opinion; d) The referee's decision is always final and cannot be appealed</t>
  </si>
  <si>
    <t>b) They can appeal through their coach after the match</t>
  </si>
  <si>
    <t>A formal protest must be lodged through the proper channels after the match is concluded, not during the fight.</t>
  </si>
  <si>
    <t>Are there specific rules about the starting positions or stances for the wrestlers at the beginning of a round?</t>
  </si>
  <si>
    <t>a) No, they can start however they want; b) Yes, they must start in a neutral, facing stance; c) One wrestler must start in a crouched position; d) The older wrestler chooses the starting stance</t>
  </si>
  <si>
    <t>b) Yes, they must start in a neutral, facing stance</t>
  </si>
  <si>
    <t>To ensure a fair start, wrestlers are required to begin in a standardized neutral position as instructed by the referee.</t>
  </si>
  <si>
    <t>What is the penalty for a wrestler who feigns an injury to stop the match?</t>
  </si>
  <si>
    <t>a) A warning; b) Disqualification for unsportsmanlike conduct; c) A point deduction; d) The match is restarted</t>
  </si>
  <si>
    <t>b) Disqualification for unsportsmanlike conduct</t>
  </si>
  <si>
    <t>Feigning an injury is a serious act of cheating and disrespect that can result in being disqualified from the competition.</t>
  </si>
  <si>
    <t>Is it legal to trip an opponent using your leg?</t>
  </si>
  <si>
    <t>a) Yes, tripping is a fundamental technique; b) No, all leg trips are illegal; c) Only if the stick is not being used; d) Only against a charging opponent</t>
  </si>
  <si>
    <t>a) Yes, tripping is a fundamental technique</t>
  </si>
  <si>
    <t>Leg sweeps and trips are a key part of the grappling and takedown aspect of Nubian wrestling.</t>
  </si>
  <si>
    <t>What is the rule if a wrestler is found to be wearing jewelry (e.g., a ring or necklace) during a match?</t>
  </si>
  <si>
    <t>a) The match is paused, and they must remove it; b) They are allowed to wear it; c) They must cover it with tape; d) It results in immediate disqualification</t>
  </si>
  <si>
    <t>a) The match is paused, and they must remove it</t>
  </si>
  <si>
    <t>For the safety of both competitors, all jewelry must be removed before a match can begin or continue.</t>
  </si>
  <si>
    <t>Can a match be decided by a "technical fall" if one wrestler is overwhelmingly dominant?</t>
  </si>
  <si>
    <t>a) No, the match must continue; b) Yes, if there is a large point disparity; c) Only in youth competitions; d) The referee can decide to stop the fight</t>
  </si>
  <si>
    <t>d) The referee can decide to stop the fight</t>
  </si>
  <si>
    <t>If one wrestler is completely outmatched and is at risk of injury, the referee has the authority to stop the contest to protect them.</t>
  </si>
  <si>
    <t>What is the consequence if a wrestler's coach interferes physically in the match?</t>
  </si>
  <si>
    <t>a) The coach is warned; b) The wrestler is immediately disqualified; c) A point is deducted; d) The coach is ejected, but the match continues</t>
  </si>
  <si>
    <t>b) The wrestler is immediately disqualified</t>
  </si>
  <si>
    <t>Physical interference from a coach or any team member results in the immediate disqualification of their wrestler.</t>
  </si>
  <si>
    <t>Are there rules about the age difference between two competitors in a single match?</t>
  </si>
  <si>
    <t>a) No, any age can fight any age; b) Yes, they must be within the same age bracket; c) A maximum of a 5-year age gap is allowed; d) Only for wrestlers under 18</t>
  </si>
  <si>
    <t>b) Yes, they must be within the same age bracket</t>
  </si>
  <si>
    <t>Competitions are typically divided into age categories (e.g., junior, senior) to ensure fair and safe matchups.</t>
  </si>
  <si>
    <t>What is the official decision if a wrestler lands a winning throw just as the final signal sounds?</t>
  </si>
  <si>
    <t>a) The throw does not count; b) The throw is valid, and the wrestler wins; c) An extra round is played; d) It depends on the referee's discretion</t>
  </si>
  <si>
    <t>b) The throw is valid, and the wrestler wins</t>
  </si>
  <si>
    <t>A technique that is successfully executed before or at the exact moment of the signal to end the round is considered valid.</t>
  </si>
  <si>
    <t>Is it legal for a wrestler to intentionally disarm their opponent by striking their stick?</t>
  </si>
  <si>
    <t>a) Yes, this is a key tactic; b) No, striking the stick is a foul; c) Only if the opponent's hand is not hit; d) Only in the final round</t>
  </si>
  <si>
    <t>a) Yes, this is a key tactic</t>
  </si>
  <si>
    <t>Disarming an opponent by skillfully striking their weapon is a legitimate and highly regarded technique.</t>
  </si>
  <si>
    <t>What happens if a wrestler is found to have a prohibited substance in their system from a doping test?</t>
  </si>
  <si>
    <t>a) They are given a warning; b) They are disqualified and face suspension; c) They forfeit their prize money but are not suspended; d) The result of the match is unchanged</t>
  </si>
  <si>
    <t>b) They are disqualified and face suspension</t>
  </si>
  <si>
    <t>Doping is a serious offense that results in disqualification from the event and a ban from future competitions.</t>
  </si>
  <si>
    <t>Can a wrestling match be held on a hard surface like concrete or stone?</t>
  </si>
  <si>
    <t>a) Yes, if both wrestlers agree; b) No, a soft surface like sand or grass is mandatory; c) Only for demonstration purposes; d) Only if the wrestlers wear shoes</t>
  </si>
  <si>
    <t>b) No, a soft surface like sand or grass is mandatory</t>
  </si>
  <si>
    <t>Safety regulations require a yielding surface to minimize the risk of injury from throws and falls.</t>
  </si>
  <si>
    <t>What is the rule if a wrestler continues to fight after their opponent has clearly signaled submission or surrender?</t>
  </si>
  <si>
    <t>a) It is allowed to ensure victory; b) It is a major foul leading to disqualification; c) A point is deducted; d) The referee issues a warning</t>
  </si>
  <si>
    <t>b) It is a major foul leading to disqualification</t>
  </si>
  <si>
    <t>Continuing to attack after an opponent has submitted is a serious breach of sportsmanship and safety.</t>
  </si>
  <si>
    <t>Is it required for wrestlers to have a specific type of haircut or be clean-shaven?</t>
  </si>
  <si>
    <t>a) Yes, for uniformity; b) No, there are no rules on appearance; c) Only in international competitions; d) Hair must be tied back if it is long</t>
  </si>
  <si>
    <t>d) Hair must be tied back if it is long</t>
  </si>
  <si>
    <t>For safety, long hair that could be grabbed or obstruct vision must be secured, but there are no other specific grooming rules.</t>
  </si>
  <si>
    <t>What is the official procedure if a wild animal (like a dog) enters the wrestling ring?</t>
  </si>
  <si>
    <t>a) The match continues around the animal; b) The match is immediately paused until the animal is removed; c) The wrestlers are responsible for scaring it away; d) The match is cancelled</t>
  </si>
  <si>
    <t>b) The match is immediately paused until the animal is removed</t>
  </si>
  <si>
    <t>Any external interference, especially one that poses a safety risk, requires the referee to stop the match.</t>
  </si>
  <si>
    <t>Is a wrestler allowed to have their stick blessed by a spiritual leader before a match?</t>
  </si>
  <si>
    <t>a) No, this is considered an unfair advantage; b) Yes, this is a respected cultural practice; c) Only in ceremonial matches; d) Only if the opponent does the same</t>
  </si>
  <si>
    <t>b) Yes, this is a respected cultural practice</t>
  </si>
  <si>
    <t>Cultural and religious rituals are an integral part of the tradition and are permitted as long as they do not violate any safety rules.</t>
  </si>
  <si>
    <t>What is the penalty for a wrestler who repeatedly and deliberately strikes an illegal area after being warned?</t>
  </si>
  <si>
    <t>a) A point deduction; b) A final warning; c) Disqualification; d) The opponent is awarded a free throw</t>
  </si>
  <si>
    <t>c) Disqualification</t>
  </si>
  <si>
    <t>After being warned, repeated intentional fouls demonstrate a disregard for the rules and will result in disqualification.</t>
  </si>
  <si>
    <t>Can a wrestling match take place with only one judge or referee?</t>
  </si>
  <si>
    <t>a) Yes, in small local matches; b) No, a minimum of three officials is required; c) Only if both wrestlers agree; d) Only in the case of a tie</t>
  </si>
  <si>
    <t>b) No, a minimum of three officials is required</t>
  </si>
  <si>
    <t>To ensure accurate scoring and rule enforcement, a panel of officials (typically a central referee and two judges) is required.</t>
  </si>
  <si>
    <t>Is it legal to throw sand or dirt into an opponent's face during a match?</t>
  </si>
  <si>
    <t>a) Yes, if the match is held on sand; b) No, this is a major foul; c) Only as a defensive move; d) Only if the opponent does it first</t>
  </si>
  <si>
    <t>b) No, this is a major foul</t>
  </si>
  <si>
    <t>Intentionally throwing any substance into an opponent's eyes is a dangerous and unsportsmanlike act that is strictly prohibited.</t>
  </si>
  <si>
    <t>What is the rule regarding the "passivity zone," or the edge of the wrestling area?</t>
  </si>
  <si>
    <t>a) There is no special zone; b) A wrestler pushed into this zone is given a warning; c) A wrestler can rest in this zone; d) All throws must occur in this zone</t>
  </si>
  <si>
    <t>b) A wrestler pushed into this zone is given a warning</t>
  </si>
  <si>
    <t>To encourage active engagement in the center, a wrestler who is consistently forced to the edge of the ring may receive a passivity warning.</t>
  </si>
  <si>
    <t>If a wrestler is disqualified, who is declared the winner?</t>
  </si>
  <si>
    <t>a) The opponent is automatically the winner; b) The match is declared a no-contest; c) The disqualified wrestler can still get second place; d) A new opponent is brought in</t>
  </si>
  <si>
    <t>a) The opponent is automatically the winner</t>
  </si>
  <si>
    <t>A disqualification results in an immediate loss for the offending wrestler and a win for their opponent.</t>
  </si>
  <si>
    <t>Are wrestlers allowed to wear any kind of body protection, such as a mouthguard or groin protector?</t>
  </si>
  <si>
    <t>a) No, no protection is allowed; b) Yes, but it must be approved by officials; c) Only in youth competitions; d) Only if a doctor recommends it</t>
  </si>
  <si>
    <t>b) Yes, but it must be approved by officials</t>
  </si>
  <si>
    <t>Basic safety equipment that does not alter performance or pose a danger to the opponent is generally permitted.</t>
  </si>
  <si>
    <t>What is the official outcome if it is discovered that two wrestlers deliberately arranged the result of their match beforehand?</t>
  </si>
  <si>
    <t>a) The result stands; b) Both wrestlers are banned from the sport; c) The match is re-played with new wrestlers; d) The prize money is donated to charity</t>
  </si>
  <si>
    <t>b) Both wrestlers are banned from the sport</t>
  </si>
  <si>
    <t>Match-fixing is the most serious offense against the sport's integrity and results in severe, long-term bans for all involved.</t>
  </si>
  <si>
    <t>Can a wrestler be penalized for using their stick to push an opponent instead of striking?</t>
  </si>
  <si>
    <t>a) No, pushing is allowed; b) Yes, this is an illegal use of the stick; c) Only if it is to the face; d) Only if it causes the opponent to fall</t>
  </si>
  <si>
    <t>b) Yes, this is an illegal use of the stick</t>
  </si>
  <si>
    <t>The stick is intended for specific striking and blocking techniques; using it to simply push is a foul.</t>
  </si>
  <si>
    <t>What is the role of the traditional music played during a wrestling match?</t>
  </si>
  <si>
    <t>a) It is just for entertainment; b) It sets the rhythm and pace of the fight; c) It signals the end of the round; d) It is used to distract the wrestlers</t>
  </si>
  <si>
    <t>b) It sets the rhythm and pace of the fight</t>
  </si>
  <si>
    <t>The music is an integral part of the event, with the tempo often rising and falling with the action in the ring.</t>
  </si>
  <si>
    <t>If a wrestler is thrown but manages to land on their feet, how is the action scored?</t>
  </si>
  <si>
    <t>a) A point is still awarded to the thrower; b) No points are scored; c) A partial point is awarded for the attempt; d) The wrestler who landed on their feet gets a point for defense</t>
  </si>
  <si>
    <t>b) No points are scored</t>
  </si>
  <si>
    <t>A throw is only scored if the opponent is taken down to their back or side; a successful defensive recovery negates the score.</t>
  </si>
  <si>
    <t>Are there rules about the weight of the wrestling stick?</t>
  </si>
  <si>
    <t>a) No, any weight is allowed; b) Yes, the stick must be within a specific weight range; c) The stick must be as light as possible; d) The wrestlers must use sticks of equal weight</t>
  </si>
  <si>
    <t>d) The wrestlers must use sticks of equal weight</t>
  </si>
  <si>
    <t>To ensure fairness, the sticks provided for a match must be identical or very close in weight and size.</t>
  </si>
  <si>
    <t>What is the highest honor or title a Nubian wrestling champion can achieve?</t>
  </si>
  <si>
    <t>a) The "Golden Stick"; b) The title of "Master of the Halba"; c) A cash prize only; d) The "Chief's Belt"</t>
  </si>
  <si>
    <t>b) The title of "Master of the Halba"</t>
  </si>
  <si>
    <t>Winning a major championship confers great honor and the prestigious title of "Master of the Halba" (the wrestling ground).</t>
  </si>
  <si>
    <t>What is the official procedure if a referee is found to be biased or not enforcing the rules fairly?</t>
  </si>
  <si>
    <t>a) Wrestlers can refuse to fight; b) A senior official or judge can replace the referee; c) The matches are declared void; d) The referee is warned after the event</t>
  </si>
  <si>
    <t>b) A senior official or judge can replace the referee</t>
  </si>
  <si>
    <t>If there is clear evidence of incompetence or bias, a higher-ranking official has the authority to intervene and change the referee.</t>
  </si>
  <si>
    <t>Are there specific rules about a wrestler's diet in the days leading up to a competition?</t>
  </si>
  <si>
    <t>a) No, diet is a personal choice; b) Yes, wrestlers must follow a federation-approved diet; c) They are only forbidden from consuming alcohol; d) They must fast the day before</t>
  </si>
  <si>
    <t>c) They are only forbidden from consuming alcohol</t>
  </si>
  <si>
    <t>While specific diets are not mandated, consuming alcohol or other intoxicants before competing is strictly prohibited.</t>
  </si>
  <si>
    <t>If a wrestler accidentally injures their opponent, what is the required gesture of sportsmanship?</t>
  </si>
  <si>
    <t>a) To immediately check on the opponent's well-being; b) To celebrate the point; c) To ignore the opponent and wait for the restart; d) To apologize to the opponent's coach</t>
  </si>
  <si>
    <t>a) To immediately check on the opponent's well-being</t>
  </si>
  <si>
    <t>A key tenet of Nubian wrestling is respect; a wrestler is expected to show concern for an opponent they have accidentally injured.</t>
  </si>
  <si>
    <t>What is the penalty for a wrestler who refuses to perform the traditional pre-match salute?</t>
  </si>
  <si>
    <t>a) No penalty; b) A formal warning for disrespect; c) A point is deducted before the match starts; d) Disqualification</t>
  </si>
  <si>
    <t>b) A formal warning for disrespect</t>
  </si>
  <si>
    <t>The pre-match rituals are a mandatory part of the tradition, and refusing to participate is a punishable offense.</t>
  </si>
  <si>
    <t>Is it legal to strike an opponent on the hands to make them drop their stick?</t>
  </si>
  <si>
    <t>a) Yes, it is a valid disarming technique; b) No, strikes to the hands are forbidden; c) Only with an open-hand slap; d) Only if the opponent is attacking</t>
  </si>
  <si>
    <t>a) Yes, it is a valid disarming technique</t>
  </si>
  <si>
    <t>Striking the hands or forearm is a legitimate way to disarm an opponent, as long as it is not done with excessive force.</t>
  </si>
  <si>
    <t>What is the rule if a wrestler's traditional attire (like a loincloth) comes loose during a match?</t>
  </si>
  <si>
    <t>a) The match continues; b) The referee must pause the match to allow for readjustment; c) The wrestler is disqualified; d) A point is awarded to the opponent</t>
  </si>
  <si>
    <t>b) The referee must pause the match to allow for readjustment</t>
  </si>
  <si>
    <t>The referee will temporarily halt the contest to allow a wrestler to fix their attire to maintain decorum and prevent entanglement.</t>
  </si>
  <si>
    <t>Are there any rules against a wrestler being coached by a family member?</t>
  </si>
  <si>
    <t>a) Yes, coaches must be certified and non-family; b) No, coaching by family is common and permitted; c) Only if the family member is a former champion; d) Only in local, informal matches</t>
  </si>
  <si>
    <t>b) No, coaching by family is common and permitted</t>
  </si>
  <si>
    <t>There are no restrictions against being trained or coached by a relative, and it is a common aspect of the sport's tradition.</t>
  </si>
  <si>
    <t>If a championship match ends in a draw after an extra round, how is the winner decided?</t>
  </si>
  <si>
    <t>a) A coin toss; b) The defending champion retains the title; c) A decision by a panel of judges based on aggression and skill; d) A second rematch is scheduled</t>
  </si>
  <si>
    <t>c) A decision by a panel of judges based on aggression and skill</t>
  </si>
  <si>
    <t>If there is no decisive fall, the winner is determined by a judges' decision based on who demonstrated superior technique and control.</t>
  </si>
  <si>
    <t>What is the procedure if a wrestler wants to challenge the legality of their opponent's stick?</t>
  </si>
  <si>
    <t>a) They can challenge it at any time; b) They must make the challenge before the match begins; c) They cannot challenge the equipment; d) Only after the first point is scored</t>
  </si>
  <si>
    <t>b) They must make the challenge before the match begins</t>
  </si>
  <si>
    <t>Any concerns about an opponent's equipment must be raised with the officials during the pre-match inspection.</t>
  </si>
  <si>
    <t>Is it permissible for a wrestler to have sponsors' logos on their attire?</t>
  </si>
  <si>
    <t>a) No, attire must be traditional and plain; b) Yes, with approval from the event organizers; c) Only for international competitors; d) Only if the sponsor is a local business</t>
  </si>
  <si>
    <t>b) Yes, with approval from the event organizers</t>
  </si>
  <si>
    <t>Modern competitions often allow for sponsorships, but the logos must meet regulations regarding size and placement.</t>
  </si>
  <si>
    <t>What is the rule if a wrestler is found to be significantly underweight for their age category?</t>
  </si>
  <si>
    <t>a) They are allowed to compete; b) They may be moved to a younger age category; c) They are not allowed to compete for health and safety reasons; d) They must compete against heavier opponents</t>
  </si>
  <si>
    <t>c) They are not allowed to compete for health and safety reasons</t>
  </si>
  <si>
    <t>A wrestler who is severely underweight may be deemed medically unfit to safely compete.</t>
  </si>
  <si>
    <t>Can a wrestler be penalized for a "victory celebration" that is deemed overly provocative or insulting?</t>
  </si>
  <si>
    <t>a) No, celebrations are not regulated; b) Yes, with a warning or point deduction for unsportsmanlike conduct; c) Only if the opponent complains; d) Only if it delays the next round</t>
  </si>
  <si>
    <t>b) Yes, with a warning or point deduction for unsportsmanlike conduct</t>
  </si>
  <si>
    <t>Excessive or insulting celebrations violate the sport's code of respect and are subject to penalties.</t>
  </si>
  <si>
    <t>What is the official's signal to stop the action in the ring?</t>
  </si>
  <si>
    <t>a) A loud shout; b) A single, sharp whistle blast; c) Waving a flag; d) Ringing a bell</t>
  </si>
  <si>
    <t>b) A single, sharp whistle blast</t>
  </si>
  <si>
    <t>The referee uses a whistle to command the attention of the wrestlers and signal an immediate stop to the contest.</t>
  </si>
  <si>
    <t>Are there any rules governing the pre-match diet of the wrestlers?</t>
  </si>
  <si>
    <t>a) No, it is a personal matter; b) Yes, they must declare what they ate; c) They are only prohibited from using stimulants like caffeine; d) They are required to eat a specific traditional meal</t>
  </si>
  <si>
    <t>a) No, it is a personal matter</t>
  </si>
  <si>
    <t>Aside from the ban on doping and alcohol, a wrestler's diet is not regulated by the competition rules.</t>
  </si>
  <si>
    <t>If a wrestler is thrown out of the ring but lands on their feet, what is the ruling?</t>
  </si>
  <si>
    <t>a) The wrestler loses the match for leaving the ring; b) The wrestler is allowed to re-enter; c) The wrestler loses a point but the match continues; d) The round is a draw</t>
  </si>
  <si>
    <t>a) The wrestler loses the match for leaving the ring</t>
  </si>
  <si>
    <t>The rule is absolute: any competitor who is forced out of or voluntarily leaves the designated wrestling area loses the match.</t>
  </si>
  <si>
    <t>What is the penalty for a wrestler who refuses a post-match drug test?</t>
  </si>
  <si>
    <t>a) A warning for the first offense; b) It is treated as a positive test, leading to disqualification and suspension; c) A fine is imposed; d) They forfeit only their prize money</t>
  </si>
  <si>
    <t>b) It is treated as a positive test, leading to disqualification and suspension</t>
  </si>
  <si>
    <t>Refusing to provide a sample for a doping test is an admission of guilt and carries the same severe penalties.</t>
  </si>
  <si>
    <t>Is it legal to use the wrestling stick to hook an opponent's leg for a trip?</t>
  </si>
  <si>
    <t>a) Yes, this is a common technique; b) No, the stick cannot be used to hook limbs; c) Only on the upper leg; d) Only if the opponent is stationary</t>
  </si>
  <si>
    <t>b) No, the stick cannot be used to hook limbs</t>
  </si>
  <si>
    <t>Using the stick to hook, pull, or trip an opponent is an illegal tactic; the stick is for striking and blocking only.</t>
  </si>
  <si>
    <t>What happens if a wrestler's coach is ejected for misconduct?</t>
  </si>
  <si>
    <t>a) The wrestler can continue with a new coach; b) The wrestler must continue without a coach; c) The wrestler is also disqualified; d) The coach is fined but can return later</t>
  </si>
  <si>
    <t>b) The wrestler must continue without a coach</t>
  </si>
  <si>
    <t>The wrestler is not penalized for their coach's actions but must complete the match without their guidance.</t>
  </si>
  <si>
    <t>Are there rules about the minimum amount of training a wrestler must have to enter a competition?</t>
  </si>
  <si>
    <t>a) No, anyone can enter; b) Yes, they must be registered with a recognized club; c) They must have at least one year of experience; d) They must pass a skills test</t>
  </si>
  <si>
    <t>b) Yes, they must be registered with a recognized club</t>
  </si>
  <si>
    <t>To ensure a minimum level of skill and safety, competitors are usually required to be members of an official training club or 'padepokan'.</t>
  </si>
  <si>
    <t>If a wrestler wins by an opponent's forfeit, how is this recorded?</t>
  </si>
  <si>
    <t>a) As a regular win; b) As a "win by walkover"; c) It is not recorded as an official win; d) As a "technical win"</t>
  </si>
  <si>
    <t>b) As a "win by walkover"</t>
  </si>
  <si>
    <t>A victory that occurs because the opponent failed to appear or was unable to compete is officially termed a walkover.</t>
  </si>
  <si>
    <t>What is the rule about using pressure points on an opponent?</t>
  </si>
  <si>
    <t>a) They are a key part of advanced technique; b) They are strictly forbidden; c) Only on the arms and legs; d) Only if no pain is caused</t>
  </si>
  <si>
    <t>b) They are strictly forbidden</t>
  </si>
  <si>
    <t>Attacking nerve centers or pressure points is considered a dangerous and illegal technique.</t>
  </si>
  <si>
    <t>If a referee makes an error that clearly affects the outcome of a round, can the round be re-played?</t>
  </si>
  <si>
    <t>a) No, the referee's decision is final; b) Yes, upon review by the head judge; c) Only if both wrestlers agree; d) Only in championship matches</t>
  </si>
  <si>
    <t>b) Yes, upon review by the head judge</t>
  </si>
  <si>
    <t>In cases of a clear and significant technical error by the referee, a senior official can order the round to be wrestled again.</t>
  </si>
  <si>
    <t>Is a wrestler allowed to continue competing if their protective gear (e.g., loincloth) is torn?</t>
  </si>
  <si>
    <t>a) Yes, they can continue; b) No, the match is paused to replace the gear; c) They must forfeit the match; d) They can continue but lose a point</t>
  </si>
  <si>
    <t>b) No, the match is paused to replace the gear</t>
  </si>
  <si>
    <t>If a wrestler's attire becomes damaged in a way that compromises safety or decorum, the referee will pause the fight for it to be fixed.</t>
  </si>
  <si>
    <t>What is the penalty for a wrestler who is found to have competed under a false name?</t>
  </si>
  <si>
    <t>a) A warning; b) A fine; c) Disqualification and suspension for fraud; d) The match result is nullified</t>
  </si>
  <si>
    <t>c) Disqualification and suspension for fraud</t>
  </si>
  <si>
    <t>Competing under a false identity is a serious act of fraud that results in severe penalties.</t>
  </si>
  <si>
    <t>Are there different sets of rules for youth competitions compared to adult competitions?</t>
  </si>
  <si>
    <t>a) No, the rules are identical; b) Yes, youth rules may have shorter rounds and more restrictions; c) Only the scoring is different; d) Only the arena size is different</t>
  </si>
  <si>
    <t>b) Yes, youth rules may have shorter rounds and more restrictions</t>
  </si>
  <si>
    <t>Competitions for younger wrestlers often have modified rules, such as shorter match times and a ban on more dangerous techniques, to ensure safety.</t>
  </si>
  <si>
    <t>What is the protocol if a spectator throws an object into the wrestling ring?</t>
  </si>
  <si>
    <t>a) The object is ignored; b) The match is paused, and the spectator is ejected; c) The wrestler closest to the object loses a point; d) The match is immediately cancelled</t>
  </si>
  <si>
    <t>b) The match is paused, and the spectator is ejected</t>
  </si>
  <si>
    <t>Throwing objects into the ring is a major safety violation that requires the match to be stopped and the offender to be removed from the venue.</t>
  </si>
  <si>
    <t>Is it legal for a wrestler to use their head to strike an opponent's body?</t>
  </si>
  <si>
    <t>a) Yes, headbutts to the body are allowed; b) No, all use of the head as a weapon is illegal; c) Only to the opponent's shoulder; d) Only if the opponent is on the ground</t>
  </si>
  <si>
    <t>a) Yes, headbutts to the body are allowed</t>
  </si>
  <si>
    <t>While strikes to the head are forbidden, using one's own head to strike the opponent's torso is a permitted, albeit risky, technique.</t>
  </si>
  <si>
    <t>If a wrestler is disqualified for a foul, do they still get to keep any points scored earlier in the match?</t>
  </si>
  <si>
    <t>a) Yes, the points remain on their record; b) No, all points are nullified; c) They keep half of their points; d) Only the points from previous rounds</t>
  </si>
  <si>
    <t>b) No, all points are nullified</t>
  </si>
  <si>
    <t>A disqualification means the wrestler loses the match entirely, and any points they had accumulated become void.</t>
  </si>
  <si>
    <t>Are there rules about the surface of the wrestling stick, such as requiring it to be smooth?</t>
  </si>
  <si>
    <t>a) No, any texture is allowed; b) Yes, the stick must be smooth and free of splinters; c) The stick can be wrapped in tape; d) Only ceremonial sticks have rules</t>
  </si>
  <si>
    <t>b) Yes, the stick must be smooth and free of splinters</t>
  </si>
  <si>
    <t>For safety, the wrestling stick must be well-maintained, smooth, and have no sharp edges or splinters that could cause injury.</t>
  </si>
  <si>
    <t>What happens if it is discovered that a wrestler's coach does not have a valid license?</t>
  </si>
  <si>
    <t>a) The coach is warned; b) The coach is ejected, and the wrestler may be disqualified; c) The coach can get a temporary license on the spot; d) There is no penalty</t>
  </si>
  <si>
    <t>b) The coach is ejected, and the wrestler may be disqualified</t>
  </si>
  <si>
    <t>All team officials, including coaches, must be properly accredited. Using an unlicensed coach can lead to the entire team's disqualification.</t>
  </si>
  <si>
    <t>Is a wrestler allowed to request a specific referee for their match?</t>
  </si>
  <si>
    <t>a) Yes, if they pay a fee; b) No, referees are assigned impartially; c) Only if both wrestlers agree on the referee; d) Only for a championship match</t>
  </si>
  <si>
    <t>b) No, referees are assigned impartially</t>
  </si>
  <si>
    <t>To ensure fairness, referees are appointed by the officials of the tournament, and competitors cannot choose their own.</t>
  </si>
  <si>
    <t>What is the rule if a wrestler is unable to continue due to a pre-existing medical condition that they did not disclose?</t>
  </si>
  <si>
    <t>a) The match is a draw; b) They forfeit the match; c) The match is re-scheduled; d) The opponent is declared the winner by default</t>
  </si>
  <si>
    <t>b) They forfeit the match</t>
  </si>
  <si>
    <t>A wrestler is responsible for being medically fit to compete. If they have to withdraw due to an undisclosed condition, they lose by forfeit.</t>
  </si>
  <si>
    <t>Can a wrestler be penalized for not showing enough "fighting spirit"?</t>
  </si>
  <si>
    <t>a) No, this is subjective; b) Yes, a referee can warn a wrestler for being too listless; c) Only if they are losing badly; d) Only if the crowd complains</t>
  </si>
  <si>
    <t>b) Yes, a referee can warn a wrestler for being too listless</t>
  </si>
  <si>
    <t>Similar to passivity, a wrestler who appears to not be trying can be warned for not contributing to a genuine contest.</t>
  </si>
  <si>
    <t>Is it legal to use the wrestling ring's boundaries or posts to gain leverage for a throw?</t>
  </si>
  <si>
    <t>a) Yes, it is a clever tactic; b) No, the boundaries cannot be used as a tool; c) Only the corner posts can be used; d) Only if it is done accidentally</t>
  </si>
  <si>
    <t>b) No, the boundaries cannot be used as a tool</t>
  </si>
  <si>
    <t>A wrestler must rely on their own body for leverage. Using any part of the ring structure is an illegal technique.</t>
  </si>
  <si>
    <t>What is the procedure if a translator is needed for an international wrestler?</t>
  </si>
  <si>
    <t>a) The coach acts as the translator; b) An official, neutral translator must be used; c) The wrestler must learn the local language; d) Hand signals are used instead</t>
  </si>
  <si>
    <t>b) An official, neutral translator must be used</t>
  </si>
  <si>
    <t>To ensure accurate and impartial communication, especially during disputes, official translators are required.</t>
  </si>
  <si>
    <t>Is a wrestler allowed to wear protective headgear during a match?</t>
  </si>
  <si>
    <t>a) Yes, it is mandatory; b) No, headgear is not permitted in traditional wrestling; c) Only if they have a prior head injury; d) Only for wrestlers under 16</t>
  </si>
  <si>
    <t>b) No, headgear is not permitted in traditional wrestling</t>
  </si>
  <si>
    <t>Traditional Nubian wrestling is practiced without modern protective gear like headguards.</t>
  </si>
  <si>
    <t>What happens if a wrestler is found to have a banned object (like a small stone) concealed in their hand wrappings?</t>
  </si>
  <si>
    <t>a) The object is removed, and a warning is given; b) The wrestler is immediately disqualified and faces a long suspension; c) A point is deducted; d) The match is re-started</t>
  </si>
  <si>
    <t>b) The wrestler is immediately disqualified and faces a long suspension</t>
  </si>
  <si>
    <t>Concealing a foreign object is a dangerous and fraudulent act with the intent to injure, and it is punished with the most severe penalties.</t>
  </si>
  <si>
    <t>Are there rules about the weight and balance of the wrestling sticks used?</t>
  </si>
  <si>
    <t>a) No, wrestlers can bring their own; b) Yes, the sticks must be standardized and provided by the organizer; c) The heavier wrestler gets a lighter stick; d) The sticks are chosen by a lottery</t>
  </si>
  <si>
    <t>b) Yes, the sticks must be standardized and provided by the organizer</t>
  </si>
  <si>
    <t>To ensure fairness, all competitors in a match must use official, standardized equipment.</t>
  </si>
  <si>
    <t>What is the ruling if a wrestler's victory is the direct result of a clear and obvious mistake by the referee?</t>
  </si>
  <si>
    <t>a) The result stands; b) The result can be overturned by a review committee; c) The match must be re-played; d) The prize money is split</t>
  </si>
  <si>
    <t>b) The result can be overturned by a review committee</t>
  </si>
  <si>
    <t>In exceptional cases of a blatant technical error by an official, a protest can lead to the result being changed upon review.</t>
  </si>
  <si>
    <t>Is a wrestler permitted to continue fighting if they lose a tooth?</t>
  </si>
  <si>
    <t>a) No, the match is stopped immediately; b) Yes, if the bleeding is controlled and they wish to continue; c) Only if they are wearing a mouthguard; d) Only in the final round</t>
  </si>
  <si>
    <t>b) Yes, if the bleeding is controlled and they wish to continue</t>
  </si>
  <si>
    <t>A lost tooth is not considered a serious enough injury to automatically stop the fight, provided the wrestler is medically cleared to proceed.</t>
  </si>
  <si>
    <t>What is the penalty for a team that is found to have spied on an opponent's private training sessions?</t>
  </si>
  <si>
    <t>a) There is no penalty; b) A warning for unsportsmanlike conduct; c) The team can be disqualified from the tournament; d) The other team is given the strategic details of the spies</t>
  </si>
  <si>
    <t>c) The team can be disqualified from the tournament</t>
  </si>
  <si>
    <t>Spying is a major breach of sporting ethics and can result in the entire team being removed from the competition.</t>
  </si>
  <si>
    <t>Can a wrestler be disqualified for refusing to follow a referee's instruction to break from a hold?</t>
  </si>
  <si>
    <t>a) No, they can hold as long as they want; b) Yes, after a verbal warning; c) Only if the hold is illegal; d) Only if their opponent complains</t>
  </si>
  <si>
    <t>b) Yes, after a verbal warning</t>
  </si>
  <si>
    <t>Refusing to obey a referee's command, such as "break," is an act of insubordination that can lead to disqualification.</t>
  </si>
  <si>
    <t>Is it required for the wrestling area to be blessed or have a traditional ceremony performed before the competition begins?</t>
  </si>
  <si>
    <t>a) No, this is not a rule; b) Yes, it is a mandatory cultural requirement; c) Only for national championships; d) Only if requested by the village elders</t>
  </si>
  <si>
    <t>b) Yes, it is a mandatory cultural requirement</t>
  </si>
  <si>
    <t>The event is not just a sport but a cultural tradition, and the ceremonial blessing of the 'Halba' is an essential and required part of the proceedings.</t>
  </si>
  <si>
    <t>What is the rule if a wrestler attacks an opponent's old, known injury?</t>
  </si>
  <si>
    <t>a) It is a clever but legal strategy; b) It is considered unsportsmanlike and can be penalized; c) It is only allowed if the injury is not bandaged; d) There is no rule against it</t>
  </si>
  <si>
    <t>b) It is considered unsportsmanlike and can be penalized</t>
  </si>
  <si>
    <t>While not always easy to prove, intentionally targeting a known injury is a violation of the sport's unwritten code of honor and can be penalized by the referee.</t>
  </si>
  <si>
    <t>Are there any regulations concerning the physical fitness of the referees?</t>
  </si>
  <si>
    <t>a) No, anyone can be a referee; b) Yes, referees must pass a fitness test; c) Only for international referees; d) They must be under a certain age</t>
  </si>
  <si>
    <t>b) Yes, referees must pass a fitness test</t>
  </si>
  <si>
    <t>To keep up with the action and maintain control of the match, referees are required to meet a certain standard of physical fitness.</t>
  </si>
  <si>
    <t>If a wrestler is thrown to the ground, what is the maximum amount of time they can stay on the ground before they must re-engage?</t>
  </si>
  <si>
    <t>a) There is no time limit; b) 5 seconds; c) 10 seconds; d) The referee will prompt them to get up immediately</t>
  </si>
  <si>
    <t>d) The referee will prompt them to get up immediately</t>
  </si>
  <si>
    <t>To keep the action flowing, a wrestler who is on the ground but not pinned must immediately work to get back to their feet or a standing grappling position.</t>
  </si>
  <si>
    <t>What is the penalty for a wrestler who uses insulting language towards their opponent?</t>
  </si>
  <si>
    <t>a) There is no penalty; b) A formal warning for disrespect; c) A point is deducted; d) Disqualification</t>
  </si>
  <si>
    <t>Verbal abuse violates the code of conduct and will be met with a warning, with further instances leading to a point deduction.</t>
  </si>
  <si>
    <t>Is it legal to use the stick to apply pressure to an opponent's neck or throat?</t>
  </si>
  <si>
    <t>a) Yes, if it forces a submission; b) No, this is a dangerous and illegal move; c) Only with the flat side of the stick; d) Only for a brief moment</t>
  </si>
  <si>
    <t>b) No, this is a dangerous and illegal move</t>
  </si>
  <si>
    <t>The neck and throat are protected areas, and using the stick to apply pressure there is a major foul.</t>
  </si>
  <si>
    <t>What is the rule if a wrestler has an asthma attack during a match?</t>
  </si>
  <si>
    <t>a) They must forfeit the match; b) They are allowed to use their inhaler and continue; c) The match is paused, and it is treated as an injury timeout; d) They are given a 5-minute recovery period</t>
  </si>
  <si>
    <t>c) The match is paused, and it is treated as an injury timeout</t>
  </si>
  <si>
    <t>A legitimate medical emergency like an asthma attack is handled as an injury, with the referee and medical staff determining if the wrestler can safely continue.</t>
  </si>
  <si>
    <t>If a champion wrestler retires, what is the rule for determining the new champion?</t>
  </si>
  <si>
    <t>a) The title remains vacant; b) A tournament is held among the top contenders; c) The runner-up from the last championship is promoted; d) The elders appoint a new champion</t>
  </si>
  <si>
    <t>b) A tournament is held among the top contenders</t>
  </si>
  <si>
    <t>When a title is vacated, a new champion is crowned by winning a championship tournament or a match between the two highest-ranked wrestlers.</t>
  </si>
  <si>
    <t>Question No.</t>
  </si>
  <si>
    <t>ما هي القواعد الأساسية التي يجب على المشاركين اتباعها في قتال العصا النوبية؟</t>
  </si>
  <si>
    <t>أ) الهجوم المستمر دون توقف؛ ب) الالتزام بالتحكيم وعدم تجاوز الحدود؛ ج) استخدام الأسلحة الأخرى إلى جانب العصا؛ د) القتال حتى الموت</t>
  </si>
  <si>
    <t>ب) الالتزام بالتحكيم وعدم تجاوز الحدود</t>
  </si>
  <si>
    <t>القتال بالعصا النوبية يعتمد على الالتزام بالقوانين وضوابط التحكيم لضمان سلامة المشاركين.</t>
  </si>
  <si>
    <t>كيف يتم تحديد الفائز في مبارزات القتال بالعصا النوبية؟</t>
  </si>
  <si>
    <t>أ) بناءً على من يضرب خصمه أولاً؛ ب) بناءً على من يتحمل أكثر الضربات؛ ج) بناءً على التقييم من قبل الحكام؛ د) بناءً على الجمهور</t>
  </si>
  <si>
    <t>ج) بناءً على التقييم من قبل الحكام</t>
  </si>
  <si>
    <t>يتم تحديد الفائز بناءً على تقييم الحكام لأداء المشارك، بما في ذلك التكتيك والدفاع والهجوم.</t>
  </si>
  <si>
    <t>هل يسمح باستخدام القوة المفرطة في قتال العصا النوبية؟</t>
  </si>
  <si>
    <t>أ) نعم، يجب استخدام أقصى قوة؛ ب) لا، يجب تجنب القوة المفرطة؛ ج) نعم، ولكن مع استثناءات؛ د) لا يهم مقدار القوة</t>
  </si>
  <si>
    <t>ب) لا، يجب تجنب القوة المفرطة</t>
  </si>
  <si>
    <t>القتال بالعصا النوبية يتطلب احترام حدود القوة المسموح بها لتجنب الإصابات.</t>
  </si>
  <si>
    <t>هل يمكن للمشارك في قتال العصا النوبية التراجع أثناء المباراة؟</t>
  </si>
  <si>
    <t>أ) لا، يجب الاستمرار في الهجوم فقط؛ ب) نعم، ولكن مع استراحة قصيرة؛ ج) نعم، ولكن يجب إعلان ذلك للحكام؛ د) لا، يجب التوقف فورًا</t>
  </si>
  <si>
    <t>ج) نعم، ولكن يجب إعلان ذلك للحكام</t>
  </si>
  <si>
    <t>في حال قرر المشارك التراجع، يجب إخطار الحكام بذلك لضمان نزاهة المباراة.</t>
  </si>
  <si>
    <t>هل يسمح باستخدام الأسلحة الأخرى بجانب العصا في قتال العصا النوبية؟</t>
  </si>
  <si>
    <t>أ) نعم، يمكن استخدام الأسلحة المساعدة؛ ب) لا، العصا فقط هي المسموحة؛ ج) نعم، ولكن بتصريح خاص؛ د) فقط في حالات الدفاع</t>
  </si>
  <si>
    <t>ب) لا، العصا فقط هي المسموحة</t>
  </si>
  <si>
    <t>قواعد قتال العصا النوبية تقتصر على استخدام العصا فقط، ويحظر استخدام أي أسلحة أخرى.</t>
  </si>
  <si>
    <t>هل يمكن للمتفرجين التدخل في المبارزات؟</t>
  </si>
  <si>
    <t>أ) نعم، يمكنهم التدخل لمساعدة المشارك؛ ب) لا، يجب عليهم الامتناع عن التدخل؛ ج) نعم، إذا كان هناك حكم آخر يوافق على ذلك؛ د) يمكنهم توجيه التعليمات فقط</t>
  </si>
  <si>
    <t>ب) لا، يجب عليهم الامتناع عن التدخل</t>
  </si>
  <si>
    <t>المتفرجون ليس لهم الحق في التدخل في المبارزات، وينبغي على الحكام اتخاذ القرارات اللازمة.</t>
  </si>
  <si>
    <t>هل يمكن استخدام العنف المفرط تجاه الخصم في قتال العصا النوبية؟</t>
  </si>
  <si>
    <t>أ) نعم، من أجل الفوز؛ ب) لا، يجب تجنب العنف المفرط؛ ج) نعم، ولكن بعد التنبيه؛ د) فقط إذا كانت المباراة قد انتهت</t>
  </si>
  <si>
    <t>ب) لا، يجب تجنب العنف المفرط</t>
  </si>
  <si>
    <t>القتال بالعصا النوبية يتطلب احترام الخصم وعدم استخدام العنف المفرط الذي يؤدي إلى إصابات.</t>
  </si>
  <si>
    <t>كيف يتم توزيع النقاط في مبارزات قتال العصا النوبية؟</t>
  </si>
  <si>
    <t>أ) بناءً على سرعة الضربات فقط؛ ب) بناءً على القوة والمهارة في الهجوم والدفاع؛ ج) بناءً على حجم الإصابة التي يتلقاها الخصم؛ د) بناءً على الحركات العشوائية فقط</t>
  </si>
  <si>
    <t>ب) بناءً على القوة والمهارة في الهجوم والدفاع</t>
  </si>
  <si>
    <t>النقاط تُمنح بناءً على الأداء العام في الهجوم والدفاع واحتساب التزام القواعد.</t>
  </si>
  <si>
    <t>هل يمكن للمشارك التوقف عن القتال بسبب إصابة؟</t>
  </si>
  <si>
    <t>أ) نعم، ولكن يجب أن يعلن ذلك للحكام؛ ب) لا، يجب أن يستمر في القتال؛ ج) نعم، ولكن فقط إذا كانت الإصابة خطيرة جدًا؛ د) لا، يجب أن يكمل المباراة حتى النهاية</t>
  </si>
  <si>
    <t>أ) نعم، ولكن يجب أن يعلن ذلك للحكام</t>
  </si>
  <si>
    <t>المشارك يمكنه التوقف في حال الإصابة، ولكن يجب أن يتم إبلاغ الحكام بذلك قبل اتخاذ القرار.</t>
  </si>
  <si>
    <t>هل يُسمح للمشاركين باستخدام الخدع أو الحركات الملتوية في قتال العصا النوبية؟</t>
  </si>
  <si>
    <t>أ) نعم، تعتبر جزءًا من التكتيك؛ ب) لا، يجب أن تكون الحركات ضمن حدود القواعد؛ ج) نعم، ولكن يجب أن تكون غير ضارة؛ د) لا، إلا في حالات الدفاع فقط</t>
  </si>
  <si>
    <t>ب) لا، يجب أن تكون الحركات ضمن حدود القواعد</t>
  </si>
  <si>
    <t>القتال بالعصا النوبية يجب أن يتم ضمن حدود القواعد المسموحة، ويُحظر استخدام الحركات غير الشريفة.</t>
  </si>
  <si>
    <t>هل يسمح بالحديث أو التحدث مع الخصم أثناء المباراة؟</t>
  </si>
  <si>
    <t>أ) نعم، يمكن التحدث بحرية؛ ب) لا، يجب أن تكون المباراة صامتة تمامًا؛ ج) نعم، ولكن فقط في حالات الدفاع؛ د) لا، إلا في حالة وجود حكم مشترك</t>
  </si>
  <si>
    <t>ب) لا، يجب أن تكون المباراة صامتة تمامًا</t>
  </si>
  <si>
    <t>المبارزات يجب أن تتم في صمت تام والتركيز على الأداء القتالي دون تشتت.</t>
  </si>
  <si>
    <t>كيف يتم تحديد الجولات في قتال العصا النوبية؟</t>
  </si>
  <si>
    <t>أ) بناءً على عدد الضربات؛ ب) بناءً على المدة الزمنية؛ ج) بناءً على التقييم من قبل الحكام؛ د) بناءً على إرادة المشارك</t>
  </si>
  <si>
    <t>ب) بناءً على المدة الزمنية</t>
  </si>
  <si>
    <t>الجولات تُحدد بناءً على الوقت المحدد للمباراة وليس عدد الضربات.</t>
  </si>
  <si>
    <t>هل يُسمح باستخدام الضربات في أماكن معينة من الجسم؟</t>
  </si>
  <si>
    <t>أ) نعم، يسمح بالضرب في أي مكان بالجسم؛ ب) لا، هناك أماكن محظورة مثل الرأس والعينين؛ ج) نعم، ولكن فقط في الأرجل؛ د) لا، الضرب في أي مكان غير مسموح به</t>
  </si>
  <si>
    <t>ب) لا، هناك أماكن محظورة مثل الرأس والعينين</t>
  </si>
  <si>
    <t>القتال بالعصا يحظر الضرب في أماكن حساسة مثل الرأس والعينين لحماية سلامة المشاركين.</t>
  </si>
  <si>
    <t>هل يمكن للمشارك تغيير استراتيجيته أثناء المباراة؟</t>
  </si>
  <si>
    <t>أ) نعم، يمكنه تغيير الاستراتيجية في أي وقت؛ ب) لا، يجب أن يستمر بنفس الاستراتيجية طوال المباراة؛ ج) نعم، ولكن يجب إخبار الحكام أولاً؛ د) لا، إلا إذا كان لديه سبب مبرر</t>
  </si>
  <si>
    <t>أ) نعم، يمكنه تغيير الاستراتيجية في أي وقت</t>
  </si>
  <si>
    <t>المشاركون يمكنهم تغيير استراتيجياتهم بناءً على سير المباراة، وذلك للتكيف مع أسلوب الخصم.</t>
  </si>
  <si>
    <t>هل يسمح للمشارك بالتوقف والتشاور مع مدربه أثناء المباراة؟</t>
  </si>
  <si>
    <t>أ) نعم، ولكن فقط في فترات الراحة؛ ب) لا، يجب أن تكون المباراة مستقلة دون تدخل خارجي؛ ج) نعم، يمكن أن يستعين بالمدرب أثناء المباراة؛ د) لا، إلا إذا كانت هناك حالة طوارئ</t>
  </si>
  <si>
    <t>ب) لا، يجب أن تكون المباراة مستقلة دون تدخل خارجي</t>
  </si>
  <si>
    <t>المبارزات يجب أن تكون خالية من أي تدخل خارجي مثل التشاور مع المدرب.</t>
  </si>
  <si>
    <t>هل يسمح باستخدام أي نوع من العصي في قتال العصا النوبية؟</t>
  </si>
  <si>
    <t>أ) نعم، يمكن استخدام أي نوع من العصي؛ ب) لا، يجب أن تكون العصي وفقًا للمعايير المحددة؛ ج) نعم، ولكن يمكن تعديل العصى خلال المباراة؛ د) لا، فقط العصي المصنوعة محليًا تُقبل</t>
  </si>
  <si>
    <t>ب) لا، يجب أن تكون العصي وفقًا للمعايير المحددة</t>
  </si>
  <si>
    <t>العصي المستخدمة يجب أن تتوافق مع المعايير المحددة في القواعد لضمان التوازن في المباريات.</t>
  </si>
  <si>
    <t>هل يُسمح باستخدام العصي التي تحتوي على أطراف حادة؟</t>
  </si>
  <si>
    <t>أ) نعم، يمكن استخدام العصي الحادة في بعض الأحيان؛ ب) لا، العصي يجب أن تكون آمنة وخالية من الأطراف الحادة؛ ج) نعم، ولكن يجب أن تكون الأطراف الحادة غير مؤذية؛ د) لا، إلا في مباريات خاصة</t>
  </si>
  <si>
    <t>ب) لا، العصي يجب أن تكون آمنة وخالية من الأطراف الحادة</t>
  </si>
  <si>
    <t>استخدام العصي الحادة غير مسموح به لأن ذلك قد يؤدي إلى إصابات خطيرة.</t>
  </si>
  <si>
    <t>هل يمكن للمشارك التحرك خارج الحلبة أثناء المباراة؟</t>
  </si>
  <si>
    <t>أ) نعم، يمكن التحرك خارج الحلبة؛ ب) لا، يجب أن يظل داخل الحلبة طوال المباراة؛ ج) نعم، ولكن مع تحديد مسافة معينة؛ د) لا، إلا في حالة الطوارئ</t>
  </si>
  <si>
    <t>ب) لا، يجب أن يظل داخل الحلبة طوال المباراة</t>
  </si>
  <si>
    <t>يجب أن يبقى المشارك داخل الحلبة أثناء المباراة لتجنب أي تداخل مع المباراة.</t>
  </si>
  <si>
    <t>هل يُسمح باستخدام الحركات الرقصية في قتال العصا النوبية؟</t>
  </si>
  <si>
    <t>أ) نعم، يمكن دمج الحركات الرقصية مع القتال؛ ب) لا، يجب أن تقتصر الحركات على القتال فقط؛ ج) نعم، ولكن يجب أن تكون الحركات عشوائية؛ د) لا، إلا في حالة الاستعراض</t>
  </si>
  <si>
    <t>ب) لا، يجب أن تقتصر الحركات على القتال فقط</t>
  </si>
  <si>
    <t>القتال بالعصا يركز على الحركات القتالية الجادة ولا يُسمح بإدخال الحركات الرقصية.</t>
  </si>
  <si>
    <t>هل يُسمح للمشارك بتغيير ملابسه أثناء المباراة؟</t>
  </si>
  <si>
    <t>أ) نعم، يمكنه تغيير ملابسه؛ ب) لا، يجب أن يلتزم بالملابس المحددة للمباراة؛ ج) نعم، ولكن فقط في حالة الطوارئ؛ د) لا، إلا بعد نهاية المباراة</t>
  </si>
  <si>
    <t>ب) لا، يجب أن يلتزم بالملابس المحددة للمباراة</t>
  </si>
  <si>
    <t>يجب على المشارك الالتزام بالملابس المحددة قبل المباراة لتجنب أي مشاكل تتعلق بالسلامة.</t>
  </si>
  <si>
    <t>هل يمكن استخدام عصا طويلة جدًا في القتال؟</t>
  </si>
  <si>
    <t>أ) نعم، يمكن استخدام عصا بأي طول؛ ب) لا، يجب أن تكون العصي ضمن طول محدد; ج) نعم، ولكن فقط للمشاركين ذوي الخبرة؛ د) لا، إلا في حالات استثنائية</t>
  </si>
  <si>
    <t>ب) لا، يجب أن تكون العصي ضمن طول محدد</t>
  </si>
  <si>
    <t>طول العصا يجب أن يكون مناسبًا للمباراة بحيث لا يكون طويلًا بشكل يزيد من صعوبة القتال أو يعرض المشاركين للخطر.</t>
  </si>
  <si>
    <t>هل يمكن للمشارك القتال ضد شخص أكبر منه في الحجم؟</t>
  </si>
  <si>
    <t>أ) نعم، من الأفضل للقتال ضد منافس أكبر؛ ب) لا، يجب أن يكون الحجم متساويًا بين المشاركين؛ ج) نعم، ولكن تحت إشراف الحكام؛ د) لا، يتم إلغاء المباراة في هذه الحالة</t>
  </si>
  <si>
    <t>ج) نعم، ولكن تحت إشراف الحكام</t>
  </si>
  <si>
    <t>القتال ضد منافس أكبر مسموح به ولكن يجب أن يكون تحت إشراف حكام لضمان سلامة الطرفين.</t>
  </si>
  <si>
    <t>هل يُسمح بالقتال ضد عدة خصوم في وقت واحد؟</t>
  </si>
  <si>
    <t>أ) نعم، يمكن القتال ضد أكثر من خصم؛ ب) لا، يجب أن يكون القتال فرديًا; ج) نعم، ولكن بعد الموافقة من الحكام؛ د) لا، إلا في الحالات الاستثنائية</t>
  </si>
  <si>
    <t>ب) لا، يجب أن يكون القتال فرديًا</t>
  </si>
  <si>
    <t>القتال بالعصا يتم بين شخصين فقط في وقت واحد، ولا يُسمح بالقتال ضد عدة خصوم.</t>
  </si>
  <si>
    <t>هل يُسمح بمشاركة سلاح واحد بين عدة مشاركين؟</t>
  </si>
  <si>
    <t>أ) نعم، يمكن تبادل السلاح بين المشاركين; ب) لا، يجب أن يكون لكل مشارك عصاه الخاصة؛ ج) نعم، ولكن بعد موافقة الحكام; د) لا، إلا في حالات الطوارئ</t>
  </si>
  <si>
    <t>ب) لا، يجب أن يكون لكل مشارك عصاه الخاصة</t>
  </si>
  <si>
    <t>في قتال العصا النوبية، يجب أن يكون لكل مشارك عصاه الخاصة لضمان العدالة في المباراة.</t>
  </si>
  <si>
    <t>هل يمكن للمشارك الذي يغادر الحلبة العودة للمباراة؟</t>
  </si>
  <si>
    <t>أ) نعم، يمكنه العودة بعد فترة قصيرة; ب) لا، لا يُسمح بالعودة للمباراة بعد مغادرة الحلبة; ج) نعم، ولكن بعد موافقة الحكام؛ د) لا، إلا في حالة الطوارئ</t>
  </si>
  <si>
    <t>ب) لا، لا يُسمح بالعودة للمباراة بعد مغادرة الحلبة</t>
  </si>
  <si>
    <t>في حال مغادرة الحلبة، يُعتبر المشارك خاسرًا ولا يمكنه العودة للمباراة.</t>
  </si>
  <si>
    <t>هل يمكن للمشارك أن يتنقل بسرعة كبيرة خلال المباراة؟</t>
  </si>
  <si>
    <t>أ) نعم، يجب التنقل بسرعة لتجنب الهجمات؛ ب) لا، يجب أن يتم التنقل بوتيرة معتدلة؛ ج) نعم، ولكن يجب أن يكون التنقل محدودًا؛ د) لا، يُسمح بالتنقل بشكل عشوائي</t>
  </si>
  <si>
    <t>ب) لا، يجب أن يتم التنقل بوتيرة معتدلة</t>
  </si>
  <si>
    <t>التنقل بسرعة مفرطة قد يؤدي إلى فقدان التوازن، ولذلك يُفضل التنقل بوتيرة معتدلة.</t>
  </si>
  <si>
    <t>هل يجب أن يرتدي المشاركون معدات حماية أثناء المبارزات؟</t>
  </si>
  <si>
    <t>أ) نعم، يجب أن يرتدي المشاركون معدات حماية؛ ب) لا، يُسمح بالمبارزات بدون حماية; ج) نعم، ولكن فقط للأشخاص الجدد; د) لا، إلا في حالة الإصابات</t>
  </si>
  <si>
    <t>أ) نعم، يجب أن يرتدي المشاركون معدات حماية</t>
  </si>
  <si>
    <t>القتال بالعصا النوبية يتطلب ارتداء معدات حماية مثل الخوذ والقفازات لحماية المشاركين من الإصابات.</t>
  </si>
  <si>
    <t>هل يُسمح للمشارك باستخدام تقنيات رمي العصا ضد الخصم؟</t>
  </si>
  <si>
    <t>أ) نعم، يمكن استخدام تقنيات الرمي بحرية؛ ب) لا، يجب أن تكون العصا موجهة فقط للهجوم أو الدفاع؛ ج) نعم، ولكن يجب أن يتم تحت إشراف الحكام؛ د) لا، إلا في حالات استثنائية</t>
  </si>
  <si>
    <t>ب) لا، يجب أن تكون العصا موجهة فقط للهجوم أو الدفاع</t>
  </si>
  <si>
    <t>استخدام تقنيات رمي العصا غير مسموح بها في قتال العصا النوبية، يجب أن تظل العصا في يد المشارك لضمان الأمان.</t>
  </si>
  <si>
    <t>هل يُسمح باستخدام العصا لرفع التحدي ضد الخصم؟</t>
  </si>
  <si>
    <t>أ) نعم، يمكن رفع التحدي باستخدام العصا؛ ب) لا، يجب تجنب أي استفزازات؛ ج) نعم، ولكن مع تحديد الوقت؛ د) لا، إلا إذا كانت مباراة استعراضية</t>
  </si>
  <si>
    <t>ب) لا، يجب تجنب أي استفزازات</t>
  </si>
  <si>
    <t>رفع التحدي باستخدام العصا غير مسموح به، ويجب أن تكون المبارزات محترمة ومبنية على القواعد.</t>
  </si>
  <si>
    <t>هل يُسمح باستخدام العصا في هجوم مفاجئ غير مبرر؟</t>
  </si>
  <si>
    <t>أ) نعم، يمكن الهجوم المفاجئ؛ ب) لا، الهجوم يجب أن يكون مبررًا وفي سياق اللعب؛ ج) نعم، ولكن بعد تحذير؛ د) لا، الهجوم المفاجئ يعد خرقًا</t>
  </si>
  <si>
    <t>ب) لا، الهجوم يجب أن يكون مبررًا وفي سياق اللعب</t>
  </si>
  <si>
    <t>الهجوم المفاجئ غير مبرر ويعد خرقًا للقواعد، ويجب أن يتم في سياق المبارزة فقط.</t>
  </si>
  <si>
    <t>هل يُسمح باستخدام تقنيات حركية متقدمة في قتال العصا النوبية؟</t>
  </si>
  <si>
    <t>أ) نعم، يمكن استخدام التقنيات المتقدمة بحرية؛ ب) لا، يجب استخدام الحركات الأساسية فقط؛ ج) نعم، ولكن يجب تدريب المشارك على هذه التقنيات أولاً؛ د) لا، يجب الالتزام بالحركات البسيطة فقط</t>
  </si>
  <si>
    <t>ج) نعم، ولكن يجب تدريب المشارك على هذه التقنيات أولاً</t>
  </si>
  <si>
    <t>التقنيات الحركية المتقدمة يمكن استخدامها ولكن يجب أن يكون المشارك قد تدرب عليها بشكل جيد.</t>
  </si>
  <si>
    <t>هل يسمح للمشارك بالقتال ضد خصم أكبر منه في السن؟</t>
  </si>
  <si>
    <t>أ) نعم، لا توجد مشكلة في ذلك؛ ب) لا، يجب أن يكون العمر متساويًا بين المشاركين؛ ج) نعم، ولكن تحت إشراف الحكام؛ د) لا، يتم إلغاء المباراة في هذه الحالة</t>
  </si>
  <si>
    <t>القتال ضد شخص أكبر سنًا ممكن لكن يجب أن يتم تحت إشراف الحكام لضمان العدالة.</t>
  </si>
  <si>
    <t>هل يمكن للمشارك استخدام عصا ذات وزن غير متناسب في قتال العصا النوبية؟</t>
  </si>
  <si>
    <t>أ) نعم، يمكن استخدام عصا بأي وزن؛ ب) لا، يجب أن تكون العصا بوزن معين وفقًا للقواعد؛ ج) نعم، ولكن فقط للمشاركين ذوي الخبرة؛ د) لا، فقط العصا الخفيفة مسموح بها</t>
  </si>
  <si>
    <t>ب) لا، يجب أن تكون العصا بوزن معين وفقًا للقواعد</t>
  </si>
  <si>
    <t>القتال يتطلب أن تكون العصا بوزن مناسب بحيث لا تعطي ميزة غير عادلة لأحد المشاركين.</t>
  </si>
  <si>
    <t>هل يُسمح للمشارك بتغيير طريقة قبضة العصا خلال المباراة؟</t>
  </si>
  <si>
    <t>أ) نعم، يمكنه تغيير القبضة في أي وقت؛ ب) لا، يجب أن تظل القبضة ثابتة طوال المباراة؛ ج) نعم، ولكن فقط بين الجولات؛ د) لا، يجب أن يتبع المشارك قبضة واحدة فقط</t>
  </si>
  <si>
    <t>أ) نعم، يمكنه تغيير القبضة في أي وقت</t>
  </si>
  <si>
    <t>التغيير في قبضة العصا يمكن أن يكون جزءًا من التكيف مع أسلوب الخصم خلال المباراة.</t>
  </si>
  <si>
    <t>هل يُسمح للمشارك بالتحرك بحرية خارج حدود الحلبة؟</t>
  </si>
  <si>
    <t>أ) نعم، يمكنه التحرك خارج الحلبة بحرية؛ ب) لا، يجب أن يظل داخل الحلبة طوال المباراة؛ ج) نعم، ولكن مع تحديد مسافة معينة؛ د) لا، إلا في حالات الطوارئ</t>
  </si>
  <si>
    <t>الحركة يجب أن تقتصر على داخل الحلبة فقط لضمان النزاهة وسلامة المبارز.</t>
  </si>
  <si>
    <t>هل يجوز للمشارك التحدث أثناء المباراة؟</t>
  </si>
  <si>
    <t>أ) نعم، يمكنه التحدث مع الخصم بحرية؛ ب) لا، يجب أن يبقى صامتًا؛ ج) نعم، لكن فقط لتوجيه الاستفسارات للحكام؛ د) لا، إلا إذا كان هناك ضرورة طارئة</t>
  </si>
  <si>
    <t>ب) لا، يجب أن يبقى صامتًا</t>
  </si>
  <si>
    <t>يجب أن تتم المبارزات في صمت تام لضمان التركيز الكامل على الأداء.</t>
  </si>
  <si>
    <t>هل يسمح باستخدام العصا لصد ضربات الخصم؟</t>
  </si>
  <si>
    <t>أ) نعم، يمكن استخدامها للدفاع فقط؛ ب) لا، يجب تجنب أي تصدي بالعصا؛ ج) نعم، ولكن مع الحذر لتجنب الإصابات؛ د) لا، يجب أن يكون الهجوم هو الأسلوب الأساسي</t>
  </si>
  <si>
    <t>أ) نعم، يمكن استخدامها للدفاع فقط</t>
  </si>
  <si>
    <t>العصا تُستخدم بشكل أساسي للدفاع ضد ضربات الخصم.</t>
  </si>
  <si>
    <t>هل يمكن للمشارك التراجع أو الهروب من المباراة إذا شعر بالإرهاق؟</t>
  </si>
  <si>
    <t>أ) نعم، يمكن التراجع بناءً على شعوره؛ ب) لا، يجب أن يكمل المباراة حتى النهاية؛ ج) نعم، لكن بعد موافقة الحكام؛ د) لا، إلا في حالة الإصابة الخطيرة</t>
  </si>
  <si>
    <t>ج) نعم، لكن بعد موافقة الحكام</t>
  </si>
  <si>
    <t>إذا شعر المشارك بالإرهاق، يمكنه التراجع بشرط أن يتم إشعار الحكام بذلك.</t>
  </si>
  <si>
    <t>هل يُسمح للمشارك باستخدام عصا ذات أطراف حادة؟</t>
  </si>
  <si>
    <t>أ) نعم، يمكن استخدام العصي الحادة في بعض الحالات؛ ب) لا، العصا يجب أن تكون ناعمة وآمنة؛ ج) نعم، ولكن يجب أن تكون الأطراف الحادة غير مؤذية؛ د) لا، يجب أن تكون العصا خالية من الحواف الحادة</t>
  </si>
  <si>
    <t>ب) لا، العصا يجب أن تكون ناعمة وآمنة</t>
  </si>
  <si>
    <t>العصي يجب أن تكون خالية من الأطراف الحادة لضمان سلامة جميع المشاركين.</t>
  </si>
  <si>
    <t>هل يُسمح للمشارك بتغيير الاستراتيجية أثناء المباراة؟</t>
  </si>
  <si>
    <t>أ) نعم، يمكنه تغيير الاستراتيجية في أي وقت؛ ب) لا، يجب أن يستمر بنفس الاستراتيجية طوال المباراة؛ ج) نعم، ولكن يجب إبلاغ الحكام أولاً؛ د) لا، يجب أن يكون التغيير مبررًا تمامًا</t>
  </si>
  <si>
    <t>يمكن للمشارك تعديل استراتيجيته بناءً على سير المباراة وخصائص أسلوب الخصم.</t>
  </si>
  <si>
    <t>هل يُسمح بإجراء استراحة قصيرة خلال المباراة؟</t>
  </si>
  <si>
    <t>أ) نعم، يمكن التوقف في أي وقت؛ ب) لا، يجب أن تستمر المباراة بشكل متواصل؛ ج) نعم، ولكن يجب أن تكون الاستراحة محددة الوقت؛ د) لا، إلا إذا كان هناك إصابة</t>
  </si>
  <si>
    <t>ج) نعم، ولكن يجب أن تكون الاستراحة محددة الوقت</t>
  </si>
  <si>
    <t>يمكن إعطاء استراحة قصيرة إذا لزم الأمر، ولكن يجب أن تكون ضمن إطار زمني محدد.</t>
  </si>
  <si>
    <t>هل يُسمح للمشارك باستخدام خدع أو تكتيك غير شريف في القتال؟</t>
  </si>
  <si>
    <t>أ) نعم، يمكن استخدام أي تكتيك لتحقيق الفوز؛ ب) لا، يجب أن يكون القتال شريفًا وفقًا للقواعد؛ ج) نعم، ولكن يجب أن تكون الخدع غير مؤذية؛ د) لا، إلا في حالات الدفاع فقط</t>
  </si>
  <si>
    <t>ب) لا، يجب أن يكون القتال شريفًا وفقًا للقواعد</t>
  </si>
  <si>
    <t>التكتيك يجب أن يكون ضمن حدود الأمان والعدالة، ويُحظر استخدام الخدع غير الشريفة.</t>
  </si>
  <si>
    <t>هل يمكن للمشارك استخدام عصا ثقيلة جدًا في القتال؟</t>
  </si>
  <si>
    <t>أ) نعم، يمكن استخدام عصا بأي وزن؛ ب) لا، يجب أن يكون وزن العصا ضمن الحدود المحددة؛ ج) نعم، ولكن يجب أن تكون العصي الثقيلة خفيفة عند الاستخدام؛ د) لا، يجب أن تكون العصا خفيفة دائمًا</t>
  </si>
  <si>
    <t>ب) لا، يجب أن يكون وزن العصا ضمن الحدود المحددة</t>
  </si>
  <si>
    <t>الوزن المناسب للعصا يساعد في الحفاظ على التوازن بين المشاركين.</t>
  </si>
  <si>
    <t>هل يمكن استخدام التقنيات الخاصة أو الحركات القتالية المتقدمة ضد الخصم؟</t>
  </si>
  <si>
    <t>أ) نعم، يمكن استخدام جميع التقنيات المتقدمة بحرية؛ ب) لا، يجب أن تقتصر الحركات على الأساسيات؛ ج) نعم، ولكن يجب أن تكون ضمن إطار القواعد المسموحة؛ د) لا، يجب أن يكون القتال بسيطًا</t>
  </si>
  <si>
    <t>ج) نعم، ولكن يجب أن تكون ضمن إطار القواعد المسموحة</t>
  </si>
  <si>
    <t>التقنيات المتقدمة مسموح بها بشرط أن تكون ضمن إطار القواعد التي تضمن سلامة المباراة.</t>
  </si>
  <si>
    <t>هل يجب أن يكون للمشارك شكل معين من التدريب قبل المشاركة في المبارزات؟</t>
  </si>
  <si>
    <t>أ) نعم، يجب أن يكون قد اجتاز تدريبًا خاصًا؛ ب) لا، يمكن لأي شخص المشاركة مباشرة؛ ج) نعم، ولكن يجب أن يكون التدريب على المدى الطويل؛ د) لا، التدريب ليس إلزاميًا</t>
  </si>
  <si>
    <t>أ) نعم، يجب أن يكون قد اجتاز تدريبًا خاصًا</t>
  </si>
  <si>
    <t>التدريب الخاص ضروري لضمان القدرة على القتال بشكل آمن وفعال.</t>
  </si>
  <si>
    <t>هل يمكن للمشارك ترك المباراة إذا شعر بإصابة غير خطيرة؟</t>
  </si>
  <si>
    <t>أ) نعم، يمكنه ترك المباراة فورًا؛ ب) لا، يجب أن يكمل المباراة حتى النهاية؛ ج) نعم، ولكن يجب إخطار الحكام بذلك أولاً؛ د) لا، إلا في حالة إصابة خطيرة جدًا</t>
  </si>
  <si>
    <t>ج) نعم، ولكن يجب إخطار الحكام بذلك أولاً</t>
  </si>
  <si>
    <t>إذا شعر المشارك بإصابة غير خطيرة، يجب عليه إخطار الحكام ليتمكن من اتخاذ القرار المناسب.</t>
  </si>
  <si>
    <t>هل يجوز للمشارك استخدام أي نوع من العصي؟</t>
  </si>
  <si>
    <t>أ) نعم، يمكن استخدام أي نوع؛ ب) لا، يجب أن تكون العصا مصنوعة من مادة معينة؛ ج) نعم، ولكن يجب أن تكون العصا آمنة للاستخدام؛ د) لا، يجب أن تكون العصي جميعها متطابقة</t>
  </si>
  <si>
    <t>ب) لا، يجب أن تكون العصا مصنوعة من مادة معينة</t>
  </si>
  <si>
    <t>العصي يجب أن تصنع من مواد مناسبة وآمنة بما يتماشى مع القواعد.</t>
  </si>
  <si>
    <t>هل يجوز للمشارك التوقف خلال المباراة لطلب مشورة من المدرب؟</t>
  </si>
  <si>
    <t>أ) نعم، يمكن التوقف في أي وقت لطلب المشورة؛ ب) لا، يجب أن تكون المباراة بدون تدخل خارجي؛ ج) نعم، ولكن فقط بين الجولات؛ د) لا، إلا في حالات الطوارئ</t>
  </si>
  <si>
    <t>ب) لا، يجب أن تكون المباراة بدون تدخل خارجي</t>
  </si>
  <si>
    <t>يجب أن يتم القتال بدون تدخل خارجي من المدرب أو أي شخص آخر.</t>
  </si>
  <si>
    <t>هل يسمح للمشارك باستخدام حركات دفاعية فقط في القتال؟</t>
  </si>
  <si>
    <t>أ) نعم، يمكن التركيز فقط على الدفاع؛ ب) لا، يجب أن يكون المشارك هجوميًا أيضًا؛ ج) نعم، ولكن يجب أن يوازن بين الهجوم والدفاع؛ د) لا، يجب أن يكون الهجوم هو الأسلوب الوحيد</t>
  </si>
  <si>
    <t>ج) نعم، ولكن يجب أن يوازن بين الهجوم والدفاع</t>
  </si>
  <si>
    <t>التوازن بين الهجوم والدفاع ضروري في قتال العصا النوبية لتحقيق النجاح.</t>
  </si>
  <si>
    <t>هل يمكن للمشارك استخدام حركات مربكة أو مشوشة في القتال؟</t>
  </si>
  <si>
    <t>أ) نعم، يمكن استخدام الحركات المربكة بحرية؛ ب) لا، يجب أن تكون الحركات منظمة وواضحة؛ ج) نعم، ولكن يجب أن تكون الحركات ضمن إطار القواعد؛ د) لا، يجب أن تكون الحركات دائمًا واضحة</t>
  </si>
  <si>
    <t>ب) لا، يجب أن تكون الحركات منظمة وواضحة</t>
  </si>
  <si>
    <t>الحركات يجب أن تكون واضحة ومنظمة لضمان نزاهة القتال.</t>
  </si>
  <si>
    <t>What is the basic rule regarding the style of fighting in Nubian wrestling?</t>
  </si>
  <si>
    <t>a) Continuous attack without stopping; b) Adherence to arbitration and not exceeding the limits; c) Use of weapons other than the stick; d) Fighting to the death</t>
  </si>
  <si>
    <t>What is the primary piece of equipment that participants are allowed to use in Nubian wrestling?</t>
  </si>
  <si>
    <t>Can a wrestler use any techniques they want in Nubian wrestling?</t>
  </si>
  <si>
    <t>a) Yes, any techniques are allowed; b) No, the wrestler must adhere to certain techniques; c) He can use certain techniques under coach supervision; d) The techniques must be traditional only</t>
  </si>
  <si>
    <t>Is audience interference allowed during a Nubian wrestling match?</t>
  </si>
  <si>
    <t>a) Yes, the audience can interfere; b) No, it must be done only under the supervision of the coach; c) Interference is allowed with some conditions; d) The audience is only allowed to signal</t>
  </si>
  <si>
    <t>What is the ruling on Nubian wrestling in the event of a tie?</t>
  </si>
  <si>
    <t>a) There is no referee in case of a tie; b) The winner is determined based on the most hits; c) An extra round is held; d) The matter is decided by the referee's opinion</t>
  </si>
  <si>
    <t>Can a wrestler withdraw from a match for any reason?</t>
  </si>
  <si>
    <t>a) Yes, he can withdraw at any time; b) No, he must complete the match; c) Withdrawal is only allowed in case of injury; d) Withdrawal is only allowed after three rounds</t>
  </si>
  <si>
    <t>What is the rule regarding the use of force in Nubian wrestling?</t>
  </si>
  <si>
    <t>a) Physical force is permitted at any time; b) Force must be used cautiously and tactically; c) The use of force is absolutely prohibited; d) The use of force is permitted only in an attack</t>
  </si>
  <si>
    <t>Is a wrestler allowed to use dangerous moves that could cause injury to an opponent?</t>
  </si>
  <si>
    <t>a) Yes, he can use any move; b) No, dangerous moves are prohibited; c) They are only allowed if they are part of a tactic; d) They are allowed with the supervision of a doctor</t>
  </si>
  <si>
    <t>Is it a requirement for a wrestler to be physically prepared before entering a match?</t>
  </si>
  <si>
    <t>a) No, there are no physical prerequisites; b) Yes, the wrestler must be in good physical condition; c) The wrestler must be in good mental condition only; d) The wrestler can enter without training</t>
  </si>
  <si>
    <t>a) Yes, if it is in his interest; b) No, the laws must be adhered to; c) Illegal methods may be used if they are not discovered; d) They are allowed if they are within the tactic</t>
  </si>
  <si>
    <t>a) Yes, there is a permanent referee in every match; b) No, the referee is not necessary; c) The referee is used only in major matches; d) The referee is only present in matches between different tribes</t>
  </si>
  <si>
    <t>What is the rule regarding the size of the area in which Nubian wrestling is played?</t>
  </si>
  <si>
    <t>a) It can be played in any open space; b) It must be played in a pre-defined space; c) It must be played in an enclosed area only; d) The space must be very large</t>
  </si>
  <si>
    <t>Is a wrestler allowed to change their strategy during a match?</t>
  </si>
  <si>
    <t>a) Yes, he can change his strategy at any time; b) No, he must stick to the same strategy throughout the match; c) He is allowed to change the strategy only after the first round; d) He is allowed to change it only in case of a loss</t>
  </si>
  <si>
    <t>a) Any defensive technique may be used; b) Defense must be effective and not exaggerated; c) Defense may not be used in Nubian wrestling; d) Defense is allowed only after an attack</t>
  </si>
  <si>
    <t>a) There are no rest periods; b) A wrestler can rest as needed; c) A short rest period is given in the middle of a match; d) Rest is only allowed if there is an injury</t>
  </si>
  <si>
    <t>a) Yes, psychological methods are allowed; b) No, they must be limited to physical methods; c) Psychological methods may only be used in final matches; d) Psychological methods are only allowed if they are part of a tactic</t>
  </si>
  <si>
    <t>Can a wrestler change their clothes during a match?</t>
  </si>
  <si>
    <t>a) Yes, he can change his clothes at any time; b) No, he must wear the same clothes throughout the match; c) Changing clothes is only allowed after the first round; d) Changing is allowed if the clothes are uncomfortable</t>
  </si>
  <si>
    <t>a) Yes, special techniques may be used at certain stages of the match; b) No, any techniques may be used at any time; c) Special techniques may only be used at the end of the match; d) There are no special techniques in Nubian wrestling</t>
  </si>
  <si>
    <t>a) Excessive force is always allowed; b) Excessive force is never allowed; c) Only allowed if the wrestler is on the defensive; d) Excessive force is only allowed in important matches</t>
  </si>
  <si>
    <t>a) A match can be between more than two wrestlers; b) A match must be between two wrestlers only; c) The number of wrestlers is determined according to local laws; d) A team match is only allowed in major tournaments</t>
  </si>
  <si>
    <t>a) Yes, he can repeat the same moves; b) No, he must change the moves throughout the match; c) He is allowed to repeat the moves only if they are effective; d) He is allowed to repeat the moves only in defense</t>
  </si>
  <si>
    <t>a) Yes, he can stop the match; b) No, he can only stop the match in emergency situations; c) He can stop the match after consulting the referee; d) He can stop the match after each round</t>
  </si>
  <si>
    <t>Are wrestlers in Sudan required to be medically examined before their matches?</t>
  </si>
  <si>
    <t>a) Yes, the wrestler must undergo a medical examination; b) No, there is no medical examination before the match; c) The medical examination is only done in major tournaments; d) The medical examination is only done after the match</t>
  </si>
  <si>
    <t>Is it permissible for a wrestler to use violent moves against their opponent in Nubian wrestling?</t>
  </si>
  <si>
    <t>a) Yes, violent moves are allowed at any time; b) No, only appropriate and safe moves must be used; c) He can use violent moves only in defensive situations; d) Violent moves are only allowed in final matches</t>
  </si>
  <si>
    <t>Is a wrestler in a Nubian match allowed to use tactical intelligence to win?</t>
  </si>
  <si>
    <t>a) Yes, the use of tactical intelligence is allowed; b) No, the wrestler must rely only on physical strength; c) Tactical intelligence is allowed only in official matches; d) Tactical intelligence is allowed only after the first rounds</t>
  </si>
  <si>
    <t>What is the primary rule for determining the winner in a Nubian wrestling match?</t>
  </si>
  <si>
    <t>a) The winner is the one who can completely subdue the opponent; b) The winner is the one who scores the most points; c) The winner is the one who defends best; d) The winner is the one who stays standing the longest</t>
  </si>
  <si>
    <t>Is a wrestler in a Nubian match allowed to adjust their fighting style during the contest?</t>
  </si>
  <si>
    <t>a) Yes, style modification is allowed; b) No, the same style must be adhered to throughout the match; c) Style modification is only allowed in the final rounds; d) Style modification is only allowed if facing a stronger opponent</t>
  </si>
  <si>
    <t>Is a wrestler in a Nubian match required to follow a certain pre-defined style during the contest?</t>
  </si>
  <si>
    <t>a) Yes, he must follow a specific style; b) No, he can use any style that suits him; c) He must stick to a traditional style only; d) He must not follow a specific style</t>
  </si>
  <si>
    <t>Is a wrestler in a Nubian match allowed to use complex moves while wrestling?</t>
  </si>
  <si>
    <t>a) Yes, complex moves are allowed; b) No, moves must be simple; c) Complex moves are only allowed in final matches; d) Complex moves are never allowed</t>
  </si>
  <si>
    <t>What is the rule that determines how points are scored in a Nubian wrestling match?</t>
  </si>
  <si>
    <t>a) Points are scored based on control of the opponent; b) Points are scored based on powerful strikes; c) Points are scored based on defensive moves; d) Points are not scored in Nubian wrestling</t>
  </si>
  <si>
    <t>What is the rule governing a wrestler who exits the ring during a Nubian wrestling match?</t>
  </si>
  <si>
    <t>a) A wrestler may never leave the ring; b) A wrestler is only allowed to leave while defending; c) A wrestler may leave for a short period of time to rest; d) Leaving the ring results in losing the match</t>
  </si>
  <si>
    <t>Is a wrestler in a Nubian match allowed to rely solely on their physical strength to win?</t>
  </si>
  <si>
    <t>a) Yes, physical strength is the only factor required to win; b) No, tactics must be used along with physical strength; c) Yes, but the wrestler must be an expert tactician as well; d) Physical strength is not important</t>
  </si>
  <si>
    <t>Do the rules of Nubian wrestling differ significantly between local and international tournaments?</t>
  </si>
  <si>
    <t>a) Yes, there are significant differences in the rules; b) No, the rules are the same in all tournaments; c) Yes, the local rules differ slightly from the world rules; d) Only the world rules are valid</t>
  </si>
  <si>
    <t>Is a wrestler in a Nubian match allowed to use a completely defensive tactic throughout the contest?</t>
  </si>
  <si>
    <t>a) Yes, defense is allowed throughout the match; b) No, defense must be balanced with offense; c) Defense is allowed only in the final rounds; d) Defense is prohibited in Nubian wrestling</t>
  </si>
  <si>
    <t>Is a wrestler in a Nubian match allowed to use prohibited techniques when under a lot of pressure?</t>
  </si>
  <si>
    <t>a) Yes, in pressure situations any techniques may be used; b) No, the rules must be followed even in pressure situations; c) A wrestler may use prohibited techniques if the referee requests it; d) Prohibited techniques are only allowed in the final rounds</t>
  </si>
  <si>
    <t>Can a wrestler in a Nubian match change their physical position and move freely during the contest?</t>
  </si>
  <si>
    <t>a) Yes, he is allowed to move freely; b) No, he must stay in his designated place; c) He is allowed to change only after the rest period; d) Movement is allowed but within certain limits</t>
  </si>
  <si>
    <t>Are wrestlers in a Nubian match allowed to use any weapons other than sticks?</t>
  </si>
  <si>
    <t>a) Yes, other weapons are allowed in Nubian wrestling; b) No, sticks are the only allowed tool; c) Weapons can only be used in private matches; d) Weapons are allowed in official matches only</t>
  </si>
  <si>
    <t>Can a wrestler in a Nubian match continue fighting if they are injured?</t>
  </si>
  <si>
    <t>a) Yes, he can continue as long as he is able to fight; b) No, he must stop immediately if he feels pain; c) He can continue if the injury is not serious; d) He must ask the referee's permission to continue</t>
  </si>
  <si>
    <t>Is it permitted for a wrestler to use lifting techniques in Nubian wrestling?</t>
  </si>
  <si>
    <t>a) Yes, lifting techniques are allowed and considered essential; b) No, lifting is prohibited in Nubian wrestling; c) Lifting is allowed in the final rounds only; d) Lifting is only allowed against a larger opponent</t>
  </si>
  <si>
    <t>Is a wrestler in a Nubian match allowed to use any ground-based fighting moves?</t>
  </si>
  <si>
    <t>a) Yes, ground moves are allowed in Nubian wrestling; b) No, ground moves are prohibited; c) Ground moves are allowed only in the final rounds; d) Ground moves are only allowed in defense</t>
  </si>
  <si>
    <t>a) There is no set time for the round; b) Each round must last one minute; c) Rounds last three minutes; d) Rounds must be very short</t>
  </si>
  <si>
    <t>Is a wrestler in a Nubian match allowed to use strong striking techniques directly to their opponent's head?</t>
  </si>
  <si>
    <t>a) Yes, headbutting is always allowed; b) No, direct headbutting must be avoided; c) Headbutting is only allowed in defense; d) Headbutting is only allowed in special cases</t>
  </si>
  <si>
    <t>Is a wrestler in a Nubian match allowed to attack using only their hands?</t>
  </si>
  <si>
    <t>a) Yes, you must attack using only your hands; b) No, both hands and sticks are allowed; c) Only hands are allowed in ground wrestling; d) Only sticks are allowed in the attack</t>
  </si>
  <si>
    <t>Is a wrestler in a Nubian match allowed to adjust their strategy after each round of the contest?</t>
  </si>
  <si>
    <t>a) Yes, he can change his strategy after each round; b) No, he must stick to the same strategy throughout the match; c) Modification is allowed after the first round only; d) Only modification of the defensive tactic is allowed</t>
  </si>
  <si>
    <t>Is a wrestler in a Nubian match allowed to focus only on offense without having any defense?</t>
  </si>
  <si>
    <t>a) Yes, only attack can win; b) No, there must be a balance between attack and defense; c) Attack is only allowed in the final rounds; d) Attack is only allowed in case of complete defense</t>
  </si>
  <si>
    <t>Can a wrestler in a Nubian match use a stealth or surprise attack tactic during the contest?</t>
  </si>
  <si>
    <t>a) Yes, offside is a legal tactic; b) No, offside is strictly prohibited; c) Offside is allowed in the event of a surprise attack; d) Offside is only allowed in the final rounds</t>
  </si>
  <si>
    <t>Offside is not allowed in Nubian wrestling, and fighting must be direct.</t>
  </si>
  <si>
    <t>What is the rule governing rematches in Nubian wrestling if a winner is not decided?</t>
  </si>
  <si>
    <t>a) A rematch is automatically played if the winner is not decided; b) A rematch is not allowed in any case; c) A rematch is only allowed in case of injuries; d) A rematch is allowed if there is a draw</t>
  </si>
  <si>
    <t>Is the winner of a Nubian wrestling match determined solely based on the number of hits or moves?</t>
  </si>
  <si>
    <t>a) Yes, the winner is determined by the number of strikes; b) No, it is determined by the ability to control the opponent; c) The winner is determined based on the strength of the strike; d) The winner is determined based on the type of moves used</t>
  </si>
  <si>
    <t>Is a wrestler in a Nubian match allowed to use sudden and unpredictable moves at any time?</t>
  </si>
  <si>
    <t>a) Yes, sudden movements are allowed at any time; b) No, movements must only be sudden in defense; c) Suddenly movements are allowed only in the final rounds; d) Suddenly movements are prohibited</t>
  </si>
  <si>
    <t>What is the minimum weight a jockey must carry in a horse race?</t>
  </si>
  <si>
    <t>a) 50 kg; b) 60 kg; c) 70 kg; d) 80 kg</t>
  </si>
  <si>
    <t>b) 60 kg</t>
  </si>
  <si>
    <t>The jockey must carry a weight of at least 60 kg according to horse racing laws.</t>
  </si>
  <si>
    <t>What is the maximum number of horses that can participate in one race?</t>
  </si>
  <si>
    <t>a) 6 horses; b) 8 horses; c) 10 horses; d) 12 horses</t>
  </si>
  <si>
    <t>b) 8 horses</t>
  </si>
  <si>
    <t>In most races, the number of horses entering is limited to a maximum of 8.</t>
  </si>
  <si>
    <t>What is the specific distance for the traditional race in Sudan?</t>
  </si>
  <si>
    <t>a) 1000 meters; b) 1200 meters; c) 1600 meters; d) 2000 meters</t>
  </si>
  <si>
    <t>b) 1200 meters</t>
  </si>
  <si>
    <t>The traditional race in Sudan is usually over a distance of 1200 metres.</t>
  </si>
  <si>
    <t>When does a jockey start steering during a race?</t>
  </si>
  <si>
    <t>a) Immediately after the start of the race; b) Halfway through; c) In the final moments; d) After the results have been announced</t>
  </si>
  <si>
    <t>a) Immediately after the start of the race</t>
  </si>
  <si>
    <t>The jockey begins steering immediately after the start of the race to get the most out of the horse.</t>
  </si>
  <si>
    <t>What is the maximum number of team substitutions allowed during a race?</t>
  </si>
  <si>
    <t>a) Only one substitution; b) No limit on substitutions; c) Two substitutions; d) Three substitutions</t>
  </si>
  <si>
    <t>a) Only one switch</t>
  </si>
  <si>
    <t>Only one team change is allowed during the race according to the rules.</t>
  </si>
  <si>
    <t>Is it permissible for a jockey to use a stick to hit a horse in a race?</t>
  </si>
  <si>
    <t>a) Yes, always; b) Yes, but within certain limits; c) Never; d) Only allowed in international races</t>
  </si>
  <si>
    <t>b) Yes, but within certain limits.</t>
  </si>
  <si>
    <t>The rider is allowed to use the stick in limited quantities and under certain conditions to direct the horse without harming it.</t>
  </si>
  <si>
    <t>What is the minimum age for a jockey to participate in the race?</t>
  </si>
  <si>
    <t>a) 12 years; b) 14 years; c) 16 years; d) 18 years</t>
  </si>
  <si>
    <t>b) 14 years</t>
  </si>
  <si>
    <t>The rider must be at least 14 years old to participate in the race.</t>
  </si>
  <si>
    <t>What is the allowed speed in horse racing?</t>
  </si>
  <si>
    <t>a) No speed limit; b) 40 km/h; c) 50 km/h; d) 60 km/h</t>
  </si>
  <si>
    <t>a) There is no specific speed.</t>
  </si>
  <si>
    <t>There is no set speed, but the horse must follow multiple strategies to ensure optimal performance.</t>
  </si>
  <si>
    <t>Are foreign horses allowed in Sudanese horse racing?</t>
  </si>
  <si>
    <t>a) Yes, unlimited; b) Yes, after approval of the jury; c) Not allowed; d) Allowed in international races only</t>
  </si>
  <si>
    <t>b) Yes, after the approval of the arbitration committee.</t>
  </si>
  <si>
    <t>Foreign horses are allowed to be used in Sudanese races after prior approval from the arbitration committee.</t>
  </si>
  <si>
    <t>Is a rider allowed to change lanes during a race?</t>
  </si>
  <si>
    <t>a) Yes, continuously; b) Yes, but in designated areas; c) Never; d) Allowed at the last minute</t>
  </si>
  <si>
    <t>b) Yes, but in designated areas.</t>
  </si>
  <si>
    <t>The rider can change lanes in designated areas.</t>
  </si>
  <si>
    <t>What are the rules for using horses in night races?</t>
  </si>
  <si>
    <t>a) Horses must be equipped with lights; b) Horses must be trained for night racing; c) Night racing is not permitted; d) All of the above</t>
  </si>
  <si>
    <t>d) All of the above</t>
  </si>
  <si>
    <t>In night racing, horses must be equipped with lights and must be trained to handle night conditions.</t>
  </si>
  <si>
    <t>What is the maximum time allowed for pit stops in a race?</t>
  </si>
  <si>
    <t>a) 5 minutes; b) 10 minutes; c) 15 minutes; d) No stops allowed</t>
  </si>
  <si>
    <t>a) 5 minutes</t>
  </si>
  <si>
    <t>A maximum break period of no more than 5 minutes is specified in the race.</t>
  </si>
  <si>
    <t>Is additional equipment allowed on horses during racing?</t>
  </si>
  <si>
    <t>a) Yes, but it must be legal; b) No additional equipment is allowed; c) Yes, but it must be light; d) Only a helmet is allowed</t>
  </si>
  <si>
    <t>a) Yes, but it must be legal.</t>
  </si>
  <si>
    <t>Additional equipment is permitted, but must comply with the approved racing regulations.</t>
  </si>
  <si>
    <t>Is it permissible for a rider to participate in two races on the same day?</t>
  </si>
  <si>
    <t>a) Yes, naturally; b) Yes, but after sufficient rest; c) No, never; d) Yes, but only in local races</t>
  </si>
  <si>
    <t>b) Yes, but after sufficient rest.</t>
  </si>
  <si>
    <t>A jockey may participate in two races on the same day if there is sufficient rest period between them.</t>
  </si>
  <si>
    <t>What are the rules for horses that do not complete a race?</t>
  </si>
  <si>
    <t>a) The horse is permanently disqualified; b) It is allowed to participate in the next race; c) It is allowed to return to the race after a short period; d) It is examined by a veterinarian</t>
  </si>
  <si>
    <t>d) It is examined by a veterinarian.</t>
  </si>
  <si>
    <t>If the horse does not complete the race, it is examined by a veterinarian to ensure its safety.</t>
  </si>
  <si>
    <t>Is it allowed to change horses after the start of the race?</t>
  </si>
  <si>
    <t>a) Yes, at any time; b) Never; c) Only if the horse is injured; d) After half the distance</t>
  </si>
  <si>
    <t>b) Never allowed</t>
  </si>
  <si>
    <t>Horse changes are not allowed after the start of the race.</t>
  </si>
  <si>
    <t>Can a jockey use a mobile phone during a race?</t>
  </si>
  <si>
    <t>a) Yes, but only in an emergency; b) No, it is strictly prohibited; c) Yes, but in designated areas; d) Yes, if participating in a local race</t>
  </si>
  <si>
    <t>b) No, it is strictly prohibited.</t>
  </si>
  <si>
    <t>The use of mobile phones during the race is strictly prohibited to ensure the rider's concentration.</t>
  </si>
  <si>
    <t>How is the winning horse determined in a race?</t>
  </si>
  <si>
    <t>a) Based on the rider's style; b) Based on overall performance; c) Based on the time taken to reach the finish; d) Based on the horse's physical strength</t>
  </si>
  <si>
    <t>c) Based on the time it took to reach the end</t>
  </si>
  <si>
    <t>The winner is determined based on which horse reaches the finish line first.</t>
  </si>
  <si>
    <t>What is the minimum number of judges allowed in a race?</t>
  </si>
  <si>
    <t>a) 1 referee; b) 2 referees; c) 3 referees; d) 4 referees</t>
  </si>
  <si>
    <t>b) 2 rulings</t>
  </si>
  <si>
    <t>There must be at least two judges to evaluate the race and ensure its integrity.</t>
  </si>
  <si>
    <t>Is the rider allowed to use assistants during the race?</t>
  </si>
  <si>
    <t>a) Yes, but only in emergency situations; b) No, the rider must be alone; c) Yes, in local races; d) Yes, in international races only</t>
  </si>
  <si>
    <t>b) No, the rider must be alone.</t>
  </si>
  <si>
    <t>The rider must be alone during the race, and no assistants are allowed.</t>
  </si>
  <si>
    <t>Are young horses allowed to be used in big races?</t>
  </si>
  <si>
    <t>a) Yes, but they must be well trained; b) Never allowed; c) Yes, in some exceptional cases; d) Only allowed in local races</t>
  </si>
  <si>
    <t>Young horses are not allowed in major races that require high physical abilities.</t>
  </si>
  <si>
    <t>What type of barriers are allowed in horse racing?</t>
  </si>
  <si>
    <t>a) Wooden barriers only; b) Sponge barriers; c) Movable barriers; d) No barriers at all</t>
  </si>
  <si>
    <t>a) Wooden barriers only</t>
  </si>
  <si>
    <t>Only wooden barriers are permitted in horse racing.</t>
  </si>
  <si>
    <t>Is it allowed to change lanes during the race?</t>
  </si>
  <si>
    <t>a) Yes, but only in designated areas; b) Yes, continuously; c) Never; d) Only at the last minute</t>
  </si>
  <si>
    <t>a) Yes, but only in designated areas.</t>
  </si>
  <si>
    <t>Lane changes are only permitted in designated areas.</t>
  </si>
  <si>
    <t>Is a jockey allowed to use the horse for training before a race?</t>
  </si>
  <si>
    <t>a) Yes, but within certain time limits; b) Yes, unlimited; c) Training is not allowed; d) Yes, but only in closed arenas</t>
  </si>
  <si>
    <t>a) Yes, but within a certain time limit.</t>
  </si>
  <si>
    <t>The jockey may use the horse for training before the race, but within specific time limits.</t>
  </si>
  <si>
    <t>What are the rules for prize money in horse racing?</t>
  </si>
  <si>
    <t>a) The prize is distributed between the rider and the owners; b) The prize is distributed between the rider only; c) The prize is distributed between the owners only; d) No cash prizes are awarded in Sudan</t>
  </si>
  <si>
    <t>a) The prize is distributed between the rider and the owner.</t>
  </si>
  <si>
    <t>The prize money in races is distributed between the jockey and the owners of the winning horses.</t>
  </si>
  <si>
    <t>Is it allowed for a jockey to wear casual clothes during the race?</t>
  </si>
  <si>
    <t>a) Yes; b) No, the clothing must be formal; c) Yes, but only in minor races; d) Yes, but the clothing must be light</t>
  </si>
  <si>
    <t>b) No, the clothes must be formal.</t>
  </si>
  <si>
    <t>The jockey must wear formal clothing according to the rules of the race.</t>
  </si>
  <si>
    <t>What is the maximum number of entries to major races?</t>
  </si>
  <si>
    <t>a) 10 horses; b) 12 horses; c) 15 horses; d) 20 horses</t>
  </si>
  <si>
    <t>b) 12 horses</t>
  </si>
  <si>
    <t>The maximum number of horses allowed to participate in major races is 12.</t>
  </si>
  <si>
    <t>Are horses tested before racing?</t>
  </si>
  <si>
    <t>a) No, only after the race; b) Yes, examined by a medical commission; c) Yes, but only if there are doubts; d) Examination before the race is not allowed</t>
  </si>
  <si>
    <t>b) Yes, it is examined by a medical committee.</t>
  </si>
  <si>
    <t>Horses are examined before racing by a medical committee to ensure their safety.</t>
  </si>
  <si>
    <t>Is it allowed to change the jockey after the start of the race?</t>
  </si>
  <si>
    <t>a) Yes; b) No, never allowed; c) Yes, but only in emergency cases; d) Yes, only if there is an injury</t>
  </si>
  <si>
    <t>b) No, it is never allowed.</t>
  </si>
  <si>
    <t>Changing riders after the start of the race is not permitted.</t>
  </si>
  <si>
    <t>What are the rules for horse racing winner prizes?</t>
  </si>
  <si>
    <t>a) Awarded individually to the rider; b) Distributed between the rider and the owners; c) Awarded only to the owners; d) Awarded only to the team</t>
  </si>
  <si>
    <t>b) It is distributed between the knight and the angel.</t>
  </si>
  <si>
    <t>The prizes for the winner of the race are distributed between the jockey and the owner.</t>
  </si>
  <si>
    <t>What is the minimum number of horses that must start a race?</t>
  </si>
  <si>
    <t>a) 4 horses; b) 6 horses; c) 8 horses; d) 10 horses</t>
  </si>
  <si>
    <t>b) 6 horses</t>
  </si>
  <si>
    <t>In most races, the race must start with at least 6 horses.</t>
  </si>
  <si>
    <t>What is the rule regarding penalties in the event of a collision between horses during a race?</t>
  </si>
  <si>
    <t>a) Only a warning is given; b) The horse causing the collision is disqualified; c) Extra points are awarded; d) The horse causing the collision is not penalized</t>
  </si>
  <si>
    <t>b) The horse that caused the collision is disqualified.</t>
  </si>
  <si>
    <t>If a collision occurs between horses, the horse that caused the accident is disqualified.</t>
  </si>
  <si>
    <t>Is it permissible for a rider to use any type of aids during the race?</t>
  </si>
  <si>
    <t>a) Yes, any tool can be used; b) No, aids are strictly prohibited; c) Yes, but only tools that do not harm the horse; d) Yes, but only in local races</t>
  </si>
  <si>
    <t>c) Yes, but only tools that do not harm the horse.</t>
  </si>
  <si>
    <t>The use of aids that do not harm the horse, such as small stimulating sticks, is permitted.</t>
  </si>
  <si>
    <t>When is the winner of the race determined?</t>
  </si>
  <si>
    <t>a) Based on who starts the race first; b) after a certain period of time has passed; c) Based on who achieves the fastest time to reach the finish line; d) Based on the rider's rating</t>
  </si>
  <si>
    <t>c) Based on who achieves the fastest time to reach the finish line</t>
  </si>
  <si>
    <t>The winner of the race is the horse that reaches the finish line first.</t>
  </si>
  <si>
    <t>Is a jockey allowed to stop during the race to rest?</t>
  </si>
  <si>
    <t>a) Yes, if he needs a short rest; b) Stopping is never allowed; c) Yes, if there is an emergency; d) Yes, if the race is very long</t>
  </si>
  <si>
    <t>b) Stopping is never allowed.</t>
  </si>
  <si>
    <t>A rider is not allowed to stop during a race except in emergency circumstances.</t>
  </si>
  <si>
    <t>Is it permissible for a jockey to use electronic payment technology to bet during the race?</t>
  </si>
  <si>
    <t>a) Yes, it is always allowed; b) Yes, but only in international races; c) Online betting is not allowed in the race; d) Yes, only in domestic races</t>
  </si>
  <si>
    <t>c) Online betting is not permitted on the race.</t>
  </si>
  <si>
    <t>The use of electronic payment for betting during the race is not permitted in accordance with the Racing Rules.</t>
  </si>
  <si>
    <t>What is the maximum number of times a jockey can use the stick during a race?</t>
  </si>
  <si>
    <t>a) only once; b) twice; c) three times; d) unlimited</t>
  </si>
  <si>
    <t>c) Three times</t>
  </si>
  <si>
    <t>The rider is allowed to use the stick a maximum of three times during the race.</t>
  </si>
  <si>
    <t>Is the jockey allowed to run with the horse before the race?</t>
  </si>
  <si>
    <t>a) Yes, but only in short-distance races; b) No, the jockey must remain in place; c) Yes, only in training races; d) Yes, generally during races</t>
  </si>
  <si>
    <t>b) No, the rider must remain in place.</t>
  </si>
  <si>
    <t>The jockey is not permitted to run with the horse before the race. He must remain in position ready for the start.</t>
  </si>
  <si>
    <t>Is it permissible to change horses during a race if you feel injured?</t>
  </si>
  <si>
    <t>a) Yes, it is allowed if the horse is injured; b) It is not allowed to change horses after the race has started; c) Yes, if the veterinarian agrees; d) Yes, if the rider needs assistance</t>
  </si>
  <si>
    <t>b) It is not permitted to change horses after the start of the race.</t>
  </si>
  <si>
    <t>It is not permitted to change horses after the start of the race, even in the event of injury.</t>
  </si>
  <si>
    <t>Is the jockey allowed to control the horse after it has crossed the finish line?</t>
  </si>
  <si>
    <t>a) Yes, he is allowed to control until he reaches a safe place; b) Control is not allowed after crossing the finish line; c) Yes, but only if there is a problem; d) Yes, in local races only</t>
  </si>
  <si>
    <t>a) Yes, he is allowed to control until he reaches a safe place.</t>
  </si>
  <si>
    <t>The rider is allowed to control the horse after it has crossed the finish line until it reaches a safe place.</t>
  </si>
  <si>
    <t>Is it allowed to have a jockey's assistant in the race?</t>
  </si>
  <si>
    <t>a) Yes, in local races only; b) Yes, but only in training races; c) No assistant is allowed; d) Yes, in international races only</t>
  </si>
  <si>
    <t>c) No assistant is allowed.</t>
  </si>
  <si>
    <t>No jockey assistant is allowed in the race. The jockey must be alone.</t>
  </si>
  <si>
    <t>What is the rule for horses that get injured before a race?</t>
  </si>
  <si>
    <t>a) They are allowed to participate after rest; b) They are excluded from racing altogether; c) They are allowed to participate after the approval of the veterinarian; d) They are only allowed to participate in minor races</t>
  </si>
  <si>
    <t>b) are excluded from the race altogether.</t>
  </si>
  <si>
    <t>Horses that are injured before a race are disqualified from participating.</t>
  </si>
  <si>
    <t>Can a rider participate in two races on the same day?</t>
  </si>
  <si>
    <t>a) Yes, if the period between the two races is sufficient; b) No, it is not permitted to participate in more than one race on the same day; c) Yes, if the race is local; d) Yes, if the horses in the two races are different</t>
  </si>
  <si>
    <t>a) Yes, if the period between the two races is sufficient.</t>
  </si>
  <si>
    <t>A jockey can participate in two races on the same day, provided there is a sufficient period between the two races.</t>
  </si>
  <si>
    <t>Are spectators allowed to bet on horses during the race?</t>
  </si>
  <si>
    <t>a) Yes, but only in major races; b) Betting is not permitted during the race; c) Yes, in general; d) Yes, in local races only</t>
  </si>
  <si>
    <t>b) No betting is permitted during the race.</t>
  </si>
  <si>
    <t>Spectators are not allowed to bet during the race according to the rules.</t>
  </si>
  <si>
    <t>Is a jockey allowed to choose between several horses to participate in the race?</t>
  </si>
  <si>
    <t>a) Yes, the jockey can choose any horse; b) Yes, but the horse is selected based on past performance; c) The jockey is not allowed to choose the horse; d) Yes, but only in training races</t>
  </si>
  <si>
    <t>b) Yes, but horses are selected based on past performance.</t>
  </si>
  <si>
    <t>The jockey can choose the horse, but it is determined based on previous performance in races.</t>
  </si>
  <si>
    <t>Can horses under a certain age be used in racing?</t>
  </si>
  <si>
    <t>a) Yes, but they must be very young horses; b) Very young horses are not allowed; c) Yes, provided they are well-trained horses; d) Yes, horses under 5 years old are allowed</t>
  </si>
  <si>
    <t>b) Very young horses are not allowed.</t>
  </si>
  <si>
    <t>Horses under a certain age are not allowed to be used in racing.</t>
  </si>
  <si>
    <t>Is it permissible for a jockey to switch between horses during a race?</t>
  </si>
  <si>
    <t>a) Yes, he may switch horses at any time; b) No, he may not switch horses after the race has started; c) Yes, if there is an emergency; d) Yes, but only if there is more than one horse in the race</t>
  </si>
  <si>
    <t>b) No, he is not allowed to switch between horses after the race has started.</t>
  </si>
  <si>
    <t>The jockey is not allowed to change horses after the race has started.</t>
  </si>
  <si>
    <t>Are underperforming horses allowed to be used in major races?</t>
  </si>
  <si>
    <t>a) Yes, but they are disqualified from competition; b) Poorly performing horses are not allowed; c) Yes, but they are given additional opportunities; d) Yes, but after consulting the jury</t>
  </si>
  <si>
    <t>b) Poor performing horses are not allowed to be used.</t>
  </si>
  <si>
    <t>Poor performing horses are not allowed to be used in major races.</t>
  </si>
  <si>
    <t>Are racing betting rules allowed to be changed?</t>
  </si>
  <si>
    <t>a) Yes, they can be changed at any time; b) No, the rules are fixed and unchangeable; c) Yes, but only in international races; d) Yes, but with the approval of the jury</t>
  </si>
  <si>
    <t>b) No, the rules are fixed and unchangeable.</t>
  </si>
  <si>
    <t>Racing betting rules are immutable and cannot be modified during the race.</t>
  </si>
  <si>
    <t>Can a jockey determine a horse's speed during a race?</t>
  </si>
  <si>
    <t>a) Yes, but only at the start of the race; b) No, the jockey has no influence on the horse's speed; c) Yes, the jockey can determine the horse's speed throughout the race; d) No, the speed is predetermined</t>
  </si>
  <si>
    <t>b) No, the rider has no influence on the horse's speed.</t>
  </si>
  <si>
    <t>The jockey has no influence on the horse's speed during a race, as the speed is determined based on the horse's natural performance.</t>
  </si>
  <si>
    <t>What is the official term for a horse that is withdrawn from a race before it starts?</t>
  </si>
  <si>
    <t>a) Retired; b) Scratched; c) Forfeited; d) Omitted</t>
  </si>
  <si>
    <t>b) Scratched</t>
  </si>
  <si>
    <t>A horse that is withdrawn from a race for any reason before it begins is officially "scratched."</t>
  </si>
  <si>
    <t>What is the purpose of the saddlecloth worn by a horse during a race?</t>
  </si>
  <si>
    <t>a) It provides extra padding; b) It displays the horse's official number; c) It is for decoration only; d) It keeps the jockey from slipping</t>
  </si>
  <si>
    <t>b) It displays the horse's official number</t>
  </si>
  <si>
    <t>The saddlecloth is primarily for identification, showing the number assigned to the horse for that specific race.</t>
  </si>
  <si>
    <t>If a horse breaks through the starting gate before the official start, what is the procedure?</t>
  </si>
  <si>
    <t>a) The horse is disqualified; b) The horse is brought back and the race is restarted; c) The horse gets a head start; d) The jockey is fined</t>
  </si>
  <si>
    <t>b) The horse is brought back and the race is restarted</t>
  </si>
  <si>
    <t>This is considered a type of false start. The horse is restrained by handlers, and the start procedure is initiated again for all horses.</t>
  </si>
  <si>
    <t>What is the primary role of the official "starter" at a horse race?</t>
  </si>
  <si>
    <t>a) To announce the winner; b) To ensure a fair and simultaneous start for all horses; c) To weigh the jockeys; d) To inspect the track condition</t>
  </si>
  <si>
    <t>b) To ensure a fair and simultaneous start for all horses</t>
  </si>
  <si>
    <t>The starter is the official in charge of the starting gate and is responsible for opening the gates at the exact same moment for every horse.</t>
  </si>
  <si>
    <t>What happens if a jockey loses their stirrup during a race?</t>
  </si>
  <si>
    <t>a) They must pull up the horse and withdraw; b) They can continue the race; c) The race is stopped; d) They receive a penalty</t>
  </si>
  <si>
    <t>a) They must pull up the horse and withdraw</t>
  </si>
  <si>
    <t>Losing a stirrup is a major safety hazard, and the jockey is required to safely pull the horse out of the race to avoid falling.</t>
  </si>
  <si>
    <t>What is the official name for the pre-race area where horses are saddled and paraded?</t>
  </si>
  <si>
    <t>a) The stable; b) The paddock; c) The bullpen; d) The arena</t>
  </si>
  <si>
    <t>b) The paddock</t>
  </si>
  <si>
    <t>The paddock is the enclosure where horses are prepared, viewed by spectators, and mounted by their jockeys before proceeding to the track.</t>
  </si>
  <si>
    <t>What is the rule concerning a jockey using their whip on another jockey's horse?</t>
  </si>
  <si>
    <t>a) It is allowed if the other horse is blocking them; b) It is a serious foul leading to disqualification; c) It is permitted with a warning; d) There is no specific rule against it</t>
  </si>
  <si>
    <t>b) It is a serious foul leading to disqualification</t>
  </si>
  <si>
    <t>Striking another competitor's horse is a major violation of racing integrity and safety, resulting in severe penalties.</t>
  </si>
  <si>
    <t>Are horses required to wear shoes (horseshoes) during a race?</t>
  </si>
  <si>
    <t>a) Yes, all horses must be shod; b) No, they can race barefoot; c) It depends on the track surface and trainer's choice; d) Only front hooves must be shod</t>
  </si>
  <si>
    <t>c) It depends on the track surface and trainer's choice</t>
  </si>
  <si>
    <t>While most horses race with lightweight aluminum shoes, a trainer may choose to race a horse barefoot depending on the horse and conditions.</t>
  </si>
  <si>
    <t>If a jockey is found to have an electronic communication device (like an earpiece) during a race, what is the consequence?</t>
  </si>
  <si>
    <t>a) A warning is issued; b) A fine is imposed after the race; c) Immediate disqualification and suspension; d) The device is confiscated</t>
  </si>
  <si>
    <t>c) Immediate disqualification and suspension</t>
  </si>
  <si>
    <t>To prevent illegal outside assistance, any form of electronic communication device is strictly forbidden and results in severe penalties.</t>
  </si>
  <si>
    <t>What is the purpose of the "weighing in" procedure for jockeys immediately after a race?</t>
  </si>
  <si>
    <t>a) To check the jockey's health; b) To confirm the horse carried the correct assigned weight; c) To determine the jockey's pay; d) To select them for the next race</t>
  </si>
  <si>
    <t>b) To confirm the horse carried the correct assigned weight</t>
  </si>
  <si>
    <t>Jockeys and their equipment are weighed before and after the race. They must weigh in at the same (or very close to the same) weight to ensure fairness.</t>
  </si>
  <si>
    <t>What happens if a horse is found to have been administered a painkiller before a race?</t>
  </si>
  <si>
    <t>a) It is allowed if prescribed by a vet; b) The horse is disqualified for doping; c) The horse is allowed to race with a declaration; d) The trainer is fined, but the horse can run</t>
  </si>
  <si>
    <t>b) The horse is disqualified for doping</t>
  </si>
  <si>
    <t>Most painkillers are banned substances on race day as they can mask injuries, endangering the horse and creating an unfair advantage.</t>
  </si>
  <si>
    <t>What is the official ruling if a horse throws its jockey but continues to run and interferes with other horses?</t>
  </si>
  <si>
    <t>a) The race continues as normal; b) The loose horse is ignored; c) Officials attempt to catch the horse and may declare a "no race"; d) The other jockeys must stop</t>
  </si>
  <si>
    <t>c) Officials attempt to catch the horse and may declare a "no race"</t>
  </si>
  <si>
    <t>A loose horse poses a significant danger. If it severely impacts the outcome, stewards can declare the race a "no contest" and re-run it.</t>
  </si>
  <si>
    <t>Is "team riding," where one jockey intentionally blocks for a teammate's horse, permitted?</t>
  </si>
  <si>
    <t>a) Yes, it is a common strategy; b) No, every horse must be ridden to win on its own merit; c) Only if declared before the race; d) Only in specific team-based events</t>
  </si>
  <si>
    <t>b) No, every horse must be ridden to win on its own merit</t>
  </si>
  <si>
    <t>Team tactics that disadvantage other competitors are illegal and can lead to the disqualification of all horses involved.</t>
  </si>
  <si>
    <t>What is the minimum distance a jockey must maintain from the horse in front before changing lanes?</t>
  </si>
  <si>
    <t>a) There is no minimum distance; b) One full horse length; c) At least two lengths clear of the other horse; d) Half a horse length</t>
  </si>
  <si>
    <t>c) At least two lengths clear of the other horse</t>
  </si>
  <si>
    <t>A jockey must ensure they are sufficiently clear of other horses to avoid causing interference or a collision when changing lanes.</t>
  </si>
  <si>
    <t>What is the role of the "clerk of the scales"?</t>
  </si>
  <si>
    <t>a) To announce the race results; b) To oversee the weighing of the jockeys before and after the race; c) To measure the length of the track; d) To inspect the horses' shoes</t>
  </si>
  <si>
    <t>b) To oversee the weighing of the jockeys before and after the race</t>
  </si>
  <si>
    <t>This official is responsible for ensuring that every horse carries its assigned weight throughout the race by managing the weigh-in and weigh-out process.</t>
  </si>
  <si>
    <t>Are there specific rules about the color of a jockey's helmet cover?</t>
  </si>
  <si>
    <t>a) No, any color is allowed; b) Yes, it must match the owner's registered silks; c) All jockeys must wear white; d) The color indicates the horse's age</t>
  </si>
  <si>
    <t>b) Yes, it must match the owner's registered silks</t>
  </si>
  <si>
    <t>The helmet cover, along with the jersey ("silks"), is part of the owner's unique, registered racing colors for identification.</t>
  </si>
  <si>
    <t>If a race is declared a "dead heat" for first place, how is the prize money for first and second place handled?</t>
  </si>
  <si>
    <t>a) The two horses re-race; b) The prize money for first and second is combined and split equally; c) The horse with the higher odds wins; d) The prize money is forfeited</t>
  </si>
  <si>
    <t>b) The prize money for first and second is combined and split equally</t>
  </si>
  <si>
    <t>In a dead heat, the purses for the tied positions are added together and divided equally among the horses involved.</t>
  </si>
  <si>
    <t>What is the penalty for a trainer who enters a horse that is not in a fit condition to race?</t>
  </si>
  <si>
    <t>a) A warning; b) A fine and/or suspension; c) The horse is given a handicap; d) There is no penalty</t>
  </si>
  <si>
    <t>b) A fine and/or suspension</t>
  </si>
  <si>
    <t>Trainers have a duty of care to ensure their horses are healthy. Knowingly racing an unfit horse is a serious welfare violation.</t>
  </si>
  <si>
    <t>Is it permissible for a horse to wear blinkers?</t>
  </si>
  <si>
    <t>a) No, they are considered an unfair advantage; b) Yes, but they must be declared before the race; c) Only for young horses; d) Only in sprint races</t>
  </si>
  <si>
    <t>b) Yes, but they must be declared before the race</t>
  </si>
  <si>
    <t>Blinkers, which restrict a horse's field of vision to help it concentrate, are permitted but must be officially declared so bettors are informed.</t>
  </si>
  <si>
    <t>What happens if a race is started with the wrong number of horses due to an official's error?</t>
  </si>
  <si>
    <t>a) The race continues and the result stands; b) The race is declared void and must be re-run; c) The missing horse is simply marked as scratched; d) The prize money is reduced</t>
  </si>
  <si>
    <t>b) The race is declared void and must be re-run</t>
  </si>
  <si>
    <t>A race must be run under the correct conditions. An error in the field size can lead to the race being declared void.</t>
  </si>
  <si>
    <t>What is the rule regarding the use of tongue-ties on a horse?</t>
  </si>
  <si>
    <t>a) They are illegal; b) They are permitted and must be declared; c) Only a veterinarian can apply them; d) Only for horses with breathing problems</t>
  </si>
  <si>
    <t>b) They are permitted and must be declared</t>
  </si>
  <si>
    <t>A tongue-tie is a piece of equipment used to prevent the horse's tongue from interfering with its breathing, and its use must be officially declared.</t>
  </si>
  <si>
    <t>If a jockey lodges a protest (objection) after a race, what is the signal they give?</t>
  </si>
  <si>
    <t>a) They raise their hand; b) They shout "protest" to the judge; c) They wave a red flag; d) They do not dismount until speaking to an official</t>
  </si>
  <si>
    <t>d) They do not dismount until speaking to an official</t>
  </si>
  <si>
    <t>A jockey wishing to lodge an objection will typically remain on their horse and notify the clerk of the scales or a steward before dismounting.</t>
  </si>
  <si>
    <t>What is the official decision if a horse is found to have been administered a large dose of a calming herb like lavender?</t>
  </si>
  <si>
    <t>a) It is allowed as it is natural; b) Disqualification for using an undeclared substance; c) A warning is issued; d) The horse is monitored for side effects</t>
  </si>
  <si>
    <t>b) Disqualification for using an undeclared substance</t>
  </si>
  <si>
    <t>Even natural substances can be banned if they affect a horse's performance. All treatments must be declared and approved.</t>
  </si>
  <si>
    <t>Are there rules about the minimum number of official timed workouts a horse must have before its first race?</t>
  </si>
  <si>
    <t>a) No, it's up to the trainer; b) Yes, it must have at least one timed workout; c) Yes, it must complete three workouts; d) Only if it is a foreign horse</t>
  </si>
  <si>
    <t>b) Yes, it must have at least one timed workout</t>
  </si>
  <si>
    <t>To ensure a horse is fit and prepared for racing, it must typically complete a satisfactory timed workout in front of officials before it can be entered.</t>
  </si>
  <si>
    <t>What happens if a jockey intentionally makes their horse run slower to lose a race?</t>
  </si>
  <si>
    <t>a) It is considered a valid tactic; b) The jockey faces a lifetime ban for "not trying"; c) The owner is fined; d) The horse is moved to a lower class of race</t>
  </si>
  <si>
    <t>b) The jockey faces a lifetime ban for "not trying"</t>
  </si>
  <si>
    <t>Every horse must be ridden to achieve the best possible placing. Intentionally losing is a severe fraudulent act.</t>
  </si>
  <si>
    <t>Is a horse born via cloning eligible to participate in official races?</t>
  </si>
  <si>
    <t>a) Yes, with no restrictions; b) No, cloned horses are banned from racing; c) Yes, but they must be declared as clones; d) Only in exhibition races</t>
  </si>
  <si>
    <t>b) No, cloned horses are banned from racing</t>
  </si>
  <si>
    <t>Major thoroughbred and Arabian racing authorities do not permit cloned horses to be registered, thus banning them from competition.</t>
  </si>
  <si>
    <t>What is the role of the "outrider" on the track?</t>
  </si>
  <si>
    <t>a) To commentate on the race; b) To assist with unruly horses and help catch loose ones; c) To signal the start of the race; d) To time the race manually</t>
  </si>
  <si>
    <t>b) To assist with unruly horses and help catch loose ones</t>
  </si>
  <si>
    <t>Outriders are mounted officials who help maintain order on the track, particularly with difficult horses and in emergencies.</t>
  </si>
  <si>
    <t>If a jockey is suspended in Sudan, is that suspension recognized by racing authorities in other countries?</t>
  </si>
  <si>
    <t>a) No, suspensions are only local; b) Yes, through reciprocal agreements between racing bodies; c) Only in neighboring countries; d) Only for major infractions</t>
  </si>
  <si>
    <t>b) Yes, through reciprocal agreements between racing bodies</t>
  </si>
  <si>
    <t>Major racing jurisdictions have agreements to honor each other's rulings, so a suspended jockey cannot simply move to another country to race.</t>
  </si>
  <si>
    <t>What is the rule if a horse's name is deemed offensive or inappropriate by the racing authority?</t>
  </si>
  <si>
    <t>a) The horse races under a number only; b) The name must be changed before the horse can be registered; c) The name is allowed but censored in publications; d) There are no rules on names</t>
  </si>
  <si>
    <t>b) The name must be changed before the horse can be registered</t>
  </si>
  <si>
    <t>All names are subject to approval by the official registry, which can reject names for a variety of reasons, including poor taste.</t>
  </si>
  <si>
    <t>What is the penalty for a trainer who is found to have used an illegally modified (e.g., electrified) whip?</t>
  </si>
  <si>
    <t>a) A fine; b) A long-term suspension or lifetime ban; c) The whip is confiscated; d) The horse is disqualified</t>
  </si>
  <si>
    <t>b) A long-term suspension or lifetime ban</t>
  </si>
  <si>
    <t>The use of any device designed to inflict excessive pain or illegally stimulate a horse is a major animal cruelty and integrity violation.</t>
  </si>
  <si>
    <t>Can a horse be disqualified for having improperly fitted or unsafe horseshoes?</t>
  </si>
  <si>
    <t>a) No, shoes are not inspected; b) Yes, during the pre-race inspection by the farrier; c) Only if the shoe comes off during the race; d) Only if the jockey complains</t>
  </si>
  <si>
    <t>b) Yes, during the pre-race inspection by the farrier</t>
  </si>
  <si>
    <t>The official farrier inspects horses' shoes to ensure they are safe and meet regulations. Unsafe shoeing can lead to a horse being scratched.</t>
  </si>
  <si>
    <t>If a jockey is overweight, what is the procedure to make the assigned weight?</t>
  </si>
  <si>
    <t>a) They are not allowed to race; b) They can use a lighter saddle; c) They must carry the extra weight; d) They can ask for a weight allowance</t>
  </si>
  <si>
    <t>b) They can use a lighter saddle</t>
  </si>
  <si>
    <t>A jockey's weight includes their gear. To meet the assigned weight, they can use a lighter saddle or equipment, but they cannot be overweight themselves.</t>
  </si>
  <si>
    <t>What is the rule if a horse is found to have a prohibited substance in its system, but it was administered by a veterinarian for a valid medical reason?</t>
  </si>
  <si>
    <t>a) The horse is exempt from the rule; b) The horse is still disqualified if the substance is banned on race day; c) The veterinarian is held responsible; d) The horse can race after a 24-hour waiting period</t>
  </si>
  <si>
    <t>b) The horse is still disqualified if the substance is banned on race day</t>
  </si>
  <si>
    <t>A "strict liability" rule applies. Even for therapeutic use, if a banned substance is present on race day, it results in disqualification.</t>
  </si>
  <si>
    <t>Is an owner allowed to communicate with their jockey during the pre-race parade?</t>
  </si>
  <si>
    <t>a) Yes, they can give last-minute instructions; b) No, all communication is forbidden once the jockey is mounted; c) Only through hand signals; d) Only via the official trainer</t>
  </si>
  <si>
    <t>b) No, all communication is forbidden once the jockey is mounted</t>
  </si>
  <si>
    <t>To prevent late betting-related instructions, rules prohibit owners from communicating with jockeys after they are given a leg-up in the paddock.</t>
  </si>
  <si>
    <t>What is the term for a race where the horses are owned by the racing club and assigned to jockeys by a draw?</t>
  </si>
  <si>
    <t>a) A lottery race; b) An exhibition race; c) A public race; d) A handicap race</t>
  </si>
  <si>
    <t>a) A lottery race</t>
  </si>
  <si>
    <t>Some events, often for amateurs or ceremonial purposes, use a format where the horses are provided by the organizers and allocated randomly.</t>
  </si>
  <si>
    <t>What is the official protocol if the photo-finish camera malfunctions?</t>
  </si>
  <si>
    <t>a) The race is declared a dead heat; b) The trackside judges make the final decision; c) The race is re-run; d) The horses are ranked based on their betting odds</t>
  </si>
  <si>
    <t>b) The trackside judges make the final decision</t>
  </si>
  <si>
    <t>In the event of a technical failure, the official placing judges, who are positioned at the finish line, make the definitive call.</t>
  </si>
  <si>
    <t>Can a jockey be penalized for not trying their best on a horse that is clearly not a contender?</t>
  </si>
  <si>
    <t>a) No, they can save energy; b) Yes, every horse must be ridden to the finish; c) Only if the owner complains; d) Only if it affects the betting outcome</t>
  </si>
  <si>
    <t>b) Yes, every horse must be ridden to the finish</t>
  </si>
  <si>
    <t>Jockeys are required to make a genuine effort on every horse, regardless of its chances, to ensure the integrity of the race for all competitors.</t>
  </si>
  <si>
    <t>Are there rules about the minimum distance of a horse race?</t>
  </si>
  <si>
    <t>a) No, races can be any distance; b) Yes, usually a minimum of 800 meters; c) The minimum distance is 1600 meters (a mile); d) It depends on the horse's age</t>
  </si>
  <si>
    <t>b) Yes, usually a minimum of 800 meters</t>
  </si>
  <si>
    <t>While distances vary, official races are rarely shorter than 800 meters, which is considered a pure sprint.</t>
  </si>
  <si>
    <t>What is the penalty for a jockey who fails to report that their horse felt unsound during a race?</t>
  </si>
  <si>
    <t>a) There is no penalty; b) A fine or suspension for endangering the animal; c) They are given a warning; d) They must pay the veterinary bills</t>
  </si>
  <si>
    <t>b) A fine or suspension for endangering the animal</t>
  </si>
  <si>
    <t>Jockeys have a duty of care to report any physical issues. Failing to do so is a serious welfare violation.</t>
  </si>
  <si>
    <t>Is it permissible for a horse to race with its mane braided?</t>
  </si>
  <si>
    <t>a) No, the mane must be loose; b) Yes, it is a common practice for presentation; c) Only for female horses; d) Only if the braids contain official ribbons</t>
  </si>
  <si>
    <t>b) Yes, it is a common practice for presentation</t>
  </si>
  <si>
    <t>Braiding a horse's mane is a traditional and perfectly legal aspect of preparing a horse for a race.</t>
  </si>
  <si>
    <t>What is the rule if a horse is withdrawn (scratched) by the vet at the starting gate for bleeding from the nostrils?</t>
  </si>
  <si>
    <t>a) The owner is fined for entering an unfit horse; b) The horse is placed on a mandatory veterinary suspension; c) The horse can race the next day if the bleeding stops; d) It is considered a normal occurrence</t>
  </si>
  <si>
    <t>b) The horse is placed on a mandatory veterinary suspension</t>
  </si>
  <si>
    <t>Exercise-induced pulmonary hemorrhage (EIPH) is a serious condition, and a horse that bleeds is automatically suspended from racing for a period of time.</t>
  </si>
  <si>
    <t>Can a jockey be fined for dropping their whip during a race?</t>
  </si>
  <si>
    <t>a) No, it's just bad luck; b) Yes, for lack of professional control; c) Only if they were in the lead; d) Only if it interferes with another horse</t>
  </si>
  <si>
    <t>b) Yes, for lack of professional control</t>
  </si>
  <si>
    <t>Jockeys are expected to maintain control of their equipment at all times, and dropping the whip can result in a fine from the stewards.</t>
  </si>
  <si>
    <t>What is the purpose of the "shadow roll" sometimes worn on a horse's nose?</t>
  </si>
  <si>
    <t>a) It is a decorative item; b) To prevent the horse from seeing shadows on the track; c) To help the horse breathe better; d) To display a sponsor's logo</t>
  </si>
  <si>
    <t>b) To prevent the horse from seeing shadows on the track</t>
  </si>
  <si>
    <t>A shadow roll is a piece of equipment, usually made of sheepskin, that lowers a horse's head to prevent it from being spooked by shadows.</t>
  </si>
  <si>
    <t>If a race is run on a turf (grass) track, what happens if heavy rain makes the track unsafe?</t>
  </si>
  <si>
    <t>a) The race is moved to a dirt track if available; b) The race is cancelled or postponed; c) The jockeys vote on whether to proceed; d) Both A and B are possible</t>
  </si>
  <si>
    <t>d) Both A and B are possible</t>
  </si>
  <si>
    <t>Depending on the track's facilities, officials will either move the race to an all-weather surface or cancel/postpone it for safety.</t>
  </si>
  <si>
    <t>What is the maximum number of horses an owner can enter in a single race?</t>
  </si>
  <si>
    <t>a) Only one; b) Two; c) Three, which is called a "coupled entry"; d) There is no limit</t>
  </si>
  <si>
    <t>c) Three, which is called a "coupled entry"</t>
  </si>
  <si>
    <t>An owner is often limited to a certain number of entrants (e.g., three) in a single race to prevent dominating the field.</t>
  </si>
  <si>
    <t>What is the penalty for a jockey who is found to have a prohibited item, like a buzzer or electrical device, in their possession?</t>
  </si>
  <si>
    <t>a) A warning; b) A fine; c) A lifetime ban from the sport; d) Disqualification from that race only</t>
  </si>
  <si>
    <t>c) A lifetime ban from the sport</t>
  </si>
  <si>
    <t>The possession of any device used to illegally stimulate a horse is one of the most serious violations in racing and results in a lifetime ban.</t>
  </si>
  <si>
    <t>Are there specific regulations for apprentice (inexperienced) jockeys?</t>
  </si>
  <si>
    <t>a) No, they are treated the same as professionals; b) Yes, they are given a weight allowance to compensate for inexperience; c) They are not allowed to use a whip; d) They can only ride in specific apprentice-only races</t>
  </si>
  <si>
    <t>b) Yes, they are given a weight allowance to compensate for inexperience</t>
  </si>
  <si>
    <t>Apprentice jockeys receive a weight allowance (e.g., carrying 3-5 kg less) to encourage trainers to give them opportunities.</t>
  </si>
  <si>
    <t>What is the rule if a horse's official identification tattoo on its lip is unreadable?</t>
  </si>
  <si>
    <t>a) The horse is not allowed to race; b) The owner's word is accepted; c) The horse's microchip is used as backup identification; d) The horse is re-tattooed on the spot</t>
  </si>
  <si>
    <t>c) The horse's microchip is used as backup identification</t>
  </si>
  <si>
    <t>If the primary tattoo is illegible, officials will use the implanted microchip to confirm the horse's identity.</t>
  </si>
  <si>
    <t>Can a jockey be penalized for "herding" - using their horse to push another horse wide?</t>
  </si>
  <si>
    <t>a) No, this is a strategic move; b) Yes, this is a form of interference; c) Only if it happens on the final turn; d) Only if contact is made</t>
  </si>
  <si>
    <t>b) Yes, this is a form of interference</t>
  </si>
  <si>
    <t>Intentionally forcing another horse off its path is a foul that can lead to the disqualification of the offending horse.</t>
  </si>
  <si>
    <t>What is the official protocol if a jockey suffers a serious injury during a race?</t>
  </si>
  <si>
    <t>a) The race continues to the finish; b) The race is immediately stopped by officials; c) The other jockeys must stop and assist; d) The result is determined from the point of the accident</t>
  </si>
  <si>
    <t>Human safety is the highest priority. If a jockey is seriously injured, the race is stopped to allow medical personnel onto the track.</t>
  </si>
  <si>
    <t>What is the official ruling if a horse wins a race but is later found to have been ineligible (e.g., wrong age category)?</t>
  </si>
  <si>
    <t>a) The win stands but the owner is fined; b) The horse is disqualified and all prize money is redistributed; c) The race is declared void; d) The horse is banned from the next three races</t>
  </si>
  <si>
    <t>b) The horse is disqualified and all prize money is redistributed</t>
  </si>
  <si>
    <t>If a horse is found to be ineligible after the fact, it is disqualified from the race and the official order of finish is revised.</t>
  </si>
  <si>
    <t>Are there rules about how often a track's surface must be harrowed and maintained during a race day?</t>
  </si>
  <si>
    <t>a) No, it is only done once at the start of the day; b) Yes, the track is groomed between each race; c) Only if the jockeys complain; d) It is harrowed after every two races</t>
  </si>
  <si>
    <t>b) Yes, the track is groomed between each race</t>
  </si>
  <si>
    <t>To ensure a safe and consistent surface for all competitors, the track maintenance crew harrows the course after every race.</t>
  </si>
  <si>
    <t>What is the penalty for a trainer who fails to declare that their horse is a "gelding" (a castrated male)?</t>
  </si>
  <si>
    <t>a) No penalty; b) A fine for incorrect registration information; c) The horse is disqualified; d) The horse must race against females instead</t>
  </si>
  <si>
    <t>b) A fine for incorrect registration information</t>
  </si>
  <si>
    <t>All official information, including the horse's sex, must be accurate. Inaccurate declarations result in a fine.</t>
  </si>
  <si>
    <t>Is it permissible for a jockey to talk to their horse during a race?</t>
  </si>
  <si>
    <t>a) No, it is forbidden; b) Yes, it is a common way to encourage a horse; c) Only in a low whisper; d) Only if they are in last place</t>
  </si>
  <si>
    <t>b) Yes, it is a common way to encourage a horse</t>
  </si>
  <si>
    <t>Jockeys often use vocal encouragement in addition to physical cues to communicate with their mount.</t>
  </si>
  <si>
    <t>What happens if a horse is found to have a banned substance in its system that was administered maliciously by a rival?</t>
  </si>
  <si>
    <t>a) The owner is still held responsible under the "strict liability" rule; b) The rival is banned, and the horse is cleared; c) The race is re-run; d) The owner is given a chance to prove sabotage</t>
  </si>
  <si>
    <t>a) The owner is still held responsible under the "strict liability" rule</t>
  </si>
  <si>
    <t>While an investigation may follow, the "trainer responsibility" rule means the horse is disqualified regardless of how the substance was administered.</t>
  </si>
  <si>
    <t>Are there rules about the minimum level of prize money for an official race?</t>
  </si>
  <si>
    <t>a) No, it can be any amount; b) Yes, the racing authority sets a minimum purse for each race class; c) The prize money is determined by the number of entrants; d) The minimum is set by the government</t>
  </si>
  <si>
    <t>b) Yes, the racing authority sets a minimum purse for each race class</t>
  </si>
  <si>
    <t>To maintain the quality of competition, different classes of races have minimum prize money levels set by the governing body.</t>
  </si>
  <si>
    <t>What is the rule if a horse's equipment, like its bridle, breaks right as the starting gate opens?</t>
  </si>
  <si>
    <t>a) The horse is declared a "non-starter" and bets are refunded; b) The jockey must try to control the horse; c) The race is restarted; d) The horse is automatically disqualified</t>
  </si>
  <si>
    <t>a) The horse is declared a "non-starter" and bets are refunded</t>
  </si>
  <si>
    <t>If a horse is unable to race due to an equipment malfunction at the exact moment of the start, it is declared a non-starter.</t>
  </si>
  <si>
    <t>Can an owner give their jockey specific instructions on how to ride the race?</t>
  </si>
  <si>
    <t>a) No, the jockey makes all the decisions; b) Yes, this is a standard and expected practice; c) Only in writing before the race; d) Only if the trainer is not present</t>
  </si>
  <si>
    <t>b) Yes, this is a standard and expected practice</t>
  </si>
  <si>
    <t>The owner and trainer will almost always confer with the jockey in the paddock to discuss strategy and give riding instructions.</t>
  </si>
  <si>
    <t>What is the official procedure if a swarm of bees or other hazardous insects appears on the track?</t>
  </si>
  <si>
    <t>a) The jockeys must navigate around them; b) The race is postponed or cancelled for safety; c) The race continues with a warning announcement; d) The jockeys are given protective gear</t>
  </si>
  <si>
    <t>b) The race is postponed or cancelled for safety</t>
  </si>
  <si>
    <t>Any hazardous situation that poses a danger to horses or jockeys is grounds for stopping or postponing the race.</t>
  </si>
  <si>
    <t>Is it a requirement for a horse to have a name registered before it can race?</t>
  </si>
  <si>
    <t>a) No, it can race under its sire's name; b) Yes, all horses must have a unique, registered name; c) It can race with just its number; d) Only champion horses need names</t>
  </si>
  <si>
    <t>b) Yes, all horses must have a unique, registered name</t>
  </si>
  <si>
    <t>For identification and record-keeping, every racehorse must be officially named and registered with the appropriate authority.</t>
  </si>
  <si>
    <t>If a jockey is suspended, can their spouse or family member take over the ownership of their horses to continue racing them?</t>
  </si>
  <si>
    <t>a) Yes, this is allowed; b) No, this is seen as circumventing the suspension; c) Only if the family member is a licensed trainer; d) Only for a short period of time</t>
  </si>
  <si>
    <t>b) No, this is seen as circumventing the suspension</t>
  </si>
  <si>
    <t>Racing authorities have rules to prevent suspended individuals from continuing to participate in the sport through proxies.</t>
  </si>
  <si>
    <t>What is the rule about a jockey using the whip on a horse's head?</t>
  </si>
  <si>
    <t>a) It is allowed in the final stretch; b) It is strictly forbidden at all times; c) Only a light tap is permitted; d) Only if the horse is being difficult</t>
  </si>
  <si>
    <t>b) It is strictly forbidden at all times</t>
  </si>
  <si>
    <t>Striking a horse on or near its head is a major violation of animal welfare rules and results in a severe penalty.</t>
  </si>
  <si>
    <t>What is the purpose of the "patrol judge" located around the track?</t>
  </si>
  <si>
    <t>a) To time the horses' splits; b) To observe the race and report any fouls or incidents; c) To provide medical aid to jockeys; d) To manage the crowd</t>
  </si>
  <si>
    <t>b) To observe the race and report any fouls or incidents</t>
  </si>
  <si>
    <t>Patrol judges are officials stationed at various points of the track to watch for any rule infractions that the stewards might miss.</t>
  </si>
  <si>
    <t>Can a horse be disqualified if its owner has not paid their registration fees?</t>
  </si>
  <si>
    <t>a) No, the owner is just fined; b) Yes, the horse is ineligible to race; c) The prize money is withheld until the fees are paid; d) Only if it's a repeat offense</t>
  </si>
  <si>
    <t>b) Yes, the horse is ineligible to race</t>
  </si>
  <si>
    <t>A horse is not considered officially entered and cannot race if its owner has outstanding fees or is not in good standing with the racing authority.</t>
  </si>
  <si>
    <t>What happens if a jockey intentionally drops a lead weight from their saddle during the race to be lighter?</t>
  </si>
  <si>
    <t>a) It is a clever but legal tactic; b) The jockey is banned for life for fraudulent practice; c) A time penalty is added to their finish; d) They are fined but the result stands</t>
  </si>
  <si>
    <t>b) The jockey is banned for life for fraudulent practice</t>
  </si>
  <si>
    <t>Deliberately altering the weight a horse carries is a major act of fraud and is one of the most severely punished offenses in racing.</t>
  </si>
  <si>
    <t>Is a jockey allowed to wear glasses or goggles during a race?</t>
  </si>
  <si>
    <t>a) No, they must have clear vision; b) Yes, protective goggles are standard and mandatory equipment; c) Only if they are prescription glasses; d) Only in dusty conditions</t>
  </si>
  <si>
    <t>b) Yes, protective goggles are standard and mandatory equipment</t>
  </si>
  <si>
    <t>Jockeys wear goggles to protect their eyes from dirt, sand, and debris kicked up by other horses.</t>
  </si>
  <si>
    <t>What is the rule if a horse is found to have been trained on an illegal, private track?</t>
  </si>
  <si>
    <t>a) There is no rule against this; b) The horse may be declared ineligible to race at official tracks; c) The trainer is warned; d) The horse must pass an extra fitness test</t>
  </si>
  <si>
    <t>b) The horse may be declared ineligible to race at official tracks</t>
  </si>
  <si>
    <t>To ensure fair and regulated training, horses may be required to train only at officially sanctioned facilities.</t>
  </si>
  <si>
    <t>What is the official term for the last horse to finish in a race?</t>
  </si>
  <si>
    <t>a) The anchor; b) The caboose; c) The lantern rouge; d) There is no official term</t>
  </si>
  <si>
    <t>d) There is no official term</t>
  </si>
  <si>
    <t>While informal terms exist, there is no official designation in the rules for the horse that finishes last.</t>
  </si>
  <si>
    <t>Can a jockey be penalized for using the whip in a continuous, rhythmic motion instead of giving the horse time to respond?</t>
  </si>
  <si>
    <t>a) No, this is an effective technique; b) Yes, this is considered overuse of the whip; c) Only if the horse shows signs of distress; d) Only in races for young horses</t>
  </si>
  <si>
    <t>b) Yes, this is considered overuse of the whip</t>
  </si>
  <si>
    <t>Whip rules often state that a jockey must give the horse time to respond between strikes and cannot use it relentlessly.</t>
  </si>
  <si>
    <t>What is the protocol if a serious security threat is reported at the racetrack?</t>
  </si>
  <si>
    <t>a) The races continue with increased security; b) The event is immediately cancelled and the venue evacuated; c) Only the betting areas are closed; d) The jockeys are informed and can choose to ride</t>
  </si>
  <si>
    <t>b) The event is immediately cancelled and the venue evacuated</t>
  </si>
  <si>
    <t>The safety of the public, participants, and animals is the number one priority, leading to an immediate evacuation.</t>
  </si>
  <si>
    <t>What is the rule regarding the use of "nasal strips" on a horse?</t>
  </si>
  <si>
    <t>a) They are banned as performance enhancers; b) They are permitted as they help with breathing; c) Only with a veterinary prescription; d) Only in hot weather</t>
  </si>
  <si>
    <t>b) They are permitted as they help with breathing</t>
  </si>
  <si>
    <t>Nasal strips, which are believed to open nasal passages, are considered legal therapeutic equipment.</t>
  </si>
  <si>
    <t>If a jockey is suspended, are they still allowed to exercise horses in the morning?</t>
  </si>
  <si>
    <t>a) Yes, exercising is not racing; b) No, they are banned from all official grounds; c) Only under supervision; d) Only their own horses</t>
  </si>
  <si>
    <t>b) No, they are banned from all official grounds</t>
  </si>
  <si>
    <t>A suspension typically prohibits a jockey from being on the premises of any official racetrack for any purpose.</t>
  </si>
  <si>
    <t>What is the maximum number of races a single horse can run in one day?</t>
  </si>
  <si>
    <t>a) Three; b) Two; c) One; d) There is no limit</t>
  </si>
  <si>
    <t>c) One</t>
  </si>
  <si>
    <t>For welfare reasons, a horse is only permitted to participate in one race on any given race day.</t>
  </si>
  <si>
    <t>Is it a foul if a jockey makes a celebratory gesture, like raising their whip, just before crossing the finish line?</t>
  </si>
  <si>
    <t>a) No, it is allowed; b) Yes, if they stop riding their horse to the finish; c) Only if they are not in the lead; d) It is mandatory for winners</t>
  </si>
  <si>
    <t>b) Yes, if they stop riding their horse to the finish</t>
  </si>
  <si>
    <t>A jockey can be fined or even have their horse disqualified if they stop riding and celebrate prematurely, potentially costing them a better placing.</t>
  </si>
  <si>
    <t>What is the rule on horses that are "rigs" or "cryptorchids" (having an undescended testicle)?</t>
  </si>
  <si>
    <t>a) They are banned from racing; b) They are allowed to race but must be declared; c) They can only race against other rigs; d) They must be gelded before racing</t>
  </si>
  <si>
    <t>b) They are allowed to race but must be declared</t>
  </si>
  <si>
    <t>This is a medical condition that must be officially declared on the horse's registration for breeding and identification purposes.</t>
  </si>
  <si>
    <t>What is the official procedure if a jockey's helmet is found to be non-compliant with safety standards?</t>
  </si>
  <si>
    <t>a) They can sign a waiver and race; b) They must replace it with a compliant helmet or they cannot ride; c) They are fined after the race; d) A small modification is allowed</t>
  </si>
  <si>
    <t>b) They must replace it with a compliant helmet or they cannot ride</t>
  </si>
  <si>
    <t>Safety equipment rules are absolute. A jockey cannot participate without an officially approved helmet.</t>
  </si>
  <si>
    <t>Can an owner enter a "protest" against their own jockey for not following instructions?</t>
  </si>
  <si>
    <t>a) No, protests are only against other competitors; b) Yes, an owner can file a protest for unsatisfactory riding; c) Only if the jockey is suspected of betting; d) Only if it's a championship race</t>
  </si>
  <si>
    <t>a) No, protests are only against other competitors</t>
  </si>
  <si>
    <t>Formal race-day protests are for incidents during the race, like interference. An owner's dissatisfaction with their jockey is handled privately or through the racing authority.</t>
  </si>
  <si>
    <t>What is the rule if a horse is found to have been given large amounts of sugar or honey right before a race?</t>
  </si>
  <si>
    <t>a) It is a legal energy boost; b) It is considered an illegal act of "milkshaking" and is a doping violation; c) It is allowed but must be declared; d) There are no rules on sugar</t>
  </si>
  <si>
    <t>b) It is considered an illegal act of "milkshaking" and is a doping violation</t>
  </si>
  <si>
    <t>Administering large amounts of alkaline substances (like bicarbonate and sugar) to ward off fatigue is an illegal practice.</t>
  </si>
  <si>
    <t>Are there rules about the minimum number of jockeys required for a race to be considered an official betting event?</t>
  </si>
  <si>
    <t>a) No, any number is fine; b) Yes, usually a minimum of 5 or 6 runners is required; c) The minimum is 8 runners; d) The minimum is 3 runners</t>
  </si>
  <si>
    <t>b) Yes, usually a minimum of 5 or 6 runners is required</t>
  </si>
  <si>
    <t>For a race to be viable for betting, most jurisdictions require a minimum number of starters to ensure a competitive field.</t>
  </si>
  <si>
    <t>What happens if a jockey accidentally drops their lead weight pad (used to make weight) during the race?</t>
  </si>
  <si>
    <t>a) They are automatically disqualified upon weighing in light; b) They can pick it up if it's safe; c) There is no penalty; d) They are fined but the result stands</t>
  </si>
  <si>
    <t>a) They are automatically disqualified upon weighing in light</t>
  </si>
  <si>
    <t>If a jockey loses a piece of their assigned weight during the race, they will fail the post-race weigh-in and their horse will be disqualified.</t>
  </si>
  <si>
    <t>Is it mandatory for a horse to be tattooed on its lip for identification?</t>
  </si>
  <si>
    <t>a) Yes, it is the only accepted method; b) No, microchips have largely replaced tattoos; c) Only for imported horses; d) Tattoos are illegal</t>
  </si>
  <si>
    <t>b) No, microchips have largely replaced tattoos</t>
  </si>
  <si>
    <t>While lip tattoos were the long-standing method, microchips are now the modern, standard form of identification in most racing jurisdictions.</t>
  </si>
  <si>
    <t>What is the penalty for a jockey who fails to make a genuine effort to control a difficult horse, thereby interfering with others?</t>
  </si>
  <si>
    <t>a) A warning; b) A fine and/or suspension for careless riding; c) The horse is banned; d) There is no penalty</t>
  </si>
  <si>
    <t>b) A fine and/or suspension for careless riding</t>
  </si>
  <si>
    <t>A jockey is responsible for the horse they are riding and can be penalized if they fail to control it, leading to interference.</t>
  </si>
  <si>
    <t>Are there rules about the age and condition of the saddles used in a race?</t>
  </si>
  <si>
    <t>a) No, any saddle is fine; b) Yes, saddles must be in good condition and approved by the clerk of scales; c) Saddles must be a certain brand; d) Only leather saddles are allowed</t>
  </si>
  <si>
    <t>b) Yes, saddles must be in good condition and approved by the clerk of scales</t>
  </si>
  <si>
    <t>Officials can prohibit the use of any equipment, including saddles, if it is deemed to be unsafe or in poor repair.</t>
  </si>
  <si>
    <t>What is the procedure if a horse gets loose in the paddock before the race and injures a person?</t>
  </si>
  <si>
    <t>a) The horse is immediately disqualified and may be suspended; b) The incident is ignored, and the race continues; c) The owner is fined, but the horse can still race; d) The injured person is responsible for being too close</t>
  </si>
  <si>
    <t>a) The horse is immediately disqualified and may be suspended</t>
  </si>
  <si>
    <t>An unruly horse that causes injury will be withdrawn by the stewards for safety reasons, and the trainer may face an inquiry.</t>
  </si>
  <si>
    <t>Can a horse be banned from racing at a particular track if it has a history of poor performance there?</t>
  </si>
  <si>
    <t>a) No, that would be unfair; b) Yes, the racing secretary can refuse entry to consistently non-competitive horses; c) Only if the owner agrees; d) Only if it is a safety risk</t>
  </si>
  <si>
    <t>b) Yes, the racing secretary can refuse entry to consistently non-competitive horses</t>
  </si>
  <si>
    <t>To maintain the quality of competition, officials have the right to refuse the entry of a horse that is clearly out of its class.</t>
  </si>
  <si>
    <t>What is the rule about a jockey using the whip on the horse's flank (side) area?</t>
  </si>
  <si>
    <t>a) It is the required and correct place to use the whip; b) It is strictly forbidden; c) It is only allowed on young horses; d) A maximum of two strikes are allowed there</t>
  </si>
  <si>
    <t>a) It is the required and correct place to use the whip</t>
  </si>
  <si>
    <t>Whip rules specify that it should be used on the hindquarters or flank area to encourage the horse, never on the head, belly, or front legs.</t>
  </si>
  <si>
    <t>What happens if a horse's official registration papers are found to be forged or altered?</t>
  </si>
  <si>
    <t>a) The papers are corrected; b) The horse and owner are banned from the sport for life; c) A large fine is issued; d) The horse must undergo a DNA test</t>
  </si>
  <si>
    <t>b) The horse and owner are banned from the sport for life</t>
  </si>
  <si>
    <t>Fraudulent registration is a major offense against the integrity of the sport and results in the most severe penalties.</t>
  </si>
  <si>
    <t>Is a jockey allowed to wear a personal sponsor's logo that conflicts with the race's official sponsor?</t>
  </si>
  <si>
    <t>a) Yes, personal sponsors take priority; b) No, the race sponsor's branding must be displayed; c) They can wear both logos; d) They must pay a fee to wear a conflicting logo</t>
  </si>
  <si>
    <t>b) No, the race sponsor's branding must be displayed</t>
  </si>
  <si>
    <t>Jockeys are typically required to wear branding as stipulated by the racing club for a particular event, overriding personal sponsorships.</t>
  </si>
  <si>
    <t>What is the official decision if a race is run over the wrong distance due to an error by the track officials?</t>
  </si>
  <si>
    <t>a) The result stands; b) The race is declared void and is usually re-run; c) All horses are given the same finishing time; d) The prize money is split among all runners</t>
  </si>
  <si>
    <t>b) The race is declared void and is usually re-run</t>
  </si>
  <si>
    <t>A race not run under the advertised conditions (like the correct distance) is invalid, and stewards will declare it a "no race."</t>
  </si>
  <si>
    <t>What is the rule if a jockey is found to be carrying a prohibited item like a sharp object or goad?</t>
  </si>
  <si>
    <t>a) The item is confiscated, and a warning is issued; b) The jockey receives a lifetime ban from racing; c) The jockey is fined heavily; d) The jockey is suspended for one year</t>
  </si>
  <si>
    <t>b) The jockey receives a lifetime ban from racing</t>
  </si>
  <si>
    <t>Possession of an object intended to inflict severe pain on a horse is an extreme animal cruelty violation and is met with a lifetime ban.</t>
  </si>
  <si>
    <t>What is the term for the official document that lists all the horses, jockeys, and weights for a race day?</t>
  </si>
  <si>
    <t>a) The Racecard; b) The Almanac; c) The Ledger; d) The Roster</t>
  </si>
  <si>
    <t>a) The Racecard</t>
  </si>
  <si>
    <t>A racecard, or official program, is the publication that provides all the key information for the day's races.</t>
  </si>
  <si>
    <t>If a horse is disqualified by the stewards after a race, what happens to the bets placed on that horse?</t>
  </si>
  <si>
    <t>a) The bets are still lost; b) The bets are refunded; c) The bets are transferred to the new winner; d) Only a portion of the bet is refunded</t>
  </si>
  <si>
    <t>b) The bets are refunded</t>
  </si>
  <si>
    <t>If a horse is disqualified for an infraction during the race (like interference), all bets placed on that horse are typically refunded.</t>
  </si>
  <si>
    <t>What is the rule on the use of earplugs for horses?</t>
  </si>
  <si>
    <t>a) They are banned; b) They are permitted but must be declared and removed before the race; c) They can be worn during the race; d) Only for nervous horses</t>
  </si>
  <si>
    <t>b) They are permitted but must be declared and removed before the race</t>
  </si>
  <si>
    <t>Earplugs are often used to keep a horse calm in the noisy paddock, but they must be taken out before the race begins.</t>
  </si>
  <si>
    <t>Can a jockey be penalized for not keeping their horse on a straight course in the final stretch?</t>
  </si>
  <si>
    <t>a) No, as long as they don't interfere with others; b) Yes, even if no interference occurs; c) Only if they lose the race; d) Only if another jockey complains</t>
  </si>
  <si>
    <t>b) Yes, even if no interference occurs</t>
  </si>
  <si>
    <t>Jockeys are required to keep their mounts as straight as possible to avoid the potential for interference, and can be fined for failing to do so.</t>
  </si>
  <si>
    <t>What is the role of a racing 'steward' at a Sudanese racetrack?</t>
  </si>
  <si>
    <t>a) To train the horses; b) To manage the betting windows; c) To act as the chief official enforcing all rules and regulations; d) To commentate on the race</t>
  </si>
  <si>
    <t>c) To act as the chief official enforcing all rules and regulations</t>
  </si>
  <si>
    <t>Stewards are the highest-ranking officials who oversee the entire race meeting, conduct inquiries, and hand out penalties.</t>
  </si>
  <si>
    <t>If a jockey is known to have a medical condition like epilepsy, what is required for them to be licensed?</t>
  </si>
  <si>
    <t>a) They are not eligible for a license; b) A specialist's medical clearance certifying they are safe to ride; c) They can only ride in shorter races; d) They must have a co-rider</t>
  </si>
  <si>
    <t>b) A specialist's medical clearance certifying they are safe to ride</t>
  </si>
  <si>
    <t>Jockeys must pass rigorous medical examinations, and those with pre-existing conditions need clearance from a specialist to be licensed.</t>
  </si>
  <si>
    <t>What is the rule about the ownership of a horse? Can a horse be owned by a large group of people?</t>
  </si>
  <si>
    <t>a) No, a maximum of two owners is allowed; b) Yes, through a registered syndicate or partnership; c) Only if the horse is not a champion; d) Only if all owners are from the same family</t>
  </si>
  <si>
    <t>b) Yes, through a registered syndicate or partnership</t>
  </si>
  <si>
    <t>Horse racing allows for group ownership through officially registered syndicates, making it more accessible.</t>
  </si>
  <si>
    <t>What is the official procedure if the starting gate bell rings, but the gates fail to open?</t>
  </si>
  <si>
    <t>a) The jockeys must wait; b) It is declared a false start and the horses are removed and reloaded; c) The horses are started manually with a flag; d) The race is cancelled</t>
  </si>
  <si>
    <t>b) It is declared a false start and the horses are removed and reloaded</t>
  </si>
  <si>
    <t>If the gates fail to open upon the start signal, it is a mechanical malfunction that requires a full restart procedure.</t>
  </si>
  <si>
    <t>Are there any rules regarding the advertising of banned substances at a racetrack?</t>
  </si>
  <si>
    <t>a) No, advertising is not regulated; b) Yes, advertising for any illegal or banned product is prohibited; c) Only on race days; d) Only in the jockey's room</t>
  </si>
  <si>
    <t>b) Yes, advertising for any illegal or banned product is prohibited</t>
  </si>
  <si>
    <t>To maintain the sport's integrity, racetracks have rules against promoting any substances that are on the official banned list.</t>
  </si>
  <si>
    <t>What is the penalty for a jockey who is found to have intentionally held back a horse to manipulate its handicap for a future race?</t>
  </si>
  <si>
    <t>a) A warning; b) A long-term suspension for fraud; c) The horse is given a lower handicap; d) A fine</t>
  </si>
  <si>
    <t>b) A long-term suspension for fraud</t>
  </si>
  <si>
    <t>This is a serious fraudulent practice designed to cheat the system and is met with a severe suspension.</t>
  </si>
  <si>
    <t>What is the minimum age for a cow to be eligible to participate in fighting competitions in Sudan?</t>
  </si>
  <si>
    <t>a) 6 months; b) 1 year; c) 3 years; d) 5 years</t>
  </si>
  <si>
    <t>b) 1 year</t>
  </si>
  <si>
    <t>Cows participating in wrestling must be at least one year old to ensure their strength.</t>
  </si>
  <si>
    <t>What are the most appropriate times of day for training cows for fighting in Sudan to avoid extreme heat?</t>
  </si>
  <si>
    <t>a) Early morning only; b) Evening only; c) All day; d) During break times only</t>
  </si>
  <si>
    <t>c) All day</t>
  </si>
  <si>
    <t>Training can be done throughout the day, but preferably at times that do not conflict with the hot sun.</t>
  </si>
  <si>
    <t>Is cow fighting training in Sudan required to be conducted under official government supervision?</t>
  </si>
  <si>
    <t>a) Yes; b) No; c) Only on major occasions; d) Sometimes</t>
  </si>
  <si>
    <t>a) Yes</t>
  </si>
  <si>
    <t>The government supervises training to ensure compliance with laws and safety.</t>
  </si>
  <si>
    <t>Are farmers in Sudan permitted to use special tools such as chains during cow fighting?</t>
  </si>
  <si>
    <t>a) Yes; b) No; c) Only in training; d) Only for professionals</t>
  </si>
  <si>
    <t>b) No</t>
  </si>
  <si>
    <t>The use of implements such as chains is not permitted in cow fighting.</t>
  </si>
  <si>
    <t>What is the minimum number of attendees that must be present for a cow fighting competition in Sudan to proceed?</t>
  </si>
  <si>
    <t>a) 10 people; b) 20 people; c) 50 people; d) No limit</t>
  </si>
  <si>
    <t>d) There is no specific limit.</t>
  </si>
  <si>
    <t>The number of attendees may vary depending on the event, and there is no specific limit.</t>
  </si>
  <si>
    <t>Are participants in cow fighting competitions in Sudan required to wear special protective clothing?</t>
  </si>
  <si>
    <t>a) Yes; b) No; c) In some cases; d) Depends on the type of wrestling</t>
  </si>
  <si>
    <t>Participants must wear protective clothing to ensure their safety.</t>
  </si>
  <si>
    <t>Is a cow that is known to be sick permitted to participate in a fighting competition?</t>
  </si>
  <si>
    <t>a) Yes; b) No; c) Only after treatment; d) Based on the veterinarian's decision</t>
  </si>
  <si>
    <t>Cows suffering from diseases are not allowed to participate in wrestling.</t>
  </si>
  <si>
    <t>Are human participants in cow fighting events in Sudan allowed to use weapons?</t>
  </si>
  <si>
    <t>a) Yes; b) No; c) Only in self-defense; d) In emergency situations</t>
  </si>
  <si>
    <t>The use of weapons in wrestling is prohibited for everyone's safety.</t>
  </si>
  <si>
    <t>Can cow fighting competitions in Sudan be held during rainy weather?</t>
  </si>
  <si>
    <t>a) Yes; b) No; c) In special cases; d) Only on hot days</t>
  </si>
  <si>
    <t>c) In special cases</t>
  </si>
  <si>
    <t>In the event of heavy rain, the fight may be cancelled to ensure the safety of the cows.</t>
  </si>
  <si>
    <t>Are trainers in Sudan required to follow specific rules when preparing cows for a fight?</t>
  </si>
  <si>
    <t>a) Yes; b) No; c) Only in competitions; d) Sometimes</t>
  </si>
  <si>
    <t>Trainers must follow precise training rules to ensure proper development of skills.</t>
  </si>
  <si>
    <t>Is it permissible to substitute one cow for another after a competition in Sudan has begun?</t>
  </si>
  <si>
    <t>a) Yes; b) No; c) Only in case of emergency; d) Based on the referee's decision</t>
  </si>
  <si>
    <t>Cows may not be changed after the start of the competition.</t>
  </si>
  <si>
    <t>Are cows in Sudan permitted to compete in more than one match on the same day?</t>
  </si>
  <si>
    <t>a) Yes; b) No; c) In some cases; d) It depends on the age of the cow</t>
  </si>
  <si>
    <t>c) In some cases</t>
  </si>
  <si>
    <t>Cows may be allowed to compete in several matches if they are in good physical condition.</t>
  </si>
  <si>
    <t>Can the audience interfere in any way during a cow fighting match in Sudan?</t>
  </si>
  <si>
    <t>a) Yes; b) No; c) Only in emergency cases; d) Upon request</t>
  </si>
  <si>
    <t>The public should not interfere with the wrestling to maintain its integrity.</t>
  </si>
  <si>
    <t>Are farmers in Sudan allowed to bring cows from other regions to participate in local competitions?</t>
  </si>
  <si>
    <t>a) Yes; b) No; c) Only for well-known farmers; d) In special cases</t>
  </si>
  <si>
    <t>Farmers are allowed to bring cows from different regions to participate in competitions.</t>
  </si>
  <si>
    <t>Do cows participating in fighting competitions in Sudan have to be of a specific breed?</t>
  </si>
  <si>
    <t>a) Yes; b) No; c) Only if strong; d) Only in some competitions</t>
  </si>
  <si>
    <t>Cows must be of a certain breed to maintain competition quality.</t>
  </si>
  <si>
    <t>Is it required for cows in Sudan to be officially registered before entering a fighting competition?</t>
  </si>
  <si>
    <t>a) Yes; b) No; c) Only in major competitions; d) If requested by the organizers</t>
  </si>
  <si>
    <t>Cows must be registered to ensure everything is legal and appropriate.</t>
  </si>
  <si>
    <t>Are there fines imposed on farmers in Sudan who do not comply with the local cow fighting laws?</t>
  </si>
  <si>
    <t>a) Yes; b) No; c) In some cases; d) It depends on the type of violation</t>
  </si>
  <si>
    <t>Fines are imposed on farmers who do not comply with the rules.</t>
  </si>
  <si>
    <t>Is every competitor in a Sudanese cow fighting competition required to sign a participation contract?</t>
  </si>
  <si>
    <t>a) Yes; b) No; c) Only in major competitions; d) Only if the competition organizer requests it</t>
  </si>
  <si>
    <t>Each competitor must sign a contract to participate in the competition.</t>
  </si>
  <si>
    <t>Is cow fighting permitted in public, non-designated places in Sudan?</t>
  </si>
  <si>
    <t>a) Yes; b) No; c) Only in some places; d) Only in open places</t>
  </si>
  <si>
    <t>c) Only in some places</t>
  </si>
  <si>
    <t>Wrestling must take place in designated places and approved by the competent authorities.</t>
  </si>
  <si>
    <t>Is there a specific time limit for each round of a cow fighting match in Sudan?</t>
  </si>
  <si>
    <t>a) Yes; b) No; c) Depending on the continuity of the competition; d) Only in the case of a clear winner</t>
  </si>
  <si>
    <t>A specific time is set for each round to ensure fairness among participants.</t>
  </si>
  <si>
    <t>Is it permissible for cows to be given food as a means of rest between fighting rounds in Sudan?</t>
  </si>
  <si>
    <t>a) Yes; b) No; c) Only in long rounds; d) Depending on the type of competition</t>
  </si>
  <si>
    <t>c) Only on long tours</t>
  </si>
  <si>
    <t>Food and drinks are permitted as a convenience during long tours.</t>
  </si>
  <si>
    <t>Is there a specific minimum age requirement to act as a supervisor in a Sudanese cow fighting competition?</t>
  </si>
  <si>
    <t>a) Yes; b) No; c) Only for professional supervisors; d) Depends on local laws</t>
  </si>
  <si>
    <t>The supervisor must be of the appropriate age to ensure responsibility.</t>
  </si>
  <si>
    <t>Are cows in Sudan required to be given rest periods in special areas during a fighting competition?</t>
  </si>
  <si>
    <t>a) Yes; b) No; c) Only during medical assessments; d) In all rounds</t>
  </si>
  <si>
    <t>Cows must be given rest periods during wrestling to ensure they do not become stressed.</t>
  </si>
  <si>
    <t>Are young, immature cows allowed to participate in major fighting competitions in Sudan?</t>
  </si>
  <si>
    <t>a) Yes; b) No; c) Only in special competitions; d) If strong enough</t>
  </si>
  <si>
    <t>Young cows are not allowed to participate in major competitions.</t>
  </si>
  <si>
    <t>Is it legal to use chemical substances to improve a cow's performance in a fight?</t>
  </si>
  <si>
    <t>a) Yes; b) No; c) In some cases; d) Only if under the supervision of a veterinarian</t>
  </si>
  <si>
    <t>The use of performance-enhancing chemicals in wrestling is prohibited.</t>
  </si>
  <si>
    <t>Are participants in Sudanese cow fighting competitions permitted to have a support team present?</t>
  </si>
  <si>
    <t>a) Yes; b) No; c) In some cases; d) Only if the team is professional</t>
  </si>
  <si>
    <t>The use of a support team may be permitted in accordance with the rules of wrestling.</t>
  </si>
  <si>
    <t>Can the established rules of a cow fighting competition in Sudan be modified after the event has already started?</t>
  </si>
  <si>
    <t>a) Yes; b) No; c) In emergency situations only; d) If there is an objection from all participants</t>
  </si>
  <si>
    <t>The rules may not be modified after the competition has started to avoid any unfairness.</t>
  </si>
  <si>
    <t>Is it permissible to change the announced venue of a competition in Sudan under certain circumstances?</t>
  </si>
  <si>
    <t>a) Yes; b) No; c) Only in some cases; d) Only if the location is not suitable</t>
  </si>
  <si>
    <t>c) Only in some cases only</t>
  </si>
  <si>
    <t>The venue of the competition may be changed if circumstances require it.</t>
  </si>
  <si>
    <t>Does the public in Sudan have the ability to vote for the winner of a cow fight?</t>
  </si>
  <si>
    <t>a) Yes; b) No; c) Only in some competitions; d) Only in major competitions</t>
  </si>
  <si>
    <t>The winner is determined based on the cows' performance, not by public vote.</t>
  </si>
  <si>
    <t>Is media coverage of cow fighting in Sudan subject to any form of content censorship?</t>
  </si>
  <si>
    <t>a) Yes; b) No; c) Sometimes; d) Only in major events</t>
  </si>
  <si>
    <t>Wrestling-related media is subject to censorship to ensure that inappropriate content is not published.</t>
  </si>
  <si>
    <t>Are contestants in Sudan obligated to provide official health documents for their cows before participating in a competition?</t>
  </si>
  <si>
    <t>a) Yes; b) No; c) Only in some cases; d) If the competitor is a beginner</t>
  </si>
  <si>
    <t>Health documents must be submitted to ensure the health of participating cows.</t>
  </si>
  <si>
    <t>Are the rules of a cow fighting competition in Sudan allowed to be changed mid-event?</t>
  </si>
  <si>
    <t>a) Yes; b) No; c) If everyone requests; d) Based on the referee's decision</t>
  </si>
  <si>
    <t>The contest is conducted according to the pre-determined rules and is not subject to modification.</t>
  </si>
  <si>
    <t>Are participants in Sudanese cow fighting allowed to use illegal techniques to try to win a match?</t>
  </si>
  <si>
    <t>a) Yes; b) No; c) If the judgment is not observed; d) In some cases</t>
  </si>
  <si>
    <t>Using illegal techniques is against the rules and may result in disqualification of the competitor.</t>
  </si>
  <si>
    <t>Are cows with a history of old injuries allowed to compete in fights in Sudan?</t>
  </si>
  <si>
    <t>a) Yes; b) No; c) Only if the injury is minor; d) If the injury is certain to heal</t>
  </si>
  <si>
    <t>Cows must be in good health and free of any old injuries.</t>
  </si>
  <si>
    <t>Are coaches permitted to intervene during a cow fighting competition in Sudan?</t>
  </si>
  <si>
    <t>a) Yes; b) No; c) Only in emergencies; d) Only in major competitions</t>
  </si>
  <si>
    <t>c) Only in emergencies</t>
  </si>
  <si>
    <t>Trainers are only allowed to intervene in emergency situations such as an injured cow.</t>
  </si>
  <si>
    <t>Is it permissible for a participant to switch their cow with another one after a competition in Sudan has begun?</t>
  </si>
  <si>
    <t>a) Yes; b) No; c) Only in preparatory competitions; d) Based on the decision of the organizing committee</t>
  </si>
  <si>
    <t>Changing cows after the start of the competition is not permitted.</t>
  </si>
  <si>
    <t>Is it permissible for competitors in Sudan to give their cows food between rounds as a means of rest?</t>
  </si>
  <si>
    <t>a) Yes; b) No; c) Only on long trips; d) Sometimes</t>
  </si>
  <si>
    <t>Competitors can use food to rest between rounds to conserve energy.</t>
  </si>
  <si>
    <t>Is it a requirement for all competitors in a Sudanese cow fighting event to be familiar with the local laws?</t>
  </si>
  <si>
    <t>a) Yes; b) No; c) Only coaches; d) If the competition is in a specific region</t>
  </si>
  <si>
    <t>It is essential that competitors are fully aware of local laws.</t>
  </si>
  <si>
    <t>Are participants in cow fighting in Sudan allowed to use ropes to control the cows during a match?</t>
  </si>
  <si>
    <t>a) Yes; b) No; c) Only in some competitions; d) Only in training competitions</t>
  </si>
  <si>
    <t>The use of ropes to control cows is not permitted in wrestling.</t>
  </si>
  <si>
    <t>Are cows in Sudan permitted to fight in unsuitable environmental conditions such as extreme heat or heavy rain?</t>
  </si>
  <si>
    <t>a) Yes; b) No; c) In some cases; d) According to the judgment of the officials</t>
  </si>
  <si>
    <t>Wrestling must take place in environmental conditions that are safe and suitable for the cows.</t>
  </si>
  <si>
    <t>Are cows that are participating in a competition in Sudan required to undergo a pre-fight medical examination?</t>
  </si>
  <si>
    <t>a) Yes; b) No; c) Only in major competitions; d) Only if there are doubts about the health of the cow</t>
  </si>
  <si>
    <t>Participants must undergo a medical examination to ensure they are free from any disease.</t>
  </si>
  <si>
    <t>Is the winner of a cow fighting match in Sudan allowed to participate in another competition on the same day?</t>
  </si>
  <si>
    <t>a) Yes; b) No; c) If he is in good condition; d) If there is enough time between matches</t>
  </si>
  <si>
    <t>c) If it is in good condition</t>
  </si>
  <si>
    <t>A participant may compete in another competition if he or she is in good health.</t>
  </si>
  <si>
    <t>Is the audience permitted to enter the designated fighting area during a cow fighting event in Sudan?</t>
  </si>
  <si>
    <t>a) Yes; b) No; c) In some cases; d) Only if requested by the contestants</t>
  </si>
  <si>
    <t>Spectators are prohibited from entering the fighting area for their own safety and the safety of the competitors.</t>
  </si>
  <si>
    <t>Are farmers in Sudan permitted to change their fighting strategies during a match?</t>
  </si>
  <si>
    <t>a) Yes; b) No; c) Only with the permission of the referee; d) If the change affects performance</t>
  </si>
  <si>
    <t>Farmers can adjust their strategies during the match as they see fit.</t>
  </si>
  <si>
    <t>Is it a rule that all cows participating in fighting competitions in Sudan must be officially registered?</t>
  </si>
  <si>
    <t>Cows must be officially registered before they can enter competitions.</t>
  </si>
  <si>
    <t>Are farmers in Sudan allowed to use nutritional supplements to improve their cow's fighting performance?</t>
  </si>
  <si>
    <t>a) Yes; b) No; c) Only if under the supervision of a veterinarian; d) In some special cases</t>
  </si>
  <si>
    <t>The use of nutritional supplements to enhance performance is not permitted.</t>
  </si>
  <si>
    <t>Are competitors in Sudan permitted to use special tools or equipment to help their cows during a fight?</t>
  </si>
  <si>
    <t>a) Yes; b) No; c) Only in training competitions; d) In some emergency situations</t>
  </si>
  <si>
    <t>Competitors must rely on the cows' own abilities without the use of additional equipment.</t>
  </si>
  <si>
    <t>Are cows that are in an unstable psychological state allowed to participate in fighting competitions in Sudan?</t>
  </si>
  <si>
    <t>a) Yes; b) No; c) Only in case of complete silence; d) If she responds to training</t>
  </si>
  <si>
    <t>Cows must be in a stable psychological state to participate in wrestling.</t>
  </si>
  <si>
    <t>Can farmers in Sudan participate in more than one age category during a single cow fighting competition?</t>
  </si>
  <si>
    <t>a) Yes; b) No; c) Only in case of previous winners; d) Based on age group rules</t>
  </si>
  <si>
    <t>c) Only in the case of previous winners</t>
  </si>
  <si>
    <t>Farmers can participate in different age categories if they have previously won.</t>
  </si>
  <si>
    <t>Are farmers in Sudan allowed to use harsh training methods on their cows before a competition?</t>
  </si>
  <si>
    <t>a) Yes; b) No; c) Only if the cows are strong; d) Based on the trainer's decision</t>
  </si>
  <si>
    <t>The training process must be carried out in a humane and safe manner, without using cruel methods on the cows.</t>
  </si>
  <si>
    <t>What is the official protocol if a cow displays signs of severe distress or exhaustion during a match?</t>
  </si>
  <si>
    <t>a) The match continues; b) The referee must stop the fight immediately; c) The owner can decide whether to continue; d) A 5-minute rest is given</t>
  </si>
  <si>
    <t>b) The referee must stop the fight immediately</t>
  </si>
  <si>
    <t>Animal welfare is paramount, and a referee is obligated to stop the contest if a cow is no longer fit to continue.</t>
  </si>
  <si>
    <t>Are there specific weight classes for cows in Sudanese fighting competitions, similar to boxing?</t>
  </si>
  <si>
    <t>a) Yes, cows are weighed and matched by weight; b) No, matching is done by age and breed only; c) Only in national championships; d) Yes, but the classes are very broad</t>
  </si>
  <si>
    <t>b) No, matching is done by age and breed only</t>
  </si>
  <si>
    <t>Traditionally, matchups are based on the cow's age, breed, and reputation, not on precise weight classes.</t>
  </si>
  <si>
    <t>What is the rule regarding the sharpening or modification of a cow's horns before a fight?</t>
  </si>
  <si>
    <t>a) It is a common and accepted practice; b) It is strictly forbidden; c) Only blunting the tips is allowed; d) It requires a special permit</t>
  </si>
  <si>
    <t>Artificially sharpening or altering the natural state of the horns is illegal and considered a dangerous, unfair advantage.</t>
  </si>
  <si>
    <t>If a cow flees the fighting area and refuses to re-engage, what is the official outcome of the match?</t>
  </si>
  <si>
    <t>a) The match is declared a draw; b) The fleeing cow is declared the loser; c) The match is paused until the cow returns; d) The opponent is given a warning</t>
  </si>
  <si>
    <t>b) The fleeing cow is declared the loser</t>
  </si>
  <si>
    <t>A cow that disengages and runs from the fight is considered to have forfeited the match.</t>
  </si>
  <si>
    <t>Are there regulations concerning the provision of water to the cows during the competition day?</t>
  </si>
  <si>
    <t>a) Water is withheld to make them more aggressive; b) Water must be freely available at all times; c) Only after their final match; d) Only in a designated drinking area</t>
  </si>
  <si>
    <t>b) Water must be freely available at all times</t>
  </si>
  <si>
    <t>To prevent dehydration and ensure animal welfare, cows must have access to clean drinking water.</t>
  </si>
  <si>
    <t>What action is taken if a cow's owner is found to have placed a bet on the fight?</t>
  </si>
  <si>
    <t>a) There is no rule against it; b) A warning is issued; c) Disqualification of the cow and suspension of the owner; d) The bet is nullified</t>
  </si>
  <si>
    <t>c) Disqualification of the cow and suspension of the owner</t>
  </si>
  <si>
    <t>To maintain the integrity of the sport, owners and handlers are prohibited from gambling on their own matches.</t>
  </si>
  <si>
    <t>Is it mandatory for the fighting arena to have a soft, non-abrasive ground surface?</t>
  </si>
  <si>
    <t>a) No, any surface is acceptable; b) Yes, the ground must be prepared with sand or soft earth; c) Only for championship events; d) The owners can choose the surface</t>
  </si>
  <si>
    <t>b) Yes, the ground must be prepared with sand or soft earth</t>
  </si>
  <si>
    <t>The safety of the cows requires a surface that minimizes the risk of injury from falls or slips.</t>
  </si>
  <si>
    <t>What is the rule if a cow is found to have a contagious skin disease during the pre-fight inspection?</t>
  </si>
  <si>
    <t>a) It can compete if the disease is minor; b) It is immediately disqualified and isolated; c) It is allowed to compete but must be last; d) The owner is fined but the cow can fight</t>
  </si>
  <si>
    <t>b) It is immediately disqualified and isolated</t>
  </si>
  <si>
    <t>To prevent the spread of disease to other animals, any cow with a contagious condition is not allowed to participate.</t>
  </si>
  <si>
    <t>Can a fight be won by a "knockout," where one cow is unable to get back on its feet?</t>
  </si>
  <si>
    <t>a) Yes, this is a common way to win; b) No, fights are decided by submission or retreat; c) Only if it happens within the first minute; d) A knockout is considered a draw</t>
  </si>
  <si>
    <t>a) Yes, this is a common way to win</t>
  </si>
  <si>
    <t>A clear win can be declared if one cow overpowers the other to the point where it cannot or will not rise to continue.</t>
  </si>
  <si>
    <t>Are there specific rules about the length of a cow's horns to be eligible for competition?</t>
  </si>
  <si>
    <t>a) Yes, horns must be a minimum length; b) No, horn length is not a factor; c) Only for certain breeds; d) Yes, but only a maximum length is specified</t>
  </si>
  <si>
    <t>b) No, horn length is not a factor</t>
  </si>
  <si>
    <t>While certain horn shapes may be advantageous, there are typically no official rules regulating horn length.</t>
  </si>
  <si>
    <t>What is the protocol for a cow that becomes entangled in a fence or barrier during a fight?</t>
  </si>
  <si>
    <t>a) The fight continues; b) The referee must pause the fight to safely free the animal; c) The entangled cow automatically loses; d) The owner is allowed to enter the ring to help</t>
  </si>
  <si>
    <t>b) The referee must pause the fight to safely free the animal</t>
  </si>
  <si>
    <t>The safety of the animal is the top priority, and the match is halted to resolve any hazardous situation.</t>
  </si>
  <si>
    <t>Is it permissible for a cow's owner to use loud noises (e.g., drums, horns) at ringside to encourage their animal?</t>
  </si>
  <si>
    <t>a) Yes, this is part of the tradition; b) No, all external noise-making is prohibited; c) Only if the opponent agrees; d) Only in the final round</t>
  </si>
  <si>
    <t>b) No, all external noise-making is prohibited</t>
  </si>
  <si>
    <t>To ensure a fair contest based on the animals' natural abilities, creating loud, distracting noises is typically not allowed.</t>
  </si>
  <si>
    <t>What is the official outcome if both cows in a match refuse to engage with each other?</t>
  </si>
  <si>
    <t>a) The larger cow is declared the winner; b) The match is declared a "no contest" or draw; c) The owners are fined; d) The audience votes for a winner</t>
  </si>
  <si>
    <t>b) The match is declared a "no contest" or draw</t>
  </si>
  <si>
    <t>If there is no engagement, there can be no winner, and the match is typically nullified.</t>
  </si>
  <si>
    <t>Are there rules requiring a post-fight veterinary examination for all participating cows?</t>
  </si>
  <si>
    <t>a) No, exams are only for visibly injured cows; b) Yes, a post-fight check is mandatory; c) Only for the losing cow; d) Only in championship events</t>
  </si>
  <si>
    <t>b) Yes, a post-fight check is mandatory</t>
  </si>
  <si>
    <t>To ensure any injuries are promptly treated, a veterinary check after the competition is a standard welfare measure.</t>
  </si>
  <si>
    <t>If a cow is disqualified for a rule violation, is the owner entitled to a refund of the entry fee?</t>
  </si>
  <si>
    <t>a) Yes, a full refund is given; b) No, entry fees are forfeited upon disqualification; c) A partial refund is provided; d) They get a credit for the next event</t>
  </si>
  <si>
    <t>b) No, entry fees are forfeited upon disqualification</t>
  </si>
  <si>
    <t>Disqualification due to a rule breach results in the loss of any entry fees paid.</t>
  </si>
  <si>
    <t>Is it required for the referees and judges to be officially certified by a governing body?</t>
  </si>
  <si>
    <t>a) No, any experienced elder can be a judge; b) Yes, officials must hold a valid certification; c) Only for the main referee; d) Only for national competitions</t>
  </si>
  <si>
    <t>b) Yes, officials must hold a valid certification</t>
  </si>
  <si>
    <t>To ensure consistent and fair rule enforcement, official competitions require certified judges.</t>
  </si>
  <si>
    <t>What is the rule regarding the use of traditional herbal remedies on a cow before a fight?</t>
  </si>
  <si>
    <t>a) All remedies are banned; b) They are allowed, provided they contain no banned substances; c) Only external rubs are permitted; d) Only with a veterinarian's prescription</t>
  </si>
  <si>
    <t>b) They are allowed, provided they contain no banned substances</t>
  </si>
  <si>
    <t>Traditional practices are permitted as long as they do not involve prohibited performance-enhancing drugs.</t>
  </si>
  <si>
    <t>If a cow loses a horn during a fight, what is the immediate decision?</t>
  </si>
  <si>
    <t>a) The fight is stopped, and the injured cow loses; b) The fight continues; c) The fight is declared a draw; d) The opponent is penalized for excessive force</t>
  </si>
  <si>
    <t>a) The fight is stopped, and the injured cow loses</t>
  </si>
  <si>
    <t>A significant injury like losing a horn makes the cow unfit to continue, and the fight is stopped for its safety.</t>
  </si>
  <si>
    <t>Are there specific regulations on the branding or marking of cows for identification?</t>
  </si>
  <si>
    <t>a) No, any type of mark is allowed; b) Yes, only official, humane branding methods are permitted; c) All branding is illegal; d) Only temporary paint can be used</t>
  </si>
  <si>
    <t>b) Yes, only official, humane branding methods are permitted</t>
  </si>
  <si>
    <t>Regulations ensure that identification marks are applied in a way that is clear but does not harm the animal.</t>
  </si>
  <si>
    <t>What is the protocol if an owner physically enters the ring to protest a referee's decision during a match?</t>
  </si>
  <si>
    <t>a) The owner is given a warning; b) The owner's cow is immediately disqualified; c) The referee pauses to discuss the decision; d) The owner is escorted out, and the match continues</t>
  </si>
  <si>
    <t>b) The owner's cow is immediately disqualified</t>
  </si>
  <si>
    <t>Unauthorized entry into the ring is a major violation that results in the disqualification of the associated competitor.</t>
  </si>
  <si>
    <t>Is it permissible to use a cow that is pregnant in a fighting competition?</t>
  </si>
  <si>
    <t>a) Yes, if it is in the early stages; b) No, pregnant cows are strictly prohibited from competing; c) Only if a veterinarian approves it; d) Only in non-contact demonstrations</t>
  </si>
  <si>
    <t>b) No, pregnant cows are strictly prohibited from competing</t>
  </si>
  <si>
    <t>For the health and safety of both the cow and the unborn calf, participation during pregnancy is banned.</t>
  </si>
  <si>
    <t>What is the rule if a cow designated for a fight is found to have been tranquilized?</t>
  </si>
  <si>
    <t>a) It is allowed if the cow is aggressive; b) The cow is disqualified and the owner faces a ban; c) A fine is paid, and the cow is cleared; d) The fight is postponed</t>
  </si>
  <si>
    <t>b) The cow is disqualified and the owner faces a ban</t>
  </si>
  <si>
    <t>Using sedatives is an illegal act of tampering and a serious violation of animal welfare and competition rules.</t>
  </si>
  <si>
    <t>Are there rules about the minimum and maximum number of rounds in a single match?</t>
  </si>
  <si>
    <t>a) No, the fight continues until there is a winner; b) Yes, a match is typically limited to a set number of rounds; c) The number of rounds is decided by the owners; d) It depends on the age of the cows</t>
  </si>
  <si>
    <t>b) Yes, a match is typically limited to a set number of rounds</t>
  </si>
  <si>
    <t>To prevent excessive exhaustion, matches are often structured with a specific number of rounds and a time limit.</t>
  </si>
  <si>
    <t>What happens if a cow attacks a referee or official in the ring?</t>
  </si>
  <si>
    <t>a) The cow is immediately disqualified and may be banned; b) The match is paused and restarted; c) The owner is warned; d) It is considered an accident and the fight continues</t>
  </si>
  <si>
    <t>a) The cow is immediately disqualified and may be banned</t>
  </si>
  <si>
    <t>An animal that is dangerously aggressive towards humans is removed from the competition for safety reasons.</t>
  </si>
  <si>
    <t>Are there regulations about the transportation of cows to and from the competition venue?</t>
  </si>
  <si>
    <t>a) No, transportation is the owner's responsibility; b) Yes, humane transport standards must be met; c) Only for trips over 100 km; d) Only for international competitions</t>
  </si>
  <si>
    <t>b) Yes, humane transport standards must be met</t>
  </si>
  <si>
    <t>Animal welfare laws extend to transportation, requiring that cows are not overcrowded and have adequate ventilation and rest.</t>
  </si>
  <si>
    <t>If a cow is found to have its horns covered in a slippery substance, what is the ruling?</t>
  </si>
  <si>
    <t>a) A warning is given to the owner; b) The substance must be cleaned off before the fight; c) The cow is disqualified for cheating; d) The opponent is allowed to do the same</t>
  </si>
  <si>
    <t>c) The cow is disqualified for cheating</t>
  </si>
  <si>
    <t>Applying foreign substances to the horns to gain an unfair advantage is an act of cheating and results in disqualification.</t>
  </si>
  <si>
    <t>Are there specific guidelines for how a winner is determined if there is no clear retreat or submission?</t>
  </si>
  <si>
    <t>a) The cow that was more aggressive wins; b) The decision is left to the crowd; c) Judges score the fight based on points for dominance; d) The match is always a draw in this case</t>
  </si>
  <si>
    <t>c) Judges score the fight based on points for dominance</t>
  </si>
  <si>
    <t>In indecisive matches, a panel of judges will award the victory based on which cow showed more control and aggression.</t>
  </si>
  <si>
    <t>What is the rule regarding a cow that has been imported from another country to compete?</t>
  </si>
  <si>
    <t>a) It can compete immediately; b) It must undergo a quarantine period and health screening; c) Imported cows are not allowed to compete; d) It can only compete in exhibition matches</t>
  </si>
  <si>
    <t>b) It must undergo a quarantine period and health screening</t>
  </si>
  <si>
    <t>To prevent the introduction of foreign diseases, imported animals are subject to strict quarantine and health protocols.</t>
  </si>
  <si>
    <t>Is it permissible for a handler to use a stick to separate the cows if they become locked together?</t>
  </si>
  <si>
    <t>a) Yes, this is the standard procedure; b) No, only referees can intervene; c) Only if both owners agree; d) No, the cows must separate on their own</t>
  </si>
  <si>
    <t>b) No, only referees can intervene</t>
  </si>
  <si>
    <t>For safety and impartiality, only designated officials are allowed to physically intervene in a fight.</t>
  </si>
  <si>
    <t>What is the penalty for an owner who is found to have entered an underage cow in a competition?</t>
  </si>
  <si>
    <t>a) The owner is warned; b) The cow is disqualified and the owner may be suspended; c) The cow is moved to an exhibition match; d) There is no penalty</t>
  </si>
  <si>
    <t>b) The cow is disqualified and the owner may be suspended</t>
  </si>
  <si>
    <t>Violating the minimum age rule is a serious offense that leads to disqualification and potential suspension for the owner.</t>
  </si>
  <si>
    <t>What is the official protocol if a spectator is injured by a cow that has escaped the fighting ring?</t>
  </si>
  <si>
    <t>a) The spectator is responsible for their own safety; b) The competition is halted, and medical aid is provided; c) The cow's owner is immediately arrested; d) The event continues after the spectator is removed</t>
  </si>
  <si>
    <t>b) The competition is halted, and medical aid is provided</t>
  </si>
  <si>
    <t>The organizers have a duty of care, and any injury to a spectator requires an immediate stop to the event to manage the situation.</t>
  </si>
  <si>
    <t>Is it mandatory for the competition venue to have a double-fenced perimeter?</t>
  </si>
  <si>
    <t>a) No, a single fence is sufficient; b) Yes, for the safety of the crowd; c) Only for championship events; d) It is recommended but not mandatory</t>
  </si>
  <si>
    <t>b) Yes, for the safety of the crowd</t>
  </si>
  <si>
    <t>A double-fenced barrier is a key safety feature to protect spectators in case a cow breaks through the initial fence.</t>
  </si>
  <si>
    <t>Can a cow be disqualified for being too passive and consistently avoiding engagement?</t>
  </si>
  <si>
    <t>a) No, this is a valid defensive strategy; b) Yes, after a warning from the referee; c) Only if the owner instructs it to be passive; d) No, only the aggressive cow is judged</t>
  </si>
  <si>
    <t>b) Yes, after a warning from the referee</t>
  </si>
  <si>
    <t>A cow that refuses to fight can be disqualified for non-engagement, as it undermines the purpose of the competition.</t>
  </si>
  <si>
    <t>Are there rules about the time of day when fights can be held, particularly concerning animal welfare?</t>
  </si>
  <si>
    <t>a) No, fights can be held at any time; b) Yes, fights are often prohibited during the hottest part of the day; c) Only night fights are allowed; d) Fights are only held at dawn</t>
  </si>
  <si>
    <t>b) Yes, fights are often prohibited during the hottest part of the day</t>
  </si>
  <si>
    <t>To prevent heatstroke and exhaustion, many regulations forbid competitions from being held during peak afternoon temperatures.</t>
  </si>
  <si>
    <t>What is the procedure if a cow's registration documents are found to be fraudulent?</t>
  </si>
  <si>
    <t>a) The documents are corrected on site; b) The cow is disqualified and the owner faces a long-term ban; c) A fine is paid, and the cow can compete; d) The cow is re-inspected by a vet</t>
  </si>
  <si>
    <t>b) The cow is disqualified and the owner faces a long-term ban</t>
  </si>
  <si>
    <t>Forgery of official documents is a major offense that results in severe penalties, including suspension from the sport.</t>
  </si>
  <si>
    <t>Is it permissible to use artificial insemination for breeding fighting cows?</t>
  </si>
  <si>
    <t>a) No, only natural mating is allowed; b) Yes, it is a common and accepted breeding method; c) It is allowed but the offspring cannot compete; d) Only for certain approved breeds</t>
  </si>
  <si>
    <t>b) Yes, it is a common and accepted breeding method</t>
  </si>
  <si>
    <t>Modern breeding techniques are often used to propagate the lineage of champion fighting cows.</t>
  </si>
  <si>
    <t>What is the rule if a cow is found to have an infectious disease after competing?</t>
  </si>
  <si>
    <t>a) No action is taken; b) The owner is notified privately; c) All other participants must be notified and their cows tested; d) The prize money is returned</t>
  </si>
  <si>
    <t>c) All other participants must be notified and their cows tested</t>
  </si>
  <si>
    <t>In the event of a post-competition disease discovery, a public health protocol is enacted to trace and contain the outbreak.</t>
  </si>
  <si>
    <t>Can a cow that has previously been used for farm labor be entered into a fighting competition?</t>
  </si>
  <si>
    <t>a) No, only specially bred cows are allowed; b) Yes, as long as it meets the health and age requirements; c) Only in novice-level competitions; d) Only if it has been retired from labor for at least one year</t>
  </si>
  <si>
    <t>b) Yes, as long as it meets the health and age requirements</t>
  </si>
  <si>
    <t>There is no rule against a cow having a background in labor, provided it is fit and healthy to compete.</t>
  </si>
  <si>
    <t>What is the penalty for a handler who attempts to distract their cow's opponent from outside the ring?</t>
  </si>
  <si>
    <t>a) A verbal warning; b) The handler is removed, and their cow is disqualified; c) The match is paused; d) The other team can do the same</t>
  </si>
  <si>
    <t>b) The handler is removed, and their cow is disqualified</t>
  </si>
  <si>
    <t>Outside interference is a serious rule violation that results in the disqualification of the associated cow.</t>
  </si>
  <si>
    <t>Are there any rules restricting the use of certain traditional symbols or colors in a team's attire?</t>
  </si>
  <si>
    <t>a) No, all symbols are allowed; b) Yes, symbols associated with political or extremist groups are banned; c) Only symbols approved by the village elders are allowed; d) Only national colors are permitted</t>
  </si>
  <si>
    <t>b) Yes, symbols associated with political or extremist groups are banned</t>
  </si>
  <si>
    <t>To keep the event free from political conflict, organizers often prohibit the display of controversial or inflammatory symbols.</t>
  </si>
  <si>
    <t>If a referee's decision is formally protested, who makes the final ruling?</t>
  </si>
  <si>
    <t>a) The same referee reconsiders; b) A separate, independent committee of judges; c) The crowd's opinion is taken; d) The two owners must agree</t>
  </si>
  <si>
    <t>b) A separate, independent committee of judges</t>
  </si>
  <si>
    <t>A formal protest is escalated to a neutral panel of senior officials who review the incident to make a final, binding decision.</t>
  </si>
  <si>
    <t>What is the rule regarding a cow that has been tranquilized for transportation to the event?</t>
  </si>
  <si>
    <t>a) It is allowed if the drug wears off before the fight; b) The cow must be tested and cleared by a vet before competing; c) All tranquilizers are banned, even for transport; d) A lower dose is permitted</t>
  </si>
  <si>
    <t>b) The cow must be tested and cleared by a vet before competing</t>
  </si>
  <si>
    <t>If tranquilizers are used for transport, the cow must pass a veterinary check to ensure the substance is out of its system and it is fit to fight.</t>
  </si>
  <si>
    <t>Are there rules about the minimum size of the fighting arena?</t>
  </si>
  <si>
    <t>a) No, any size is acceptable; b) Yes, a minimum size is required for safety; c) The size is determined by the age of the cows; d) The owners decide on the size</t>
  </si>
  <si>
    <t>b) Yes, a minimum size is required for safety</t>
  </si>
  <si>
    <t>Regulations specify a minimum arena size to ensure the cows have adequate space to move and to prevent them from constantly hitting the barriers.</t>
  </si>
  <si>
    <t>What happens if a cow is found to have been given a large amount of caffeine before a fight?</t>
  </si>
  <si>
    <t>a) It is allowed as a natural stimulant; b) The cow is disqualified for doping; c) A time penalty is applied; d) The owner is warned</t>
  </si>
  <si>
    <t>b) The cow is disqualified for doping</t>
  </si>
  <si>
    <t>Even common substances like caffeine are banned if used at levels intended to artificially enhance performance.</t>
  </si>
  <si>
    <t>Can a single owner enter multiple cows in the same competition, but in different matches?</t>
  </si>
  <si>
    <t>a) No, one cow per owner per event; b) Yes, this is allowed and common; c) Only if they are in different age categories; d) Only in non-championship events</t>
  </si>
  <si>
    <t>b) Yes, this is allowed and common</t>
  </si>
  <si>
    <t>An owner can enter multiple different cows in a tournament, as long as each cow only competes in its designated match.</t>
  </si>
  <si>
    <t>What is the official protocol if a cow is discovered to have been stolen?</t>
  </si>
  <si>
    <t>a) It is returned to the original owner and can still compete; b) It is disqualified from the competition and a police report is filed; c) The current handler is fined; d) The cow is held by the federation</t>
  </si>
  <si>
    <t>b) It is disqualified from the competition and a police report is filed</t>
  </si>
  <si>
    <t>Stolen animals are immediately disqualified, and the matter is turned over to law enforcement.</t>
  </si>
  <si>
    <t>Are there regulations about how prize money must be distributed within the winning team (owner, trainer, etc.)?</t>
  </si>
  <si>
    <t>a) Yes, the federation dictates the split; b) No, the distribution is a private agreement; c) The winner takes all; d) 50% must go to the cow's upkeep</t>
  </si>
  <si>
    <t>b) No, the distribution is a private agreement</t>
  </si>
  <si>
    <t>The prize money is awarded to the registered owner, and how they share it with their team is not regulated by the federation.</t>
  </si>
  <si>
    <t>If a cow is disqualified, can its owner immediately substitute it with another cow?</t>
  </si>
  <si>
    <t>a) Yes, if another cow is available; b) No, the match is forfeited; c) Only if the disqualification was for a minor offense; d) Only in the first round</t>
  </si>
  <si>
    <t>b) No, the match is forfeited</t>
  </si>
  <si>
    <t>A disqualification of a competitor results in a loss for that team, and no substitutions are allowed.</t>
  </si>
  <si>
    <t>What is the rule on using technology like GPS trackers to analyze a cow's movement during training?</t>
  </si>
  <si>
    <t>a) It is banned as an unfair advantage; b) It is a permitted and modern training tool; c) Only for professional teams; d) It requires a special license</t>
  </si>
  <si>
    <t>b) It is a permitted and modern training tool</t>
  </si>
  <si>
    <t>The use of technology for performance analysis in training is allowed and encouraged.</t>
  </si>
  <si>
    <t>What is the penalty for a competitor who is found to have bribed a judge?</t>
  </si>
  <si>
    <t>a) A warning; b) A fine; c) A lifetime ban from the sport for all involved; d) The match is re-judged by a different official</t>
  </si>
  <si>
    <t>c) A lifetime ban from the sport for all involved</t>
  </si>
  <si>
    <t>Bribery and corruption are the most serious offenses against the integrity of the sport and are met with the harshest penalties.</t>
  </si>
  <si>
    <t>If a cow is found to have an undeclared, non-contagious medical condition (like arthritis), what is the vet's decision?</t>
  </si>
  <si>
    <t>a) The cow is cleared to fight; b) The cow is disqualified for safety reasons; c) The owner is fined for non-disclosure; d) The opponent is informed and can choose to accept the fight</t>
  </si>
  <si>
    <t>b) The cow is disqualified for safety reasons</t>
  </si>
  <si>
    <t>Even non-contagious conditions can pose a welfare risk or affect performance, leading to disqualification if not disclosed and cleared.</t>
  </si>
  <si>
    <t>Are there specific rules about the material and construction of the fighting ring's fences?</t>
  </si>
  <si>
    <t>a) No, any material can be used; b) Yes, fences must be made of strong, non-injurious materials; c) Only wooden fences are allowed; d) The material depends on the event's sponsor</t>
  </si>
  <si>
    <t>b) Yes, fences must be made of strong, non-injurious materials</t>
  </si>
  <si>
    <t>Safety regulations specify the requirements for the arena's construction to protect both the animals and the spectators.</t>
  </si>
  <si>
    <t>What happens if a cow is found to have performance-altering drugs in its system but the owner claims it was accidental?</t>
  </si>
  <si>
    <t>a) The owner is excused; b) The "strict liability" rule applies, and the cow is disqualified; c) A lower penalty is given; d) The cow is re-tested after 24 hours</t>
  </si>
  <si>
    <t>b) The "strict liability" rule applies, and the cow is disqualified</t>
  </si>
  <si>
    <t>In doping cases, the owner is ultimately responsible for what is in the animal's system, regardless of intent.</t>
  </si>
  <si>
    <t>Is it permissible to use a cow that has been trained with live baiting techniques?</t>
  </si>
  <si>
    <t>a) Yes, it is a traditional training method; b) No, it is an illegal and cruel practice; c) Only in remote, unregulated areas; d) Only with government approval</t>
  </si>
  <si>
    <t>b) No, it is an illegal and cruel practice</t>
  </si>
  <si>
    <t>Any form of animal cruelty in training is strictly forbidden and can lead to a ban from the sport.</t>
  </si>
  <si>
    <t>What is the official procedure if a referee is accidentally injured by a cow during a match?</t>
  </si>
  <si>
    <t>a) The match continues with a substitute referee; b) The cow is immediately disqualified; c) The match is stopped and declared a no-contest; d) The owner of the cow is fined</t>
  </si>
  <si>
    <t>a) The match continues with a substitute referee</t>
  </si>
  <si>
    <t>If an official is injured, they are replaced by a designated backup, and the match resumes once it is safe to do so.</t>
  </si>
  <si>
    <t>Are there rules about the maximum number of handlers allowed in the ring with a cow before a fight?</t>
  </si>
  <si>
    <t>a) No, there is no limit; b) Yes, only a specific number of handlers are allowed; c) It depends on the size of the cow; d) Only the owner is allowed</t>
  </si>
  <si>
    <t>b) Yes, only a specific number of handlers are allowed</t>
  </si>
  <si>
    <t>To prevent chaos and ensure safety, the number of people in the ring with an animal is strictly limited.</t>
  </si>
  <si>
    <t>If a winning cow is found to be younger than the minimum age for its category, what is the consequence?</t>
  </si>
  <si>
    <t>a) The win stands, but the owner is warned; b) The cow is disqualified and the prize money is returned; c) The cow is moved to the correct category retroactively; d) There is no penalty</t>
  </si>
  <si>
    <t>b) The cow is disqualified and the prize money is returned</t>
  </si>
  <si>
    <t>Violating age category rules is a form of cheating that results in disqualification and forfeiture of any winnings.</t>
  </si>
  <si>
    <t>Can a cow with a documented history of fleeing from fights be banned from future competitions?</t>
  </si>
  <si>
    <t>a) No, all cows have a right to compete; b) Yes, if it is deemed to be non-competitive; c) Only if it happens three times in a row; d) Only if the owner agrees</t>
  </si>
  <si>
    <t>b) Yes, if it is deemed to be non-competitive</t>
  </si>
  <si>
    <t>Organizers can refuse entry to animals that consistently fail to engage, as it disrupts the event and disappoints spectators.</t>
  </si>
  <si>
    <t>What is the rule regarding the use of traditional face paint or body markings on the cows?</t>
  </si>
  <si>
    <t>a) They are not allowed; b) They are allowed if they are non-toxic; c) Only certain colors are permitted; d) Only for ceremonial parades, not the actual fight</t>
  </si>
  <si>
    <t>b) They are allowed if they are non-toxic</t>
  </si>
  <si>
    <t>Cultural markings are permitted, provided the materials used are safe and do not cause irritation or harm to the animal.</t>
  </si>
  <si>
    <t>What is the penalty for an owner who is caught trying to bribe an opponent to lose a fight?</t>
  </si>
  <si>
    <t>a) A warning; b) A fine; c) A lifetime ban for both parties involved; d) The match is declared a no-contest</t>
  </si>
  <si>
    <t>c) A lifetime ban for both parties involved</t>
  </si>
  <si>
    <t>Match-fixing is a major offense that undermines the sport's integrity and results in the most severe penalties.</t>
  </si>
  <si>
    <t>Are there rules about the genetics of participating cows, such as banning cross-breeds?</t>
  </si>
  <si>
    <t>a) No, any breed or cross-breed can compete; b) Yes, only purebred local cattle are allowed; c) Cross-breeds compete in a separate category; d) It depends on the specific competition's rules</t>
  </si>
  <si>
    <t>d) It depends on the specific competition's rules</t>
  </si>
  <si>
    <t>While some events are open, many traditional competitions have rules that specify the eligible breeds to preserve local heritage.</t>
  </si>
  <si>
    <t>If a cow gets a minor cut during a fight, can the handler apply a styptic powder to stop the bleeding mid-match?</t>
  </si>
  <si>
    <t>a) Yes, this is allowed; b) No, all forms of mid-match treatment are prohibited; c) Only the official vet can administer treatment; d) The fight must be stopped</t>
  </si>
  <si>
    <t>c) Only the official vet can administer treatment</t>
  </si>
  <si>
    <t>To ensure proper medical care and prevent the use of illegal substances, only the on-site veterinarian can treat an animal during a competition.</t>
  </si>
  <si>
    <t>What is the official procedure if a judge is found to have a financial interest in one of the competing cows?</t>
  </si>
  <si>
    <t>a) The judge is allowed to officiate but must declare their interest; b) The judge is immediately removed and replaced; c) The judge can only score the other fights; d) There is no rule against this</t>
  </si>
  <si>
    <t>b) The judge is immediately removed and replaced</t>
  </si>
  <si>
    <t>To avoid a conflict of interest and ensure impartiality, any official with a connection to a competitor is not allowed to judge that match.</t>
  </si>
  <si>
    <t>Are there rules about the amount of rest a cow must have between different competition events (e.g., between two tournaments)?</t>
  </si>
  <si>
    <t>a) No, it is at the owner's discretion; b) Yes, a mandatory rest period is enforced; c) Only for young cows; d) Only if the cow lost its previous match</t>
  </si>
  <si>
    <t>b) Yes, a mandatory rest period is enforced</t>
  </si>
  <si>
    <t>Animal welfare regulations often specify a minimum number of days a cow must rest between major competitions to prevent burnout and injury.</t>
  </si>
  <si>
    <t>What happens if a cow's handler is found to be using a banned, harsh training device (like an electric prod) at the event?</t>
  </si>
  <si>
    <t>a) The handler is warned; b) The device is confiscated, and the cow is disqualified; c) A fine is issued; d) The handler is replaced with someone else</t>
  </si>
  <si>
    <t>b) The device is confiscated, and the cow is disqualified</t>
  </si>
  <si>
    <t>The use of cruel training devices is a major animal welfare violation that results in immediate disqualification and further penalties.</t>
  </si>
  <si>
    <t>Can an owner challenge the result of a fight based on a veterinarian's post-fight diagnosis (e.g., finding a hidden injury in the opponent)?</t>
  </si>
  <si>
    <t>a) No, the referee's decision in the ring is final; b) Yes, a protest can be filed on these grounds; c) Only if the injury was life-threatening; d) Only if the owner is a veterinarian themselves</t>
  </si>
  <si>
    <t>a) No, the referee's decision in the ring is final</t>
  </si>
  <si>
    <t>The outcome of the fight is determined by what happens in the ring; post-fight findings do not typically overturn the result.</t>
  </si>
  <si>
    <t>Are there rules prohibiting the use of hypnosis or other psychological techniques on cows?</t>
  </si>
  <si>
    <t>a) No, all psychological methods are allowed; b) Yes, this is considered a form of illegal tampering; c) It is not addressed in the rules; d) Only if it is performed by a certified professional</t>
  </si>
  <si>
    <t>c) It is not addressed in the rules</t>
  </si>
  <si>
    <t>While doping and physical tampering are covered, more esoteric methods like hypnosis are generally not mentioned in official regulations.</t>
  </si>
  <si>
    <t>What is the protocol if a cow dies of a heatstroke at a competition venue?</t>
  </si>
  <si>
    <t>a) It is considered an unfortunate accident; b) The owner faces an investigation for negligence; c) The event is immediately cancelled; d) A tribute is held for the animal</t>
  </si>
  <si>
    <t>b) The owner faces an investigation for negligence</t>
  </si>
  <si>
    <t>The death of an animal from a preventable condition like heatstroke can trigger a formal inquiry into potential animal welfare violations.</t>
  </si>
  <si>
    <t>Is it a requirement for the fighting arena to have a designated, secure area for veterinary examinations?</t>
  </si>
  <si>
    <t>a) No, exams can be done anywhere; b) Yes, a proper vet station is mandatory; c) Only for large, international events; d) It is recommended but not required</t>
  </si>
  <si>
    <t>b) Yes, a proper vet station is mandatory</t>
  </si>
  <si>
    <t>Official venues must have a dedicated, safe, and clean area where veterinarians can properly examine the animals.</t>
  </si>
  <si>
    <t>What is the penalty for a handler who refuses to allow their cow to be drug tested?</t>
  </si>
  <si>
    <t>a) A fine; b) The same as a positive test: disqualification and suspension; c) A warning for the first refusal; d) The cow is tested at the next event instead</t>
  </si>
  <si>
    <t>b) The same as a positive test: disqualification and suspension</t>
  </si>
  <si>
    <t>Refusing a doping test is treated as an admission of guilt and carries the same severe penalties as a failed test.</t>
  </si>
  <si>
    <t>If a cow is known to be a "carrier" of a specific genetic defect, can it be banned from competing?</t>
  </si>
  <si>
    <t>a) No, as long as it is healthy; b) Yes, if the defect poses a risk to the animal or others; c) Only if the defect is visible; d) Only if it affects its performance</t>
  </si>
  <si>
    <t>b) Yes, if the defect poses a risk to the animal or others</t>
  </si>
  <si>
    <t>The federation can ban animals with known genetic conditions that could compromise their welfare or safety during a fight.</t>
  </si>
  <si>
    <t>What is the rule if a handler uses an opponent's name in a derogatory way during the pre-fight introductions?</t>
  </si>
  <si>
    <t>a) It is considered part of the spectacle; b) The handler is given a formal warning for unsportsmanlike conduct; c) A point is deducted before the fight starts; d) The handler is immediately ejected</t>
  </si>
  <si>
    <t>b) The handler is given a formal warning for unsportsmanlike conduct</t>
  </si>
  <si>
    <t>Respectful conduct is required at all times, and personal insults are a breach of the code of conduct.</t>
  </si>
  <si>
    <t>Are there rules about the age difference between two competing cows?</t>
  </si>
  <si>
    <t>a) No, any age can fight any age; b) Yes, cows must be in the same age category; c) A maximum of a 2-year age gap is allowed; d) Only in youth competitions</t>
  </si>
  <si>
    <t>b) Yes, cows must be in the same age category</t>
  </si>
  <si>
    <t>To ensure a fair and safe matchup, competitions are divided into strict age categories (e.g., 1-year-olds, 2-year-olds).</t>
  </si>
  <si>
    <t>What is the protocol if an infectious disease outbreak (like foot-and-mouth) is reported in the region of a planned event?</t>
  </si>
  <si>
    <t>a) The event goes on as planned; b) The event is immediately postponed or cancelled; c) Only local cows are allowed to compete; d) All cows must be vaccinated on site</t>
  </si>
  <si>
    <t>b) The event is immediately postponed or cancelled</t>
  </si>
  <si>
    <t>To prevent the spread of a major disease, all animal gatherings, including cow fights, are halted by veterinary authorities.</t>
  </si>
  <si>
    <t>Is it permissible for a cow to wear any form of protective gear, such as horn caps or face shields?</t>
  </si>
  <si>
    <t>a) Yes, if the owner feels it is necessary; b) No, all forms of protective gear are prohibited; c) Only soft horn caps are allowed; d) Only in training sessions</t>
  </si>
  <si>
    <t>b) No, all forms of protective gear are prohibited</t>
  </si>
  <si>
    <t>The sport is a test of the animals' natural abilities, and artificial protection is not allowed.</t>
  </si>
  <si>
    <t>What happens if a cow is found to have been fed a diet containing banned growth hormones?</t>
  </si>
  <si>
    <t>a) The cow is moved to a higher weight class; b) Disqualification and a ban for the owner/trainer; c) A warning is issued; d) The cow is tested again after 30 days</t>
  </si>
  <si>
    <t>b) Disqualification and a ban for the owner/trainer</t>
  </si>
  <si>
    <t>The use of anabolic steroids or growth hormones is a major doping violation.</t>
  </si>
  <si>
    <t>Can a referee's decision be overturned by a higher authority, like the head of the local sports federation?</t>
  </si>
  <si>
    <t>a) No, the referee's decision is always final; b) Yes, but only in cases of a clear rule misinterpretation; c) Yes, if a large enough protest is lodged; d) Only if the referee admits to making a mistake</t>
  </si>
  <si>
    <t>b) Yes, but only in cases of a clear rule misinterpretation</t>
  </si>
  <si>
    <t>While on-the-spot judgments are usually final, a decision can be appealed and overturned if it was based on a fundamental error in applying the rules.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</si>
</sst>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color theme="1"/>
      <name val="Arial"/>
      <scheme val="minor"/>
    </font>
    <font>
      <b/>
      <sz val="11.0"/>
      <color rgb="FFFFFFFF"/>
      <name val="Calibri"/>
    </font>
    <font>
      <sz val="11.0"/>
      <color rgb="FF000000"/>
      <name val="Calibri"/>
    </font>
  </fonts>
  <fills count="4">
    <fill>
      <patternFill patternType="none"/>
    </fill>
    <fill>
      <patternFill patternType="lightGray"/>
    </fill>
    <fill>
      <patternFill patternType="solid">
        <fgColor rgb="FF70AD47"/>
        <bgColor rgb="FF70AD47"/>
      </patternFill>
    </fill>
    <fill>
      <patternFill patternType="solid">
        <fgColor rgb="FFE2EFDA"/>
        <bgColor rgb="FFE2EFDA"/>
      </patternFill>
    </fill>
  </fills>
  <borders count="4">
    <border/>
    <border>
      <left style="thin">
        <color rgb="FFA9D08E"/>
      </left>
      <top style="thin">
        <color rgb="FFA9D08E"/>
      </top>
      <bottom style="thin">
        <color rgb="FFA9D08E"/>
      </bottom>
    </border>
    <border>
      <top style="thin">
        <color rgb="FFA9D08E"/>
      </top>
      <bottom style="thin">
        <color rgb="FFA9D08E"/>
      </bottom>
    </border>
    <border>
      <right style="thin">
        <color rgb="FFA9D08E"/>
      </right>
      <top style="thin">
        <color rgb="FFA9D08E"/>
      </top>
      <bottom style="thin">
        <color rgb="FFA9D08E"/>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quotePrefix="1" borderId="0" fillId="0" fontId="1" numFmtId="0" xfId="0" applyAlignment="1" applyFont="1">
      <alignment shrinkToFit="0" vertical="bottom" wrapText="0"/>
    </xf>
    <xf borderId="1" fillId="2" fontId="3" numFmtId="0" xfId="0" applyAlignment="1" applyBorder="1" applyFill="1" applyFont="1">
      <alignment horizontal="left" readingOrder="0" shrinkToFit="0" vertical="bottom" wrapText="0"/>
    </xf>
    <xf borderId="2" fillId="2" fontId="3" numFmtId="0" xfId="0" applyAlignment="1" applyBorder="1" applyFont="1">
      <alignment horizontal="left" readingOrder="0" shrinkToFit="0" vertical="bottom" wrapText="0"/>
    </xf>
    <xf borderId="3" fillId="2" fontId="3" numFmtId="0" xfId="0" applyAlignment="1" applyBorder="1" applyFont="1">
      <alignment horizontal="left" readingOrder="0" shrinkToFit="0" vertical="bottom" wrapText="0"/>
    </xf>
    <xf borderId="0" fillId="0" fontId="2" numFmtId="0" xfId="0" applyFont="1"/>
    <xf borderId="1" fillId="3" fontId="4" numFmtId="0" xfId="0" applyAlignment="1" applyBorder="1" applyFill="1" applyFont="1">
      <alignment horizontal="right" readingOrder="0" shrinkToFit="0" vertical="bottom" wrapText="0"/>
    </xf>
    <xf borderId="2" fillId="3" fontId="4" numFmtId="0" xfId="0" applyAlignment="1" applyBorder="1" applyFont="1">
      <alignment horizontal="right" readingOrder="0" shrinkToFit="0" vertical="bottom" wrapText="0"/>
    </xf>
    <xf borderId="3" fillId="3" fontId="4" numFmtId="0" xfId="0" applyAlignment="1" applyBorder="1" applyFont="1">
      <alignment horizontal="right" readingOrder="0" shrinkToFit="0" vertical="bottom" wrapText="0"/>
    </xf>
    <xf borderId="1" fillId="0" fontId="4" numFmtId="0" xfId="0" applyAlignment="1" applyBorder="1" applyFont="1">
      <alignment horizontal="right" readingOrder="0" shrinkToFit="0" vertical="bottom" wrapText="0"/>
    </xf>
    <xf borderId="2" fillId="0" fontId="4" numFmtId="0" xfId="0" applyAlignment="1" applyBorder="1" applyFont="1">
      <alignment horizontal="right" readingOrder="0" shrinkToFit="0" vertical="bottom" wrapText="0"/>
    </xf>
    <xf borderId="3" fillId="0" fontId="4" numFmtId="0" xfId="0" applyAlignment="1" applyBorder="1" applyFont="1">
      <alignment horizontal="right" readingOrder="0" shrinkToFit="0" vertical="bottom" wrapText="0"/>
    </xf>
    <xf borderId="1" fillId="3" fontId="4" numFmtId="0" xfId="0" applyAlignment="1" applyBorder="1" applyFont="1">
      <alignment shrinkToFit="0" vertical="bottom" wrapText="0"/>
    </xf>
    <xf borderId="2" fillId="3" fontId="4" numFmtId="0" xfId="0" applyAlignment="1" applyBorder="1" applyFont="1">
      <alignment shrinkToFit="0" vertical="bottom" wrapText="0"/>
    </xf>
    <xf borderId="3" fillId="3" fontId="4" numFmtId="0" xfId="0" applyAlignment="1" applyBorder="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Camel_Racing-style">
      <tableStyleElement dxfId="1" type="headerRow"/>
      <tableStyleElement dxfId="2" type="firstRowStripe"/>
      <tableStyleElement dxfId="3" type="secondRowStripe"/>
      <tableStyleElement dxfId="4" size="0" type="wholeTable"/>
    </tableStyle>
    <tableStyle count="4" pivot="0" name="Camel_Racing-style 2">
      <tableStyleElement dxfId="1" type="headerRow"/>
      <tableStyleElement dxfId="2" type="firstRowStripe"/>
      <tableStyleElement dxfId="3" type="secondRowStripe"/>
      <tableStyleElement dxfId="4" size="0" type="wholeTable"/>
    </tableStyle>
    <tableStyle count="4" pivot="0" name="Nuba_Wrestling-style">
      <tableStyleElement dxfId="1" type="headerRow"/>
      <tableStyleElement dxfId="2" type="firstRowStripe"/>
      <tableStyleElement dxfId="3" type="secondRowStripe"/>
      <tableStyleElement dxfId="4" size="0" type="wholeTable"/>
    </tableStyle>
    <tableStyle count="4" pivot="0" name="Nuba_Wrestling-style 2">
      <tableStyleElement dxfId="1" type="headerRow"/>
      <tableStyleElement dxfId="2" type="firstRowStripe"/>
      <tableStyleElement dxfId="3" type="secondRowStripe"/>
      <tableStyleElement dxfId="4" size="0" type="wholeTable"/>
    </tableStyle>
    <tableStyle count="4" pivot="0" name="Nubian_Stick_Fighting-style">
      <tableStyleElement dxfId="1" type="headerRow"/>
      <tableStyleElement dxfId="2" type="firstRowStripe"/>
      <tableStyleElement dxfId="3" type="secondRowStripe"/>
      <tableStyleElement dxfId="4" size="0" type="wholeTable"/>
    </tableStyle>
    <tableStyle count="4" pivot="0" name="Nubian_Stick_Fighting-style 2">
      <tableStyleElement dxfId="1" type="headerRow"/>
      <tableStyleElement dxfId="2" type="firstRowStripe"/>
      <tableStyleElement dxfId="3" type="secondRowStripe"/>
      <tableStyleElement dxfId="4" size="0" type="wholeTable"/>
    </tableStyle>
    <tableStyle count="4" pivot="0" name="Horse_Racing-style">
      <tableStyleElement dxfId="1" type="headerRow"/>
      <tableStyleElement dxfId="2" type="firstRowStripe"/>
      <tableStyleElement dxfId="3" type="secondRowStripe"/>
      <tableStyleElement dxfId="4" size="0" type="wholeTable"/>
    </tableStyle>
    <tableStyle count="4" pivot="0" name="Cow_Fighting-style">
      <tableStyleElement dxfId="1" type="headerRow"/>
      <tableStyleElement dxfId="2" type="firstRowStripe"/>
      <tableStyleElement dxfId="3" type="secondRowStripe"/>
      <tableStyleElement dxfId="4" size="0" type="wholeTable"/>
    </tableStyle>
    <tableStyle count="4" pivot="0" name="Cow_Fighting-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1" name="Table1" id="1">
  <tableColumns count="5">
    <tableColumn name="No." id="1"/>
    <tableColumn name="Question" id="2"/>
    <tableColumn name="Options" id="3"/>
    <tableColumn name="Answer" id="4"/>
    <tableColumn name="Description" id="5"/>
  </tableColumns>
  <tableStyleInfo name="Camel_Racing-style" showColumnStripes="0" showFirstColumn="1" showLastColumn="1" showRowStripes="1"/>
</table>
</file>

<file path=xl/tables/table2.xml><?xml version="1.0" encoding="utf-8"?>
<table xmlns="http://schemas.openxmlformats.org/spreadsheetml/2006/main" ref="G1:K151" displayName="Table2" name="Table2" id="2">
  <tableColumns count="5">
    <tableColumn name="لا." id="1"/>
    <tableColumn name="سؤال" id="2"/>
    <tableColumn name="خيارات" id="3"/>
    <tableColumn name="إجابة" id="4"/>
    <tableColumn name="وصف" id="5"/>
  </tableColumns>
  <tableStyleInfo name="Camel_Racing-style 2" showColumnStripes="0" showFirstColumn="1" showLastColumn="1" showRowStripes="1"/>
</table>
</file>

<file path=xl/tables/table3.xml><?xml version="1.0" encoding="utf-8"?>
<table xmlns="http://schemas.openxmlformats.org/spreadsheetml/2006/main" ref="A1:E151" displayName="Table6" name="Table6" id="3">
  <tableColumns count="5">
    <tableColumn name="No." id="1"/>
    <tableColumn name="Question" id="2"/>
    <tableColumn name="Options" id="3"/>
    <tableColumn name="Answer" id="4"/>
    <tableColumn name="Description" id="5"/>
  </tableColumns>
  <tableStyleInfo name="Nuba_Wrestling-style" showColumnStripes="0" showFirstColumn="1" showLastColumn="1" showRowStripes="1"/>
</table>
</file>

<file path=xl/tables/table4.xml><?xml version="1.0" encoding="utf-8"?>
<table xmlns="http://schemas.openxmlformats.org/spreadsheetml/2006/main" ref="G1:K151" displayName="Table7" name="Table7" id="4">
  <tableColumns count="5">
    <tableColumn name="لا." id="1"/>
    <tableColumn name="سؤال" id="2"/>
    <tableColumn name="خيارات" id="3"/>
    <tableColumn name="إجابة" id="4"/>
    <tableColumn name="وصف" id="5"/>
  </tableColumns>
  <tableStyleInfo name="Nuba_Wrestling-style 2" showColumnStripes="0" showFirstColumn="1" showLastColumn="1" showRowStripes="1"/>
</table>
</file>

<file path=xl/tables/table5.xml><?xml version="1.0" encoding="utf-8"?>
<table xmlns="http://schemas.openxmlformats.org/spreadsheetml/2006/main" ref="A1:E151" displayName="Table8" name="Table8" id="5">
  <tableColumns count="5">
    <tableColumn name="No." id="1"/>
    <tableColumn name="Question" id="2"/>
    <tableColumn name="Options" id="3"/>
    <tableColumn name="Answer" id="4"/>
    <tableColumn name="Description" id="5"/>
  </tableColumns>
  <tableStyleInfo name="Nubian_Stick_Fighting-style" showColumnStripes="0" showFirstColumn="1" showLastColumn="1" showRowStripes="1"/>
</table>
</file>

<file path=xl/tables/table6.xml><?xml version="1.0" encoding="utf-8"?>
<table xmlns="http://schemas.openxmlformats.org/spreadsheetml/2006/main" ref="G1:K151" displayName="Table9" name="Table9" id="6">
  <tableColumns count="5">
    <tableColumn name="لا." id="1"/>
    <tableColumn name="سؤال" id="2"/>
    <tableColumn name="خيارات" id="3"/>
    <tableColumn name="إجابة" id="4"/>
    <tableColumn name="وصف" id="5"/>
  </tableColumns>
  <tableStyleInfo name="Nubian_Stick_Fighting-style 2" showColumnStripes="0" showFirstColumn="1" showLastColumn="1" showRowStripes="1"/>
</table>
</file>

<file path=xl/tables/table7.xml><?xml version="1.0" encoding="utf-8"?>
<table xmlns="http://schemas.openxmlformats.org/spreadsheetml/2006/main" ref="A1:E151" displayName="Table5" name="Table5" id="7">
  <tableColumns count="5">
    <tableColumn name="No." id="1"/>
    <tableColumn name="Question" id="2"/>
    <tableColumn name="Options" id="3"/>
    <tableColumn name="Answer" id="4"/>
    <tableColumn name="Description" id="5"/>
  </tableColumns>
  <tableStyleInfo name="Horse_Racing-style" showColumnStripes="0" showFirstColumn="1" showLastColumn="1" showRowStripes="1"/>
</table>
</file>

<file path=xl/tables/table8.xml><?xml version="1.0" encoding="utf-8"?>
<table xmlns="http://schemas.openxmlformats.org/spreadsheetml/2006/main" ref="A1:E151" displayName="Table3" name="Table3" id="8">
  <tableColumns count="5">
    <tableColumn name="No." id="1"/>
    <tableColumn name="Question" id="2"/>
    <tableColumn name="Options" id="3"/>
    <tableColumn name="Answer" id="4"/>
    <tableColumn name="Description" id="5"/>
  </tableColumns>
  <tableStyleInfo name="Cow_Fighting-style" showColumnStripes="0" showFirstColumn="1" showLastColumn="1" showRowStripes="1"/>
</table>
</file>

<file path=xl/tables/table9.xml><?xml version="1.0" encoding="utf-8"?>
<table xmlns="http://schemas.openxmlformats.org/spreadsheetml/2006/main" ref="G1:K151" displayName="Table4" name="Table4" id="9">
  <tableColumns count="5">
    <tableColumn name="لا." id="1"/>
    <tableColumn name="سؤال" id="2"/>
    <tableColumn name="خيارات" id="3"/>
    <tableColumn name="إجابة" id="4"/>
    <tableColumn name="وصف" id="5"/>
  </tableColumns>
  <tableStyleInfo name="Cow_Fighting-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8.xml"/><Relationship Id="rId5"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37.63"/>
    <col customWidth="1" min="4" max="4" width="35.63"/>
    <col customWidth="1" min="5" max="5" width="37.63"/>
    <col customWidth="1" min="8" max="8" width="37.38"/>
    <col customWidth="1" min="9" max="9" width="37.63"/>
    <col customWidth="1" min="11" max="11" width="37.63"/>
  </cols>
  <sheetData>
    <row r="1">
      <c r="A1" s="1" t="s">
        <v>0</v>
      </c>
      <c r="B1" s="1" t="s">
        <v>1</v>
      </c>
      <c r="C1" s="1" t="s">
        <v>2</v>
      </c>
      <c r="D1" s="1" t="s">
        <v>3</v>
      </c>
      <c r="E1" s="1" t="s">
        <v>4</v>
      </c>
      <c r="G1" s="2" t="s">
        <v>5</v>
      </c>
      <c r="H1" s="2" t="s">
        <v>6</v>
      </c>
      <c r="I1" s="2" t="s">
        <v>7</v>
      </c>
      <c r="J1" s="2" t="s">
        <v>8</v>
      </c>
      <c r="K1" s="2" t="s">
        <v>9</v>
      </c>
    </row>
    <row r="2">
      <c r="A2" s="3">
        <v>1.0</v>
      </c>
      <c r="B2" s="4" t="s">
        <v>10</v>
      </c>
      <c r="C2" s="4" t="s">
        <v>11</v>
      </c>
      <c r="D2" s="4" t="s">
        <v>12</v>
      </c>
      <c r="E2" s="4" t="s">
        <v>13</v>
      </c>
      <c r="G2" s="5" t="str">
        <f>IFERROR(__xludf.DUMMYFUNCTION("GOOGLETRANSLATE(A2, ""en"", ""ar"")"),"1")</f>
        <v>1</v>
      </c>
      <c r="H2" s="5" t="str">
        <f>IFERROR(__xludf.DUMMYFUNCTION("GOOGLETRANSLATE(B2, ""en"", ""ar"")"),"ما هو السن الأدنى المسموح به للفارس للمشاركة في سباقات الهجن؟")</f>
        <v>ما هو السن الأدنى المسموح به للفارس للمشاركة في سباقات الهجن؟</v>
      </c>
      <c r="I2" s="5" t="str">
        <f>IFERROR(__xludf.DUMMYFUNCTION("GOOGLETRANSLATE(C2, ""en"", ""ar"")"),"أ) 10 سنوات؛ ب) 12 سنة؛ ج) 15 سنة؛ د) 18 سنة")</f>
        <v>أ) 10 سنوات؛ ب) 12 سنة؛ ج) 15 سنة؛ د) 18 سنة</v>
      </c>
      <c r="J2" s="5" t="str">
        <f>IFERROR(__xludf.DUMMYFUNCTION("GOOGLETRANSLATE(D2, ""en"", ""ar"")"),"ب) 12 سنة")</f>
        <v>ب) 12 سنة</v>
      </c>
      <c r="K2" s="5" t="str">
        <f>IFERROR(__xludf.DUMMYFUNCTION("GOOGLETRANSLATE(E2, ""en"", ""ar"")"),"الحد الأدنى للعمر المسموح به للمشاركة في السباقات هو 12 سنة.")</f>
        <v>الحد الأدنى للعمر المسموح به للمشاركة في السباقات هو 12 سنة.</v>
      </c>
    </row>
    <row r="3">
      <c r="A3" s="3">
        <v>2.0</v>
      </c>
      <c r="B3" s="4" t="s">
        <v>14</v>
      </c>
      <c r="C3" s="4" t="s">
        <v>15</v>
      </c>
      <c r="D3" s="4" t="s">
        <v>16</v>
      </c>
      <c r="E3" s="4" t="s">
        <v>17</v>
      </c>
      <c r="G3" s="5" t="str">
        <f>IFERROR(__xludf.DUMMYFUNCTION("GOOGLETRANSLATE(A3, ""en"", ""ar"")"),"2")</f>
        <v>2</v>
      </c>
      <c r="H3" s="5" t="str">
        <f>IFERROR(__xludf.DUMMYFUNCTION("GOOGLETRANSLATE(B3, ""en"", ""ar"")"),"كم عدد الإبل التي يمكن للمتسابق أن يشارك بها في السباق الواحد؟")</f>
        <v>كم عدد الإبل التي يمكن للمتسابق أن يشارك بها في السباق الواحد؟</v>
      </c>
      <c r="I3" s="5" t="str">
        <f>IFERROR(__xludf.DUMMYFUNCTION("GOOGLETRANSLATE(C3, ""en"", ""ar"")"),"أ) جمل واحد فقط؛ ب) جملان؛ ج) ثلاثة جمال؛ د) خمسة جمال")</f>
        <v>أ) جمل واحد فقط؛ ب) جملان؛ ج) ثلاثة جمال؛ د) خمسة جمال</v>
      </c>
      <c r="J3" s="5" t="str">
        <f>IFERROR(__xludf.DUMMYFUNCTION("GOOGLETRANSLATE(D3, ""en"", ""ar"")"),"أ) جمل واحد فقط")</f>
        <v>أ) جمل واحد فقط</v>
      </c>
      <c r="K3" s="5" t="str">
        <f>IFERROR(__xludf.DUMMYFUNCTION("GOOGLETRANSLATE(E3, ""en"", ""ar"")"),"يُسمح لكل متسابق بإدخال جمل واحد فقط في السباق.")</f>
        <v>يُسمح لكل متسابق بإدخال جمل واحد فقط في السباق.</v>
      </c>
    </row>
    <row r="4">
      <c r="A4" s="3">
        <v>3.0</v>
      </c>
      <c r="B4" s="4" t="s">
        <v>18</v>
      </c>
      <c r="C4" s="4" t="s">
        <v>19</v>
      </c>
      <c r="D4" s="4" t="s">
        <v>20</v>
      </c>
      <c r="E4" s="4" t="s">
        <v>21</v>
      </c>
      <c r="G4" s="5" t="str">
        <f>IFERROR(__xludf.DUMMYFUNCTION("GOOGLETRANSLATE(A4, ""en"", ""ar"")"),"3")</f>
        <v>3</v>
      </c>
      <c r="H4" s="5" t="str">
        <f>IFERROR(__xludf.DUMMYFUNCTION("GOOGLETRANSLATE(B4, ""en"", ""ar"")"),"ما هي السرعة القصوى المسموح بها عادة في سباقات الهجن لضمان السلامة؟")</f>
        <v>ما هي السرعة القصوى المسموح بها عادة في سباقات الهجن لضمان السلامة؟</v>
      </c>
      <c r="I4" s="5" t="str">
        <f>IFERROR(__xludf.DUMMYFUNCTION("GOOGLETRANSLATE(C4, ""en"", ""ar"")"),"أ) 40 كم/ساعة؛ ب) 50 كم/ساعة؛ ج) 60 كم/ساعة؛ د) 70 كم/ساعة")</f>
        <v>أ) 40 كم/ساعة؛ ب) 50 كم/ساعة؛ ج) 60 كم/ساعة؛ د) 70 كم/ساعة</v>
      </c>
      <c r="J4" s="5" t="str">
        <f>IFERROR(__xludf.DUMMYFUNCTION("GOOGLETRANSLATE(D4, ""en"", ""ar"")"),"ب) 50 كم/ساعة")</f>
        <v>ب) 50 كم/ساعة</v>
      </c>
      <c r="K4" s="5" t="str">
        <f>IFERROR(__xludf.DUMMYFUNCTION("GOOGLETRANSLATE(E4, ""en"", ""ar"")"),"الحد الأقصى للسرعة المسموح بها هو 50 كم/ساعة لضمان سلامة الجمل والراكب.")</f>
        <v>الحد الأقصى للسرعة المسموح بها هو 50 كم/ساعة لضمان سلامة الجمل والراكب.</v>
      </c>
    </row>
    <row r="5">
      <c r="A5" s="3">
        <v>4.0</v>
      </c>
      <c r="B5" s="4" t="s">
        <v>22</v>
      </c>
      <c r="C5" s="4" t="s">
        <v>23</v>
      </c>
      <c r="D5" s="4" t="s">
        <v>24</v>
      </c>
      <c r="E5" s="4" t="s">
        <v>25</v>
      </c>
      <c r="G5" s="5" t="str">
        <f>IFERROR(__xludf.DUMMYFUNCTION("GOOGLETRANSLATE(A5, ""en"", ""ar"")"),"4")</f>
        <v>4</v>
      </c>
      <c r="H5" s="5" t="str">
        <f>IFERROR(__xludf.DUMMYFUNCTION("GOOGLETRANSLATE(B5, ""en"", ""ar"")"),"هل يجوز استعمال الأجهزة الإلكترونية لتحفيز الإبل أثناء السباق؟")</f>
        <v>هل يجوز استعمال الأجهزة الإلكترونية لتحفيز الإبل أثناء السباق؟</v>
      </c>
      <c r="I5" s="5" t="str">
        <f>IFERROR(__xludf.DUMMYFUNCTION("GOOGLETRANSLATE(C5, ""en"", ""ar"")"),"أ) نعم، مسموح به؛ ب) لا، غير مسموح به؛ ج) فقط في بعض السباقات الخاصة؛ د) فقط للإبل المدربة")</f>
        <v>أ) نعم، مسموح به؛ ب) لا، غير مسموح به؛ ج) فقط في بعض السباقات الخاصة؛ د) فقط للإبل المدربة</v>
      </c>
      <c r="J5" s="5" t="str">
        <f>IFERROR(__xludf.DUMMYFUNCTION("GOOGLETRANSLATE(D5, ""en"", ""ar"")"),"ب) لا، لا يجوز")</f>
        <v>ب) لا، لا يجوز</v>
      </c>
      <c r="K5" s="5" t="str">
        <f>IFERROR(__xludf.DUMMYFUNCTION("GOOGLETRANSLATE(E5, ""en"", ""ar"")"),"يُمنع استخدام الأجهزة الإلكترونية التي تؤثر على أداء الجمل في السباق.")</f>
        <v>يُمنع استخدام الأجهزة الإلكترونية التي تؤثر على أداء الجمل في السباق.</v>
      </c>
    </row>
    <row r="6">
      <c r="A6" s="3">
        <v>5.0</v>
      </c>
      <c r="B6" s="4" t="s">
        <v>26</v>
      </c>
      <c r="C6" s="4" t="s">
        <v>27</v>
      </c>
      <c r="D6" s="4" t="s">
        <v>28</v>
      </c>
      <c r="E6" s="4" t="s">
        <v>29</v>
      </c>
      <c r="G6" s="5" t="str">
        <f>IFERROR(__xludf.DUMMYFUNCTION("GOOGLETRANSLATE(A6, ""en"", ""ar"")"),"5")</f>
        <v>5</v>
      </c>
      <c r="H6" s="5" t="str">
        <f>IFERROR(__xludf.DUMMYFUNCTION("GOOGLETRANSLATE(B6, ""en"", ""ar"")"),"ما هو الشرط القانوني الأساسي لمشاركة الجمل في السباق؟")</f>
        <v>ما هو الشرط القانوني الأساسي لمشاركة الجمل في السباق؟</v>
      </c>
      <c r="I6" s="5" t="str">
        <f>IFERROR(__xludf.DUMMYFUNCTION("GOOGLETRANSLATE(C6, ""en"", ""ar"")"),"أ) التسجيل فقط؛ ب) تقديم شهادة صحية؛ ج) الحصول على تصريح من الاتحاد المحلي؛ د) لا توجد متطلبات قانونية")</f>
        <v>أ) التسجيل فقط؛ ب) تقديم شهادة صحية؛ ج) الحصول على تصريح من الاتحاد المحلي؛ د) لا توجد متطلبات قانونية</v>
      </c>
      <c r="J6" s="5" t="str">
        <f>IFERROR(__xludf.DUMMYFUNCTION("GOOGLETRANSLATE(D6, ""en"", ""ar"")"),"ب) تقديم شهادة صحية")</f>
        <v>ب) تقديم شهادة صحية</v>
      </c>
      <c r="K6" s="5" t="str">
        <f>IFERROR(__xludf.DUMMYFUNCTION("GOOGLETRANSLATE(E6, ""en"", ""ar"")"),"يجب تقديم شهادة صحية للجمل للتأكد من قدرته على المشاركة في السباق.")</f>
        <v>يجب تقديم شهادة صحية للجمل للتأكد من قدرته على المشاركة في السباق.</v>
      </c>
    </row>
    <row r="7">
      <c r="A7" s="3">
        <v>6.0</v>
      </c>
      <c r="B7" s="4" t="s">
        <v>30</v>
      </c>
      <c r="C7" s="4" t="s">
        <v>31</v>
      </c>
      <c r="D7" s="4" t="s">
        <v>32</v>
      </c>
      <c r="E7" s="4" t="s">
        <v>33</v>
      </c>
      <c r="G7" s="5" t="str">
        <f>IFERROR(__xludf.DUMMYFUNCTION("GOOGLETRANSLATE(A7, ""en"", ""ar"")"),"6")</f>
        <v>6</v>
      </c>
      <c r="H7" s="5" t="str">
        <f>IFERROR(__xludf.DUMMYFUNCTION("GOOGLETRANSLATE(B7, ""en"", ""ar"")"),"هل يستطيع المتسابقون تعديل مسار الجمل أثناء السباق؟")</f>
        <v>هل يستطيع المتسابقون تعديل مسار الجمل أثناء السباق؟</v>
      </c>
      <c r="I7" s="5" t="str">
        <f>IFERROR(__xludf.DUMMYFUNCTION("GOOGLETRANSLATE(C7, ""en"", ""ar"")"),"أ) نعم، يمكن تعديل المسار في أي وقت؛ ب) لا، يجب الالتزام بالمسار المحدد؛ ج) فقط في حالة وقوع حادث؛ د) لا يمكن تعديل المسار إلا عند الوصول إلى نقطة معينة")</f>
        <v>أ) نعم، يمكن تعديل المسار في أي وقت؛ ب) لا، يجب الالتزام بالمسار المحدد؛ ج) فقط في حالة وقوع حادث؛ د) لا يمكن تعديل المسار إلا عند الوصول إلى نقطة معينة</v>
      </c>
      <c r="J7" s="5" t="str">
        <f>IFERROR(__xludf.DUMMYFUNCTION("GOOGLETRANSLATE(D7, ""en"", ""ar"")"),"ب) لا، يجب الالتزام بالمسار المحدد")</f>
        <v>ب) لا، يجب الالتزام بالمسار المحدد</v>
      </c>
      <c r="K7" s="5" t="str">
        <f>IFERROR(__xludf.DUMMYFUNCTION("GOOGLETRANSLATE(E7, ""en"", ""ar"")"),"يتوجب على المتسابقين الالتزام بالمسار المحدد دون تغييره أثناء السباق.")</f>
        <v>يتوجب على المتسابقين الالتزام بالمسار المحدد دون تغييره أثناء السباق.</v>
      </c>
    </row>
    <row r="8">
      <c r="A8" s="3">
        <v>7.0</v>
      </c>
      <c r="B8" s="4" t="s">
        <v>34</v>
      </c>
      <c r="C8" s="4" t="s">
        <v>35</v>
      </c>
      <c r="D8" s="4" t="s">
        <v>36</v>
      </c>
      <c r="E8" s="4" t="s">
        <v>37</v>
      </c>
      <c r="G8" s="5" t="str">
        <f>IFERROR(__xludf.DUMMYFUNCTION("GOOGLETRANSLATE(A8, ""en"", ""ar"")"),"7")</f>
        <v>7</v>
      </c>
      <c r="H8" s="5" t="str">
        <f>IFERROR(__xludf.DUMMYFUNCTION("GOOGLETRANSLATE(B8, ""en"", ""ar"")"),"كم عدد المشاركين المسموح لهم عادة في سباق الجمل الواحد؟")</f>
        <v>كم عدد المشاركين المسموح لهم عادة في سباق الجمل الواحد؟</v>
      </c>
      <c r="I8" s="5" t="str">
        <f>IFERROR(__xludf.DUMMYFUNCTION("GOOGLETRANSLATE(C8, ""en"", ""ar"")"),"أ) 10 عدائين؛ ب) 20 عدائًا؛ ج) 50 عدائًا؛ د) يعتمد على حجم المضمار")</f>
        <v>أ) 10 عدائين؛ ب) 20 عدائًا؛ ج) 50 عدائًا؛ د) يعتمد على حجم المضمار</v>
      </c>
      <c r="J8" s="5" t="str">
        <f>IFERROR(__xludf.DUMMYFUNCTION("GOOGLETRANSLATE(D8, ""en"", ""ar"")"),"د) يعتمد على حجم المسار")</f>
        <v>د) يعتمد على حجم المسار</v>
      </c>
      <c r="K8" s="5" t="str">
        <f>IFERROR(__xludf.DUMMYFUNCTION("GOOGLETRANSLATE(E8, ""en"", ""ar"")"),"يعتمد عدد المشاركين على سعة المسار والمساحة المتوفرة.")</f>
        <v>يعتمد عدد المشاركين على سعة المسار والمساحة المتوفرة.</v>
      </c>
    </row>
    <row r="9">
      <c r="A9" s="3">
        <v>8.0</v>
      </c>
      <c r="B9" s="4" t="s">
        <v>38</v>
      </c>
      <c r="C9" s="4" t="s">
        <v>39</v>
      </c>
      <c r="D9" s="4" t="s">
        <v>40</v>
      </c>
      <c r="E9" s="4" t="s">
        <v>41</v>
      </c>
      <c r="G9" s="5" t="str">
        <f>IFERROR(__xludf.DUMMYFUNCTION("GOOGLETRANSLATE(A9, ""en"", ""ar"")"),"8")</f>
        <v>8</v>
      </c>
      <c r="H9" s="5" t="str">
        <f>IFERROR(__xludf.DUMMYFUNCTION("GOOGLETRANSLATE(B9, ""en"", ""ar"")"),"هل يجوز استعمال السياط أو المناخس القاسية في سباقات الهجن؟")</f>
        <v>هل يجوز استعمال السياط أو المناخس القاسية في سباقات الهجن؟</v>
      </c>
      <c r="I9" s="5" t="str">
        <f>IFERROR(__xludf.DUMMYFUNCTION("GOOGLETRANSLATE(C9, ""en"", ""ar"")"),"أ) نعم، مسموح به؛ ب) لا، ممنوع؛ ج) مسموح به في بعض الحالات؛ د) مسموح به فقط للمتسابقين المحترفين")</f>
        <v>أ) نعم، مسموح به؛ ب) لا، ممنوع؛ ج) مسموح به في بعض الحالات؛ د) مسموح به فقط للمتسابقين المحترفين</v>
      </c>
      <c r="J9" s="5" t="str">
        <f>IFERROR(__xludf.DUMMYFUNCTION("GOOGLETRANSLATE(D9, ""en"", ""ar"")"),"ب) لا، ممنوع")</f>
        <v>ب) لا، ممنوع</v>
      </c>
      <c r="K9" s="5" t="str">
        <f>IFERROR(__xludf.DUMMYFUNCTION("GOOGLETRANSLATE(E9, ""en"", ""ar"")"),"يُمنع استخدام أدوات التحفيز القاسية لضمان سلامة الجمل.")</f>
        <v>يُمنع استخدام أدوات التحفيز القاسية لضمان سلامة الجمل.</v>
      </c>
    </row>
    <row r="10">
      <c r="A10" s="3">
        <v>9.0</v>
      </c>
      <c r="B10" s="4" t="s">
        <v>42</v>
      </c>
      <c r="C10" s="4" t="s">
        <v>43</v>
      </c>
      <c r="D10" s="4" t="s">
        <v>44</v>
      </c>
      <c r="E10" s="4" t="s">
        <v>45</v>
      </c>
      <c r="G10" s="5" t="str">
        <f>IFERROR(__xludf.DUMMYFUNCTION("GOOGLETRANSLATE(A10, ""en"", ""ar"")"),"9")</f>
        <v>9</v>
      </c>
      <c r="H10" s="5" t="str">
        <f>IFERROR(__xludf.DUMMYFUNCTION("GOOGLETRANSLATE(B10, ""en"", ""ar"")"),"ما هي فترة التدريب الدنيا الموصى بها للجمل قبل السباق؟")</f>
        <v>ما هي فترة التدريب الدنيا الموصى بها للجمل قبل السباق؟</v>
      </c>
      <c r="I10" s="5" t="str">
        <f>IFERROR(__xludf.DUMMYFUNCTION("GOOGLETRANSLATE(C10, ""en"", ""ar"")"),"أ) أسبوع واحد؛ ب) شهر واحد؛ ج) شهرين؛ د) ثلاثة أشهر")</f>
        <v>أ) أسبوع واحد؛ ب) شهر واحد؛ ج) شهرين؛ د) ثلاثة أشهر</v>
      </c>
      <c r="J10" s="5" t="str">
        <f>IFERROR(__xludf.DUMMYFUNCTION("GOOGLETRANSLATE(D10, ""en"", ""ar"")"),"ب) شهر واحد")</f>
        <v>ب) شهر واحد</v>
      </c>
      <c r="K10" s="5" t="str">
        <f>IFERROR(__xludf.DUMMYFUNCTION("GOOGLETRANSLATE(E10, ""en"", ""ar"")"),"من المستحسن تدريب الجمل لمدة شهر على الأقل قبل السباق.")</f>
        <v>من المستحسن تدريب الجمل لمدة شهر على الأقل قبل السباق.</v>
      </c>
    </row>
    <row r="11">
      <c r="A11" s="3">
        <v>10.0</v>
      </c>
      <c r="B11" s="4" t="s">
        <v>46</v>
      </c>
      <c r="C11" s="4" t="s">
        <v>47</v>
      </c>
      <c r="D11" s="4" t="s">
        <v>48</v>
      </c>
      <c r="E11" s="4" t="s">
        <v>49</v>
      </c>
      <c r="G11" s="5" t="str">
        <f>IFERROR(__xludf.DUMMYFUNCTION("GOOGLETRANSLATE(A11, ""en"", ""ar"")"),"10")</f>
        <v>10</v>
      </c>
      <c r="H11" s="5" t="str">
        <f>IFERROR(__xludf.DUMMYFUNCTION("GOOGLETRANSLATE(B11, ""en"", ""ar"")"),"هل يتم مراقبة الجمال من قبل المسؤولين أثناء السباق؟")</f>
        <v>هل يتم مراقبة الجمال من قبل المسؤولين أثناء السباق؟</v>
      </c>
      <c r="I11" s="5" t="str">
        <f>IFERROR(__xludf.DUMMYFUNCTION("GOOGLETRANSLATE(C11, ""en"", ""ar"")"),"أ) نعم، يتم مراقبتهم من قبل الحكام؛ ب) لا، لا يتم مراقبتهم؛ ج) نعم، ولكن يتم مراقبتهم فقط في البداية؛ د) تتم مراقبة الجمال فقط بعد السباق")</f>
        <v>أ) نعم، يتم مراقبتهم من قبل الحكام؛ ب) لا، لا يتم مراقبتهم؛ ج) نعم، ولكن يتم مراقبتهم فقط في البداية؛ د) تتم مراقبة الجمال فقط بعد السباق</v>
      </c>
      <c r="J11" s="5" t="str">
        <f>IFERROR(__xludf.DUMMYFUNCTION("GOOGLETRANSLATE(D11, ""en"", ""ar"")"),"أ) نعم، يتم مراقبتهم من قبل الحكام")</f>
        <v>أ) نعم، يتم مراقبتهم من قبل الحكام</v>
      </c>
      <c r="K11" s="5" t="str">
        <f>IFERROR(__xludf.DUMMYFUNCTION("GOOGLETRANSLATE(E11, ""en"", ""ar"")"),"يتم مراقبة الجمال أثناء السباق للتأكد من التزامها بالقواعد.")</f>
        <v>يتم مراقبة الجمال أثناء السباق للتأكد من التزامها بالقواعد.</v>
      </c>
    </row>
    <row r="12">
      <c r="A12" s="3">
        <v>11.0</v>
      </c>
      <c r="B12" s="4" t="s">
        <v>50</v>
      </c>
      <c r="C12" s="4" t="s">
        <v>51</v>
      </c>
      <c r="D12" s="4" t="s">
        <v>52</v>
      </c>
      <c r="E12" s="4" t="s">
        <v>53</v>
      </c>
      <c r="G12" s="5" t="str">
        <f>IFERROR(__xludf.DUMMYFUNCTION("GOOGLETRANSLATE(A12, ""en"", ""ar"")"),"11")</f>
        <v>11</v>
      </c>
      <c r="H12" s="5" t="str">
        <f>IFERROR(__xludf.DUMMYFUNCTION("GOOGLETRANSLATE(B12, ""en"", ""ar"")"),"هل يُسمح للمتسابقين بالمشاركة في أكثر من سباق واحد في اليوم الواحد؟")</f>
        <v>هل يُسمح للمتسابقين بالمشاركة في أكثر من سباق واحد في اليوم الواحد؟</v>
      </c>
      <c r="I12" s="5" t="str">
        <f>IFERROR(__xludf.DUMMYFUNCTION("GOOGLETRANSLATE(C12, ""en"", ""ar"")"),"أ) نعم، مسموح بها؛ ب) لا، سباق واحد فقط في اليوم؛ ج) فقط على نفس المضمار؛ د) فقط في السباقات المحلية")</f>
        <v>أ) نعم، مسموح بها؛ ب) لا، سباق واحد فقط في اليوم؛ ج) فقط على نفس المضمار؛ د) فقط في السباقات المحلية</v>
      </c>
      <c r="J12" s="5" t="str">
        <f>IFERROR(__xludf.DUMMYFUNCTION("GOOGLETRANSLATE(D12, ""en"", ""ar"")"),"ب) لا، سباق واحد فقط في اليوم")</f>
        <v>ب) لا، سباق واحد فقط في اليوم</v>
      </c>
      <c r="K12" s="5" t="str">
        <f>IFERROR(__xludf.DUMMYFUNCTION("GOOGLETRANSLATE(E12, ""en"", ""ar"")"),"يُسمح للمتسابقين بالمشاركة في سباق واحد فقط في اليوم.")</f>
        <v>يُسمح للمتسابقين بالمشاركة في سباق واحد فقط في اليوم.</v>
      </c>
    </row>
    <row r="13">
      <c r="A13" s="3">
        <v>12.0</v>
      </c>
      <c r="B13" s="4" t="s">
        <v>54</v>
      </c>
      <c r="C13" s="4" t="s">
        <v>55</v>
      </c>
      <c r="D13" s="4" t="s">
        <v>56</v>
      </c>
      <c r="E13" s="4" t="s">
        <v>57</v>
      </c>
      <c r="G13" s="5" t="str">
        <f>IFERROR(__xludf.DUMMYFUNCTION("GOOGLETRANSLATE(A13, ""en"", ""ar"")"),"12")</f>
        <v>12</v>
      </c>
      <c r="H13" s="5" t="str">
        <f>IFERROR(__xludf.DUMMYFUNCTION("GOOGLETRANSLATE(B13, ""en"", ""ar"")"),"هل يجوز للجمال المشاركة في السباق دون أي تدريب مسبق؟")</f>
        <v>هل يجوز للجمال المشاركة في السباق دون أي تدريب مسبق؟</v>
      </c>
      <c r="I13" s="5" t="str">
        <f>IFERROR(__xludf.DUMMYFUNCTION("GOOGLETRANSLATE(C13, ""en"", ""ar"")"),"أ) نعم، مسموح بذلك؛ ب) لا، يجب تدريبهم؛ ج) فقط إذا تم تدريبهم مسبقًا؛ د) لا يلزم التدريب الرسمي")</f>
        <v>أ) نعم، مسموح بذلك؛ ب) لا، يجب تدريبهم؛ ج) فقط إذا تم تدريبهم مسبقًا؛ د) لا يلزم التدريب الرسمي</v>
      </c>
      <c r="J13" s="5" t="str">
        <f>IFERROR(__xludf.DUMMYFUNCTION("GOOGLETRANSLATE(D13, ""en"", ""ar"")"),"ب) لا، بل يجب أن يخضعوا للتدريب.")</f>
        <v>ب) لا، بل يجب أن يخضعوا للتدريب.</v>
      </c>
      <c r="K13" s="5" t="str">
        <f>IFERROR(__xludf.DUMMYFUNCTION("GOOGLETRANSLATE(E13, ""en"", ""ar"")"),"يجب تدريب الجمال بشكل صحيح قبل السباق لضمان الأداء الجيد.")</f>
        <v>يجب تدريب الجمال بشكل صحيح قبل السباق لضمان الأداء الجيد.</v>
      </c>
    </row>
    <row r="14">
      <c r="A14" s="3">
        <v>13.0</v>
      </c>
      <c r="B14" s="4" t="s">
        <v>58</v>
      </c>
      <c r="C14" s="4" t="s">
        <v>59</v>
      </c>
      <c r="D14" s="4" t="s">
        <v>60</v>
      </c>
      <c r="E14" s="4" t="s">
        <v>61</v>
      </c>
      <c r="G14" s="5" t="str">
        <f>IFERROR(__xludf.DUMMYFUNCTION("GOOGLETRANSLATE(A14, ""en"", ""ar"")"),"13")</f>
        <v>13</v>
      </c>
      <c r="H14" s="5" t="str">
        <f>IFERROR(__xludf.DUMMYFUNCTION("GOOGLETRANSLATE(B14, ""en"", ""ar"")"),"هل هناك مسارات خاصة لسباقات الهجن في الصحراء؟")</f>
        <v>هل هناك مسارات خاصة لسباقات الهجن في الصحراء؟</v>
      </c>
      <c r="I14" s="5" t="str">
        <f>IFERROR(__xludf.DUMMYFUNCTION("GOOGLETRANSLATE(C14, ""en"", ""ar"")"),"أ) نعم، تم تحديد مسارات خاصة؛ ب) لا، السباقات تقام في أي مكان؛ ج) فقط في المدن الكبرى؛ د) غير مسموح بها في الصحراء")</f>
        <v>أ) نعم، تم تحديد مسارات خاصة؛ ب) لا، السباقات تقام في أي مكان؛ ج) فقط في المدن الكبرى؛ د) غير مسموح بها في الصحراء</v>
      </c>
      <c r="J14" s="5" t="str">
        <f>IFERROR(__xludf.DUMMYFUNCTION("GOOGLETRANSLATE(D14, ""en"", ""ar"")"),"أ) نعم، يتم تخصيص مسارات خاصة")</f>
        <v>أ) نعم، يتم تخصيص مسارات خاصة</v>
      </c>
      <c r="K14" s="5" t="str">
        <f>IFERROR(__xludf.DUMMYFUNCTION("GOOGLETRANSLATE(E14, ""en"", ""ar"")"),"يتم تحديد مسارات محددة في الصحراء لسباقات الهجن.")</f>
        <v>يتم تحديد مسارات محددة في الصحراء لسباقات الهجن.</v>
      </c>
    </row>
    <row r="15">
      <c r="A15" s="3">
        <v>14.0</v>
      </c>
      <c r="B15" s="4" t="s">
        <v>62</v>
      </c>
      <c r="C15" s="4" t="s">
        <v>63</v>
      </c>
      <c r="D15" s="4" t="s">
        <v>64</v>
      </c>
      <c r="E15" s="4" t="s">
        <v>65</v>
      </c>
      <c r="G15" s="5" t="str">
        <f>IFERROR(__xludf.DUMMYFUNCTION("GOOGLETRANSLATE(A15, ""en"", ""ar"")"),"14")</f>
        <v>14</v>
      </c>
      <c r="H15" s="5" t="str">
        <f>IFERROR(__xludf.DUMMYFUNCTION("GOOGLETRANSLATE(B15, ""en"", ""ar"")"),"ما هو الوزن الأدنى النموذجي للجمل حتى يكون مؤهلاً للسباق؟")</f>
        <v>ما هو الوزن الأدنى النموذجي للجمل حتى يكون مؤهلاً للسباق؟</v>
      </c>
      <c r="I15" s="5" t="str">
        <f>IFERROR(__xludf.DUMMYFUNCTION("GOOGLETRANSLATE(C15, ""en"", ""ar"")"),"أ) 200 كجم؛ ب) 300 كجم؛ ج) 400 كجم؛ د) 500 كجم")</f>
        <v>أ) 200 كجم؛ ب) 300 كجم؛ ج) 400 كجم؛ د) 500 كجم</v>
      </c>
      <c r="J15" s="5" t="str">
        <f>IFERROR(__xludf.DUMMYFUNCTION("GOOGLETRANSLATE(D15, ""en"", ""ar"")"),"ب) 300 كجم")</f>
        <v>ب) 300 كجم</v>
      </c>
      <c r="K15" s="5" t="str">
        <f>IFERROR(__xludf.DUMMYFUNCTION("GOOGLETRANSLATE(E15, ""en"", ""ar"")"),"الحد الأدنى للوزن المسموح به للجمل هو 300 كجم.")</f>
        <v>الحد الأدنى للوزن المسموح به للجمل هو 300 كجم.</v>
      </c>
    </row>
    <row r="16">
      <c r="A16" s="3">
        <v>15.0</v>
      </c>
      <c r="B16" s="4" t="s">
        <v>66</v>
      </c>
      <c r="C16" s="4" t="s">
        <v>67</v>
      </c>
      <c r="D16" s="4" t="s">
        <v>68</v>
      </c>
      <c r="E16" s="4" t="s">
        <v>69</v>
      </c>
      <c r="G16" s="5" t="str">
        <f>IFERROR(__xludf.DUMMYFUNCTION("GOOGLETRANSLATE(A16, ""en"", ""ar"")"),"15")</f>
        <v>15</v>
      </c>
      <c r="H16" s="5" t="str">
        <f>IFERROR(__xludf.DUMMYFUNCTION("GOOGLETRANSLATE(B16, ""en"", ""ar"")"),"هل هناك قيود على المكافآت المالية في سباقات الهجن؟")</f>
        <v>هل هناك قيود على المكافآت المالية في سباقات الهجن؟</v>
      </c>
      <c r="I16" s="5" t="str">
        <f>IFERROR(__xludf.DUMMYFUNCTION("GOOGLETRANSLATE(C16, ""en"", ""ar"")"),"أ) لا توجد قيود؛ ب) نعم، بناءً على مستوى العرق؛ ج) مكافآت عينية فقط؛ د) لا توجد مكافآت نقدية")</f>
        <v>أ) لا توجد قيود؛ ب) نعم، بناءً على مستوى العرق؛ ج) مكافآت عينية فقط؛ د) لا توجد مكافآت نقدية</v>
      </c>
      <c r="J16" s="5" t="str">
        <f>IFERROR(__xludf.DUMMYFUNCTION("GOOGLETRANSLATE(D16, ""en"", ""ar"")"),"ب) نعم، بناءً على مستوى العرق")</f>
        <v>ب) نعم، بناءً على مستوى العرق</v>
      </c>
      <c r="K16" s="5" t="str">
        <f>IFERROR(__xludf.DUMMYFUNCTION("GOOGLETRANSLATE(E16, ""en"", ""ar"")"),"يتم تحديد المكافآت المالية حسب مستوى السباق.")</f>
        <v>يتم تحديد المكافآت المالية حسب مستوى السباق.</v>
      </c>
    </row>
    <row r="17">
      <c r="A17" s="3">
        <v>16.0</v>
      </c>
      <c r="B17" s="4" t="s">
        <v>70</v>
      </c>
      <c r="C17" s="4" t="s">
        <v>71</v>
      </c>
      <c r="D17" s="4" t="s">
        <v>40</v>
      </c>
      <c r="E17" s="4" t="s">
        <v>72</v>
      </c>
      <c r="G17" s="5" t="str">
        <f>IFERROR(__xludf.DUMMYFUNCTION("GOOGLETRANSLATE(A17, ""en"", ""ar"")"),"16")</f>
        <v>16</v>
      </c>
      <c r="H17" s="5" t="str">
        <f>IFERROR(__xludf.DUMMYFUNCTION("GOOGLETRANSLATE(B17, ""en"", ""ar"")"),"هل يجوز للفرسان استخدام الحبال لربط أنفسهم بالجمل أثناء السباق؟")</f>
        <v>هل يجوز للفرسان استخدام الحبال لربط أنفسهم بالجمل أثناء السباق؟</v>
      </c>
      <c r="I17" s="5" t="str">
        <f>IFERROR(__xludf.DUMMYFUNCTION("GOOGLETRANSLATE(C17, ""en"", ""ar"")"),"أ) نعم، يمكنهم استخدامه؛ ب) لا، ممنوع؛ ج) في حالات الطوارئ فقط؛ د) لا يجوز استخدامه إلا للمحترفين")</f>
        <v>أ) نعم، يمكنهم استخدامه؛ ب) لا، ممنوع؛ ج) في حالات الطوارئ فقط؛ د) لا يجوز استخدامه إلا للمحترفين</v>
      </c>
      <c r="J17" s="5" t="str">
        <f>IFERROR(__xludf.DUMMYFUNCTION("GOOGLETRANSLATE(D17, ""en"", ""ar"")"),"ب) لا، ممنوع")</f>
        <v>ب) لا، ممنوع</v>
      </c>
      <c r="K17" s="5" t="str">
        <f>IFERROR(__xludf.DUMMYFUNCTION("GOOGLETRANSLATE(E17, ""en"", ""ar"")"),"يُمنع استعمال الحبال لتأمين الفارس لضمان حرية حركة الجمل.")</f>
        <v>يُمنع استعمال الحبال لتأمين الفارس لضمان حرية حركة الجمل.</v>
      </c>
    </row>
    <row r="18">
      <c r="A18" s="3">
        <v>17.0</v>
      </c>
      <c r="B18" s="4" t="s">
        <v>73</v>
      </c>
      <c r="C18" s="4" t="s">
        <v>74</v>
      </c>
      <c r="D18" s="4" t="s">
        <v>40</v>
      </c>
      <c r="E18" s="4" t="s">
        <v>75</v>
      </c>
      <c r="G18" s="5" t="str">
        <f>IFERROR(__xludf.DUMMYFUNCTION("GOOGLETRANSLATE(A18, ""en"", ""ar"")"),"17")</f>
        <v>17</v>
      </c>
      <c r="H18" s="5" t="str">
        <f>IFERROR(__xludf.DUMMYFUNCTION("GOOGLETRANSLATE(B18, ""en"", ""ar"")"),"هل يجوز للفرسان استخدام الدراجات النارية لتوجيه الجمال أثناء السباق؟")</f>
        <v>هل يجوز للفرسان استخدام الدراجات النارية لتوجيه الجمال أثناء السباق؟</v>
      </c>
      <c r="I18" s="5" t="str">
        <f>IFERROR(__xludf.DUMMYFUNCTION("GOOGLETRANSLATE(C18, ""en"", ""ar"")"),"أ) نعم، مسموح به؛ ب) لا، ممنوع؛ ج) مسموح به في المدن الكبرى؛ د) فقط في السباقات الخاصة")</f>
        <v>أ) نعم، مسموح به؛ ب) لا، ممنوع؛ ج) مسموح به في المدن الكبرى؛ د) فقط في السباقات الخاصة</v>
      </c>
      <c r="J18" s="5" t="str">
        <f>IFERROR(__xludf.DUMMYFUNCTION("GOOGLETRANSLATE(D18, ""en"", ""ar"")"),"ب) لا، ممنوع")</f>
        <v>ب) لا، ممنوع</v>
      </c>
      <c r="K18" s="5" t="str">
        <f>IFERROR(__xludf.DUMMYFUNCTION("GOOGLETRANSLATE(E18, ""en"", ""ar"")"),"لا يُسمح للدراجات النارية بتوجيه الجمال أثناء السباق.")</f>
        <v>لا يُسمح للدراجات النارية بتوجيه الجمال أثناء السباق.</v>
      </c>
    </row>
    <row r="19">
      <c r="A19" s="3">
        <v>18.0</v>
      </c>
      <c r="B19" s="4" t="s">
        <v>76</v>
      </c>
      <c r="C19" s="4" t="s">
        <v>77</v>
      </c>
      <c r="D19" s="4" t="s">
        <v>78</v>
      </c>
      <c r="E19" s="4" t="s">
        <v>79</v>
      </c>
      <c r="G19" s="5" t="str">
        <f>IFERROR(__xludf.DUMMYFUNCTION("GOOGLETRANSLATE(A19, ""en"", ""ar"")"),"18")</f>
        <v>18</v>
      </c>
      <c r="H19" s="5" t="str">
        <f>IFERROR(__xludf.DUMMYFUNCTION("GOOGLETRANSLATE(B19, ""en"", ""ar"")"),"هل يتم تحديد مسافة السباق بناءً على مستوى الفرسان؟")</f>
        <v>هل يتم تحديد مسافة السباق بناءً على مستوى الفرسان؟</v>
      </c>
      <c r="I19" s="5" t="str">
        <f>IFERROR(__xludf.DUMMYFUNCTION("GOOGLETRANSLATE(C19, ""en"", ""ar"")"),"أ) نعم، بناءً على المستوى؛ ب) لا، المسافة ثابتة؛ ج) بناءً على عمر الجمل؛ د) بناءً على حجم المسار")</f>
        <v>أ) نعم، بناءً على المستوى؛ ب) لا، المسافة ثابتة؛ ج) بناءً على عمر الجمل؛ د) بناءً على حجم المسار</v>
      </c>
      <c r="J19" s="5" t="str">
        <f>IFERROR(__xludf.DUMMYFUNCTION("GOOGLETRANSLATE(D19, ""en"", ""ar"")"),"ب) لا، المسافة ثابتة")</f>
        <v>ب) لا، المسافة ثابتة</v>
      </c>
      <c r="K19" s="5" t="str">
        <f>IFERROR(__xludf.DUMMYFUNCTION("GOOGLETRANSLATE(E19, ""en"", ""ar"")"),"المسافة محددة لجميع المشاركين في السباق.")</f>
        <v>المسافة محددة لجميع المشاركين في السباق.</v>
      </c>
    </row>
    <row r="20">
      <c r="A20" s="3">
        <v>19.0</v>
      </c>
      <c r="B20" s="4" t="s">
        <v>80</v>
      </c>
      <c r="C20" s="4" t="s">
        <v>81</v>
      </c>
      <c r="D20" s="4" t="s">
        <v>82</v>
      </c>
      <c r="E20" s="4" t="s">
        <v>83</v>
      </c>
      <c r="G20" s="5" t="str">
        <f>IFERROR(__xludf.DUMMYFUNCTION("GOOGLETRANSLATE(A20, ""en"", ""ar"")"),"19")</f>
        <v>19</v>
      </c>
      <c r="H20" s="5" t="str">
        <f>IFERROR(__xludf.DUMMYFUNCTION("GOOGLETRANSLATE(B20, ""en"", ""ar"")"),"ما هي احتياطات السلامة الأساسية أثناء سباق الهجن؟")</f>
        <v>ما هي احتياطات السلامة الأساسية أثناء سباق الهجن؟</v>
      </c>
      <c r="I20" s="5" t="str">
        <f>IFERROR(__xludf.DUMMYFUNCTION("GOOGLETRANSLATE(C20, ""en"", ""ar"")"),"أ) مراقبة الجمال فقط؛ ب) أطواق أمان للفرسان؛ ج) توفير المرافق الطبية الطارئة؛ د) مراقبة الكاميرات")</f>
        <v>أ) مراقبة الجمال فقط؛ ب) أطواق أمان للفرسان؛ ج) توفير المرافق الطبية الطارئة؛ د) مراقبة الكاميرات</v>
      </c>
      <c r="J20" s="5" t="str">
        <f>IFERROR(__xludf.DUMMYFUNCTION("GOOGLETRANSLATE(D20, ""en"", ""ar"")"),"ج) توفير المرافق الطبية الطارئة")</f>
        <v>ج) توفير المرافق الطبية الطارئة</v>
      </c>
      <c r="K20" s="5" t="str">
        <f>IFERROR(__xludf.DUMMYFUNCTION("GOOGLETRANSLATE(E20, ""en"", ""ar"")"),"يتم توفير فرق طبية طارئة لضمان سلامة المتسابقين والجمال.")</f>
        <v>يتم توفير فرق طبية طارئة لضمان سلامة المتسابقين والجمال.</v>
      </c>
    </row>
    <row r="21">
      <c r="A21" s="3">
        <v>20.0</v>
      </c>
      <c r="B21" s="4" t="s">
        <v>84</v>
      </c>
      <c r="C21" s="4" t="s">
        <v>85</v>
      </c>
      <c r="D21" s="4" t="s">
        <v>86</v>
      </c>
      <c r="E21" s="4" t="s">
        <v>87</v>
      </c>
      <c r="G21" s="5" t="str">
        <f>IFERROR(__xludf.DUMMYFUNCTION("GOOGLETRANSLATE(A21, ""en"", ""ar"")"),"20")</f>
        <v>20</v>
      </c>
      <c r="H21" s="5" t="str">
        <f>IFERROR(__xludf.DUMMYFUNCTION("GOOGLETRANSLATE(B21, ""en"", ""ar"")"),"هل يجوز للمتسابقين إعطاء تعليمات صوتية للجمل أثناء السباق؟")</f>
        <v>هل يجوز للمتسابقين إعطاء تعليمات صوتية للجمل أثناء السباق؟</v>
      </c>
      <c r="I21" s="5" t="str">
        <f>IFERROR(__xludf.DUMMYFUNCTION("GOOGLETRANSLATE(C21, ""en"", ""ar"")"),"أ) نعم، مسموح بها؛ ب) لا، غير مسموح بها؛ ج) في حالة الطوارئ؛ د) فقط إذا ضل الجمل")</f>
        <v>أ) نعم، مسموح بها؛ ب) لا، غير مسموح بها؛ ج) في حالة الطوارئ؛ د) فقط إذا ضل الجمل</v>
      </c>
      <c r="J21" s="5" t="str">
        <f>IFERROR(__xludf.DUMMYFUNCTION("GOOGLETRANSLATE(D21, ""en"", ""ar"")"),"أ) نعم، مسموح لهم")</f>
        <v>أ) نعم، مسموح لهم</v>
      </c>
      <c r="K21" s="5" t="str">
        <f>IFERROR(__xludf.DUMMYFUNCTION("GOOGLETRANSLATE(E21, ""en"", ""ar"")"),"يُسمح للمتسابقين بإعطاء التعليمات أثناء السباق لتوجيه الجمل.")</f>
        <v>يُسمح للمتسابقين بإعطاء التعليمات أثناء السباق لتوجيه الجمل.</v>
      </c>
    </row>
    <row r="22">
      <c r="A22" s="3">
        <v>21.0</v>
      </c>
      <c r="B22" s="4" t="s">
        <v>88</v>
      </c>
      <c r="C22" s="4" t="s">
        <v>89</v>
      </c>
      <c r="D22" s="4" t="s">
        <v>90</v>
      </c>
      <c r="E22" s="4" t="s">
        <v>91</v>
      </c>
      <c r="G22" s="5" t="str">
        <f>IFERROR(__xludf.DUMMYFUNCTION("GOOGLETRANSLATE(A22, ""en"", ""ar"")"),"21")</f>
        <v>21</v>
      </c>
      <c r="H22" s="5" t="str">
        <f>IFERROR(__xludf.DUMMYFUNCTION("GOOGLETRANSLATE(B22, ""en"", ""ar"")"),"هل يتطلب السباق معدات خاصة مثل الخوذات للفرسان؟")</f>
        <v>هل يتطلب السباق معدات خاصة مثل الخوذات للفرسان؟</v>
      </c>
      <c r="I22" s="5" t="str">
        <f>IFERROR(__xludf.DUMMYFUNCTION("GOOGLETRANSLATE(C22, ""en"", ""ar"")"),"أ) نعم، المعدات الخاصة إلزامية؛ ب) لا، المعدات غير مطلوبة؛ ج) يُسمح بالمعدات العادية؛ د) يستخدم المحترفون فقط المعدات الخاصة")</f>
        <v>أ) نعم، المعدات الخاصة إلزامية؛ ب) لا، المعدات غير مطلوبة؛ ج) يُسمح بالمعدات العادية؛ د) يستخدم المحترفون فقط المعدات الخاصة</v>
      </c>
      <c r="J22" s="5" t="str">
        <f>IFERROR(__xludf.DUMMYFUNCTION("GOOGLETRANSLATE(D22, ""en"", ""ar"")"),"أ) نعم، المعدات الخاصة إلزامية")</f>
        <v>أ) نعم، المعدات الخاصة إلزامية</v>
      </c>
      <c r="K22" s="5" t="str">
        <f>IFERROR(__xludf.DUMMYFUNCTION("GOOGLETRANSLATE(E22, ""en"", ""ar"")"),"يتطلب السباق استخدام معدات خاصة مثل الخوذات والأحزمة لمساعدة الفرسان والجمال.")</f>
        <v>يتطلب السباق استخدام معدات خاصة مثل الخوذات والأحزمة لمساعدة الفرسان والجمال.</v>
      </c>
    </row>
    <row r="23">
      <c r="A23" s="3">
        <v>22.0</v>
      </c>
      <c r="B23" s="4" t="s">
        <v>92</v>
      </c>
      <c r="C23" s="4" t="s">
        <v>93</v>
      </c>
      <c r="D23" s="4" t="s">
        <v>94</v>
      </c>
      <c r="E23" s="4" t="s">
        <v>95</v>
      </c>
      <c r="G23" s="5" t="str">
        <f>IFERROR(__xludf.DUMMYFUNCTION("GOOGLETRANSLATE(A23, ""en"", ""ar"")"),"22")</f>
        <v>22</v>
      </c>
      <c r="H23" s="5" t="str">
        <f>IFERROR(__xludf.DUMMYFUNCTION("GOOGLETRANSLATE(B23, ""en"", ""ar"")"),"هل يُسمح للمتسابقين بإجراء تغييرات على زيهم أثناء السباق؟")</f>
        <v>هل يُسمح للمتسابقين بإجراء تغييرات على زيهم أثناء السباق؟</v>
      </c>
      <c r="I23" s="5" t="str">
        <f>IFERROR(__xludf.DUMMYFUNCTION("GOOGLETRANSLATE(C23, ""en"", ""ar"")"),"أ) نعم، يمكنهم التغيير؛ ب) لا، يجب عليهم ارتداء زي موحد؛ ج) فقط في حالة حدوث تغيير في الطقس؛ د) يمكنهم ارتداء ما يريدون")</f>
        <v>أ) نعم، يمكنهم التغيير؛ ب) لا، يجب عليهم ارتداء زي موحد؛ ج) فقط في حالة حدوث تغيير في الطقس؛ د) يمكنهم ارتداء ما يريدون</v>
      </c>
      <c r="J23" s="5" t="str">
        <f>IFERROR(__xludf.DUMMYFUNCTION("GOOGLETRANSLATE(D23, ""en"", ""ar"")"),"ب) لا، يجب عليهم ارتداء زي موحد.")</f>
        <v>ب) لا، يجب عليهم ارتداء زي موحد.</v>
      </c>
      <c r="K23" s="5" t="str">
        <f>IFERROR(__xludf.DUMMYFUNCTION("GOOGLETRANSLATE(E23, ""en"", ""ar"")"),"يجب على المتسابقين ارتداء زي يتوافق مع القواعد.")</f>
        <v>يجب على المتسابقين ارتداء زي يتوافق مع القواعد.</v>
      </c>
    </row>
    <row r="24">
      <c r="A24" s="3">
        <v>23.0</v>
      </c>
      <c r="B24" s="4" t="s">
        <v>96</v>
      </c>
      <c r="C24" s="4" t="s">
        <v>97</v>
      </c>
      <c r="D24" s="4" t="s">
        <v>98</v>
      </c>
      <c r="E24" s="4" t="s">
        <v>99</v>
      </c>
      <c r="G24" s="5" t="str">
        <f>IFERROR(__xludf.DUMMYFUNCTION("GOOGLETRANSLATE(A24, ""en"", ""ar"")"),"23")</f>
        <v>23</v>
      </c>
      <c r="H24" s="5" t="str">
        <f>IFERROR(__xludf.DUMMYFUNCTION("GOOGLETRANSLATE(B24, ""en"", ""ar"")"),"ما هو الإجراء المتخذ إذا انتهك أحد المتسابقين قواعد السباق؟")</f>
        <v>ما هو الإجراء المتخذ إذا انتهك أحد المتسابقين قواعد السباق؟</v>
      </c>
      <c r="I24" s="5" t="str">
        <f>IFERROR(__xludf.DUMMYFUNCTION("GOOGLETRANSLATE(C24, ""en"", ""ar"")"),"أ) يتم توجيه تحذير فقط؛ ب) يتم إيقافهم عن السباق؛ ج) يُسمح لهم بالاستئناف بعد دفع غرامة؛ د) يتم طردهم بشكل دائم")</f>
        <v>أ) يتم توجيه تحذير فقط؛ ب) يتم إيقافهم عن السباق؛ ج) يُسمح لهم بالاستئناف بعد دفع غرامة؛ د) يتم طردهم بشكل دائم</v>
      </c>
      <c r="J24" s="5" t="str">
        <f>IFERROR(__xludf.DUMMYFUNCTION("GOOGLETRANSLATE(D24, ""en"", ""ar"")"),"ب) يتم إيقافهم عن السباق")</f>
        <v>ب) يتم إيقافهم عن السباق</v>
      </c>
      <c r="K24" s="5" t="str">
        <f>IFERROR(__xludf.DUMMYFUNCTION("GOOGLETRANSLATE(E24, ""en"", ""ar"")"),"إذا قام أحد المتسابقين بانتهاك قواعد السباق، فسيتم استبعاده على الفور.")</f>
        <v>إذا قام أحد المتسابقين بانتهاك قواعد السباق، فسيتم استبعاده على الفور.</v>
      </c>
    </row>
    <row r="25">
      <c r="A25" s="3">
        <v>24.0</v>
      </c>
      <c r="B25" s="4" t="s">
        <v>100</v>
      </c>
      <c r="C25" s="4" t="s">
        <v>101</v>
      </c>
      <c r="D25" s="4" t="s">
        <v>102</v>
      </c>
      <c r="E25" s="4" t="s">
        <v>103</v>
      </c>
      <c r="G25" s="5" t="str">
        <f>IFERROR(__xludf.DUMMYFUNCTION("GOOGLETRANSLATE(A25, ""en"", ""ar"")"),"24")</f>
        <v>24</v>
      </c>
      <c r="H25" s="5" t="str">
        <f>IFERROR(__xludf.DUMMYFUNCTION("GOOGLETRANSLATE(B25, ""en"", ""ar"")"),"هل يُسمح للمشاهدين بالتواجد بالقرب من المسار أثناء السباق؟")</f>
        <v>هل يُسمح للمشاهدين بالتواجد بالقرب من المسار أثناء السباق؟</v>
      </c>
      <c r="I25" s="5" t="str">
        <f>IFERROR(__xludf.DUMMYFUNCTION("GOOGLETRANSLATE(C25, ""en"", ""ar"")"),"أ) نعم، يمكنهم المشاركة؛ ب) لا، لا يُسمح للجمهور؛ ج) يمكن للجمهور الحضور ولكن عن بعد؛ د) يُسمح للجمهور بالمشاركة")</f>
        <v>أ) نعم، يمكنهم المشاركة؛ ب) لا، لا يُسمح للجمهور؛ ج) يمكن للجمهور الحضور ولكن عن بعد؛ د) يُسمح للجمهور بالمشاركة</v>
      </c>
      <c r="J25" s="5" t="str">
        <f>IFERROR(__xludf.DUMMYFUNCTION("GOOGLETRANSLATE(D25, ""en"", ""ar"")"),"ج) يمكن للجمهور الحضور ولكن من مسافة بعيدة")</f>
        <v>ج) يمكن للجمهور الحضور ولكن من مسافة بعيدة</v>
      </c>
      <c r="K25" s="5" t="str">
        <f>IFERROR(__xludf.DUMMYFUNCTION("GOOGLETRANSLATE(E25, ""en"", ""ar"")"),"يُسمح للمتفرجين بالحضور، ولكن يجب عليهم الابتعاد عن المسار لأسباب تتعلق بالسلامة.")</f>
        <v>يُسمح للمتفرجين بالحضور، ولكن يجب عليهم الابتعاد عن المسار لأسباب تتعلق بالسلامة.</v>
      </c>
    </row>
    <row r="26">
      <c r="A26" s="3">
        <v>25.0</v>
      </c>
      <c r="B26" s="4" t="s">
        <v>104</v>
      </c>
      <c r="C26" s="4" t="s">
        <v>105</v>
      </c>
      <c r="D26" s="4" t="s">
        <v>106</v>
      </c>
      <c r="E26" s="4" t="s">
        <v>107</v>
      </c>
      <c r="G26" s="5" t="str">
        <f>IFERROR(__xludf.DUMMYFUNCTION("GOOGLETRANSLATE(A26, ""en"", ""ar"")"),"25")</f>
        <v>25</v>
      </c>
      <c r="H26" s="5" t="str">
        <f>IFERROR(__xludf.DUMMYFUNCTION("GOOGLETRANSLATE(B26, ""en"", ""ar"")"),"هل يتم استخدام تقنية الفيديو في تقييم السباق والتحكيم؟")</f>
        <v>هل يتم استخدام تقنية الفيديو في تقييم السباق والتحكيم؟</v>
      </c>
      <c r="I26" s="5" t="str">
        <f>IFERROR(__xludf.DUMMYFUNCTION("GOOGLETRANSLATE(C26, ""en"", ""ar"")"),"أ) نعم، يتم استخدام الفيديو للتقييم؛ ب) لا، لا يتم استخدام الفيديو؛ ج) فقط للمراجعة بعد السباق؛ د) فقط لتسجيل السباق")</f>
        <v>أ) نعم، يتم استخدام الفيديو للتقييم؛ ب) لا، لا يتم استخدام الفيديو؛ ج) فقط للمراجعة بعد السباق؛ د) فقط لتسجيل السباق</v>
      </c>
      <c r="J26" s="5" t="str">
        <f>IFERROR(__xludf.DUMMYFUNCTION("GOOGLETRANSLATE(D26, ""en"", ""ar"")"),"أ) نعم، يتم استخدام الفيديو للتقييم")</f>
        <v>أ) نعم، يتم استخدام الفيديو للتقييم</v>
      </c>
      <c r="K26" s="5" t="str">
        <f>IFERROR(__xludf.DUMMYFUNCTION("GOOGLETRANSLATE(E26, ""en"", ""ar"")"),"يتم استخدام تقنيات الفيديو للمساعدة في تقييم الأداء وضمان نزاهة الحكم.")</f>
        <v>يتم استخدام تقنيات الفيديو للمساعدة في تقييم الأداء وضمان نزاهة الحكم.</v>
      </c>
    </row>
    <row r="27">
      <c r="A27" s="3">
        <v>26.0</v>
      </c>
      <c r="B27" s="4" t="s">
        <v>108</v>
      </c>
      <c r="C27" s="4" t="s">
        <v>109</v>
      </c>
      <c r="D27" s="4" t="s">
        <v>110</v>
      </c>
      <c r="E27" s="4" t="s">
        <v>111</v>
      </c>
      <c r="G27" s="5" t="str">
        <f>IFERROR(__xludf.DUMMYFUNCTION("GOOGLETRANSLATE(A27, ""en"", ""ar"")"),"26")</f>
        <v>26</v>
      </c>
      <c r="H27" s="5" t="str">
        <f>IFERROR(__xludf.DUMMYFUNCTION("GOOGLETRANSLATE(B27, ""en"", ""ar"")"),"هل يُسمح لمساعدي السباق أو أعضاء الفريق بالتواجد على المسار أثناء السباق؟")</f>
        <v>هل يُسمح لمساعدي السباق أو أعضاء الفريق بالتواجد على المسار أثناء السباق؟</v>
      </c>
      <c r="I27" s="5" t="str">
        <f>IFERROR(__xludf.DUMMYFUNCTION("GOOGLETRANSLATE(C27, ""en"", ""ar"")"),"أ) نعم، يمكنهم المساعدة على طول المسار؛ ب) لا، يجب أن يكون السباق بدون مساعدين؛ ج) يمكن لأعضاء الفريق فقط المساعدة؛ د) فقط في حالات الطوارئ")</f>
        <v>أ) نعم، يمكنهم المساعدة على طول المسار؛ ب) لا، يجب أن يكون السباق بدون مساعدين؛ ج) يمكن لأعضاء الفريق فقط المساعدة؛ د) فقط في حالات الطوارئ</v>
      </c>
      <c r="J27" s="5" t="str">
        <f>IFERROR(__xludf.DUMMYFUNCTION("GOOGLETRANSLATE(D27, ""en"", ""ar"")"),"ب) لا، يجب أن يكون السباق بدون مساعدين")</f>
        <v>ب) لا، يجب أن يكون السباق بدون مساعدين</v>
      </c>
      <c r="K27" s="5" t="str">
        <f>IFERROR(__xludf.DUMMYFUNCTION("GOOGLETRANSLATE(E27, ""en"", ""ar"")"),"لضمان سلامة السباق ونزاهته، لا يُسمح للمساعدين بالتواجد على المسار.")</f>
        <v>لضمان سلامة السباق ونزاهته، لا يُسمح للمساعدين بالتواجد على المسار.</v>
      </c>
    </row>
    <row r="28">
      <c r="A28" s="3">
        <v>27.0</v>
      </c>
      <c r="B28" s="4" t="s">
        <v>112</v>
      </c>
      <c r="C28" s="4" t="s">
        <v>113</v>
      </c>
      <c r="D28" s="4" t="s">
        <v>114</v>
      </c>
      <c r="E28" s="4" t="s">
        <v>115</v>
      </c>
      <c r="G28" s="5" t="str">
        <f>IFERROR(__xludf.DUMMYFUNCTION("GOOGLETRANSLATE(A28, ""en"", ""ar"")"),"27")</f>
        <v>27</v>
      </c>
      <c r="H28" s="5" t="str">
        <f>IFERROR(__xludf.DUMMYFUNCTION("GOOGLETRANSLATE(B28, ""en"", ""ar"")"),"هل يسمح للمتسابقين من السودان بالمشاركة في السباقات في دول أخرى؟")</f>
        <v>هل يسمح للمتسابقين من السودان بالمشاركة في السباقات في دول أخرى؟</v>
      </c>
      <c r="I28" s="5" t="str">
        <f>IFERROR(__xludf.DUMMYFUNCTION("GOOGLETRANSLATE(C28, ""en"", ""ar"")"),"أ) نعم، في السباقات الدولية المعتمدة؛ ب) لا، فقط في السباقات المحلية؛ ج) فقط إذا كانت البطولة معترف بها دوليًا؛ د) غير مسموح به على الإطلاق")</f>
        <v>أ) نعم، في السباقات الدولية المعتمدة؛ ب) لا، فقط في السباقات المحلية؛ ج) فقط إذا كانت البطولة معترف بها دوليًا؛ د) غير مسموح به على الإطلاق</v>
      </c>
      <c r="J28" s="5" t="str">
        <f>IFERROR(__xludf.DUMMYFUNCTION("GOOGLETRANSLATE(D28, ""en"", ""ar"")"),"أ) نعم، في السباقات الدولية المعتمدة")</f>
        <v>أ) نعم، في السباقات الدولية المعتمدة</v>
      </c>
      <c r="K28" s="5" t="str">
        <f>IFERROR(__xludf.DUMMYFUNCTION("GOOGLETRANSLATE(E28, ""en"", ""ar"")"),"يُسمح للمتسابقين بالمشاركة في السباقات الدولية المعتمدة من قبل الاتحادات العالمية.")</f>
        <v>يُسمح للمتسابقين بالمشاركة في السباقات الدولية المعتمدة من قبل الاتحادات العالمية.</v>
      </c>
    </row>
    <row r="29">
      <c r="A29" s="3">
        <v>28.0</v>
      </c>
      <c r="B29" s="4" t="s">
        <v>116</v>
      </c>
      <c r="C29" s="4" t="s">
        <v>117</v>
      </c>
      <c r="D29" s="4" t="s">
        <v>118</v>
      </c>
      <c r="E29" s="4" t="s">
        <v>119</v>
      </c>
      <c r="G29" s="5" t="str">
        <f>IFERROR(__xludf.DUMMYFUNCTION("GOOGLETRANSLATE(A29, ""en"", ""ar"")"),"28")</f>
        <v>28</v>
      </c>
      <c r="H29" s="5" t="str">
        <f>IFERROR(__xludf.DUMMYFUNCTION("GOOGLETRANSLATE(B29, ""en"", ""ar"")"),"ما هو العدد الأقصى للإبل التي يمكن أن تشارك في سباق البطولة الكبرى؟")</f>
        <v>ما هو العدد الأقصى للإبل التي يمكن أن تشارك في سباق البطولة الكبرى؟</v>
      </c>
      <c r="I29" s="5" t="str">
        <f>IFERROR(__xludf.DUMMYFUNCTION("GOOGLETRANSLATE(C29, ""en"", ""ar"")"),"أ) 50 جملًا؛ ب) 100 جمل؛ ج) 200 جمل؛ د) يعتمد على المسار")</f>
        <v>أ) 50 جملًا؛ ب) 100 جمل؛ ج) 200 جمل؛ د) يعتمد على المسار</v>
      </c>
      <c r="J29" s="5" t="str">
        <f>IFERROR(__xludf.DUMMYFUNCTION("GOOGLETRANSLATE(D29, ""en"", ""ar"")"),"ب) 100 جمل")</f>
        <v>ب) 100 جمل</v>
      </c>
      <c r="K29" s="5" t="str">
        <f>IFERROR(__xludf.DUMMYFUNCTION("GOOGLETRANSLATE(E29, ""en"", ""ar"")"),"يختلف العدد الأقصى للإبل المشاركة في السباق، ولكن في أغلب الحالات يُسمح بحوالي 100 جمل.")</f>
        <v>يختلف العدد الأقصى للإبل المشاركة في السباق، ولكن في أغلب الحالات يُسمح بحوالي 100 جمل.</v>
      </c>
    </row>
    <row r="30">
      <c r="A30" s="3">
        <v>29.0</v>
      </c>
      <c r="B30" s="4" t="s">
        <v>120</v>
      </c>
      <c r="C30" s="4" t="s">
        <v>121</v>
      </c>
      <c r="D30" s="4" t="s">
        <v>122</v>
      </c>
      <c r="E30" s="4" t="s">
        <v>123</v>
      </c>
      <c r="G30" s="5" t="str">
        <f>IFERROR(__xludf.DUMMYFUNCTION("GOOGLETRANSLATE(A30, ""en"", ""ar"")"),"29")</f>
        <v>29</v>
      </c>
      <c r="H30" s="5" t="str">
        <f>IFERROR(__xludf.DUMMYFUNCTION("GOOGLETRANSLATE(B30, ""en"", ""ar"")"),"هل يجوز استعمال الأدوية المنشطة لتحفيز الإبل؟")</f>
        <v>هل يجوز استعمال الأدوية المنشطة لتحفيز الإبل؟</v>
      </c>
      <c r="I30" s="5" t="str">
        <f>IFERROR(__xludf.DUMMYFUNCTION("GOOGLETRANSLATE(C30, ""en"", ""ar"")"),"أ) نعم، في السباقات الخاصة؛ ب) لا، يُحظر استخدام الأدوية؛ ج) فقط في حالة المرض؛ د) مسموح به تحت إشراف بيطري")</f>
        <v>أ) نعم، في السباقات الخاصة؛ ب) لا، يُحظر استخدام الأدوية؛ ج) فقط في حالة المرض؛ د) مسموح به تحت إشراف بيطري</v>
      </c>
      <c r="J30" s="5" t="str">
        <f>IFERROR(__xludf.DUMMYFUNCTION("GOOGLETRANSLATE(D30, ""en"", ""ar"")"),"ب) لا، يُحظر استخدام الأدوية.")</f>
        <v>ب) لا، يُحظر استخدام الأدوية.</v>
      </c>
      <c r="K30" s="5" t="str">
        <f>IFERROR(__xludf.DUMMYFUNCTION("GOOGLETRANSLATE(E30, ""en"", ""ar"")"),"يُحظر استخدام العقاقير لتحفيز الإبل أثناء السباق.")</f>
        <v>يُحظر استخدام العقاقير لتحفيز الإبل أثناء السباق.</v>
      </c>
    </row>
    <row r="31">
      <c r="A31" s="3">
        <v>30.0</v>
      </c>
      <c r="B31" s="4" t="s">
        <v>124</v>
      </c>
      <c r="C31" s="4" t="s">
        <v>125</v>
      </c>
      <c r="D31" s="4" t="s">
        <v>126</v>
      </c>
      <c r="E31" s="4" t="s">
        <v>127</v>
      </c>
      <c r="G31" s="5" t="str">
        <f>IFERROR(__xludf.DUMMYFUNCTION("GOOGLETRANSLATE(A31, ""en"", ""ar"")"),"30")</f>
        <v>30</v>
      </c>
      <c r="H31" s="5" t="str">
        <f>IFERROR(__xludf.DUMMYFUNCTION("GOOGLETRANSLATE(B31, ""en"", ""ar"")"),"هل يتم إصدار شهادات رسمية للمتسابقين الفائزين في السباقات؟")</f>
        <v>هل يتم إصدار شهادات رسمية للمتسابقين الفائزين في السباقات؟</v>
      </c>
      <c r="I31" s="5" t="str">
        <f>IFERROR(__xludf.DUMMYFUNCTION("GOOGLETRANSLATE(C31, ""en"", ""ar"")"),"أ) نعم، يتم إصدار شهادات رسمية؛ ب) لا، لا يتم إصدار شهادات؛ ج) يتم منح جوائز نقدية فقط؛ د) يتم تسليم جوائز عينية فقط")</f>
        <v>أ) نعم، يتم إصدار شهادات رسمية؛ ب) لا، لا يتم إصدار شهادات؛ ج) يتم منح جوائز نقدية فقط؛ د) يتم تسليم جوائز عينية فقط</v>
      </c>
      <c r="J31" s="5" t="str">
        <f>IFERROR(__xludf.DUMMYFUNCTION("GOOGLETRANSLATE(D31, ""en"", ""ar"")"),"أ) نعم يتم إصدار شهادات رسمية")</f>
        <v>أ) نعم يتم إصدار شهادات رسمية</v>
      </c>
      <c r="K31" s="5" t="str">
        <f>IFERROR(__xludf.DUMMYFUNCTION("GOOGLETRANSLATE(E31, ""en"", ""ar"")"),"يتم إصدار شهادات رسمية للمتسابقين الفائزين في السباق.")</f>
        <v>يتم إصدار شهادات رسمية للمتسابقين الفائزين في السباق.</v>
      </c>
    </row>
    <row r="32">
      <c r="A32" s="3">
        <v>31.0</v>
      </c>
      <c r="B32" s="4" t="s">
        <v>128</v>
      </c>
      <c r="C32" s="4" t="s">
        <v>129</v>
      </c>
      <c r="D32" s="4" t="s">
        <v>130</v>
      </c>
      <c r="E32" s="4" t="s">
        <v>131</v>
      </c>
      <c r="G32" s="5" t="str">
        <f>IFERROR(__xludf.DUMMYFUNCTION("GOOGLETRANSLATE(A32, ""en"", ""ar"")"),"31")</f>
        <v>31</v>
      </c>
      <c r="H32" s="5" t="str">
        <f>IFERROR(__xludf.DUMMYFUNCTION("GOOGLETRANSLATE(B32, ""en"", ""ar"")"),"ما هو الحد الأقصى للوزن الذي يمكن أن يحمله الجمل أثناء السباق، بما في ذلك الفارس والسرج؟")</f>
        <v>ما هو الحد الأقصى للوزن الذي يمكن أن يحمله الجمل أثناء السباق، بما في ذلك الفارس والسرج؟</v>
      </c>
      <c r="I32" s="5" t="str">
        <f>IFERROR(__xludf.DUMMYFUNCTION("GOOGLETRANSLATE(C32, ""en"", ""ar"")"),"أ) 50 كجم؛ ب) 70 كجم؛ ج) 100 كجم؛ د) 120 كجم")</f>
        <v>أ) 50 كجم؛ ب) 70 كجم؛ ج) 100 كجم؛ د) 120 كجم</v>
      </c>
      <c r="J32" s="5" t="str">
        <f>IFERROR(__xludf.DUMMYFUNCTION("GOOGLETRANSLATE(D32, ""en"", ""ar"")"),"ب) 70 كجم")</f>
        <v>ب) 70 كجم</v>
      </c>
      <c r="K32" s="5" t="str">
        <f>IFERROR(__xludf.DUMMYFUNCTION("GOOGLETRANSLATE(E32, ""en"", ""ar"")"),"يُسمح للجمال بحمل وزن أقصى يبلغ 70 كجم أثناء السباق.")</f>
        <v>يُسمح للجمال بحمل وزن أقصى يبلغ 70 كجم أثناء السباق.</v>
      </c>
    </row>
    <row r="33">
      <c r="A33" s="3">
        <v>32.0</v>
      </c>
      <c r="B33" s="4" t="s">
        <v>132</v>
      </c>
      <c r="C33" s="4" t="s">
        <v>133</v>
      </c>
      <c r="D33" s="4" t="s">
        <v>134</v>
      </c>
      <c r="E33" s="4" t="s">
        <v>135</v>
      </c>
      <c r="G33" s="5" t="str">
        <f>IFERROR(__xludf.DUMMYFUNCTION("GOOGLETRANSLATE(A33, ""en"", ""ar"")"),"32")</f>
        <v>32</v>
      </c>
      <c r="H33" s="5" t="str">
        <f>IFERROR(__xludf.DUMMYFUNCTION("GOOGLETRANSLATE(B33, ""en"", ""ar"")"),"هل يجوز تغيير الفارس أو المعدات بين جولات السباق المختلفة في نفس اليوم؟")</f>
        <v>هل يجوز تغيير الفارس أو المعدات بين جولات السباق المختلفة في نفس اليوم؟</v>
      </c>
      <c r="I33" s="5" t="str">
        <f>IFERROR(__xludf.DUMMYFUNCTION("GOOGLETRANSLATE(C33, ""en"", ""ar"")"),"أ) نعم يجوز ذلك؛ ب) لا، يجب أن تبقى المعدات كما هي؛ ج) مسموح بها فقط في حالة حدوث ضرر؛ د) يُسمح للمحترفين فقط بالتغيير")</f>
        <v>أ) نعم يجوز ذلك؛ ب) لا، يجب أن تبقى المعدات كما هي؛ ج) مسموح بها فقط في حالة حدوث ضرر؛ د) يُسمح للمحترفين فقط بالتغيير</v>
      </c>
      <c r="J33" s="5" t="str">
        <f>IFERROR(__xludf.DUMMYFUNCTION("GOOGLETRANSLATE(D33, ""en"", ""ar"")"),"أ) نعم يجوز")</f>
        <v>أ) نعم يجوز</v>
      </c>
      <c r="K33" s="5" t="str">
        <f>IFERROR(__xludf.DUMMYFUNCTION("GOOGLETRANSLATE(E33, ""en"", ""ar"")"),"يُسمح بتغيير الفارس أو المعدات بين السباقات، ولكن يجب أن تكون المعدات متوافقة مع اللوائح.")</f>
        <v>يُسمح بتغيير الفارس أو المعدات بين السباقات، ولكن يجب أن تكون المعدات متوافقة مع اللوائح.</v>
      </c>
    </row>
    <row r="34">
      <c r="A34" s="3">
        <v>33.0</v>
      </c>
      <c r="B34" s="4" t="s">
        <v>136</v>
      </c>
      <c r="C34" s="4" t="s">
        <v>137</v>
      </c>
      <c r="D34" s="4" t="s">
        <v>138</v>
      </c>
      <c r="E34" s="4" t="s">
        <v>139</v>
      </c>
      <c r="G34" s="5" t="str">
        <f>IFERROR(__xludf.DUMMYFUNCTION("GOOGLETRANSLATE(A34, ""en"", ""ar"")"),"33")</f>
        <v>33</v>
      </c>
      <c r="H34" s="5" t="str">
        <f>IFERROR(__xludf.DUMMYFUNCTION("GOOGLETRANSLATE(B34, ""en"", ""ar"")"),"هل يمكن للفرسان الحصول على مساعدة طبية أثناء السباق؟")</f>
        <v>هل يمكن للفرسان الحصول على مساعدة طبية أثناء السباق؟</v>
      </c>
      <c r="I34" s="5" t="str">
        <f>IFERROR(__xludf.DUMMYFUNCTION("GOOGLETRANSLATE(C34, ""en"", ""ar"")"),"أ) نعم، يجوز للمتسابقين استخدام الطاقم الطبي؛ ب) لا، لا يُسمح لهم باستخدام أي شخص؛ ج) فقط بعد السباق؛ د) فقط في حالة الطوارئ")</f>
        <v>أ) نعم، يجوز للمتسابقين استخدام الطاقم الطبي؛ ب) لا، لا يُسمح لهم باستخدام أي شخص؛ ج) فقط بعد السباق؛ د) فقط في حالة الطوارئ</v>
      </c>
      <c r="J34" s="5" t="str">
        <f>IFERROR(__xludf.DUMMYFUNCTION("GOOGLETRANSLATE(D34, ""en"", ""ar"")"),"أ) نعم، يمكن للمتسابقين استخدام الطاقم الطبي")</f>
        <v>أ) نعم، يمكن للمتسابقين استخدام الطاقم الطبي</v>
      </c>
      <c r="K34" s="5" t="str">
        <f>IFERROR(__xludf.DUMMYFUNCTION("GOOGLETRANSLATE(E34, ""en"", ""ar"")"),"يُسمح للمتسابقين بالاستعانة بالطاقم الطبي في حالة تعرضهم لإصابة أثناء السباق.")</f>
        <v>يُسمح للمتسابقين بالاستعانة بالطاقم الطبي في حالة تعرضهم لإصابة أثناء السباق.</v>
      </c>
    </row>
    <row r="35">
      <c r="A35" s="3">
        <v>34.0</v>
      </c>
      <c r="B35" s="4" t="s">
        <v>140</v>
      </c>
      <c r="C35" s="4" t="s">
        <v>141</v>
      </c>
      <c r="D35" s="4" t="s">
        <v>142</v>
      </c>
      <c r="E35" s="4" t="s">
        <v>143</v>
      </c>
      <c r="G35" s="5" t="str">
        <f>IFERROR(__xludf.DUMMYFUNCTION("GOOGLETRANSLATE(A35, ""en"", ""ar"")"),"34")</f>
        <v>34</v>
      </c>
      <c r="H35" s="5" t="str">
        <f>IFERROR(__xludf.DUMMYFUNCTION("GOOGLETRANSLATE(B35, ""en"", ""ar"")"),"هل يجوز للمتسابقين التبديل بين الجمال في السباق الواحد؟")</f>
        <v>هل يجوز للمتسابقين التبديل بين الجمال في السباق الواحد؟</v>
      </c>
      <c r="I35" s="5" t="str">
        <f>IFERROR(__xludf.DUMMYFUNCTION("GOOGLETRANSLATE(C35, ""en"", ""ar"")"),"أ) نعم، في أي وقت؛ ب) لا، يجب على الفارس البقاء مع الجمل المنطلق؛ ج) فقط بعد نصف المسافة؛ د) فقط في السباقات الخاصة")</f>
        <v>أ) نعم، في أي وقت؛ ب) لا، يجب على الفارس البقاء مع الجمل المنطلق؛ ج) فقط بعد نصف المسافة؛ د) فقط في السباقات الخاصة</v>
      </c>
      <c r="J35" s="5" t="str">
        <f>IFERROR(__xludf.DUMMYFUNCTION("GOOGLETRANSLATE(D35, ""en"", ""ar"")"),"ب) لا، يجب على الفارس أن يبقى مع الجمل المنطلق")</f>
        <v>ب) لا، يجب على الفارس أن يبقى مع الجمل المنطلق</v>
      </c>
      <c r="K35" s="5" t="str">
        <f>IFERROR(__xludf.DUMMYFUNCTION("GOOGLETRANSLATE(E35, ""en"", ""ar"")"),"لا يُسمح للمتسابقين بتبديل الجمال أثناء السباق.")</f>
        <v>لا يُسمح للمتسابقين بتبديل الجمال أثناء السباق.</v>
      </c>
    </row>
    <row r="36">
      <c r="A36" s="3">
        <v>35.0</v>
      </c>
      <c r="B36" s="4" t="s">
        <v>144</v>
      </c>
      <c r="C36" s="4" t="s">
        <v>145</v>
      </c>
      <c r="D36" s="4" t="s">
        <v>146</v>
      </c>
      <c r="E36" s="4" t="s">
        <v>147</v>
      </c>
      <c r="G36" s="5" t="str">
        <f>IFERROR(__xludf.DUMMYFUNCTION("GOOGLETRANSLATE(A36, ""en"", ""ar"")"),"35")</f>
        <v>35</v>
      </c>
      <c r="H36" s="5" t="str">
        <f>IFERROR(__xludf.DUMMYFUNCTION("GOOGLETRANSLATE(B36, ""en"", ""ar"")"),"هل يُسمح بإجراء تعديلات في اللحظة الأخيرة على مسار السباق لأي سبب؟")</f>
        <v>هل يُسمح بإجراء تعديلات في اللحظة الأخيرة على مسار السباق لأي سبب؟</v>
      </c>
      <c r="I36" s="5" t="str">
        <f>IFERROR(__xludf.DUMMYFUNCTION("GOOGLETRANSLATE(C36, ""en"", ""ar"")"),"أ) نعم، في أي وقت؛ ب) لا، يجب أن يظل المسار ثابتًا؛ ج) فقط في حالة الطوارئ؛ د) فقط في السباقات الخاصة")</f>
        <v>أ) نعم، في أي وقت؛ ب) لا، يجب أن يظل المسار ثابتًا؛ ج) فقط في حالة الطوارئ؛ د) فقط في السباقات الخاصة</v>
      </c>
      <c r="J36" s="5" t="str">
        <f>IFERROR(__xludf.DUMMYFUNCTION("GOOGLETRANSLATE(D36, ""en"", ""ar"")"),"ب) لا، يجب أن يظل المسار ثابتًا")</f>
        <v>ب) لا، يجب أن يظل المسار ثابتًا</v>
      </c>
      <c r="K36" s="5" t="str">
        <f>IFERROR(__xludf.DUMMYFUNCTION("GOOGLETRANSLATE(E36, ""en"", ""ar"")"),"يجب أن يظل المسار ثابتًا طوال السباق لضمان العدالة لجميع المشاركين.")</f>
        <v>يجب أن يظل المسار ثابتًا طوال السباق لضمان العدالة لجميع المشاركين.</v>
      </c>
    </row>
    <row r="37">
      <c r="A37" s="3">
        <v>36.0</v>
      </c>
      <c r="B37" s="4" t="s">
        <v>148</v>
      </c>
      <c r="C37" s="4" t="s">
        <v>149</v>
      </c>
      <c r="D37" s="4" t="s">
        <v>150</v>
      </c>
      <c r="E37" s="4" t="s">
        <v>151</v>
      </c>
      <c r="G37" s="5" t="str">
        <f>IFERROR(__xludf.DUMMYFUNCTION("GOOGLETRANSLATE(A37, ""en"", ""ar"")"),"36")</f>
        <v>36</v>
      </c>
      <c r="H37" s="5" t="str">
        <f>IFERROR(__xludf.DUMMYFUNCTION("GOOGLETRANSLATE(B37, ""en"", ""ar"")"),"هل يجوز للمتسابقين استخدام الأحذية أو الأحذية الواقية على جمالهم أثناء السباق؟")</f>
        <v>هل يجوز للمتسابقين استخدام الأحذية أو الأحذية الواقية على جمالهم أثناء السباق؟</v>
      </c>
      <c r="I37" s="5" t="str">
        <f>IFERROR(__xludf.DUMMYFUNCTION("GOOGLETRANSLATE(C37, ""en"", ""ar"")"),"أ) نعم، يُسمح بأحذية الجمال؛ ب) لا، يجب أن تكون الجمال حافية القدمين؛ ج) فقط في المناطق الصحراوية؛ د) فقط إذا أوصى المدرب بذلك")</f>
        <v>أ) نعم، يُسمح بأحذية الجمال؛ ب) لا، يجب أن تكون الجمال حافية القدمين؛ ج) فقط في المناطق الصحراوية؛ د) فقط إذا أوصى المدرب بذلك</v>
      </c>
      <c r="J37" s="5" t="str">
        <f>IFERROR(__xludf.DUMMYFUNCTION("GOOGLETRANSLATE(D37, ""en"", ""ar"")"),"أ) نعم، يُسمح بارتداء أحذية الجمل")</f>
        <v>أ) نعم، يُسمح بارتداء أحذية الجمل</v>
      </c>
      <c r="K37" s="5" t="str">
        <f>IFERROR(__xludf.DUMMYFUNCTION("GOOGLETRANSLATE(E37, ""en"", ""ar"")"),"يُسمح باستخدام أحذية الجمال في السباقات لتوفير الراحة والحماية.")</f>
        <v>يُسمح باستخدام أحذية الجمال في السباقات لتوفير الراحة والحماية.</v>
      </c>
    </row>
    <row r="38">
      <c r="A38" s="3">
        <v>37.0</v>
      </c>
      <c r="B38" s="4" t="s">
        <v>152</v>
      </c>
      <c r="C38" s="4" t="s">
        <v>153</v>
      </c>
      <c r="D38" s="4" t="s">
        <v>154</v>
      </c>
      <c r="E38" s="4" t="s">
        <v>155</v>
      </c>
      <c r="G38" s="5" t="str">
        <f>IFERROR(__xludf.DUMMYFUNCTION("GOOGLETRANSLATE(A38, ""en"", ""ar"")"),"37")</f>
        <v>37</v>
      </c>
      <c r="H38" s="5" t="str">
        <f>IFERROR(__xludf.DUMMYFUNCTION("GOOGLETRANSLATE(B38, ""en"", ""ar"")"),"هل يجوز للجمال المشاركة في السباقات إذا كانت تتعافى من عملية جراحية حديثة؟")</f>
        <v>هل يجوز للجمال المشاركة في السباقات إذا كانت تتعافى من عملية جراحية حديثة؟</v>
      </c>
      <c r="I38" s="5" t="str">
        <f>IFERROR(__xludf.DUMMYFUNCTION("GOOGLETRANSLATE(C38, ""en"", ""ar"")"),"أ) نعم، مسموح بها؛ ب) لا، يجب أن تكون الإبل بصحة جيدة تمامًا؛ ج) فقط بإذن من طبيب بيطري؛ د) بعد عدة أسابيع من العملية")</f>
        <v>أ) نعم، مسموح بها؛ ب) لا، يجب أن تكون الإبل بصحة جيدة تمامًا؛ ج) فقط بإذن من طبيب بيطري؛ د) بعد عدة أسابيع من العملية</v>
      </c>
      <c r="J38" s="5" t="str">
        <f>IFERROR(__xludf.DUMMYFUNCTION("GOOGLETRANSLATE(D38, ""en"", ""ar"")"),"ب) لا، يجب أن تكون الإبل سليمة تماما.")</f>
        <v>ب) لا، يجب أن تكون الإبل سليمة تماما.</v>
      </c>
      <c r="K38" s="5" t="str">
        <f>IFERROR(__xludf.DUMMYFUNCTION("GOOGLETRANSLATE(E38, ""en"", ""ar"")"),"يجب أن تكون الإبل في صحة جيدة وخالية من أي مشاكل صحية قبل المشاركة.")</f>
        <v>يجب أن تكون الإبل في صحة جيدة وخالية من أي مشاكل صحية قبل المشاركة.</v>
      </c>
    </row>
    <row r="39">
      <c r="A39" s="3">
        <v>38.0</v>
      </c>
      <c r="B39" s="4" t="s">
        <v>156</v>
      </c>
      <c r="C39" s="4" t="s">
        <v>157</v>
      </c>
      <c r="D39" s="4" t="s">
        <v>158</v>
      </c>
      <c r="E39" s="4" t="s">
        <v>159</v>
      </c>
      <c r="G39" s="5" t="str">
        <f>IFERROR(__xludf.DUMMYFUNCTION("GOOGLETRANSLATE(A39, ""en"", ""ar"")"),"38")</f>
        <v>38</v>
      </c>
      <c r="H39" s="5" t="str">
        <f>IFERROR(__xludf.DUMMYFUNCTION("GOOGLETRANSLATE(B39, ""en"", ""ar"")"),"هل يتم تحديد السرعة القصوى للجمل ووضع حد لها قبل بدء السباق؟")</f>
        <v>هل يتم تحديد السرعة القصوى للجمل ووضع حد لها قبل بدء السباق؟</v>
      </c>
      <c r="I39" s="5" t="str">
        <f>IFERROR(__xludf.DUMMYFUNCTION("GOOGLETRANSLATE(C39, ""en"", ""ar"")"),"أ) نعم، بناءً على الجمل؛ ب) لا، يتم تحديد السرعة أثناء السباق؛ ج) تتم مراقبتها بواسطة الأجهزة الإلكترونية؛ د) يتم تحديدها حسب نوع السباق")</f>
        <v>أ) نعم، بناءً على الجمل؛ ب) لا، يتم تحديد السرعة أثناء السباق؛ ج) تتم مراقبتها بواسطة الأجهزة الإلكترونية؛ د) يتم تحديدها حسب نوع السباق</v>
      </c>
      <c r="J39" s="5" t="str">
        <f>IFERROR(__xludf.DUMMYFUNCTION("GOOGLETRANSLATE(D39, ""en"", ""ar"")"),"ب) لا، يتم تحديد السرعة أثناء السباق")</f>
        <v>ب) لا، يتم تحديد السرعة أثناء السباق</v>
      </c>
      <c r="K39" s="5" t="str">
        <f>IFERROR(__xludf.DUMMYFUNCTION("GOOGLETRANSLATE(E39, ""en"", ""ar"")"),"سرعة الجمل أثناء السباق تحددها قوته وقدرته في تلك اللحظة.")</f>
        <v>سرعة الجمل أثناء السباق تحددها قوته وقدرته في تلك اللحظة.</v>
      </c>
    </row>
    <row r="40">
      <c r="A40" s="3">
        <v>39.0</v>
      </c>
      <c r="B40" s="4" t="s">
        <v>160</v>
      </c>
      <c r="C40" s="4" t="s">
        <v>161</v>
      </c>
      <c r="D40" s="4" t="s">
        <v>162</v>
      </c>
      <c r="E40" s="4" t="s">
        <v>163</v>
      </c>
      <c r="G40" s="5" t="str">
        <f>IFERROR(__xludf.DUMMYFUNCTION("GOOGLETRANSLATE(A40, ""en"", ""ar"")"),"39")</f>
        <v>39</v>
      </c>
      <c r="H40" s="5" t="str">
        <f>IFERROR(__xludf.DUMMYFUNCTION("GOOGLETRANSLATE(B40, ""en"", ""ar"")"),"هل يجوز تغيير غذاء الإبل يوم السباق؟")</f>
        <v>هل يجوز تغيير غذاء الإبل يوم السباق؟</v>
      </c>
      <c r="I40" s="5" t="str">
        <f>IFERROR(__xludf.DUMMYFUNCTION("GOOGLETRANSLATE(C40, ""en"", ""ar"")"),"أ) نعم، في أي وقت؛ ب) لا، يجب الالتزام بنظام غذائي محدد؛ ج) فقط إذا كان الجمل لديه طاقة منخفضة؛ د) أبدًا")</f>
        <v>أ) نعم، في أي وقت؛ ب) لا، يجب الالتزام بنظام غذائي محدد؛ ج) فقط إذا كان الجمل لديه طاقة منخفضة؛ د) أبدًا</v>
      </c>
      <c r="J40" s="5" t="str">
        <f>IFERROR(__xludf.DUMMYFUNCTION("GOOGLETRANSLATE(D40, ""en"", ""ar"")"),"ب) لا، يجب عليك اتباع نظام غذائي محدد")</f>
        <v>ب) لا، يجب عليك اتباع نظام غذائي محدد</v>
      </c>
      <c r="K40" s="5" t="str">
        <f>IFERROR(__xludf.DUMMYFUNCTION("GOOGLETRANSLATE(E40, ""en"", ""ar"")"),"يجب إعطاء الجمال نظامًا غذائيًا محددًا قبل السباق للحفاظ على طاقتها.")</f>
        <v>يجب إعطاء الجمال نظامًا غذائيًا محددًا قبل السباق للحفاظ على طاقتها.</v>
      </c>
    </row>
    <row r="41">
      <c r="A41" s="3">
        <v>40.0</v>
      </c>
      <c r="B41" s="4" t="s">
        <v>164</v>
      </c>
      <c r="C41" s="4" t="s">
        <v>165</v>
      </c>
      <c r="D41" s="4" t="s">
        <v>166</v>
      </c>
      <c r="E41" s="4" t="s">
        <v>167</v>
      </c>
      <c r="G41" s="5" t="str">
        <f>IFERROR(__xludf.DUMMYFUNCTION("GOOGLETRANSLATE(A41, ""en"", ""ar"")"),"40")</f>
        <v>40</v>
      </c>
      <c r="H41" s="5" t="str">
        <f>IFERROR(__xludf.DUMMYFUNCTION("GOOGLETRANSLATE(B41, ""en"", ""ar"")"),"هل يجوز للمتسابقين تعديل سرعة الجمل أثناء السباق؟")</f>
        <v>هل يجوز للمتسابقين تعديل سرعة الجمل أثناء السباق؟</v>
      </c>
      <c r="I41" s="5" t="str">
        <f>IFERROR(__xludf.DUMMYFUNCTION("GOOGLETRANSLATE(C41, ""en"", ""ar"")"),"أ) نعم، في أي وقت؛ ب) لا، يجب الحفاظ على سرعة محددة؛ ج) فقط في حالة الطوارئ؛ د) فقط إذا طلب الحكم ذلك")</f>
        <v>أ) نعم، في أي وقت؛ ب) لا، يجب الحفاظ على سرعة محددة؛ ج) فقط في حالة الطوارئ؛ د) فقط إذا طلب الحكم ذلك</v>
      </c>
      <c r="J41" s="5" t="str">
        <f>IFERROR(__xludf.DUMMYFUNCTION("GOOGLETRANSLATE(D41, ""en"", ""ar"")"),"أ) نعم، يمكنهم ضبط السرعة")</f>
        <v>أ) نعم، يمكنهم ضبط السرعة</v>
      </c>
      <c r="K41" s="5" t="str">
        <f>IFERROR(__xludf.DUMMYFUNCTION("GOOGLETRANSLATE(E41, ""en"", ""ar"")"),"يُسمح للمتسابقين بتعديل السرعة وفقًا لاستراتيجيتهم واحتياجات الجمل.")</f>
        <v>يُسمح للمتسابقين بتعديل السرعة وفقًا لاستراتيجيتهم واحتياجات الجمل.</v>
      </c>
    </row>
    <row r="42">
      <c r="A42" s="3">
        <v>41.0</v>
      </c>
      <c r="B42" s="4" t="s">
        <v>168</v>
      </c>
      <c r="C42" s="4" t="s">
        <v>169</v>
      </c>
      <c r="D42" s="4" t="s">
        <v>170</v>
      </c>
      <c r="E42" s="4" t="s">
        <v>171</v>
      </c>
      <c r="G42" s="5" t="str">
        <f>IFERROR(__xludf.DUMMYFUNCTION("GOOGLETRANSLATE(A42, ""en"", ""ar"")"),"41")</f>
        <v>41</v>
      </c>
      <c r="H42" s="5" t="str">
        <f>IFERROR(__xludf.DUMMYFUNCTION("GOOGLETRANSLATE(B42, ""en"", ""ar"")"),"هل يمكن للمتسابقين استخدام أي أدوات لتحفيز الجمل جسديًا أثناء السباق؟")</f>
        <v>هل يمكن للمتسابقين استخدام أي أدوات لتحفيز الجمل جسديًا أثناء السباق؟</v>
      </c>
      <c r="I42" s="5" t="str">
        <f>IFERROR(__xludf.DUMMYFUNCTION("GOOGLETRANSLATE(C42, ""en"", ""ar"")"),"أ) نعم، يُسمح باستخدام الأجهزة المحفزة؛ ب) لا، يُحظر استخدام أي أدوات محفزة؛ ج) يُسمح فقط بالأجهزة غير الضارة؛ د) مسموح بها تحت إشراف الحكم")</f>
        <v>أ) نعم، يُسمح باستخدام الأجهزة المحفزة؛ ب) لا، يُحظر استخدام أي أدوات محفزة؛ ج) يُسمح فقط بالأجهزة غير الضارة؛ د) مسموح بها تحت إشراف الحكم</v>
      </c>
      <c r="J42" s="5" t="str">
        <f>IFERROR(__xludf.DUMMYFUNCTION("GOOGLETRANSLATE(D42, ""en"", ""ar"")"),"ب) لا، أي أدوات تحفيزية ممنوعة.")</f>
        <v>ب) لا، أي أدوات تحفيزية ممنوعة.</v>
      </c>
      <c r="K42" s="5" t="str">
        <f>IFERROR(__xludf.DUMMYFUNCTION("GOOGLETRANSLATE(E42, ""en"", ""ar"")"),"يُمنع استخدام أجهزة تحفيز الهجن أثناء السباق لضمان سلامتهم.")</f>
        <v>يُمنع استخدام أجهزة تحفيز الهجن أثناء السباق لضمان سلامتهم.</v>
      </c>
    </row>
    <row r="43">
      <c r="A43" s="3">
        <v>42.0</v>
      </c>
      <c r="B43" s="4" t="s">
        <v>172</v>
      </c>
      <c r="C43" s="4" t="s">
        <v>173</v>
      </c>
      <c r="D43" s="4" t="s">
        <v>174</v>
      </c>
      <c r="E43" s="4" t="s">
        <v>175</v>
      </c>
      <c r="G43" s="5" t="str">
        <f>IFERROR(__xludf.DUMMYFUNCTION("GOOGLETRANSLATE(A43, ""en"", ""ar"")"),"42")</f>
        <v>42</v>
      </c>
      <c r="H43" s="5" t="str">
        <f>IFERROR(__xludf.DUMMYFUNCTION("GOOGLETRANSLATE(B43, ""en"", ""ar"")"),"هل يُسمح للمتسابقين بالمشاركة في سباقات في أكثر من دولة في الموسم الواحد؟")</f>
        <v>هل يُسمح للمتسابقين بالمشاركة في سباقات في أكثر من دولة في الموسم الواحد؟</v>
      </c>
      <c r="I43" s="5" t="str">
        <f>IFERROR(__xludf.DUMMYFUNCTION("GOOGLETRANSLATE(C43, ""en"", ""ar"")"),"أ) نعم، في السباقات الدولية؛ ب) لا، فقط في السباقات المحلية؛ ج) يمكن للمحترفين فقط ذلك؛ د) فقط إذا تم تنظيمه من قبل الاتحاد المحلي")</f>
        <v>أ) نعم، في السباقات الدولية؛ ب) لا، فقط في السباقات المحلية؛ ج) يمكن للمحترفين فقط ذلك؛ د) فقط إذا تم تنظيمه من قبل الاتحاد المحلي</v>
      </c>
      <c r="J43" s="5" t="str">
        <f>IFERROR(__xludf.DUMMYFUNCTION("GOOGLETRANSLATE(D43, ""en"", ""ar"")"),"أ) نعم، في السباقات الدولية")</f>
        <v>أ) نعم، في السباقات الدولية</v>
      </c>
      <c r="K43" s="5" t="str">
        <f>IFERROR(__xludf.DUMMYFUNCTION("GOOGLETRANSLATE(E43, ""en"", ""ar"")"),"يُسمح للمتسابقين بالمشاركة في السباقات الدولية المعترف بها من قبل الاتحادات العالمية.")</f>
        <v>يُسمح للمتسابقين بالمشاركة في السباقات الدولية المعترف بها من قبل الاتحادات العالمية.</v>
      </c>
    </row>
    <row r="44">
      <c r="A44" s="3">
        <v>43.0</v>
      </c>
      <c r="B44" s="4" t="s">
        <v>176</v>
      </c>
      <c r="C44" s="4" t="s">
        <v>177</v>
      </c>
      <c r="D44" s="4" t="s">
        <v>178</v>
      </c>
      <c r="E44" s="4" t="s">
        <v>179</v>
      </c>
      <c r="G44" s="5" t="str">
        <f>IFERROR(__xludf.DUMMYFUNCTION("GOOGLETRANSLATE(A44, ""en"", ""ar"")"),"43")</f>
        <v>43</v>
      </c>
      <c r="H44" s="5" t="str">
        <f>IFERROR(__xludf.DUMMYFUNCTION("GOOGLETRANSLATE(B44, ""en"", ""ar"")"),"هل يُسمح للمدربين بالتواجد على المضمار لمساعدة الفرسان أثناء السباق؟")</f>
        <v>هل يُسمح للمدربين بالتواجد على المضمار لمساعدة الفرسان أثناء السباق؟</v>
      </c>
      <c r="I44" s="5" t="str">
        <f>IFERROR(__xludf.DUMMYFUNCTION("GOOGLETRANSLATE(C44, ""en"", ""ar"")"),"أ) نعم، يمكنهم المساعدة؛ ب) لا، لا يُسمح بالمساعدة الخارجية؛ ج) المدربون المحترفون فقط؛ د) يمكنهم الحضور ولكن ليس المساعدة")</f>
        <v>أ) نعم، يمكنهم المساعدة؛ ب) لا، لا يُسمح بالمساعدة الخارجية؛ ج) المدربون المحترفون فقط؛ د) يمكنهم الحضور ولكن ليس المساعدة</v>
      </c>
      <c r="J44" s="5" t="str">
        <f>IFERROR(__xludf.DUMMYFUNCTION("GOOGLETRANSLATE(D44, ""en"", ""ar"")"),"ب) لا، لا يُسمح بالمساعدة الخارجية")</f>
        <v>ب) لا، لا يُسمح بالمساعدة الخارجية</v>
      </c>
      <c r="K44" s="5" t="str">
        <f>IFERROR(__xludf.DUMMYFUNCTION("GOOGLETRANSLATE(E44, ""en"", ""ar"")"),"ولضمان العدالة، لا يُسمح للمدربين أو المساعدين بالتواجد على المسار أثناء السباق.")</f>
        <v>ولضمان العدالة، لا يُسمح للمدربين أو المساعدين بالتواجد على المسار أثناء السباق.</v>
      </c>
    </row>
    <row r="45">
      <c r="A45" s="3">
        <v>44.0</v>
      </c>
      <c r="B45" s="4" t="s">
        <v>180</v>
      </c>
      <c r="C45" s="4" t="s">
        <v>181</v>
      </c>
      <c r="D45" s="4" t="s">
        <v>182</v>
      </c>
      <c r="E45" s="4" t="s">
        <v>183</v>
      </c>
      <c r="G45" s="5" t="str">
        <f>IFERROR(__xludf.DUMMYFUNCTION("GOOGLETRANSLATE(A45, ""en"", ""ar"")"),"44")</f>
        <v>44</v>
      </c>
      <c r="H45" s="5" t="str">
        <f>IFERROR(__xludf.DUMMYFUNCTION("GOOGLETRANSLATE(B45, ""en"", ""ar"")"),"هل يتم تحديد ترتيب انطلاق الجمال قبل السباق؟")</f>
        <v>هل يتم تحديد ترتيب انطلاق الجمال قبل السباق؟</v>
      </c>
      <c r="I45" s="5" t="str">
        <f>IFERROR(__xludf.DUMMYFUNCTION("GOOGLETRANSLATE(C45, ""en"", ""ar"")"),"أ) نعم، يتم تحديد الترتيب في البداية؛ ب) لا، يتم تحديده أثناء السباق؛ ج) يتم تحديده حسب المسافة المقطوعة؛ د) بناءً على مستوى المتنافس")</f>
        <v>أ) نعم، يتم تحديد الترتيب في البداية؛ ب) لا، يتم تحديده أثناء السباق؛ ج) يتم تحديده حسب المسافة المقطوعة؛ د) بناءً على مستوى المتنافس</v>
      </c>
      <c r="J45" s="5" t="str">
        <f>IFERROR(__xludf.DUMMYFUNCTION("GOOGLETRANSLATE(D45, ""en"", ""ar"")"),"أ) نعم يتم تحديد الطلب مبدئيا")</f>
        <v>أ) نعم يتم تحديد الطلب مبدئيا</v>
      </c>
      <c r="K45" s="5" t="str">
        <f>IFERROR(__xludf.DUMMYFUNCTION("GOOGLETRANSLATE(E45, ""en"", ""ar"")"),"يتم تحديد ترتيب الجمال في البداية لضمان العدالة في السباق.")</f>
        <v>يتم تحديد ترتيب الجمال في البداية لضمان العدالة في السباق.</v>
      </c>
    </row>
    <row r="46">
      <c r="A46" s="3">
        <v>45.0</v>
      </c>
      <c r="B46" s="4" t="s">
        <v>184</v>
      </c>
      <c r="C46" s="4" t="s">
        <v>185</v>
      </c>
      <c r="D46" s="4" t="s">
        <v>186</v>
      </c>
      <c r="E46" s="4" t="s">
        <v>187</v>
      </c>
      <c r="G46" s="5" t="str">
        <f>IFERROR(__xludf.DUMMYFUNCTION("GOOGLETRANSLATE(A46, ""en"", ""ar"")"),"45")</f>
        <v>45</v>
      </c>
      <c r="H46" s="5" t="str">
        <f>IFERROR(__xludf.DUMMYFUNCTION("GOOGLETRANSLATE(B46, ""en"", ""ar"")"),"هل يجوز للجمال استخدام أدوات مساعدة مثل أغطية العيون أو سدادات الأذن؟")</f>
        <v>هل يجوز للجمال استخدام أدوات مساعدة مثل أغطية العيون أو سدادات الأذن؟</v>
      </c>
      <c r="I46" s="5" t="str">
        <f>IFERROR(__xludf.DUMMYFUNCTION("GOOGLETRANSLATE(C46, ""en"", ""ar"")"),"أ) نعم، يُسمح بالملحقات؛ ب) لا، الملحقات ممنوعة؛ ج) مسموح بها في السباقات الخاصة؛ د) في حالات الطوارئ فقط")</f>
        <v>أ) نعم، يُسمح بالملحقات؛ ب) لا، الملحقات ممنوعة؛ ج) مسموح بها في السباقات الخاصة؛ د) في حالات الطوارئ فقط</v>
      </c>
      <c r="J46" s="5" t="str">
        <f>IFERROR(__xludf.DUMMYFUNCTION("GOOGLETRANSLATE(D46, ""en"", ""ar"")"),"ب) لا، الملحقات ممنوعة")</f>
        <v>ب) لا، الملحقات ممنوعة</v>
      </c>
      <c r="K46" s="5" t="str">
        <f>IFERROR(__xludf.DUMMYFUNCTION("GOOGLETRANSLATE(E46, ""en"", ""ar"")"),"يُحظر استخدام أي معدات تكميلية مثل الغمامات لضمان سلامة الجمل.")</f>
        <v>يُحظر استخدام أي معدات تكميلية مثل الغمامات لضمان سلامة الجمل.</v>
      </c>
    </row>
    <row r="47">
      <c r="A47" s="3">
        <v>46.0</v>
      </c>
      <c r="B47" s="4" t="s">
        <v>188</v>
      </c>
      <c r="C47" s="4" t="s">
        <v>189</v>
      </c>
      <c r="D47" s="4" t="s">
        <v>190</v>
      </c>
      <c r="E47" s="4" t="s">
        <v>191</v>
      </c>
      <c r="G47" s="5" t="str">
        <f>IFERROR(__xludf.DUMMYFUNCTION("GOOGLETRANSLATE(A47, ""en"", ""ar"")"),"46")</f>
        <v>46</v>
      </c>
      <c r="H47" s="5" t="str">
        <f>IFERROR(__xludf.DUMMYFUNCTION("GOOGLETRANSLATE(B47, ""en"", ""ar"")"),"هل يُسمح للمتسابقين بتغيير المسارات إذا شعروا أن المسار المخصص لهم غير آمن؟")</f>
        <v>هل يُسمح للمتسابقين بتغيير المسارات إذا شعروا أن المسار المخصص لهم غير آمن؟</v>
      </c>
      <c r="I47" s="5" t="str">
        <f>IFERROR(__xludf.DUMMYFUNCTION("GOOGLETRANSLATE(C47, ""en"", ""ar"")"),"أ) نعم، يمكنهم تغيير المسار؛ ب) لا، يجب عليهم الالتزام بالمسار؛ ج) فقط إذا كان الجمل مريضًا؛ د) غير مسموح به تحت أي ظرف من الظروف")</f>
        <v>أ) نعم، يمكنهم تغيير المسار؛ ب) لا، يجب عليهم الالتزام بالمسار؛ ج) فقط إذا كان الجمل مريضًا؛ د) غير مسموح به تحت أي ظرف من الظروف</v>
      </c>
      <c r="J47" s="5" t="str">
        <f>IFERROR(__xludf.DUMMYFUNCTION("GOOGLETRANSLATE(D47, ""en"", ""ar"")"),"ب) لا، بل يجب عليهم الالتزام بالمسار.")</f>
        <v>ب) لا، بل يجب عليهم الالتزام بالمسار.</v>
      </c>
      <c r="K47" s="5" t="str">
        <f>IFERROR(__xludf.DUMMYFUNCTION("GOOGLETRANSLATE(E47, ""en"", ""ar"")"),"يتوجب على المتسابقين الالتزام بالمسار المحدد حتى في حالات الطوارئ.")</f>
        <v>يتوجب على المتسابقين الالتزام بالمسار المحدد حتى في حالات الطوارئ.</v>
      </c>
    </row>
    <row r="48">
      <c r="A48" s="3">
        <v>47.0</v>
      </c>
      <c r="B48" s="4" t="s">
        <v>192</v>
      </c>
      <c r="C48" s="4" t="s">
        <v>193</v>
      </c>
      <c r="D48" s="4" t="s">
        <v>194</v>
      </c>
      <c r="E48" s="4" t="s">
        <v>195</v>
      </c>
      <c r="G48" s="5" t="str">
        <f>IFERROR(__xludf.DUMMYFUNCTION("GOOGLETRANSLATE(A48, ""en"", ""ar"")"),"47")</f>
        <v>47</v>
      </c>
      <c r="H48" s="5" t="str">
        <f>IFERROR(__xludf.DUMMYFUNCTION("GOOGLETRANSLATE(B48, ""en"", ""ar"")"),"هل يتم تحديد الفوز في السباق من خلال المسافة الإجمالية المقطوعة أم الوقت المستغرق؟")</f>
        <v>هل يتم تحديد الفوز في السباق من خلال المسافة الإجمالية المقطوعة أم الوقت المستغرق؟</v>
      </c>
      <c r="I48" s="5" t="str">
        <f>IFERROR(__xludf.DUMMYFUNCTION("GOOGLETRANSLATE(C48, ""en"", ""ar"")"),"أ) بناءً على المسافة؛ ب) بناءً على الوقت المستغرق؛ ج) بناءً على قوة الجمل؛ د) بناءً على عدد الجولات")</f>
        <v>أ) بناءً على المسافة؛ ب) بناءً على الوقت المستغرق؛ ج) بناءً على قوة الجمل؛ د) بناءً على عدد الجولات</v>
      </c>
      <c r="J48" s="5" t="str">
        <f>IFERROR(__xludf.DUMMYFUNCTION("GOOGLETRANSLATE(D48, ""en"", ""ar"")"),"ب) بناءً على الوقت المستغرق")</f>
        <v>ب) بناءً على الوقت المستغرق</v>
      </c>
      <c r="K48" s="5" t="str">
        <f>IFERROR(__xludf.DUMMYFUNCTION("GOOGLETRANSLATE(E48, ""en"", ""ar"")"),"يتم تحديد الفائز على أساس الوقت المستغرق لإكمال السباق.")</f>
        <v>يتم تحديد الفائز على أساس الوقت المستغرق لإكمال السباق.</v>
      </c>
    </row>
    <row r="49">
      <c r="A49" s="3">
        <v>48.0</v>
      </c>
      <c r="B49" s="4" t="s">
        <v>196</v>
      </c>
      <c r="C49" s="4" t="s">
        <v>197</v>
      </c>
      <c r="D49" s="4" t="s">
        <v>198</v>
      </c>
      <c r="E49" s="4" t="s">
        <v>199</v>
      </c>
      <c r="G49" s="5" t="str">
        <f>IFERROR(__xludf.DUMMYFUNCTION("GOOGLETRANSLATE(A49, ""en"", ""ar"")"),"48")</f>
        <v>48</v>
      </c>
      <c r="H49" s="5" t="str">
        <f>IFERROR(__xludf.DUMMYFUNCTION("GOOGLETRANSLATE(B49, ""en"", ""ar"")"),"هل يجوز للجمل أن يشارك في سباقين مختلفين في نفس اليوم؟")</f>
        <v>هل يجوز للجمل أن يشارك في سباقين مختلفين في نفس اليوم؟</v>
      </c>
      <c r="I49" s="5" t="str">
        <f>IFERROR(__xludf.DUMMYFUNCTION("GOOGLETRANSLATE(C49, ""en"", ""ar"")"),"أ) نعم، في أكثر من سباق؛ ب) لا، يلزم وجود فاصل زمني؛ ج) في حالة الطوارئ فقط؛ د) الإبل المدربة جيدًا فقط")</f>
        <v>أ) نعم، في أكثر من سباق؛ ب) لا، يلزم وجود فاصل زمني؛ ج) في حالة الطوارئ فقط؛ د) الإبل المدربة جيدًا فقط</v>
      </c>
      <c r="J49" s="5" t="str">
        <f>IFERROR(__xludf.DUMMYFUNCTION("GOOGLETRANSLATE(D49, ""en"", ""ar"")"),"ب) لا، يلزم وجود فترة زمنية")</f>
        <v>ب) لا، يلزم وجود فترة زمنية</v>
      </c>
      <c r="K49" s="5" t="str">
        <f>IFERROR(__xludf.DUMMYFUNCTION("GOOGLETRANSLATE(E49, ""en"", ""ar"")"),"يجب أن يكون هناك فترة زمنية بين السباقات لضمان راحة الجمل.")</f>
        <v>يجب أن يكون هناك فترة زمنية بين السباقات لضمان راحة الجمل.</v>
      </c>
    </row>
    <row r="50">
      <c r="A50" s="3">
        <v>49.0</v>
      </c>
      <c r="B50" s="4" t="s">
        <v>200</v>
      </c>
      <c r="C50" s="4" t="s">
        <v>201</v>
      </c>
      <c r="D50" s="4" t="s">
        <v>202</v>
      </c>
      <c r="E50" s="4" t="s">
        <v>203</v>
      </c>
      <c r="G50" s="5" t="str">
        <f>IFERROR(__xludf.DUMMYFUNCTION("GOOGLETRANSLATE(A50, ""en"", ""ar"")"),"49")</f>
        <v>49</v>
      </c>
      <c r="H50" s="5" t="str">
        <f>IFERROR(__xludf.DUMMYFUNCTION("GOOGLETRANSLATE(B50, ""en"", ""ar"")"),"هل يجوز تغيير معدات الجمل في السباق الواحد؟")</f>
        <v>هل يجوز تغيير معدات الجمل في السباق الواحد؟</v>
      </c>
      <c r="I50" s="5" t="str">
        <f>IFERROR(__xludf.DUMMYFUNCTION("GOOGLETRANSLATE(C50, ""en"", ""ar"")"),"أ) نعم، في أي وقت؛ ب) لا، يجب أن تظل المعدات ثابتة؛ ج) فقط في حالة الطوارئ؛ د) فقط إذا سمح بذلك القضاة")</f>
        <v>أ) نعم، في أي وقت؛ ب) لا، يجب أن تظل المعدات ثابتة؛ ج) فقط في حالة الطوارئ؛ د) فقط إذا سمح بذلك القضاة</v>
      </c>
      <c r="J50" s="5" t="str">
        <f>IFERROR(__xludf.DUMMYFUNCTION("GOOGLETRANSLATE(D50, ""en"", ""ar"")"),"ب) لا، يجب أن تظل المعدات ثابتة")</f>
        <v>ب) لا، يجب أن تظل المعدات ثابتة</v>
      </c>
      <c r="K50" s="5" t="str">
        <f>IFERROR(__xludf.DUMMYFUNCTION("GOOGLETRANSLATE(E50, ""en"", ""ar"")"),"يجب أن تظل المعدات مستقرة طوال السباق لضمان المساواة بين المتنافسين.")</f>
        <v>يجب أن تظل المعدات مستقرة طوال السباق لضمان المساواة بين المتنافسين.</v>
      </c>
    </row>
    <row r="51">
      <c r="A51" s="3">
        <v>50.0</v>
      </c>
      <c r="B51" s="4" t="s">
        <v>204</v>
      </c>
      <c r="C51" s="4" t="s">
        <v>205</v>
      </c>
      <c r="D51" s="4" t="s">
        <v>52</v>
      </c>
      <c r="E51" s="4" t="s">
        <v>206</v>
      </c>
      <c r="G51" s="5" t="str">
        <f>IFERROR(__xludf.DUMMYFUNCTION("GOOGLETRANSLATE(A51, ""en"", ""ar"")"),"50")</f>
        <v>50</v>
      </c>
      <c r="H51" s="5" t="str">
        <f>IFERROR(__xludf.DUMMYFUNCTION("GOOGLETRANSLATE(B51, ""en"", ""ar"")"),"هل يُسمح للمتسابقين بالمشاركة في فئات سباق متعددة في نفس اليوم؟")</f>
        <v>هل يُسمح للمتسابقين بالمشاركة في فئات سباق متعددة في نفس اليوم؟</v>
      </c>
      <c r="I51" s="5" t="str">
        <f>IFERROR(__xludf.DUMMYFUNCTION("GOOGLETRANSLATE(C51, ""en"", ""ar"")"),"أ) نعم، يمكنهم ذلك؛ ب) لا، سباق واحد فقط في اليوم؛ ج) فقط في مناطق مختلفة؛ د) فقط إذا كانت السباقات قصيرة")</f>
        <v>أ) نعم، يمكنهم ذلك؛ ب) لا، سباق واحد فقط في اليوم؛ ج) فقط في مناطق مختلفة؛ د) فقط إذا كانت السباقات قصيرة</v>
      </c>
      <c r="J51" s="5" t="str">
        <f>IFERROR(__xludf.DUMMYFUNCTION("GOOGLETRANSLATE(D51, ""en"", ""ar"")"),"ب) لا، سباق واحد فقط في اليوم")</f>
        <v>ب) لا، سباق واحد فقط في اليوم</v>
      </c>
      <c r="K51" s="5" t="str">
        <f>IFERROR(__xludf.DUMMYFUNCTION("GOOGLETRANSLATE(E51, ""en"", ""ar"")"),"لا يسمح للمتسابقين بالمشاركة إلا في سباق واحد يومياً للحفاظ على صحة الجمل.")</f>
        <v>لا يسمح للمتسابقين بالمشاركة إلا في سباق واحد يومياً للحفاظ على صحة الجمل.</v>
      </c>
    </row>
    <row r="52">
      <c r="A52" s="3">
        <v>51.0</v>
      </c>
      <c r="B52" s="4" t="s">
        <v>207</v>
      </c>
      <c r="C52" s="4" t="s">
        <v>208</v>
      </c>
      <c r="D52" s="4" t="s">
        <v>209</v>
      </c>
      <c r="E52" s="4" t="s">
        <v>210</v>
      </c>
      <c r="G52" s="5" t="str">
        <f>IFERROR(__xludf.DUMMYFUNCTION("GOOGLETRANSLATE(A52, ""en"", ""ar"")"),"51")</f>
        <v>51</v>
      </c>
      <c r="H52" s="5" t="str">
        <f>IFERROR(__xludf.DUMMYFUNCTION("GOOGLETRANSLATE(B52, ""en"", ""ar"")"),"ما هي التكنولوجيا الحديثة اللازمة لتحديد هوية الإبل في السباقات الرسمية لمنع استبدالها؟")</f>
        <v>ما هي التكنولوجيا الحديثة اللازمة لتحديد هوية الإبل في السباقات الرسمية لمنع استبدالها؟</v>
      </c>
      <c r="I52" s="5" t="str">
        <f>IFERROR(__xludf.DUMMYFUNCTION("GOOGLETRANSLATE(C52, ""en"", ""ar"")"),"أ) علامات الأذن؛ ب) العلامات التجارية؛ ج) غرسات الشريحة الدقيقة؛ د) شهادة المالك")</f>
        <v>أ) علامات الأذن؛ ب) العلامات التجارية؛ ج) غرسات الشريحة الدقيقة؛ د) شهادة المالك</v>
      </c>
      <c r="J52" s="5" t="str">
        <f>IFERROR(__xludf.DUMMYFUNCTION("GOOGLETRANSLATE(D52, ""en"", ""ar"")"),"ج) غرسات الرقائق الدقيقة")</f>
        <v>ج) غرسات الرقائق الدقيقة</v>
      </c>
      <c r="K52" s="5" t="str">
        <f>IFERROR(__xludf.DUMMYFUNCTION("GOOGLETRANSLATE(E52, ""en"", ""ar"")"),"تستخدم السباقات الحديثة شرائح دقيقة لتوفير طريقة مقاومة للتلاعب للتحقق من هوية الجمل ونسبه.")</f>
        <v>تستخدم السباقات الحديثة شرائح دقيقة لتوفير طريقة مقاومة للتلاعب للتحقق من هوية الجمل ونسبه.</v>
      </c>
    </row>
    <row r="53">
      <c r="A53" s="3">
        <v>52.0</v>
      </c>
      <c r="B53" s="4" t="s">
        <v>211</v>
      </c>
      <c r="C53" s="4" t="s">
        <v>212</v>
      </c>
      <c r="D53" s="4" t="s">
        <v>213</v>
      </c>
      <c r="E53" s="4" t="s">
        <v>214</v>
      </c>
      <c r="G53" s="5" t="str">
        <f>IFERROR(__xludf.DUMMYFUNCTION("GOOGLETRANSLATE(A53, ""en"", ""ar"")"),"52")</f>
        <v>52</v>
      </c>
      <c r="H53" s="5" t="str">
        <f>IFERROR(__xludf.DUMMYFUNCTION("GOOGLETRANSLATE(B53, ""en"", ""ar"")"),"إذا سقط الفارس ولكن الجمل واصل طريقه وعبر خط النهاية أولاً، ما هي النتيجة الرسمية؟")</f>
        <v>إذا سقط الفارس ولكن الجمل واصل طريقه وعبر خط النهاية أولاً، ما هي النتيجة الرسمية؟</v>
      </c>
      <c r="I53" s="5" t="str">
        <f>IFERROR(__xludf.DUMMYFUNCTION("GOOGLETRANSLATE(C53, ""en"", ""ar"")"),"أ) يفوز الجمل بالسباق؛ ب) يُستبعد الجمل؛ ج) يُستأنف السباق من جديد؛ د) يُغرّم الفارس")</f>
        <v>أ) يفوز الجمل بالسباق؛ ب) يُستبعد الجمل؛ ج) يُستأنف السباق من جديد؛ د) يُغرّم الفارس</v>
      </c>
      <c r="J53" s="5" t="str">
        <f>IFERROR(__xludf.DUMMYFUNCTION("GOOGLETRANSLATE(D53, ""en"", ""ar"")"),"ب) الجمل مستبعد")</f>
        <v>ب) الجمل مستبعد</v>
      </c>
      <c r="K53" s="5" t="str">
        <f>IFERROR(__xludf.DUMMYFUNCTION("GOOGLETRANSLATE(E53, ""en"", ""ar"")"),"يجب أن يمتطي الجمل فارسه عندما يعبر خط النهاية حتى تكون النتيجة صالحة.")</f>
        <v>يجب أن يمتطي الجمل فارسه عندما يعبر خط النهاية حتى تكون النتيجة صالحة.</v>
      </c>
    </row>
    <row r="54">
      <c r="A54" s="3">
        <v>53.0</v>
      </c>
      <c r="B54" s="4" t="s">
        <v>215</v>
      </c>
      <c r="C54" s="4" t="s">
        <v>216</v>
      </c>
      <c r="D54" s="4" t="s">
        <v>217</v>
      </c>
      <c r="E54" s="4" t="s">
        <v>218</v>
      </c>
      <c r="G54" s="5" t="str">
        <f>IFERROR(__xludf.DUMMYFUNCTION("GOOGLETRANSLATE(A54, ""en"", ""ar"")"),"53")</f>
        <v>53</v>
      </c>
      <c r="H54" s="5" t="str">
        <f>IFERROR(__xludf.DUMMYFUNCTION("GOOGLETRANSLATE(B54, ""en"", ""ar"")"),"ما هو الإجراء القياسي إذا فشلت بوابة البداية في الفتح لجمل واحد؟")</f>
        <v>ما هو الإجراء القياسي إذا فشلت بوابة البداية في الفتح لجمل واحد؟</v>
      </c>
      <c r="I54" s="5" t="str">
        <f>IFERROR(__xludf.DUMMYFUNCTION("GOOGLETRANSLATE(C54, ""en"", ""ar"")"),"أ) يستمر السباق بدون الجمل؛ ب) يتم الإعلان عن بداية خاطئة ويتم استئناف السباق؛ ج) يتم منح الجمل رصيدًا زمنيًا؛ د) يتم استبعاد الجمل")</f>
        <v>أ) يستمر السباق بدون الجمل؛ ب) يتم الإعلان عن بداية خاطئة ويتم استئناف السباق؛ ج) يتم منح الجمل رصيدًا زمنيًا؛ د) يتم استبعاد الجمل</v>
      </c>
      <c r="J54" s="5" t="str">
        <f>IFERROR(__xludf.DUMMYFUNCTION("GOOGLETRANSLATE(D54, ""en"", ""ar"")"),"ب) تم الإعلان عن بداية خاطئة وتم استئناف السباق")</f>
        <v>ب) تم الإعلان عن بداية خاطئة وتم استئناف السباق</v>
      </c>
      <c r="K54" s="5" t="str">
        <f>IFERROR(__xludf.DUMMYFUNCTION("GOOGLETRANSLATE(E54, ""en"", ""ar"")"),"ولضمان العدالة، فإن أي عطل ميكانيكي في البداية يضر بالمنافس يؤدي إلى إعادة التشغيل الكامل.")</f>
        <v>ولضمان العدالة، فإن أي عطل ميكانيكي في البداية يضر بالمنافس يؤدي إلى إعادة التشغيل الكامل.</v>
      </c>
    </row>
    <row r="55">
      <c r="A55" s="3">
        <v>54.0</v>
      </c>
      <c r="B55" s="4" t="s">
        <v>219</v>
      </c>
      <c r="C55" s="4" t="s">
        <v>220</v>
      </c>
      <c r="D55" s="4" t="s">
        <v>221</v>
      </c>
      <c r="E55" s="4" t="s">
        <v>222</v>
      </c>
      <c r="G55" s="5" t="str">
        <f>IFERROR(__xludf.DUMMYFUNCTION("GOOGLETRANSLATE(A55, ""en"", ""ar"")"),"54")</f>
        <v>54</v>
      </c>
      <c r="H55" s="5" t="str">
        <f>IFERROR(__xludf.DUMMYFUNCTION("GOOGLETRANSLATE(B55, ""en"", ""ar"")"),"ما هو نوع السوط المسموح به عمومًا في سباقات الهجن المنظمة؟")</f>
        <v>ما هو نوع السوط المسموح به عمومًا في سباقات الهجن المنظمة؟</v>
      </c>
      <c r="I55" s="5" t="str">
        <f>IFERROR(__xludf.DUMMYFUNCTION("GOOGLETRANSLATE(C55, ""en"", ""ar"")"),"أ) يُسمح بأي نوع من أنواع السوط؛ ب) سوط طويل من الجلد الصلب؛ ج) سوط قصير مبطن ومبطن بالهواء؛ د) لا يُسمح بالسياط")</f>
        <v>أ) يُسمح بأي نوع من أنواع السوط؛ ب) سوط طويل من الجلد الصلب؛ ج) سوط قصير مبطن ومبطن بالهواء؛ د) لا يُسمح بالسياط</v>
      </c>
      <c r="J55" s="5" t="str">
        <f>IFERROR(__xludf.DUMMYFUNCTION("GOOGLETRANSLATE(D55, ""en"", ""ar"")"),"ج) سوط قصير ومبطن ومبطن بالهواء")</f>
        <v>ج) سوط قصير ومبطن ومبطن بالهواء</v>
      </c>
      <c r="K55" s="5" t="str">
        <f>IFERROR(__xludf.DUMMYFUNCTION("GOOGLETRANSLATE(E55, ""en"", ""ar"")"),"ولحماية الحيوان، تنص اللوائح في كثير من الأحيان على استخدام سياط ناعمة ومبطنة تصدر ضوضاء ولكنها تسبب الحد الأدنى من الألم.")</f>
        <v>ولحماية الحيوان، تنص اللوائح في كثير من الأحيان على استخدام سياط ناعمة ومبطنة تصدر ضوضاء ولكنها تسبب الحد الأدنى من الألم.</v>
      </c>
    </row>
    <row r="56">
      <c r="A56" s="3">
        <v>55.0</v>
      </c>
      <c r="B56" s="4" t="s">
        <v>223</v>
      </c>
      <c r="C56" s="4" t="s">
        <v>224</v>
      </c>
      <c r="D56" s="4" t="s">
        <v>225</v>
      </c>
      <c r="E56" s="4" t="s">
        <v>226</v>
      </c>
      <c r="G56" s="5" t="str">
        <f>IFERROR(__xludf.DUMMYFUNCTION("GOOGLETRANSLATE(A56, ""en"", ""ar"")"),"55")</f>
        <v>55</v>
      </c>
      <c r="H56" s="5" t="str">
        <f>IFERROR(__xludf.DUMMYFUNCTION("GOOGLETRANSLATE(B56, ""en"", ""ar"")"),"ما هو البروتوكول الرسمي إذا تدخل جمل وأعاق جملًا آخر أثناء السباق؟")</f>
        <v>ما هو البروتوكول الرسمي إذا تدخل جمل وأعاق جملًا آخر أثناء السباق؟</v>
      </c>
      <c r="I56" s="5" t="str">
        <f>IFERROR(__xludf.DUMMYFUNCTION("GOOGLETRANSLATE(C56, ""en"", ""ar"")"),"أ) يتم استبعاد الجملين؛ ب) يتم استبعاد الجمل المتدخل أو وضعه في المركز الأخير؛ ج) يتم إعطاء الفرسان تحذيرًا؛ د) يستمر السباق دون أي أحداث")</f>
        <v>أ) يتم استبعاد الجملين؛ ب) يتم استبعاد الجمل المتدخل أو وضعه في المركز الأخير؛ ج) يتم إعطاء الفرسان تحذيرًا؛ د) يستمر السباق دون أي أحداث</v>
      </c>
      <c r="J56" s="5" t="str">
        <f>IFERROR(__xludf.DUMMYFUNCTION("GOOGLETRANSLATE(D56, ""en"", ""ar"")"),"ب) يتم استبعاد الجمل المتدخل أو وضعه في المركز الأخير")</f>
        <v>ب) يتم استبعاد الجمل المتدخل أو وضعه في المركز الأخير</v>
      </c>
      <c r="K56" s="5" t="str">
        <f>IFERROR(__xludf.DUMMYFUNCTION("GOOGLETRANSLATE(E56, ""en"", ""ar"")"),"ويقوم المشرفون بمراجعة حالات التدخل وسوف يستبعدون الجمل المخالف للحفاظ على المنافسة العادلة.")</f>
        <v>ويقوم المشرفون بمراجعة حالات التدخل وسوف يستبعدون الجمل المخالف للحفاظ على المنافسة العادلة.</v>
      </c>
    </row>
    <row r="57">
      <c r="A57" s="3">
        <v>56.0</v>
      </c>
      <c r="B57" s="4" t="s">
        <v>227</v>
      </c>
      <c r="C57" s="4" t="s">
        <v>228</v>
      </c>
      <c r="D57" s="4" t="s">
        <v>229</v>
      </c>
      <c r="E57" s="4" t="s">
        <v>230</v>
      </c>
      <c r="G57" s="5" t="str">
        <f>IFERROR(__xludf.DUMMYFUNCTION("GOOGLETRANSLATE(A57, ""en"", ""ar"")"),"56")</f>
        <v>56</v>
      </c>
      <c r="H57" s="5" t="str">
        <f>IFERROR(__xludf.DUMMYFUNCTION("GOOGLETRANSLATE(B57, ""en"", ""ar"")"),"هل يجب على الفرسان الخضوع لعملية الوزن قبل السباق؟")</f>
        <v>هل يجب على الفرسان الخضوع لعملية الوزن قبل السباق؟</v>
      </c>
      <c r="I57" s="5" t="str">
        <f>IFERROR(__xludf.DUMMYFUNCTION("GOOGLETRANSLATE(C57, ""en"", ""ar"")"),"أ) لا، لا توجد قيود على الوزن؛ ب) نعم، لضمان عدم نقص وزنهم؛ ج) نعم، لضمان استيفائهم للحد الأدنى من الوزن من أجل العدالة؛ د) فقط في سباقات البطولة")</f>
        <v>أ) لا، لا توجد قيود على الوزن؛ ب) نعم، لضمان عدم نقص وزنهم؛ ج) نعم، لضمان استيفائهم للحد الأدنى من الوزن من أجل العدالة؛ د) فقط في سباقات البطولة</v>
      </c>
      <c r="J57" s="5" t="str">
        <f>IFERROR(__xludf.DUMMYFUNCTION("GOOGLETRANSLATE(D57, ""en"", ""ar"")"),"ج) نعم، لضمان استيفائها للحد الأدنى من الوزن للإنصاف")</f>
        <v>ج) نعم، لضمان استيفائها للحد الأدنى من الوزن للإنصاف</v>
      </c>
      <c r="K57" s="5" t="str">
        <f>IFERROR(__xludf.DUMMYFUNCTION("GOOGLETRANSLATE(E57, ""en"", ""ar"")"),"يتم وزن الفرسان للتأكد من استيفائهم للوزن الأدنى القياسي، مما يمنع الميزة غير العادلة من أن تكون خفيفة للغاية.")</f>
        <v>يتم وزن الفرسان للتأكد من استيفائهم للوزن الأدنى القياسي، مما يمنع الميزة غير العادلة من أن تكون خفيفة للغاية.</v>
      </c>
    </row>
    <row r="58">
      <c r="A58" s="3">
        <v>57.0</v>
      </c>
      <c r="B58" s="4" t="s">
        <v>231</v>
      </c>
      <c r="C58" s="4" t="s">
        <v>232</v>
      </c>
      <c r="D58" s="4" t="s">
        <v>233</v>
      </c>
      <c r="E58" s="4" t="s">
        <v>234</v>
      </c>
      <c r="G58" s="5" t="str">
        <f>IFERROR(__xludf.DUMMYFUNCTION("GOOGLETRANSLATE(A58, ""en"", ""ar"")"),"57")</f>
        <v>57</v>
      </c>
      <c r="H58" s="5" t="str">
        <f>IFERROR(__xludf.DUMMYFUNCTION("GOOGLETRANSLATE(B58, ""en"", ""ar"")"),"ما حكم الجمل الذي يخرج عن المسار المحدد ثم يعود لإكمال السباق؟")</f>
        <v>ما حكم الجمل الذي يخرج عن المسار المحدد ثم يعود لإكمال السباق؟</v>
      </c>
      <c r="I58" s="5" t="str">
        <f>IFERROR(__xludf.DUMMYFUNCTION("GOOGLETRANSLATE(C58, ""en"", ""ar"")"),"أ) يُسمح للجمل بالاستمرار؛ ب) يتم استبعاد الجمل على الفور؛ ج) يتلقى الجمل عقوبة زمنية؛ د) يتم وضع الجمل في المركز الأخير")</f>
        <v>أ) يُسمح للجمل بالاستمرار؛ ب) يتم استبعاد الجمل على الفور؛ ج) يتلقى الجمل عقوبة زمنية؛ د) يتم وضع الجمل في المركز الأخير</v>
      </c>
      <c r="J58" s="5" t="str">
        <f>IFERROR(__xludf.DUMMYFUNCTION("GOOGLETRANSLATE(D58, ""en"", ""ar"")"),"ب) يتم استبعاد الجمل فورًا")</f>
        <v>ب) يتم استبعاد الجمل فورًا</v>
      </c>
      <c r="K58" s="5" t="str">
        <f>IFERROR(__xludf.DUMMYFUNCTION("GOOGLETRANSLATE(E58, ""en"", ""ar"")"),"يجب على الجمل البقاء داخل الحدود المحددة لمسار السباق طوال مدة السباق.")</f>
        <v>يجب على الجمل البقاء داخل الحدود المحددة لمسار السباق طوال مدة السباق.</v>
      </c>
    </row>
    <row r="59">
      <c r="A59" s="3">
        <v>58.0</v>
      </c>
      <c r="B59" s="4" t="s">
        <v>235</v>
      </c>
      <c r="C59" s="4" t="s">
        <v>236</v>
      </c>
      <c r="D59" s="4" t="s">
        <v>237</v>
      </c>
      <c r="E59" s="4" t="s">
        <v>238</v>
      </c>
      <c r="G59" s="5" t="str">
        <f>IFERROR(__xludf.DUMMYFUNCTION("GOOGLETRANSLATE(A59, ""en"", ""ar"")"),"58")</f>
        <v>58</v>
      </c>
      <c r="H59" s="5" t="str">
        <f>IFERROR(__xludf.DUMMYFUNCTION("GOOGLETRANSLATE(B59, ""en"", ""ar"")"),"ما هو المصطلح المستخدم لوصف سباق خاص بالجمال التي يبلغ عمرها عامين؟")</f>
        <v>ما هو المصطلح المستخدم لوصف سباق خاص بالجمال التي يبلغ عمرها عامين؟</v>
      </c>
      <c r="I59" s="5" t="str">
        <f>IFERROR(__xludf.DUMMYFUNCTION("GOOGLETRANSLATE(C59, ""en"", ""ar"")"),"أ) الثنية؛ ب) الجدعة. ج) حوار؛ د) مفرود")</f>
        <v>أ) الثنية؛ ب) الجدعة. ج) حوار؛ د) مفرود</v>
      </c>
      <c r="J59" s="5" t="str">
        <f>IFERROR(__xludf.DUMMYFUNCTION("GOOGLETRANSLATE(D59, ""en"", ""ar"")"),"د) مفرود")</f>
        <v>د) مفرود</v>
      </c>
      <c r="K59" s="5" t="str">
        <f>IFERROR(__xludf.DUMMYFUNCTION("GOOGLETRANSLATE(E59, ""en"", ""ar"")"),"يتم تقسيم سباقات الهجن حسب الفئات العمرية، حيث يشير مصطلح ""مفرود"" إلى الفئة المخصصة لأصغر المتسابقين.")</f>
        <v>يتم تقسيم سباقات الهجن حسب الفئات العمرية، حيث يشير مصطلح "مفرود" إلى الفئة المخصصة لأصغر المتسابقين.</v>
      </c>
    </row>
    <row r="60">
      <c r="A60" s="3">
        <v>59.0</v>
      </c>
      <c r="B60" s="4" t="s">
        <v>239</v>
      </c>
      <c r="C60" s="4" t="s">
        <v>240</v>
      </c>
      <c r="D60" s="4" t="s">
        <v>241</v>
      </c>
      <c r="E60" s="4" t="s">
        <v>242</v>
      </c>
      <c r="G60" s="5" t="str">
        <f>IFERROR(__xludf.DUMMYFUNCTION("GOOGLETRANSLATE(A60, ""en"", ""ar"")"),"59")</f>
        <v>59</v>
      </c>
      <c r="H60" s="5" t="str">
        <f>IFERROR(__xludf.DUMMYFUNCTION("GOOGLETRANSLATE(B60, ""en"", ""ar"")"),"هل يجوز وضع العلامة التجارية على زي الفارس وسرج الجمل؟")</f>
        <v>هل يجوز وضع العلامة التجارية على زي الفارس وسرج الجمل؟</v>
      </c>
      <c r="I60" s="5" t="str">
        <f>IFERROR(__xludf.DUMMYFUNCTION("GOOGLETRANSLATE(C60, ""en"", ""ar"")"),"أ) لا، يُحظر وضع جميع العلامات التجارية؛ ب) نعم، ولكن يجب الموافقة عليها من قبل الاتحاد؛ ج) يُسمح فقط باسم مالك الجمل؛ د) يُسمح فقط بالرموز الوطنية")</f>
        <v>أ) لا، يُحظر وضع جميع العلامات التجارية؛ ب) نعم، ولكن يجب الموافقة عليها من قبل الاتحاد؛ ج) يُسمح فقط باسم مالك الجمل؛ د) يُسمح فقط بالرموز الوطنية</v>
      </c>
      <c r="J60" s="5" t="str">
        <f>IFERROR(__xludf.DUMMYFUNCTION("GOOGLETRANSLATE(D60, ""en"", ""ar"")"),"ب) نعم، ولكن يجب أن تتم الموافقة عليه من قبل الاتحاد.")</f>
        <v>ب) نعم، ولكن يجب أن تتم الموافقة عليه من قبل الاتحاد.</v>
      </c>
      <c r="K60" s="5" t="str">
        <f>IFERROR(__xludf.DUMMYFUNCTION("GOOGLETRANSLATE(E60, ""en"", ""ar"")"),"تعتبر الرعاية التجارية أمرًا شائعًا ولكنها يجب أن تلتزم بالقواعد المتعلقة بالحجم والموقع والمحتوى التي وضعها منظمو السباق.")</f>
        <v>تعتبر الرعاية التجارية أمرًا شائعًا ولكنها يجب أن تلتزم بالقواعد المتعلقة بالحجم والموقع والمحتوى التي وضعها منظمو السباق.</v>
      </c>
    </row>
    <row r="61">
      <c r="A61" s="3">
        <v>60.0</v>
      </c>
      <c r="B61" s="4" t="s">
        <v>243</v>
      </c>
      <c r="C61" s="4" t="s">
        <v>244</v>
      </c>
      <c r="D61" s="4" t="s">
        <v>245</v>
      </c>
      <c r="E61" s="4" t="s">
        <v>246</v>
      </c>
      <c r="G61" s="5" t="str">
        <f>IFERROR(__xludf.DUMMYFUNCTION("GOOGLETRANSLATE(A61, ""en"", ""ar"")"),"60")</f>
        <v>60</v>
      </c>
      <c r="H61" s="5" t="str">
        <f>IFERROR(__xludf.DUMMYFUNCTION("GOOGLETRANSLATE(B61, ""en"", ""ar"")"),"ماذا يحدث إذا انتهى السباق بـ ""نهاية الصورة"" حيث يعبر جملان خط النهاية في نفس الوقت؟")</f>
        <v>ماذا يحدث إذا انتهى السباق بـ "نهاية الصورة" حيث يعبر جملان خط النهاية في نفس الوقت؟</v>
      </c>
      <c r="I61" s="5" t="str">
        <f>IFERROR(__xludf.DUMMYFUNCTION("GOOGLETRANSLATE(C61, ""en"", ""ar"")"),"أ) يتم إعلان السباق متعادلاً؛ ب) يتم إعادة السباق؛ ج) تحدد الكاميرات عالية السرعة الفائز من خلال الأنف؛ د) يتم تقسيم الجائزة بين الاثنين")</f>
        <v>أ) يتم إعلان السباق متعادلاً؛ ب) يتم إعادة السباق؛ ج) تحدد الكاميرات عالية السرعة الفائز من خلال الأنف؛ د) يتم تقسيم الجائزة بين الاثنين</v>
      </c>
      <c r="J61" s="5" t="str">
        <f>IFERROR(__xludf.DUMMYFUNCTION("GOOGLETRANSLATE(D61, ""en"", ""ar"")"),"ج) تحدد الكاميرات عالية السرعة الفائز من خلال الأنف")</f>
        <v>ج) تحدد الكاميرات عالية السرعة الفائز من خلال الأنف</v>
      </c>
      <c r="K61" s="5" t="str">
        <f>IFERROR(__xludf.DUMMYFUNCTION("GOOGLETRANSLATE(E61, ""en"", ""ar"")"),"يتم تحديد النتائج الرسمية بناءً على أي طرف أنف الجمل يعبر خط النهاية أولاً، كما تم التقاطه بواسطة تقنية التصوير الفوتوغرافي.")</f>
        <v>يتم تحديد النتائج الرسمية بناءً على أي طرف أنف الجمل يعبر خط النهاية أولاً، كما تم التقاطه بواسطة تقنية التصوير الفوتوغرافي.</v>
      </c>
    </row>
    <row r="62">
      <c r="A62" s="3">
        <v>61.0</v>
      </c>
      <c r="B62" s="4" t="s">
        <v>247</v>
      </c>
      <c r="C62" s="4" t="s">
        <v>248</v>
      </c>
      <c r="D62" s="4" t="s">
        <v>249</v>
      </c>
      <c r="E62" s="4" t="s">
        <v>250</v>
      </c>
      <c r="G62" s="5" t="str">
        <f>IFERROR(__xludf.DUMMYFUNCTION("GOOGLETRANSLATE(A62, ""en"", ""ar"")"),"61")</f>
        <v>61</v>
      </c>
      <c r="H62" s="5" t="str">
        <f>IFERROR(__xludf.DUMMYFUNCTION("GOOGLETRANSLATE(B62, ""en"", ""ar"")"),"ما هو الإجراء المتخذ ضد مالك الجمل الذي يتم ضبطه وهو يحاول المشاركة في سباق جمل غير مسجل؟")</f>
        <v>ما هو الإجراء المتخذ ضد مالك الجمل الذي يتم ضبطه وهو يحاول المشاركة في سباق جمل غير مسجل؟</v>
      </c>
      <c r="I62" s="5" t="str">
        <f>IFERROR(__xludf.DUMMYFUNCTION("GOOGLETRANSLATE(C62, ""en"", ""ar"")"),"أ) تحذير بسيط؛ ب) غرامة مالية والحرمان من المشاركة؛ ج) تسجيل الجمل على الفور؛ د) منع المالك من المشاركة في الحدث")</f>
        <v>أ) تحذير بسيط؛ ب) غرامة مالية والحرمان من المشاركة؛ ج) تسجيل الجمل على الفور؛ د) منع المالك من المشاركة في الحدث</v>
      </c>
      <c r="J62" s="5" t="str">
        <f>IFERROR(__xludf.DUMMYFUNCTION("GOOGLETRANSLATE(D62, ""en"", ""ar"")"),"ب) غرامة مالية والحرمان")</f>
        <v>ب) غرامة مالية والحرمان</v>
      </c>
      <c r="K62" s="5" t="str">
        <f>IFERROR(__xludf.DUMMYFUNCTION("GOOGLETRANSLATE(E62, ""en"", ""ar"")"),"إن المشاركة في سباقات الجمال غير المسجلة يعد مخالفة خطيرة تؤدي إلى الاستبعاد الفوري والعقوبات المالية.")</f>
        <v>إن المشاركة في سباقات الجمال غير المسجلة يعد مخالفة خطيرة تؤدي إلى الاستبعاد الفوري والعقوبات المالية.</v>
      </c>
    </row>
    <row r="63">
      <c r="A63" s="3">
        <v>62.0</v>
      </c>
      <c r="B63" s="4" t="s">
        <v>251</v>
      </c>
      <c r="C63" s="4" t="s">
        <v>252</v>
      </c>
      <c r="D63" s="4" t="s">
        <v>253</v>
      </c>
      <c r="E63" s="4" t="s">
        <v>254</v>
      </c>
      <c r="G63" s="5" t="str">
        <f>IFERROR(__xludf.DUMMYFUNCTION("GOOGLETRANSLATE(A63, ""en"", ""ar"")"),"62")</f>
        <v>62</v>
      </c>
      <c r="H63" s="5" t="str">
        <f>IFERROR(__xludf.DUMMYFUNCTION("GOOGLETRANSLATE(B63, ""en"", ""ar"")"),"ما هو الفحص البيطري الإلزامي الذي يتم إجراؤه مباشرة بعد السباق؟")</f>
        <v>ما هو الفحص البيطري الإلزامي الذي يتم إجراؤه مباشرة بعد السباق؟</v>
      </c>
      <c r="I63" s="5" t="str">
        <f>IFERROR(__xludf.DUMMYFUNCTION("GOOGLETRANSLATE(C63, ""en"", ""ar"")"),"أ) فحص الجفاف والإرهاق؛ ب) قياس طول الجمل؛ ج) فحص آثار السوط؛ د) فحص أسنان الجمل")</f>
        <v>أ) فحص الجفاف والإرهاق؛ ب) قياس طول الجمل؛ ج) فحص آثار السوط؛ د) فحص أسنان الجمل</v>
      </c>
      <c r="J63" s="5" t="str">
        <f>IFERROR(__xludf.DUMMYFUNCTION("GOOGLETRANSLATE(D63, ""en"", ""ar"")"),"أ) فحص الجفاف والإرهاق")</f>
        <v>أ) فحص الجفاف والإرهاق</v>
      </c>
      <c r="K63" s="5" t="str">
        <f>IFERROR(__xludf.DUMMYFUNCTION("GOOGLETRANSLATE(E63, ""en"", ""ar"")"),"تعتبر الفحوصات التي تتم بعد السباق ضرورية لضمان رعاية الحيوان وتحديد أي علامات تشير إلى الضيق أو الإصابة.")</f>
        <v>تعتبر الفحوصات التي تتم بعد السباق ضرورية لضمان رعاية الحيوان وتحديد أي علامات تشير إلى الضيق أو الإصابة.</v>
      </c>
    </row>
    <row r="64">
      <c r="A64" s="3">
        <v>63.0</v>
      </c>
      <c r="B64" s="4" t="s">
        <v>255</v>
      </c>
      <c r="C64" s="4" t="s">
        <v>256</v>
      </c>
      <c r="D64" s="4" t="s">
        <v>257</v>
      </c>
      <c r="E64" s="4" t="s">
        <v>258</v>
      </c>
      <c r="G64" s="5" t="str">
        <f>IFERROR(__xludf.DUMMYFUNCTION("GOOGLETRANSLATE(A64, ""en"", ""ar"")"),"63")</f>
        <v>63</v>
      </c>
      <c r="H64" s="5" t="str">
        <f>IFERROR(__xludf.DUMMYFUNCTION("GOOGLETRANSLATE(B64, ""en"", ""ar"")"),"هل يجوز للفارس أن ينزل عن جواده ويجري بجانب الجمل لتشجيعه؟")</f>
        <v>هل يجوز للفارس أن ينزل عن جواده ويجري بجانب الجمل لتشجيعه؟</v>
      </c>
      <c r="I64" s="5" t="str">
        <f>IFERROR(__xludf.DUMMYFUNCTION("GOOGLETRANSLATE(C64, ""en"", ""ar"")"),"أ) نعم، هذا تكتيك صحيح؛ ب) لا، يجب أن يظل الفارس راكبًا؛ ج) فقط في آخر 100 متر؛ د) فقط إذا انكسر السرج")</f>
        <v>أ) نعم، هذا تكتيك صحيح؛ ب) لا، يجب أن يظل الفارس راكبًا؛ ج) فقط في آخر 100 متر؛ د) فقط إذا انكسر السرج</v>
      </c>
      <c r="J64" s="5" t="str">
        <f>IFERROR(__xludf.DUMMYFUNCTION("GOOGLETRANSLATE(D64, ""en"", ""ar"")"),"ب) لا، يجب أن يظل الفارس راكبًا")</f>
        <v>ب) لا، يجب أن يظل الفارس راكبًا</v>
      </c>
      <c r="K64" s="5" t="str">
        <f>IFERROR(__xludf.DUMMYFUNCTION("GOOGLETRANSLATE(E64, ""en"", ""ar"")"),"يجب على الفارس أن يكون على الجمل طوال السباق، والنزول منه يؤدي إلى الاستبعاد.")</f>
        <v>يجب على الفارس أن يكون على الجمل طوال السباق، والنزول منه يؤدي إلى الاستبعاد.</v>
      </c>
    </row>
    <row r="65">
      <c r="A65" s="3">
        <v>64.0</v>
      </c>
      <c r="B65" s="4" t="s">
        <v>259</v>
      </c>
      <c r="C65" s="4" t="s">
        <v>260</v>
      </c>
      <c r="D65" s="4" t="s">
        <v>261</v>
      </c>
      <c r="E65" s="4" t="s">
        <v>262</v>
      </c>
      <c r="G65" s="5" t="str">
        <f>IFERROR(__xludf.DUMMYFUNCTION("GOOGLETRANSLATE(A65, ""en"", ""ar"")"),"64")</f>
        <v>64</v>
      </c>
      <c r="H65" s="5" t="str">
        <f>IFERROR(__xludf.DUMMYFUNCTION("GOOGLETRANSLATE(B65, ""en"", ""ar"")"),"ما هي القاعدة بشأن استخدام الأوامر الصوتية أو الأصوات المحددة من قبل الفرسان؟")</f>
        <v>ما هي القاعدة بشأن استخدام الأوامر الصوتية أو الأصوات المحددة من قبل الفرسان؟</v>
      </c>
      <c r="I65" s="5" t="str">
        <f>IFERROR(__xludf.DUMMYFUNCTION("GOOGLETRANSLATE(C65, ""en"", ""ar"")"),"أ) جميع الأصوات ممنوعة؛ ب) يُسمح فقط بالنداءات التقليدية؛ ج) لا توجد قواعد للأوامر الصوتية؛ د) لا يُسمح للفرسان إلا باستخدام الصافرات")</f>
        <v>أ) جميع الأصوات ممنوعة؛ ب) يُسمح فقط بالنداءات التقليدية؛ ج) لا توجد قواعد للأوامر الصوتية؛ د) لا يُسمح للفرسان إلا باستخدام الصافرات</v>
      </c>
      <c r="J65" s="5" t="str">
        <f>IFERROR(__xludf.DUMMYFUNCTION("GOOGLETRANSLATE(D65, ""en"", ""ar"")"),"ج) لا توجد قواعد للأوامر الصوتية")</f>
        <v>ج) لا توجد قواعد للأوامر الصوتية</v>
      </c>
      <c r="K65" s="5" t="str">
        <f>IFERROR(__xludf.DUMMYFUNCTION("GOOGLETRANSLATE(E65, ""en"", ""ar"")"),"يتمتع الفرسان عمومًا بحرية استخدام أصواتهم لتشجيع جمالهم وتوجيهها كما يرون مناسبًا.")</f>
        <v>يتمتع الفرسان عمومًا بحرية استخدام أصواتهم لتشجيع جمالهم وتوجيهها كما يرون مناسبًا.</v>
      </c>
    </row>
    <row r="66">
      <c r="A66" s="3">
        <v>65.0</v>
      </c>
      <c r="B66" s="4" t="s">
        <v>263</v>
      </c>
      <c r="C66" s="4" t="s">
        <v>264</v>
      </c>
      <c r="D66" s="4" t="s">
        <v>265</v>
      </c>
      <c r="E66" s="4" t="s">
        <v>266</v>
      </c>
      <c r="G66" s="5" t="str">
        <f>IFERROR(__xludf.DUMMYFUNCTION("GOOGLETRANSLATE(A66, ""en"", ""ar"")"),"65")</f>
        <v>65</v>
      </c>
      <c r="H66" s="5" t="str">
        <f>IFERROR(__xludf.DUMMYFUNCTION("GOOGLETRANSLATE(B66, ""en"", ""ar"")"),"ماذا يحدث إذا بدأت عاصفة رملية في منتصف السباق مما أدى إلى انخفاض الرؤية بشكل كبير؟")</f>
        <v>ماذا يحدث إذا بدأت عاصفة رملية في منتصف السباق مما أدى إلى انخفاض الرؤية بشكل كبير؟</v>
      </c>
      <c r="I66" s="5" t="str">
        <f>IFERROR(__xludf.DUMMYFUNCTION("GOOGLETRANSLATE(C66, ""en"", ""ar"")"),"أ) يواصل الفرسان السباق على مسؤوليتهم الخاصة؛ ب) يتم إيقاف السباق على الفور من قبل المسؤولين؛ ج) يتم تمديد مسافة السباق؛ د) يستخدم الفرسان نظام تحديد المواقع العالمي (GPS) للتنقل")</f>
        <v>أ) يواصل الفرسان السباق على مسؤوليتهم الخاصة؛ ب) يتم إيقاف السباق على الفور من قبل المسؤولين؛ ج) يتم تمديد مسافة السباق؛ د) يستخدم الفرسان نظام تحديد المواقع العالمي (GPS) للتنقل</v>
      </c>
      <c r="J66" s="5" t="str">
        <f>IFERROR(__xludf.DUMMYFUNCTION("GOOGLETRANSLATE(D66, ""en"", ""ar"")"),"ب) يتم إيقاف السباق على الفور من قبل المسؤولين")</f>
        <v>ب) يتم إيقاف السباق على الفور من قبل المسؤولين</v>
      </c>
      <c r="K66" s="5" t="str">
        <f>IFERROR(__xludf.DUMMYFUNCTION("GOOGLETRANSLATE(E66, ""en"", ""ar"")"),"السلامة هي الأهم. في الأحوال الجوية الخطرة كالعواصف الرملية، يُوقف المسؤولون السباق لمنع الحوادث.")</f>
        <v>السلامة هي الأهم. في الأحوال الجوية الخطرة كالعواصف الرملية، يُوقف المسؤولون السباق لمنع الحوادث.</v>
      </c>
    </row>
    <row r="67">
      <c r="A67" s="3">
        <v>66.0</v>
      </c>
      <c r="B67" s="4" t="s">
        <v>267</v>
      </c>
      <c r="C67" s="4" t="s">
        <v>268</v>
      </c>
      <c r="D67" s="4" t="s">
        <v>269</v>
      </c>
      <c r="E67" s="4" t="s">
        <v>270</v>
      </c>
      <c r="G67" s="5" t="str">
        <f>IFERROR(__xludf.DUMMYFUNCTION("GOOGLETRANSLATE(A67, ""en"", ""ar"")"),"66")</f>
        <v>66</v>
      </c>
      <c r="H67" s="5" t="str">
        <f>IFERROR(__xludf.DUMMYFUNCTION("GOOGLETRANSLATE(B67, ""en"", ""ar"")"),"هل هناك ضوابط تتعلق بتصميم ومادة سرج الإبل (الشداد)؟")</f>
        <v>هل هناك ضوابط تتعلق بتصميم ومادة سرج الإبل (الشداد)؟</v>
      </c>
      <c r="I67" s="5" t="str">
        <f>IFERROR(__xludf.DUMMYFUNCTION("GOOGLETRANSLATE(C67, ""en"", ""ar"")"),"أ) لا، أي تصميم للسرج مقبول؛ ب) نعم، يجب أن تكون السروج بتصميم تقليدي؛ ج) نعم، هناك مواصفات للوزن والسلامة؛ د) لا يُسمح بالسروج")</f>
        <v>أ) لا، أي تصميم للسرج مقبول؛ ب) نعم، يجب أن تكون السروج بتصميم تقليدي؛ ج) نعم، هناك مواصفات للوزن والسلامة؛ د) لا يُسمح بالسروج</v>
      </c>
      <c r="J67" s="5" t="str">
        <f>IFERROR(__xludf.DUMMYFUNCTION("GOOGLETRANSLATE(D67, ""en"", ""ar"")"),"ج) نعم، هناك مواصفات للوزن والسلامة")</f>
        <v>ج) نعم، هناك مواصفات للوزن والسلامة</v>
      </c>
      <c r="K67" s="5" t="str">
        <f>IFERROR(__xludf.DUMMYFUNCTION("GOOGLETRANSLATE(E67, ""en"", ""ar"")"),"يجب أن تتوافق السروج مع معايير تنظيمية محددة فيما يتعلق بالوزن والمادة والتصميم لضمان عدم تسببها في إصابة الجمل.")</f>
        <v>يجب أن تتوافق السروج مع معايير تنظيمية محددة فيما يتعلق بالوزن والمادة والتصميم لضمان عدم تسببها في إصابة الجمل.</v>
      </c>
    </row>
    <row r="68">
      <c r="A68" s="3">
        <v>67.0</v>
      </c>
      <c r="B68" s="4" t="s">
        <v>271</v>
      </c>
      <c r="C68" s="4" t="s">
        <v>272</v>
      </c>
      <c r="D68" s="4" t="s">
        <v>273</v>
      </c>
      <c r="E68" s="4" t="s">
        <v>274</v>
      </c>
      <c r="G68" s="5" t="str">
        <f>IFERROR(__xludf.DUMMYFUNCTION("GOOGLETRANSLATE(A68, ""en"", ""ar"")"),"67")</f>
        <v>67</v>
      </c>
      <c r="H68" s="5" t="str">
        <f>IFERROR(__xludf.DUMMYFUNCTION("GOOGLETRANSLATE(B68, ""en"", ""ar"")"),"ما هو الإجراء إذا قدم الفارس احتجاجًا رسميًا بشأن تدخل من متسابق آخر؟")</f>
        <v>ما هو الإجراء إذا قدم الفارس احتجاجًا رسميًا بشأن تدخل من متسابق آخر؟</v>
      </c>
      <c r="I68" s="5" t="str">
        <f>IFERROR(__xludf.DUMMYFUNCTION("GOOGLETRANSLATE(C68, ""en"", ""ar"")"),"أ) يتم إلغاء النتيجة على الفور؛ ب) تتم مراجعة الاحتجاج من قبل مجلس الإدارة باستخدام أدلة الفيديو؛ ج) يجب على الفارسين إعادة السباق؛ د) لا يُسمح بالاحتجاجات")</f>
        <v>أ) يتم إلغاء النتيجة على الفور؛ ب) تتم مراجعة الاحتجاج من قبل مجلس الإدارة باستخدام أدلة الفيديو؛ ج) يجب على الفارسين إعادة السباق؛ د) لا يُسمح بالاحتجاجات</v>
      </c>
      <c r="J68" s="5" t="str">
        <f>IFERROR(__xludf.DUMMYFUNCTION("GOOGLETRANSLATE(D68, ""en"", ""ar"")"),"ب) تتم مراجعة الاحتجاج من قبل مجلس الإدارة باستخدام أدلة الفيديو")</f>
        <v>ب) تتم مراجعة الاحتجاج من قبل مجلس الإدارة باستخدام أدلة الفيديو</v>
      </c>
      <c r="K68" s="5" t="str">
        <f>IFERROR(__xludf.DUMMYFUNCTION("GOOGLETRANSLATE(E68, ""en"", ""ar"")"),"ويؤدي الاحتجاج الرسمي إلى مراجعة من قبل المسؤولين، الذين سيحللون لقطات السباق لإصدار الحكم النهائي.")</f>
        <v>ويؤدي الاحتجاج الرسمي إلى مراجعة من قبل المسؤولين، الذين سيحللون لقطات السباق لإصدار الحكم النهائي.</v>
      </c>
    </row>
    <row r="69">
      <c r="A69" s="3">
        <v>68.0</v>
      </c>
      <c r="B69" s="4" t="s">
        <v>275</v>
      </c>
      <c r="C69" s="4" t="s">
        <v>276</v>
      </c>
      <c r="D69" s="4" t="s">
        <v>277</v>
      </c>
      <c r="E69" s="4" t="s">
        <v>278</v>
      </c>
      <c r="G69" s="5" t="str">
        <f>IFERROR(__xludf.DUMMYFUNCTION("GOOGLETRANSLATE(A69, ""en"", ""ar"")"),"68")</f>
        <v>68</v>
      </c>
      <c r="H69" s="5" t="str">
        <f>IFERROR(__xludf.DUMMYFUNCTION("GOOGLETRANSLATE(B69, ""en"", ""ar"")"),"هل يجوز لفريق أن يستخدم جملًا ""منظمًا للسرعة"" يركض بمحاذاة المضمار لتحفيز الجمل على التقدم؟")</f>
        <v>هل يجوز لفريق أن يستخدم جملًا "منظمًا للسرعة" يركض بمحاذاة المضمار لتحفيز الجمل على التقدم؟</v>
      </c>
      <c r="I69" s="5" t="str">
        <f>IFERROR(__xludf.DUMMYFUNCTION("GOOGLETRANSLATE(C69, ""en"", ""ar"")"),"أ) نعم، إنها استراتيجية شائعة؛ ب) لا، يُعتبر هذا مساعدة خارجية غير قانونية؛ ج) فقط إذا كان جهاز تنظيم ضربات القلب من نفس المالك؛ د) فقط في جلسات التدريب")</f>
        <v>أ) نعم، إنها استراتيجية شائعة؛ ب) لا، يُعتبر هذا مساعدة خارجية غير قانونية؛ ج) فقط إذا كان جهاز تنظيم ضربات القلب من نفس المالك؛ د) فقط في جلسات التدريب</v>
      </c>
      <c r="J69" s="5" t="str">
        <f>IFERROR(__xludf.DUMMYFUNCTION("GOOGLETRANSLATE(D69, ""en"", ""ar"")"),"ب) لا، هذا يعتبر مساعدة خارجية غير قانونية")</f>
        <v>ب) لا، هذا يعتبر مساعدة خارجية غير قانونية</v>
      </c>
      <c r="K69" s="5" t="str">
        <f>IFERROR(__xludf.DUMMYFUNCTION("GOOGLETRANSLATE(E69, ""en"", ""ar"")"),"يجب على جميع الجمال المشاركة في السباق بدون أجهزة تنظيم ضربات القلب الخارجية لضمان المنافسة العادلة.")</f>
        <v>يجب على جميع الجمال المشاركة في السباق بدون أجهزة تنظيم ضربات القلب الخارجية لضمان المنافسة العادلة.</v>
      </c>
    </row>
    <row r="70">
      <c r="A70" s="3">
        <v>69.0</v>
      </c>
      <c r="B70" s="4" t="s">
        <v>279</v>
      </c>
      <c r="C70" s="4" t="s">
        <v>280</v>
      </c>
      <c r="D70" s="4" t="s">
        <v>281</v>
      </c>
      <c r="E70" s="4" t="s">
        <v>282</v>
      </c>
      <c r="G70" s="5" t="str">
        <f>IFERROR(__xludf.DUMMYFUNCTION("GOOGLETRANSLATE(A70, ""en"", ""ar"")"),"69")</f>
        <v>69</v>
      </c>
      <c r="H70" s="5" t="str">
        <f>IFERROR(__xludf.DUMMYFUNCTION("GOOGLETRANSLATE(B70, ""en"", ""ar"")"),"ما هي القاعدة الخاصة بعدد المرات التي يجوز للفارس فيها استخدام السوط في المرحلة النهائية من السباق؟")</f>
        <v>ما هي القاعدة الخاصة بعدد المرات التي يجوز للفارس فيها استخدام السوط في المرحلة النهائية من السباق؟</v>
      </c>
      <c r="I70" s="5" t="str">
        <f>IFERROR(__xludf.DUMMYFUNCTION("GOOGLETRANSLATE(C70, ""en"", ""ar"")"),"أ) يُسمح بالاستخدام غير المحدود؛ ب) يتم فرض عدد محدد من الضربات؛ ج) يُحظر الضرب بالسياط في المرحلة النهائية؛ د) يُسمح فقط بالضرب بالسياط من تحت اليد")</f>
        <v>أ) يُسمح بالاستخدام غير المحدود؛ ب) يتم فرض عدد محدد من الضربات؛ ج) يُحظر الضرب بالسياط في المرحلة النهائية؛ د) يُسمح فقط بالضرب بالسياط من تحت اليد</v>
      </c>
      <c r="J70" s="5" t="str">
        <f>IFERROR(__xludf.DUMMYFUNCTION("GOOGLETRANSLATE(D70, ""en"", ""ar"")"),"ب) يتم فرض عدد محدد من الضربات")</f>
        <v>ب) يتم فرض عدد محدد من الضربات</v>
      </c>
      <c r="K70" s="5" t="str">
        <f>IFERROR(__xludf.DUMMYFUNCTION("GOOGLETRANSLATE(E70, ""en"", ""ar"")"),"تقوم العديد من الاتحادات بالحد من عدد ضربات السوط في آخر 100-200 متر لحماية الجمل من الإفراط في الاستخدام.")</f>
        <v>تقوم العديد من الاتحادات بالحد من عدد ضربات السوط في آخر 100-200 متر لحماية الجمل من الإفراط في الاستخدام.</v>
      </c>
    </row>
    <row r="71">
      <c r="A71" s="3">
        <v>70.0</v>
      </c>
      <c r="B71" s="4" t="s">
        <v>283</v>
      </c>
      <c r="C71" s="4" t="s">
        <v>284</v>
      </c>
      <c r="D71" s="4" t="s">
        <v>285</v>
      </c>
      <c r="E71" s="4" t="s">
        <v>286</v>
      </c>
      <c r="G71" s="5" t="str">
        <f>IFERROR(__xludf.DUMMYFUNCTION("GOOGLETRANSLATE(A71, ""en"", ""ar"")"),"70")</f>
        <v>70</v>
      </c>
      <c r="H71" s="5" t="str">
        <f>IFERROR(__xludf.DUMMYFUNCTION("GOOGLETRANSLATE(B71, ""en"", ""ar"")"),"ما هو السن النموذجي للتقاعد بالنسبة لبطل سباقات الهجن؟")</f>
        <v>ما هو السن النموذجي للتقاعد بالنسبة لبطل سباقات الهجن؟</v>
      </c>
      <c r="I71" s="5" t="str">
        <f>IFERROR(__xludf.DUMMYFUNCTION("GOOGLETRANSLATE(C71, ""en"", ""ar"")"),"أ) 5-6 سنوات؛ ب) 7-10 سنوات؛ ج) 12-15 سنة؛ د) أكثر من 20 سنة")</f>
        <v>أ) 5-6 سنوات؛ ب) 7-10 سنوات؛ ج) 12-15 سنة؛ د) أكثر من 20 سنة</v>
      </c>
      <c r="J71" s="5" t="str">
        <f>IFERROR(__xludf.DUMMYFUNCTION("GOOGLETRANSLATE(D71, ""en"", ""ar"")"),"ج) 12-15 سنة")</f>
        <v>ج) 12-15 سنة</v>
      </c>
      <c r="K71" s="5" t="str">
        <f>IFERROR(__xludf.DUMMYFUNCTION("GOOGLETRANSLATE(E71, ""en"", ""ar"")"),"على الرغم من قدرتها على المنافسة في سن أصغر، فإن الجمال التي تصل إلى ذروة قوتها غالبًا ما تتقاعد في عمر يتراوح بين 12 و15 عامًا، وغالبًا ما تصبح ذات قيمة للتكاثر.")</f>
        <v>على الرغم من قدرتها على المنافسة في سن أصغر، فإن الجمال التي تصل إلى ذروة قوتها غالبًا ما تتقاعد في عمر يتراوح بين 12 و15 عامًا، وغالبًا ما تصبح ذات قيمة للتكاثر.</v>
      </c>
    </row>
    <row r="72">
      <c r="A72" s="3">
        <v>71.0</v>
      </c>
      <c r="B72" s="4" t="s">
        <v>287</v>
      </c>
      <c r="C72" s="4" t="s">
        <v>288</v>
      </c>
      <c r="D72" s="4" t="s">
        <v>289</v>
      </c>
      <c r="E72" s="4" t="s">
        <v>290</v>
      </c>
      <c r="G72" s="5" t="str">
        <f>IFERROR(__xludf.DUMMYFUNCTION("GOOGLETRANSLATE(A72, ""en"", ""ar"")"),"71")</f>
        <v>71</v>
      </c>
      <c r="H72" s="5" t="str">
        <f>IFERROR(__xludf.DUMMYFUNCTION("GOOGLETRANSLATE(B72, ""en"", ""ar"")"),"إذا سقط سوط الفارس عن طريق الخطأ على المسار، ما هو البروتوكول الصحيح؟")</f>
        <v>إذا سقط سوط الفارس عن طريق الخطأ على المسار، ما هو البروتوكول الصحيح؟</v>
      </c>
      <c r="I72" s="5" t="str">
        <f>IFERROR(__xludf.DUMMYFUNCTION("GOOGLETRANSLATE(C72, ""en"", ""ar"")"),"أ) يمكن للفارس النزول لاستعادته؛ ب) يقوم أحد مسؤولي السباق بإعادته؛ ج) يجب على الفارس إنهاء السباق بدونه؛ د) يتوقف السباق")</f>
        <v>أ) يمكن للفارس النزول لاستعادته؛ ب) يقوم أحد مسؤولي السباق بإعادته؛ ج) يجب على الفارس إنهاء السباق بدونه؛ د) يتوقف السباق</v>
      </c>
      <c r="J72" s="5" t="str">
        <f>IFERROR(__xludf.DUMMYFUNCTION("GOOGLETRANSLATE(D72, ""en"", ""ar"")"),"ج) يجب على الفارس أن ينهي السباق بدونها")</f>
        <v>ج) يجب على الفارس أن ينهي السباق بدونها</v>
      </c>
      <c r="K72" s="5" t="str">
        <f>IFERROR(__xludf.DUMMYFUNCTION("GOOGLETRANSLATE(E72, ""en"", ""ar"")"),"لا يجوز للفارس تلقي مساعدة خارجية أو التوقف لاستعادة المعدات المتساقطة أثناء السباق.")</f>
        <v>لا يجوز للفارس تلقي مساعدة خارجية أو التوقف لاستعادة المعدات المتساقطة أثناء السباق.</v>
      </c>
    </row>
    <row r="73">
      <c r="A73" s="3">
        <v>72.0</v>
      </c>
      <c r="B73" s="4" t="s">
        <v>291</v>
      </c>
      <c r="C73" s="4" t="s">
        <v>292</v>
      </c>
      <c r="D73" s="4" t="s">
        <v>293</v>
      </c>
      <c r="E73" s="4" t="s">
        <v>294</v>
      </c>
      <c r="G73" s="5" t="str">
        <f>IFERROR(__xludf.DUMMYFUNCTION("GOOGLETRANSLATE(A73, ""en"", ""ar"")"),"72")</f>
        <v>72</v>
      </c>
      <c r="H73" s="5" t="str">
        <f>IFERROR(__xludf.DUMMYFUNCTION("GOOGLETRANSLATE(B73, ""en"", ""ar"")"),"هل هناك قواعد تحكم عملية الإحماء قبل السباق بالنسبة للجمال؟")</f>
        <v>هل هناك قواعد تحكم عملية الإحماء قبل السباق بالنسبة للجمال؟</v>
      </c>
      <c r="I73" s="5" t="str">
        <f>IFERROR(__xludf.DUMMYFUNCTION("GOOGLETRANSLATE(C73, ""en"", ""ar"")"),"أ) لا، عمليات الإحماء تخضع لتقدير المالك؛ ب) نعم، يجب على الجمال الإحماء في منطقة مخصصة؛ ج) عمليات الإحماء ممنوعة؛ د) يُسمح بالإحماء لمدة 5 دقائق فقط")</f>
        <v>أ) لا، عمليات الإحماء تخضع لتقدير المالك؛ ب) نعم، يجب على الجمال الإحماء في منطقة مخصصة؛ ج) عمليات الإحماء ممنوعة؛ د) يُسمح بالإحماء لمدة 5 دقائق فقط</v>
      </c>
      <c r="J73" s="5" t="str">
        <f>IFERROR(__xludf.DUMMYFUNCTION("GOOGLETRANSLATE(D73, ""en"", ""ar"")"),"ب) نعم، يجب على الإبل أن تقوم بالتدفئة في منطقة مخصصة لذلك.")</f>
        <v>ب) نعم، يجب على الإبل أن تقوم بالتدفئة في منطقة مخصصة لذلك.</v>
      </c>
      <c r="K73" s="5" t="str">
        <f>IFERROR(__xludf.DUMMYFUNCTION("GOOGLETRANSLATE(E73, ""en"", ""ar"")"),"ولمنع ازدحام المسار وضمان السلامة، تقتصر عمليات الإحماء الرسمية على مناطق محددة.")</f>
        <v>ولمنع ازدحام المسار وضمان السلامة، تقتصر عمليات الإحماء الرسمية على مناطق محددة.</v>
      </c>
    </row>
    <row r="74">
      <c r="A74" s="3">
        <v>73.0</v>
      </c>
      <c r="B74" s="4" t="s">
        <v>295</v>
      </c>
      <c r="C74" s="4" t="s">
        <v>296</v>
      </c>
      <c r="D74" s="4" t="s">
        <v>297</v>
      </c>
      <c r="E74" s="4" t="s">
        <v>298</v>
      </c>
      <c r="G74" s="5" t="str">
        <f>IFERROR(__xludf.DUMMYFUNCTION("GOOGLETRANSLATE(A74, ""en"", ""ar"")"),"73")</f>
        <v>73</v>
      </c>
      <c r="H74" s="5" t="str">
        <f>IFERROR(__xludf.DUMMYFUNCTION("GOOGLETRANSLATE(B74, ""en"", ""ar"")"),"ماذا يحدث إذا تم العثور على مادة مضادة للالتهابات محظورة في نظام الجمل الفائز؟")</f>
        <v>ماذا يحدث إذا تم العثور على مادة مضادة للالتهابات محظورة في نظام الجمل الفائز؟</v>
      </c>
      <c r="I74" s="5" t="str">
        <f>IFERROR(__xludf.DUMMYFUNCTION("GOOGLETRANSLATE(C74, ""en"", ""ar"")"),"أ) يتم إصدار تحذير؛ ب) يدفع المالك غرامة، ولكن يظل الفوز قائمًا؛ ج) الاستبعاد الفوري والإيقاف المحتمل؛ د) يتم تسجيل النتيجة بعلامة النجمة")</f>
        <v>أ) يتم إصدار تحذير؛ ب) يدفع المالك غرامة، ولكن يظل الفوز قائمًا؛ ج) الاستبعاد الفوري والإيقاف المحتمل؛ د) يتم تسجيل النتيجة بعلامة النجمة</v>
      </c>
      <c r="J74" s="5" t="str">
        <f>IFERROR(__xludf.DUMMYFUNCTION("GOOGLETRANSLATE(D74, ""en"", ""ar"")"),"ج) الاستبعاد الفوري والإيقاف المحتمل")</f>
        <v>ج) الاستبعاد الفوري والإيقاف المحتمل</v>
      </c>
      <c r="K74" s="5" t="str">
        <f>IFERROR(__xludf.DUMMYFUNCTION("GOOGLETRANSLATE(E74, ""en"", ""ar"")"),"يؤدي وجود المواد المحظورة إلى الاستبعاد ومصادرة جائزة المال وإيقاف المالك/المدرب.")</f>
        <v>يؤدي وجود المواد المحظورة إلى الاستبعاد ومصادرة جائزة المال وإيقاف المالك/المدرب.</v>
      </c>
    </row>
    <row r="75">
      <c r="A75" s="3">
        <v>74.0</v>
      </c>
      <c r="B75" s="4" t="s">
        <v>299</v>
      </c>
      <c r="C75" s="4" t="s">
        <v>300</v>
      </c>
      <c r="D75" s="4" t="s">
        <v>301</v>
      </c>
      <c r="E75" s="4" t="s">
        <v>302</v>
      </c>
      <c r="G75" s="5" t="str">
        <f>IFERROR(__xludf.DUMMYFUNCTION("GOOGLETRANSLATE(A75, ""en"", ""ar"")"),"74")</f>
        <v>74</v>
      </c>
      <c r="H75" s="5" t="str">
        <f>IFERROR(__xludf.DUMMYFUNCTION("GOOGLETRANSLATE(B75, ""en"", ""ar"")"),"هل يمكن أن يبدأ السباق رسميًا بإشارة تقليدية، مثل إنزال العلم، بدلاً من البوابة الإلكترونية؟")</f>
        <v>هل يمكن أن يبدأ السباق رسميًا بإشارة تقليدية، مثل إنزال العلم، بدلاً من البوابة الإلكترونية؟</v>
      </c>
      <c r="I75" s="5" t="str">
        <f>IFERROR(__xludf.DUMMYFUNCTION("GOOGLETRANSLATE(C75, ""en"", ""ar"")"),"أ) لا، البوابات الإلكترونية إلزامية؛ ب) نعم، إذا وافق جميع المشاركين؛ ج) نعم، هذا أمر شائع في السباقات المحلية الأصغر حجمًا؛ د) فقط في حالة حدوث عطل في البوابة الإلكترونية")</f>
        <v>أ) لا، البوابات الإلكترونية إلزامية؛ ب) نعم، إذا وافق جميع المشاركين؛ ج) نعم، هذا أمر شائع في السباقات المحلية الأصغر حجمًا؛ د) فقط في حالة حدوث عطل في البوابة الإلكترونية</v>
      </c>
      <c r="J75" s="5" t="str">
        <f>IFERROR(__xludf.DUMMYFUNCTION("GOOGLETRANSLATE(D75, ""en"", ""ar"")"),"ج) نعم، هذا أمر شائع في السباقات المحلية الأصغر حجمًا")</f>
        <v>ج) نعم، هذا أمر شائع في السباقات المحلية الأصغر حجمًا</v>
      </c>
      <c r="K75" s="5" t="str">
        <f>IFERROR(__xludf.DUMMYFUNCTION("GOOGLETRANSLATE(E75, ""en"", ""ar"")"),"في حين تستخدم البطولات بوابات إلكترونية، فإن السباقات التقليدية تعتمد غالبًا على إسقاط العلم أو إطلاق النار للبدء.")</f>
        <v>في حين تستخدم البطولات بوابات إلكترونية، فإن السباقات التقليدية تعتمد غالبًا على إسقاط العلم أو إطلاق النار للبدء.</v>
      </c>
    </row>
    <row r="76">
      <c r="A76" s="3">
        <v>75.0</v>
      </c>
      <c r="B76" s="4" t="s">
        <v>303</v>
      </c>
      <c r="C76" s="4" t="s">
        <v>304</v>
      </c>
      <c r="D76" s="4" t="s">
        <v>305</v>
      </c>
      <c r="E76" s="4" t="s">
        <v>306</v>
      </c>
      <c r="G76" s="5" t="str">
        <f>IFERROR(__xludf.DUMMYFUNCTION("GOOGLETRANSLATE(A76, ""en"", ""ar"")"),"75")</f>
        <v>75</v>
      </c>
      <c r="H76" s="5" t="str">
        <f>IFERROR(__xludf.DUMMYFUNCTION("GOOGLETRANSLATE(B76, ""en"", ""ar"")"),"ما هو الحكم إذا عض الجمل جملاً آخر أثناء السباق؟")</f>
        <v>ما هو الحكم إذا عض الجمل جملاً آخر أثناء السباق؟</v>
      </c>
      <c r="I76" s="5" t="str">
        <f>IFERROR(__xludf.DUMMYFUNCTION("GOOGLETRANSLATE(C76, ""en"", ""ar"")"),"أ) الجمل العاض يُستبعد فورًا؛ ب) الجمل العاض يُستبعد؛ ج) يستمر السباق كسلوك طبيعي؛ د) يُعاقب الجملان بعقوبة زمنية")</f>
        <v>أ) الجمل العاض يُستبعد فورًا؛ ب) الجمل العاض يُستبعد؛ ج) يستمر السباق كسلوك طبيعي؛ د) يُعاقب الجملان بعقوبة زمنية</v>
      </c>
      <c r="J76" s="5" t="str">
        <f>IFERROR(__xludf.DUMMYFUNCTION("GOOGLETRANSLATE(D76, ""en"", ""ar"")"),"أ) الجمل العاض يستبعد فوراً")</f>
        <v>أ) الجمل العاض يستبعد فوراً</v>
      </c>
      <c r="K76" s="5" t="str">
        <f>IFERROR(__xludf.DUMMYFUNCTION("GOOGLETRANSLATE(E76, ""en"", ""ar"")"),"السلوك العدواني والخطير مثل العض هو سبب للاستبعاد الفوري.")</f>
        <v>السلوك العدواني والخطير مثل العض هو سبب للاستبعاد الفوري.</v>
      </c>
    </row>
    <row r="77">
      <c r="A77" s="3">
        <v>76.0</v>
      </c>
      <c r="B77" s="4" t="s">
        <v>307</v>
      </c>
      <c r="C77" s="4" t="s">
        <v>308</v>
      </c>
      <c r="D77" s="4" t="s">
        <v>309</v>
      </c>
      <c r="E77" s="4" t="s">
        <v>310</v>
      </c>
      <c r="G77" s="5" t="str">
        <f>IFERROR(__xludf.DUMMYFUNCTION("GOOGLETRANSLATE(A77, ""en"", ""ar"")"),"76")</f>
        <v>76</v>
      </c>
      <c r="H77" s="5" t="str">
        <f>IFERROR(__xludf.DUMMYFUNCTION("GOOGLETRANSLATE(B77, ""en"", ""ar"")"),"هل من الضروري أن يرتدي الفارس سترة واقية؟")</f>
        <v>هل من الضروري أن يرتدي الفارس سترة واقية؟</v>
      </c>
      <c r="I77" s="5" t="str">
        <f>IFERROR(__xludf.DUMMYFUNCTION("GOOGLETRANSLATE(C77, ""en"", ""ar"")"),"أ) نعم، سترة الأمان إلزامية؛ ب) لا، إنها اختيارية؛ ج) فقط للفرسان الذين تقل أعمارهم عن 18 عامًا؛ د) فقط للسباقات التي يزيد طولها عن 5 كم")</f>
        <v>أ) نعم، سترة الأمان إلزامية؛ ب) لا، إنها اختيارية؛ ج) فقط للفرسان الذين تقل أعمارهم عن 18 عامًا؛ د) فقط للسباقات التي يزيد طولها عن 5 كم</v>
      </c>
      <c r="J77" s="5" t="str">
        <f>IFERROR(__xludf.DUMMYFUNCTION("GOOGLETRANSLATE(D77, ""en"", ""ar"")"),"أ) نعم، سترة السلامة إلزامية")</f>
        <v>أ) نعم، سترة السلامة إلزامية</v>
      </c>
      <c r="K77" s="5" t="str">
        <f>IFERROR(__xludf.DUMMYFUNCTION("GOOGLETRANSLATE(E77, ""en"", ""ar"")"),"على غرار سباق الخيل، هناك حاجة إلى سترات واقية لتقليل إصابة الفارس في حالة السقوط.")</f>
        <v>على غرار سباق الخيل، هناك حاجة إلى سترات واقية لتقليل إصابة الفارس في حالة السقوط.</v>
      </c>
    </row>
    <row r="78">
      <c r="A78" s="3">
        <v>77.0</v>
      </c>
      <c r="B78" s="4" t="s">
        <v>311</v>
      </c>
      <c r="C78" s="4" t="s">
        <v>312</v>
      </c>
      <c r="D78" s="4" t="s">
        <v>313</v>
      </c>
      <c r="E78" s="4" t="s">
        <v>314</v>
      </c>
      <c r="G78" s="5" t="str">
        <f>IFERROR(__xludf.DUMMYFUNCTION("GOOGLETRANSLATE(A78, ""en"", ""ar"")"),"77")</f>
        <v>77</v>
      </c>
      <c r="H78" s="5" t="str">
        <f>IFERROR(__xludf.DUMMYFUNCTION("GOOGLETRANSLATE(B78, ""en"", ""ar"")"),"ما هو البروتوكول إذا كانت سيارة المطاردة التابعة لمالكها تسير بالقرب من المسار وتتداخل مع جمل آخر؟")</f>
        <v>ما هو البروتوكول إذا كانت سيارة المطاردة التابعة لمالكها تسير بالقرب من المسار وتتداخل مع جمل آخر؟</v>
      </c>
      <c r="I78" s="5" t="str">
        <f>IFERROR(__xludf.DUMMYFUNCTION("GOOGLETRANSLATE(C78, ""en"", ""ar"")"),"أ) يتم تحذير مالك المركبة؛ ب) يتم استبعاد الجمل الخاص بمالك المركبة؛ ج) يتم إيقاف السباق على الفور؛ د) لا توجد قواعد لمركبات المطاردة")</f>
        <v>أ) يتم تحذير مالك المركبة؛ ب) يتم استبعاد الجمل الخاص بمالك المركبة؛ ج) يتم إيقاف السباق على الفور؛ د) لا توجد قواعد لمركبات المطاردة</v>
      </c>
      <c r="J78" s="5" t="str">
        <f>IFERROR(__xludf.DUMMYFUNCTION("GOOGLETRANSLATE(D78, ""en"", ""ar"")"),"ب) يتم استبعاد جمل صاحب المركبة")</f>
        <v>ب) يتم استبعاد جمل صاحب المركبة</v>
      </c>
      <c r="K78" s="5" t="str">
        <f>IFERROR(__xludf.DUMMYFUNCTION("GOOGLETRANSLATE(E78, ""en"", ""ar"")"),"يمكن أن تؤدي تصرفات فريق دعم المالك إلى استبعاد الجمل إذا تدخلوا في السباق.")</f>
        <v>يمكن أن تؤدي تصرفات فريق دعم المالك إلى استبعاد الجمل إذا تدخلوا في السباق.</v>
      </c>
    </row>
    <row r="79">
      <c r="A79" s="3">
        <v>78.0</v>
      </c>
      <c r="B79" s="4" t="s">
        <v>315</v>
      </c>
      <c r="C79" s="4" t="s">
        <v>316</v>
      </c>
      <c r="D79" s="4" t="s">
        <v>317</v>
      </c>
      <c r="E79" s="4" t="s">
        <v>318</v>
      </c>
      <c r="G79" s="5" t="str">
        <f>IFERROR(__xludf.DUMMYFUNCTION("GOOGLETRANSLATE(A79, ""en"", ""ar"")"),"78")</f>
        <v>78</v>
      </c>
      <c r="H79" s="5" t="str">
        <f>IFERROR(__xludf.DUMMYFUNCTION("GOOGLETRANSLATE(B79, ""en"", ""ar"")"),"هل يشترط تسجيل نسب الإبل ونسبها لدى اتحاد السباقات؟")</f>
        <v>هل يشترط تسجيل نسب الإبل ونسبها لدى اتحاد السباقات؟</v>
      </c>
      <c r="I79" s="5" t="str">
        <f>IFERROR(__xludf.DUMMYFUNCTION("GOOGLETRANSLATE(C79, ""en"", ""ar"")"),"أ) لا، التسجيل اختياري؛ ب) نعم، لجميع سباقات البطولة الرسمية؛ ج) فقط للإبل من أصل أجنبي؛ د) فقط للإبل الذكور")</f>
        <v>أ) لا، التسجيل اختياري؛ ب) نعم، لجميع سباقات البطولة الرسمية؛ ج) فقط للإبل من أصل أجنبي؛ د) فقط للإبل الذكور</v>
      </c>
      <c r="J79" s="5" t="str">
        <f>IFERROR(__xludf.DUMMYFUNCTION("GOOGLETRANSLATE(D79, ""en"", ""ar"")"),"ب) نعم، لجميع سباقات البطولة الرسمية")</f>
        <v>ب) نعم، لجميع سباقات البطولة الرسمية</v>
      </c>
      <c r="K79" s="5" t="str">
        <f>IFERROR(__xludf.DUMMYFUNCTION("GOOGLETRANSLATE(E79, ""en"", ""ar"")"),"يعد تسجيل شجرة العائلة أمرًا بالغ الأهمية لتتبع سلالات الدم ومنع الاحتيال ولأغراض التربية.")</f>
        <v>يعد تسجيل شجرة العائلة أمرًا بالغ الأهمية لتتبع سلالات الدم ومنع الاحتيال ولأغراض التربية.</v>
      </c>
    </row>
    <row r="80">
      <c r="A80" s="3">
        <v>79.0</v>
      </c>
      <c r="B80" s="4" t="s">
        <v>319</v>
      </c>
      <c r="C80" s="4" t="s">
        <v>320</v>
      </c>
      <c r="D80" s="4" t="s">
        <v>321</v>
      </c>
      <c r="E80" s="4" t="s">
        <v>322</v>
      </c>
      <c r="G80" s="5" t="str">
        <f>IFERROR(__xludf.DUMMYFUNCTION("GOOGLETRANSLATE(A80, ""en"", ""ar"")"),"79")</f>
        <v>79</v>
      </c>
      <c r="H80" s="5" t="str">
        <f>IFERROR(__xludf.DUMMYFUNCTION("GOOGLETRANSLATE(B80, ""en"", ""ar"")"),"ماذا يحدث إذا استمر الفارس في ضرب الجمل الذي يبدو عليه الإرهاق أو الإصابة بشكل واضح؟")</f>
        <v>ماذا يحدث إذا استمر الفارس في ضرب الجمل الذي يبدو عليه الإرهاق أو الإصابة بشكل واضح؟</v>
      </c>
      <c r="I80" s="5" t="str">
        <f>IFERROR(__xludf.DUMMYFUNCTION("GOOGLETRANSLATE(C80, ""en"", ""ar"")"),"أ) يُعتبر جزءًا من السباق؛ ب) يُشاد بالفارس على تصميمه؛ ج) يواجه الفارس عقوبات شديدة، بما في ذلك الإيقاف؛ د) يُمنح الجمل رعاية طبية بعد السباق")</f>
        <v>أ) يُعتبر جزءًا من السباق؛ ب) يُشاد بالفارس على تصميمه؛ ج) يواجه الفارس عقوبات شديدة، بما في ذلك الإيقاف؛ د) يُمنح الجمل رعاية طبية بعد السباق</v>
      </c>
      <c r="J80" s="5" t="str">
        <f>IFERROR(__xludf.DUMMYFUNCTION("GOOGLETRANSLATE(D80, ""en"", ""ar"")"),"ج) يواجه الفارس عقوبات شديدة، بما في ذلك الإيقاف.")</f>
        <v>ج) يواجه الفارس عقوبات شديدة، بما في ذلك الإيقاف.</v>
      </c>
      <c r="K80" s="5" t="str">
        <f>IFERROR(__xludf.DUMMYFUNCTION("GOOGLETRANSLATE(E80, ""en"", ""ar"")"),"إن قواعد رعاية الحيوان صارمة؛ والاستمرار في دفع جمل غير لائق يعد مخالفة خطيرة لأخلاقيات هذه الرياضة.")</f>
        <v>إن قواعد رعاية الحيوان صارمة؛ والاستمرار في دفع جمل غير لائق يعد مخالفة خطيرة لأخلاقيات هذه الرياضة.</v>
      </c>
    </row>
    <row r="81">
      <c r="A81" s="3">
        <v>80.0</v>
      </c>
      <c r="B81" s="4" t="s">
        <v>323</v>
      </c>
      <c r="C81" s="4" t="s">
        <v>324</v>
      </c>
      <c r="D81" s="4" t="s">
        <v>325</v>
      </c>
      <c r="E81" s="4" t="s">
        <v>326</v>
      </c>
      <c r="G81" s="5" t="str">
        <f>IFERROR(__xludf.DUMMYFUNCTION("GOOGLETRANSLATE(A81, ""en"", ""ar"")"),"80")</f>
        <v>80</v>
      </c>
      <c r="H81" s="5" t="str">
        <f>IFERROR(__xludf.DUMMYFUNCTION("GOOGLETRANSLATE(B81, ""en"", ""ar"")"),"هل يجوز لمالك الجمل استبدال الجمل المسجل بجمل آخر يوم السباق إذا كان الجمل الأول مريضا؟")</f>
        <v>هل يجوز لمالك الجمل استبدال الجمل المسجل بجمل آخر يوم السباق إذا كان الجمل الأول مريضا؟</v>
      </c>
      <c r="I81" s="5" t="str">
        <f>IFERROR(__xludf.DUMMYFUNCTION("GOOGLETRANSLATE(C81, ""en"", ""ar"")"),"أ) نعم، إذا كان البديل مسجلاً أيضًا؛ ب) لا، لا يُسمح بالاستبدالات؛ ج) نعم، مع ملاحظة الطبيب البيطري؛ د) فقط إذا تم ذلك قبل 24 ساعة من السباق")</f>
        <v>أ) نعم، إذا كان البديل مسجلاً أيضًا؛ ب) لا، لا يُسمح بالاستبدالات؛ ج) نعم، مع ملاحظة الطبيب البيطري؛ د) فقط إذا تم ذلك قبل 24 ساعة من السباق</v>
      </c>
      <c r="J81" s="5" t="str">
        <f>IFERROR(__xludf.DUMMYFUNCTION("GOOGLETRANSLATE(D81, ""en"", ""ar"")"),"ب) لا، لا يسمح بالاستبدالات")</f>
        <v>ب) لا، لا يسمح بالاستبدالات</v>
      </c>
      <c r="K81" s="5" t="str">
        <f>IFERROR(__xludf.DUMMYFUNCTION("GOOGLETRANSLATE(E81, ""en"", ""ar"")"),"وبمجرد تأكيد القائمة النهائية للمشاركين، لن يُسمح بإجراء أي تبديلات في اللحظة الأخيرة لضمان الرقابة التنظيمية.")</f>
        <v>وبمجرد تأكيد القائمة النهائية للمشاركين، لن يُسمح بإجراء أي تبديلات في اللحظة الأخيرة لضمان الرقابة التنظيمية.</v>
      </c>
    </row>
    <row r="82">
      <c r="A82" s="3">
        <v>81.0</v>
      </c>
      <c r="B82" s="4" t="s">
        <v>327</v>
      </c>
      <c r="C82" s="4" t="s">
        <v>328</v>
      </c>
      <c r="D82" s="4" t="s">
        <v>329</v>
      </c>
      <c r="E82" s="4" t="s">
        <v>330</v>
      </c>
      <c r="G82" s="5" t="str">
        <f>IFERROR(__xludf.DUMMYFUNCTION("GOOGLETRANSLATE(A82, ""en"", ""ar"")"),"81")</f>
        <v>81</v>
      </c>
      <c r="H82" s="5" t="str">
        <f>IFERROR(__xludf.DUMMYFUNCTION("GOOGLETRANSLATE(B82, ""en"", ""ar"")"),"ما هي القاعدة الرسمية إذا تبين أن الجمل قد تم إعطاؤه مهدئًا قبل السباق؟")</f>
        <v>ما هي القاعدة الرسمية إذا تبين أن الجمل قد تم إعطاؤه مهدئًا قبل السباق؟</v>
      </c>
      <c r="I82" s="5" t="str">
        <f>IFERROR(__xludf.DUMMYFUNCTION("GOOGLETRANSLATE(C82, ""en"", ""ar"")"),"أ) مسموح به للإبل المتوترة؛ ب) يتم استبعاد الجمل وإيقاف مالكه؛ ج) يتم دفع غرامة؛ د) يُسمح للجمل بالسباق بعد التأخير")</f>
        <v>أ) مسموح به للإبل المتوترة؛ ب) يتم استبعاد الجمل وإيقاف مالكه؛ ج) يتم دفع غرامة؛ د) يُسمح للجمل بالسباق بعد التأخير</v>
      </c>
      <c r="J82" s="5" t="str">
        <f>IFERROR(__xludf.DUMMYFUNCTION("GOOGLETRANSLATE(D82, ""en"", ""ar"")"),"ب) يتم استبعاد الجمل وإيقاف صاحبه")</f>
        <v>ب) يتم استبعاد الجمل وإيقاف صاحبه</v>
      </c>
      <c r="K82" s="5" t="str">
        <f>IFERROR(__xludf.DUMMYFUNCTION("GOOGLETRANSLATE(E82, ""en"", ""ar"")"),"يعد استخدام المهدئات أمرا غير قانوني ويعتبر شكلا خطيرا من أشكال التلاعب بالعرق وتعريض الحيوانات للخطر.")</f>
        <v>يعد استخدام المهدئات أمرا غير قانوني ويعتبر شكلا خطيرا من أشكال التلاعب بالعرق وتعريض الحيوانات للخطر.</v>
      </c>
    </row>
    <row r="83">
      <c r="A83" s="3">
        <v>82.0</v>
      </c>
      <c r="B83" s="4" t="s">
        <v>331</v>
      </c>
      <c r="C83" s="4" t="s">
        <v>332</v>
      </c>
      <c r="D83" s="4" t="s">
        <v>333</v>
      </c>
      <c r="E83" s="4" t="s">
        <v>334</v>
      </c>
      <c r="G83" s="5" t="str">
        <f>IFERROR(__xludf.DUMMYFUNCTION("GOOGLETRANSLATE(A83, ""en"", ""ar"")"),"82")</f>
        <v>82</v>
      </c>
      <c r="H83" s="5" t="str">
        <f>IFERROR(__xludf.DUMMYFUNCTION("GOOGLETRANSLATE(B83, ""en"", ""ar"")"),"كيف يتم تحديد مواقع البداية عند البوابات عادةً في السباق الرئيسي؟")</f>
        <v>كيف يتم تحديد مواقع البداية عند البوابات عادةً في السباق الرئيسي؟</v>
      </c>
      <c r="I83" s="5" t="str">
        <f>IFERROR(__xludf.DUMMYFUNCTION("GOOGLETRANSLATE(C83, ""en"", ""ar"")"),"أ) حسب عمر الجمل؛ ب) حسب سمعة المالك؛ ج) حسب نظام السحب العشوائي أو اليانصيب؛ د) حسب أوقات سباق الجمل السابقة")</f>
        <v>أ) حسب عمر الجمل؛ ب) حسب سمعة المالك؛ ج) حسب نظام السحب العشوائي أو اليانصيب؛ د) حسب أوقات سباق الجمل السابقة</v>
      </c>
      <c r="J83" s="5" t="str">
        <f>IFERROR(__xludf.DUMMYFUNCTION("GOOGLETRANSLATE(D83, ""en"", ""ar"")"),"ج) عن طريق السحب العشوائي أو نظام اليانصيب")</f>
        <v>ج) عن طريق السحب العشوائي أو نظام اليانصيب</v>
      </c>
      <c r="K83" s="5" t="str">
        <f>IFERROR(__xludf.DUMMYFUNCTION("GOOGLETRANSLATE(E83, ""en"", ""ar"")"),"ولضمان العدالة، يتم تخصيص المناصب الأولية بشكل عشوائي وليس على أساس الترتيب أو الحالة.")</f>
        <v>ولضمان العدالة، يتم تخصيص المناصب الأولية بشكل عشوائي وليس على أساس الترتيب أو الحالة.</v>
      </c>
    </row>
    <row r="84">
      <c r="A84" s="3">
        <v>83.0</v>
      </c>
      <c r="B84" s="4" t="s">
        <v>335</v>
      </c>
      <c r="C84" s="4" t="s">
        <v>336</v>
      </c>
      <c r="D84" s="4" t="s">
        <v>337</v>
      </c>
      <c r="E84" s="4" t="s">
        <v>338</v>
      </c>
      <c r="G84" s="5" t="str">
        <f>IFERROR(__xludf.DUMMYFUNCTION("GOOGLETRANSLATE(A84, ""en"", ""ar"")"),"83")</f>
        <v>83</v>
      </c>
      <c r="H84" s="5" t="str">
        <f>IFERROR(__xludf.DUMMYFUNCTION("GOOGLETRANSLATE(B84, ""en"", ""ar"")"),"ماذا يحدث إذا استخدم الفارس لغة بذيئة أو مسيئة تجاه مسؤولي السباق؟")</f>
        <v>ماذا يحدث إذا استخدم الفارس لغة بذيئة أو مسيئة تجاه مسؤولي السباق؟</v>
      </c>
      <c r="I84" s="5" t="str">
        <f>IFERROR(__xludf.DUMMYFUNCTION("GOOGLETRANSLATE(C84, ""en"", ""ar"")"),"أ) يتم توجيه تحذير شفهي؛ ب) يخضع الفارس للغرامات و/أو الإيقاف؛ ج) يتم استبعاد جمل الفارس؛ د) يتم تجاهل الحادث")</f>
        <v>أ) يتم توجيه تحذير شفهي؛ ب) يخضع الفارس للغرامات و/أو الإيقاف؛ ج) يتم استبعاد جمل الفارس؛ د) يتم تجاهل الحادث</v>
      </c>
      <c r="J84" s="5" t="str">
        <f>IFERROR(__xludf.DUMMYFUNCTION("GOOGLETRANSLATE(D84, ""en"", ""ar"")"),"ب) يخضع الفارس للغرامات و/أو الإيقاف")</f>
        <v>ب) يخضع الفارس للغرامات و/أو الإيقاف</v>
      </c>
      <c r="K84" s="5" t="str">
        <f>IFERROR(__xludf.DUMMYFUNCTION("GOOGLETRANSLATE(E84, ""en"", ""ar"")"),"يعد السلوك غير الرياضي تجاه المسؤولين جريمة خطيرة يتم معاقبتها بشكل منفصل عن أداء السباق.")</f>
        <v>يعد السلوك غير الرياضي تجاه المسؤولين جريمة خطيرة يتم معاقبتها بشكل منفصل عن أداء السباق.</v>
      </c>
    </row>
    <row r="85">
      <c r="A85" s="3">
        <v>84.0</v>
      </c>
      <c r="B85" s="4" t="s">
        <v>339</v>
      </c>
      <c r="C85" s="4" t="s">
        <v>340</v>
      </c>
      <c r="D85" s="4" t="s">
        <v>341</v>
      </c>
      <c r="E85" s="4" t="s">
        <v>342</v>
      </c>
      <c r="G85" s="5" t="str">
        <f>IFERROR(__xludf.DUMMYFUNCTION("GOOGLETRANSLATE(A85, ""en"", ""ar"")"),"84")</f>
        <v>84</v>
      </c>
      <c r="H85" s="5" t="str">
        <f>IFERROR(__xludf.DUMMYFUNCTION("GOOGLETRANSLATE(B85, ""en"", ""ar"")"),"هل هناك قواعد تحدد طول ومرونة اللجام الذي يستخدمه الفارس؟")</f>
        <v>هل هناك قواعد تحدد طول ومرونة اللجام الذي يستخدمه الفارس؟</v>
      </c>
      <c r="I85" s="5" t="str">
        <f>IFERROR(__xludf.DUMMYFUNCTION("GOOGLETRANSLATE(C85, ""en"", ""ar"")"),"أ) لا، يُسمح بأي نوع من أنواع اللجام؛ ب) نعم، يجب أن تكون اللجامات بطول ومادة قياسيين؛ ج) لا يُسمح باستخدام اللجامات؛ د) يُسمح باستخدام اللجامات الجلدية فقط")</f>
        <v>أ) لا، يُسمح بأي نوع من أنواع اللجام؛ ب) نعم، يجب أن تكون اللجامات بطول ومادة قياسيين؛ ج) لا يُسمح باستخدام اللجامات؛ د) يُسمح باستخدام اللجامات الجلدية فقط</v>
      </c>
      <c r="J85" s="5" t="str">
        <f>IFERROR(__xludf.DUMMYFUNCTION("GOOGLETRANSLATE(D85, ""en"", ""ar"")"),"ب) نعم، يجب أن تكون اللجامات بطول ومادة قياسيين")</f>
        <v>ب) نعم، يجب أن تكون اللجامات بطول ومادة قياسيين</v>
      </c>
      <c r="K85" s="5" t="str">
        <f>IFERROR(__xludf.DUMMYFUNCTION("GOOGLETRANSLATE(E85, ""en"", ""ar"")"),"تحدد لوائح المعدات نوع الأحزمة التي يمكن استخدامها لضمان سلامتها وعدم منحها ميزة غير عادلة.")</f>
        <v>تحدد لوائح المعدات نوع الأحزمة التي يمكن استخدامها لضمان سلامتها وعدم منحها ميزة غير عادلة.</v>
      </c>
    </row>
    <row r="86">
      <c r="A86" s="3">
        <v>85.0</v>
      </c>
      <c r="B86" s="4" t="s">
        <v>343</v>
      </c>
      <c r="C86" s="4" t="s">
        <v>344</v>
      </c>
      <c r="D86" s="4" t="s">
        <v>345</v>
      </c>
      <c r="E86" s="4" t="s">
        <v>346</v>
      </c>
      <c r="G86" s="5" t="str">
        <f>IFERROR(__xludf.DUMMYFUNCTION("GOOGLETRANSLATE(A86, ""en"", ""ar"")"),"85")</f>
        <v>85</v>
      </c>
      <c r="H86" s="5" t="str">
        <f>IFERROR(__xludf.DUMMYFUNCTION("GOOGLETRANSLATE(B86, ""en"", ""ar"")"),"ما هو الإجراء إذا انهار الجمل ومات على المسار أثناء السباق؟")</f>
        <v>ما هو الإجراء إذا انهار الجمل ومات على المسار أثناء السباق؟</v>
      </c>
      <c r="I86" s="5" t="str">
        <f>IFERROR(__xludf.DUMMYFUNCTION("GOOGLETRANSLATE(C86, ""en"", ""ar"")"),"أ) يستمر السباق حول الحيوان؛ ب) يتم إيقاف السباق وإلغاؤه على الفور؛ ج) يتحمل الفارس المسؤولية؛ د) يحصل المالك على تعويض")</f>
        <v>أ) يستمر السباق حول الحيوان؛ ب) يتم إيقاف السباق وإلغاؤه على الفور؛ ج) يتحمل الفارس المسؤولية؛ د) يحصل المالك على تعويض</v>
      </c>
      <c r="J86" s="5" t="str">
        <f>IFERROR(__xludf.DUMMYFUNCTION("GOOGLETRANSLATE(D86, ""en"", ""ar"")"),"ب) يتم إيقاف السباق وإلغاؤه فورًا")</f>
        <v>ب) يتم إيقاف السباق وإلغاؤه فورًا</v>
      </c>
      <c r="K86" s="5" t="str">
        <f>IFERROR(__xludf.DUMMYFUNCTION("GOOGLETRANSLATE(E86, ""en"", ""ar"")"),"في حالة وقوع حادث مميت، يتم إيقاف السباق احتراماً للحيوان ولضمان إزالة الحيوان بشكل آمن.")</f>
        <v>في حالة وقوع حادث مميت، يتم إيقاف السباق احتراماً للحيوان ولضمان إزالة الحيوان بشكل آمن.</v>
      </c>
    </row>
    <row r="87">
      <c r="A87" s="3">
        <v>86.0</v>
      </c>
      <c r="B87" s="4" t="s">
        <v>347</v>
      </c>
      <c r="C87" s="4" t="s">
        <v>348</v>
      </c>
      <c r="D87" s="4" t="s">
        <v>349</v>
      </c>
      <c r="E87" s="4" t="s">
        <v>350</v>
      </c>
      <c r="G87" s="5" t="str">
        <f>IFERROR(__xludf.DUMMYFUNCTION("GOOGLETRANSLATE(A87, ""en"", ""ar"")"),"86")</f>
        <v>86</v>
      </c>
      <c r="H87" s="5" t="str">
        <f>IFERROR(__xludf.DUMMYFUNCTION("GOOGLETRANSLATE(B87, ""en"", ""ar"")"),"هل يجوز قانونيا إجراء عملية ""تنشيط الدم"" (زيادة قدرة حمل الأكسجين) على الجمل المشارك في السباق؟")</f>
        <v>هل يجوز قانونيا إجراء عملية "تنشيط الدم" (زيادة قدرة حمل الأكسجين) على الجمل المشارك في السباق؟</v>
      </c>
      <c r="I87" s="5" t="str">
        <f>IFERROR(__xludf.DUMMYFUNCTION("GOOGLETRANSLATE(C87, ""en"", ""ar"")"),"أ) نعم، إذا تم ذلك بواسطة طبيب بيطري؛ ب) لا، إنها ممارسة محظورة تمامًا؛ ج) فقط للإبل الكبيرة في السن؛ د) لم يتم اختبارها، لذا يُسمح بها")</f>
        <v>أ) نعم، إذا تم ذلك بواسطة طبيب بيطري؛ ب) لا، إنها ممارسة محظورة تمامًا؛ ج) فقط للإبل الكبيرة في السن؛ د) لم يتم اختبارها، لذا يُسمح بها</v>
      </c>
      <c r="J87" s="5" t="str">
        <f>IFERROR(__xludf.DUMMYFUNCTION("GOOGLETRANSLATE(D87, ""en"", ""ar"")"),"ب) لا، إنها ممارسة محظورة تمامًا")</f>
        <v>ب) لا، إنها ممارسة محظورة تمامًا</v>
      </c>
      <c r="K87" s="5" t="str">
        <f>IFERROR(__xludf.DUMMYFUNCTION("GOOGLETRANSLATE(E87, ""en"", ""ar"")"),"إن تعاطي المنشطات عن طريق الدم هو أسلوب غير قانوني وغير أخلاقي لتحسين الأداء ويشكل سبباً للحظر مدى الحياة.")</f>
        <v>إن تعاطي المنشطات عن طريق الدم هو أسلوب غير قانوني وغير أخلاقي لتحسين الأداء ويشكل سبباً للحظر مدى الحياة.</v>
      </c>
    </row>
    <row r="88">
      <c r="A88" s="3">
        <v>87.0</v>
      </c>
      <c r="B88" s="4" t="s">
        <v>351</v>
      </c>
      <c r="C88" s="4" t="s">
        <v>352</v>
      </c>
      <c r="D88" s="4" t="s">
        <v>353</v>
      </c>
      <c r="E88" s="4" t="s">
        <v>354</v>
      </c>
      <c r="G88" s="5" t="str">
        <f>IFERROR(__xludf.DUMMYFUNCTION("GOOGLETRANSLATE(A88, ""en"", ""ar"")"),"87")</f>
        <v>87</v>
      </c>
      <c r="H88" s="5" t="str">
        <f>IFERROR(__xludf.DUMMYFUNCTION("GOOGLETRANSLATE(B88, ""en"", ""ar"")"),"ما هي القاعدة إذا سقط الجهاز الإلكتروني الشخصي للفارس (مثل الهاتف) على المسار أثناء السباق؟")</f>
        <v>ما هي القاعدة إذا سقط الجهاز الإلكتروني الشخصي للفارس (مثل الهاتف) على المسار أثناء السباق؟</v>
      </c>
      <c r="I88" s="5" t="str">
        <f>IFERROR(__xludf.DUMMYFUNCTION("GOOGLETRANSLATE(C88, ""en"", ""ar"")"),"أ) يتم إيقاف السباق لاستعادته؛ ب) يتم تجاهله ويستمر السباق؛ ج) يتم استبعاد الفارس لحمله؛ د) يتم إصدار غرامة بعد السباق")</f>
        <v>أ) يتم إيقاف السباق لاستعادته؛ ب) يتم تجاهله ويستمر السباق؛ ج) يتم استبعاد الفارس لحمله؛ د) يتم إصدار غرامة بعد السباق</v>
      </c>
      <c r="J88" s="5" t="str">
        <f>IFERROR(__xludf.DUMMYFUNCTION("GOOGLETRANSLATE(D88, ""en"", ""ar"")"),"ج) يُمنع الفارس من حملها")</f>
        <v>ج) يُمنع الفارس من حملها</v>
      </c>
      <c r="K88" s="5" t="str">
        <f>IFERROR(__xludf.DUMMYFUNCTION("GOOGLETRANSLATE(E88, ""en"", ""ar"")"),"يُمنع عادةً الفرسان من حمل الأجهزة الإلكترونية الشخصية أثناء السباق لمنع الغش.")</f>
        <v>يُمنع عادةً الفرسان من حمل الأجهزة الإلكترونية الشخصية أثناء السباق لمنع الغش.</v>
      </c>
    </row>
    <row r="89">
      <c r="A89" s="3">
        <v>88.0</v>
      </c>
      <c r="B89" s="4" t="s">
        <v>355</v>
      </c>
      <c r="C89" s="4" t="s">
        <v>356</v>
      </c>
      <c r="D89" s="4" t="s">
        <v>357</v>
      </c>
      <c r="E89" s="4" t="s">
        <v>358</v>
      </c>
      <c r="G89" s="5" t="str">
        <f>IFERROR(__xludf.DUMMYFUNCTION("GOOGLETRANSLATE(A89, ""en"", ""ar"")"),"88")</f>
        <v>88</v>
      </c>
      <c r="H89" s="5" t="str">
        <f>IFERROR(__xludf.DUMMYFUNCTION("GOOGLETRANSLATE(B89, ""en"", ""ar"")"),"هل يمكن إجراء سباق في الاتجاه المعاكس للمسار؟")</f>
        <v>هل يمكن إجراء سباق في الاتجاه المعاكس للمسار؟</v>
      </c>
      <c r="I89" s="5" t="str">
        <f>IFERROR(__xludf.DUMMYFUNCTION("GOOGLETRANSLATE(C89, ""en"", ""ar"")"),"أ) نعم، إذا وافق جميع الملاك؛ ب) لا، تُجرى السباقات دائمًا في اتجاه موحد؛ ج) فقط للسباقات الاحتفالية؛ د) فقط إذا كان المسار دائريًا")</f>
        <v>أ) نعم، إذا وافق جميع الملاك؛ ب) لا، تُجرى السباقات دائمًا في اتجاه موحد؛ ج) فقط للسباقات الاحتفالية؛ د) فقط إذا كان المسار دائريًا</v>
      </c>
      <c r="J89" s="5" t="str">
        <f>IFERROR(__xludf.DUMMYFUNCTION("GOOGLETRANSLATE(D89, ""en"", ""ar"")"),"ب) لا، يتم إجراء السباقات دائمًا في اتجاه موحد")</f>
        <v>ب) لا، يتم إجراء السباقات دائمًا في اتجاه موحد</v>
      </c>
      <c r="K89" s="5" t="str">
        <f>IFERROR(__xludf.DUMMYFUNCTION("GOOGLETRANSLATE(E89, ""en"", ""ar"")"),"من أجل تحقيق الاتساق والسلامة، يتم إجراء جميع السباقات الرسمية على مسار معين في نفس الاتجاه (عادةً عكس اتجاه عقارب الساعة).")</f>
        <v>من أجل تحقيق الاتساق والسلامة، يتم إجراء جميع السباقات الرسمية على مسار معين في نفس الاتجاه (عادةً عكس اتجاه عقارب الساعة).</v>
      </c>
    </row>
    <row r="90">
      <c r="A90" s="3">
        <v>89.0</v>
      </c>
      <c r="B90" s="4" t="s">
        <v>359</v>
      </c>
      <c r="C90" s="4" t="s">
        <v>360</v>
      </c>
      <c r="D90" s="4" t="s">
        <v>361</v>
      </c>
      <c r="E90" s="4" t="s">
        <v>362</v>
      </c>
      <c r="G90" s="5" t="str">
        <f>IFERROR(__xludf.DUMMYFUNCTION("GOOGLETRANSLATE(A90, ""en"", ""ar"")"),"89")</f>
        <v>89</v>
      </c>
      <c r="H90" s="5" t="str">
        <f>IFERROR(__xludf.DUMMYFUNCTION("GOOGLETRANSLATE(B90, ""en"", ""ar"")"),"ما هي عقوبة المالك الذي يدخل عمداً جملاً عمره 4 سنوات في سباق للجمال بعمر 3 سنوات؟")</f>
        <v>ما هي عقوبة المالك الذي يدخل عمداً جملاً عمره 4 سنوات في سباق للجمال بعمر 3 سنوات؟</v>
      </c>
      <c r="I90" s="5" t="str">
        <f>IFERROR(__xludf.DUMMYFUNCTION("GOOGLETRANSLATE(C90, ""en"", ""ar"")"),"أ) يتم نقل الجمل إلى السباق الصحيح؛ ب) يتم إعطاء المالك تحذيرًا؛ ج) الاستبعاد والحظر بسبب الدخول الاحتيالي؛ د) يتم تطبيق الإعاقة على الجمل")</f>
        <v>أ) يتم نقل الجمل إلى السباق الصحيح؛ ب) يتم إعطاء المالك تحذيرًا؛ ج) الاستبعاد والحظر بسبب الدخول الاحتيالي؛ د) يتم تطبيق الإعاقة على الجمل</v>
      </c>
      <c r="J90" s="5" t="str">
        <f>IFERROR(__xludf.DUMMYFUNCTION("GOOGLETRANSLATE(D90, ""en"", ""ar"")"),"ج) الاستبعاد والحظر بسبب الدخول الاحتيالي")</f>
        <v>ج) الاستبعاد والحظر بسبب الدخول الاحتيالي</v>
      </c>
      <c r="K90" s="5" t="str">
        <f>IFERROR(__xludf.DUMMYFUNCTION("GOOGLETRANSLATE(E90, ""en"", ""ar"")"),"إن تقديم معلومات خاطئة عن عمر الجمل يعد عملاً احتيالياً خطيراً ويعاقب عليه بعقوبات شديدة.")</f>
        <v>إن تقديم معلومات خاطئة عن عمر الجمل يعد عملاً احتيالياً خطيراً ويعاقب عليه بعقوبات شديدة.</v>
      </c>
    </row>
    <row r="91">
      <c r="A91" s="3">
        <v>90.0</v>
      </c>
      <c r="B91" s="4" t="s">
        <v>363</v>
      </c>
      <c r="C91" s="4" t="s">
        <v>364</v>
      </c>
      <c r="D91" s="4" t="s">
        <v>365</v>
      </c>
      <c r="E91" s="4" t="s">
        <v>366</v>
      </c>
      <c r="G91" s="5" t="str">
        <f>IFERROR(__xludf.DUMMYFUNCTION("GOOGLETRANSLATE(A91, ""en"", ""ar"")"),"90")</f>
        <v>90</v>
      </c>
      <c r="H91" s="5" t="str">
        <f>IFERROR(__xludf.DUMMYFUNCTION("GOOGLETRANSLATE(B91, ""en"", ""ar"")"),"هل هناك قواعد بشأن عملية التهدئة بعد السباق بالنسبة للجمال؟")</f>
        <v>هل هناك قواعد بشأن عملية التهدئة بعد السباق بالنسبة للجمال؟</v>
      </c>
      <c r="I91" s="5" t="str">
        <f>IFERROR(__xludf.DUMMYFUNCTION("GOOGLETRANSLATE(C91, ""en"", ""ar"")"),"أ) لا، الأمر متروك للمالك؛ ب) نعم، يجب مراعاة فترة تبريد إلزامية؛ ج) يتم وضع الجمال على الفور في المقطورات؛ د) يتم تبريدها فقط إذا بدت متعبة")</f>
        <v>أ) لا، الأمر متروك للمالك؛ ب) نعم، يجب مراعاة فترة تبريد إلزامية؛ ج) يتم وضع الجمال على الفور في المقطورات؛ د) يتم تبريدها فقط إذا بدت متعبة</v>
      </c>
      <c r="J91" s="5" t="str">
        <f>IFERROR(__xludf.DUMMYFUNCTION("GOOGLETRANSLATE(D91, ""en"", ""ar"")"),"ب) نعم، يجب مراعاة فترة التهدئة الإلزامية")</f>
        <v>ب) نعم، يجب مراعاة فترة التهدئة الإلزامية</v>
      </c>
      <c r="K91" s="5" t="str">
        <f>IFERROR(__xludf.DUMMYFUNCTION("GOOGLETRANSLATE(E91, ""en"", ""ar"")"),"ولضمان رعاية الحيوان، غالباً ما تشترط اللوائح على أصحاب الجمال أن يسيروا بشكل صحيح ويبردوا جمالهم بعد السباق.")</f>
        <v>ولضمان رعاية الحيوان، غالباً ما تشترط اللوائح على أصحاب الجمال أن يسيروا بشكل صحيح ويبردوا جمالهم بعد السباق.</v>
      </c>
    </row>
    <row r="92">
      <c r="A92" s="3">
        <v>91.0</v>
      </c>
      <c r="B92" s="4" t="s">
        <v>367</v>
      </c>
      <c r="C92" s="4" t="s">
        <v>368</v>
      </c>
      <c r="D92" s="4" t="s">
        <v>369</v>
      </c>
      <c r="E92" s="4" t="s">
        <v>370</v>
      </c>
      <c r="G92" s="5" t="str">
        <f>IFERROR(__xludf.DUMMYFUNCTION("GOOGLETRANSLATE(A92, ""en"", ""ar"")"),"91")</f>
        <v>91</v>
      </c>
      <c r="H92" s="5" t="str">
        <f>IFERROR(__xludf.DUMMYFUNCTION("GOOGLETRANSLATE(B92, ""en"", ""ar"")"),"ماذا يحدث إذا تحطمت طائرة بدون طيار تستخدم لبث السباق على المسار أثناء السباق؟")</f>
        <v>ماذا يحدث إذا تحطمت طائرة بدون طيار تستخدم لبث السباق على المسار أثناء السباق؟</v>
      </c>
      <c r="I92" s="5" t="str">
        <f>IFERROR(__xludf.DUMMYFUNCTION("GOOGLETRANSLATE(C92, ""en"", ""ar"")"),"أ) يستمر السباق؛ ب) يتوقف السباق على الفور ويُعاد إجراؤه؛ ج) يفوز الجمل الأخير الذي يتجاوز الطائرة بدون طيار؛ د) يجب على الفرسان تجنب الطائرة بدون طيار")</f>
        <v>أ) يستمر السباق؛ ب) يتوقف السباق على الفور ويُعاد إجراؤه؛ ج) يفوز الجمل الأخير الذي يتجاوز الطائرة بدون طيار؛ د) يجب على الفرسان تجنب الطائرة بدون طيار</v>
      </c>
      <c r="J92" s="5" t="str">
        <f>IFERROR(__xludf.DUMMYFUNCTION("GOOGLETRANSLATE(D92, ""en"", ""ar"")"),"ب) يتم إيقاف السباق فورًا وسيتم إعادته مرة أخرى")</f>
        <v>ب) يتم إيقاف السباق فورًا وسيتم إعادته مرة أخرى</v>
      </c>
      <c r="K92" s="5" t="str">
        <f>IFERROR(__xludf.DUMMYFUNCTION("GOOGLETRANSLATE(E92, ""en"", ""ar"")"),"في حالة سقوط جسم خارجي على المسار يشكل خطرًا أو يتعارض مع السباق، فإنه يستلزم التوقف وإعادة السباق.")</f>
        <v>في حالة سقوط جسم خارجي على المسار يشكل خطرًا أو يتعارض مع السباق، فإنه يستلزم التوقف وإعادة السباق.</v>
      </c>
    </row>
    <row r="93">
      <c r="A93" s="3">
        <v>92.0</v>
      </c>
      <c r="B93" s="4" t="s">
        <v>371</v>
      </c>
      <c r="C93" s="4" t="s">
        <v>372</v>
      </c>
      <c r="D93" s="4" t="s">
        <v>373</v>
      </c>
      <c r="E93" s="4" t="s">
        <v>374</v>
      </c>
      <c r="G93" s="5" t="str">
        <f>IFERROR(__xludf.DUMMYFUNCTION("GOOGLETRANSLATE(A93, ""en"", ""ar"")"),"92")</f>
        <v>92</v>
      </c>
      <c r="H93" s="5" t="str">
        <f>IFERROR(__xludf.DUMMYFUNCTION("GOOGLETRANSLATE(B93, ""en"", ""ar"")"),"هل يجوز للفارس أن يمسك بسرج فارس آخر لتحقيق التوازن؟")</f>
        <v>هل يجوز للفارس أن يمسك بسرج فارس آخر لتحقيق التوازن؟</v>
      </c>
      <c r="I93" s="5" t="str">
        <f>IFERROR(__xludf.DUMMYFUNCTION("GOOGLETRANSLATE(C93, ""en"", ""ar"")"),"أ) نعم، إذا كان ذلك عرضيًا؛ ب) لا، هذا سبب للاستبعاد الفوري؛ ج) لبضع ثوانٍ فقط؛ د) يتم إصدار تحذير")</f>
        <v>أ) نعم، إذا كان ذلك عرضيًا؛ ب) لا، هذا سبب للاستبعاد الفوري؛ ج) لبضع ثوانٍ فقط؛ د) يتم إصدار تحذير</v>
      </c>
      <c r="J93" s="5" t="str">
        <f>IFERROR(__xludf.DUMMYFUNCTION("GOOGLETRANSLATE(D93, ""en"", ""ar"")"),"ب) لا، هذا سبب للاستبعاد الفوري")</f>
        <v>ب) لا، هذا سبب للاستبعاد الفوري</v>
      </c>
      <c r="K93" s="5" t="str">
        <f>IFERROR(__xludf.DUMMYFUNCTION("GOOGLETRANSLATE(E93, ""en"", ""ar"")"),"يعد الاتصال الجسدي مع منافس آخر أو معداته شكلاً خطيرًا من أشكال التدخل.")</f>
        <v>يعد الاتصال الجسدي مع منافس آخر أو معداته شكلاً خطيرًا من أشكال التدخل.</v>
      </c>
    </row>
    <row r="94">
      <c r="A94" s="3">
        <v>93.0</v>
      </c>
      <c r="B94" s="4" t="s">
        <v>375</v>
      </c>
      <c r="C94" s="4" t="s">
        <v>376</v>
      </c>
      <c r="D94" s="4" t="s">
        <v>377</v>
      </c>
      <c r="E94" s="4" t="s">
        <v>378</v>
      </c>
      <c r="G94" s="5" t="str">
        <f>IFERROR(__xludf.DUMMYFUNCTION("GOOGLETRANSLATE(A94, ""en"", ""ar"")"),"93")</f>
        <v>93</v>
      </c>
      <c r="H94" s="5" t="str">
        <f>IFERROR(__xludf.DUMMYFUNCTION("GOOGLETRANSLATE(B94, ""en"", ""ar"")"),"ما هو البروتوكول الرسمي للفارس الذي يرغب في سحب جمله من السباق بعد دخوله إلى الحظيرة؟")</f>
        <v>ما هو البروتوكول الرسمي للفارس الذي يرغب في سحب جمله من السباق بعد دخوله إلى الحظيرة؟</v>
      </c>
      <c r="I94" s="5" t="str">
        <f>IFERROR(__xludf.DUMMYFUNCTION("GOOGLETRANSLATE(C94, ""en"", ""ar"")"),"أ) يمكنهم المغادرة في أي وقت؛ ب) يجب عليهم الحصول على إذن من كبير المنسقين؛ ج) يتنازلون عن رسوم التسجيل الخاصة بهم ولكن لا يواجهون أي عقوبة أخرى؛ د) يتم منعهم من السباق التالي")</f>
        <v>أ) يمكنهم المغادرة في أي وقت؛ ب) يجب عليهم الحصول على إذن من كبير المنسقين؛ ج) يتنازلون عن رسوم التسجيل الخاصة بهم ولكن لا يواجهون أي عقوبة أخرى؛ د) يتم منعهم من السباق التالي</v>
      </c>
      <c r="J94" s="5" t="str">
        <f>IFERROR(__xludf.DUMMYFUNCTION("GOOGLETRANSLATE(D94, ""en"", ""ar"")"),"ب) يجب عليهم الحصول على إذن من كبير الخدم")</f>
        <v>ب) يجب عليهم الحصول على إذن من كبير الخدم</v>
      </c>
      <c r="K94" s="5" t="str">
        <f>IFERROR(__xludf.DUMMYFUNCTION("GOOGLETRANSLATE(E94, ""en"", ""ar"")"),"بمجرد دخول الجمل إلى حظيرة السباق، لا يجوز سحبه دون سبب وجيه (مثل الإصابة) معتمد من قبل المسؤولين.")</f>
        <v>بمجرد دخول الجمل إلى حظيرة السباق، لا يجوز سحبه دون سبب وجيه (مثل الإصابة) معتمد من قبل المسؤولين.</v>
      </c>
    </row>
    <row r="95">
      <c r="A95" s="3">
        <v>94.0</v>
      </c>
      <c r="B95" s="4" t="s">
        <v>379</v>
      </c>
      <c r="C95" s="4" t="s">
        <v>380</v>
      </c>
      <c r="D95" s="4" t="s">
        <v>381</v>
      </c>
      <c r="E95" s="4" t="s">
        <v>382</v>
      </c>
      <c r="G95" s="5" t="str">
        <f>IFERROR(__xludf.DUMMYFUNCTION("GOOGLETRANSLATE(A95, ""en"", ""ar"")"),"94")</f>
        <v>94</v>
      </c>
      <c r="H95" s="5" t="str">
        <f>IFERROR(__xludf.DUMMYFUNCTION("GOOGLETRANSLATE(B95, ""en"", ""ar"")"),"هل هناك قواعد بشأن نوع الرمل أو التربة المستخدمة في سطح المسار؟")</f>
        <v>هل هناك قواعد بشأن نوع الرمل أو التربة المستخدمة في سطح المسار؟</v>
      </c>
      <c r="I95" s="5" t="str">
        <f>IFERROR(__xludf.DUMMYFUNCTION("GOOGLETRANSLATE(C95, ""en"", ""ar"")"),"أ) لا، أي نوع من الرمال مقبول؛ ب) نعم، يجب أن يكون الرمل بعمق وتركيب محددين؛ ج) عادة ما يكون المسار مصنوعًا من التراب وليس الرمل؛ د) يصوت الملاك على نوع السطح")</f>
        <v>أ) لا، أي نوع من الرمال مقبول؛ ب) نعم، يجب أن يكون الرمل بعمق وتركيب محددين؛ ج) عادة ما يكون المسار مصنوعًا من التراب وليس الرمل؛ د) يصوت الملاك على نوع السطح</v>
      </c>
      <c r="J95" s="5" t="str">
        <f>IFERROR(__xludf.DUMMYFUNCTION("GOOGLETRANSLATE(D95, ""en"", ""ar"")"),"ب) نعم يجب أن تكون الرمال ذات عمق وتركيب محددين")</f>
        <v>ب) نعم يجب أن تكون الرمال ذات عمق وتركيب محددين</v>
      </c>
      <c r="K95" s="5" t="str">
        <f>IFERROR(__xludf.DUMMYFUNCTION("GOOGLETRANSLATE(E95, ""en"", ""ar"")"),"ولضمان السلامة والاتساق، تقوم الاتحادات بتنظيم سطح المضمار لمنعه من أن يكون عميقًا جدًا أو صلبًا جدًا.")</f>
        <v>ولضمان السلامة والاتساق، تقوم الاتحادات بتنظيم سطح المضمار لمنعه من أن يكون عميقًا جدًا أو صلبًا جدًا.</v>
      </c>
    </row>
    <row r="96">
      <c r="A96" s="3">
        <v>95.0</v>
      </c>
      <c r="B96" s="4" t="s">
        <v>383</v>
      </c>
      <c r="C96" s="4" t="s">
        <v>384</v>
      </c>
      <c r="D96" s="4" t="s">
        <v>385</v>
      </c>
      <c r="E96" s="4" t="s">
        <v>386</v>
      </c>
      <c r="G96" s="5" t="str">
        <f>IFERROR(__xludf.DUMMYFUNCTION("GOOGLETRANSLATE(A96, ""en"", ""ar"")"),"95")</f>
        <v>95</v>
      </c>
      <c r="H96" s="5" t="str">
        <f>IFERROR(__xludf.DUMMYFUNCTION("GOOGLETRANSLATE(B96, ""en"", ""ar"")"),"إذا فاز الجمل في السباق، فهل يجب عليه تقديم عينة من البول أو الدم للتحليل؟")</f>
        <v>إذا فاز الجمل في السباق، فهل يجب عليه تقديم عينة من البول أو الدم للتحليل؟</v>
      </c>
      <c r="I96" s="5" t="str">
        <f>IFERROR(__xludf.DUMMYFUNCTION("GOOGLETRANSLATE(C96, ""en"", ""ar"")"),"أ) نعم، يتم اختبار الفائزين دائمًا؛ ب) لا، الاختبار عشوائي تمامًا؛ ج) فقط إذا كان الجمل يبدو مشبوهًا؛ د) يتم اختبار المتسابقين الثلاثة الأوائل فقط")</f>
        <v>أ) نعم، يتم اختبار الفائزين دائمًا؛ ب) لا، الاختبار عشوائي تمامًا؛ ج) فقط إذا كان الجمل يبدو مشبوهًا؛ د) يتم اختبار المتسابقين الثلاثة الأوائل فقط</v>
      </c>
      <c r="J96" s="5" t="str">
        <f>IFERROR(__xludf.DUMMYFUNCTION("GOOGLETRANSLATE(D96, ""en"", ""ar"")"),"أ) نعم، يتم اختبار الفائزين دائمًا")</f>
        <v>أ) نعم، يتم اختبار الفائزين دائمًا</v>
      </c>
      <c r="K96" s="5" t="str">
        <f>IFERROR(__xludf.DUMMYFUNCTION("GOOGLETRANSLATE(E96, ""en"", ""ar"")"),"من الإجراءات القياسية أن يخضع الفائز (وغالباً المتسابقون الآخرون الذين أنهوا السباق في المراكز الأولى) في كل سباق لاختبارات المنشطات الإلزامية.")</f>
        <v>من الإجراءات القياسية أن يخضع الفائز (وغالباً المتسابقون الآخرون الذين أنهوا السباق في المراكز الأولى) في كل سباق لاختبارات المنشطات الإلزامية.</v>
      </c>
    </row>
    <row r="97">
      <c r="A97" s="3">
        <v>96.0</v>
      </c>
      <c r="B97" s="4" t="s">
        <v>387</v>
      </c>
      <c r="C97" s="4" t="s">
        <v>388</v>
      </c>
      <c r="D97" s="4" t="s">
        <v>389</v>
      </c>
      <c r="E97" s="4" t="s">
        <v>390</v>
      </c>
      <c r="G97" s="5" t="str">
        <f>IFERROR(__xludf.DUMMYFUNCTION("GOOGLETRANSLATE(A97, ""en"", ""ar"")"),"96")</f>
        <v>96</v>
      </c>
      <c r="H97" s="5" t="str">
        <f>IFERROR(__xludf.DUMMYFUNCTION("GOOGLETRANSLATE(B97, ""en"", ""ar"")"),"ما حكم الإبل التي لا ترى في عين واحدة؟")</f>
        <v>ما حكم الإبل التي لا ترى في عين واحدة؟</v>
      </c>
      <c r="I97" s="5" t="str">
        <f>IFERROR(__xludf.DUMMYFUNCTION("GOOGLETRANSLATE(C97, ""en"", ""ar"")"),"أ) لا يجوز له السباق؛ ب) يجوز له ذلك إذا اجتاز الفحص البيطري؛ ج) لا يجوز له السباق إلا على المسارات المستقيمة؛ د) يجب أن يرتدي معدات حماية خاصة")</f>
        <v>أ) لا يجوز له السباق؛ ب) يجوز له ذلك إذا اجتاز الفحص البيطري؛ ج) لا يجوز له السباق إلا على المسارات المستقيمة؛ د) يجب أن يرتدي معدات حماية خاصة</v>
      </c>
      <c r="J97" s="5" t="str">
        <f>IFERROR(__xludf.DUMMYFUNCTION("GOOGLETRANSLATE(D97, ""en"", ""ar"")"),"ب) يجوز ذلك إذا اجتاز الفحص البيطري.")</f>
        <v>ب) يجوز ذلك إذا اجتاز الفحص البيطري.</v>
      </c>
      <c r="K97" s="5" t="str">
        <f>IFERROR(__xludf.DUMMYFUNCTION("GOOGLETRANSLATE(E97, ""en"", ""ar"")"),"لا تؤدي الإعاقة الجسدية إلى استبعاد الجمل تلقائيًا، بشرط أن يؤكد الطبيب البيطري أنه من الآمن للجمل والآخرين المشاركة في السباق.")</f>
        <v>لا تؤدي الإعاقة الجسدية إلى استبعاد الجمل تلقائيًا، بشرط أن يؤكد الطبيب البيطري أنه من الآمن للجمل والآخرين المشاركة في السباق.</v>
      </c>
    </row>
    <row r="98">
      <c r="A98" s="3">
        <v>97.0</v>
      </c>
      <c r="B98" s="4" t="s">
        <v>391</v>
      </c>
      <c r="C98" s="4" t="s">
        <v>392</v>
      </c>
      <c r="D98" s="4" t="s">
        <v>393</v>
      </c>
      <c r="E98" s="4" t="s">
        <v>394</v>
      </c>
      <c r="G98" s="5" t="str">
        <f>IFERROR(__xludf.DUMMYFUNCTION("GOOGLETRANSLATE(A98, ""en"", ""ar"")"),"97")</f>
        <v>97</v>
      </c>
      <c r="H98" s="5" t="str">
        <f>IFERROR(__xludf.DUMMYFUNCTION("GOOGLETRANSLATE(B98, ""en"", ""ar"")"),"هل يجوز لمالك الخيل أن يقدم احتجاجا بسبب الصراخ المفرط من قبل فارس آخر؟")</f>
        <v>هل يجوز لمالك الخيل أن يقدم احتجاجا بسبب الصراخ المفرط من قبل فارس آخر؟</v>
      </c>
      <c r="I98" s="5" t="str">
        <f>IFERROR(__xludf.DUMMYFUNCTION("GOOGLETRANSLATE(C98, ""en"", ""ar"")"),"أ) لا، لا يُنظَّم الصراخ؛ ب) نعم، إذا اعتُبر أنه قد شتَّت انتباه جملهم؛ ج) فقط إذا كان الصراخ يتضمن إهانات؛ د) فقط إذا حدث عند بوابة البداية")</f>
        <v>أ) لا، لا يُنظَّم الصراخ؛ ب) نعم، إذا اعتُبر أنه قد شتَّت انتباه جملهم؛ ج) فقط إذا كان الصراخ يتضمن إهانات؛ د) فقط إذا حدث عند بوابة البداية</v>
      </c>
      <c r="J98" s="5" t="str">
        <f>IFERROR(__xludf.DUMMYFUNCTION("GOOGLETRANSLATE(D98, ""en"", ""ar"")"),"ب) نعم، إذا ثبت أنه قد صرف نظرهم عن الجمل.")</f>
        <v>ب) نعم، إذا ثبت أنه قد صرف نظرهم عن الجمل.</v>
      </c>
      <c r="K98" s="5" t="str">
        <f>IFERROR(__xludf.DUMMYFUNCTION("GOOGLETRANSLATE(E98, ""en"", ""ar"")"),"على الرغم من أن الأوامر الصوتية مسموح بها، إلا أنه يمكن تقديم احتجاج إذا كان الصراخ موجهًا عمدًا للتأثير بشكل غير عادل على منافس آخر.")</f>
        <v>على الرغم من أن الأوامر الصوتية مسموح بها، إلا أنه يمكن تقديم احتجاج إذا كان الصراخ موجهًا عمدًا للتأثير بشكل غير عادل على منافس آخر.</v>
      </c>
    </row>
    <row r="99">
      <c r="A99" s="3">
        <v>98.0</v>
      </c>
      <c r="B99" s="4" t="s">
        <v>395</v>
      </c>
      <c r="C99" s="4" t="s">
        <v>396</v>
      </c>
      <c r="D99" s="4" t="s">
        <v>397</v>
      </c>
      <c r="E99" s="4" t="s">
        <v>398</v>
      </c>
      <c r="G99" s="5" t="str">
        <f>IFERROR(__xludf.DUMMYFUNCTION("GOOGLETRANSLATE(A99, ""en"", ""ar"")"),"98")</f>
        <v>98</v>
      </c>
      <c r="H99" s="5" t="str">
        <f>IFERROR(__xludf.DUMMYFUNCTION("GOOGLETRANSLATE(B99, ""en"", ""ar"")"),"ما هي عقوبة إزالة الشريحة الإلكترونية من الجمل؟")</f>
        <v>ما هي عقوبة إزالة الشريحة الإلكترونية من الجمل؟</v>
      </c>
      <c r="I99" s="5" t="str">
        <f>IFERROR(__xludf.DUMMYFUNCTION("GOOGLETRANSLATE(C99, ""en"", ""ar"")"),"أ) غرامة؛ ب) حظر لمدة عام للجمل؛ ج) حظر مدى الحياة للمالك والجمل؛ د) لا عقوبة في حالة إدخال عقوبة جديدة")</f>
        <v>أ) غرامة؛ ب) حظر لمدة عام للجمل؛ ج) حظر مدى الحياة للمالك والجمل؛ د) لا عقوبة في حالة إدخال عقوبة جديدة</v>
      </c>
      <c r="J99" s="5" t="str">
        <f>IFERROR(__xludf.DUMMYFUNCTION("GOOGLETRANSLATE(D99, ""en"", ""ar"")"),"ج) حظر مدى الحياة على المالك والجمل")</f>
        <v>ج) حظر مدى الحياة على المالك والجمل</v>
      </c>
      <c r="K99" s="5" t="str">
        <f>IFERROR(__xludf.DUMMYFUNCTION("GOOGLETRANSLATE(E99, ""en"", ""ar"")"),"يعد التلاعب بالهوية الرسمية أخطر أشكال الاحتيال ويؤدي إلى الحظر الدائم من ممارسة هذه الرياضة.")</f>
        <v>يعد التلاعب بالهوية الرسمية أخطر أشكال الاحتيال ويؤدي إلى الحظر الدائم من ممارسة هذه الرياضة.</v>
      </c>
    </row>
    <row r="100">
      <c r="A100" s="3">
        <v>99.0</v>
      </c>
      <c r="B100" s="4" t="s">
        <v>399</v>
      </c>
      <c r="C100" s="4" t="s">
        <v>400</v>
      </c>
      <c r="D100" s="4" t="s">
        <v>401</v>
      </c>
      <c r="E100" s="4" t="s">
        <v>402</v>
      </c>
      <c r="G100" s="5" t="str">
        <f>IFERROR(__xludf.DUMMYFUNCTION("GOOGLETRANSLATE(A100, ""en"", ""ar"")"),"99")</f>
        <v>99</v>
      </c>
      <c r="H100" s="5" t="str">
        <f>IFERROR(__xludf.DUMMYFUNCTION("GOOGLETRANSLATE(B100, ""en"", ""ar"")"),"هل هناك حدود زمنية لإكمال السباق؟")</f>
        <v>هل هناك حدود زمنية لإكمال السباق؟</v>
      </c>
      <c r="I100" s="5" t="str">
        <f>IFERROR(__xludf.DUMMYFUNCTION("GOOGLETRANSLATE(C100, ""en"", ""ar"")"),"أ) نعم، يتم إيقاف أي جمل بطيء جدًا؛ ب) لا، يُسمح لجميع الإبل بإنهاء السباق؛ ج) فقط في سباقات التحمل؛ د) فقط للإبل الصغيرة")</f>
        <v>أ) نعم، يتم إيقاف أي جمل بطيء جدًا؛ ب) لا، يُسمح لجميع الإبل بإنهاء السباق؛ ج) فقط في سباقات التحمل؛ د) فقط للإبل الصغيرة</v>
      </c>
      <c r="J100" s="5" t="str">
        <f>IFERROR(__xludf.DUMMYFUNCTION("GOOGLETRANSLATE(D100, ""en"", ""ar"")"),"ب) لا، يُسمح لجميع الإبل بإنهاء السباق.")</f>
        <v>ب) لا، يُسمح لجميع الإبل بإنهاء السباق.</v>
      </c>
      <c r="K100" s="5" t="str">
        <f>IFERROR(__xludf.DUMMYFUNCTION("GOOGLETRANSLATE(E100, ""en"", ""ar"")"),"في سباقات السرعة، يُسمح عادةً لجميع المشاركين الذين يبدأون بإكمال المسار، بغض النظر عن وقتهم.")</f>
        <v>في سباقات السرعة، يُسمح عادةً لجميع المشاركين الذين يبدأون بإكمال المسار، بغض النظر عن وقتهم.</v>
      </c>
    </row>
    <row r="101">
      <c r="A101" s="3">
        <v>100.0</v>
      </c>
      <c r="B101" s="4" t="s">
        <v>403</v>
      </c>
      <c r="C101" s="4" t="s">
        <v>404</v>
      </c>
      <c r="D101" s="4" t="s">
        <v>405</v>
      </c>
      <c r="E101" s="4" t="s">
        <v>406</v>
      </c>
      <c r="G101" s="5" t="str">
        <f>IFERROR(__xludf.DUMMYFUNCTION("GOOGLETRANSLATE(A101, ""en"", ""ar"")"),"100")</f>
        <v>100</v>
      </c>
      <c r="H101" s="5" t="str">
        <f>IFERROR(__xludf.DUMMYFUNCTION("GOOGLETRANSLATE(B101, ""en"", ""ar"")"),"ما هي القاعدة إذا وجد الفارس في حالة سُكر قبل السباق؟")</f>
        <v>ما هي القاعدة إذا وجد الفارس في حالة سُكر قبل السباق؟</v>
      </c>
      <c r="I101" s="5" t="str">
        <f>IFERROR(__xludf.DUMMYFUNCTION("GOOGLETRANSLATE(C101, ""en"", ""ar"")"),"أ) يُسمح لهم بالسباق إذا شعروا أنهم بخير؛ ب) يتم استبدالهم على الفور بفارس بديل؛ ج) يتم إخراجهم ويتم استبعاد جملهم؛ د) يتم تغريمهم ولكن يُسمح لهم بالسباق")</f>
        <v>أ) يُسمح لهم بالسباق إذا شعروا أنهم بخير؛ ب) يتم استبدالهم على الفور بفارس بديل؛ ج) يتم إخراجهم ويتم استبعاد جملهم؛ د) يتم تغريمهم ولكن يُسمح لهم بالسباق</v>
      </c>
      <c r="J101" s="5" t="str">
        <f>IFERROR(__xludf.DUMMYFUNCTION("GOOGLETRANSLATE(D101, ""en"", ""ar"")"),"ج) يتم إبعادهم واستبعاد جملهم")</f>
        <v>ج) يتم إبعادهم واستبعاد جملهم</v>
      </c>
      <c r="K101" s="5" t="str">
        <f>IFERROR(__xludf.DUMMYFUNCTION("GOOGLETRANSLATE(E101, ""en"", ""ar"")"),"يجب على الفرسان اجتياز اختبارات الرصانة؛ فالسباق تحت تأثير الكحوليات يعد انتهاكًا رئيسيًا للسلامة ويؤدي إلى الاستبعاد.")</f>
        <v>يجب على الفرسان اجتياز اختبارات الرصانة؛ فالسباق تحت تأثير الكحوليات يعد انتهاكًا رئيسيًا للسلامة ويؤدي إلى الاستبعاد.</v>
      </c>
    </row>
    <row r="102">
      <c r="A102" s="3">
        <v>101.0</v>
      </c>
      <c r="B102" s="4" t="s">
        <v>407</v>
      </c>
      <c r="C102" s="4" t="s">
        <v>408</v>
      </c>
      <c r="D102" s="4" t="s">
        <v>409</v>
      </c>
      <c r="E102" s="4" t="s">
        <v>410</v>
      </c>
      <c r="G102" s="5" t="str">
        <f>IFERROR(__xludf.DUMMYFUNCTION("GOOGLETRANSLATE(A102, ""en"", ""ar"")"),"101")</f>
        <v>101</v>
      </c>
      <c r="H102" s="5" t="str">
        <f>IFERROR(__xludf.DUMMYFUNCTION("GOOGLETRANSLATE(B102, ""en"", ""ar"")"),"ما هو الإجراء القياسي إذا فشل الفائز بالسباق في اجتياز اختبار المنشطات بعد السباق؟")</f>
        <v>ما هو الإجراء القياسي إذا فشل الفائز بالسباق في اجتياز اختبار المنشطات بعد السباق؟</v>
      </c>
      <c r="I102" s="5" t="str">
        <f>IFERROR(__xludf.DUMMYFUNCTION("GOOGLETRANSLATE(C102, ""en"", ""ar"")"),"أ) يتم فرض غرامة وتظل النتيجة ثابتة؛ ب) يتم إيقاف الجمل لموسم واحد؛ ج) يتم استبعاد الجمل وإعلان الوصيف فائزًا؛ د) يتم إلغاء نتيجة السباق دون فائز")</f>
        <v>أ) يتم فرض غرامة وتظل النتيجة ثابتة؛ ب) يتم إيقاف الجمل لموسم واحد؛ ج) يتم استبعاد الجمل وإعلان الوصيف فائزًا؛ د) يتم إلغاء نتيجة السباق دون فائز</v>
      </c>
      <c r="J102" s="5" t="str">
        <f>IFERROR(__xludf.DUMMYFUNCTION("GOOGLETRANSLATE(D102, ""en"", ""ar"")"),"ج) يتم استبعاد الجمل وإعلان الوصيف فائزًا")</f>
        <v>ج) يتم استبعاد الجمل وإعلان الوصيف فائزًا</v>
      </c>
      <c r="K102" s="5" t="str">
        <f>IFERROR(__xludf.DUMMYFUNCTION("GOOGLETRANSLATE(E102, ""en"", ""ar"")"),"تؤدي نتيجة اختبار المنشطات الإيجابية إلى الاستبعاد الفوري، ويتم تعديل الترتيب الرسمي وفقًا لذلك.")</f>
        <v>تؤدي نتيجة اختبار المنشطات الإيجابية إلى الاستبعاد الفوري، ويتم تعديل الترتيب الرسمي وفقًا لذلك.</v>
      </c>
    </row>
    <row r="103">
      <c r="A103" s="3">
        <v>102.0</v>
      </c>
      <c r="B103" s="4" t="s">
        <v>411</v>
      </c>
      <c r="C103" s="4" t="s">
        <v>412</v>
      </c>
      <c r="D103" s="4" t="s">
        <v>413</v>
      </c>
      <c r="E103" s="4" t="s">
        <v>414</v>
      </c>
      <c r="G103" s="5" t="str">
        <f>IFERROR(__xludf.DUMMYFUNCTION("GOOGLETRANSLATE(A103, ""en"", ""ar"")"),"102")</f>
        <v>102</v>
      </c>
      <c r="H103" s="5" t="str">
        <f>IFERROR(__xludf.DUMMYFUNCTION("GOOGLETRANSLATE(B103, ""en"", ""ar"")"),"هل هناك ضوابط محددة للزينة الاحتفالية التي توضع على الجمل قبل السباق؟")</f>
        <v>هل هناك ضوابط محددة للزينة الاحتفالية التي توضع على الجمل قبل السباق؟</v>
      </c>
      <c r="I103" s="5" t="str">
        <f>IFERROR(__xludf.DUMMYFUNCTION("GOOGLETRANSLATE(C103, ""en"", ""ar"")"),"أ) لا، يُسمح بأي زينة؛ ب) نعم، يجب ألا تتداخل الزينة مع الحركة أو الرؤية؛ ج) الزينة ممنوعة؛ د) يُسمح فقط بالأقمشة التقليدية")</f>
        <v>أ) لا، يُسمح بأي زينة؛ ب) نعم، يجب ألا تتداخل الزينة مع الحركة أو الرؤية؛ ج) الزينة ممنوعة؛ د) يُسمح فقط بالأقمشة التقليدية</v>
      </c>
      <c r="J103" s="5" t="str">
        <f>IFERROR(__xludf.DUMMYFUNCTION("GOOGLETRANSLATE(D103, ""en"", ""ar"")"),"ب) نعم، يجب ألا تعيق الزخارف الحركة أو الرؤية.")</f>
        <v>ب) نعم، يجب ألا تعيق الزخارف الحركة أو الرؤية.</v>
      </c>
      <c r="K103" s="5" t="str">
        <f>IFERROR(__xludf.DUMMYFUNCTION("GOOGLETRANSLATE(E103, ""en"", ""ar"")"),"على الرغم من أن الزخارف يتم تشجيعها ثقافيًا، إلا أنه يجب تأمينها بشكل آمن ولا تعيق الجمل أو المنافسين الآخرين.")</f>
        <v>على الرغم من أن الزخارف يتم تشجيعها ثقافيًا، إلا أنه يجب تأمينها بشكل آمن ولا تعيق الجمل أو المنافسين الآخرين.</v>
      </c>
    </row>
    <row r="104">
      <c r="A104" s="3">
        <v>103.0</v>
      </c>
      <c r="B104" s="4" t="s">
        <v>415</v>
      </c>
      <c r="C104" s="4" t="s">
        <v>416</v>
      </c>
      <c r="D104" s="4" t="s">
        <v>417</v>
      </c>
      <c r="E104" s="4" t="s">
        <v>418</v>
      </c>
      <c r="G104" s="5" t="str">
        <f>IFERROR(__xludf.DUMMYFUNCTION("GOOGLETRANSLATE(A104, ""en"", ""ar"")"),"103")</f>
        <v>103</v>
      </c>
      <c r="H104" s="5" t="str">
        <f>IFERROR(__xludf.DUMMYFUNCTION("GOOGLETRANSLATE(B104, ""en"", ""ar"")"),"ما هي القاعدة إذا رفض الجمل الدخول إلى بوابة البداية بعد عدة محاولات؟")</f>
        <v>ما هي القاعدة إذا رفض الجمل الدخول إلى بوابة البداية بعد عدة محاولات؟</v>
      </c>
      <c r="I104" s="5" t="str">
        <f>IFERROR(__xludf.DUMMYFUNCTION("GOOGLETRANSLATE(C104, ""en"", ""ar"")"),"أ) يتم نقل الجمل إلى بوابة خارجية؛ ب) يتم إعلان الجمل ""متأخرًا"" ويتم سحبه؛ ج) يبدأ السباق بدونه؛ د) يُسمح للمالك بدفعه يدويًا إلى الداخل")</f>
        <v>أ) يتم نقل الجمل إلى بوابة خارجية؛ ب) يتم إعلان الجمل "متأخرًا" ويتم سحبه؛ ج) يبدأ السباق بدونه؛ د) يُسمح للمالك بدفعه يدويًا إلى الداخل</v>
      </c>
      <c r="J104" s="5" t="str">
        <f>IFERROR(__xludf.DUMMYFUNCTION("GOOGLETRANSLATE(D104, ""en"", ""ar"")"),"ب) يتم إعلان الجمل ""خدشًا متأخرًا"" وسحبه")</f>
        <v>ب) يتم إعلان الجمل "خدشًا متأخرًا" وسحبه</v>
      </c>
      <c r="K104" s="5" t="str">
        <f>IFERROR(__xludf.DUMMYFUNCTION("GOOGLETRANSLATE(E104, ""en"", ""ar"")"),"من أجل بدء السباق في الوقت المحدد، سيتم سحب الجمل الذي يستمر في عدم الانضباط من قبل المسؤولين.")</f>
        <v>من أجل بدء السباق في الوقت المحدد، سيتم سحب الجمل الذي يستمر في عدم الانضباط من قبل المسؤولين.</v>
      </c>
    </row>
    <row r="105">
      <c r="A105" s="3">
        <v>104.0</v>
      </c>
      <c r="B105" s="4" t="s">
        <v>419</v>
      </c>
      <c r="C105" s="4" t="s">
        <v>420</v>
      </c>
      <c r="D105" s="4" t="s">
        <v>421</v>
      </c>
      <c r="E105" s="4" t="s">
        <v>422</v>
      </c>
      <c r="G105" s="5" t="str">
        <f>IFERROR(__xludf.DUMMYFUNCTION("GOOGLETRANSLATE(A105, ""en"", ""ar"")"),"104")</f>
        <v>104</v>
      </c>
      <c r="H105" s="5" t="str">
        <f>IFERROR(__xludf.DUMMYFUNCTION("GOOGLETRANSLATE(B105, ""en"", ""ar"")"),"هل يجوز أن تتسابق الإبل مع الإبل الذكور في سباق مختلط؟")</f>
        <v>هل يجوز أن تتسابق الإبل مع الإبل الذكور في سباق مختلط؟</v>
      </c>
      <c r="I105" s="5" t="str">
        <f>IFERROR(__xludf.DUMMYFUNCTION("GOOGLETRANSLATE(C105, ""en"", ""ar"")"),"أ) لا، يتم الفصل بين الجنسين في السباقات بشكل صارم؛ ب) نعم، هذا أمر شائع في العديد من فئات السباق؛ ج) فقط إذا كانت الجمل الأنثى أكبر سنًا؛ د) فقط في الأحداث غير البطولية")</f>
        <v>أ) لا، يتم الفصل بين الجنسين في السباقات بشكل صارم؛ ب) نعم، هذا أمر شائع في العديد من فئات السباق؛ ج) فقط إذا كانت الجمل الأنثى أكبر سنًا؛ د) فقط في الأحداث غير البطولية</v>
      </c>
      <c r="J105" s="5" t="str">
        <f>IFERROR(__xludf.DUMMYFUNCTION("GOOGLETRANSLATE(D105, ""en"", ""ar"")"),"ب) نعم، هذا أمر شائع في العديد من فئات السباق")</f>
        <v>ب) نعم، هذا أمر شائع في العديد من فئات السباق</v>
      </c>
      <c r="K105" s="5" t="str">
        <f>IFERROR(__xludf.DUMMYFUNCTION("GOOGLETRANSLATE(E105, ""en"", ""ar"")"),"على عكس العديد من رياضات سباق الحيوانات الأخرى، تتنافس الإبل الإناث (والتي غالبًا ما تكون مفضلة) بانتظام مع الذكور.")</f>
        <v>على عكس العديد من رياضات سباق الحيوانات الأخرى، تتنافس الإبل الإناث (والتي غالبًا ما تكون مفضلة) بانتظام مع الذكور.</v>
      </c>
    </row>
    <row r="106">
      <c r="A106" s="3">
        <v>105.0</v>
      </c>
      <c r="B106" s="4" t="s">
        <v>423</v>
      </c>
      <c r="C106" s="4" t="s">
        <v>424</v>
      </c>
      <c r="D106" s="4" t="s">
        <v>425</v>
      </c>
      <c r="E106" s="4" t="s">
        <v>426</v>
      </c>
      <c r="G106" s="5" t="str">
        <f>IFERROR(__xludf.DUMMYFUNCTION("GOOGLETRANSLATE(A106, ""en"", ""ar"")"),"105")</f>
        <v>105</v>
      </c>
      <c r="H106" s="5" t="str">
        <f>IFERROR(__xludf.DUMMYFUNCTION("GOOGLETRANSLATE(B106, ""en"", ""ar"")"),"ما هي العقوبة التي تقع على عاتق الفارس الذي يتخلف عن حضور الإحاطة الإلزامية قبل السباق؟")</f>
        <v>ما هي العقوبة التي تقع على عاتق الفارس الذي يتخلف عن حضور الإحاطة الإلزامية قبل السباق؟</v>
      </c>
      <c r="I106" s="5" t="str">
        <f>IFERROR(__xludf.DUMMYFUNCTION("GOOGLETRANSLATE(C106, ""en"", ""ar"")"),"أ) لا عقوبة؛ ب) غرامة مالية؛ ج) الاستبعاد من السباق؛ د) يتم تطبيق إعاقة")</f>
        <v>أ) لا عقوبة؛ ب) غرامة مالية؛ ج) الاستبعاد من السباق؛ د) يتم تطبيق إعاقة</v>
      </c>
      <c r="J106" s="5" t="str">
        <f>IFERROR(__xludf.DUMMYFUNCTION("GOOGLETRANSLATE(D106, ""en"", ""ar"")"),"ب) غرامة مالية")</f>
        <v>ب) غرامة مالية</v>
      </c>
      <c r="K106" s="5" t="str">
        <f>IFERROR(__xludf.DUMMYFUNCTION("GOOGLETRANSLATE(E106, ""en"", ""ar"")"),"يعد الحضور إلى إحاطة الفارس إلزاميًا، وعادةً ما يؤدي الغياب غير المبرر إلى غرامة.")</f>
        <v>يعد الحضور إلى إحاطة الفارس إلزاميًا، وعادةً ما يؤدي الغياب غير المبرر إلى غرامة.</v>
      </c>
    </row>
    <row r="107">
      <c r="A107" s="3">
        <v>106.0</v>
      </c>
      <c r="B107" s="4" t="s">
        <v>427</v>
      </c>
      <c r="C107" s="4" t="s">
        <v>428</v>
      </c>
      <c r="D107" s="4" t="s">
        <v>429</v>
      </c>
      <c r="E107" s="4" t="s">
        <v>430</v>
      </c>
      <c r="G107" s="5" t="str">
        <f>IFERROR(__xludf.DUMMYFUNCTION("GOOGLETRANSLATE(A107, ""en"", ""ar"")"),"106")</f>
        <v>106</v>
      </c>
      <c r="H107" s="5" t="str">
        <f>IFERROR(__xludf.DUMMYFUNCTION("GOOGLETRANSLATE(B107, ""en"", ""ar"")"),"هل يجوز لمالك الجمل أن يدخل جملين توأم متماثلين في نفس السباق؟")</f>
        <v>هل يجوز لمالك الجمل أن يدخل جملين توأم متماثلين في نفس السباق؟</v>
      </c>
      <c r="I107" s="5" t="str">
        <f>IFERROR(__xludf.DUMMYFUNCTION("GOOGLETRANSLATE(C107, ""en"", ""ar"")"),"أ) نعم، إذا كان كلاهما مسجلين؛ ب) لا، يمكن إدخال واحد فقط من التوأم؛ ج) نعم، ولكن يجب أن يبدآ من البوابات المجاورة؛ د) لا، لأنه قد يربك الحكام")</f>
        <v>أ) نعم، إذا كان كلاهما مسجلين؛ ب) لا، يمكن إدخال واحد فقط من التوأم؛ ج) نعم، ولكن يجب أن يبدآ من البوابات المجاورة؛ د) لا، لأنه قد يربك الحكام</v>
      </c>
      <c r="J107" s="5" t="str">
        <f>IFERROR(__xludf.DUMMYFUNCTION("GOOGLETRANSLATE(D107, ""en"", ""ar"")"),"ب) لا، لا يمكن إدخال سوى واحد من التوأم.")</f>
        <v>ب) لا، لا يمكن إدخال سوى واحد من التوأم.</v>
      </c>
      <c r="K107" s="5" t="str">
        <f>IFERROR(__xludf.DUMMYFUNCTION("GOOGLETRANSLATE(E107, ""en"", ""ar"")"),"لتجنب الارتباك واحتمالية الاستبدال غير المشروع، عادةً لا يُسمح إلا لشخص واحد من زوج من التوائم المتطابقة بالمشاركة في سباق واحد.")</f>
        <v>لتجنب الارتباك واحتمالية الاستبدال غير المشروع، عادةً لا يُسمح إلا لشخص واحد من زوج من التوائم المتطابقة بالمشاركة في سباق واحد.</v>
      </c>
    </row>
    <row r="108">
      <c r="A108" s="3">
        <v>107.0</v>
      </c>
      <c r="B108" s="4" t="s">
        <v>431</v>
      </c>
      <c r="C108" s="4" t="s">
        <v>432</v>
      </c>
      <c r="D108" s="4" t="s">
        <v>433</v>
      </c>
      <c r="E108" s="4" t="s">
        <v>434</v>
      </c>
      <c r="G108" s="5" t="str">
        <f>IFERROR(__xludf.DUMMYFUNCTION("GOOGLETRANSLATE(A108, ""en"", ""ar"")"),"107")</f>
        <v>107</v>
      </c>
      <c r="H108" s="5" t="str">
        <f>IFERROR(__xludf.DUMMYFUNCTION("GOOGLETRANSLATE(B108, ""en"", ""ar"")"),"ما هو الإجراء الرسمي إذا انفصل سرج الفارس بشكل كامل أثناء السباق؟")</f>
        <v>ما هو الإجراء الرسمي إذا انفصل سرج الفارس بشكل كامل أثناء السباق؟</v>
      </c>
      <c r="I108" s="5" t="str">
        <f>IFERROR(__xludf.DUMMYFUNCTION("GOOGLETRANSLATE(C108, ""en"", ""ar"")"),"أ) يمكن للفارس الاستمرار بدون سرج؛ ب) هذا استبعاد تلقائي؛ ج) يتم إيقاف السباق لإصلاح المعدات؛ د) يمكن للفارس الاستيلاء على سرج فارس آخر")</f>
        <v>أ) يمكن للفارس الاستمرار بدون سرج؛ ب) هذا استبعاد تلقائي؛ ج) يتم إيقاف السباق لإصلاح المعدات؛ د) يمكن للفارس الاستيلاء على سرج فارس آخر</v>
      </c>
      <c r="J108" s="5" t="str">
        <f>IFERROR(__xludf.DUMMYFUNCTION("GOOGLETRANSLATE(D108, ""en"", ""ar"")"),"ب) إنه استبعاد تلقائي")</f>
        <v>ب) إنه استبعاد تلقائي</v>
      </c>
      <c r="K108" s="5" t="str">
        <f>IFERROR(__xludf.DUMMYFUNCTION("GOOGLETRANSLATE(E108, ""en"", ""ar"")"),"يعتبر فقدان المعدات الأساسية مثل السرج حادثًا كبيرًا يؤدي إلى الاستبعاد لأسباب تتعلق بالسلامة.")</f>
        <v>يعتبر فقدان المعدات الأساسية مثل السرج حادثًا كبيرًا يؤدي إلى الاستبعاد لأسباب تتعلق بالسلامة.</v>
      </c>
    </row>
    <row r="109">
      <c r="A109" s="3">
        <v>108.0</v>
      </c>
      <c r="B109" s="4" t="s">
        <v>435</v>
      </c>
      <c r="C109" s="4" t="s">
        <v>436</v>
      </c>
      <c r="D109" s="4" t="s">
        <v>437</v>
      </c>
      <c r="E109" s="4" t="s">
        <v>438</v>
      </c>
      <c r="G109" s="5" t="str">
        <f>IFERROR(__xludf.DUMMYFUNCTION("GOOGLETRANSLATE(A109, ""en"", ""ar"")"),"108")</f>
        <v>108</v>
      </c>
      <c r="H109" s="5" t="str">
        <f>IFERROR(__xludf.DUMMYFUNCTION("GOOGLETRANSLATE(B109, ""en"", ""ar"")"),"هل هناك قواعد بشأن نوع الأحذية التي يجب أن يرتديها الفارس؟")</f>
        <v>هل هناك قواعد بشأن نوع الأحذية التي يجب أن يرتديها الفارس؟</v>
      </c>
      <c r="I109" s="5" t="str">
        <f>IFERROR(__xludf.DUMMYFUNCTION("GOOGLETRANSLATE(C109, ""en"", ""ar"")"),"أ) لا، يجب على الفرسان أن يكونوا حفاة الأقدام؛ ب) نعم، يجب عليهم ارتداء أحذية سباق معتمدة؛ ج) أي نوع من الأحذية مقبول؛ د) يُسمح فقط بالصنادل")</f>
        <v>أ) لا، يجب على الفرسان أن يكونوا حفاة الأقدام؛ ب) نعم، يجب عليهم ارتداء أحذية سباق معتمدة؛ ج) أي نوع من الأحذية مقبول؛ د) يُسمح فقط بالصنادل</v>
      </c>
      <c r="J109" s="5" t="str">
        <f>IFERROR(__xludf.DUMMYFUNCTION("GOOGLETRANSLATE(D109, ""en"", ""ar"")"),"ب) نعم، يجب عليهم ارتداء أحذية السباق المعتمدة")</f>
        <v>ب) نعم، يجب عليهم ارتداء أحذية السباق المعتمدة</v>
      </c>
      <c r="K109" s="5" t="str">
        <f>IFERROR(__xludf.DUMMYFUNCTION("GOOGLETRANSLATE(E109, ""en"", ""ar"")"),"يُطلب من الفرسان ارتداء أحذية خفيفة الوزن ومعتمدة للسلامة أثناء السباق.")</f>
        <v>يُطلب من الفرسان ارتداء أحذية خفيفة الوزن ومعتمدة للسلامة أثناء السباق.</v>
      </c>
    </row>
    <row r="110">
      <c r="A110" s="3">
        <v>109.0</v>
      </c>
      <c r="B110" s="4" t="s">
        <v>439</v>
      </c>
      <c r="C110" s="4" t="s">
        <v>440</v>
      </c>
      <c r="D110" s="4" t="s">
        <v>441</v>
      </c>
      <c r="E110" s="4" t="s">
        <v>442</v>
      </c>
      <c r="G110" s="5" t="str">
        <f>IFERROR(__xludf.DUMMYFUNCTION("GOOGLETRANSLATE(A110, ""en"", ""ar"")"),"109")</f>
        <v>109</v>
      </c>
      <c r="H110" s="5" t="str">
        <f>IFERROR(__xludf.DUMMYFUNCTION("GOOGLETRANSLATE(B110, ""en"", ""ar"")"),"إذا تم إلغاء السباق بسبب الحرارة الشديدة، ما هو الإجراء القياسي للحصول على جائزة مالية؟")</f>
        <v>إذا تم إلغاء السباق بسبب الحرارة الشديدة، ما هو الإجراء القياسي للحصول على جائزة مالية؟</v>
      </c>
      <c r="I110" s="5" t="str">
        <f>IFERROR(__xludf.DUMMYFUNCTION("GOOGLETRANSLATE(C110, ""en"", ""ar"")"),"أ) يتم مصادرتها من قبل الجميع؛ ب) يتم توزيعها بالتساوي بين جميع المشاركين؛ ج) يتم إعادة جدولة السباق وترحيل أموال الجائزة؛ د) يتم منح أموال الجائزة بناءً على مراكز البداية")</f>
        <v>أ) يتم مصادرتها من قبل الجميع؛ ب) يتم توزيعها بالتساوي بين جميع المشاركين؛ ج) يتم إعادة جدولة السباق وترحيل أموال الجائزة؛ د) يتم منح أموال الجائزة بناءً على مراكز البداية</v>
      </c>
      <c r="J110" s="5" t="str">
        <f>IFERROR(__xludf.DUMMYFUNCTION("GOOGLETRANSLATE(D110, ""en"", ""ar"")"),"ج) يتم إعادة جدولة السباق وترحيل أموال الجائزة")</f>
        <v>ج) يتم إعادة جدولة السباق وترحيل أموال الجائزة</v>
      </c>
      <c r="K110" s="5" t="str">
        <f>IFERROR(__xludf.DUMMYFUNCTION("GOOGLETRANSLATE(E110, ""en"", ""ar"")"),"إذا تم إلغاء السباق لأسباب تتعلق بالسلامة، فمن الممكن دائمًا إعادة جدولته إلى تاريخ لاحق مع الاحتفاظ بالجائزة الأصلية.")</f>
        <v>إذا تم إلغاء السباق لأسباب تتعلق بالسلامة، فمن الممكن دائمًا إعادة جدولته إلى تاريخ لاحق مع الاحتفاظ بالجائزة الأصلية.</v>
      </c>
    </row>
    <row r="111">
      <c r="A111" s="3">
        <v>110.0</v>
      </c>
      <c r="B111" s="4" t="s">
        <v>443</v>
      </c>
      <c r="C111" s="4" t="s">
        <v>444</v>
      </c>
      <c r="D111" s="4" t="s">
        <v>445</v>
      </c>
      <c r="E111" s="4" t="s">
        <v>446</v>
      </c>
      <c r="G111" s="5" t="str">
        <f>IFERROR(__xludf.DUMMYFUNCTION("GOOGLETRANSLATE(A111, ""en"", ""ar"")"),"110")</f>
        <v>110</v>
      </c>
      <c r="H111" s="5" t="str">
        <f>IFERROR(__xludf.DUMMYFUNCTION("GOOGLETRANSLATE(B111, ""en"", ""ar"")"),"ما هي اللائحة الخاصة بأجهزة الاتصال بين الفارس ومدربه أثناء السباق؟")</f>
        <v>ما هي اللائحة الخاصة بأجهزة الاتصال بين الفارس ومدربه أثناء السباق؟</v>
      </c>
      <c r="I111" s="5" t="str">
        <f>IFERROR(__xludf.DUMMYFUNCTION("GOOGLETRANSLATE(C111, ""en"", ""ar"")"),"أ) يُسمح باستخدام سماعات الأذن أحادية الاتجاه؛ ب) تُحظر جميع أشكال الاتصال الإلكتروني؛ ج) يُسمح للفرسان بحمل أجهزة الراديو؛ د) فقط في سباقات التحمل")</f>
        <v>أ) يُسمح باستخدام سماعات الأذن أحادية الاتجاه؛ ب) تُحظر جميع أشكال الاتصال الإلكتروني؛ ج) يُسمح للفرسان بحمل أجهزة الراديو؛ د) فقط في سباقات التحمل</v>
      </c>
      <c r="J111" s="5" t="str">
        <f>IFERROR(__xludf.DUMMYFUNCTION("GOOGLETRANSLATE(D111, ""en"", ""ar"")"),"ب) يحظر كافة أشكال الاتصالات الإلكترونية.")</f>
        <v>ب) يحظر كافة أشكال الاتصالات الإلكترونية.</v>
      </c>
      <c r="K111" s="5" t="str">
        <f>IFERROR(__xludf.DUMMYFUNCTION("GOOGLETRANSLATE(E111, ""en"", ""ar"")"),"ولمنع المزايا غير العادلة، لا يُسمح للفرسان بإجراء أي اتصال إلكتروني مع فريقهم أثناء السباق.")</f>
        <v>ولمنع المزايا غير العادلة، لا يُسمح للفرسان بإجراء أي اتصال إلكتروني مع فريقهم أثناء السباق.</v>
      </c>
    </row>
    <row r="112">
      <c r="A112" s="3">
        <v>111.0</v>
      </c>
      <c r="B112" s="4" t="s">
        <v>447</v>
      </c>
      <c r="C112" s="4" t="s">
        <v>448</v>
      </c>
      <c r="D112" s="4" t="s">
        <v>449</v>
      </c>
      <c r="E112" s="4" t="s">
        <v>450</v>
      </c>
      <c r="G112" s="5" t="str">
        <f>IFERROR(__xludf.DUMMYFUNCTION("GOOGLETRANSLATE(A112, ""en"", ""ar"")"),"111")</f>
        <v>111</v>
      </c>
      <c r="H112" s="5" t="str">
        <f>IFERROR(__xludf.DUMMYFUNCTION("GOOGLETRANSLATE(B112, ""en"", ""ar"")"),"ماذا يحدث إذا سقطت بطانية سباق الجمل الرسمية (التي تحمل رقمها) في منتصف السباق؟")</f>
        <v>ماذا يحدث إذا سقطت بطانية سباق الجمل الرسمية (التي تحمل رقمها) في منتصف السباق؟</v>
      </c>
      <c r="I112" s="5" t="str">
        <f>IFERROR(__xludf.DUMMYFUNCTION("GOOGLETRANSLATE(C112, ""en"", ""ar"")"),"أ) يتم استبعاد الجمل؛ ب) يجب على الفارس محاولة التقاطه؛ ج) يستمر السباق، ويتم تأكيد الهوية عن طريق الشريحة الإلكترونية؛ د) يتم تغريم الفارس بعد السباق")</f>
        <v>أ) يتم استبعاد الجمل؛ ب) يجب على الفارس محاولة التقاطه؛ ج) يستمر السباق، ويتم تأكيد الهوية عن طريق الشريحة الإلكترونية؛ د) يتم تغريم الفارس بعد السباق</v>
      </c>
      <c r="J112" s="5" t="str">
        <f>IFERROR(__xludf.DUMMYFUNCTION("GOOGLETRANSLATE(D112, ""en"", ""ar"")"),"ج) يستمر السباق ويتم تأكيد الهوية عن طريق الشريحة الإلكترونية")</f>
        <v>ج) يستمر السباق ويتم تأكيد الهوية عن طريق الشريحة الإلكترونية</v>
      </c>
      <c r="K112" s="5" t="str">
        <f>IFERROR(__xludf.DUMMYFUNCTION("GOOGLETRANSLATE(E112, ""en"", ""ar"")"),"رغم أن فقدان رقم السباق ليس مثاليًا، إلا أنه لا يعد سببًا للاستبعاد، حيث تعمل الشريحة الدقيقة كوسيلة تعريف أساسية.")</f>
        <v>رغم أن فقدان رقم السباق ليس مثاليًا، إلا أنه لا يعد سببًا للاستبعاد، حيث تعمل الشريحة الدقيقة كوسيلة تعريف أساسية.</v>
      </c>
    </row>
    <row r="113">
      <c r="A113" s="3">
        <v>112.0</v>
      </c>
      <c r="B113" s="4" t="s">
        <v>451</v>
      </c>
      <c r="C113" s="4" t="s">
        <v>452</v>
      </c>
      <c r="D113" s="4" t="s">
        <v>453</v>
      </c>
      <c r="E113" s="6" t="s">
        <v>454</v>
      </c>
      <c r="G113" s="5" t="str">
        <f>IFERROR(__xludf.DUMMYFUNCTION("GOOGLETRANSLATE(A113, ""en"", ""ar"")"),"112")</f>
        <v>112</v>
      </c>
      <c r="H113" s="5" t="str">
        <f>IFERROR(__xludf.DUMMYFUNCTION("GOOGLETRANSLATE(B113, ""en"", ""ar"")"),"ما هو المصطلح المستخدم لوصف سباق الجمال الذي يقام حصرياً في السودان؟")</f>
        <v>ما هو المصطلح المستخدم لوصف سباق الجمال الذي يقام حصرياً في السودان؟</v>
      </c>
      <c r="I113" s="5" t="str">
        <f>IFERROR(__xludf.DUMMYFUNCTION("GOOGLETRANSLATE(C113, ""en"", ""ar"")"),"أ) تحدي السودانية؛ ب) سباق الخيل المحلي الكلاسيكي؛ ج) سباق الأصايل؛ د) سباق المحليات")</f>
        <v>أ) تحدي السودانية؛ ب) سباق الخيل المحلي الكلاسيكي؛ ج) سباق الأصايل؛ د) سباق المحليات</v>
      </c>
      <c r="J113" s="5" t="str">
        <f>IFERROR(__xludf.DUMMYFUNCTION("GOOGLETRANSLATE(D113, ""en"", ""ar"")"),"د) سباق محليات")</f>
        <v>د) سباق محليات</v>
      </c>
      <c r="K113" s="5" t="str">
        <f>IFERROR(__xludf.DUMMYFUNCTION("GOOGLETRANSLATE(E113, ""en"", ""ar"")"),"تشير كلمة ""محلية"" إلى السباقات التي تقتصر على الإبل التي يتم تربيتها محليًا بهدف تعزيز التكاثر المحلي.")</f>
        <v>تشير كلمة "محلية" إلى السباقات التي تقتصر على الإبل التي يتم تربيتها محليًا بهدف تعزيز التكاثر المحلي.</v>
      </c>
    </row>
    <row r="114">
      <c r="A114" s="3">
        <v>113.0</v>
      </c>
      <c r="B114" s="4" t="s">
        <v>455</v>
      </c>
      <c r="C114" s="4" t="s">
        <v>456</v>
      </c>
      <c r="D114" s="4" t="s">
        <v>457</v>
      </c>
      <c r="E114" s="4" t="s">
        <v>458</v>
      </c>
      <c r="G114" s="5" t="str">
        <f>IFERROR(__xludf.DUMMYFUNCTION("GOOGLETRANSLATE(A114, ""en"", ""ar"")"),"113")</f>
        <v>113</v>
      </c>
      <c r="H114" s="5" t="str">
        <f>IFERROR(__xludf.DUMMYFUNCTION("GOOGLETRANSLATE(B114, ""en"", ""ar"")"),"هل يشترط إجراء فحص النظر للجمال قبل السماح لها بالسباق؟")</f>
        <v>هل يشترط إجراء فحص النظر للجمال قبل السماح لها بالسباق؟</v>
      </c>
      <c r="I114" s="5" t="str">
        <f>IFERROR(__xludf.DUMMYFUNCTION("GOOGLETRANSLATE(C114, ""en"", ""ar"")"),"أ) نعم، يجب على جميع الإبل اجتياز اختبار الرؤية؛ ب) لا، اختبارات الرؤية ليست إجراءً قياسيًا؛ ج) فقط للإبل التي تعرضت لإصابة سابقة في العين؛ د) فقط لسباقات الليل")</f>
        <v>أ) نعم، يجب على جميع الإبل اجتياز اختبار الرؤية؛ ب) لا، اختبارات الرؤية ليست إجراءً قياسيًا؛ ج) فقط للإبل التي تعرضت لإصابة سابقة في العين؛ د) فقط لسباقات الليل</v>
      </c>
      <c r="J114" s="5" t="str">
        <f>IFERROR(__xludf.DUMMYFUNCTION("GOOGLETRANSLATE(D114, ""en"", ""ar"")"),"ب) لا، اختبارات الرؤية ليست إجراءً قياسيًا")</f>
        <v>ب) لا، اختبارات الرؤية ليست إجراءً قياسيًا</v>
      </c>
      <c r="K114" s="5" t="str">
        <f>IFERROR(__xludf.DUMMYFUNCTION("GOOGLETRANSLATE(E114, ""en"", ""ar"")"),"يُشترط إجراء فحص بيطري عام، لكن اختبار طب العيون المحدد ليس جزءًا قياسيًا من الفحص قبل السباق.")</f>
        <v>يُشترط إجراء فحص بيطري عام، لكن اختبار طب العيون المحدد ليس جزءًا قياسيًا من الفحص قبل السباق.</v>
      </c>
    </row>
    <row r="115">
      <c r="A115" s="3">
        <v>114.0</v>
      </c>
      <c r="B115" s="4" t="s">
        <v>459</v>
      </c>
      <c r="C115" s="4" t="s">
        <v>460</v>
      </c>
      <c r="D115" s="4" t="s">
        <v>461</v>
      </c>
      <c r="E115" s="4" t="s">
        <v>462</v>
      </c>
      <c r="G115" s="5" t="str">
        <f>IFERROR(__xludf.DUMMYFUNCTION("GOOGLETRANSLATE(A115, ""en"", ""ar"")"),"114")</f>
        <v>114</v>
      </c>
      <c r="H115" s="5" t="str">
        <f>IFERROR(__xludf.DUMMYFUNCTION("GOOGLETRANSLATE(B115, ""en"", ""ar"")"),"ما حكم قيام الفارس بإصدار ضوضاء زائدة (مثل الصراخ) لتخويف جمل آخر؟")</f>
        <v>ما حكم قيام الفارس بإصدار ضوضاء زائدة (مثل الصراخ) لتخويف جمل آخر؟</v>
      </c>
      <c r="I115" s="5" t="str">
        <f>IFERROR(__xludf.DUMMYFUNCTION("GOOGLETRANSLATE(C115, ""en"", ""ar"")"),"أ) يعتبر هذا تكتيكًا ذكيًا؛ ب) هذا خطأ ويمكن أن يؤدي إلى الاستبعاد؛ ج) مسموح به طالما لم يتم استخدام الإهانات؛ د) لا توجد قاعدة ضده")</f>
        <v>أ) يعتبر هذا تكتيكًا ذكيًا؛ ب) هذا خطأ ويمكن أن يؤدي إلى الاستبعاد؛ ج) مسموح به طالما لم يتم استخدام الإهانات؛ د) لا توجد قاعدة ضده</v>
      </c>
      <c r="J115" s="5" t="str">
        <f>IFERROR(__xludf.DUMMYFUNCTION("GOOGLETRANSLATE(D115, ""en"", ""ar"")"),"ب) هذا خطأ ويمكن أن يؤدي إلى الاستبعاد")</f>
        <v>ب) هذا خطأ ويمكن أن يؤدي إلى الاستبعاد</v>
      </c>
      <c r="K115" s="5" t="str">
        <f>IFERROR(__xludf.DUMMYFUNCTION("GOOGLETRANSLATE(E115, ""en"", ""ar"")"),"يعتبر الترهيب المتعمد أو التدخل في حياة حيوان آخر سلوكًا غير رياضي.")</f>
        <v>يعتبر الترهيب المتعمد أو التدخل في حياة حيوان آخر سلوكًا غير رياضي.</v>
      </c>
    </row>
    <row r="116">
      <c r="A116" s="3">
        <v>115.0</v>
      </c>
      <c r="B116" s="4" t="s">
        <v>463</v>
      </c>
      <c r="C116" s="4" t="s">
        <v>464</v>
      </c>
      <c r="D116" s="4" t="s">
        <v>465</v>
      </c>
      <c r="E116" s="4" t="s">
        <v>466</v>
      </c>
      <c r="G116" s="5" t="str">
        <f>IFERROR(__xludf.DUMMYFUNCTION("GOOGLETRANSLATE(A116, ""en"", ""ar"")"),"115")</f>
        <v>115</v>
      </c>
      <c r="H116" s="5" t="str">
        <f>IFERROR(__xludf.DUMMYFUNCTION("GOOGLETRANSLATE(B116, ""en"", ""ar"")"),"إذا لاحظ أحد مسؤولي السباق وجود جرح عميق أو نزيف على الجمل عند خط البداية، ما هو الإجراء الذي يجب اتخاذه؟")</f>
        <v>إذا لاحظ أحد مسؤولي السباق وجود جرح عميق أو نزيف على الجمل عند خط البداية، ما هو الإجراء الذي يجب اتخاذه؟</v>
      </c>
      <c r="I116" s="5" t="str">
        <f>IFERROR(__xludf.DUMMYFUNCTION("GOOGLETRANSLATE(C116, ""en"", ""ar"")"),"أ) يُسمح للجمل بالسباق ولكن يجب عرضه على طبيب بيطري بعد ذلك؛ ب) يتم ""خدش"" الجمل (سحبه) بواسطة الطبيب البيطري لأسباب تتعلق بالرفاهية؛ ج) يتم وضع ضمادة على الجمل ويُسمح له بالسباق؛ د) يمكن للمالك أن يقرر ما إذا كان الجمل لائقًا للجري")</f>
        <v>أ) يُسمح للجمل بالسباق ولكن يجب عرضه على طبيب بيطري بعد ذلك؛ ب) يتم "خدش" الجمل (سحبه) بواسطة الطبيب البيطري لأسباب تتعلق بالرفاهية؛ ج) يتم وضع ضمادة على الجمل ويُسمح له بالسباق؛ د) يمكن للمالك أن يقرر ما إذا كان الجمل لائقًا للجري</v>
      </c>
      <c r="J116" s="5" t="str">
        <f>IFERROR(__xludf.DUMMYFUNCTION("GOOGLETRANSLATE(D116, ""en"", ""ar"")"),"ب) يتم ""خدش"" الجمل (سحبه) من قبل الطبيب البيطري لأسباب تتعلق بالرفاهية")</f>
        <v>ب) يتم "خدش" الجمل (سحبه) من قبل الطبيب البيطري لأسباب تتعلق بالرفاهية</v>
      </c>
      <c r="K116" s="5" t="str">
        <f>IFERROR(__xludf.DUMMYFUNCTION("GOOGLETRANSLATE(E116, ""en"", ""ar"")"),"لدى الطبيب البيطري المتواجد في الموقع السلطة لسحب أي حيوان من السباق إذا رأى أنه غير لائق أو معرض للخطر.")</f>
        <v>لدى الطبيب البيطري المتواجد في الموقع السلطة لسحب أي حيوان من السباق إذا رأى أنه غير لائق أو معرض للخطر.</v>
      </c>
    </row>
    <row r="117">
      <c r="A117" s="3">
        <v>116.0</v>
      </c>
      <c r="B117" s="4" t="s">
        <v>467</v>
      </c>
      <c r="C117" s="4" t="s">
        <v>468</v>
      </c>
      <c r="D117" s="4" t="s">
        <v>469</v>
      </c>
      <c r="E117" s="4" t="s">
        <v>470</v>
      </c>
      <c r="G117" s="5" t="str">
        <f>IFERROR(__xludf.DUMMYFUNCTION("GOOGLETRANSLATE(A117, ""en"", ""ar"")"),"116")</f>
        <v>116</v>
      </c>
      <c r="H117" s="5" t="str">
        <f>IFERROR(__xludf.DUMMYFUNCTION("GOOGLETRANSLATE(B117, ""en"", ""ar"")"),"ما هي الوظيفة الأساسية للروبوت الفارس المستخدم في العديد من سباقات الهجن الحديثة؟")</f>
        <v>ما هي الوظيفة الأساسية للروبوت الفارس المستخدم في العديد من سباقات الهجن الحديثة؟</v>
      </c>
      <c r="I117" s="5" t="str">
        <f>IFERROR(__xludf.DUMMYFUNCTION("GOOGLETRANSLATE(C117, ""en"", ""ar"")"),"أ) لتقليل وزن الجمل؛ ب) لتوفير توجيه أكثر دقة من الإنسان؛ ج) لاستخدام سوط يتم التحكم فيه عن بعد وإعطاء أوامر صوتية؛ د) لتوجيه الجمل تلقائيًا عبر نظام تحديد المواقع العالمي (GPS).")</f>
        <v>أ) لتقليل وزن الجمل؛ ب) لتوفير توجيه أكثر دقة من الإنسان؛ ج) لاستخدام سوط يتم التحكم فيه عن بعد وإعطاء أوامر صوتية؛ د) لتوجيه الجمل تلقائيًا عبر نظام تحديد المواقع العالمي (GPS).</v>
      </c>
      <c r="J117" s="5" t="str">
        <f>IFERROR(__xludf.DUMMYFUNCTION("GOOGLETRANSLATE(D117, ""en"", ""ar"")"),"ج) استخدام سوط يتم التحكم فيه عن بعد وإعطاء الأوامر الصوتية")</f>
        <v>ج) استخدام سوط يتم التحكم فيه عن بعد وإعطاء الأوامر الصوتية</v>
      </c>
      <c r="K117" s="5" t="str">
        <f>IFERROR(__xludf.DUMMYFUNCTION("GOOGLETRANSLATE(E117, ""en"", ""ar"")"),"يتم تشغيل روبوتات الفرسان بواسطة مدربين في مركبات مطاردة، مما يسمح لهم بتطبيق السوط وبث الأوامر عبر مكبر صوت.")</f>
        <v>يتم تشغيل روبوتات الفرسان بواسطة مدربين في مركبات مطاردة، مما يسمح لهم بتطبيق السوط وبث الأوامر عبر مكبر صوت.</v>
      </c>
    </row>
    <row r="118">
      <c r="A118" s="3">
        <v>117.0</v>
      </c>
      <c r="B118" s="4" t="s">
        <v>471</v>
      </c>
      <c r="C118" s="4" t="s">
        <v>472</v>
      </c>
      <c r="D118" s="4" t="s">
        <v>473</v>
      </c>
      <c r="E118" s="4" t="s">
        <v>474</v>
      </c>
      <c r="G118" s="5" t="str">
        <f>IFERROR(__xludf.DUMMYFUNCTION("GOOGLETRANSLATE(A118, ""en"", ""ar"")"),"117")</f>
        <v>117</v>
      </c>
      <c r="H118" s="5" t="str">
        <f>IFERROR(__xludf.DUMMYFUNCTION("GOOGLETRANSLATE(B118, ""en"", ""ar"")"),"ما هي عقوبة مالك الجمل الذي يستخدم شهادة صحية مزورة لإدخال الجمل في السباق؟")</f>
        <v>ما هي عقوبة مالك الجمل الذي يستخدم شهادة صحية مزورة لإدخال الجمل في السباق؟</v>
      </c>
      <c r="I118" s="5" t="str">
        <f>IFERROR(__xludf.DUMMYFUNCTION("GOOGLETRANSLATE(C118, ""en"", ""ar"")"),"أ) تحذير للمخالفة الأولى؛ ب) غرامة صغيرة؛ ج) حظر طويل الأمد من ممارسة الرياضة بسبب الاحتيال؛ د) يتم إعادة تفتيش الجمل على الفور")</f>
        <v>أ) تحذير للمخالفة الأولى؛ ب) غرامة صغيرة؛ ج) حظر طويل الأمد من ممارسة الرياضة بسبب الاحتيال؛ د) يتم إعادة تفتيش الجمل على الفور</v>
      </c>
      <c r="J118" s="5" t="str">
        <f>IFERROR(__xludf.DUMMYFUNCTION("GOOGLETRANSLATE(D118, ""en"", ""ar"")"),"ج) الإيقاف طويل الأمد عن ممارسة الرياضة بسبب الاحتيال")</f>
        <v>ج) الإيقاف طويل الأمد عن ممارسة الرياضة بسبب الاحتيال</v>
      </c>
      <c r="K118" s="5" t="str">
        <f>IFERROR(__xludf.DUMMYFUNCTION("GOOGLETRANSLATE(E118, ""en"", ""ar"")"),"يعد تزوير الوثائق الرسمية عملاً احتيالياً كبيراً يؤدي إلى عقوبات شديدة، بما في ذلك الإيقاف لفترات طويلة.")</f>
        <v>يعد تزوير الوثائق الرسمية عملاً احتيالياً كبيراً يؤدي إلى عقوبات شديدة، بما في ذلك الإيقاف لفترات طويلة.</v>
      </c>
    </row>
    <row r="119">
      <c r="A119" s="3">
        <v>118.0</v>
      </c>
      <c r="B119" s="4" t="s">
        <v>475</v>
      </c>
      <c r="C119" s="4" t="s">
        <v>476</v>
      </c>
      <c r="D119" s="4" t="s">
        <v>477</v>
      </c>
      <c r="E119" s="4" t="s">
        <v>478</v>
      </c>
      <c r="G119" s="5" t="str">
        <f>IFERROR(__xludf.DUMMYFUNCTION("GOOGLETRANSLATE(A119, ""en"", ""ar"")"),"118")</f>
        <v>118</v>
      </c>
      <c r="H119" s="5" t="str">
        <f>IFERROR(__xludf.DUMMYFUNCTION("GOOGLETRANSLATE(B119, ""en"", ""ar"")"),"هل هناك قواعد بشأن النظام الغذائي للجمل خلال الـ 24 ساعة التي تسبق السباق؟")</f>
        <v>هل هناك قواعد بشأن النظام الغذائي للجمل خلال الـ 24 ساعة التي تسبق السباق؟</v>
      </c>
      <c r="I119" s="5" t="str">
        <f>IFERROR(__xludf.DUMMYFUNCTION("GOOGLETRANSLATE(C119, ""en"", ""ar"")"),"أ) لا، النظام الغذائي غير منظم؛ ب) نعم، يُسمح فقط بحبوب محددة وماء؛ ج) يجب على الإبل الصيام؛ د) لا يجوز لها تناول سوى التمر والحليب")</f>
        <v>أ) لا، النظام الغذائي غير منظم؛ ب) نعم، يُسمح فقط بحبوب محددة وماء؛ ج) يجب على الإبل الصيام؛ د) لا يجوز لها تناول سوى التمر والحليب</v>
      </c>
      <c r="J119" s="5" t="str">
        <f>IFERROR(__xludf.DUMMYFUNCTION("GOOGLETRANSLATE(D119, ""en"", ""ar"")"),"ب) نعم، يُسمح فقط بحبوب محددة وماء.")</f>
        <v>ب) نعم، يُسمح فقط بحبوب محددة وماء.</v>
      </c>
      <c r="K119" s="5" t="str">
        <f>IFERROR(__xludf.DUMMYFUNCTION("GOOGLETRANSLATE(E119, ""en"", ""ar"")"),"ولمنع استخدام المواد التي تؤثر على الأداء وضمان صحة الحيوان، غالبا ما تتم مراقبة أو تنظيم الأنظمة الغذائية قبل السباق.")</f>
        <v>ولمنع استخدام المواد التي تؤثر على الأداء وضمان صحة الحيوان، غالبا ما تتم مراقبة أو تنظيم الأنظمة الغذائية قبل السباق.</v>
      </c>
    </row>
    <row r="120">
      <c r="A120" s="3">
        <v>119.0</v>
      </c>
      <c r="B120" s="4" t="s">
        <v>479</v>
      </c>
      <c r="C120" s="4" t="s">
        <v>480</v>
      </c>
      <c r="D120" s="4" t="s">
        <v>481</v>
      </c>
      <c r="E120" s="4" t="s">
        <v>482</v>
      </c>
      <c r="G120" s="5" t="str">
        <f>IFERROR(__xludf.DUMMYFUNCTION("GOOGLETRANSLATE(A120, ""en"", ""ar"")"),"119")</f>
        <v>119</v>
      </c>
      <c r="H120" s="5" t="str">
        <f>IFERROR(__xludf.DUMMYFUNCTION("GOOGLETRANSLATE(B120, ""en"", ""ar"")"),"إذا أصيب الفارس ولم يتمكن من مواصلة السباق، فهل يمكن لفارس بديل أن يتولى المهمة في منتصف السباق؟")</f>
        <v>إذا أصيب الفارس ولم يتمكن من مواصلة السباق، فهل يمكن لفارس بديل أن يتولى المهمة في منتصف السباق؟</v>
      </c>
      <c r="I120" s="5" t="str">
        <f>IFERROR(__xludf.DUMMYFUNCTION("GOOGLETRANSLATE(C120, ""en"", ""ar"")"),"أ) نعم، إذا كان البديل في وضع الاستعداد؛ ب) لا، يجب سحب الجمل من السباق؛ ج) فقط إذا كان الجمل في المقدمة؛ د) نعم، ولكن مع عقوبة زمنية")</f>
        <v>أ) نعم، إذا كان البديل في وضع الاستعداد؛ ب) لا، يجب سحب الجمل من السباق؛ ج) فقط إذا كان الجمل في المقدمة؛ د) نعم، ولكن مع عقوبة زمنية</v>
      </c>
      <c r="J120" s="5" t="str">
        <f>IFERROR(__xludf.DUMMYFUNCTION("GOOGLETRANSLATE(D120, ""en"", ""ar"")"),"ب) لا، يجب سحب الجمل من السباق.")</f>
        <v>ب) لا، يجب سحب الجمل من السباق.</v>
      </c>
      <c r="K120" s="5" t="str">
        <f>IFERROR(__xludf.DUMMYFUNCTION("GOOGLETRANSLATE(E120, ""en"", ""ar"")"),"لا توجد ""محطات توقف"" أو تبديلات في سباقات الهجن؛ إذا لم يتمكن الفارس من مواصلة السباق، يتم سحب المشاركة.")</f>
        <v>لا توجد "محطات توقف" أو تبديلات في سباقات الهجن؛ إذا لم يتمكن الفارس من مواصلة السباق، يتم سحب المشاركة.</v>
      </c>
    </row>
    <row r="121">
      <c r="A121" s="3">
        <v>120.0</v>
      </c>
      <c r="B121" s="4" t="s">
        <v>483</v>
      </c>
      <c r="C121" s="4" t="s">
        <v>484</v>
      </c>
      <c r="D121" s="4" t="s">
        <v>485</v>
      </c>
      <c r="E121" s="4" t="s">
        <v>486</v>
      </c>
      <c r="G121" s="5" t="str">
        <f>IFERROR(__xludf.DUMMYFUNCTION("GOOGLETRANSLATE(A121, ""en"", ""ar"")"),"120")</f>
        <v>120</v>
      </c>
      <c r="H121" s="5" t="str">
        <f>IFERROR(__xludf.DUMMYFUNCTION("GOOGLETRANSLATE(B121, ""en"", ""ar"")"),"ما هو حكم استخدام التمائم أو الأحجبة التقليدية لجلب الحظ على الإبل؟")</f>
        <v>ما هو حكم استخدام التمائم أو الأحجبة التقليدية لجلب الحظ على الإبل؟</v>
      </c>
      <c r="I121" s="5" t="str">
        <f>IFERROR(__xludf.DUMMYFUNCTION("GOOGLETRANSLATE(C121, ""en"", ""ar"")"),"أ) ممنوعة منعاً باتاً؛ ب) مسموح بها طالما أنها آمنة ومأمونة؛ ج) مسموح فقط بالتعويذات التي باركتها شخصية دينية؛ د) يجب تسجيلها لدى مسؤولي السباق")</f>
        <v>أ) ممنوعة منعاً باتاً؛ ب) مسموح بها طالما أنها آمنة ومأمونة؛ ج) مسموح فقط بالتعويذات التي باركتها شخصية دينية؛ د) يجب تسجيلها لدى مسؤولي السباق</v>
      </c>
      <c r="J121" s="5" t="str">
        <f>IFERROR(__xludf.DUMMYFUNCTION("GOOGLETRANSLATE(D121, ""en"", ""ar"")"),"ب) يُسمح لهم طالما كانوا آمنين ومأمونين.")</f>
        <v>ب) يُسمح لهم طالما كانوا آمنين ومأمونين.</v>
      </c>
      <c r="K121" s="5" t="str">
        <f>IFERROR(__xludf.DUMMYFUNCTION("GOOGLETRANSLATE(E121, ""en"", ""ar"")"),"يتم احترام التقاليد الثقافية، بشرط ألا تشكل العناصر أي خطر على سلامة أي من المتنافسين.")</f>
        <v>يتم احترام التقاليد الثقافية، بشرط ألا تشكل العناصر أي خطر على سلامة أي من المتنافسين.</v>
      </c>
    </row>
    <row r="122">
      <c r="A122" s="3">
        <v>121.0</v>
      </c>
      <c r="B122" s="4" t="s">
        <v>487</v>
      </c>
      <c r="C122" s="4" t="s">
        <v>488</v>
      </c>
      <c r="D122" s="4" t="s">
        <v>489</v>
      </c>
      <c r="E122" s="4" t="s">
        <v>490</v>
      </c>
      <c r="G122" s="5" t="str">
        <f>IFERROR(__xludf.DUMMYFUNCTION("GOOGLETRANSLATE(A122, ""en"", ""ar"")"),"121")</f>
        <v>121</v>
      </c>
      <c r="H122" s="5" t="str">
        <f>IFERROR(__xludf.DUMMYFUNCTION("GOOGLETRANSLATE(B122, ""en"", ""ar"")"),"ما الإجراء المتخذ إذا تم العثور على حذاء كبير الحجم أو غير قانوني على الجمل؟")</f>
        <v>ما الإجراء المتخذ إذا تم العثور على حذاء كبير الحجم أو غير قانوني على الجمل؟</v>
      </c>
      <c r="I122" s="5" t="str">
        <f>IFERROR(__xludf.DUMMYFUNCTION("GOOGLETRANSLATE(C122, ""en"", ""ar"")"),"أ) يتم استبدال الأحذية بأخرى قانونية؛ ب) يتم استبعاد الجمل قبل السباق؛ ج) يُسمح للجمل بالركض حافي القدمين؛ د) تتم إضافة عقوبة الوزن")</f>
        <v>أ) يتم استبدال الأحذية بأخرى قانونية؛ ب) يتم استبعاد الجمل قبل السباق؛ ج) يُسمح للجمل بالركض حافي القدمين؛ د) تتم إضافة عقوبة الوزن</v>
      </c>
      <c r="J122" s="5" t="str">
        <f>IFERROR(__xludf.DUMMYFUNCTION("GOOGLETRANSLATE(D122, ""en"", ""ar"")"),"ب) يتم استبعاد الجمل قبل السباق")</f>
        <v>ب) يتم استبعاد الجمل قبل السباق</v>
      </c>
      <c r="K122" s="5" t="str">
        <f>IFERROR(__xludf.DUMMYFUNCTION("GOOGLETRANSLATE(E122, ""en"", ""ar"")"),"يجب أن تكون جميع المعدات، بما في ذلك الأحذية، متوافقة مع اللوائح، وعدم الامتثال يؤدي إلى الاستبعاد.")</f>
        <v>يجب أن تكون جميع المعدات، بما في ذلك الأحذية، متوافقة مع اللوائح، وعدم الامتثال يؤدي إلى الاستبعاد.</v>
      </c>
    </row>
    <row r="123">
      <c r="A123" s="3">
        <v>122.0</v>
      </c>
      <c r="B123" s="4" t="s">
        <v>491</v>
      </c>
      <c r="C123" s="4" t="s">
        <v>492</v>
      </c>
      <c r="D123" s="4" t="s">
        <v>493</v>
      </c>
      <c r="E123" s="4" t="s">
        <v>494</v>
      </c>
      <c r="G123" s="5" t="str">
        <f>IFERROR(__xludf.DUMMYFUNCTION("GOOGLETRANSLATE(A123, ""en"", ""ar"")"),"122")</f>
        <v>122</v>
      </c>
      <c r="H123" s="5" t="str">
        <f>IFERROR(__xludf.DUMMYFUNCTION("GOOGLETRANSLATE(B123, ""en"", ""ar"")"),"هل يجوز للفارس أن يحمل زجاجة ماء صغيرة أثناء السباق الطويل؟")</f>
        <v>هل يجوز للفارس أن يحمل زجاجة ماء صغيرة أثناء السباق الطويل؟</v>
      </c>
      <c r="I123" s="5" t="str">
        <f>IFERROR(__xludf.DUMMYFUNCTION("GOOGLETRANSLATE(C123, ""en"", ""ar"")"),"أ) نعم، للترطيب؛ ب) لا، يُحظر حمل أشياء إضافية؛ ج) فقط إذا تم توفيرها من قبل مسؤولي السباق؛ د) فقط في سباقات الصحراء")</f>
        <v>أ) نعم، للترطيب؛ ب) لا، يُحظر حمل أشياء إضافية؛ ج) فقط إذا تم توفيرها من قبل مسؤولي السباق؛ د) فقط في سباقات الصحراء</v>
      </c>
      <c r="J123" s="5" t="str">
        <f>IFERROR(__xludf.DUMMYFUNCTION("GOOGLETRANSLATE(D123, ""en"", ""ar"")"),"ب) لا، يُحظر حمل أشياء إضافية.")</f>
        <v>ب) لا، يُحظر حمل أشياء إضافية.</v>
      </c>
      <c r="K123" s="5" t="str">
        <f>IFERROR(__xludf.DUMMYFUNCTION("GOOGLETRANSLATE(E123, ""en"", ""ar"")"),"يتم وزن الفرسان مع معداتهم، ولا يُسمح بحمل أشياء إضافية مثل زجاجات المياه للحفاظ على قواعد الوزن.")</f>
        <v>يتم وزن الفرسان مع معداتهم، ولا يُسمح بحمل أشياء إضافية مثل زجاجات المياه للحفاظ على قواعد الوزن.</v>
      </c>
    </row>
    <row r="124">
      <c r="A124" s="3">
        <v>123.0</v>
      </c>
      <c r="B124" s="4" t="s">
        <v>495</v>
      </c>
      <c r="C124" s="4" t="s">
        <v>496</v>
      </c>
      <c r="D124" s="4" t="s">
        <v>497</v>
      </c>
      <c r="E124" s="4" t="s">
        <v>498</v>
      </c>
      <c r="G124" s="5" t="str">
        <f>IFERROR(__xludf.DUMMYFUNCTION("GOOGLETRANSLATE(A124, ""en"", ""ar"")"),"123")</f>
        <v>123</v>
      </c>
      <c r="H124" s="5" t="str">
        <f>IFERROR(__xludf.DUMMYFUNCTION("GOOGLETRANSLATE(B124, ""en"", ""ar"")"),"ماذا يحدث إذا فشل نظام التوقيت الإلكتروني أثناء سباق البطولة؟")</f>
        <v>ماذا يحدث إذا فشل نظام التوقيت الإلكتروني أثناء سباق البطولة؟</v>
      </c>
      <c r="I124" s="5" t="str">
        <f>IFERROR(__xludf.DUMMYFUNCTION("GOOGLETRANSLATE(C124, ""en"", ""ar"")"),"أ) يتم إلغاء السباق على الفور؛ ب) يتم استخدام نظام توقيت احتياطي يدوي؛ ج) يتم تحديد الفائز بناءً على الإجماع البصري للحكام؛ د) يتم تقسيم أموال الجائزة")</f>
        <v>أ) يتم إلغاء السباق على الفور؛ ب) يتم استخدام نظام توقيت احتياطي يدوي؛ ج) يتم تحديد الفائز بناءً على الإجماع البصري للحكام؛ د) يتم تقسيم أموال الجائزة</v>
      </c>
      <c r="J124" s="5" t="str">
        <f>IFERROR(__xludf.DUMMYFUNCTION("GOOGLETRANSLATE(D124, ""en"", ""ar"")"),"ب) يتم استخدام نظام توقيت النسخ الاحتياطي اليدوي")</f>
        <v>ب) يتم استخدام نظام توقيت النسخ الاحتياطي اليدوي</v>
      </c>
      <c r="K124" s="5" t="str">
        <f>IFERROR(__xludf.DUMMYFUNCTION("GOOGLETRANSLATE(E124, ""en"", ""ar"")"),"تتوفر في مضامير السباق أنظمة احتياطية رسمية (مثل ساعات التوقيت اليدوية) لضمان إمكانية تسجيل النتيجة بدقة.")</f>
        <v>تتوفر في مضامير السباق أنظمة احتياطية رسمية (مثل ساعات التوقيت اليدوية) لضمان إمكانية تسجيل النتيجة بدقة.</v>
      </c>
    </row>
    <row r="125">
      <c r="A125" s="3">
        <v>124.0</v>
      </c>
      <c r="B125" s="4" t="s">
        <v>499</v>
      </c>
      <c r="C125" s="4" t="s">
        <v>500</v>
      </c>
      <c r="D125" s="4" t="s">
        <v>501</v>
      </c>
      <c r="E125" s="4" t="s">
        <v>502</v>
      </c>
      <c r="G125" s="5" t="str">
        <f>IFERROR(__xludf.DUMMYFUNCTION("GOOGLETRANSLATE(A125, ""en"", ""ar"")"),"124")</f>
        <v>124</v>
      </c>
      <c r="H125" s="5" t="str">
        <f>IFERROR(__xludf.DUMMYFUNCTION("GOOGLETRANSLATE(B125, ""en"", ""ar"")"),"ما هي القاعدة الخاصة بالجمل الذي لديه مزاج عدواني معروف (على سبيل المثال، تاريخ من العض)؟")</f>
        <v>ما هي القاعدة الخاصة بالجمل الذي لديه مزاج عدواني معروف (على سبيل المثال، تاريخ من العض)؟</v>
      </c>
      <c r="I125" s="5" t="str">
        <f>IFERROR(__xludf.DUMMYFUNCTION("GOOGLETRANSLATE(C125, ""en"", ""ar"")"),"أ) ممنوع من جميع الأجناس؛ ب) قد يلزم ارتداء كمامة؛ ج) يجب أن تبدأ من البوابة الخارجية؛ د) لا توجد قواعد محددة للمزاج")</f>
        <v>أ) ممنوع من جميع الأجناس؛ ب) قد يلزم ارتداء كمامة؛ ج) يجب أن تبدأ من البوابة الخارجية؛ د) لا توجد قواعد محددة للمزاج</v>
      </c>
      <c r="J125" s="5" t="str">
        <f>IFERROR(__xludf.DUMMYFUNCTION("GOOGLETRANSLATE(D125, ""en"", ""ar"")"),"ب) قد يلزم ارتداء كمامة")</f>
        <v>ب) قد يلزم ارتداء كمامة</v>
      </c>
      <c r="K125" s="5" t="str">
        <f>IFERROR(__xludf.DUMMYFUNCTION("GOOGLETRANSLATE(E125, ""en"", ""ar"")"),"ولضمان السلامة، يمكن لمسؤولي السباق فرض معدات محددة مثل الكمامات للجمال التي لديها تاريخ من السلوك الخطير.")</f>
        <v>ولضمان السلامة، يمكن لمسؤولي السباق فرض معدات محددة مثل الكمامات للجمال التي لديها تاريخ من السلوك الخطير.</v>
      </c>
    </row>
    <row r="126">
      <c r="A126" s="3">
        <v>125.0</v>
      </c>
      <c r="B126" s="4" t="s">
        <v>503</v>
      </c>
      <c r="C126" s="4" t="s">
        <v>504</v>
      </c>
      <c r="D126" s="4" t="s">
        <v>505</v>
      </c>
      <c r="E126" s="4" t="s">
        <v>506</v>
      </c>
      <c r="G126" s="5" t="str">
        <f>IFERROR(__xludf.DUMMYFUNCTION("GOOGLETRANSLATE(A126, ""en"", ""ar"")"),"125")</f>
        <v>125</v>
      </c>
      <c r="H126" s="5" t="str">
        <f>IFERROR(__xludf.DUMMYFUNCTION("GOOGLETRANSLATE(B126, ""en"", ""ar"")"),"هل يُسمح للفرسان بالتواصل مع بعضهم البعض أثناء السباق؟")</f>
        <v>هل يُسمح للفرسان بالتواصل مع بعضهم البعض أثناء السباق؟</v>
      </c>
      <c r="I126" s="5" t="str">
        <f>IFERROR(__xludf.DUMMYFUNCTION("GOOGLETRANSLATE(C126, ""en"", ""ar"")"),"أ) نعم، يُسمح بالتواصل؛ ب) لا، يُمنع التحدث مع بعضهم البعض؛ ج) فقط للتحذير من الخطر؛ د) فقط بين زملاء الفريق")</f>
        <v>أ) نعم، يُسمح بالتواصل؛ ب) لا، يُمنع التحدث مع بعضهم البعض؛ ج) فقط للتحذير من الخطر؛ د) فقط بين زملاء الفريق</v>
      </c>
      <c r="J126" s="5" t="str">
        <f>IFERROR(__xludf.DUMMYFUNCTION("GOOGLETRANSLATE(D126, ""en"", ""ar"")"),"ج) فقط للتحذير من الخطر")</f>
        <v>ج) فقط للتحذير من الخطر</v>
      </c>
      <c r="K126" s="5" t="str">
        <f>IFERROR(__xludf.DUMMYFUNCTION("GOOGLETRANSLATE(E126, ""en"", ""ar"")"),"في حين أن الحديث الاستراتيجي محظور، فإن الصراخ تحذيرًا بشأن خطر ما (على سبيل المثال، سقوط جمل) مقبول من أجل السلامة.")</f>
        <v>في حين أن الحديث الاستراتيجي محظور، فإن الصراخ تحذيرًا بشأن خطر ما (على سبيل المثال، سقوط جمل) مقبول من أجل السلامة.</v>
      </c>
    </row>
    <row r="127">
      <c r="A127" s="3">
        <v>126.0</v>
      </c>
      <c r="B127" s="4" t="s">
        <v>507</v>
      </c>
      <c r="C127" s="4" t="s">
        <v>508</v>
      </c>
      <c r="D127" s="4" t="s">
        <v>509</v>
      </c>
      <c r="E127" s="6" t="s">
        <v>510</v>
      </c>
      <c r="G127" s="5" t="str">
        <f>IFERROR(__xludf.DUMMYFUNCTION("GOOGLETRANSLATE(A127, ""en"", ""ar"")"),"126")</f>
        <v>126</v>
      </c>
      <c r="H127" s="5" t="str">
        <f>IFERROR(__xludf.DUMMYFUNCTION("GOOGLETRANSLATE(B127, ""en"", ""ar"")"),"ما هو المصطلح الرسمي للجمل الذي تم تربيته خصيصًا للسباق؟")</f>
        <v>ما هو المصطلح الرسمي للجمل الذي تم تربيته خصيصًا للسباق؟</v>
      </c>
      <c r="I127" s="5" t="str">
        <f>IFERROR(__xludf.DUMMYFUNCTION("GOOGLETRANSLATE(C127, ""en"", ""ar"")"),"أ) ""ظبيان""؛ ب) ""هجين""؛ ج) ""مها""؛ د) ""جميل""")</f>
        <v>أ) "ظبيان"؛ ب) "هجين"؛ ج) "مها"؛ د) "جميل"</v>
      </c>
      <c r="J127" s="5" t="str">
        <f>IFERROR(__xludf.DUMMYFUNCTION("GOOGLETRANSLATE(D127, ""en"", ""ar"")"),"ب) ""هجين""")</f>
        <v>ب) "هجين"</v>
      </c>
      <c r="K127" s="5" t="str">
        <f>IFERROR(__xludf.DUMMYFUNCTION("GOOGLETRANSLATE(E127, ""en"", ""ar"")"),"هجين هو المصطلح المستخدم للإشارة إلى الجمل من سلالة السباق، والمعروف بجسمه النحيل وقدرته على التحمل.")</f>
        <v>هجين هو المصطلح المستخدم للإشارة إلى الجمل من سلالة السباق، والمعروف بجسمه النحيل وقدرته على التحمل.</v>
      </c>
    </row>
    <row r="128">
      <c r="A128" s="3">
        <v>127.0</v>
      </c>
      <c r="B128" s="4" t="s">
        <v>511</v>
      </c>
      <c r="C128" s="4" t="s">
        <v>512</v>
      </c>
      <c r="D128" s="4" t="s">
        <v>513</v>
      </c>
      <c r="E128" s="4" t="s">
        <v>514</v>
      </c>
      <c r="G128" s="5" t="str">
        <f>IFERROR(__xludf.DUMMYFUNCTION("GOOGLETRANSLATE(A128, ""en"", ""ar"")"),"127")</f>
        <v>127</v>
      </c>
      <c r="H128" s="5" t="str">
        <f>IFERROR(__xludf.DUMMYFUNCTION("GOOGLETRANSLATE(B128, ""en"", ""ar"")"),"ما هو البروتوكول إذا ولدت جمل بشكل غير متوقع في الحظيرة قبل السباق؟")</f>
        <v>ما هو البروتوكول إذا ولدت جمل بشكل غير متوقع في الحظيرة قبل السباق؟</v>
      </c>
      <c r="I128" s="5" t="str">
        <f>IFERROR(__xludf.DUMMYFUNCTION("GOOGLETRANSLATE(C128, ""en"", ""ar"")"),"أ) لا يزال الجمل مطلوبًا للسباق؛ ب) يتم سحب الجمل على الفور للرعاية البيطرية؛ ج) يتم تغريم المالك بسبب الإهمال؛ د) يتم تأجيل السباق حتى يصبح الجمل جاهزًا")</f>
        <v>أ) لا يزال الجمل مطلوبًا للسباق؛ ب) يتم سحب الجمل على الفور للرعاية البيطرية؛ ج) يتم تغريم المالك بسبب الإهمال؛ د) يتم تأجيل السباق حتى يصبح الجمل جاهزًا</v>
      </c>
      <c r="J128" s="5" t="str">
        <f>IFERROR(__xludf.DUMMYFUNCTION("GOOGLETRANSLATE(D128, ""en"", ""ar"")"),"ب) يتم سحب الجمل فورًا للرعاية البيطرية")</f>
        <v>ب) يتم سحب الجمل فورًا للرعاية البيطرية</v>
      </c>
      <c r="K128" s="5" t="str">
        <f>IFERROR(__xludf.DUMMYFUNCTION("GOOGLETRANSLATE(E128, ""en"", ""ar"")"),"إن رفاهية الأم والمولود هي الأولوية المطلقة، مما يؤدي إلى الانسحاب الفوري والإلزامي.")</f>
        <v>إن رفاهية الأم والمولود هي الأولوية المطلقة، مما يؤدي إلى الانسحاب الفوري والإلزامي.</v>
      </c>
    </row>
    <row r="129">
      <c r="A129" s="3">
        <v>128.0</v>
      </c>
      <c r="B129" s="4" t="s">
        <v>515</v>
      </c>
      <c r="C129" s="4" t="s">
        <v>516</v>
      </c>
      <c r="D129" s="4" t="s">
        <v>517</v>
      </c>
      <c r="E129" s="4" t="s">
        <v>518</v>
      </c>
      <c r="G129" s="5" t="str">
        <f>IFERROR(__xludf.DUMMYFUNCTION("GOOGLETRANSLATE(A129, ""en"", ""ar"")"),"128")</f>
        <v>128</v>
      </c>
      <c r="H129" s="5" t="str">
        <f>IFERROR(__xludf.DUMMYFUNCTION("GOOGLETRANSLATE(B129, ""en"", ""ar"")"),"ما هي عقوبة المالك الذي يعترض علنًا على قرار القاضي بطريقة غير محترمة؟")</f>
        <v>ما هي عقوبة المالك الذي يعترض علنًا على قرار القاضي بطريقة غير محترمة؟</v>
      </c>
      <c r="I129" s="5" t="str">
        <f>IFERROR(__xludf.DUMMYFUNCTION("GOOGLETRANSLATE(C129, ""en"", ""ar"")"),"أ) تحذير؛ ب) غرامة وإيقاف محتمل عن السباقات المستقبلية؛ ج) استبعاد جملهم بأثر رجعي؛ د) تجاهلهم المسؤولون")</f>
        <v>أ) تحذير؛ ب) غرامة وإيقاف محتمل عن السباقات المستقبلية؛ ج) استبعاد جملهم بأثر رجعي؛ د) تجاهلهم المسؤولون</v>
      </c>
      <c r="J129" s="5" t="str">
        <f>IFERROR(__xludf.DUMMYFUNCTION("GOOGLETRANSLATE(D129, ""en"", ""ar"")"),"ب) غرامة وإمكانية الإيقاف عن السباقات المستقبلية")</f>
        <v>ب) غرامة وإمكانية الإيقاف عن السباقات المستقبلية</v>
      </c>
      <c r="K129" s="5" t="str">
        <f>IFERROR(__xludf.DUMMYFUNCTION("GOOGLETRANSLATE(E129, ""en"", ""ar"")"),"إن عدم احترام المسؤولين علناً يعد خرقاً لقواعد السلوك ويعرض صاحبه للعقوبات.")</f>
        <v>إن عدم احترام المسؤولين علناً يعد خرقاً لقواعد السلوك ويعرض صاحبه للعقوبات.</v>
      </c>
    </row>
    <row r="130">
      <c r="A130" s="3">
        <v>129.0</v>
      </c>
      <c r="B130" s="4" t="s">
        <v>519</v>
      </c>
      <c r="C130" s="4" t="s">
        <v>520</v>
      </c>
      <c r="D130" s="4" t="s">
        <v>521</v>
      </c>
      <c r="E130" s="4" t="s">
        <v>522</v>
      </c>
      <c r="G130" s="5" t="str">
        <f>IFERROR(__xludf.DUMMYFUNCTION("GOOGLETRANSLATE(A130, ""en"", ""ar"")"),"129")</f>
        <v>129</v>
      </c>
      <c r="H130" s="5" t="str">
        <f>IFERROR(__xludf.DUMMYFUNCTION("GOOGLETRANSLATE(B130, ""en"", ""ar"")"),"هل هناك قواعد بشأن الحد الأقصى لعدد السباقات التي يمكن للجمل الواحد المشاركة فيها في كل موسم؟")</f>
        <v>هل هناك قواعد بشأن الحد الأقصى لعدد السباقات التي يمكن للجمل الواحد المشاركة فيها في كل موسم؟</v>
      </c>
      <c r="I130" s="5" t="str">
        <f>IFERROR(__xludf.DUMMYFUNCTION("GOOGLETRANSLATE(C130, ""en"", ""ar"")"),"أ) لا، الأمر متروك للمالك؛ ب) نعم، يتم تحديد حد من قبل الاتحاد؛ ج) فقط للإبل التي يقل عمرها عن 5 سنوات؛ د) الحد الأقصى هو 10 سباقات")</f>
        <v>أ) لا، الأمر متروك للمالك؛ ب) نعم، يتم تحديد حد من قبل الاتحاد؛ ج) فقط للإبل التي يقل عمرها عن 5 سنوات؛ د) الحد الأقصى هو 10 سباقات</v>
      </c>
      <c r="J130" s="5" t="str">
        <f>IFERROR(__xludf.DUMMYFUNCTION("GOOGLETRANSLATE(D130, ""en"", ""ar"")"),"ب) نعم، يتم تحديد الحد الأقصى من قبل الاتحاد.")</f>
        <v>ب) نعم، يتم تحديد الحد الأقصى من قبل الاتحاد.</v>
      </c>
      <c r="K130" s="5" t="str">
        <f>IFERROR(__xludf.DUMMYFUNCTION("GOOGLETRANSLATE(E130, ""en"", ""ar"")"),"ولمنع الإفراط في السباقات وحماية رفاهة الحيوان، فرضت العديد من الاتحادات حدًا أقصى لعدد السباقات في الموسم الواحد.")</f>
        <v>ولمنع الإفراط في السباقات وحماية رفاهة الحيوان، فرضت العديد من الاتحادات حدًا أقصى لعدد السباقات في الموسم الواحد.</v>
      </c>
    </row>
    <row r="131">
      <c r="A131" s="3">
        <v>130.0</v>
      </c>
      <c r="B131" s="4" t="s">
        <v>523</v>
      </c>
      <c r="C131" s="4" t="s">
        <v>524</v>
      </c>
      <c r="D131" s="4" t="s">
        <v>525</v>
      </c>
      <c r="E131" s="4" t="s">
        <v>526</v>
      </c>
      <c r="G131" s="5" t="str">
        <f>IFERROR(__xludf.DUMMYFUNCTION("GOOGLETRANSLATE(A131, ""en"", ""ar"")"),"130")</f>
        <v>130</v>
      </c>
      <c r="H131" s="5" t="str">
        <f>IFERROR(__xludf.DUMMYFUNCTION("GOOGLETRANSLATE(B131, ""en"", ""ar"")"),"إذا كان الفارس أقل من السن القانوني ولكنه حصل على موافقة الوالدين، فهل يمكن عمل استثناء؟")</f>
        <v>إذا كان الفارس أقل من السن القانوني ولكنه حصل على موافقة الوالدين، فهل يمكن عمل استثناء؟</v>
      </c>
      <c r="I131" s="5" t="str">
        <f>IFERROR(__xludf.DUMMYFUNCTION("GOOGLETRANSLATE(C131, ""en"", ""ar"")"),"أ) نعم، مع إخلاء مسؤولية موقع؛ ب) لا، قاعدة الحد الأدنى للسن مطلقة؛ ج) فقط للسباقات المحلية الصغيرة؛ د) فقط إذا اجتازوا اختبار المهارات")</f>
        <v>أ) نعم، مع إخلاء مسؤولية موقع؛ ب) لا، قاعدة الحد الأدنى للسن مطلقة؛ ج) فقط للسباقات المحلية الصغيرة؛ د) فقط إذا اجتازوا اختبار المهارات</v>
      </c>
      <c r="J131" s="5" t="str">
        <f>IFERROR(__xludf.DUMMYFUNCTION("GOOGLETRANSLATE(D131, ""en"", ""ar"")"),"ب) لا، قاعدة الحد الأدنى للسن مطلقة")</f>
        <v>ب) لا، قاعدة الحد الأدنى للسن مطلقة</v>
      </c>
      <c r="K131" s="5" t="str">
        <f>IFERROR(__xludf.DUMMYFUNCTION("GOOGLETRANSLATE(E131, ""en"", ""ar"")"),"تعني لوائح السلامة ورعاية الطفل أن الحد الأدنى لسن الفرسان هو قاعدة صارمة وغير قابلة للتفاوض.")</f>
        <v>تعني لوائح السلامة ورعاية الطفل أن الحد الأدنى لسن الفرسان هو قاعدة صارمة وغير قابلة للتفاوض.</v>
      </c>
    </row>
    <row r="132">
      <c r="A132" s="3">
        <v>131.0</v>
      </c>
      <c r="B132" s="4" t="s">
        <v>527</v>
      </c>
      <c r="C132" s="4" t="s">
        <v>528</v>
      </c>
      <c r="D132" s="4" t="s">
        <v>433</v>
      </c>
      <c r="E132" s="4" t="s">
        <v>529</v>
      </c>
      <c r="G132" s="5" t="str">
        <f>IFERROR(__xludf.DUMMYFUNCTION("GOOGLETRANSLATE(A132, ""en"", ""ar"")"),"131")</f>
        <v>131</v>
      </c>
      <c r="H132" s="5" t="str">
        <f>IFERROR(__xludf.DUMMYFUNCTION("GOOGLETRANSLATE(B132, ""en"", ""ar"")"),"ماذا يحدث إذا انكسر لجام الجمل أثناء السباق؟")</f>
        <v>ماذا يحدث إذا انكسر لجام الجمل أثناء السباق؟</v>
      </c>
      <c r="I132" s="5" t="str">
        <f>IFERROR(__xludf.DUMMYFUNCTION("GOOGLETRANSLATE(C132, ""en"", ""ar"")"),"أ) يجب على الفارس أن يحاول توجيه الخيل بيديه؛ ب) هذا يؤدي إلى الاستبعاد التلقائي؛ ج) يتوقف السباق؛ د) يمكن للفارس الحصول على لجام بديل")</f>
        <v>أ) يجب على الفارس أن يحاول توجيه الخيل بيديه؛ ب) هذا يؤدي إلى الاستبعاد التلقائي؛ ج) يتوقف السباق؛ د) يمكن للفارس الحصول على لجام بديل</v>
      </c>
      <c r="J132" s="5" t="str">
        <f>IFERROR(__xludf.DUMMYFUNCTION("GOOGLETRANSLATE(D132, ""en"", ""ar"")"),"ب) إنه استبعاد تلقائي")</f>
        <v>ب) إنه استبعاد تلقائي</v>
      </c>
      <c r="K132" s="5" t="str">
        <f>IFERROR(__xludf.DUMMYFUNCTION("GOOGLETRANSLATE(E132, ""en"", ""ar"")"),"إن فقدان الوسيلة الأساسية للسيطرة يشكل خطراً كبيراً على السلامة، مما يضطر الفارس إلى التوقف والانسحاب.")</f>
        <v>إن فقدان الوسيلة الأساسية للسيطرة يشكل خطراً كبيراً على السلامة، مما يضطر الفارس إلى التوقف والانسحاب.</v>
      </c>
    </row>
    <row r="133">
      <c r="A133" s="3">
        <v>132.0</v>
      </c>
      <c r="B133" s="4" t="s">
        <v>530</v>
      </c>
      <c r="C133" s="4" t="s">
        <v>531</v>
      </c>
      <c r="D133" s="4" t="s">
        <v>532</v>
      </c>
      <c r="E133" s="4" t="s">
        <v>533</v>
      </c>
      <c r="G133" s="5" t="str">
        <f>IFERROR(__xludf.DUMMYFUNCTION("GOOGLETRANSLATE(A133, ""en"", ""ar"")"),"132")</f>
        <v>132</v>
      </c>
      <c r="H133" s="5" t="str">
        <f>IFERROR(__xludf.DUMMYFUNCTION("GOOGLETRANSLATE(B133, ""en"", ""ar"")"),"هل يجوز قانونيا استخدام تقنية نقل الأجنة لتربية الإبل المخصصة للسباق؟")</f>
        <v>هل يجوز قانونيا استخدام تقنية نقل الأجنة لتربية الإبل المخصصة للسباق؟</v>
      </c>
      <c r="I133" s="5" t="str">
        <f>IFERROR(__xludf.DUMMYFUNCTION("GOOGLETRANSLATE(C133, ""en"", ""ar"")"),"أ) لا، يُسمح فقط بالتربية الطبيعية؛ ب) نعم، إنها ممارسة شائعة ومقبولة؛ ج) إنها قانونية ولكن الجمال الناتجة لا يمكنها السباق؛ د) يُسمح بها فقط في الإسطبلات الملكية")</f>
        <v>أ) لا، يُسمح فقط بالتربية الطبيعية؛ ب) نعم، إنها ممارسة شائعة ومقبولة؛ ج) إنها قانونية ولكن الجمال الناتجة لا يمكنها السباق؛ د) يُسمح بها فقط في الإسطبلات الملكية</v>
      </c>
      <c r="J133" s="5" t="str">
        <f>IFERROR(__xludf.DUMMYFUNCTION("GOOGLETRANSLATE(D133, ""en"", ""ar"")"),"ب) نعم، إنها ممارسة شائعة ومقبولة")</f>
        <v>ب) نعم، إنها ممارسة شائعة ومقبولة</v>
      </c>
      <c r="K133" s="5" t="str">
        <f>IFERROR(__xludf.DUMMYFUNCTION("GOOGLETRANSLATE(E133, ""en"", ""ar"")"),"تُستخدم تقنيات التربية المتقدمة مثل نقل الأجنة على نطاق واسع لنشر السمات المرغوبة من الإبل الأنثوية البطلة.")</f>
        <v>تُستخدم تقنيات التربية المتقدمة مثل نقل الأجنة على نطاق واسع لنشر السمات المرغوبة من الإبل الأنثوية البطلة.</v>
      </c>
    </row>
    <row r="134">
      <c r="A134" s="3">
        <v>133.0</v>
      </c>
      <c r="B134" s="4" t="s">
        <v>534</v>
      </c>
      <c r="C134" s="4" t="s">
        <v>535</v>
      </c>
      <c r="D134" s="4" t="s">
        <v>536</v>
      </c>
      <c r="E134" s="4" t="s">
        <v>537</v>
      </c>
      <c r="G134" s="5" t="str">
        <f>IFERROR(__xludf.DUMMYFUNCTION("GOOGLETRANSLATE(A134, ""en"", ""ar"")"),"133")</f>
        <v>133</v>
      </c>
      <c r="H134" s="5" t="str">
        <f>IFERROR(__xludf.DUMMYFUNCTION("GOOGLETRANSLATE(B134, ""en"", ""ar"")"),"ما حكم الجمل الذي أجريت له عملية تجميل لتحسين مظهره؟")</f>
        <v>ما حكم الجمل الذي أجريت له عملية تجميل لتحسين مظهره؟</v>
      </c>
      <c r="I134" s="5" t="str">
        <f>IFERROR(__xludf.DUMMYFUNCTION("GOOGLETRANSLATE(C134, ""en"", ""ar"")"),"أ) مسموح به؛ ب) محظور باعتباره تمثيلًا احتياليًا؛ ج) يجب الإعلان عنه للمسؤولين؛ د) يحصل على جائزة جمال بدلاً من ذلك")</f>
        <v>أ) مسموح به؛ ب) محظور باعتباره تمثيلًا احتياليًا؛ ج) يجب الإعلان عنه للمسؤولين؛ د) يحصل على جائزة جمال بدلاً من ذلك</v>
      </c>
      <c r="J134" s="5" t="str">
        <f>IFERROR(__xludf.DUMMYFUNCTION("GOOGLETRANSLATE(D134, ""en"", ""ar"")"),"ب) يحظر ذلك باعتباره تمثيلًا احتياليًا")</f>
        <v>ب) يحظر ذلك باعتباره تمثيلًا احتياليًا</v>
      </c>
      <c r="K134" s="5" t="str">
        <f>IFERROR(__xludf.DUMMYFUNCTION("GOOGLETRANSLATE(E134, ""en"", ""ar"")"),"يعتبر أي تغيير جراحي في مظهر الجمل احتيالاً ومحظوراً تماماً.")</f>
        <v>يعتبر أي تغيير جراحي في مظهر الجمل احتيالاً ومحظوراً تماماً.</v>
      </c>
    </row>
    <row r="135">
      <c r="A135" s="3">
        <v>134.0</v>
      </c>
      <c r="B135" s="4" t="s">
        <v>538</v>
      </c>
      <c r="C135" s="4" t="s">
        <v>539</v>
      </c>
      <c r="D135" s="4" t="s">
        <v>540</v>
      </c>
      <c r="E135" s="4" t="s">
        <v>541</v>
      </c>
      <c r="G135" s="5" t="str">
        <f>IFERROR(__xludf.DUMMYFUNCTION("GOOGLETRANSLATE(A135, ""en"", ""ar"")"),"134")</f>
        <v>134</v>
      </c>
      <c r="H135" s="5" t="str">
        <f>IFERROR(__xludf.DUMMYFUNCTION("GOOGLETRANSLATE(B135, ""en"", ""ar"")"),"إذا كان السباق برعاية شركة، هل يجب على الفرسان ارتداء شعار الشركة الراعية؟")</f>
        <v>إذا كان السباق برعاية شركة، هل يجب على الفرسان ارتداء شعار الشركة الراعية؟</v>
      </c>
      <c r="I135" s="5" t="str">
        <f>IFERROR(__xludf.DUMMYFUNCTION("GOOGLETRANSLATE(C135, ""en"", ""ar"")"),"أ) لا، إنه اختياري؛ ب) نعم، إنه جزء إلزامي من زي السباق؛ ج) فقط إذا حصلوا على أجر إضافي؛ د) يرتديه الفارس الفائز فقط")</f>
        <v>أ) لا، إنه اختياري؛ ب) نعم، إنه جزء إلزامي من زي السباق؛ ج) فقط إذا حصلوا على أجر إضافي؛ د) يرتديه الفارس الفائز فقط</v>
      </c>
      <c r="J135" s="5" t="str">
        <f>IFERROR(__xludf.DUMMYFUNCTION("GOOGLETRANSLATE(D135, ""en"", ""ar"")"),"ب) نعم، إنه جزء إلزامي من الزي الرسمي للسباق")</f>
        <v>ب) نعم، إنه جزء إلزامي من الزي الرسمي للسباق</v>
      </c>
      <c r="K135" s="5" t="str">
        <f>IFERROR(__xludf.DUMMYFUNCTION("GOOGLETRANSLATE(E135, ""en"", ""ar"")"),"كجزء من اتفاقية السباق، يُطلب من جميع المشاركين عادةً عرض العلامة التجارية للراعي الرسمي للحدث.")</f>
        <v>كجزء من اتفاقية السباق، يُطلب من جميع المشاركين عادةً عرض العلامة التجارية للراعي الرسمي للحدث.</v>
      </c>
    </row>
    <row r="136">
      <c r="A136" s="3">
        <v>135.0</v>
      </c>
      <c r="B136" s="4" t="s">
        <v>542</v>
      </c>
      <c r="C136" s="4" t="s">
        <v>543</v>
      </c>
      <c r="D136" s="4" t="s">
        <v>544</v>
      </c>
      <c r="E136" s="4" t="s">
        <v>545</v>
      </c>
      <c r="G136" s="5" t="str">
        <f>IFERROR(__xludf.DUMMYFUNCTION("GOOGLETRANSLATE(A136, ""en"", ""ar"")"),"135")</f>
        <v>135</v>
      </c>
      <c r="H136" s="5" t="str">
        <f>IFERROR(__xludf.DUMMYFUNCTION("GOOGLETRANSLATE(B136, ""en"", ""ar"")"),"ماذا يحدث إذا تم اكتشاف أن الفارس قد وضع رهانًا على سباقه الخاص؟")</f>
        <v>ماذا يحدث إذا تم اكتشاف أن الفارس قد وضع رهانًا على سباقه الخاص؟</v>
      </c>
      <c r="I136" s="5" t="str">
        <f>IFERROR(__xludf.DUMMYFUNCTION("GOOGLETRANSLATE(C136, ""en"", ""ar"")"),"أ) يجوز ذلك إذا راهنوا على فوز أنفسهم؛ ب) يحصلون على غرامة؛ ج) يحصلون على حظر مدى الحياة من ممارسة الرياضة؛ د) تتم مصادرة مكاسبهم")</f>
        <v>أ) يجوز ذلك إذا راهنوا على فوز أنفسهم؛ ب) يحصلون على غرامة؛ ج) يحصلون على حظر مدى الحياة من ممارسة الرياضة؛ د) تتم مصادرة مكاسبهم</v>
      </c>
      <c r="J136" s="5" t="str">
        <f>IFERROR(__xludf.DUMMYFUNCTION("GOOGLETRANSLATE(D136, ""en"", ""ar"")"),"ج) يحصلون على حظر مدى الحياة من ممارسة الرياضة")</f>
        <v>ج) يحصلون على حظر مدى الحياة من ممارسة الرياضة</v>
      </c>
      <c r="K136" s="5" t="str">
        <f>IFERROR(__xludf.DUMMYFUNCTION("GOOGLETRANSLATE(E136, ""en"", ""ar"")"),"للحفاظ على نزاهة الرياضة، يُمنع الفرسان والمالكون والمدربون من المراهنة على السباقات التي يشاركون فيها.")</f>
        <v>للحفاظ على نزاهة الرياضة، يُمنع الفرسان والمالكون والمدربون من المراهنة على السباقات التي يشاركون فيها.</v>
      </c>
    </row>
    <row r="137">
      <c r="A137" s="3">
        <v>136.0</v>
      </c>
      <c r="B137" s="4" t="s">
        <v>546</v>
      </c>
      <c r="C137" s="4" t="s">
        <v>547</v>
      </c>
      <c r="D137" s="4" t="s">
        <v>548</v>
      </c>
      <c r="E137" s="4" t="s">
        <v>549</v>
      </c>
      <c r="G137" s="5" t="str">
        <f>IFERROR(__xludf.DUMMYFUNCTION("GOOGLETRANSLATE(A137, ""en"", ""ar"")"),"136")</f>
        <v>136</v>
      </c>
      <c r="H137" s="5" t="str">
        <f>IFERROR(__xludf.DUMMYFUNCTION("GOOGLETRANSLATE(B137, ""en"", ""ar"")"),"ما هو الإجراء الرسمي إذا انطلق إنذار الحريق في منشأة مضمار السباق أثناء السباق؟")</f>
        <v>ما هو الإجراء الرسمي إذا انطلق إنذار الحريق في منشأة مضمار السباق أثناء السباق؟</v>
      </c>
      <c r="I137" s="5" t="str">
        <f>IFERROR(__xludf.DUMMYFUNCTION("GOOGLETRANSLATE(C137, ""en"", ""ar"")"),"أ) يستمر السباق لأنه من المحتمل أن يكون إنذارًا كاذبًا؛ ب) يتم إيقاف السباق على الفور من قبل المسؤولين؛ ج) يمكن للفرسان أن يقرروا ما إذا كانوا يريدون الاستمرار أم لا؛ د) يتم أخذ النتائج من لحظة انطلاق الإنذار")</f>
        <v>أ) يستمر السباق لأنه من المحتمل أن يكون إنذارًا كاذبًا؛ ب) يتم إيقاف السباق على الفور من قبل المسؤولين؛ ج) يمكن للفرسان أن يقرروا ما إذا كانوا يريدون الاستمرار أم لا؛ د) يتم أخذ النتائج من لحظة انطلاق الإنذار</v>
      </c>
      <c r="J137" s="5" t="str">
        <f>IFERROR(__xludf.DUMMYFUNCTION("GOOGLETRANSLATE(D137, ""en"", ""ar"")"),"ب) يتم إيقاف السباق على الفور من قبل المسؤولين")</f>
        <v>ب) يتم إيقاف السباق على الفور من قبل المسؤولين</v>
      </c>
      <c r="K137" s="5" t="str">
        <f>IFERROR(__xludf.DUMMYFUNCTION("GOOGLETRANSLATE(E137, ""en"", ""ar"")"),"أي تهديد محتمل للسلامة، مثل إنذار الحريق، يتطلب التوقف الفوري لجميع الأنشطة.")</f>
        <v>أي تهديد محتمل للسلامة، مثل إنذار الحريق، يتطلب التوقف الفوري لجميع الأنشطة.</v>
      </c>
    </row>
    <row r="138">
      <c r="A138" s="3">
        <v>137.0</v>
      </c>
      <c r="B138" s="4" t="s">
        <v>550</v>
      </c>
      <c r="C138" s="4" t="s">
        <v>551</v>
      </c>
      <c r="D138" s="4" t="s">
        <v>552</v>
      </c>
      <c r="E138" s="4" t="s">
        <v>553</v>
      </c>
      <c r="G138" s="5" t="str">
        <f>IFERROR(__xludf.DUMMYFUNCTION("GOOGLETRANSLATE(A138, ""en"", ""ar"")"),"137")</f>
        <v>137</v>
      </c>
      <c r="H138" s="5" t="str">
        <f>IFERROR(__xludf.DUMMYFUNCTION("GOOGLETRANSLATE(B138, ""en"", ""ar"")"),"هل هناك قواعد بشأن اسم الجمل؟")</f>
        <v>هل هناك قواعد بشأن اسم الجمل؟</v>
      </c>
      <c r="I138" s="5" t="str">
        <f>IFERROR(__xludf.DUMMYFUNCTION("GOOGLETRANSLATE(C138, ""en"", ""ar"")"),"أ) لا، يُسمح بأي اسم؛ ب) نعم، يجب الموافقة على الأسماء ولا يمكن أن تكون مسيئة؛ ج) تقتصر الأسماء على 10 أحرف؛ د) لا تُعرف الإبل إلا بعددها")</f>
        <v>أ) لا، يُسمح بأي اسم؛ ب) نعم، يجب الموافقة على الأسماء ولا يمكن أن تكون مسيئة؛ ج) تقتصر الأسماء على 10 أحرف؛ د) لا تُعرف الإبل إلا بعددها</v>
      </c>
      <c r="J138" s="5" t="str">
        <f>IFERROR(__xludf.DUMMYFUNCTION("GOOGLETRANSLATE(D138, ""en"", ""ar"")"),"ب) نعم، يجب الموافقة على الأسماء ولا يجوز أن تكون مسيئة")</f>
        <v>ب) نعم، يجب الموافقة على الأسماء ولا يجوز أن تكون مسيئة</v>
      </c>
      <c r="K138" s="5" t="str">
        <f>IFERROR(__xludf.DUMMYFUNCTION("GOOGLETRANSLATE(E138, ""en"", ""ar"")"),"يجب تسجيل أسماء الجمال ويجب أن تخضع لموافقة هيئة السباق لمنع التكرار واللغة المسيئة.")</f>
        <v>يجب تسجيل أسماء الجمال ويجب أن تخضع لموافقة هيئة السباق لمنع التكرار واللغة المسيئة.</v>
      </c>
    </row>
    <row r="139">
      <c r="A139" s="3">
        <v>138.0</v>
      </c>
      <c r="B139" s="4" t="s">
        <v>554</v>
      </c>
      <c r="C139" s="4" t="s">
        <v>555</v>
      </c>
      <c r="D139" s="4" t="s">
        <v>556</v>
      </c>
      <c r="E139" s="4" t="s">
        <v>557</v>
      </c>
      <c r="G139" s="5" t="str">
        <f>IFERROR(__xludf.DUMMYFUNCTION("GOOGLETRANSLATE(A139, ""en"", ""ar"")"),"138")</f>
        <v>138</v>
      </c>
      <c r="H139" s="5" t="str">
        <f>IFERROR(__xludf.DUMMYFUNCTION("GOOGLETRANSLATE(B139, ""en"", ""ar"")"),"إذا تم إيقاف الفارس، هل يُسمح له بالتواجد في الحظيرة أو مناطق التدريب؟")</f>
        <v>إذا تم إيقاف الفارس، هل يُسمح له بالتواجد في الحظيرة أو مناطق التدريب؟</v>
      </c>
      <c r="I139" s="5" t="str">
        <f>IFERROR(__xludf.DUMMYFUNCTION("GOOGLETRANSLATE(C139, ""en"", ""ar"")"),"أ) نعم، ولكن لا يمكنهم المشاركة في السباقات؛ ب) لا، يشمل الإيقاف حظرًا من جميع المناطق الرسمية؛ ج) فقط إذا كانوا مع مالك آخر؛ د) فقط لمشاهدة السباقات")</f>
        <v>أ) نعم، ولكن لا يمكنهم المشاركة في السباقات؛ ب) لا، يشمل الإيقاف حظرًا من جميع المناطق الرسمية؛ ج) فقط إذا كانوا مع مالك آخر؛ د) فقط لمشاهدة السباقات</v>
      </c>
      <c r="J139" s="5" t="str">
        <f>IFERROR(__xludf.DUMMYFUNCTION("GOOGLETRANSLATE(D139, ""en"", ""ar"")"),"ب) لا، يشمل الإيقاف الحظر من جميع المجالات الرسمية")</f>
        <v>ب) لا، يشمل الإيقاف الحظر من جميع المجالات الرسمية</v>
      </c>
      <c r="K139" s="5" t="str">
        <f>IFERROR(__xludf.DUMMYFUNCTION("GOOGLETRANSLATE(E139, ""en"", ""ar"")"),"الإيقاف هو حظر شامل يمنع الفرد من دخول أي مناطق محظورة في مضمار السباق.")</f>
        <v>الإيقاف هو حظر شامل يمنع الفرد من دخول أي مناطق محظورة في مضمار السباق.</v>
      </c>
    </row>
    <row r="140">
      <c r="A140" s="3">
        <v>139.0</v>
      </c>
      <c r="B140" s="4" t="s">
        <v>558</v>
      </c>
      <c r="C140" s="4" t="s">
        <v>559</v>
      </c>
      <c r="D140" s="4" t="s">
        <v>560</v>
      </c>
      <c r="E140" s="4" t="s">
        <v>561</v>
      </c>
      <c r="G140" s="5" t="str">
        <f>IFERROR(__xludf.DUMMYFUNCTION("GOOGLETRANSLATE(A140, ""en"", ""ar"")"),"139")</f>
        <v>139</v>
      </c>
      <c r="H140" s="5" t="str">
        <f>IFERROR(__xludf.DUMMYFUNCTION("GOOGLETRANSLATE(B140, ""en"", ""ar"")"),"ما هي القاعدة بشأن استخدام الهاتف المحمول لتسجيل فيديو POV أثناء السباق؟")</f>
        <v>ما هي القاعدة بشأن استخدام الهاتف المحمول لتسجيل فيديو POV أثناء السباق؟</v>
      </c>
      <c r="I140" s="5" t="str">
        <f>IFERROR(__xludf.DUMMYFUNCTION("GOOGLETRANSLATE(C140, ""en"", ""ar"")"),"أ) مسموح به لوسائل التواصل الاجتماعي؛ ب) ممنوع منعًا باتًا؛ ج) مسموح به إذا تم تثبيت الهاتف بشكل آمن؛ د) مخصص فقط لفرسان الخيل المحترفين")</f>
        <v>أ) مسموح به لوسائل التواصل الاجتماعي؛ ب) ممنوع منعًا باتًا؛ ج) مسموح به إذا تم تثبيت الهاتف بشكل آمن؛ د) مخصص فقط لفرسان الخيل المحترفين</v>
      </c>
      <c r="J140" s="5" t="str">
        <f>IFERROR(__xludf.DUMMYFUNCTION("GOOGLETRANSLATE(D140, ""en"", ""ar"")"),"ب) ممنوع منعا باتا")</f>
        <v>ب) ممنوع منعا باتا</v>
      </c>
      <c r="K140" s="5" t="str">
        <f>IFERROR(__xludf.DUMMYFUNCTION("GOOGLETRANSLATE(E140, ""en"", ""ar"")"),"يُحظر حمل الأجهزة الإلكترونية الشخصية لتجنب التشتيت وإمكانية التواصل غير القانوني.")</f>
        <v>يُحظر حمل الأجهزة الإلكترونية الشخصية لتجنب التشتيت وإمكانية التواصل غير القانوني.</v>
      </c>
    </row>
    <row r="141">
      <c r="A141" s="3">
        <v>140.0</v>
      </c>
      <c r="B141" s="4" t="s">
        <v>562</v>
      </c>
      <c r="C141" s="4" t="s">
        <v>563</v>
      </c>
      <c r="D141" s="4" t="s">
        <v>564</v>
      </c>
      <c r="E141" s="4" t="s">
        <v>565</v>
      </c>
      <c r="G141" s="5" t="str">
        <f>IFERROR(__xludf.DUMMYFUNCTION("GOOGLETRANSLATE(A141, ""en"", ""ar"")"),"140")</f>
        <v>140</v>
      </c>
      <c r="H141" s="5" t="str">
        <f>IFERROR(__xludf.DUMMYFUNCTION("GOOGLETRANSLATE(B141, ""en"", ""ar"")"),"ما هو القرار الرسمي إذا أكمل الجمل السباق ثم تبين بعد ذلك أنه أعطي كمية زائدة من الماء (تحميل الماء)؟")</f>
        <v>ما هو القرار الرسمي إذا أكمل الجمل السباق ثم تبين بعد ذلك أنه أعطي كمية زائدة من الماء (تحميل الماء)؟</v>
      </c>
      <c r="I141" s="5" t="str">
        <f>IFERROR(__xludf.DUMMYFUNCTION("GOOGLETRANSLATE(C141, ""en"", ""ar"")"),"أ) النتيجة ثابتة؛ ب) الاستبعاد بسبب انتهاك قواعد الرعاية الاجتماعية؛ ج) إضافة عقوبة زمنية؛ د) إصدار غرامة للمالك")</f>
        <v>أ) النتيجة ثابتة؛ ب) الاستبعاد بسبب انتهاك قواعد الرعاية الاجتماعية؛ ج) إضافة عقوبة زمنية؛ د) إصدار غرامة للمالك</v>
      </c>
      <c r="J141" s="5" t="str">
        <f>IFERROR(__xludf.DUMMYFUNCTION("GOOGLETRANSLATE(D141, ""en"", ""ar"")"),"ب) الحرمان من الأهلية بسبب انتهاك قواعد الرعاية الاجتماعية")</f>
        <v>ب) الحرمان من الأهلية بسبب انتهاك قواعد الرعاية الاجتماعية</v>
      </c>
      <c r="K141" s="5" t="str">
        <f>IFERROR(__xludf.DUMMYFUNCTION("GOOGLETRANSLATE(E141, ""en"", ""ar"")"),"إن إجبار الجمل على شرب كمية كبيرة من الماء يعد انتهاكًا لرفاهية الحيوان وقد يؤدي إلى الاستبعاد.")</f>
        <v>إن إجبار الجمل على شرب كمية كبيرة من الماء يعد انتهاكًا لرفاهية الحيوان وقد يؤدي إلى الاستبعاد.</v>
      </c>
    </row>
    <row r="142">
      <c r="A142" s="3">
        <v>141.0</v>
      </c>
      <c r="B142" s="4" t="s">
        <v>566</v>
      </c>
      <c r="C142" s="4" t="s">
        <v>567</v>
      </c>
      <c r="D142" s="4" t="s">
        <v>568</v>
      </c>
      <c r="E142" s="4" t="s">
        <v>569</v>
      </c>
      <c r="G142" s="5" t="str">
        <f>IFERROR(__xludf.DUMMYFUNCTION("GOOGLETRANSLATE(A142, ""en"", ""ar"")"),"141")</f>
        <v>141</v>
      </c>
      <c r="H142" s="5" t="str">
        <f>IFERROR(__xludf.DUMMYFUNCTION("GOOGLETRANSLATE(B142, ""en"", ""ar"")"),"هل يجوز استبعاد الجمل بسبب حوافره غير المشذبة؟")</f>
        <v>هل يجوز استبعاد الجمل بسبب حوافره غير المشذبة؟</v>
      </c>
      <c r="I142" s="5" t="str">
        <f>IFERROR(__xludf.DUMMYFUNCTION("GOOGLETRANSLATE(C142, ""en"", ""ar"")"),"أ) لا، لا يتم فحص حالة الحافر؛ ب) نعم، إذا رأى الطبيب البيطري أنه يشكل خطرًا على صحة الجمل؛ ج) فقط إذا كان يؤثر على سرعة الجمل؛ د) فقط في سباقات البطولة")</f>
        <v>أ) لا، لا يتم فحص حالة الحافر؛ ب) نعم، إذا رأى الطبيب البيطري أنه يشكل خطرًا على صحة الجمل؛ ج) فقط إذا كان يؤثر على سرعة الجمل؛ د) فقط في سباقات البطولة</v>
      </c>
      <c r="J142" s="5" t="str">
        <f>IFERROR(__xludf.DUMMYFUNCTION("GOOGLETRANSLATE(D142, ""en"", ""ar"")"),"ب) نعم، إذا رأى الطبيب البيطري أن ذلك يشكل خطراً على صحة الجمل.")</f>
        <v>ب) نعم، إذا رأى الطبيب البيطري أن ذلك يشكل خطراً على صحة الجمل.</v>
      </c>
      <c r="K142" s="5" t="str">
        <f>IFERROR(__xludf.DUMMYFUNCTION("GOOGLETRANSLATE(E142, ""en"", ""ar"")"),"يتضمن الفحص البيطري قبل السباق حالة الحافر، ويمكن أن يكون التشذيب السيئ سببًا للانسحاب إذا كان يشكل خطرًا على السلامة.")</f>
        <v>يتضمن الفحص البيطري قبل السباق حالة الحافر، ويمكن أن يكون التشذيب السيئ سببًا للانسحاب إذا كان يشكل خطرًا على السلامة.</v>
      </c>
    </row>
    <row r="143">
      <c r="A143" s="3">
        <v>142.0</v>
      </c>
      <c r="B143" s="4" t="s">
        <v>570</v>
      </c>
      <c r="C143" s="4" t="s">
        <v>571</v>
      </c>
      <c r="D143" s="4" t="s">
        <v>572</v>
      </c>
      <c r="E143" s="4" t="s">
        <v>573</v>
      </c>
      <c r="G143" s="5" t="str">
        <f>IFERROR(__xludf.DUMMYFUNCTION("GOOGLETRANSLATE(A143, ""en"", ""ar"")"),"142")</f>
        <v>142</v>
      </c>
      <c r="H143" s="5" t="str">
        <f>IFERROR(__xludf.DUMMYFUNCTION("GOOGLETRANSLATE(B143, ""en"", ""ar"")"),"ماذا يحدث إذا رفض الفارس الفائز المشاركة في حفل توزيع الجوائز بعد السباق؟")</f>
        <v>ماذا يحدث إذا رفض الفارس الفائز المشاركة في حفل توزيع الجوائز بعد السباق؟</v>
      </c>
      <c r="I143" s="5" t="str">
        <f>IFERROR(__xludf.DUMMYFUNCTION("GOOGLETRANSLATE(C143, ""en"", ""ar"")"),"أ) يخسرون أموال الجائزة الخاصة بهم؛ ب) يقبل البديل الجائزة؛ ج) يتم إرسال الجائزة إليهم بالبريد؛ د) لا توجد عقوبة")</f>
        <v>أ) يخسرون أموال الجائزة الخاصة بهم؛ ب) يقبل البديل الجائزة؛ ج) يتم إرسال الجائزة إليهم بالبريد؛ د) لا توجد عقوبة</v>
      </c>
      <c r="J143" s="5" t="str">
        <f>IFERROR(__xludf.DUMMYFUNCTION("GOOGLETRANSLATE(D143, ""en"", ""ar"")"),"أ) يخسرون أموال الجائزة الخاصة بهم")</f>
        <v>أ) يخسرون أموال الجائزة الخاصة بهم</v>
      </c>
      <c r="K143" s="5" t="str">
        <f>IFERROR(__xludf.DUMMYFUNCTION("GOOGLETRANSLATE(E143, ""en"", ""ar"")"),"إن المشاركة في الاحتفالات الرسمية غالبا ما تكون إلزامية، ورفضها قد يؤدي إلى فقدان المكاسب.")</f>
        <v>إن المشاركة في الاحتفالات الرسمية غالبا ما تكون إلزامية، ورفضها قد يؤدي إلى فقدان المكاسب.</v>
      </c>
    </row>
    <row r="144">
      <c r="A144" s="3">
        <v>143.0</v>
      </c>
      <c r="B144" s="4" t="s">
        <v>574</v>
      </c>
      <c r="C144" s="4" t="s">
        <v>575</v>
      </c>
      <c r="D144" s="4" t="s">
        <v>576</v>
      </c>
      <c r="E144" s="4" t="s">
        <v>577</v>
      </c>
      <c r="G144" s="5" t="str">
        <f>IFERROR(__xludf.DUMMYFUNCTION("GOOGLETRANSLATE(A144, ""en"", ""ar"")"),"143")</f>
        <v>143</v>
      </c>
      <c r="H144" s="5" t="str">
        <f>IFERROR(__xludf.DUMMYFUNCTION("GOOGLETRANSLATE(B144, ""en"", ""ar"")"),"هل يجوز تدريب الجمل السباق باستخدام جهاز المشي؟")</f>
        <v>هل يجوز تدريب الجمل السباق باستخدام جهاز المشي؟</v>
      </c>
      <c r="I144" s="5" t="str">
        <f>IFERROR(__xludf.DUMMYFUNCTION("GOOGLETRANSLATE(C144, ""en"", ""ar"")"),"أ) لا، يُسمح فقط بالتدريب على المضمار؛ ب) نعم، إنها طريقة تدريب شائعة؛ ج) فقط للإبل التي تتعافى من الإصابة؛ د) فقط في مراكز التدريب الاحترافية")</f>
        <v>أ) لا، يُسمح فقط بالتدريب على المضمار؛ ب) نعم، إنها طريقة تدريب شائعة؛ ج) فقط للإبل التي تتعافى من الإصابة؛ د) فقط في مراكز التدريب الاحترافية</v>
      </c>
      <c r="J144" s="5" t="str">
        <f>IFERROR(__xludf.DUMMYFUNCTION("GOOGLETRANSLATE(D144, ""en"", ""ar"")"),"ب) نعم، إنها طريقة تكييف شائعة")</f>
        <v>ب) نعم، إنها طريقة تكييف شائعة</v>
      </c>
      <c r="K144" s="5" t="str">
        <f>IFERROR(__xludf.DUMMYFUNCTION("GOOGLETRANSLATE(E144, ""en"", ""ar"")"),"غالبًا ما يتضمن التدريب الحديث معدات متخصصة مثل أجهزة المشي وحمامات السباحة لبناء القدرة على التحمل.")</f>
        <v>غالبًا ما يتضمن التدريب الحديث معدات متخصصة مثل أجهزة المشي وحمامات السباحة لبناء القدرة على التحمل.</v>
      </c>
    </row>
    <row r="145">
      <c r="A145" s="3">
        <v>144.0</v>
      </c>
      <c r="B145" s="4" t="s">
        <v>578</v>
      </c>
      <c r="C145" s="4" t="s">
        <v>579</v>
      </c>
      <c r="D145" s="4" t="s">
        <v>580</v>
      </c>
      <c r="E145" s="4" t="s">
        <v>581</v>
      </c>
      <c r="G145" s="5" t="str">
        <f>IFERROR(__xludf.DUMMYFUNCTION("GOOGLETRANSLATE(A145, ""en"", ""ar"")"),"144")</f>
        <v>144</v>
      </c>
      <c r="H145" s="5" t="str">
        <f>IFERROR(__xludf.DUMMYFUNCTION("GOOGLETRANSLATE(B145, ""en"", ""ar"")"),"ما هو الحد الأقصى لعمر الجمل حتى يتمكن من المشاركة في السباقات؟")</f>
        <v>ما هو الحد الأقصى لعمر الجمل حتى يتمكن من المشاركة في السباقات؟</v>
      </c>
      <c r="I145" s="5" t="str">
        <f>IFERROR(__xludf.DUMMYFUNCTION("GOOGLETRANSLATE(C145, ""en"", ""ar"")"),"أ) 15 سنة؛ ب) 20 سنة؛ ج) 25 سنة؛ د) لا يوجد حد أقصى رسمي للعمر")</f>
        <v>أ) 15 سنة؛ ب) 20 سنة؛ ج) 25 سنة؛ د) لا يوجد حد أقصى رسمي للعمر</v>
      </c>
      <c r="J145" s="5" t="str">
        <f>IFERROR(__xludf.DUMMYFUNCTION("GOOGLETRANSLATE(D145, ""en"", ""ar"")"),"د) لا يوجد عمر أقصى رسمي")</f>
        <v>د) لا يوجد عمر أقصى رسمي</v>
      </c>
      <c r="K145" s="5" t="str">
        <f>IFERROR(__xludf.DUMMYFUNCTION("GOOGLETRANSLATE(E145, ""en"", ""ar"")"),"على الرغم من أن الجمال تصبح أقل قدرة على المنافسة مع تقدمها في السن، إلا أنه لا يوجد عادة حد أقصى صارم للسن للمشاركة.")</f>
        <v>على الرغم من أن الجمال تصبح أقل قدرة على المنافسة مع تقدمها في السن، إلا أنه لا يوجد عادة حد أقصى صارم للسن للمشاركة.</v>
      </c>
    </row>
    <row r="146">
      <c r="A146" s="3">
        <v>145.0</v>
      </c>
      <c r="B146" s="4" t="s">
        <v>582</v>
      </c>
      <c r="C146" s="4" t="s">
        <v>583</v>
      </c>
      <c r="D146" s="4" t="s">
        <v>584</v>
      </c>
      <c r="E146" s="4" t="s">
        <v>585</v>
      </c>
      <c r="G146" s="5" t="str">
        <f>IFERROR(__xludf.DUMMYFUNCTION("GOOGLETRANSLATE(A146, ""en"", ""ar"")"),"145")</f>
        <v>145</v>
      </c>
      <c r="H146" s="5" t="str">
        <f>IFERROR(__xludf.DUMMYFUNCTION("GOOGLETRANSLATE(B146, ""en"", ""ar"")"),"ما هو الحد الأقصى للوزن المسموح به لروبوت الفارس المستخدم في السباق؟")</f>
        <v>ما هو الحد الأقصى للوزن المسموح به لروبوت الفارس المستخدم في السباق؟</v>
      </c>
      <c r="I146" s="5" t="str">
        <f>IFERROR(__xludf.DUMMYFUNCTION("GOOGLETRANSLATE(C146, ""en"", ""ar"")"),"أ) 1-2 كجم؛ ب) 2-3 كجم؛ ج) 4-5 كجم؛ د) لا يوجد حد أقصى للوزن")</f>
        <v>أ) 1-2 كجم؛ ب) 2-3 كجم؛ ج) 4-5 كجم؛ د) لا يوجد حد أقصى للوزن</v>
      </c>
      <c r="J146" s="5" t="str">
        <f>IFERROR(__xludf.DUMMYFUNCTION("GOOGLETRANSLATE(D146, ""en"", ""ar"")"),"ب) 2-3 كجم")</f>
        <v>ب) 2-3 كجم</v>
      </c>
      <c r="K146" s="5" t="str">
        <f>IFERROR(__xludf.DUMMYFUNCTION("GOOGLETRANSLATE(E146, ""en"", ""ar"")"),"تم تصميم روبوت الفرسان ليكون خفيف الوزن للغاية (عادةً 2-3 كجم) لتجنب إرهاق الجمل، وهي القاعدة التي تطورت لتحل محل فرسان الأطفال.")</f>
        <v>تم تصميم روبوت الفرسان ليكون خفيف الوزن للغاية (عادةً 2-3 كجم) لتجنب إرهاق الجمل، وهي القاعدة التي تطورت لتحل محل فرسان الأطفال.</v>
      </c>
    </row>
    <row r="147">
      <c r="A147" s="3">
        <v>146.0</v>
      </c>
      <c r="B147" s="4" t="s">
        <v>586</v>
      </c>
      <c r="C147" s="4" t="s">
        <v>587</v>
      </c>
      <c r="D147" s="4" t="s">
        <v>588</v>
      </c>
      <c r="E147" s="4" t="s">
        <v>589</v>
      </c>
      <c r="G147" s="5" t="str">
        <f>IFERROR(__xludf.DUMMYFUNCTION("GOOGLETRANSLATE(A147, ""en"", ""ar"")"),"146")</f>
        <v>146</v>
      </c>
      <c r="H147" s="5" t="str">
        <f>IFERROR(__xludf.DUMMYFUNCTION("GOOGLETRANSLATE(B147, ""en"", ""ar"")"),"في حالة إلغاء السباق، هل يتم استرداد رسوم التسجيل لأصحاب السباق؟")</f>
        <v>في حالة إلغاء السباق، هل يتم استرداد رسوم التسجيل لأصحاب السباق؟</v>
      </c>
      <c r="I147" s="5" t="str">
        <f>IFERROR(__xludf.DUMMYFUNCTION("GOOGLETRANSLATE(C147, ""en"", ""ar"")"),"أ) لا، جميع الرسوم غير قابلة للاسترداد؛ ب) نعم، يتم إصدار استرداد كامل؛ ج) يتم منح رصيد جزئي لسباق مستقبلي؛ د) فقط إذا كان الإلغاء خطأ المنظم")</f>
        <v>أ) لا، جميع الرسوم غير قابلة للاسترداد؛ ب) نعم، يتم إصدار استرداد كامل؛ ج) يتم منح رصيد جزئي لسباق مستقبلي؛ د) فقط إذا كان الإلغاء خطأ المنظم</v>
      </c>
      <c r="J147" s="5" t="str">
        <f>IFERROR(__xludf.DUMMYFUNCTION("GOOGLETRANSLATE(D147, ""en"", ""ar"")"),"ج) يتم منح رصيد جزئي لسباق مستقبلي")</f>
        <v>ج) يتم منح رصيد جزئي لسباق مستقبلي</v>
      </c>
      <c r="K147" s="5" t="str">
        <f>IFERROR(__xludf.DUMMYFUNCTION("GOOGLETRANSLATE(E147, ""en"", ""ar"")"),"عادةً، إذا تم إلغاء السباق، يتم تقديم رصيد لأصحاب السيارات للدخول في سباق آخر بدلاً من استرداد كامل المبلغ نقدًا.")</f>
        <v>عادةً، إذا تم إلغاء السباق، يتم تقديم رصيد لأصحاب السيارات للدخول في سباق آخر بدلاً من استرداد كامل المبلغ نقدًا.</v>
      </c>
    </row>
    <row r="148">
      <c r="A148" s="3">
        <v>147.0</v>
      </c>
      <c r="B148" s="4" t="s">
        <v>590</v>
      </c>
      <c r="C148" s="4" t="s">
        <v>591</v>
      </c>
      <c r="D148" s="4" t="s">
        <v>592</v>
      </c>
      <c r="E148" s="4" t="s">
        <v>593</v>
      </c>
      <c r="G148" s="5" t="str">
        <f>IFERROR(__xludf.DUMMYFUNCTION("GOOGLETRANSLATE(A148, ""en"", ""ar"")"),"147")</f>
        <v>147</v>
      </c>
      <c r="H148" s="5" t="str">
        <f>IFERROR(__xludf.DUMMYFUNCTION("GOOGLETRANSLATE(B148, ""en"", ""ar"")"),"ما هي القاعدة إذا خرجت خوذة الفارس أثناء السباق؟")</f>
        <v>ما هي القاعدة إذا خرجت خوذة الفارس أثناء السباق؟</v>
      </c>
      <c r="I148" s="5" t="str">
        <f>IFERROR(__xludf.DUMMYFUNCTION("GOOGLETRANSLATE(C148, ""en"", ""ar"")"),"أ) يمكنهم الاستمرار بدونها؛ ب) يجب عليهم التوقف وإعادتها؛ ج) يؤدي ذلك إلى الاستبعاد التلقائي؛ د) يتم إصدار غرامة بعد السباق")</f>
        <v>أ) يمكنهم الاستمرار بدونها؛ ب) يجب عليهم التوقف وإعادتها؛ ج) يؤدي ذلك إلى الاستبعاد التلقائي؛ د) يتم إصدار غرامة بعد السباق</v>
      </c>
      <c r="J148" s="5" t="str">
        <f>IFERROR(__xludf.DUMMYFUNCTION("GOOGLETRANSLATE(D148, ""en"", ""ar"")"),"ج) يؤدي إلى الاستبعاد التلقائي")</f>
        <v>ج) يؤدي إلى الاستبعاد التلقائي</v>
      </c>
      <c r="K148" s="5" t="str">
        <f>IFERROR(__xludf.DUMMYFUNCTION("GOOGLETRANSLATE(E148, ""en"", ""ar"")"),"من أجل السلامة، يجب على الفرسان ارتداء الخوذات المثبتة بشكل صحيح في جميع الأوقات؛ حيث أن فقدانها يعد خرقًا كبيرًا للسلامة.")</f>
        <v>من أجل السلامة، يجب على الفرسان ارتداء الخوذات المثبتة بشكل صحيح في جميع الأوقات؛ حيث أن فقدانها يعد خرقًا كبيرًا للسلامة.</v>
      </c>
    </row>
    <row r="149">
      <c r="A149" s="3">
        <v>148.0</v>
      </c>
      <c r="B149" s="4" t="s">
        <v>594</v>
      </c>
      <c r="C149" s="4" t="s">
        <v>595</v>
      </c>
      <c r="D149" s="4" t="s">
        <v>596</v>
      </c>
      <c r="E149" s="4" t="s">
        <v>597</v>
      </c>
      <c r="G149" s="5" t="str">
        <f>IFERROR(__xludf.DUMMYFUNCTION("GOOGLETRANSLATE(A149, ""en"", ""ar"")"),"148")</f>
        <v>148</v>
      </c>
      <c r="H149" s="5" t="str">
        <f>IFERROR(__xludf.DUMMYFUNCTION("GOOGLETRANSLATE(B149, ""en"", ""ar"")"),"هل هناك قواعد تمنع استخدام الجمال المستنسخة؟")</f>
        <v>هل هناك قواعد تمنع استخدام الجمال المستنسخة؟</v>
      </c>
      <c r="I149" s="5" t="str">
        <f>IFERROR(__xludf.DUMMYFUNCTION("GOOGLETRANSLATE(C149, ""en"", ""ar"")"),"أ) لا، يُسمح بالإبل المستنسخة؛ ب) نعم، يُحظر على الإبل المستنسخة المشاركة في السباقات؛ ج) يُسمح بها ولكن يجب الإعلان عنها؛ د) لا يمكنها المشاركة إلا في سباقات العرض الخاصة")</f>
        <v>أ) لا، يُسمح بالإبل المستنسخة؛ ب) نعم، يُحظر على الإبل المستنسخة المشاركة في السباقات؛ ج) يُسمح بها ولكن يجب الإعلان عنها؛ د) لا يمكنها المشاركة إلا في سباقات العرض الخاصة</v>
      </c>
      <c r="J149" s="5" t="str">
        <f>IFERROR(__xludf.DUMMYFUNCTION("GOOGLETRANSLATE(D149, ""en"", ""ar"")"),"ج) مسموح بها ولكن يجب الإعلان عنها")</f>
        <v>ج) مسموح بها ولكن يجب الإعلان عنها</v>
      </c>
      <c r="K149" s="5" t="str">
        <f>IFERROR(__xludf.DUMMYFUNCTION("GOOGLETRANSLATE(E149, ""en"", ""ar"")"),"يعد الاستنساخ جزءًا من التربية الحديثة، ولكن اتحادات السباق تتطلب الإعلان رسميًا عن الحيوانات المستنسخة عند تسجيلها.")</f>
        <v>يعد الاستنساخ جزءًا من التربية الحديثة، ولكن اتحادات السباق تتطلب الإعلان رسميًا عن الحيوانات المستنسخة عند تسجيلها.</v>
      </c>
    </row>
    <row r="150">
      <c r="A150" s="3">
        <v>149.0</v>
      </c>
      <c r="B150" s="4" t="s">
        <v>598</v>
      </c>
      <c r="C150" s="4" t="s">
        <v>599</v>
      </c>
      <c r="D150" s="4" t="s">
        <v>600</v>
      </c>
      <c r="E150" s="4" t="s">
        <v>601</v>
      </c>
      <c r="G150" s="5" t="str">
        <f>IFERROR(__xludf.DUMMYFUNCTION("GOOGLETRANSLATE(A150, ""en"", ""ar"")"),"149")</f>
        <v>149</v>
      </c>
      <c r="H150" s="5" t="str">
        <f>IFERROR(__xludf.DUMMYFUNCTION("GOOGLETRANSLATE(B150, ""en"", ""ar"")"),"ما هو الإجراء المتبع مع الجمل الذي يتصرف بعدوانية في الحظيرة قبل السباق؟")</f>
        <v>ما هو الإجراء المتبع مع الجمل الذي يتصرف بعدوانية في الحظيرة قبل السباق؟</v>
      </c>
      <c r="I150" s="5" t="str">
        <f>IFERROR(__xludf.DUMMYFUNCTION("GOOGLETRANSLATE(C150, ""en"", ""ar"")"),"أ) يتم إعطاؤه مهدئًا؛ ب) يتم سحبه من السباق من قبل المسؤولين؛ ج) يتم نقله إلى حظيرة منفصلة ومعزولة؛ د) يُطلب من المالك السيطرة عليه")</f>
        <v>أ) يتم إعطاؤه مهدئًا؛ ب) يتم سحبه من السباق من قبل المسؤولين؛ ج) يتم نقله إلى حظيرة منفصلة ومعزولة؛ د) يُطلب من المالك السيطرة عليه</v>
      </c>
      <c r="J150" s="5" t="str">
        <f>IFERROR(__xludf.DUMMYFUNCTION("GOOGLETRANSLATE(D150, ""en"", ""ar"")"),"ب) يتم سحبه من السباق من قبل المسؤولين")</f>
        <v>ب) يتم سحبه من السباق من قبل المسؤولين</v>
      </c>
      <c r="K150" s="5" t="str">
        <f>IFERROR(__xludf.DUMMYFUNCTION("GOOGLETRANSLATE(E150, ""en"", ""ar"")"),"إذا تم اعتبار الجمل خطرًا على الحيوانات الأخرى أو الأشخاص في منطقة ما قبل السباق، فسيتم إزالته من المنافسة.")</f>
        <v>إذا تم اعتبار الجمل خطرًا على الحيوانات الأخرى أو الأشخاص في منطقة ما قبل السباق، فسيتم إزالته من المنافسة.</v>
      </c>
    </row>
    <row r="151">
      <c r="A151" s="3">
        <v>150.0</v>
      </c>
      <c r="B151" s="4" t="s">
        <v>602</v>
      </c>
      <c r="C151" s="4" t="s">
        <v>603</v>
      </c>
      <c r="D151" s="4" t="s">
        <v>604</v>
      </c>
      <c r="E151" s="4" t="s">
        <v>605</v>
      </c>
      <c r="G151" s="5" t="str">
        <f>IFERROR(__xludf.DUMMYFUNCTION("GOOGLETRANSLATE(A151, ""en"", ""ar"")"),"150")</f>
        <v>150</v>
      </c>
      <c r="H151" s="5" t="str">
        <f>IFERROR(__xludf.DUMMYFUNCTION("GOOGLETRANSLATE(B151, ""en"", ""ar"")"),"ما هو القرار الرسمي إذا فاز الجمل ثم تبين بعد ذلك أنه ينتمي إلى مالك موقوف؟")</f>
        <v>ما هو القرار الرسمي إذا فاز الجمل ثم تبين بعد ذلك أنه ينتمي إلى مالك موقوف؟</v>
      </c>
      <c r="I151" s="5" t="str">
        <f>IFERROR(__xludf.DUMMYFUNCTION("GOOGLETRANSLATE(C151, ""en"", ""ar"")"),"أ) تم تأكيد الفوز؛ ب) تم استبعاد الجمل وتمديد إيقاف مالكه؛ ج) يتم الاحتفاظ بجائزة المال حتى انتهاء الإيقاف؛ د) تم إيقاف الفارس أيضًا")</f>
        <v>أ) تم تأكيد الفوز؛ ب) تم استبعاد الجمل وتمديد إيقاف مالكه؛ ج) يتم الاحتفاظ بجائزة المال حتى انتهاء الإيقاف؛ د) تم إيقاف الفارس أيضًا</v>
      </c>
      <c r="J151" s="5" t="str">
        <f>IFERROR(__xludf.DUMMYFUNCTION("GOOGLETRANSLATE(D151, ""en"", ""ar"")"),"ب) يتم استبعاد الجمل وتمديد إيقاف مالكه")</f>
        <v>ب) يتم استبعاد الجمل وتمديد إيقاف مالكه</v>
      </c>
      <c r="K151" s="5" t="str">
        <f>IFERROR(__xludf.DUMMYFUNCTION("GOOGLETRANSLATE(E151, ""en"", ""ar"")"),"لا يمكن لمالك الجمل التغلب على الإيقاف عن السباق من خلال السماح لشخص آخر بالتسابق على الجمل الخاص به؛ وهذا يعد انتهاكا خطيرا.")</f>
        <v>لا يمكن لمالك الجمل التغلب على الإيقاف عن السباق من خلال السماح لشخص آخر بالتسابق على الجمل الخاص به؛ وهذا يعد انتهاكا خطيرا.</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 customWidth="1" min="8" max="9" width="37.63"/>
    <col customWidth="1" min="10" max="10" width="30.5"/>
    <col customWidth="1" min="11" max="11" width="37.63"/>
  </cols>
  <sheetData>
    <row r="1">
      <c r="A1" s="1" t="s">
        <v>0</v>
      </c>
      <c r="B1" s="1" t="s">
        <v>1</v>
      </c>
      <c r="C1" s="1" t="s">
        <v>2</v>
      </c>
      <c r="D1" s="1" t="s">
        <v>3</v>
      </c>
      <c r="E1" s="1" t="s">
        <v>4</v>
      </c>
      <c r="G1" s="2" t="s">
        <v>5</v>
      </c>
      <c r="H1" s="2" t="s">
        <v>6</v>
      </c>
      <c r="I1" s="2" t="s">
        <v>7</v>
      </c>
      <c r="J1" s="2" t="s">
        <v>8</v>
      </c>
      <c r="K1" s="2" t="s">
        <v>9</v>
      </c>
    </row>
    <row r="2">
      <c r="A2" s="3">
        <v>1.0</v>
      </c>
      <c r="B2" s="4" t="s">
        <v>606</v>
      </c>
      <c r="C2" s="4" t="s">
        <v>607</v>
      </c>
      <c r="D2" s="4" t="s">
        <v>608</v>
      </c>
      <c r="E2" s="4" t="s">
        <v>609</v>
      </c>
      <c r="G2" s="5" t="str">
        <f>IFERROR(__xludf.DUMMYFUNCTION("GOOGLETRANSLATE(A2, ""en"", ""ar"")"),"1")</f>
        <v>1</v>
      </c>
      <c r="H2" s="5" t="str">
        <f>IFERROR(__xludf.DUMMYFUNCTION("GOOGLETRANSLATE(B2, ""en"", ""ar"")"),"ما هي القاعدة الأساسية فيما يتعلق بتوازن التقنيات في المصارعة النوبية؟")</f>
        <v>ما هي القاعدة الأساسية فيما يتعلق بتوازن التقنيات في المصارعة النوبية؟</v>
      </c>
      <c r="I2" s="5" t="str">
        <f>IFERROR(__xludf.DUMMYFUNCTION("GOOGLETRANSLATE(C2, ""en"", ""ar"")"),"أ) الهجوم المستمر فقط؛ ب) الدفاع المستمر فقط؛ ج) مزيج من الهجوم والدفاع؛ د) لا توجد قواعد ثابتة")</f>
        <v>أ) الهجوم المستمر فقط؛ ب) الدفاع المستمر فقط؛ ج) مزيج من الهجوم والدفاع؛ د) لا توجد قواعد ثابتة</v>
      </c>
      <c r="J2" s="5" t="str">
        <f>IFERROR(__xludf.DUMMYFUNCTION("GOOGLETRANSLATE(D2, ""en"", ""ar"")"),"ج) مزيج من الهجوم والدفاع")</f>
        <v>ج) مزيج من الهجوم والدفاع</v>
      </c>
      <c r="K2" s="5" t="str">
        <f>IFERROR(__xludf.DUMMYFUNCTION("GOOGLETRANSLATE(E2, ""en"", ""ar"")"),"تعتمد المصارعة النوبية على مزيج من الهجوم والدفاع لتحقيق النصر.")</f>
        <v>تعتمد المصارعة النوبية على مزيج من الهجوم والدفاع لتحقيق النصر.</v>
      </c>
    </row>
    <row r="3">
      <c r="A3" s="3">
        <v>2.0</v>
      </c>
      <c r="B3" s="4" t="s">
        <v>610</v>
      </c>
      <c r="C3" s="4" t="s">
        <v>611</v>
      </c>
      <c r="D3" s="4" t="s">
        <v>612</v>
      </c>
      <c r="E3" s="4" t="s">
        <v>613</v>
      </c>
      <c r="G3" s="5" t="str">
        <f>IFERROR(__xludf.DUMMYFUNCTION("GOOGLETRANSLATE(A3, ""en"", ""ar"")"),"2")</f>
        <v>2</v>
      </c>
      <c r="H3" s="5" t="str">
        <f>IFERROR(__xludf.DUMMYFUNCTION("GOOGLETRANSLATE(B3, ""en"", ""ar"")"),"ما هي المعدات الأساسية المستخدمة كأداة في المصارعة النوبية التقليدية؟")</f>
        <v>ما هي المعدات الأساسية المستخدمة كأداة في المصارعة النوبية التقليدية؟</v>
      </c>
      <c r="I3" s="5" t="str">
        <f>IFERROR(__xludf.DUMMYFUNCTION("GOOGLETRANSLATE(C3, ""en"", ""ar"")"),"أ) نعم، يُسمح باستخدام أي أداة؛ ب) لا، يجب استخدام العصي فقط؛ ج) الأسلحة التقليدية فقط؛ د) يعتمد ذلك على القوانين المحلية")</f>
        <v>أ) نعم، يُسمح باستخدام أي أداة؛ ب) لا، يجب استخدام العصي فقط؛ ج) الأسلحة التقليدية فقط؛ د) يعتمد ذلك على القوانين المحلية</v>
      </c>
      <c r="J3" s="5" t="str">
        <f>IFERROR(__xludf.DUMMYFUNCTION("GOOGLETRANSLATE(D3, ""en"", ""ar"")"),"ب) لا، ينبغي استخدام العصي فقط.")</f>
        <v>ب) لا، ينبغي استخدام العصي فقط.</v>
      </c>
      <c r="K3" s="5" t="str">
        <f>IFERROR(__xludf.DUMMYFUNCTION("GOOGLETRANSLATE(E3, ""en"", ""ar"")"),"في المصارعة النوبية التقليدية، يتم استخدام العصي كأداة قتال أساسية.")</f>
        <v>في المصارعة النوبية التقليدية، يتم استخدام العصي كأداة قتال أساسية.</v>
      </c>
    </row>
    <row r="4">
      <c r="A4" s="3">
        <v>3.0</v>
      </c>
      <c r="B4" s="4" t="s">
        <v>614</v>
      </c>
      <c r="C4" s="4" t="s">
        <v>615</v>
      </c>
      <c r="D4" s="4" t="s">
        <v>616</v>
      </c>
      <c r="E4" s="4" t="s">
        <v>617</v>
      </c>
      <c r="G4" s="5" t="str">
        <f>IFERROR(__xludf.DUMMYFUNCTION("GOOGLETRANSLATE(A4, ""en"", ""ar"")"),"3")</f>
        <v>3</v>
      </c>
      <c r="H4" s="5" t="str">
        <f>IFERROR(__xludf.DUMMYFUNCTION("GOOGLETRANSLATE(B4, ""en"", ""ar"")"),"ما هي المدة النموذجية للمباراة في المصارعة النوبية؟")</f>
        <v>ما هي المدة النموذجية للمباراة في المصارعة النوبية؟</v>
      </c>
      <c r="I4" s="5" t="str">
        <f>IFERROR(__xludf.DUMMYFUNCTION("GOOGLETRANSLATE(C4, ""en"", ""ar"")"),"أ) لا توجد مدة محددة؛ ب) مدة ثابتة لا تتجاوز 10 دقائق؛ ج) تعتمد على عدد الجولات؛ د) يتم تحديد المدة حسب قوة المصارعين")</f>
        <v>أ) لا توجد مدة محددة؛ ب) مدة ثابتة لا تتجاوز 10 دقائق؛ ج) تعتمد على عدد الجولات؛ د) يتم تحديد المدة حسب قوة المصارعين</v>
      </c>
      <c r="J4" s="5" t="str">
        <f>IFERROR(__xludf.DUMMYFUNCTION("GOOGLETRANSLATE(D4, ""en"", ""ar"")"),"أ) لا توجد فترة محددة.")</f>
        <v>أ) لا توجد فترة محددة.</v>
      </c>
      <c r="K4" s="5" t="str">
        <f>IFERROR(__xludf.DUMMYFUNCTION("GOOGLETRANSLATE(E4, ""en"", ""ar"")"),"لا تعتمد مباراة المصارعة النوبية على وقت محدد، بل على القوة والتحمل.")</f>
        <v>لا تعتمد مباراة المصارعة النوبية على وقت محدد، بل على القوة والتحمل.</v>
      </c>
    </row>
    <row r="5">
      <c r="A5" s="3">
        <v>4.0</v>
      </c>
      <c r="B5" s="4" t="s">
        <v>618</v>
      </c>
      <c r="C5" s="4" t="s">
        <v>619</v>
      </c>
      <c r="D5" s="4" t="s">
        <v>620</v>
      </c>
      <c r="E5" s="4" t="s">
        <v>621</v>
      </c>
      <c r="G5" s="5" t="str">
        <f>IFERROR(__xludf.DUMMYFUNCTION("GOOGLETRANSLATE(A5, ""en"", ""ar"")"),"4")</f>
        <v>4</v>
      </c>
      <c r="H5" s="5" t="str">
        <f>IFERROR(__xludf.DUMMYFUNCTION("GOOGLETRANSLATE(B5, ""en"", ""ar"")"),"هل يستطيع المصارع استخدام أي تقنيات قتالية يرغب بها في المصارعة النوبية؟")</f>
        <v>هل يستطيع المصارع استخدام أي تقنيات قتالية يرغب بها في المصارعة النوبية؟</v>
      </c>
      <c r="I5" s="5" t="str">
        <f>IFERROR(__xludf.DUMMYFUNCTION("GOOGLETRANSLATE(C5, ""en"", ""ar"")"),"أ) نعم، يُسمح بأي تقنيات؛ ب) لا، يجب على المصارع الالتزام بتقنيات معينة؛ ج) فقط تحت إشراف المدرب؛ د) فقط التقنيات التقليدية")</f>
        <v>أ) نعم، يُسمح بأي تقنيات؛ ب) لا، يجب على المصارع الالتزام بتقنيات معينة؛ ج) فقط تحت إشراف المدرب؛ د) فقط التقنيات التقليدية</v>
      </c>
      <c r="J5" s="5" t="str">
        <f>IFERROR(__xludf.DUMMYFUNCTION("GOOGLETRANSLATE(D5, ""en"", ""ar"")"),"ب) لا، بل يجب على المصارع أن يلتزم بتقنيات معينة.")</f>
        <v>ب) لا، بل يجب على المصارع أن يلتزم بتقنيات معينة.</v>
      </c>
      <c r="K5" s="5" t="str">
        <f>IFERROR(__xludf.DUMMYFUNCTION("GOOGLETRANSLATE(E5, ""en"", ""ar"")"),"تعتمد المصارعة النوبية على تقنيات محددة تعتمد على القوة البدنية والتكتيكات الخاصة.")</f>
        <v>تعتمد المصارعة النوبية على تقنيات محددة تعتمد على القوة البدنية والتكتيكات الخاصة.</v>
      </c>
    </row>
    <row r="6">
      <c r="A6" s="3">
        <v>5.0</v>
      </c>
      <c r="B6" s="4" t="s">
        <v>622</v>
      </c>
      <c r="C6" s="4" t="s">
        <v>623</v>
      </c>
      <c r="D6" s="4" t="s">
        <v>624</v>
      </c>
      <c r="E6" s="4" t="s">
        <v>625</v>
      </c>
      <c r="G6" s="5" t="str">
        <f>IFERROR(__xludf.DUMMYFUNCTION("GOOGLETRANSLATE(A6, ""en"", ""ar"")"),"5")</f>
        <v>5</v>
      </c>
      <c r="H6" s="5" t="str">
        <f>IFERROR(__xludf.DUMMYFUNCTION("GOOGLETRANSLATE(B6, ""en"", ""ar"")"),"هل يجوز تدخل الجمهور أثناء مباراة المصارعة النوبية؟")</f>
        <v>هل يجوز تدخل الجمهور أثناء مباراة المصارعة النوبية؟</v>
      </c>
      <c r="I6" s="5" t="str">
        <f>IFERROR(__xludf.DUMMYFUNCTION("GOOGLETRANSLATE(C6, ""en"", ""ar"")"),"أ) نعم، يمكن للجمهور التدخل؛ ب) لا، يجب أن يتم ذلك فقط تحت إشراف المدرب؛ ج) يُسمح بالتدخل بشروط؛ د) يُسمح فقط بالإشارة")</f>
        <v>أ) نعم، يمكن للجمهور التدخل؛ ب) لا، يجب أن يتم ذلك فقط تحت إشراف المدرب؛ ج) يُسمح بالتدخل بشروط؛ د) يُسمح فقط بالإشارة</v>
      </c>
      <c r="J6" s="5" t="str">
        <f>IFERROR(__xludf.DUMMYFUNCTION("GOOGLETRANSLATE(D6, ""en"", ""ar"")"),"ب) لا، يجب أن يتم ذلك تحت إشراف مدرب فقط.")</f>
        <v>ب) لا، يجب أن يتم ذلك تحت إشراف مدرب فقط.</v>
      </c>
      <c r="K6" s="5" t="str">
        <f>IFERROR(__xludf.DUMMYFUNCTION("GOOGLETRANSLATE(E6, ""en"", ""ar"")"),"لا يُسمح بتدخل المتفرجين في المصارعة النوبية ويجب أن يتم ذلك فقط تحت إشراف مدرب.")</f>
        <v>لا يُسمح بتدخل المتفرجين في المصارعة النوبية ويجب أن يتم ذلك فقط تحت إشراف مدرب.</v>
      </c>
    </row>
    <row r="7">
      <c r="A7" s="3">
        <v>6.0</v>
      </c>
      <c r="B7" s="4" t="s">
        <v>626</v>
      </c>
      <c r="C7" s="4" t="s">
        <v>627</v>
      </c>
      <c r="D7" s="4" t="s">
        <v>628</v>
      </c>
      <c r="E7" s="4" t="s">
        <v>629</v>
      </c>
      <c r="G7" s="5" t="str">
        <f>IFERROR(__xludf.DUMMYFUNCTION("GOOGLETRANSLATE(A7, ""en"", ""ar"")"),"6")</f>
        <v>6</v>
      </c>
      <c r="H7" s="5" t="str">
        <f>IFERROR(__xludf.DUMMYFUNCTION("GOOGLETRANSLATE(B7, ""en"", ""ar"")"),"ما حكم المصارعة النوبية إذا انتهت المباراة بالتعادل؟")</f>
        <v>ما حكم المصارعة النوبية إذا انتهت المباراة بالتعادل؟</v>
      </c>
      <c r="I7" s="5" t="str">
        <f>IFERROR(__xludf.DUMMYFUNCTION("GOOGLETRANSLATE(C7, ""en"", ""ar"")"),"أ) لا يوجد حكم للتعادل؛ ب) يعتمد الفائز على أكبر عدد من الضربات؛ ج) تُعقد جولة إضافية؛ د) يقرر الحكم الفائز")</f>
        <v>أ) لا يوجد حكم للتعادل؛ ب) يعتمد الفائز على أكبر عدد من الضربات؛ ج) تُعقد جولة إضافية؛ د) يقرر الحكم الفائز</v>
      </c>
      <c r="J7" s="5" t="str">
        <f>IFERROR(__xludf.DUMMYFUNCTION("GOOGLETRANSLATE(D7, ""en"", ""ar"")"),"ج) يتم استدعاء جولة إضافية.")</f>
        <v>ج) يتم استدعاء جولة إضافية.</v>
      </c>
      <c r="K7" s="5" t="str">
        <f>IFERROR(__xludf.DUMMYFUNCTION("GOOGLETRANSLATE(E7, ""en"", ""ar"")"),"في حالة التعادل، يتم عقد جولة إضافية لتحديد الفائز.")</f>
        <v>في حالة التعادل، يتم عقد جولة إضافية لتحديد الفائز.</v>
      </c>
    </row>
    <row r="8">
      <c r="A8" s="3">
        <v>7.0</v>
      </c>
      <c r="B8" s="4" t="s">
        <v>630</v>
      </c>
      <c r="C8" s="4" t="s">
        <v>631</v>
      </c>
      <c r="D8" s="4" t="s">
        <v>632</v>
      </c>
      <c r="E8" s="4" t="s">
        <v>633</v>
      </c>
      <c r="G8" s="5" t="str">
        <f>IFERROR(__xludf.DUMMYFUNCTION("GOOGLETRANSLATE(A8, ""en"", ""ar"")"),"7")</f>
        <v>7</v>
      </c>
      <c r="H8" s="5" t="str">
        <f>IFERROR(__xludf.DUMMYFUNCTION("GOOGLETRANSLATE(B8, ""en"", ""ar"")"),"هل يجوز للمصارع الانسحاب من المباراة لأي سبب؟")</f>
        <v>هل يجوز للمصارع الانسحاب من المباراة لأي سبب؟</v>
      </c>
      <c r="I8" s="5" t="str">
        <f>IFERROR(__xludf.DUMMYFUNCTION("GOOGLETRANSLATE(C8, ""en"", ""ar"")"),"أ) نعم، في أي وقت؛ ب) لا، يجب عليهم إكمال المباراة؛ ج) فقط في حالة الإصابة؛ د) فقط بعد ثلاث جولات")</f>
        <v>أ) نعم، في أي وقت؛ ب) لا، يجب عليهم إكمال المباراة؛ ج) فقط في حالة الإصابة؛ د) فقط بعد ثلاث جولات</v>
      </c>
      <c r="J8" s="5" t="str">
        <f>IFERROR(__xludf.DUMMYFUNCTION("GOOGLETRANSLATE(D8, ""en"", ""ar"")"),"ج) لا يجوز الانسحاب إلا في حالة الإصابة.")</f>
        <v>ج) لا يجوز الانسحاب إلا في حالة الإصابة.</v>
      </c>
      <c r="K8" s="5" t="str">
        <f>IFERROR(__xludf.DUMMYFUNCTION("GOOGLETRANSLATE(E8, ""en"", ""ar"")"),"إذا تعرض المصارع لإصابة قد تؤثر على سلامته، فيمكنه الانسحاب بموافقة المدرب.")</f>
        <v>إذا تعرض المصارع لإصابة قد تؤثر على سلامته، فيمكنه الانسحاب بموافقة المدرب.</v>
      </c>
    </row>
    <row r="9">
      <c r="A9" s="3">
        <v>8.0</v>
      </c>
      <c r="B9" s="4" t="s">
        <v>634</v>
      </c>
      <c r="C9" s="4" t="s">
        <v>635</v>
      </c>
      <c r="D9" s="4" t="s">
        <v>636</v>
      </c>
      <c r="E9" s="4" t="s">
        <v>637</v>
      </c>
      <c r="G9" s="5" t="str">
        <f>IFERROR(__xludf.DUMMYFUNCTION("GOOGLETRANSLATE(A9, ""en"", ""ar"")"),"8")</f>
        <v>8</v>
      </c>
      <c r="H9" s="5" t="str">
        <f>IFERROR(__xludf.DUMMYFUNCTION("GOOGLETRANSLATE(B9, ""en"", ""ar"")"),"ما هو حكم استعمال القوة في المصارعة النوبية؟")</f>
        <v>ما هو حكم استعمال القوة في المصارعة النوبية؟</v>
      </c>
      <c r="I9" s="5" t="str">
        <f>IFERROR(__xludf.DUMMYFUNCTION("GOOGLETRANSLATE(C9, ""en"", ""ar"")"),"أ) مسموح به في أي وقت؛ ب) يجب استخدام القوة بحذر وتكتيكي؛ ج) استخدام القوة محظور؛ د) مسموح به فقط في حالة الهجوم")</f>
        <v>أ) مسموح به في أي وقت؛ ب) يجب استخدام القوة بحذر وتكتيكي؛ ج) استخدام القوة محظور؛ د) مسموح به فقط في حالة الهجوم</v>
      </c>
      <c r="J9" s="5" t="str">
        <f>IFERROR(__xludf.DUMMYFUNCTION("GOOGLETRANSLATE(D9, ""en"", ""ar"")"),"ب) يجب استخدام القوة بحذر وتكتيكية.")</f>
        <v>ب) يجب استخدام القوة بحذر وتكتيكية.</v>
      </c>
      <c r="K9" s="5" t="str">
        <f>IFERROR(__xludf.DUMMYFUNCTION("GOOGLETRANSLATE(E9, ""en"", ""ar"")"),"تتطلب المصارعة النوبية الاستخدام التكتيكي للقوة لتحقيق النجاح، بدلاً من استخدامها عشوائيًا.")</f>
        <v>تتطلب المصارعة النوبية الاستخدام التكتيكي للقوة لتحقيق النجاح، بدلاً من استخدامها عشوائيًا.</v>
      </c>
    </row>
    <row r="10">
      <c r="A10" s="3">
        <v>9.0</v>
      </c>
      <c r="B10" s="4" t="s">
        <v>638</v>
      </c>
      <c r="C10" s="4" t="s">
        <v>639</v>
      </c>
      <c r="D10" s="4" t="s">
        <v>640</v>
      </c>
      <c r="E10" s="4" t="s">
        <v>641</v>
      </c>
      <c r="G10" s="5" t="str">
        <f>IFERROR(__xludf.DUMMYFUNCTION("GOOGLETRANSLATE(A10, ""en"", ""ar"")"),"9")</f>
        <v>9</v>
      </c>
      <c r="H10" s="5" t="str">
        <f>IFERROR(__xludf.DUMMYFUNCTION("GOOGLETRANSLATE(B10, ""en"", ""ar"")"),"هل يجوز للمصارع استخدام حركات خطيرة قد تسبب إصابات خطيرة؟")</f>
        <v>هل يجوز للمصارع استخدام حركات خطيرة قد تسبب إصابات خطيرة؟</v>
      </c>
      <c r="I10" s="5" t="str">
        <f>IFERROR(__xludf.DUMMYFUNCTION("GOOGLETRANSLATE(C10, ""en"", ""ar"")"),"أ) نعم، يُسمح بأي حركة؛ ب) لا، الحركات الخطيرة ممنوعة؛ ج) فقط كجزء من تكتيك؛ د) مسموح بها تحت إشراف الطبيب")</f>
        <v>أ) نعم، يُسمح بأي حركة؛ ب) لا، الحركات الخطيرة ممنوعة؛ ج) فقط كجزء من تكتيك؛ د) مسموح بها تحت إشراف الطبيب</v>
      </c>
      <c r="J10" s="5" t="str">
        <f>IFERROR(__xludf.DUMMYFUNCTION("GOOGLETRANSLATE(D10, ""en"", ""ar"")"),"ب) لا، الحركات الخطيرة ممنوعة.")</f>
        <v>ب) لا، الحركات الخطيرة ممنوعة.</v>
      </c>
      <c r="K10" s="5" t="str">
        <f>IFERROR(__xludf.DUMMYFUNCTION("GOOGLETRANSLATE(E10, ""en"", ""ar"")"),"تحظر المصارعة النوبية الحركات التي قد تسبب إصابات خطيرة للمصارعين.")</f>
        <v>تحظر المصارعة النوبية الحركات التي قد تسبب إصابات خطيرة للمصارعين.</v>
      </c>
    </row>
    <row r="11">
      <c r="A11" s="3">
        <v>10.0</v>
      </c>
      <c r="B11" s="4" t="s">
        <v>642</v>
      </c>
      <c r="C11" s="4" t="s">
        <v>643</v>
      </c>
      <c r="D11" s="4" t="s">
        <v>644</v>
      </c>
      <c r="E11" s="4" t="s">
        <v>645</v>
      </c>
      <c r="G11" s="5" t="str">
        <f>IFERROR(__xludf.DUMMYFUNCTION("GOOGLETRANSLATE(A11, ""en"", ""ar"")"),"10")</f>
        <v>10</v>
      </c>
      <c r="H11" s="5" t="str">
        <f>IFERROR(__xludf.DUMMYFUNCTION("GOOGLETRANSLATE(B11, ""en"", ""ar"")"),"هل يشترط أن يكون المصارع جاهزًا بدنيًا قبل الدخول في المباراة؟")</f>
        <v>هل يشترط أن يكون المصارع جاهزًا بدنيًا قبل الدخول في المباراة؟</v>
      </c>
      <c r="I11" s="5" t="str">
        <f>IFERROR(__xludf.DUMMYFUNCTION("GOOGLETRANSLATE(C11, ""en"", ""ar"")"),"أ) لا، لا توجد شروط مسبقة؛ ب) نعم، يشترط اللياقة البدنية الجيدة؛ ج) يشترط فقط الحالة العقلية الجيدة؛ د) لا يشترط أي تدريب")</f>
        <v>أ) لا، لا توجد شروط مسبقة؛ ب) نعم، يشترط اللياقة البدنية الجيدة؛ ج) يشترط فقط الحالة العقلية الجيدة؛ د) لا يشترط أي تدريب</v>
      </c>
      <c r="J11" s="5" t="str">
        <f>IFERROR(__xludf.DUMMYFUNCTION("GOOGLETRANSLATE(D11, ""en"", ""ar"")"),"ب) نعم، يجب أن يكون المصارع في حالة بدنية جيدة.")</f>
        <v>ب) نعم، يجب أن يكون المصارع في حالة بدنية جيدة.</v>
      </c>
      <c r="K11" s="5" t="str">
        <f>IFERROR(__xludf.DUMMYFUNCTION("GOOGLETRANSLATE(E11, ""en"", ""ar"")"),"يجب أن يتمتع المصارع بلياقة بدنية جيدة ليتمكن من تحمل الحركات وتنفيذها بشكل صحيح.")</f>
        <v>يجب أن يتمتع المصارع بلياقة بدنية جيدة ليتمكن من تحمل الحركات وتنفيذها بشكل صحيح.</v>
      </c>
    </row>
    <row r="12">
      <c r="A12" s="3">
        <v>11.0</v>
      </c>
      <c r="B12" s="4" t="s">
        <v>646</v>
      </c>
      <c r="C12" s="4" t="s">
        <v>647</v>
      </c>
      <c r="D12" s="4" t="s">
        <v>648</v>
      </c>
      <c r="E12" s="4" t="s">
        <v>649</v>
      </c>
      <c r="G12" s="5" t="str">
        <f>IFERROR(__xludf.DUMMYFUNCTION("GOOGLETRANSLATE(A12, ""en"", ""ar"")"),"11")</f>
        <v>11</v>
      </c>
      <c r="H12" s="5" t="str">
        <f>IFERROR(__xludf.DUMMYFUNCTION("GOOGLETRANSLATE(B12, ""en"", ""ar"")"),"هل يجوز للمصارع استخدام أساليب غير قانونية للفوز بالمباراة؟")</f>
        <v>هل يجوز للمصارع استخدام أساليب غير قانونية للفوز بالمباراة؟</v>
      </c>
      <c r="I12" s="5" t="str">
        <f>IFERROR(__xludf.DUMMYFUNCTION("GOOGLETRANSLATE(C12, ""en"", ""ar"")"),"أ) نعم، إذا كان ذلك في مصلحته؛ ب) لا، يجب الالتزام بالقوانين؛ ج) فقط إذا لم يتم اكتشافها؛ د) مسموح بها إذا كانت ضمن التكتيك")</f>
        <v>أ) نعم، إذا كان ذلك في مصلحته؛ ب) لا، يجب الالتزام بالقوانين؛ ج) فقط إذا لم يتم اكتشافها؛ د) مسموح بها إذا كانت ضمن التكتيك</v>
      </c>
      <c r="J12" s="5" t="str">
        <f>IFERROR(__xludf.DUMMYFUNCTION("GOOGLETRANSLATE(D12, ""en"", ""ar"")"),"ب) لا، يجب عليك الالتزام بالقوانين.")</f>
        <v>ب) لا، يجب عليك الالتزام بالقوانين.</v>
      </c>
      <c r="K12" s="5" t="str">
        <f>IFERROR(__xludf.DUMMYFUNCTION("GOOGLETRANSLATE(E12, ""en"", ""ar"")"),"تتطلب المصارعة النوبية الالتزام بالقواعد والتقنيات المعترف بها، ويُحظر استخدام الأساليب غير القانونية.")</f>
        <v>تتطلب المصارعة النوبية الالتزام بالقواعد والتقنيات المعترف بها، ويُحظر استخدام الأساليب غير القانونية.</v>
      </c>
    </row>
    <row r="13">
      <c r="A13" s="3">
        <v>12.0</v>
      </c>
      <c r="B13" s="4" t="s">
        <v>650</v>
      </c>
      <c r="C13" s="4" t="s">
        <v>651</v>
      </c>
      <c r="D13" s="4" t="s">
        <v>652</v>
      </c>
      <c r="E13" s="4" t="s">
        <v>653</v>
      </c>
      <c r="G13" s="5" t="str">
        <f>IFERROR(__xludf.DUMMYFUNCTION("GOOGLETRANSLATE(A13, ""en"", ""ar"")"),"12")</f>
        <v>12</v>
      </c>
      <c r="H13" s="5" t="str">
        <f>IFERROR(__xludf.DUMMYFUNCTION("GOOGLETRANSLATE(B13, ""en"", ""ar"")"),"هل يجب حضور حكم في كل مباراة مصارعة نوبية؟")</f>
        <v>هل يجب حضور حكم في كل مباراة مصارعة نوبية؟</v>
      </c>
      <c r="I13" s="5" t="str">
        <f>IFERROR(__xludf.DUMMYFUNCTION("GOOGLETRANSLATE(C13, ""en"", ""ar"")"),"أ) نعم، يوجد حكم دائم في كل مباراة؛ ب) لا، ليس من الضروري وجود حكم؛ ج) فقط في المباريات الكبرى؛ د) فقط في المباريات بين القبائل")</f>
        <v>أ) نعم، يوجد حكم دائم في كل مباراة؛ ب) لا، ليس من الضروري وجود حكم؛ ج) فقط في المباريات الكبرى؛ د) فقط في المباريات بين القبائل</v>
      </c>
      <c r="J13" s="5" t="str">
        <f>IFERROR(__xludf.DUMMYFUNCTION("GOOGLETRANSLATE(D13, ""en"", ""ar"")"),"أ) نعم، هناك حكم دائم في كل مباراة.")</f>
        <v>أ) نعم، هناك حكم دائم في كل مباراة.</v>
      </c>
      <c r="K13" s="5" t="str">
        <f>IFERROR(__xludf.DUMMYFUNCTION("GOOGLETRANSLATE(E13, ""en"", ""ar"")"),"تتطلب المصارعة النوبية وجود حكم في كل مباراة للتأكد من اتباع القواعد وضمان النزاهة.")</f>
        <v>تتطلب المصارعة النوبية وجود حكم في كل مباراة للتأكد من اتباع القواعد وضمان النزاهة.</v>
      </c>
    </row>
    <row r="14">
      <c r="A14" s="3">
        <v>13.0</v>
      </c>
      <c r="B14" s="4" t="s">
        <v>654</v>
      </c>
      <c r="C14" s="4" t="s">
        <v>655</v>
      </c>
      <c r="D14" s="4" t="s">
        <v>656</v>
      </c>
      <c r="E14" s="4" t="s">
        <v>657</v>
      </c>
      <c r="G14" s="5" t="str">
        <f>IFERROR(__xludf.DUMMYFUNCTION("GOOGLETRANSLATE(A14, ""en"", ""ar"")"),"13")</f>
        <v>13</v>
      </c>
      <c r="H14" s="5" t="str">
        <f>IFERROR(__xludf.DUMMYFUNCTION("GOOGLETRANSLATE(B14, ""en"", ""ar"")"),"ما هي القاعدة الخاصة بحجم المنطقة التي تقام فيها رياضة المصارعة النوبية؟")</f>
        <v>ما هي القاعدة الخاصة بحجم المنطقة التي تقام فيها رياضة المصارعة النوبية؟</v>
      </c>
      <c r="I14" s="5" t="str">
        <f>IFERROR(__xludf.DUMMYFUNCTION("GOOGLETRANSLATE(C14, ""en"", ""ar"")"),"أ) يمكن أن تكون أي مساحة مفتوحة؛ ب) يجب أن تكون في مساحة محددة مسبقًا؛ ج) يجب أن تكون في منطقة مغلقة؛ د) يجب أن تكون المساحة كبيرة جدًا")</f>
        <v>أ) يمكن أن تكون أي مساحة مفتوحة؛ ب) يجب أن تكون في مساحة محددة مسبقًا؛ ج) يجب أن تكون في منطقة مغلقة؛ د) يجب أن تكون المساحة كبيرة جدًا</v>
      </c>
      <c r="J14" s="5" t="str">
        <f>IFERROR(__xludf.DUMMYFUNCTION("GOOGLETRANSLATE(D14, ""en"", ""ar"")"),"ب) يجب تشغيلها في مساحة محددة مسبقًا.")</f>
        <v>ب) يجب تشغيلها في مساحة محددة مسبقًا.</v>
      </c>
      <c r="K14" s="5" t="str">
        <f>IFERROR(__xludf.DUMMYFUNCTION("GOOGLETRANSLATE(E14, ""en"", ""ar"")"),"عادة ما يتم لعب المصارعة النوبية في منطقة محددة توفر الأمان والراحة للمصارعين.")</f>
        <v>عادة ما يتم لعب المصارعة النوبية في منطقة محددة توفر الأمان والراحة للمصارعين.</v>
      </c>
    </row>
    <row r="15">
      <c r="A15" s="3">
        <v>14.0</v>
      </c>
      <c r="B15" s="4" t="s">
        <v>658</v>
      </c>
      <c r="C15" s="4" t="s">
        <v>659</v>
      </c>
      <c r="D15" s="4" t="s">
        <v>660</v>
      </c>
      <c r="E15" s="4" t="s">
        <v>661</v>
      </c>
      <c r="G15" s="5" t="str">
        <f>IFERROR(__xludf.DUMMYFUNCTION("GOOGLETRANSLATE(A15, ""en"", ""ar"")"),"14")</f>
        <v>14</v>
      </c>
      <c r="H15" s="5" t="str">
        <f>IFERROR(__xludf.DUMMYFUNCTION("GOOGLETRANSLATE(B15, ""en"", ""ar"")"),"هل يجوز للمصارع تغيير استراتيجيته أثناء المباراة؟")</f>
        <v>هل يجوز للمصارع تغيير استراتيجيته أثناء المباراة؟</v>
      </c>
      <c r="I15" s="5" t="str">
        <f>IFERROR(__xludf.DUMMYFUNCTION("GOOGLETRANSLATE(C15, ""en"", ""ar"")"),"أ) نعم، في أي وقت؛ ب) لا، يجب عليهم الالتزام باستراتيجية واحدة؛ ج) فقط بعد الجولة الأولى؛ د) فقط في حالة الخسارة")</f>
        <v>أ) نعم، في أي وقت؛ ب) لا، يجب عليهم الالتزام باستراتيجية واحدة؛ ج) فقط بعد الجولة الأولى؛ د) فقط في حالة الخسارة</v>
      </c>
      <c r="J15" s="5" t="str">
        <f>IFERROR(__xludf.DUMMYFUNCTION("GOOGLETRANSLATE(D15, ""en"", ""ar"")"),"أ) نعم، يمكنه تغيير استراتيجيته في أي وقت.")</f>
        <v>أ) نعم، يمكنه تغيير استراتيجيته في أي وقت.</v>
      </c>
      <c r="K15" s="5" t="str">
        <f>IFERROR(__xludf.DUMMYFUNCTION("GOOGLETRANSLATE(E15, ""en"", ""ar"")"),"تتطلب المصارعة النوبية من المصارع أن يكون مرنًا في استراتيجياته وقادرًا على التكيف مع سير المباراة.")</f>
        <v>تتطلب المصارعة النوبية من المصارع أن يكون مرنًا في استراتيجياته وقادرًا على التكيف مع سير المباراة.</v>
      </c>
    </row>
    <row r="16">
      <c r="A16" s="3">
        <v>15.0</v>
      </c>
      <c r="B16" s="4" t="s">
        <v>662</v>
      </c>
      <c r="C16" s="4" t="s">
        <v>663</v>
      </c>
      <c r="D16" s="4" t="s">
        <v>664</v>
      </c>
      <c r="E16" s="4" t="s">
        <v>665</v>
      </c>
      <c r="G16" s="5" t="str">
        <f>IFERROR(__xludf.DUMMYFUNCTION("GOOGLETRANSLATE(A16, ""en"", ""ar"")"),"15")</f>
        <v>15</v>
      </c>
      <c r="H16" s="5" t="str">
        <f>IFERROR(__xludf.DUMMYFUNCTION("GOOGLETRANSLATE(B16, ""en"", ""ar"")"),"ما هي القاعدة التي تحكم استخدام المصارع للتقنيات الدفاعية؟")</f>
        <v>ما هي القاعدة التي تحكم استخدام المصارع للتقنيات الدفاعية؟</v>
      </c>
      <c r="I16" s="5" t="str">
        <f>IFERROR(__xludf.DUMMYFUNCTION("GOOGLETRANSLATE(C16, ""en"", ""ar"")"),"أ) يُسمح بأي تقنية دفاعية؛ ب) يجب أن يكون الدفاع فعالاً وغير مبالغ فيه؛ ج) لا يُستخدم الدفاع؛ د) يُسمح بالدفاع فقط بعد الهجوم")</f>
        <v>أ) يُسمح بأي تقنية دفاعية؛ ب) يجب أن يكون الدفاع فعالاً وغير مبالغ فيه؛ ج) لا يُستخدم الدفاع؛ د) يُسمح بالدفاع فقط بعد الهجوم</v>
      </c>
      <c r="J16" s="5" t="str">
        <f>IFERROR(__xludf.DUMMYFUNCTION("GOOGLETRANSLATE(D16, ""en"", ""ar"")"),"ب) يجب أن يكون الدفاع فعالاً وغير مبالغ فيه.")</f>
        <v>ب) يجب أن يكون الدفاع فعالاً وغير مبالغ فيه.</v>
      </c>
      <c r="K16" s="5" t="str">
        <f>IFERROR(__xludf.DUMMYFUNCTION("GOOGLETRANSLATE(E16, ""en"", ""ar"")"),"ينبغي أن تكون أساليب الدفاع متوازنة وفعالة دون أن تكون مفرطة أو مبالغ فيها.")</f>
        <v>ينبغي أن تكون أساليب الدفاع متوازنة وفعالة دون أن تكون مفرطة أو مبالغ فيها.</v>
      </c>
    </row>
    <row r="17">
      <c r="A17" s="3">
        <v>16.0</v>
      </c>
      <c r="B17" s="4" t="s">
        <v>666</v>
      </c>
      <c r="C17" s="4" t="s">
        <v>667</v>
      </c>
      <c r="D17" s="4" t="s">
        <v>668</v>
      </c>
      <c r="E17" s="4" t="s">
        <v>669</v>
      </c>
      <c r="G17" s="5" t="str">
        <f>IFERROR(__xludf.DUMMYFUNCTION("GOOGLETRANSLATE(A17, ""en"", ""ar"")"),"16")</f>
        <v>16</v>
      </c>
      <c r="H17" s="5" t="str">
        <f>IFERROR(__xludf.DUMMYFUNCTION("GOOGLETRANSLATE(B17, ""en"", ""ar"")"),"ما هي القاعدة بشأن المدة التي يمكن للمصارع أن يستريح فيها أثناء المباراة؟")</f>
        <v>ما هي القاعدة بشأن المدة التي يمكن للمصارع أن يستريح فيها أثناء المباراة؟</v>
      </c>
      <c r="I17" s="5" t="str">
        <f>IFERROR(__xludf.DUMMYFUNCTION("GOOGLETRANSLATE(C17, ""en"", ""ar"")"),"أ) لا توجد فترات راحة؛ ب) الراحة حسب الحاجة؛ ج) يتم منح فترة راحة قصيرة في منتصف المباراة؛ د) مسموح بها فقط للإصابة")</f>
        <v>أ) لا توجد فترات راحة؛ ب) الراحة حسب الحاجة؛ ج) يتم منح فترة راحة قصيرة في منتصف المباراة؛ د) مسموح بها فقط للإصابة</v>
      </c>
      <c r="J17" s="5" t="str">
        <f>IFERROR(__xludf.DUMMYFUNCTION("GOOGLETRANSLATE(D17, ""en"", ""ar"")"),"ج) يتم إعطاء استراحة قصيرة في منتصف المباراة.")</f>
        <v>ج) يتم إعطاء استراحة قصيرة في منتصف المباراة.</v>
      </c>
      <c r="K17" s="5" t="str">
        <f>IFERROR(__xludf.DUMMYFUNCTION("GOOGLETRANSLATE(E17, ""en"", ""ar"")"),"توفر المصارعة النوبية فترة راحة قصيرة في منتصف المباراة للمصارعين.")</f>
        <v>توفر المصارعة النوبية فترة راحة قصيرة في منتصف المباراة للمصارعين.</v>
      </c>
    </row>
    <row r="18">
      <c r="A18" s="3">
        <v>17.0</v>
      </c>
      <c r="B18" s="4" t="s">
        <v>670</v>
      </c>
      <c r="C18" s="4" t="s">
        <v>671</v>
      </c>
      <c r="D18" s="4" t="s">
        <v>672</v>
      </c>
      <c r="E18" s="4" t="s">
        <v>673</v>
      </c>
      <c r="G18" s="5" t="str">
        <f>IFERROR(__xludf.DUMMYFUNCTION("GOOGLETRANSLATE(A18, ""en"", ""ar"")"),"17")</f>
        <v>17</v>
      </c>
      <c r="H18" s="5" t="str">
        <f>IFERROR(__xludf.DUMMYFUNCTION("GOOGLETRANSLATE(B18, ""en"", ""ar"")"),"هل يجوز للمصارع استخدام التقنيات النفسية للتأثير على خصمه؟")</f>
        <v>هل يجوز للمصارع استخدام التقنيات النفسية للتأثير على خصمه؟</v>
      </c>
      <c r="I18" s="5" t="str">
        <f>IFERROR(__xludf.DUMMYFUNCTION("GOOGLETRANSLATE(C18, ""en"", ""ar"")"),"أ) نعم، الأساليب النفسية مسموح بها؛ ب) لا، يجب أن تقتصر على الأساليب البدنية؛ ج) فقط في المباريات النهائية؛ د) فقط إذا كانت جزءًا من تكتيك")</f>
        <v>أ) نعم، الأساليب النفسية مسموح بها؛ ب) لا، يجب أن تقتصر على الأساليب البدنية؛ ج) فقط في المباريات النهائية؛ د) فقط إذا كانت جزءًا من تكتيك</v>
      </c>
      <c r="J18" s="5" t="str">
        <f>IFERROR(__xludf.DUMMYFUNCTION("GOOGLETRANSLATE(D18, ""en"", ""ar"")"),"ب) لا، بل يجب أن يقتصر على الطرق الفيزيائية.")</f>
        <v>ب) لا، بل يجب أن يقتصر على الطرق الفيزيائية.</v>
      </c>
      <c r="K18" s="5" t="str">
        <f>IFERROR(__xludf.DUMMYFUNCTION("GOOGLETRANSLATE(E18, ""en"", ""ar"")"),"تقتصر المصارعة النوبية على التقنيات البدنية ولا يجوز استخدام الأساليب النفسية للتأثير على الخصم.")</f>
        <v>تقتصر المصارعة النوبية على التقنيات البدنية ولا يجوز استخدام الأساليب النفسية للتأثير على الخصم.</v>
      </c>
    </row>
    <row r="19">
      <c r="A19" s="3">
        <v>18.0</v>
      </c>
      <c r="B19" s="4" t="s">
        <v>674</v>
      </c>
      <c r="C19" s="4" t="s">
        <v>675</v>
      </c>
      <c r="D19" s="4" t="s">
        <v>676</v>
      </c>
      <c r="E19" s="4" t="s">
        <v>677</v>
      </c>
      <c r="G19" s="5" t="str">
        <f>IFERROR(__xludf.DUMMYFUNCTION("GOOGLETRANSLATE(A19, ""en"", ""ar"")"),"18")</f>
        <v>18</v>
      </c>
      <c r="H19" s="5" t="str">
        <f>IFERROR(__xludf.DUMMYFUNCTION("GOOGLETRANSLATE(B19, ""en"", ""ar"")"),"هل يجوز للمصارع تغيير ملابسه أثناء المباراة؟")</f>
        <v>هل يجوز للمصارع تغيير ملابسه أثناء المباراة؟</v>
      </c>
      <c r="I19" s="5" t="str">
        <f>IFERROR(__xludf.DUMMYFUNCTION("GOOGLETRANSLATE(C19, ""en"", ""ar"")"),"أ) نعم، في أي وقت؛ ب) لا، يجب عليهم ارتداء نفس الملابس؛ ج) فقط بعد الجولة الأولى؛ د) إذا كانت الملابس غير مريحة")</f>
        <v>أ) نعم، في أي وقت؛ ب) لا، يجب عليهم ارتداء نفس الملابس؛ ج) فقط بعد الجولة الأولى؛ د) إذا كانت الملابس غير مريحة</v>
      </c>
      <c r="J19" s="5" t="str">
        <f>IFERROR(__xludf.DUMMYFUNCTION("GOOGLETRANSLATE(D19, ""en"", ""ar"")"),"ب) لا، يجب عليه ارتداء نفس الملابس طوال المباراة.")</f>
        <v>ب) لا، يجب عليه ارتداء نفس الملابس طوال المباراة.</v>
      </c>
      <c r="K19" s="5" t="str">
        <f>IFERROR(__xludf.DUMMYFUNCTION("GOOGLETRANSLATE(E19, ""en"", ""ar"")"),"يجب على المصارع ارتداء الملابس المناسبة ولا يجوز له تغييرها أثناء المباراة.")</f>
        <v>يجب على المصارع ارتداء الملابس المناسبة ولا يجوز له تغييرها أثناء المباراة.</v>
      </c>
    </row>
    <row r="20">
      <c r="A20" s="3">
        <v>19.0</v>
      </c>
      <c r="B20" s="4" t="s">
        <v>678</v>
      </c>
      <c r="C20" s="4" t="s">
        <v>679</v>
      </c>
      <c r="D20" s="4" t="s">
        <v>680</v>
      </c>
      <c r="E20" s="4" t="s">
        <v>681</v>
      </c>
      <c r="G20" s="5" t="str">
        <f>IFERROR(__xludf.DUMMYFUNCTION("GOOGLETRANSLATE(A20, ""en"", ""ar"")"),"19")</f>
        <v>19</v>
      </c>
      <c r="H20" s="5" t="str">
        <f>IFERROR(__xludf.DUMMYFUNCTION("GOOGLETRANSLATE(B20, ""en"", ""ar"")"),"هل يُسمح ببعض تقنيات المصارعة فقط خلال فترات محددة من المباراة؟")</f>
        <v>هل يُسمح ببعض تقنيات المصارعة فقط خلال فترات محددة من المباراة؟</v>
      </c>
      <c r="I20" s="5" t="str">
        <f>IFERROR(__xludf.DUMMYFUNCTION("GOOGLETRANSLATE(C20, ""en"", ""ar"")"),"أ) نعم، تقنيات خاصة في مراحل معينة؛ ب) لا، أي تقنيات في أي وقت؛ ج) تقنيات خاصة فقط في النهاية؛ د) لا توجد تقنيات خاصة")</f>
        <v>أ) نعم، تقنيات خاصة في مراحل معينة؛ ب) لا، أي تقنيات في أي وقت؛ ج) تقنيات خاصة فقط في النهاية؛ د) لا توجد تقنيات خاصة</v>
      </c>
      <c r="J20" s="5" t="str">
        <f>IFERROR(__xludf.DUMMYFUNCTION("GOOGLETRANSLATE(D20, ""en"", ""ar"")"),"ب) لا، يمكن استخدام أي تقنيات في أي وقت.")</f>
        <v>ب) لا، يمكن استخدام أي تقنيات في أي وقت.</v>
      </c>
      <c r="K20" s="5" t="str">
        <f>IFERROR(__xludf.DUMMYFUNCTION("GOOGLETRANSLATE(E20, ""en"", ""ar"")"),"في المصارعة النوبية، يُسمح باستخدام جميع التقنيات المعترف بها في أي وقت أثناء المباراة.")</f>
        <v>في المصارعة النوبية، يُسمح باستخدام جميع التقنيات المعترف بها في أي وقت أثناء المباراة.</v>
      </c>
    </row>
    <row r="21">
      <c r="A21" s="3">
        <v>20.0</v>
      </c>
      <c r="B21" s="4" t="s">
        <v>682</v>
      </c>
      <c r="C21" s="4" t="s">
        <v>683</v>
      </c>
      <c r="D21" s="4" t="s">
        <v>684</v>
      </c>
      <c r="E21" s="4" t="s">
        <v>685</v>
      </c>
      <c r="G21" s="5" t="str">
        <f>IFERROR(__xludf.DUMMYFUNCTION("GOOGLETRANSLATE(A21, ""en"", ""ar"")"),"20")</f>
        <v>20</v>
      </c>
      <c r="H21" s="5" t="str">
        <f>IFERROR(__xludf.DUMMYFUNCTION("GOOGLETRANSLATE(B21, ""en"", ""ar"")"),"ما هو حكم استخدام القوة المفرطة في المصارعة النوبية؟")</f>
        <v>ما هو حكم استخدام القوة المفرطة في المصارعة النوبية؟</v>
      </c>
      <c r="I21" s="5" t="str">
        <f>IFERROR(__xludf.DUMMYFUNCTION("GOOGLETRANSLATE(C21, ""en"", ""ar"")"),"أ) مسموح به دائمًا؛ ب) مسموح به أبدًا؛ ج) في الدفاع فقط؛ د) في المباريات المهمة فقط")</f>
        <v>أ) مسموح به دائمًا؛ ب) مسموح به أبدًا؛ ج) في الدفاع فقط؛ د) في المباريات المهمة فقط</v>
      </c>
      <c r="J21" s="5" t="str">
        <f>IFERROR(__xludf.DUMMYFUNCTION("GOOGLETRANSLATE(D21, ""en"", ""ar"")"),"ب) لا يجوز استخدام القوة المفرطة في أي وقت.")</f>
        <v>ب) لا يجوز استخدام القوة المفرطة في أي وقت.</v>
      </c>
      <c r="K21" s="5" t="str">
        <f>IFERROR(__xludf.DUMMYFUNCTION("GOOGLETRANSLATE(E21, ""en"", ""ar"")"),"يحظر المصارعة النوبية استخدام القوة المفرطة لضمان سلامة المصارعين.")</f>
        <v>يحظر المصارعة النوبية استخدام القوة المفرطة لضمان سلامة المصارعين.</v>
      </c>
    </row>
    <row r="22">
      <c r="A22" s="3">
        <v>21.0</v>
      </c>
      <c r="B22" s="4" t="s">
        <v>686</v>
      </c>
      <c r="C22" s="4" t="s">
        <v>687</v>
      </c>
      <c r="D22" s="4" t="s">
        <v>688</v>
      </c>
      <c r="E22" s="4" t="s">
        <v>689</v>
      </c>
      <c r="G22" s="5" t="str">
        <f>IFERROR(__xludf.DUMMYFUNCTION("GOOGLETRANSLATE(A22, ""en"", ""ar"")"),"21")</f>
        <v>21</v>
      </c>
      <c r="H22" s="5" t="str">
        <f>IFERROR(__xludf.DUMMYFUNCTION("GOOGLETRANSLATE(B22, ""en"", ""ar"")"),"ما هي القاعدة بشأن عدد المصارعين في كل مباراة؟")</f>
        <v>ما هي القاعدة بشأن عدد المصارعين في كل مباراة؟</v>
      </c>
      <c r="I22" s="5" t="str">
        <f>IFERROR(__xludf.DUMMYFUNCTION("GOOGLETRANSLATE(C22, ""en"", ""ar"")"),"أ) يمكن أن يكون هناك أكثر من مصارعين اثنين؛ ب) يجب أن يكون هناك مصارعين اثنين فقط؛ ج) يتم تحديده بموجب القوانين المحلية؛ د) مباريات الفريق فقط في البطولات الكبرى")</f>
        <v>أ) يمكن أن يكون هناك أكثر من مصارعين اثنين؛ ب) يجب أن يكون هناك مصارعين اثنين فقط؛ ج) يتم تحديده بموجب القوانين المحلية؛ د) مباريات الفريق فقط في البطولات الكبرى</v>
      </c>
      <c r="J22" s="5" t="str">
        <f>IFERROR(__xludf.DUMMYFUNCTION("GOOGLETRANSLATE(D22, ""en"", ""ar"")"),"ب) يجب أن تكون المباراة بين مصارعين فقط.")</f>
        <v>ب) يجب أن تكون المباراة بين مصارعين فقط.</v>
      </c>
      <c r="K22" s="5" t="str">
        <f>IFERROR(__xludf.DUMMYFUNCTION("GOOGLETRANSLATE(E22, ""en"", ""ar"")"),"تتطلب المصارعة النوبية عادة مصارعين اثنين فقط في كل مباراة.")</f>
        <v>تتطلب المصارعة النوبية عادة مصارعين اثنين فقط في كل مباراة.</v>
      </c>
    </row>
    <row r="23">
      <c r="A23" s="3">
        <v>22.0</v>
      </c>
      <c r="B23" s="4" t="s">
        <v>690</v>
      </c>
      <c r="C23" s="4" t="s">
        <v>691</v>
      </c>
      <c r="D23" s="4" t="s">
        <v>692</v>
      </c>
      <c r="E23" s="4" t="s">
        <v>693</v>
      </c>
      <c r="G23" s="5" t="str">
        <f>IFERROR(__xludf.DUMMYFUNCTION("GOOGLETRANSLATE(A23, ""en"", ""ar"")"),"22")</f>
        <v>22</v>
      </c>
      <c r="H23" s="5" t="str">
        <f>IFERROR(__xludf.DUMMYFUNCTION("GOOGLETRANSLATE(B23, ""en"", ""ar"")"),"هل يجوز للمصارع تكرار نفس الحركات طوال المباراة؟")</f>
        <v>هل يجوز للمصارع تكرار نفس الحركات طوال المباراة؟</v>
      </c>
      <c r="I23" s="5" t="str">
        <f>IFERROR(__xludf.DUMMYFUNCTION("GOOGLETRANSLATE(C23, ""en"", ""ar"")"),"أ) نعم، يمكنهم تكرار الحركات؛ ب) لا، يجب عليهم تغيير الحركات؛ ج) فقط إذا كانت الحركات فعالة؛ د) فقط في الدفاع")</f>
        <v>أ) نعم، يمكنهم تكرار الحركات؛ ب) لا، يجب عليهم تغيير الحركات؛ ج) فقط إذا كانت الحركات فعالة؛ د) فقط في الدفاع</v>
      </c>
      <c r="J23" s="5" t="str">
        <f>IFERROR(__xludf.DUMMYFUNCTION("GOOGLETRANSLATE(D23, ""en"", ""ar"")"),"ب) لا، بل يجب عليه تغيير تحركاته طوال المباراة.")</f>
        <v>ب) لا، بل يجب عليه تغيير تحركاته طوال المباراة.</v>
      </c>
      <c r="K23" s="5" t="str">
        <f>IFERROR(__xludf.DUMMYFUNCTION("GOOGLETRANSLATE(E23, ""en"", ""ar"")"),"تتطلب المصارعة النوبية تنوعًا في الحركات ولا يُسمح بتكرار نفس الحركة طوال المباراة.")</f>
        <v>تتطلب المصارعة النوبية تنوعًا في الحركات ولا يُسمح بتكرار نفس الحركة طوال المباراة.</v>
      </c>
    </row>
    <row r="24">
      <c r="A24" s="3">
        <v>23.0</v>
      </c>
      <c r="B24" s="4" t="s">
        <v>694</v>
      </c>
      <c r="C24" s="4" t="s">
        <v>695</v>
      </c>
      <c r="D24" s="4" t="s">
        <v>696</v>
      </c>
      <c r="E24" s="4" t="s">
        <v>697</v>
      </c>
      <c r="G24" s="5" t="str">
        <f>IFERROR(__xludf.DUMMYFUNCTION("GOOGLETRANSLATE(A24, ""en"", ""ar"")"),"23")</f>
        <v>23</v>
      </c>
      <c r="H24" s="5" t="str">
        <f>IFERROR(__xludf.DUMMYFUNCTION("GOOGLETRANSLATE(B24, ""en"", ""ar"")"),"هل يستطيع المصارع إيقاف المباراة لمجرد شعوره بالألم؟")</f>
        <v>هل يستطيع المصارع إيقاف المباراة لمجرد شعوره بالألم؟</v>
      </c>
      <c r="I24" s="5" t="str">
        <f>IFERROR(__xludf.DUMMYFUNCTION("GOOGLETRANSLATE(C24, ""en"", ""ar"")"),"أ) نعم، يمكنهم التوقف؛ ب) لا، فقط في حالات الطوارئ؛ ج) بعد استشارة الحكم؛ د) بعد كل جولة")</f>
        <v>أ) نعم، يمكنهم التوقف؛ ب) لا، فقط في حالات الطوارئ؛ ج) بعد استشارة الحكم؛ د) بعد كل جولة</v>
      </c>
      <c r="J24" s="5" t="str">
        <f>IFERROR(__xludf.DUMMYFUNCTION("GOOGLETRANSLATE(D24, ""en"", ""ar"")"),"ب) لا، لا يمكنه إيقاف المباراة إلا في حالات الطوارئ.")</f>
        <v>ب) لا، لا يمكنه إيقاف المباراة إلا في حالات الطوارئ.</v>
      </c>
      <c r="K24" s="5" t="str">
        <f>IFERROR(__xludf.DUMMYFUNCTION("GOOGLETRANSLATE(E24, ""en"", ""ar"")"),"لا يمكن للمصارع إيقاف المباراة إلا إذا كانت هناك إصابة خطيرة أو حالة طارئة.")</f>
        <v>لا يمكن للمصارع إيقاف المباراة إلا إذا كانت هناك إصابة خطيرة أو حالة طارئة.</v>
      </c>
    </row>
    <row r="25">
      <c r="A25" s="3">
        <v>24.0</v>
      </c>
      <c r="B25" s="4" t="s">
        <v>698</v>
      </c>
      <c r="C25" s="4" t="s">
        <v>699</v>
      </c>
      <c r="D25" s="4" t="s">
        <v>700</v>
      </c>
      <c r="E25" s="4" t="s">
        <v>701</v>
      </c>
      <c r="G25" s="5" t="str">
        <f>IFERROR(__xludf.DUMMYFUNCTION("GOOGLETRANSLATE(A25, ""en"", ""ar"")"),"24")</f>
        <v>24</v>
      </c>
      <c r="H25" s="5" t="str">
        <f>IFERROR(__xludf.DUMMYFUNCTION("GOOGLETRANSLATE(B25, ""en"", ""ar"")"),"هل يجب على المصارعين الخضوع لفحص طبي قبل مبارياتهم؟")</f>
        <v>هل يجب على المصارعين الخضوع لفحص طبي قبل مبارياتهم؟</v>
      </c>
      <c r="I25" s="5" t="str">
        <f>IFERROR(__xludf.DUMMYFUNCTION("GOOGLETRANSLATE(C25, ""en"", ""ar"")"),"أ) نعم، الفحص الطبي إلزامي؛ ب) لا، لا يوجد فحص؛ ج) فقط في البطولات الكبرى؛ د) فقط بعد المباراة")</f>
        <v>أ) نعم، الفحص الطبي إلزامي؛ ب) لا، لا يوجد فحص؛ ج) فقط في البطولات الكبرى؛ د) فقط بعد المباراة</v>
      </c>
      <c r="J25" s="5" t="str">
        <f>IFERROR(__xludf.DUMMYFUNCTION("GOOGLETRANSLATE(D25, ""en"", ""ar"")"),"أ) نعم، يجب على المصارع الخضوع لفحص طبي.")</f>
        <v>أ) نعم، يجب على المصارع الخضوع لفحص طبي.</v>
      </c>
      <c r="K25" s="5" t="str">
        <f>IFERROR(__xludf.DUMMYFUNCTION("GOOGLETRANSLATE(E25, ""en"", ""ar"")"),"يجب على المصارع الخضوع لفحص طبي قبل المباراة للتأكد من سلامته.")</f>
        <v>يجب على المصارع الخضوع لفحص طبي قبل المباراة للتأكد من سلامته.</v>
      </c>
    </row>
    <row r="26">
      <c r="A26" s="3">
        <v>25.0</v>
      </c>
      <c r="B26" s="4" t="s">
        <v>702</v>
      </c>
      <c r="C26" s="4" t="s">
        <v>703</v>
      </c>
      <c r="D26" s="4" t="s">
        <v>704</v>
      </c>
      <c r="E26" s="4" t="s">
        <v>705</v>
      </c>
      <c r="G26" s="5" t="str">
        <f>IFERROR(__xludf.DUMMYFUNCTION("GOOGLETRANSLATE(A26, ""en"", ""ar"")"),"25")</f>
        <v>25</v>
      </c>
      <c r="H26" s="5" t="str">
        <f>IFERROR(__xludf.DUMMYFUNCTION("GOOGLETRANSLATE(B26, ""en"", ""ar"")"),"هل يجوز للمصارع استعمال الحركات العنيفة ضد خصمه؟")</f>
        <v>هل يجوز للمصارع استعمال الحركات العنيفة ضد خصمه؟</v>
      </c>
      <c r="I26" s="5" t="str">
        <f>IFERROR(__xludf.DUMMYFUNCTION("GOOGLETRANSLATE(C26, ""en"", ""ar"")"),"أ) نعم، في أي وقت؛ ب) لا، فقط الحركات المناسبة والآمنة؛ ج) فقط في المواقف الدفاعية؛ د) فقط في المباريات النهائية")</f>
        <v>أ) نعم، في أي وقت؛ ب) لا، فقط الحركات المناسبة والآمنة؛ ج) فقط في المواقف الدفاعية؛ د) فقط في المباريات النهائية</v>
      </c>
      <c r="J26" s="5" t="str">
        <f>IFERROR(__xludf.DUMMYFUNCTION("GOOGLETRANSLATE(D26, ""en"", ""ar"")"),"ب) لا، يجب استخدام الحركات المناسبة والآمنة فقط.")</f>
        <v>ب) لا، يجب استخدام الحركات المناسبة والآمنة فقط.</v>
      </c>
      <c r="K26" s="5" t="str">
        <f>IFERROR(__xludf.DUMMYFUNCTION("GOOGLETRANSLATE(E26, ""en"", ""ar"")"),"تحظر المصارعة النوبية استخدام الحركات العنيفة التي قد تعرض المصارع للخطر.")</f>
        <v>تحظر المصارعة النوبية استخدام الحركات العنيفة التي قد تعرض المصارع للخطر.</v>
      </c>
    </row>
    <row r="27">
      <c r="A27" s="3">
        <v>26.0</v>
      </c>
      <c r="B27" s="4" t="s">
        <v>706</v>
      </c>
      <c r="C27" s="4" t="s">
        <v>707</v>
      </c>
      <c r="D27" s="4" t="s">
        <v>708</v>
      </c>
      <c r="E27" s="4" t="s">
        <v>709</v>
      </c>
      <c r="G27" s="5" t="str">
        <f>IFERROR(__xludf.DUMMYFUNCTION("GOOGLETRANSLATE(A27, ""en"", ""ar"")"),"26")</f>
        <v>26</v>
      </c>
      <c r="H27" s="5" t="str">
        <f>IFERROR(__xludf.DUMMYFUNCTION("GOOGLETRANSLATE(B27, ""en"", ""ar"")"),"هل يجوز للمصارع استخدام الذكاء التكتيكي للفوز بالمباراة؟")</f>
        <v>هل يجوز للمصارع استخدام الذكاء التكتيكي للفوز بالمباراة؟</v>
      </c>
      <c r="I27" s="5" t="str">
        <f>IFERROR(__xludf.DUMMYFUNCTION("GOOGLETRANSLATE(C27, ""en"", ""ar"")"),"أ) نعم، يُسمح بالذكاء التكتيكي؛ ب) لا، يجب الاعتماد على القوة البدنية فقط؛ ج) فقط في المباريات الرسمية؛ د) فقط بعد الجولات الأولى")</f>
        <v>أ) نعم، يُسمح بالذكاء التكتيكي؛ ب) لا، يجب الاعتماد على القوة البدنية فقط؛ ج) فقط في المباريات الرسمية؛ د) فقط بعد الجولات الأولى</v>
      </c>
      <c r="J27" s="5" t="str">
        <f>IFERROR(__xludf.DUMMYFUNCTION("GOOGLETRANSLATE(D27, ""en"", ""ar"")"),"أ) نعم، يُسمح باستخدام الاستخبارات التكتيكية.")</f>
        <v>أ) نعم، يُسمح باستخدام الاستخبارات التكتيكية.</v>
      </c>
      <c r="K27" s="5" t="str">
        <f>IFERROR(__xludf.DUMMYFUNCTION("GOOGLETRANSLATE(E27, ""en"", ""ar"")"),"تتطلب المصارعة النوبية من المصارعين استخدام الذكاء التكتيكي بالإضافة إلى القوة البدنية لتحقيق التفوق.")</f>
        <v>تتطلب المصارعة النوبية من المصارعين استخدام الذكاء التكتيكي بالإضافة إلى القوة البدنية لتحقيق التفوق.</v>
      </c>
    </row>
    <row r="28">
      <c r="A28" s="3">
        <v>27.0</v>
      </c>
      <c r="B28" s="4" t="s">
        <v>710</v>
      </c>
      <c r="C28" s="4" t="s">
        <v>711</v>
      </c>
      <c r="D28" s="4" t="s">
        <v>712</v>
      </c>
      <c r="E28" s="4" t="s">
        <v>713</v>
      </c>
      <c r="G28" s="5" t="str">
        <f>IFERROR(__xludf.DUMMYFUNCTION("GOOGLETRANSLATE(A28, ""en"", ""ar"")"),"27")</f>
        <v>27</v>
      </c>
      <c r="H28" s="5" t="str">
        <f>IFERROR(__xludf.DUMMYFUNCTION("GOOGLETRANSLATE(B28, ""en"", ""ar"")"),"ما هي القاعدة الأساسية لتحديد الفائز في المصارعة النوبية؟")</f>
        <v>ما هي القاعدة الأساسية لتحديد الفائز في المصارعة النوبية؟</v>
      </c>
      <c r="I28" s="5" t="str">
        <f>IFERROR(__xludf.DUMMYFUNCTION("GOOGLETRANSLATE(C28, ""en"", ""ar"")"),"أ) الشخص الذي يستطيع إخضاع الخصم تمامًا؛ ب) الشخص الذي يسجل أكبر عدد من النقاط؛ ج) الشخص الذي يدافع بشكل أفضل؛ د) الشخص الذي يبقى واقفًا لفترة أطول")</f>
        <v>أ) الشخص الذي يستطيع إخضاع الخصم تمامًا؛ ب) الشخص الذي يسجل أكبر عدد من النقاط؛ ج) الشخص الذي يدافع بشكل أفضل؛ د) الشخص الذي يبقى واقفًا لفترة أطول</v>
      </c>
      <c r="J28" s="5" t="str">
        <f>IFERROR(__xludf.DUMMYFUNCTION("GOOGLETRANSLATE(D28, ""en"", ""ar"")"),"أ) الفائز هو من يستطيع إخضاع الخصم بشكل كامل.")</f>
        <v>أ) الفائز هو من يستطيع إخضاع الخصم بشكل كامل.</v>
      </c>
      <c r="K28" s="5" t="str">
        <f>IFERROR(__xludf.DUMMYFUNCTION("GOOGLETRANSLATE(E28, ""en"", ""ar"")"),"في المصارعة النوبية، يتم تحديد الفائز على أساس القدرة على إخضاع الخصم بشكل كامل.")</f>
        <v>في المصارعة النوبية، يتم تحديد الفائز على أساس القدرة على إخضاع الخصم بشكل كامل.</v>
      </c>
    </row>
    <row r="29">
      <c r="A29" s="3">
        <v>28.0</v>
      </c>
      <c r="B29" s="4" t="s">
        <v>714</v>
      </c>
      <c r="C29" s="4" t="s">
        <v>715</v>
      </c>
      <c r="D29" s="4" t="s">
        <v>716</v>
      </c>
      <c r="E29" s="4" t="s">
        <v>717</v>
      </c>
      <c r="G29" s="5" t="str">
        <f>IFERROR(__xludf.DUMMYFUNCTION("GOOGLETRANSLATE(A29, ""en"", ""ar"")"),"28")</f>
        <v>28</v>
      </c>
      <c r="H29" s="5" t="str">
        <f>IFERROR(__xludf.DUMMYFUNCTION("GOOGLETRANSLATE(B29, ""en"", ""ar"")"),"هل يجوز للمصارع تعديل أسلوب قتاله أثناء المباراة؟")</f>
        <v>هل يجوز للمصارع تعديل أسلوب قتاله أثناء المباراة؟</v>
      </c>
      <c r="I29" s="5" t="str">
        <f>IFERROR(__xludf.DUMMYFUNCTION("GOOGLETRANSLATE(C29, ""en"", ""ar"")"),"أ) نعم، يُسمح بتعديل الأسلوب؛ ب) لا، يجب استخدام نفس الأسلوب؛ ج) فقط في الجولات النهائية؛ د) فقط في حالة مواجهة خصم أقوى")</f>
        <v>أ) نعم، يُسمح بتعديل الأسلوب؛ ب) لا، يجب استخدام نفس الأسلوب؛ ج) فقط في الجولات النهائية؛ د) فقط في حالة مواجهة خصم أقوى</v>
      </c>
      <c r="J29" s="5" t="str">
        <f>IFERROR(__xludf.DUMMYFUNCTION("GOOGLETRANSLATE(D29, ""en"", ""ar"")"),"أ) نعم يجوز تعديل الأسلوب.")</f>
        <v>أ) نعم يجوز تعديل الأسلوب.</v>
      </c>
      <c r="K29" s="5" t="str">
        <f>IFERROR(__xludf.DUMMYFUNCTION("GOOGLETRANSLATE(E29, ""en"", ""ar"")"),"المصارعة النوبية تسمح للمصارع بتعديل استراتيجيته وأسلوبه طوال المباراة.")</f>
        <v>المصارعة النوبية تسمح للمصارع بتعديل استراتيجيته وأسلوبه طوال المباراة.</v>
      </c>
    </row>
    <row r="30">
      <c r="A30" s="3">
        <v>29.0</v>
      </c>
      <c r="B30" s="4" t="s">
        <v>718</v>
      </c>
      <c r="C30" s="4" t="s">
        <v>719</v>
      </c>
      <c r="D30" s="4" t="s">
        <v>720</v>
      </c>
      <c r="E30" s="4" t="s">
        <v>721</v>
      </c>
      <c r="G30" s="5" t="str">
        <f>IFERROR(__xludf.DUMMYFUNCTION("GOOGLETRANSLATE(A30, ""en"", ""ar"")"),"29")</f>
        <v>29</v>
      </c>
      <c r="H30" s="5" t="str">
        <f>IFERROR(__xludf.DUMMYFUNCTION("GOOGLETRANSLATE(B30, ""en"", ""ar"")"),"هل يجب على المصارع أن يتبع أسلوبًا محددًا مسبقًا أثناء المباراة؟")</f>
        <v>هل يجب على المصارع أن يتبع أسلوبًا محددًا مسبقًا أثناء المباراة؟</v>
      </c>
      <c r="I30" s="5" t="str">
        <f>IFERROR(__xludf.DUMMYFUNCTION("GOOGLETRANSLATE(C30, ""en"", ""ar"")"),"أ) نعم، أسلوب معين إلزامي؛ ب) لا، يمكنهم استخدام أي أسلوب يناسبهم؛ ج) يجب الالتزام بالأسلوب التقليدي؛ د) يجب عدم اتباع أسلوب معين")</f>
        <v>أ) نعم، أسلوب معين إلزامي؛ ب) لا، يمكنهم استخدام أي أسلوب يناسبهم؛ ج) يجب الالتزام بالأسلوب التقليدي؛ د) يجب عدم اتباع أسلوب معين</v>
      </c>
      <c r="J30" s="5" t="str">
        <f>IFERROR(__xludf.DUMMYFUNCTION("GOOGLETRANSLATE(D30, ""en"", ""ar"")"),"ب) لا، يمكنه استخدام أي طريقة تناسبه.")</f>
        <v>ب) لا، يمكنه استخدام أي طريقة تناسبه.</v>
      </c>
      <c r="K30" s="5" t="str">
        <f>IFERROR(__xludf.DUMMYFUNCTION("GOOGLETRANSLATE(E30, ""en"", ""ar"")"),"المصارعة النوبية تسمح للمصارع باستخدام التقنيات التي تناسبه بناءً على قوته واستراتيجيته.")</f>
        <v>المصارعة النوبية تسمح للمصارع باستخدام التقنيات التي تناسبه بناءً على قوته واستراتيجيته.</v>
      </c>
    </row>
    <row r="31">
      <c r="A31" s="3">
        <v>30.0</v>
      </c>
      <c r="B31" s="4" t="s">
        <v>722</v>
      </c>
      <c r="C31" s="4" t="s">
        <v>723</v>
      </c>
      <c r="D31" s="4" t="s">
        <v>724</v>
      </c>
      <c r="E31" s="4" t="s">
        <v>725</v>
      </c>
      <c r="G31" s="5" t="str">
        <f>IFERROR(__xludf.DUMMYFUNCTION("GOOGLETRANSLATE(A31, ""en"", ""ar"")"),"30")</f>
        <v>30</v>
      </c>
      <c r="H31" s="5" t="str">
        <f>IFERROR(__xludf.DUMMYFUNCTION("GOOGLETRANSLATE(B31, ""en"", ""ar"")"),"هل يجوز للمصارع استخدام حركات معقدة أثناء مباراة المصارعة؟")</f>
        <v>هل يجوز للمصارع استخدام حركات معقدة أثناء مباراة المصارعة؟</v>
      </c>
      <c r="I31" s="5" t="str">
        <f>IFERROR(__xludf.DUMMYFUNCTION("GOOGLETRANSLATE(C31, ""en"", ""ar"")"),"أ) نعم، يُسمح بالحركات المعقدة؛ ب) لا، يجب أن تكون الحركات بسيطة؛ ج) فقط في المباريات النهائية؛ د) غير مسموح بها أبدًا")</f>
        <v>أ) نعم، يُسمح بالحركات المعقدة؛ ب) لا، يجب أن تكون الحركات بسيطة؛ ج) فقط في المباريات النهائية؛ د) غير مسموح بها أبدًا</v>
      </c>
      <c r="J31" s="5" t="str">
        <f>IFERROR(__xludf.DUMMYFUNCTION("GOOGLETRANSLATE(D31, ""en"", ""ar"")"),"أ) نعم، الحركات المعقدة مسموح بها.")</f>
        <v>أ) نعم، الحركات المعقدة مسموح بها.</v>
      </c>
      <c r="K31" s="5" t="str">
        <f>IFERROR(__xludf.DUMMYFUNCTION("GOOGLETRANSLATE(E31, ""en"", ""ar"")"),"تتطلب المصارعة النوبية من المصارعين استخدام مجموعة متنوعة من الحركات بما في ذلك الحركات المعقدة للحصول على التفوق.")</f>
        <v>تتطلب المصارعة النوبية من المصارعين استخدام مجموعة متنوعة من الحركات بما في ذلك الحركات المعقدة للحصول على التفوق.</v>
      </c>
    </row>
    <row r="32">
      <c r="A32" s="3">
        <v>31.0</v>
      </c>
      <c r="B32" s="4" t="s">
        <v>726</v>
      </c>
      <c r="C32" s="4" t="s">
        <v>727</v>
      </c>
      <c r="D32" s="4" t="s">
        <v>728</v>
      </c>
      <c r="E32" s="4" t="s">
        <v>729</v>
      </c>
      <c r="G32" s="5" t="str">
        <f>IFERROR(__xludf.DUMMYFUNCTION("GOOGLETRANSLATE(A32, ""en"", ""ar"")"),"31")</f>
        <v>31</v>
      </c>
      <c r="H32" s="5" t="str">
        <f>IFERROR(__xludf.DUMMYFUNCTION("GOOGLETRANSLATE(B32, ""en"", ""ar"")"),"ما هي القاعدة التي تحدد كيفية تسجيل النقاط في المصارعة النوبية؟")</f>
        <v>ما هي القاعدة التي تحدد كيفية تسجيل النقاط في المصارعة النوبية؟</v>
      </c>
      <c r="I32" s="5" t="str">
        <f>IFERROR(__xludf.DUMMYFUNCTION("GOOGLETRANSLATE(C32, ""en"", ""ar"")"),"أ) تعتمد النقاط على السيطرة على الخصم؛ ب) تعتمد النقاط على الضربات القوية؛ ج) تعتمد النقاط على الحركات الدفاعية؛ د) لا يتم تسجيل النقاط")</f>
        <v>أ) تعتمد النقاط على السيطرة على الخصم؛ ب) تعتمد النقاط على الضربات القوية؛ ج) تعتمد النقاط على الحركات الدفاعية؛ د) لا يتم تسجيل النقاط</v>
      </c>
      <c r="J32" s="5" t="str">
        <f>IFERROR(__xludf.DUMMYFUNCTION("GOOGLETRANSLATE(D32, ""en"", ""ar"")"),"أ) يتم تسجيل النقاط على أساس السيطرة على الخصم.")</f>
        <v>أ) يتم تسجيل النقاط على أساس السيطرة على الخصم.</v>
      </c>
      <c r="K32" s="5" t="str">
        <f>IFERROR(__xludf.DUMMYFUNCTION("GOOGLETRANSLATE(E32, ""en"", ""ar"")"),"يتم تسجيل النقاط في المصارعة النوبية بناءً على قدرة المصارع على السيطرة على خصمه.")</f>
        <v>يتم تسجيل النقاط في المصارعة النوبية بناءً على قدرة المصارع على السيطرة على خصمه.</v>
      </c>
    </row>
    <row r="33">
      <c r="A33" s="3">
        <v>32.0</v>
      </c>
      <c r="B33" s="4" t="s">
        <v>730</v>
      </c>
      <c r="C33" s="4" t="s">
        <v>731</v>
      </c>
      <c r="D33" s="4" t="s">
        <v>732</v>
      </c>
      <c r="E33" s="4" t="s">
        <v>733</v>
      </c>
      <c r="G33" s="5" t="str">
        <f>IFERROR(__xludf.DUMMYFUNCTION("GOOGLETRANSLATE(A33, ""en"", ""ar"")"),"32")</f>
        <v>32</v>
      </c>
      <c r="H33" s="5" t="str">
        <f>IFERROR(__xludf.DUMMYFUNCTION("GOOGLETRANSLATE(B33, ""en"", ""ar"")"),"ما هي القاعدة التي تحكم خروج المصارع من الحلبة أثناء المباراة؟")</f>
        <v>ما هي القاعدة التي تحكم خروج المصارع من الحلبة أثناء المباراة؟</v>
      </c>
      <c r="I33" s="5" t="str">
        <f>IFERROR(__xludf.DUMMYFUNCTION("GOOGLETRANSLATE(C33, ""en"", ""ar"")"),"أ) لا يجوز للمصارع أن يغادر أبدًا؛ ب) مسموح به فقط أثناء الدفاع؛ ج) يمكنه المغادرة للحصول على قسط قصير من الراحة؛ د) مغادرة الحلبة تؤدي إلى خسارة المباراة")</f>
        <v>أ) لا يجوز للمصارع أن يغادر أبدًا؛ ب) مسموح به فقط أثناء الدفاع؛ ج) يمكنه المغادرة للحصول على قسط قصير من الراحة؛ د) مغادرة الحلبة تؤدي إلى خسارة المباراة</v>
      </c>
      <c r="J33" s="5" t="str">
        <f>IFERROR(__xludf.DUMMYFUNCTION("GOOGLETRANSLATE(D33, ""en"", ""ar"")"),"د) الخروج من الحلبة يؤدي إلى خسارة المباراة.")</f>
        <v>د) الخروج من الحلبة يؤدي إلى خسارة المباراة.</v>
      </c>
      <c r="K33" s="5" t="str">
        <f>IFERROR(__xludf.DUMMYFUNCTION("GOOGLETRANSLATE(E33, ""en"", ""ar"")"),"يعتبر المصارع الذي يترك الحلبة خاسرًا في المصارعة النوبية.")</f>
        <v>يعتبر المصارع الذي يترك الحلبة خاسرًا في المصارعة النوبية.</v>
      </c>
    </row>
    <row r="34">
      <c r="A34" s="3">
        <v>33.0</v>
      </c>
      <c r="B34" s="4" t="s">
        <v>734</v>
      </c>
      <c r="C34" s="4" t="s">
        <v>735</v>
      </c>
      <c r="D34" s="4" t="s">
        <v>736</v>
      </c>
      <c r="E34" s="4" t="s">
        <v>737</v>
      </c>
      <c r="G34" s="5" t="str">
        <f>IFERROR(__xludf.DUMMYFUNCTION("GOOGLETRANSLATE(A34, ""en"", ""ar"")"),"33")</f>
        <v>33</v>
      </c>
      <c r="H34" s="5" t="str">
        <f>IFERROR(__xludf.DUMMYFUNCTION("GOOGLETRANSLATE(B34, ""en"", ""ar"")"),"هل يجوز للمصارع أن يعتمد فقط على قوته البدنية للفوز؟")</f>
        <v>هل يجوز للمصارع أن يعتمد فقط على قوته البدنية للفوز؟</v>
      </c>
      <c r="I34" s="5" t="str">
        <f>IFERROR(__xludf.DUMMYFUNCTION("GOOGLETRANSLATE(C34, ""en"", ""ar"")"),"أ) نعم، القوة هي العامل الوحيد؛ ب) لا، يجب استخدام التكتيكات بقوة؛ ج) نعم، إذا كانوا خبراء تكتيكيين؛ د) القوة ليست مهمة")</f>
        <v>أ) نعم، القوة هي العامل الوحيد؛ ب) لا، يجب استخدام التكتيكات بقوة؛ ج) نعم، إذا كانوا خبراء تكتيكيين؛ د) القوة ليست مهمة</v>
      </c>
      <c r="J34" s="5" t="str">
        <f>IFERROR(__xludf.DUMMYFUNCTION("GOOGLETRANSLATE(D34, ""en"", ""ar"")"),"ب) لا، بل يجب استخدام هذا التكتيك بالقوة البدنية.")</f>
        <v>ب) لا، بل يجب استخدام هذا التكتيك بالقوة البدنية.</v>
      </c>
      <c r="K34" s="5" t="str">
        <f>IFERROR(__xludf.DUMMYFUNCTION("GOOGLETRANSLATE(E34, ""en"", ""ar"")"),"في المصارعة النوبية، لا يكفي الاعتماد على القوة البدنية فقط، بل يجب دمجها مع التكتيكات.")</f>
        <v>في المصارعة النوبية، لا يكفي الاعتماد على القوة البدنية فقط، بل يجب دمجها مع التكتيكات.</v>
      </c>
    </row>
    <row r="35">
      <c r="A35" s="3">
        <v>34.0</v>
      </c>
      <c r="B35" s="4" t="s">
        <v>738</v>
      </c>
      <c r="C35" s="4" t="s">
        <v>739</v>
      </c>
      <c r="D35" s="4" t="s">
        <v>740</v>
      </c>
      <c r="E35" s="4" t="s">
        <v>741</v>
      </c>
      <c r="G35" s="5" t="str">
        <f>IFERROR(__xludf.DUMMYFUNCTION("GOOGLETRANSLATE(A35, ""en"", ""ar"")"),"34")</f>
        <v>34</v>
      </c>
      <c r="H35" s="5" t="str">
        <f>IFERROR(__xludf.DUMMYFUNCTION("GOOGLETRANSLATE(B35, ""en"", ""ar"")"),"هل تختلف قواعد المصارعة النوبية بين البطولات المحلية والدولية؟")</f>
        <v>هل تختلف قواعد المصارعة النوبية بين البطولات المحلية والدولية؟</v>
      </c>
      <c r="I35" s="5" t="str">
        <f>IFERROR(__xludf.DUMMYFUNCTION("GOOGLETRANSLATE(C35, ""en"", ""ar"")"),"أ) نعم، هناك اختلافات كبيرة؛ ب) لا، القواعد هي نفسها؛ ج) تختلف القواعد المحلية قليلاً؛ د) القواعد العالمية فقط هي الصالحة")</f>
        <v>أ) نعم، هناك اختلافات كبيرة؛ ب) لا، القواعد هي نفسها؛ ج) تختلف القواعد المحلية قليلاً؛ د) القواعد العالمية فقط هي الصالحة</v>
      </c>
      <c r="J35" s="5" t="str">
        <f>IFERROR(__xludf.DUMMYFUNCTION("GOOGLETRANSLATE(D35, ""en"", ""ar"")"),"ب) لا، القواعد هي نفسها في جميع البطولات.")</f>
        <v>ب) لا، القواعد هي نفسها في جميع البطولات.</v>
      </c>
      <c r="K35" s="5" t="str">
        <f>IFERROR(__xludf.DUMMYFUNCTION("GOOGLETRANSLATE(E35, ""en"", ""ar"")"),"لا تختلف قواعد المصارعة النوبية بين البطولات المحلية والدولية.")</f>
        <v>لا تختلف قواعد المصارعة النوبية بين البطولات المحلية والدولية.</v>
      </c>
    </row>
    <row r="36">
      <c r="A36" s="3">
        <v>35.0</v>
      </c>
      <c r="B36" s="4" t="s">
        <v>742</v>
      </c>
      <c r="C36" s="4" t="s">
        <v>743</v>
      </c>
      <c r="D36" s="4" t="s">
        <v>744</v>
      </c>
      <c r="E36" s="4" t="s">
        <v>745</v>
      </c>
      <c r="G36" s="5" t="str">
        <f>IFERROR(__xludf.DUMMYFUNCTION("GOOGLETRANSLATE(A36, ""en"", ""ar"")"),"35")</f>
        <v>35</v>
      </c>
      <c r="H36" s="5" t="str">
        <f>IFERROR(__xludf.DUMMYFUNCTION("GOOGLETRANSLATE(B36, ""en"", ""ar"")"),"هل يجوز للمصارع استخدام تكتيك دفاعي تماما طوال المباراة؟")</f>
        <v>هل يجوز للمصارع استخدام تكتيك دفاعي تماما طوال المباراة؟</v>
      </c>
      <c r="I36" s="5" t="str">
        <f>IFERROR(__xludf.DUMMYFUNCTION("GOOGLETRANSLATE(C36, ""en"", ""ar"")"),"أ) نعم، الدفاع مسموح به دائمًا؛ ب) لا، يجب أن يكون الدفاع متوازنًا مع الهجوم؛ ج) فقط في الجولات النهائية؛ د) الدفاع ممنوع")</f>
        <v>أ) نعم، الدفاع مسموح به دائمًا؛ ب) لا، يجب أن يكون الدفاع متوازنًا مع الهجوم؛ ج) فقط في الجولات النهائية؛ د) الدفاع ممنوع</v>
      </c>
      <c r="J36" s="5" t="str">
        <f>IFERROR(__xludf.DUMMYFUNCTION("GOOGLETRANSLATE(D36, ""en"", ""ar"")"),"ب) لا، يجب أن يكون الدفاع متوازنا مع الهجوم.")</f>
        <v>ب) لا، يجب أن يكون الدفاع متوازنا مع الهجوم.</v>
      </c>
      <c r="K36" s="5" t="str">
        <f>IFERROR(__xludf.DUMMYFUNCTION("GOOGLETRANSLATE(E36, ""en"", ""ar"")"),"في المصارعة النوبية، يجب على المصارع الموازنة بين الدفاع والهجوم لتحقيق النجاح.")</f>
        <v>في المصارعة النوبية، يجب على المصارع الموازنة بين الدفاع والهجوم لتحقيق النجاح.</v>
      </c>
    </row>
    <row r="37">
      <c r="A37" s="3">
        <v>36.0</v>
      </c>
      <c r="B37" s="4" t="s">
        <v>746</v>
      </c>
      <c r="C37" s="4" t="s">
        <v>747</v>
      </c>
      <c r="D37" s="4" t="s">
        <v>748</v>
      </c>
      <c r="E37" s="4" t="s">
        <v>749</v>
      </c>
      <c r="G37" s="5" t="str">
        <f>IFERROR(__xludf.DUMMYFUNCTION("GOOGLETRANSLATE(A37, ""en"", ""ar"")"),"36")</f>
        <v>36</v>
      </c>
      <c r="H37" s="5" t="str">
        <f>IFERROR(__xludf.DUMMYFUNCTION("GOOGLETRANSLATE(B37, ""en"", ""ar"")"),"هل يجوز للمصارع استخدام تقنيات محظورة عندما يكون تحت الضغط؟")</f>
        <v>هل يجوز للمصارع استخدام تقنيات محظورة عندما يكون تحت الضغط؟</v>
      </c>
      <c r="I37" s="5" t="str">
        <f>IFERROR(__xludf.DUMMYFUNCTION("GOOGLETRANSLATE(C37, ""en"", ""ar"")"),"أ) نعم، في حالات الضغط؛ ب) لا، يجب اتباع القواعد حتى في ظل الضغط؛ ج) فقط إذا طلب الحكم ذلك؛ د) فقط في الجولات النهائية")</f>
        <v>أ) نعم، في حالات الضغط؛ ب) لا، يجب اتباع القواعد حتى في ظل الضغط؛ ج) فقط إذا طلب الحكم ذلك؛ د) فقط في الجولات النهائية</v>
      </c>
      <c r="J37" s="5" t="str">
        <f>IFERROR(__xludf.DUMMYFUNCTION("GOOGLETRANSLATE(D37, ""en"", ""ar"")"),"ب) لا، بل يجب الالتزام بالقوانين حتى في حالات الضغط.")</f>
        <v>ب) لا، بل يجب الالتزام بالقوانين حتى في حالات الضغط.</v>
      </c>
      <c r="K37" s="5" t="str">
        <f>IFERROR(__xludf.DUMMYFUNCTION("GOOGLETRANSLATE(E37, ""en"", ""ar"")"),"يجب على المصارع أن يلتزم بالقواعد ويتجنب التقنيات المحظورة حتى تحت الضغط.")</f>
        <v>يجب على المصارع أن يلتزم بالقواعد ويتجنب التقنيات المحظورة حتى تحت الضغط.</v>
      </c>
    </row>
    <row r="38">
      <c r="A38" s="3">
        <v>37.0</v>
      </c>
      <c r="B38" s="4" t="s">
        <v>750</v>
      </c>
      <c r="C38" s="4" t="s">
        <v>751</v>
      </c>
      <c r="D38" s="4" t="s">
        <v>752</v>
      </c>
      <c r="E38" s="4" t="s">
        <v>753</v>
      </c>
      <c r="G38" s="5" t="str">
        <f>IFERROR(__xludf.DUMMYFUNCTION("GOOGLETRANSLATE(A38, ""en"", ""ar"")"),"37")</f>
        <v>37</v>
      </c>
      <c r="H38" s="5" t="str">
        <f>IFERROR(__xludf.DUMMYFUNCTION("GOOGLETRANSLATE(B38, ""en"", ""ar"")"),"هل يستطيع المصارع تغيير وضعه الجسدي والتحرك بحرية أثناء المباراة؟")</f>
        <v>هل يستطيع المصارع تغيير وضعه الجسدي والتحرك بحرية أثناء المباراة؟</v>
      </c>
      <c r="I38" s="5" t="str">
        <f>IFERROR(__xludf.DUMMYFUNCTION("GOOGLETRANSLATE(C38, ""en"", ""ar"")"),"أ) نعم، يُسمح لهم بالتحرك بحرية؛ ب) لا، يجب عليهم البقاء في مكان مخصص؛ ج) فقط بعد فترة الراحة؛ د) يُسمح بالحركة ضمن الحدود")</f>
        <v>أ) نعم، يُسمح لهم بالتحرك بحرية؛ ب) لا، يجب عليهم البقاء في مكان مخصص؛ ج) فقط بعد فترة الراحة؛ د) يُسمح بالحركة ضمن الحدود</v>
      </c>
      <c r="J38" s="5" t="str">
        <f>IFERROR(__xludf.DUMMYFUNCTION("GOOGLETRANSLATE(D38, ""en"", ""ar"")"),"أ) نعم يجوز له التحرك بحرية.")</f>
        <v>أ) نعم يجوز له التحرك بحرية.</v>
      </c>
      <c r="K38" s="5" t="str">
        <f>IFERROR(__xludf.DUMMYFUNCTION("GOOGLETRANSLATE(E38, ""en"", ""ar"")"),"يُسمح للمصارع بالتحرك بحرية داخل الحلبة أثناء المباراة.")</f>
        <v>يُسمح للمصارع بالتحرك بحرية داخل الحلبة أثناء المباراة.</v>
      </c>
    </row>
    <row r="39">
      <c r="A39" s="3">
        <v>38.0</v>
      </c>
      <c r="B39" s="4" t="s">
        <v>754</v>
      </c>
      <c r="C39" s="4" t="s">
        <v>755</v>
      </c>
      <c r="D39" s="4" t="s">
        <v>756</v>
      </c>
      <c r="E39" s="4" t="s">
        <v>757</v>
      </c>
      <c r="G39" s="5" t="str">
        <f>IFERROR(__xludf.DUMMYFUNCTION("GOOGLETRANSLATE(A39, ""en"", ""ar"")"),"38")</f>
        <v>38</v>
      </c>
      <c r="H39" s="5" t="str">
        <f>IFERROR(__xludf.DUMMYFUNCTION("GOOGLETRANSLATE(B39, ""en"", ""ar"")"),"هل يجوز للمصارعين استخدام أي أسلحة أخرى غير العصي؟")</f>
        <v>هل يجوز للمصارعين استخدام أي أسلحة أخرى غير العصي؟</v>
      </c>
      <c r="I39" s="5" t="str">
        <f>IFERROR(__xludf.DUMMYFUNCTION("GOOGLETRANSLATE(C39, ""en"", ""ar"")"),"أ) نعم، يُسمح باستخدام أسلحة أخرى؛ ب) لا، العصي هي الأداة الوحيدة المسموح بها؛ ج) فقط في المباريات الخاصة؛ د) فقط في المباريات الرسمية")</f>
        <v>أ) نعم، يُسمح باستخدام أسلحة أخرى؛ ب) لا، العصي هي الأداة الوحيدة المسموح بها؛ ج) فقط في المباريات الخاصة؛ د) فقط في المباريات الرسمية</v>
      </c>
      <c r="J39" s="5" t="str">
        <f>IFERROR(__xludf.DUMMYFUNCTION("GOOGLETRANSLATE(D39, ""en"", ""ar"")"),"ب) لا، العصي هي الأداة الوحيدة المسموح بها.")</f>
        <v>ب) لا، العصي هي الأداة الوحيدة المسموح بها.</v>
      </c>
      <c r="K39" s="5" t="str">
        <f>IFERROR(__xludf.DUMMYFUNCTION("GOOGLETRANSLATE(E39, ""en"", ""ar"")"),"تعتمد المصارعة النوبية على العصي فقط كأداة قتالية أساسية.")</f>
        <v>تعتمد المصارعة النوبية على العصي فقط كأداة قتالية أساسية.</v>
      </c>
    </row>
    <row r="40">
      <c r="A40" s="3">
        <v>39.0</v>
      </c>
      <c r="B40" s="4" t="s">
        <v>758</v>
      </c>
      <c r="C40" s="4" t="s">
        <v>759</v>
      </c>
      <c r="D40" s="4" t="s">
        <v>760</v>
      </c>
      <c r="E40" s="4" t="s">
        <v>761</v>
      </c>
      <c r="G40" s="5" t="str">
        <f>IFERROR(__xludf.DUMMYFUNCTION("GOOGLETRANSLATE(A40, ""en"", ""ar"")"),"39")</f>
        <v>39</v>
      </c>
      <c r="H40" s="5" t="str">
        <f>IFERROR(__xludf.DUMMYFUNCTION("GOOGLETRANSLATE(B40, ""en"", ""ar"")"),"هل يستطيع المصارع الاستمرار في القتال إذا أصيب أثناء المباراة؟")</f>
        <v>هل يستطيع المصارع الاستمرار في القتال إذا أصيب أثناء المباراة؟</v>
      </c>
      <c r="I40" s="5" t="str">
        <f>IFERROR(__xludf.DUMMYFUNCTION("GOOGLETRANSLATE(C40, ""en"", ""ar"")"),"أ) نعم، طالما أنهم قادرون على ذلك؛ ب) لا، يجب عليهم التوقف فورًا إذا كانوا يشعرون بالألم؛ ج) إذا لم تكن الإصابة خطيرة؛ د) يجب عليهم طلب إذن الحكم")</f>
        <v>أ) نعم، طالما أنهم قادرون على ذلك؛ ب) لا، يجب عليهم التوقف فورًا إذا كانوا يشعرون بالألم؛ ج) إذا لم تكن الإصابة خطيرة؛ د) يجب عليهم طلب إذن الحكم</v>
      </c>
      <c r="J40" s="5" t="str">
        <f>IFERROR(__xludf.DUMMYFUNCTION("GOOGLETRANSLATE(D40, ""en"", ""ar"")"),"ب) لا، بل يجب عليه التوقف فورًا إذا شعر بألم.")</f>
        <v>ب) لا، بل يجب عليه التوقف فورًا إذا شعر بألم.</v>
      </c>
      <c r="K40" s="5" t="str">
        <f>IFERROR(__xludf.DUMMYFUNCTION("GOOGLETRANSLATE(E40, ""en"", ""ar"")"),"إذا شعر المصارع بألم أو إصابة، يجب عليه التوقف عن القتال من أجل سلامته.")</f>
        <v>إذا شعر المصارع بألم أو إصابة، يجب عليه التوقف عن القتال من أجل سلامته.</v>
      </c>
    </row>
    <row r="41">
      <c r="A41" s="3">
        <v>40.0</v>
      </c>
      <c r="B41" s="4" t="s">
        <v>762</v>
      </c>
      <c r="C41" s="4" t="s">
        <v>763</v>
      </c>
      <c r="D41" s="4" t="s">
        <v>764</v>
      </c>
      <c r="E41" s="4" t="s">
        <v>765</v>
      </c>
      <c r="G41" s="5" t="str">
        <f>IFERROR(__xludf.DUMMYFUNCTION("GOOGLETRANSLATE(A41, ""en"", ""ar"")"),"40")</f>
        <v>40</v>
      </c>
      <c r="H41" s="5" t="str">
        <f>IFERROR(__xludf.DUMMYFUNCTION("GOOGLETRANSLATE(B41, ""en"", ""ar"")"),"هل يجوز للمصارع استخدام تقنيات الرفع في المصارعة النوبية؟")</f>
        <v>هل يجوز للمصارع استخدام تقنيات الرفع في المصارعة النوبية؟</v>
      </c>
      <c r="I41" s="5" t="str">
        <f>IFERROR(__xludf.DUMMYFUNCTION("GOOGLETRANSLATE(C41, ""en"", ""ar"")"),"أ) نعم، تقنيات الرفع ضرورية؛ ب) لا، الرفع ممنوع؛ ج) فقط في الجولات النهائية؛ د) فقط ضد خصم أكبر حجمًا")</f>
        <v>أ) نعم، تقنيات الرفع ضرورية؛ ب) لا، الرفع ممنوع؛ ج) فقط في الجولات النهائية؛ د) فقط ضد خصم أكبر حجمًا</v>
      </c>
      <c r="J41" s="5" t="str">
        <f>IFERROR(__xludf.DUMMYFUNCTION("GOOGLETRANSLATE(D41, ""en"", ""ar"")"),"أ) نعم، يُسمح بتقنيات الرفع وتعتبر أساسية.")</f>
        <v>أ) نعم، يُسمح بتقنيات الرفع وتعتبر أساسية.</v>
      </c>
      <c r="K41" s="5" t="str">
        <f>IFERROR(__xludf.DUMMYFUNCTION("GOOGLETRANSLATE(E41, ""en"", ""ar"")"),"تشكل تقنيات الرفع جزءًا من استراتيجيات المصارعة النوبية وتعتبر مهارات أساسية.")</f>
        <v>تشكل تقنيات الرفع جزءًا من استراتيجيات المصارعة النوبية وتعتبر مهارات أساسية.</v>
      </c>
    </row>
    <row r="42">
      <c r="A42" s="3">
        <v>41.0</v>
      </c>
      <c r="B42" s="4" t="s">
        <v>766</v>
      </c>
      <c r="C42" s="4" t="s">
        <v>767</v>
      </c>
      <c r="D42" s="4" t="s">
        <v>768</v>
      </c>
      <c r="E42" s="4" t="s">
        <v>769</v>
      </c>
      <c r="G42" s="5" t="str">
        <f>IFERROR(__xludf.DUMMYFUNCTION("GOOGLETRANSLATE(A42, ""en"", ""ar"")"),"41")</f>
        <v>41</v>
      </c>
      <c r="H42" s="5" t="str">
        <f>IFERROR(__xludf.DUMMYFUNCTION("GOOGLETRANSLATE(B42, ""en"", ""ar"")"),"هل يجوز للمصارع في المباراة النوبية استخدام حركات القتال الأرضية؟")</f>
        <v>هل يجوز للمصارع في المباراة النوبية استخدام حركات القتال الأرضية؟</v>
      </c>
      <c r="I42" s="5" t="str">
        <f>IFERROR(__xludf.DUMMYFUNCTION("GOOGLETRANSLATE(C42, ""en"", ""ar"")"),"أ) نعم، الحركات الأرضية مسموح بها؛ ب) لا، الحركات الأرضية ممنوعة؛ ج) فقط في الجولات النهائية؛ د) فقط في الدفاع")</f>
        <v>أ) نعم، الحركات الأرضية مسموح بها؛ ب) لا، الحركات الأرضية ممنوعة؛ ج) فقط في الجولات النهائية؛ د) فقط في الدفاع</v>
      </c>
      <c r="J42" s="5" t="str">
        <f>IFERROR(__xludf.DUMMYFUNCTION("GOOGLETRANSLATE(D42, ""en"", ""ar"")"),"أ) نعم، الحركات الأرضية مسموح بها في المصارعة النوبية.")</f>
        <v>أ) نعم، الحركات الأرضية مسموح بها في المصارعة النوبية.</v>
      </c>
      <c r="K42" s="5" t="str">
        <f>IFERROR(__xludf.DUMMYFUNCTION("GOOGLETRANSLATE(E42, ""en"", ""ar"")"),"تعتبر الحركات الأرضية جزءًا من استراتيجيات المصارعة النوبية ويمكن استخدامها بشكل قانوني.")</f>
        <v>تعتبر الحركات الأرضية جزءًا من استراتيجيات المصارعة النوبية ويمكن استخدامها بشكل قانوني.</v>
      </c>
    </row>
    <row r="43">
      <c r="A43" s="3">
        <v>42.0</v>
      </c>
      <c r="B43" s="4" t="s">
        <v>770</v>
      </c>
      <c r="C43" s="4" t="s">
        <v>771</v>
      </c>
      <c r="D43" s="4" t="s">
        <v>772</v>
      </c>
      <c r="E43" s="4" t="s">
        <v>773</v>
      </c>
      <c r="G43" s="5" t="str">
        <f>IFERROR(__xludf.DUMMYFUNCTION("GOOGLETRANSLATE(A43, ""en"", ""ar"")"),"42")</f>
        <v>42</v>
      </c>
      <c r="H43" s="5" t="str">
        <f>IFERROR(__xludf.DUMMYFUNCTION("GOOGLETRANSLATE(B43, ""en"", ""ar"")"),"ما هي القاعدة الخاصة بتوقيت الجولات في مباراة المصارعة النوبية؟")</f>
        <v>ما هي القاعدة الخاصة بتوقيت الجولات في مباراة المصارعة النوبية؟</v>
      </c>
      <c r="I43" s="5" t="str">
        <f>IFERROR(__xludf.DUMMYFUNCTION("GOOGLETRANSLATE(C43, ""en"", ""ar"")"),"أ) لا يوجد وقت محدد للجولة؛ ب) كل جولة دقيقة واحدة؛ ج) تستمر الجولات لمدة ثلاث دقائق؛ د) يجب أن تكون الجولات قصيرة جدًا")</f>
        <v>أ) لا يوجد وقت محدد للجولة؛ ب) كل جولة دقيقة واحدة؛ ج) تستمر الجولات لمدة ثلاث دقائق؛ د) يجب أن تكون الجولات قصيرة جدًا</v>
      </c>
      <c r="J43" s="5" t="str">
        <f>IFERROR(__xludf.DUMMYFUNCTION("GOOGLETRANSLATE(D43, ""en"", ""ar"")"),"أ) لا يوجد وقت محدد للجولة.")</f>
        <v>أ) لا يوجد وقت محدد للجولة.</v>
      </c>
      <c r="K43" s="5" t="str">
        <f>IFERROR(__xludf.DUMMYFUNCTION("GOOGLETRANSLATE(E43, ""en"", ""ar"")"),"لا يتم تحديد وقت محدد لكل جولة في المصارعة النوبية، بل يعتمد ذلك على تقدم المباراة.")</f>
        <v>لا يتم تحديد وقت محدد لكل جولة في المصارعة النوبية، بل يعتمد ذلك على تقدم المباراة.</v>
      </c>
    </row>
    <row r="44">
      <c r="A44" s="3">
        <v>43.0</v>
      </c>
      <c r="B44" s="4" t="s">
        <v>774</v>
      </c>
      <c r="C44" s="4" t="s">
        <v>775</v>
      </c>
      <c r="D44" s="4" t="s">
        <v>776</v>
      </c>
      <c r="E44" s="4" t="s">
        <v>777</v>
      </c>
      <c r="G44" s="5" t="str">
        <f>IFERROR(__xludf.DUMMYFUNCTION("GOOGLETRANSLATE(A44, ""en"", ""ar"")"),"43")</f>
        <v>43</v>
      </c>
      <c r="H44" s="5" t="str">
        <f>IFERROR(__xludf.DUMMYFUNCTION("GOOGLETRANSLATE(B44, ""en"", ""ar"")"),"هل يجوز للمصارع استخدام تقنيات الضرب القوية مباشرة على رأس الخصم؟")</f>
        <v>هل يجوز للمصارع استخدام تقنيات الضرب القوية مباشرة على رأس الخصم؟</v>
      </c>
      <c r="I44" s="5" t="str">
        <f>IFERROR(__xludf.DUMMYFUNCTION("GOOGLETRANSLATE(C44, ""en"", ""ar"")"),"أ) نعم، يُسمح دائمًا بضرب الرأس؛ ب) لا، يجب تجنب الضربات المباشرة بالرأس؛ ج) فقط في حالة الدفاع؛ د) فقط في حالات خاصة")</f>
        <v>أ) نعم، يُسمح دائمًا بضرب الرأس؛ ب) لا، يجب تجنب الضربات المباشرة بالرأس؛ ج) فقط في حالة الدفاع؛ د) فقط في حالات خاصة</v>
      </c>
      <c r="J44" s="5" t="str">
        <f>IFERROR(__xludf.DUMMYFUNCTION("GOOGLETRANSLATE(D44, ""en"", ""ar"")"),"ب) لا، يجب تجنب الضربات المباشرة على الرأس.")</f>
        <v>ب) لا، يجب تجنب الضربات المباشرة على الرأس.</v>
      </c>
      <c r="K44" s="5" t="str">
        <f>IFERROR(__xludf.DUMMYFUNCTION("GOOGLETRANSLATE(E44, ""en"", ""ar"")"),"يُحظر الضرب المباشر بالرأس في المصارعة النوبية من أجل سلامة الخصم.")</f>
        <v>يُحظر الضرب المباشر بالرأس في المصارعة النوبية من أجل سلامة الخصم.</v>
      </c>
    </row>
    <row r="45">
      <c r="A45" s="3">
        <v>44.0</v>
      </c>
      <c r="B45" s="4" t="s">
        <v>778</v>
      </c>
      <c r="C45" s="4" t="s">
        <v>779</v>
      </c>
      <c r="D45" s="4" t="s">
        <v>780</v>
      </c>
      <c r="E45" s="4" t="s">
        <v>781</v>
      </c>
      <c r="G45" s="5" t="str">
        <f>IFERROR(__xludf.DUMMYFUNCTION("GOOGLETRANSLATE(A45, ""en"", ""ar"")"),"44")</f>
        <v>44</v>
      </c>
      <c r="H45" s="5" t="str">
        <f>IFERROR(__xludf.DUMMYFUNCTION("GOOGLETRANSLATE(B45, ""en"", ""ar"")"),"هل يجوز للمصارع أن يهاجم بيديه فقط في المصارعة النوبية؟")</f>
        <v>هل يجوز للمصارع أن يهاجم بيديه فقط في المصارعة النوبية؟</v>
      </c>
      <c r="I45" s="5" t="str">
        <f>IFERROR(__xludf.DUMMYFUNCTION("GOOGLETRANSLATE(C45, ""en"", ""ar"")"),"أ) نعم، يجب استخدام اليدين فقط؛ ب) لا، يُسمح باستخدام اليدين والعصي معًا؛ ج) استخدام اليدين فقط في المصارعة الأرضية؛ د) استخدام العصي فقط في الهجوم")</f>
        <v>أ) نعم، يجب استخدام اليدين فقط؛ ب) لا، يُسمح باستخدام اليدين والعصي معًا؛ ج) استخدام اليدين فقط في المصارعة الأرضية؛ د) استخدام العصي فقط في الهجوم</v>
      </c>
      <c r="J45" s="5" t="str">
        <f>IFERROR(__xludf.DUMMYFUNCTION("GOOGLETRANSLATE(D45, ""en"", ""ar"")"),"ب) لا، يُسمح باستخدام اليدين والعصي.")</f>
        <v>ب) لا، يُسمح باستخدام اليدين والعصي.</v>
      </c>
      <c r="K45" s="5" t="str">
        <f>IFERROR(__xludf.DUMMYFUNCTION("GOOGLETRANSLATE(E45, ""en"", ""ar"")"),"تتميز المصارعة النوبية بمجموعة متنوعة من الهجمات ويمكن استخدام اليدين والعصي معًا.")</f>
        <v>تتميز المصارعة النوبية بمجموعة متنوعة من الهجمات ويمكن استخدام اليدين والعصي معًا.</v>
      </c>
    </row>
    <row r="46">
      <c r="A46" s="3">
        <v>45.0</v>
      </c>
      <c r="B46" s="4" t="s">
        <v>782</v>
      </c>
      <c r="C46" s="4" t="s">
        <v>783</v>
      </c>
      <c r="D46" s="4" t="s">
        <v>784</v>
      </c>
      <c r="E46" s="4" t="s">
        <v>785</v>
      </c>
      <c r="G46" s="5" t="str">
        <f>IFERROR(__xludf.DUMMYFUNCTION("GOOGLETRANSLATE(A46, ""en"", ""ar"")"),"45")</f>
        <v>45</v>
      </c>
      <c r="H46" s="5" t="str">
        <f>IFERROR(__xludf.DUMMYFUNCTION("GOOGLETRANSLATE(B46, ""en"", ""ar"")"),"هل يجوز للمصارع تعديل استراتيجيته بعد كل جولة من المباراة؟")</f>
        <v>هل يجوز للمصارع تعديل استراتيجيته بعد كل جولة من المباراة؟</v>
      </c>
      <c r="I46" s="5" t="str">
        <f>IFERROR(__xludf.DUMMYFUNCTION("GOOGLETRANSLATE(C46, ""en"", ""ar"")"),"أ) نعم، يمكنهم تغيير الاستراتيجية بعد كل جولة؛ ب) لا، يجب عليهم الالتزام باستراتيجية واحدة؛ ج) يُسمح بالتعديل بعد الجولة الأولى فقط؛ د) يُسمح بالتعديل الدفاعي فقط")</f>
        <v>أ) نعم، يمكنهم تغيير الاستراتيجية بعد كل جولة؛ ب) لا، يجب عليهم الالتزام باستراتيجية واحدة؛ ج) يُسمح بالتعديل بعد الجولة الأولى فقط؛ د) يُسمح بالتعديل الدفاعي فقط</v>
      </c>
      <c r="J46" s="5" t="str">
        <f>IFERROR(__xludf.DUMMYFUNCTION("GOOGLETRANSLATE(D46, ""en"", ""ar"")"),"أ) نعم، يمكنه تغيير استراتيجيته بعد كل جولة.")</f>
        <v>أ) نعم، يمكنه تغيير استراتيجيته بعد كل جولة.</v>
      </c>
      <c r="K46" s="5" t="str">
        <f>IFERROR(__xludf.DUMMYFUNCTION("GOOGLETRANSLATE(E46, ""en"", ""ar"")"),"تشجع المصارعة النوبية على التعديل المستمر للاستراتيجيات لضمان النجاح.")</f>
        <v>تشجع المصارعة النوبية على التعديل المستمر للاستراتيجيات لضمان النجاح.</v>
      </c>
    </row>
    <row r="47">
      <c r="A47" s="3">
        <v>46.0</v>
      </c>
      <c r="B47" s="4" t="s">
        <v>786</v>
      </c>
      <c r="C47" s="4" t="s">
        <v>787</v>
      </c>
      <c r="D47" s="4" t="s">
        <v>788</v>
      </c>
      <c r="E47" s="4" t="s">
        <v>789</v>
      </c>
      <c r="G47" s="5" t="str">
        <f>IFERROR(__xludf.DUMMYFUNCTION("GOOGLETRANSLATE(A47, ""en"", ""ar"")"),"46")</f>
        <v>46</v>
      </c>
      <c r="H47" s="5" t="str">
        <f>IFERROR(__xludf.DUMMYFUNCTION("GOOGLETRANSLATE(B47, ""en"", ""ar"")"),"هل يجوز للمصارع في المباراة النوبية التركيز فقط على الهجوم دون أي دفاع؟")</f>
        <v>هل يجوز للمصارع في المباراة النوبية التركيز فقط على الهجوم دون أي دفاع؟</v>
      </c>
      <c r="I47" s="5" t="str">
        <f>IFERROR(__xludf.DUMMYFUNCTION("GOOGLETRANSLATE(C47, ""en"", ""ar"")"),"أ) نعم، الهجوم فقط هو الذي يمكنه الفوز؛ ب) لا، يجب أن يكون هناك توازن؛ ج) فقط في الجولات النهائية؛ د) فقط في حالة الدفاع الكامل")</f>
        <v>أ) نعم، الهجوم فقط هو الذي يمكنه الفوز؛ ب) لا، يجب أن يكون هناك توازن؛ ج) فقط في الجولات النهائية؛ د) فقط في حالة الدفاع الكامل</v>
      </c>
      <c r="J47" s="5" t="str">
        <f>IFERROR(__xludf.DUMMYFUNCTION("GOOGLETRANSLATE(D47, ""en"", ""ar"")"),"ب) لا، يجب أن يكون هناك توازن بين الهجوم والدفاع.")</f>
        <v>ب) لا، يجب أن يكون هناك توازن بين الهجوم والدفاع.</v>
      </c>
      <c r="K47" s="5" t="str">
        <f>IFERROR(__xludf.DUMMYFUNCTION("GOOGLETRANSLATE(E47, ""en"", ""ar"")"),"في المصارعة النوبية، يجب أن يكون هناك توازن بين الهجوم والدفاع لتحقيق التفوق.")</f>
        <v>في المصارعة النوبية، يجب أن يكون هناك توازن بين الهجوم والدفاع لتحقيق التفوق.</v>
      </c>
    </row>
    <row r="48">
      <c r="A48" s="3">
        <v>47.0</v>
      </c>
      <c r="B48" s="4" t="s">
        <v>790</v>
      </c>
      <c r="C48" s="4" t="s">
        <v>791</v>
      </c>
      <c r="D48" s="4" t="s">
        <v>792</v>
      </c>
      <c r="E48" s="4" t="s">
        <v>793</v>
      </c>
      <c r="G48" s="5" t="str">
        <f>IFERROR(__xludf.DUMMYFUNCTION("GOOGLETRANSLATE(A48, ""en"", ""ar"")"),"47")</f>
        <v>47</v>
      </c>
      <c r="H48" s="5" t="str">
        <f>IFERROR(__xludf.DUMMYFUNCTION("GOOGLETRANSLATE(B48, ""en"", ""ar"")"),"هل يمكن للمصارع استخدام أسلوب الهجوم الخفي أو المفاجئ أثناء المباراة؟")</f>
        <v>هل يمكن للمصارع استخدام أسلوب الهجوم الخفي أو المفاجئ أثناء المباراة؟</v>
      </c>
      <c r="I48" s="5" t="str">
        <f>IFERROR(__xludf.DUMMYFUNCTION("GOOGLETRANSLATE(C48, ""en"", ""ar"")"),"أ) نعم، التخفي هو تكتيك قانوني؛ ب) لا، التخفي محظور تمامًا؛ ج) مسموح به في الهجوم المفاجئ؛ د) فقط في الجولات النهائية")</f>
        <v>أ) نعم، التخفي هو تكتيك قانوني؛ ب) لا، التخفي محظور تمامًا؛ ج) مسموح به في الهجوم المفاجئ؛ د) فقط في الجولات النهائية</v>
      </c>
      <c r="J48" s="5" t="str">
        <f>IFERROR(__xludf.DUMMYFUNCTION("GOOGLETRANSLATE(D48, ""en"", ""ar"")"),"ب) لا، التسلل ممنوع تمامًا.")</f>
        <v>ب) لا، التسلل ممنوع تمامًا.</v>
      </c>
      <c r="K48" s="5" t="str">
        <f>IFERROR(__xludf.DUMMYFUNCTION("GOOGLETRANSLATE(E48, ""en"", ""ar"")"),"لا يُسمح بالتسلل أو الهجمات المفاجئة في المصارعة النوبية، ويجب أن يكون القتال مباشرًا.")</f>
        <v>لا يُسمح بالتسلل أو الهجمات المفاجئة في المصارعة النوبية، ويجب أن يكون القتال مباشرًا.</v>
      </c>
    </row>
    <row r="49">
      <c r="A49" s="3">
        <v>48.0</v>
      </c>
      <c r="B49" s="4" t="s">
        <v>794</v>
      </c>
      <c r="C49" s="4" t="s">
        <v>795</v>
      </c>
      <c r="D49" s="4" t="s">
        <v>796</v>
      </c>
      <c r="E49" s="4" t="s">
        <v>797</v>
      </c>
      <c r="G49" s="5" t="str">
        <f>IFERROR(__xludf.DUMMYFUNCTION("GOOGLETRANSLATE(A49, ""en"", ""ar"")"),"48")</f>
        <v>48</v>
      </c>
      <c r="H49" s="5" t="str">
        <f>IFERROR(__xludf.DUMMYFUNCTION("GOOGLETRANSLATE(B49, ""en"", ""ar"")"),"ما هي القاعدة التي تحكم إعادة المباريات في المصارعة النوبية إذا لم يتم تحديد الفائز؟")</f>
        <v>ما هي القاعدة التي تحكم إعادة المباريات في المصارعة النوبية إذا لم يتم تحديد الفائز؟</v>
      </c>
      <c r="I49" s="5" t="str">
        <f>IFERROR(__xludf.DUMMYFUNCTION("GOOGLETRANSLATE(C49, ""en"", ""ar"")"),"أ) يتم لعب مباراة العودة تلقائيًا؛ ب) لا يُسمح بمباراة العودة؛ ج) فقط في حالة الإصابات؛ د) فقط في حالة التعادل")</f>
        <v>أ) يتم لعب مباراة العودة تلقائيًا؛ ب) لا يُسمح بمباراة العودة؛ ج) فقط في حالة الإصابات؛ د) فقط في حالة التعادل</v>
      </c>
      <c r="J49" s="5" t="str">
        <f>IFERROR(__xludf.DUMMYFUNCTION("GOOGLETRANSLATE(D49, ""en"", ""ar"")"),"أ) سيتم إعادة المباراة تلقائيًا إذا لم يتم تحديد الفائز.")</f>
        <v>أ) سيتم إعادة المباراة تلقائيًا إذا لم يتم تحديد الفائز.</v>
      </c>
      <c r="K49" s="5" t="str">
        <f>IFERROR(__xludf.DUMMYFUNCTION("GOOGLETRANSLATE(E49, ""en"", ""ar"")"),"المصارعة النوبية تسمح بإعادة المباراة إذا لم يكن هناك فائز.")</f>
        <v>المصارعة النوبية تسمح بإعادة المباراة إذا لم يكن هناك فائز.</v>
      </c>
    </row>
    <row r="50">
      <c r="A50" s="3">
        <v>49.0</v>
      </c>
      <c r="B50" s="4" t="s">
        <v>798</v>
      </c>
      <c r="C50" s="4" t="s">
        <v>799</v>
      </c>
      <c r="D50" s="4" t="s">
        <v>800</v>
      </c>
      <c r="E50" s="4" t="s">
        <v>801</v>
      </c>
      <c r="G50" s="5" t="str">
        <f>IFERROR(__xludf.DUMMYFUNCTION("GOOGLETRANSLATE(A50, ""en"", ""ar"")"),"49")</f>
        <v>49</v>
      </c>
      <c r="H50" s="5" t="str">
        <f>IFERROR(__xludf.DUMMYFUNCTION("GOOGLETRANSLATE(B50, ""en"", ""ar"")"),"هل يتم تحديد الفائز في مباراة المصارعة النوبية بعدد الضربات أم الحركات فقط؟")</f>
        <v>هل يتم تحديد الفائز في مباراة المصارعة النوبية بعدد الضربات أم الحركات فقط؟</v>
      </c>
      <c r="I50" s="5" t="str">
        <f>IFERROR(__xludf.DUMMYFUNCTION("GOOGLETRANSLATE(C50, ""en"", ""ar"")"),"أ) نعم، من خلال عدد الضربات؛ ب) لا، من خلال القدرة على السيطرة على الخصم؛ ج) من خلال قوة الضربة؛ د) من خلال نوع الحركات المستخدمة")</f>
        <v>أ) نعم، من خلال عدد الضربات؛ ب) لا، من خلال القدرة على السيطرة على الخصم؛ ج) من خلال قوة الضربة؛ د) من خلال نوع الحركات المستخدمة</v>
      </c>
      <c r="J50" s="5" t="str">
        <f>IFERROR(__xludf.DUMMYFUNCTION("GOOGLETRANSLATE(D50, ""en"", ""ar"")"),"ب) لا، ذلك يعتمد على القدرة على السيطرة على الخصم.")</f>
        <v>ب) لا، ذلك يعتمد على القدرة على السيطرة على الخصم.</v>
      </c>
      <c r="K50" s="5" t="str">
        <f>IFERROR(__xludf.DUMMYFUNCTION("GOOGLETRANSLATE(E50, ""en"", ""ar"")"),"يتم تحديد الفائز في المصارعة النوبية على أساس القدرة على السيطرة على الخصم.")</f>
        <v>يتم تحديد الفائز في المصارعة النوبية على أساس القدرة على السيطرة على الخصم.</v>
      </c>
    </row>
    <row r="51">
      <c r="A51" s="3">
        <v>50.0</v>
      </c>
      <c r="B51" s="4" t="s">
        <v>802</v>
      </c>
      <c r="C51" s="4" t="s">
        <v>803</v>
      </c>
      <c r="D51" s="4" t="s">
        <v>804</v>
      </c>
      <c r="E51" s="4" t="s">
        <v>805</v>
      </c>
      <c r="G51" s="5" t="str">
        <f>IFERROR(__xludf.DUMMYFUNCTION("GOOGLETRANSLATE(A51, ""en"", ""ar"")"),"50")</f>
        <v>50</v>
      </c>
      <c r="H51" s="5" t="str">
        <f>IFERROR(__xludf.DUMMYFUNCTION("GOOGLETRANSLATE(B51, ""en"", ""ar"")"),"هل يجوز للمصارع استخدام حركات مفاجئة وغير متوقعة في أي وقت أثناء المباراة؟")</f>
        <v>هل يجوز للمصارع استخدام حركات مفاجئة وغير متوقعة في أي وقت أثناء المباراة؟</v>
      </c>
      <c r="I51" s="5" t="str">
        <f>IFERROR(__xludf.DUMMYFUNCTION("GOOGLETRANSLATE(C51, ""en"", ""ar"")"),"أ) نعم، يُسمح بالحركات المفاجئة في أي وقت؛ ب) لا، فقط في حالة الدفاع؛ ج) فقط في الجولات النهائية؛ د) الحركات المفاجئة ممنوعة")</f>
        <v>أ) نعم، يُسمح بالحركات المفاجئة في أي وقت؛ ب) لا، فقط في حالة الدفاع؛ ج) فقط في الجولات النهائية؛ د) الحركات المفاجئة ممنوعة</v>
      </c>
      <c r="J51" s="5" t="str">
        <f>IFERROR(__xludf.DUMMYFUNCTION("GOOGLETRANSLATE(D51, ""en"", ""ar"")"),"أ) نعم، يُسمح بالحركات المفاجئة في أي وقت.")</f>
        <v>أ) نعم، يُسمح بالحركات المفاجئة في أي وقت.</v>
      </c>
      <c r="K51" s="5" t="str">
        <f>IFERROR(__xludf.DUMMYFUNCTION("GOOGLETRANSLATE(E51, ""en"", ""ar"")"),"المصارعة النوبية تسمح باستخدام الحركات المفاجئة في أي وقت للحصول على التفوق.")</f>
        <v>المصارعة النوبية تسمح باستخدام الحركات المفاجئة في أي وقت للحصول على التفوق.</v>
      </c>
    </row>
    <row r="52">
      <c r="A52" s="3">
        <v>51.0</v>
      </c>
      <c r="B52" s="4" t="s">
        <v>806</v>
      </c>
      <c r="C52" s="4" t="s">
        <v>807</v>
      </c>
      <c r="D52" s="4" t="s">
        <v>808</v>
      </c>
      <c r="E52" s="4" t="s">
        <v>809</v>
      </c>
      <c r="G52" s="5" t="str">
        <f>IFERROR(__xludf.DUMMYFUNCTION("GOOGLETRANSLATE(A52, ""en"", ""ar"")"),"51")</f>
        <v>51</v>
      </c>
      <c r="H52" s="5" t="str">
        <f>IFERROR(__xludf.DUMMYFUNCTION("GOOGLETRANSLATE(B52, ""en"", ""ar"")"),"كيف يتم تعريف ""السقوط"" رسميًا لتحديد الفائز في المصارعة النوبية؟")</f>
        <v>كيف يتم تعريف "السقوط" رسميًا لتحديد الفائز في المصارعة النوبية؟</v>
      </c>
      <c r="I52" s="5" t="str">
        <f>IFERROR(__xludf.DUMMYFUNCTION("GOOGLETRANSLATE(C52, ""en"", ""ar"")"),"أ) عندما تلمس ركبة المصارع الأرض؛ ب) عندما يلمس ظهر المصارع الأرض؛ ج) عندما يُطرد المصارع من الحلبة؛ د) عندما يستسلم المصارع لفظيًا")</f>
        <v>أ) عندما تلمس ركبة المصارع الأرض؛ ب) عندما يلمس ظهر المصارع الأرض؛ ج) عندما يُطرد المصارع من الحلبة؛ د) عندما يستسلم المصارع لفظيًا</v>
      </c>
      <c r="J52" s="5" t="str">
        <f>IFERROR(__xludf.DUMMYFUNCTION("GOOGLETRANSLATE(D52, ""en"", ""ar"")"),"ب) عندما يلمس ظهر المصارع الأرض")</f>
        <v>ب) عندما يلمس ظهر المصارع الأرض</v>
      </c>
      <c r="K52" s="5" t="str">
        <f>IFERROR(__xludf.DUMMYFUNCTION("GOOGLETRANSLATE(E52, ""en"", ""ar"")"),"يتم تحقيق النصر بالسقوط فقط عندما يجبر المصارع ظهر خصمه على الاتصال بالأرض، مما يدل على السيطرة الكاملة.")</f>
        <v>يتم تحقيق النصر بالسقوط فقط عندما يجبر المصارع ظهر خصمه على الاتصال بالأرض، مما يدل على السيطرة الكاملة.</v>
      </c>
    </row>
    <row r="53">
      <c r="A53" s="3">
        <v>52.0</v>
      </c>
      <c r="B53" s="4" t="s">
        <v>810</v>
      </c>
      <c r="C53" s="4" t="s">
        <v>811</v>
      </c>
      <c r="D53" s="4" t="s">
        <v>812</v>
      </c>
      <c r="E53" s="4" t="s">
        <v>813</v>
      </c>
      <c r="G53" s="5" t="str">
        <f>IFERROR(__xludf.DUMMYFUNCTION("GOOGLETRANSLATE(A53, ""en"", ""ar"")"),"52")</f>
        <v>52</v>
      </c>
      <c r="H53" s="5" t="str">
        <f>IFERROR(__xludf.DUMMYFUNCTION("GOOGLETRANSLATE(B53, ""en"", ""ar"")"),"ما هي العقوبة الرسمية للمصارع الذي يتم ضبطه وهو يمسك عمداً بملابس خصمه؟")</f>
        <v>ما هي العقوبة الرسمية للمصارع الذي يتم ضبطه وهو يمسك عمداً بملابس خصمه؟</v>
      </c>
      <c r="I53" s="5" t="str">
        <f>IFERROR(__xludf.DUMMYFUNCTION("GOOGLETRANSLATE(C53, ""en"", ""ar"")"),"أ) تتوقف المباراة فورًا؛ ب) يتم إصدار تحذير رسمي للمخالفة الأولى؛ ج) يخسر المصارع المباراة؛ د) لا توجد عقوبة على هذا")</f>
        <v>أ) تتوقف المباراة فورًا؛ ب) يتم إصدار تحذير رسمي للمخالفة الأولى؛ ج) يخسر المصارع المباراة؛ د) لا توجد عقوبة على هذا</v>
      </c>
      <c r="J53" s="5" t="str">
        <f>IFERROR(__xludf.DUMMYFUNCTION("GOOGLETRANSLATE(D53, ""en"", ""ar"")"),"ب) يتم إصدار إنذار رسمي للمخالفة الأولى")</f>
        <v>ب) يتم إصدار إنذار رسمي للمخالفة الأولى</v>
      </c>
      <c r="K53" s="5" t="str">
        <f>IFERROR(__xludf.DUMMYFUNCTION("GOOGLETRANSLATE(E53, ""en"", ""ar"")"),"انتزاع الملابس تكتيك غير قانوني. يُنذر المصارع في المرة الأولى، وفي حال تكرار المخالفة، يُخصم من رصيده أو يُستبعد.")</f>
        <v>انتزاع الملابس تكتيك غير قانوني. يُنذر المصارع في المرة الأولى، وفي حال تكرار المخالفة، يُخصم من رصيده أو يُستبعد.</v>
      </c>
    </row>
    <row r="54">
      <c r="A54" s="3">
        <v>53.0</v>
      </c>
      <c r="B54" s="4" t="s">
        <v>814</v>
      </c>
      <c r="C54" s="4" t="s">
        <v>815</v>
      </c>
      <c r="D54" s="4" t="s">
        <v>816</v>
      </c>
      <c r="E54" s="4" t="s">
        <v>817</v>
      </c>
      <c r="G54" s="5" t="str">
        <f>IFERROR(__xludf.DUMMYFUNCTION("GOOGLETRANSLATE(A54, ""en"", ""ar"")"),"53")</f>
        <v>53</v>
      </c>
      <c r="H54" s="5" t="str">
        <f>IFERROR(__xludf.DUMMYFUNCTION("GOOGLETRANSLATE(B54, ""en"", ""ar"")"),"هل هناك قواعد محددة بشأن مادة وسمك عصا المصارعة؟")</f>
        <v>هل هناك قواعد محددة بشأن مادة وسمك عصا المصارعة؟</v>
      </c>
      <c r="I54" s="5" t="str">
        <f>IFERROR(__xludf.DUMMYFUNCTION("GOOGLETRANSLATE(C54, ""en"", ""ar"")"),"أ) يُسمح بأي عصا خشبية؛ ب) يجب أن تكون مصنوعة من الخيزران المرن؛ ج) هناك قواعد محددة بشأن الطول والمادة؛ د) يجب أن تكون العصي مبطنة")</f>
        <v>أ) يُسمح بأي عصا خشبية؛ ب) يجب أن تكون مصنوعة من الخيزران المرن؛ ج) هناك قواعد محددة بشأن الطول والمادة؛ د) يجب أن تكون العصي مبطنة</v>
      </c>
      <c r="J54" s="5" t="str">
        <f>IFERROR(__xludf.DUMMYFUNCTION("GOOGLETRANSLATE(D54, ""en"", ""ar"")"),"ج) هناك قواعد محددة بشأن الطول والمادة")</f>
        <v>ج) هناك قواعد محددة بشأن الطول والمادة</v>
      </c>
      <c r="K54" s="5" t="str">
        <f>IFERROR(__xludf.DUMMYFUNCTION("GOOGLETRANSLATE(E54, ""en"", ""ar"")"),"ولضمان العدالة والسلامة، يجب أن تتوافق عصا المصارعة مع اللوائح الرسمية فيما يتعلق بطولها وسمكها ونوع الخشب المستخدم.")</f>
        <v>ولضمان العدالة والسلامة، يجب أن تتوافق عصا المصارعة مع اللوائح الرسمية فيما يتعلق بطولها وسمكها ونوع الخشب المستخدم.</v>
      </c>
    </row>
    <row r="55">
      <c r="A55" s="3">
        <v>54.0</v>
      </c>
      <c r="B55" s="4" t="s">
        <v>818</v>
      </c>
      <c r="C55" s="4" t="s">
        <v>819</v>
      </c>
      <c r="D55" s="4" t="s">
        <v>820</v>
      </c>
      <c r="E55" s="4" t="s">
        <v>821</v>
      </c>
      <c r="G55" s="5" t="str">
        <f>IFERROR(__xludf.DUMMYFUNCTION("GOOGLETRANSLATE(A55, ""en"", ""ar"")"),"54")</f>
        <v>54</v>
      </c>
      <c r="H55" s="5" t="str">
        <f>IFERROR(__xludf.DUMMYFUNCTION("GOOGLETRANSLATE(B55, ""en"", ""ar"")"),"إذا سقط المصارعان خارج الحلبة في نفس الوقت أثناء الاشتباك، ما هو قرار الحكم؟")</f>
        <v>إذا سقط المصارعان خارج الحلبة في نفس الوقت أثناء الاشتباك، ما هو قرار الحكم؟</v>
      </c>
      <c r="I55" s="5" t="str">
        <f>IFERROR(__xludf.DUMMYFUNCTION("GOOGLETRANSLATE(C55, ""en"", ""ar"")"),"أ) آخر مصارع يلمس الحلبة يفوز؛ ب) يتم إعلان المباراة بالتعادل؛ ج) يتم استئناف المباراة من المنتصف؛ د) يتم استبعاد كلا المصارعين")</f>
        <v>أ) آخر مصارع يلمس الحلبة يفوز؛ ب) يتم إعلان المباراة بالتعادل؛ ج) يتم استئناف المباراة من المنتصف؛ د) يتم استبعاد كلا المصارعين</v>
      </c>
      <c r="J55" s="5" t="str">
        <f>IFERROR(__xludf.DUMMYFUNCTION("GOOGLETRANSLATE(D55, ""en"", ""ar"")"),"ج) تستأنف المباراة من المركز")</f>
        <v>ج) تستأنف المباراة من المركز</v>
      </c>
      <c r="K55" s="5" t="str">
        <f>IFERROR(__xludf.DUMMYFUNCTION("GOOGLETRANSLATE(E55, ""en"", ""ar"")"),"عندما يؤدي إجراء ما إلى إخراج كلا المتنافسين من الحدود دون فائز واضح، يقوم الحكم بإيقاف الإجراء وإعادة بدء المباراة في وسط الحلبة.")</f>
        <v>عندما يؤدي إجراء ما إلى إخراج كلا المتنافسين من الحدود دون فائز واضح، يقوم الحكم بإيقاف الإجراء وإعادة بدء المباراة في وسط الحلبة.</v>
      </c>
    </row>
    <row r="56">
      <c r="A56" s="3">
        <v>55.0</v>
      </c>
      <c r="B56" s="4" t="s">
        <v>822</v>
      </c>
      <c r="C56" s="4" t="s">
        <v>823</v>
      </c>
      <c r="D56" s="4" t="s">
        <v>824</v>
      </c>
      <c r="E56" s="4" t="s">
        <v>825</v>
      </c>
      <c r="G56" s="5" t="str">
        <f>IFERROR(__xludf.DUMMYFUNCTION("GOOGLETRANSLATE(A56, ""en"", ""ar"")"),"55")</f>
        <v>55</v>
      </c>
      <c r="H56" s="5" t="str">
        <f>IFERROR(__xludf.DUMMYFUNCTION("GOOGLETRANSLATE(B56, ""en"", ""ar"")"),"ما هي القاعدة المتعلقة بالرقصة أو العرض التقليدي قبل المباراة؟")</f>
        <v>ما هي القاعدة المتعلقة بالرقصة أو العرض التقليدي قبل المباراة؟</v>
      </c>
      <c r="I56" s="5" t="str">
        <f>IFERROR(__xludf.DUMMYFUNCTION("GOOGLETRANSLATE(C56, ""en"", ""ar"")"),"أ) إنه اختياري بالنسبة للمصارعين؛ ب) إنه جزء إلزامي من حفل الافتتاح؛ ج) يتم أداؤه فقط في نهائيات البطولة؛ د) يؤديه البطل المدافع فقط")</f>
        <v>أ) إنه اختياري بالنسبة للمصارعين؛ ب) إنه جزء إلزامي من حفل الافتتاح؛ ج) يتم أداؤه فقط في نهائيات البطولة؛ د) يؤديه البطل المدافع فقط</v>
      </c>
      <c r="J56" s="5" t="str">
        <f>IFERROR(__xludf.DUMMYFUNCTION("GOOGLETRANSLATE(D56, ""en"", ""ar"")"),"ب) هو جزء إلزامي من حفل الافتتاح")</f>
        <v>ب) هو جزء إلزامي من حفل الافتتاح</v>
      </c>
      <c r="K56" s="5" t="str">
        <f>IFERROR(__xludf.DUMMYFUNCTION("GOOGLETRANSLATE(E56, ""en"", ""ar"")"),"تشكل الرقصة الطقسية التي تسبق المباراة جزءًا لا يتجزأ من التقاليد الثقافية، وتعمل كعرض للاستعداد والاحترام.")</f>
        <v>تشكل الرقصة الطقسية التي تسبق المباراة جزءًا لا يتجزأ من التقاليد الثقافية، وتعمل كعرض للاستعداد والاحترام.</v>
      </c>
    </row>
    <row r="57">
      <c r="A57" s="3">
        <v>56.0</v>
      </c>
      <c r="B57" s="4" t="s">
        <v>826</v>
      </c>
      <c r="C57" s="4" t="s">
        <v>827</v>
      </c>
      <c r="D57" s="4" t="s">
        <v>828</v>
      </c>
      <c r="E57" s="4" t="s">
        <v>829</v>
      </c>
      <c r="G57" s="5" t="str">
        <f>IFERROR(__xludf.DUMMYFUNCTION("GOOGLETRANSLATE(A57, ""en"", ""ar"")"),"56")</f>
        <v>56</v>
      </c>
      <c r="H57" s="5" t="str">
        <f>IFERROR(__xludf.DUMMYFUNCTION("GOOGLETRANSLATE(B57, ""en"", ""ar"")"),"هل تقنيات الاختناق أو حركات الاستسلام التي تحد من التنفس مسموح بها في المصارعة النوبية؟")</f>
        <v>هل تقنيات الاختناق أو حركات الاستسلام التي تحد من التنفس مسموح بها في المصارعة النوبية؟</v>
      </c>
      <c r="I57" s="5" t="str">
        <f>IFERROR(__xludf.DUMMYFUNCTION("GOOGLETRANSLATE(C57, ""en"", ""ar"")"),"أ) نعم، إنها جزء أساسي من الرياضة؛ ب) لا، جميع حركات الخنق غير قانونية تمامًا؛ ج) فقط إذا تم تطبيقها لمدة أقل من 5 ثوانٍ؛ د) فقط في المسابقات المتقدمة")</f>
        <v>أ) نعم، إنها جزء أساسي من الرياضة؛ ب) لا، جميع حركات الخنق غير قانونية تمامًا؛ ج) فقط إذا تم تطبيقها لمدة أقل من 5 ثوانٍ؛ د) فقط في المسابقات المتقدمة</v>
      </c>
      <c r="J57" s="5" t="str">
        <f>IFERROR(__xludf.DUMMYFUNCTION("GOOGLETRANSLATE(D57, ""en"", ""ar"")"),"ب) لا، كل حركات الخنق غير قانونية تمامًا")</f>
        <v>ب) لا، كل حركات الخنق غير قانونية تمامًا</v>
      </c>
      <c r="K57" s="5" t="str">
        <f>IFERROR(__xludf.DUMMYFUNCTION("GOOGLETRANSLATE(E57, ""en"", ""ar"")"),"من أجل سلامة المنافسين، فإن أي تقنية تحد من قدرة الخصم على التنفس تعتبر خطأً جسيماً.")</f>
        <v>من أجل سلامة المنافسين، فإن أي تقنية تحد من قدرة الخصم على التنفس تعتبر خطأً جسيماً.</v>
      </c>
    </row>
    <row r="58">
      <c r="A58" s="3">
        <v>57.0</v>
      </c>
      <c r="B58" s="4" t="s">
        <v>830</v>
      </c>
      <c r="C58" s="4" t="s">
        <v>831</v>
      </c>
      <c r="D58" s="4" t="s">
        <v>832</v>
      </c>
      <c r="E58" s="4" t="s">
        <v>833</v>
      </c>
      <c r="G58" s="5" t="str">
        <f>IFERROR(__xludf.DUMMYFUNCTION("GOOGLETRANSLATE(A58, ""en"", ""ar"")"),"57")</f>
        <v>57</v>
      </c>
      <c r="H58" s="5" t="str">
        <f>IFERROR(__xludf.DUMMYFUNCTION("GOOGLETRANSLATE(B58, ""en"", ""ar"")"),"إذا كان المصارع ينزف، ما هو الإجراء الإلزامي؟")</f>
        <v>إذا كان المصارع ينزف، ما هو الإجراء الإلزامي؟</v>
      </c>
      <c r="I58" s="5" t="str">
        <f>IFERROR(__xludf.DUMMYFUNCTION("GOOGLETRANSLATE(C58, ""en"", ""ar"")"),"أ)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f>
        <v>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v>
      </c>
      <c r="J58" s="5" t="str">
        <f>IFERROR(__xludf.DUMMYFUNCTION("GOOGLETRANSLATE(D58, ""en"", ""ar"")"),"ب) يتم إيقاف المباراة للحصول على الرعاية الطبية")</f>
        <v>ب) يتم إيقاف المباراة للحصول على الرعاية الطبية</v>
      </c>
      <c r="K58" s="5" t="str">
        <f>IFERROR(__xludf.DUMMYFUNCTION("GOOGLETRANSLATE(E58, ""en"", ""ar"")"),"ويجب على الحكم إيقاف المباراة للسماح للطاقم الطبي بالسيطرة على النزيف وتقييم الإصابة قبل أن يقرر ما إذا كان المصارع يستطيع الاستمرار.")</f>
        <v>ويجب على الحكم إيقاف المباراة للسماح للطاقم الطبي بالسيطرة على النزيف وتقييم الإصابة قبل أن يقرر ما إذا كان المصارع يستطيع الاستمرار.</v>
      </c>
    </row>
    <row r="59">
      <c r="A59" s="3">
        <v>58.0</v>
      </c>
      <c r="B59" s="4" t="s">
        <v>834</v>
      </c>
      <c r="C59" s="4" t="s">
        <v>835</v>
      </c>
      <c r="D59" s="4" t="s">
        <v>836</v>
      </c>
      <c r="E59" s="4" t="s">
        <v>837</v>
      </c>
      <c r="G59" s="5" t="str">
        <f>IFERROR(__xludf.DUMMYFUNCTION("GOOGLETRANSLATE(A59, ""en"", ""ar"")"),"58")</f>
        <v>58</v>
      </c>
      <c r="H59" s="5" t="str">
        <f>IFERROR(__xludf.DUMMYFUNCTION("GOOGLETRANSLATE(B59, ""en"", ""ar"")"),"ما هو الحكم الرسمي في حال كسر عصا المصارع أثناء المباراة؟")</f>
        <v>ما هو الحكم الرسمي في حال كسر عصا المصارع أثناء المباراة؟</v>
      </c>
      <c r="I59" s="5" t="str">
        <f>IFERROR(__xludf.DUMMYFUNCTION("GOOGLETRANSLATE(C59, ""en"", ""ar"")"),"أ) يجب على المصارع الاستمرار بدون عصا؛ ب) يخسر المصارع الجولة تلقائيًا؛ ج) يوقف الحكم المباراة لتوفير بديل؛ د) يمكن للمصارع أن يأخذ عصا خصمه")</f>
        <v>أ) يجب على المصارع الاستمرار بدون عصا؛ ب) يخسر المصارع الجولة تلقائيًا؛ ج) يوقف الحكم المباراة لتوفير بديل؛ د) يمكن للمصارع أن يأخذ عصا خصمه</v>
      </c>
      <c r="J59" s="5" t="str">
        <f>IFERROR(__xludf.DUMMYFUNCTION("GOOGLETRANSLATE(D59, ""en"", ""ar"")"),"ج) يوقف الحكم المباراة لتوفير البديل")</f>
        <v>ج) يوقف الحكم المباراة لتوفير البديل</v>
      </c>
      <c r="K59" s="5" t="str">
        <f>IFERROR(__xludf.DUMMYFUNCTION("GOOGLETRANSLATE(E59, ""en"", ""ar"")"),"تم إيقاف المباراة مؤقتًا للتأكد من أن كلا المتنافسين مجهزان بشكل صحيح، وتم توفير عصا بديلة قياسية.")</f>
        <v>تم إيقاف المباراة مؤقتًا للتأكد من أن كلا المتنافسين مجهزان بشكل صحيح، وتم توفير عصا بديلة قياسية.</v>
      </c>
    </row>
    <row r="60">
      <c r="A60" s="3">
        <v>59.0</v>
      </c>
      <c r="B60" s="4" t="s">
        <v>838</v>
      </c>
      <c r="C60" s="4" t="s">
        <v>839</v>
      </c>
      <c r="D60" s="4" t="s">
        <v>840</v>
      </c>
      <c r="E60" s="4" t="s">
        <v>841</v>
      </c>
      <c r="G60" s="5" t="str">
        <f>IFERROR(__xludf.DUMMYFUNCTION("GOOGLETRANSLATE(A60, ""en"", ""ar"")"),"59")</f>
        <v>59</v>
      </c>
      <c r="H60" s="5" t="str">
        <f>IFERROR(__xludf.DUMMYFUNCTION("GOOGLETRANSLATE(B60, ""en"", ""ar"")"),"هل يجوز للمصارع أن يطبق أقفال المفاصل على أصابع اليدين أو القدمين؟")</f>
        <v>هل يجوز للمصارع أن يطبق أقفال المفاصل على أصابع اليدين أو القدمين؟</v>
      </c>
      <c r="I60" s="5" t="str">
        <f>IFERROR(__xludf.DUMMYFUNCTION("GOOGLETRANSLATE(C60, ""en"", ""ar"")"),"أ) نعم، يُسمح بقفل جميع المفاصل؛ ب) لا، التلاعب بالمفاصل الصغيرة غير قانوني؛ ج) فقط للإبهام؛ د) فقط إذا كان الخصم على الأرض")</f>
        <v>أ) نعم، يُسمح بقفل جميع المفاصل؛ ب) لا، التلاعب بالمفاصل الصغيرة غير قانوني؛ ج) فقط للإبهام؛ د) فقط إذا كان الخصم على الأرض</v>
      </c>
      <c r="J60" s="5" t="str">
        <f>IFERROR(__xludf.DUMMYFUNCTION("GOOGLETRANSLATE(D60, ""en"", ""ar"")"),"ب) لا، التلاعب بالمفاصل الصغيرة غير قانوني")</f>
        <v>ب) لا، التلاعب بالمفاصل الصغيرة غير قانوني</v>
      </c>
      <c r="K60" s="5" t="str">
        <f>IFERROR(__xludf.DUMMYFUNCTION("GOOGLETRANSLATE(E60, ""en"", ""ar"")"),"ولمنع الإصابات الخطيرة والدائمة، فإن الضغط على المفاصل الصغيرة مثل أصابع اليدين والقدمين يعد تقنية محظورة.")</f>
        <v>ولمنع الإصابات الخطيرة والدائمة، فإن الضغط على المفاصل الصغيرة مثل أصابع اليدين والقدمين يعد تقنية محظورة.</v>
      </c>
    </row>
    <row r="61">
      <c r="A61" s="3">
        <v>60.0</v>
      </c>
      <c r="B61" s="4" t="s">
        <v>842</v>
      </c>
      <c r="C61" s="4" t="s">
        <v>843</v>
      </c>
      <c r="D61" s="4" t="s">
        <v>844</v>
      </c>
      <c r="E61" s="4" t="s">
        <v>845</v>
      </c>
      <c r="G61" s="5" t="str">
        <f>IFERROR(__xludf.DUMMYFUNCTION("GOOGLETRANSLATE(A61, ""en"", ""ar"")"),"60")</f>
        <v>60</v>
      </c>
      <c r="H61" s="5" t="str">
        <f>IFERROR(__xludf.DUMMYFUNCTION("GOOGLETRANSLATE(B61, ""en"", ""ar"")"),"ماذا يحدث إذا وجد أن المصارع قد وضع مادة زلقة (مثل الزيت) على جسده قبل المباراة؟")</f>
        <v>ماذا يحدث إذا وجد أن المصارع قد وضع مادة زلقة (مثل الزيت) على جسده قبل المباراة؟</v>
      </c>
      <c r="I61" s="5" t="str">
        <f>IFERROR(__xludf.DUMMYFUNCTION("GOOGLETRANSLATE(C61, ""en"", ""ar"")"),"أ) يتم إصدار تحذير؛ ب) يجب على المصارع غسله؛ ج) يتم استبعاد المصارع على الفور؛ د) يُسمح للخصم بفعل الشيء نفسه")</f>
        <v>أ) يتم إصدار تحذير؛ ب) يجب على المصارع غسله؛ ج) يتم استبعاد المصارع على الفور؛ د) يُسمح للخصم بفعل الشيء نفسه</v>
      </c>
      <c r="J61" s="5" t="str">
        <f>IFERROR(__xludf.DUMMYFUNCTION("GOOGLETRANSLATE(D61, ""en"", ""ar"")"),"ج) يتم استبعاد المصارع فورًا")</f>
        <v>ج) يتم استبعاد المصارع فورًا</v>
      </c>
      <c r="K61" s="5" t="str">
        <f>IFERROR(__xludf.DUMMYFUNCTION("GOOGLETRANSLATE(E61, ""en"", ""ar"")"),"إن استخدام مواد غريبة للحصول على ميزة غير عادلة عن طريق جعل الإمساك بها صعبًا يُعتبر غشًا.")</f>
        <v>إن استخدام مواد غريبة للحصول على ميزة غير عادلة عن طريق جعل الإمساك بها صعبًا يُعتبر غشًا.</v>
      </c>
    </row>
    <row r="62">
      <c r="A62" s="3">
        <v>61.0</v>
      </c>
      <c r="B62" s="4" t="s">
        <v>846</v>
      </c>
      <c r="C62" s="4" t="s">
        <v>847</v>
      </c>
      <c r="D62" s="4" t="s">
        <v>848</v>
      </c>
      <c r="E62" s="4" t="s">
        <v>849</v>
      </c>
      <c r="G62" s="5" t="str">
        <f>IFERROR(__xludf.DUMMYFUNCTION("GOOGLETRANSLATE(A62, ""en"", ""ar"")"),"61")</f>
        <v>61</v>
      </c>
      <c r="H62" s="5" t="str">
        <f>IFERROR(__xludf.DUMMYFUNCTION("GOOGLETRANSLATE(B62, ""en"", ""ar"")"),"ما هو المصطلح الرسمي لمنطقة المصارعة أو الحلبة المخصصة؟")</f>
        <v>ما هو المصطلح الرسمي لمنطقة المصارعة أو الحلبة المخصصة؟</v>
      </c>
      <c r="I62" s="5" t="str">
        <f>IFERROR(__xludf.DUMMYFUNCTION("GOOGLETRANSLATE(C62, ""en"", ""ar"")"),"أ) الدائرة؛ ب) الحصيرة؛ ج) الحلبة؛ د) الساحة")</f>
        <v>أ) الدائرة؛ ب) الحصيرة؛ ج) الحلبة؛ د) الساحة</v>
      </c>
      <c r="J62" s="5" t="str">
        <f>IFERROR(__xludf.DUMMYFUNCTION("GOOGLETRANSLATE(D62, ""en"", ""ar"")"),"ج) الحلبا")</f>
        <v>ج) الحلبا</v>
      </c>
      <c r="K62" s="5" t="str">
        <f>IFERROR(__xludf.DUMMYFUNCTION("GOOGLETRANSLATE(E62, ""en"", ""ar"")"),"في سياق المصارعة السودانية والنوبية، غالبًا ما يُشار إلى الحلبة التقليدية باسم ""الحلبة"".")</f>
        <v>في سياق المصارعة السودانية والنوبية، غالبًا ما يُشار إلى الحلبة التقليدية باسم "الحلبة".</v>
      </c>
    </row>
    <row r="63">
      <c r="A63" s="3">
        <v>62.0</v>
      </c>
      <c r="B63" s="4" t="s">
        <v>850</v>
      </c>
      <c r="C63" s="4" t="s">
        <v>851</v>
      </c>
      <c r="D63" s="4" t="s">
        <v>852</v>
      </c>
      <c r="E63" s="4" t="s">
        <v>853</v>
      </c>
      <c r="G63" s="5" t="str">
        <f>IFERROR(__xludf.DUMMYFUNCTION("GOOGLETRANSLATE(A63, ""en"", ""ar"")"),"62")</f>
        <v>62</v>
      </c>
      <c r="H63" s="5" t="str">
        <f>IFERROR(__xludf.DUMMYFUNCTION("GOOGLETRANSLATE(B63, ""en"", ""ar"")"),"هل يشترط على المصارعين أن يلمسوا أيديهم أو عصيهم قبل بداية كل جولة؟")</f>
        <v>هل يشترط على المصارعين أن يلمسوا أيديهم أو عصيهم قبل بداية كل جولة؟</v>
      </c>
      <c r="I63" s="5" t="str">
        <f>IFERROR(__xludf.DUMMYFUNCTION("GOOGLETRANSLATE(C63, ""en"", ""ar"")"),"أ) لا، ليس مطلوبًا؛ ب) نعم، إنها علامة احترام إلزامية؛ ج) فقط في الجولة الأولى؛ د) فقط إذا طلب الحكم ذلك")</f>
        <v>أ) لا، ليس مطلوبًا؛ ب) نعم، إنها علامة احترام إلزامية؛ ج) فقط في الجولة الأولى؛ د) فقط إذا طلب الحكم ذلك</v>
      </c>
      <c r="J63" s="5" t="str">
        <f>IFERROR(__xludf.DUMMYFUNCTION("GOOGLETRANSLATE(D63, ""en"", ""ar"")"),"ب) نعم، إنها علامة احترام إلزامية.")</f>
        <v>ب) نعم، إنها علامة احترام إلزامية.</v>
      </c>
      <c r="K63" s="5" t="str">
        <f>IFERROR(__xludf.DUMMYFUNCTION("GOOGLETRANSLATE(E63, ""en"", ""ar"")"),"تعتبر اللمسة الطقسية أو التحية مطلوبة قبل المشاركة للدلالة على الروح الرياضية والاحترام المتبادل.")</f>
        <v>تعتبر اللمسة الطقسية أو التحية مطلوبة قبل المشاركة للدلالة على الروح الرياضية والاحترام المتبادل.</v>
      </c>
    </row>
    <row r="64">
      <c r="A64" s="3">
        <v>63.0</v>
      </c>
      <c r="B64" s="4" t="s">
        <v>854</v>
      </c>
      <c r="C64" s="4" t="s">
        <v>855</v>
      </c>
      <c r="D64" s="4" t="s">
        <v>856</v>
      </c>
      <c r="E64" s="4" t="s">
        <v>857</v>
      </c>
      <c r="G64" s="5" t="str">
        <f>IFERROR(__xludf.DUMMYFUNCTION("GOOGLETRANSLATE(A64, ""en"", ""ar"")"),"63")</f>
        <v>63</v>
      </c>
      <c r="H64" s="5" t="str">
        <f>IFERROR(__xludf.DUMMYFUNCTION("GOOGLETRANSLATE(B64, ""en"", ""ar"")"),"إذا فاز المصارع بنقطة ثم سخر من خصمه بطريقة غير محترمة، ما هو الإجراء الذي يمكن للحكم اتخاذه؟")</f>
        <v>إذا فاز المصارع بنقطة ثم سخر من خصمه بطريقة غير محترمة، ما هو الإجراء الذي يمكن للحكم اتخاذه؟</v>
      </c>
      <c r="I64" s="5" t="str">
        <f>IFERROR(__xludf.DUMMYFUNCTION("GOOGLETRANSLATE(C64, ""en"", ""ar"")"),"أ) لم يتم اتخاذ أي إجراء؛ ب) تم إلغاء نقطة المصارع؛ ج) تم إعطاء المصارع تحذيرًا رسميًا بسبب السلوك غير الرياضي؛ د) تم منح نقطة إضافية للخصم")</f>
        <v>أ) لم يتم اتخاذ أي إجراء؛ ب) تم إلغاء نقطة المصارع؛ ج) تم إعطاء المصارع تحذيرًا رسميًا بسبب السلوك غير الرياضي؛ د) تم منح نقطة إضافية للخصم</v>
      </c>
      <c r="J64" s="5" t="str">
        <f>IFERROR(__xludf.DUMMYFUNCTION("GOOGLETRANSLATE(D64, ""en"", ""ar"")"),"ج) يتم إعطاء المصارع تحذيرًا رسميًا بسبب السلوك غير الرياضي")</f>
        <v>ج) يتم إعطاء المصارع تحذيرًا رسميًا بسبب السلوك غير الرياضي</v>
      </c>
      <c r="K64" s="5" t="str">
        <f>IFERROR(__xludf.DUMMYFUNCTION("GOOGLETRANSLATE(E64, ""en"", ""ar"")"),"في حين أن النقطة المسجلة قد تظل قائمة، فإن أي فعل من أفعال عدم الاحترام يعد جريمة منفصلة يعاقب عليها بتحذير أو خصم نقاط.")</f>
        <v>في حين أن النقطة المسجلة قد تظل قائمة، فإن أي فعل من أفعال عدم الاحترام يعد جريمة منفصلة يعاقب عليها بتحذير أو خصم نقاط.</v>
      </c>
    </row>
    <row r="65">
      <c r="A65" s="3">
        <v>64.0</v>
      </c>
      <c r="B65" s="4" t="s">
        <v>858</v>
      </c>
      <c r="C65" s="4" t="s">
        <v>859</v>
      </c>
      <c r="D65" s="4" t="s">
        <v>860</v>
      </c>
      <c r="E65" s="4" t="s">
        <v>861</v>
      </c>
      <c r="G65" s="5" t="str">
        <f>IFERROR(__xludf.DUMMYFUNCTION("GOOGLETRANSLATE(A65, ""en"", ""ar"")"),"64")</f>
        <v>64</v>
      </c>
      <c r="H65" s="5" t="str">
        <f>IFERROR(__xludf.DUMMYFUNCTION("GOOGLETRANSLATE(B65, ""en"", ""ar"")"),"هل هناك قواعد محددة بشأن نوع الأحذية المسموح بها، إن وجدت؟")</f>
        <v>هل هناك قواعد محددة بشأن نوع الأحذية المسموح بها، إن وجدت؟</v>
      </c>
      <c r="I65" s="5" t="str">
        <f>IFERROR(__xludf.DUMMYFUNCTION("GOOGLETRANSLATE(C65, ""en"", ""ar"")"),"أ) يجب أن يكون المصارعون حفاة الأقدام؛ ب) يُسمح بأي نوع من الأحذية الرياضية؛ ج) يُسمح فقط بالنعال الجلدية الناعمة؛ د) لا توجد قواعد بشأن الأحذية")</f>
        <v>أ) يجب أن يكون المصارعون حفاة الأقدام؛ ب) يُسمح بأي نوع من الأحذية الرياضية؛ ج) يُسمح فقط بالنعال الجلدية الناعمة؛ د) لا توجد قواعد بشأن الأحذية</v>
      </c>
      <c r="J65" s="5" t="str">
        <f>IFERROR(__xludf.DUMMYFUNCTION("GOOGLETRANSLATE(D65, ""en"", ""ar"")"),"أ) يجب على المصارعين أن يكونوا حفاة القدمين")</f>
        <v>أ) يجب على المصارعين أن يكونوا حفاة القدمين</v>
      </c>
      <c r="K65" s="5" t="str">
        <f>IFERROR(__xludf.DUMMYFUNCTION("GOOGLETRANSLATE(E65, ""en"", ""ar"")"),"يتم ممارسة المصارعة النوبية التقليدية حافي القدمين للحفاظ على الاتصال بالأرض ولأسباب تتعلق بالسلامة.")</f>
        <v>يتم ممارسة المصارعة النوبية التقليدية حافي القدمين للحفاظ على الاتصال بالأرض ولأسباب تتعلق بالسلامة.</v>
      </c>
    </row>
    <row r="66">
      <c r="A66" s="3">
        <v>65.0</v>
      </c>
      <c r="B66" s="4" t="s">
        <v>862</v>
      </c>
      <c r="C66" s="4" t="s">
        <v>863</v>
      </c>
      <c r="D66" s="4" t="s">
        <v>864</v>
      </c>
      <c r="E66" s="4" t="s">
        <v>865</v>
      </c>
      <c r="G66" s="5" t="str">
        <f>IFERROR(__xludf.DUMMYFUNCTION("GOOGLETRANSLATE(A66, ""en"", ""ar"")"),"65")</f>
        <v>65</v>
      </c>
      <c r="H66" s="5" t="str">
        <f>IFERROR(__xludf.DUMMYFUNCTION("GOOGLETRANSLATE(B66, ""en"", ""ar"")"),"ما هو الإجراء إذا ضرب المصارع الحكم بعصاه عن طريق الخطأ؟")</f>
        <v>ما هو الإجراء إذا ضرب المصارع الحكم بعصاه عن طريق الخطأ؟</v>
      </c>
      <c r="I66" s="5" t="str">
        <f>IFERROR(__xludf.DUMMYFUNCTION("GOOGLETRANSLATE(C66, ""en"", ""ar"")"),"أ) يتم استبعاد المصارع على الفور؛ ب) تستمر المباراة كما لو كانت حادثًا؛ ج) يتم إيقاف المباراة مؤقتًا، ويتم إصدار تحذير؛ د) يتم خصم نقطة من المصارع")</f>
        <v>أ) يتم استبعاد المصارع على الفور؛ ب) تستمر المباراة كما لو كانت حادثًا؛ ج) يتم إيقاف المباراة مؤقتًا، ويتم إصدار تحذير؛ د) يتم خصم نقطة من المصارع</v>
      </c>
      <c r="J66" s="5" t="str">
        <f>IFERROR(__xludf.DUMMYFUNCTION("GOOGLETRANSLATE(D66, ""en"", ""ar"")"),"ج) يتم إيقاف المباراة مؤقتًا ويتم إصدار تحذير")</f>
        <v>ج) يتم إيقاف المباراة مؤقتًا ويتم إصدار تحذير</v>
      </c>
      <c r="K66" s="5" t="str">
        <f>IFERROR(__xludf.DUMMYFUNCTION("GOOGLETRANSLATE(E66, ""en"", ""ar"")"),"حتى لو كان ذلك عن طريق الخطأ، فإن الاتصال بالحكم يعد خطأ خطيرًا يتطلب التوقف وتوجيه تحذير رسمي.")</f>
        <v>حتى لو كان ذلك عن طريق الخطأ، فإن الاتصال بالحكم يعد خطأ خطيرًا يتطلب التوقف وتوجيه تحذير رسمي.</v>
      </c>
    </row>
    <row r="67">
      <c r="A67" s="3">
        <v>66.0</v>
      </c>
      <c r="B67" s="4" t="s">
        <v>866</v>
      </c>
      <c r="C67" s="4" t="s">
        <v>867</v>
      </c>
      <c r="D67" s="4" t="s">
        <v>868</v>
      </c>
      <c r="E67" s="4" t="s">
        <v>869</v>
      </c>
      <c r="G67" s="5" t="str">
        <f>IFERROR(__xludf.DUMMYFUNCTION("GOOGLETRANSLATE(A67, ""en"", ""ar"")"),"66")</f>
        <v>66</v>
      </c>
      <c r="H67" s="5" t="str">
        <f>IFERROR(__xludf.DUMMYFUNCTION("GOOGLETRANSLATE(B67, ""en"", ""ar"")"),"هل يجوز استعمال عصا الخصم ضده إذا كان أعزلاً؟")</f>
        <v>هل يجوز استعمال عصا الخصم ضده إذا كان أعزلاً؟</v>
      </c>
      <c r="I67" s="5" t="str">
        <f>IFERROR(__xludf.DUMMYFUNCTION("GOOGLETRANSLATE(C67, ""en"", ""ar"")"),"أ) نعم، إنها تكتيك ذكي؛ ب) لا، لا يمكن للمصارع استخدام عصاه إلا؛ ج) فقط إذا تم إلقاء الخصم على الأرض؛ د) فقط لضربة واحدة")</f>
        <v>أ) نعم، إنها تكتيك ذكي؛ ب) لا، لا يمكن للمصارع استخدام عصاه إلا؛ ج) فقط إذا تم إلقاء الخصم على الأرض؛ د) فقط لضربة واحدة</v>
      </c>
      <c r="J67" s="5" t="str">
        <f>IFERROR(__xludf.DUMMYFUNCTION("GOOGLETRANSLATE(D67, ""en"", ""ar"")"),"ب) لا، لا يمكن للمصارع استخدام عصاه إلا")</f>
        <v>ب) لا، لا يمكن للمصارع استخدام عصاه إلا</v>
      </c>
      <c r="K67" s="5" t="str">
        <f>IFERROR(__xludf.DUMMYFUNCTION("GOOGLETRANSLATE(E67, ""en"", ""ar"")"),"لا يجوز للمصارع استخدام سلاح خصمه. إذا كان سلاحه معزولًا، فعليه التركيز على الدفاع حتى تتوقف المباراة مؤقتًا، وإلا فسيتمكن من استعادة عصاه.")</f>
        <v>لا يجوز للمصارع استخدام سلاح خصمه. إذا كان سلاحه معزولًا، فعليه التركيز على الدفاع حتى تتوقف المباراة مؤقتًا، وإلا فسيتمكن من استعادة عصاه.</v>
      </c>
    </row>
    <row r="68">
      <c r="A68" s="3">
        <v>67.0</v>
      </c>
      <c r="B68" s="4" t="s">
        <v>870</v>
      </c>
      <c r="C68" s="4" t="s">
        <v>871</v>
      </c>
      <c r="D68" s="4" t="s">
        <v>872</v>
      </c>
      <c r="E68" s="4" t="s">
        <v>873</v>
      </c>
      <c r="G68" s="5" t="str">
        <f>IFERROR(__xludf.DUMMYFUNCTION("GOOGLETRANSLATE(A68, ""en"", ""ar"")"),"67")</f>
        <v>67</v>
      </c>
      <c r="H68" s="5" t="str">
        <f>IFERROR(__xludf.DUMMYFUNCTION("GOOGLETRANSLATE(B68, ""en"", ""ar"")"),"ما حكم المصارع إذا كان سلبيا بشكل واضح ويتجنب المشاركة لمدة طويلة؟")</f>
        <v>ما حكم المصارع إذا كان سلبيا بشكل واضح ويتجنب المشاركة لمدة طويلة؟</v>
      </c>
      <c r="I68" s="5" t="str">
        <f>IFERROR(__xludf.DUMMYFUNCTION("GOOGLETRANSLATE(C68, ""en"", ""ar"")"),"أ) هذه استراتيجية دفاعية صالحة؛ ب) سيصدر الحكم تحذيرًا بسبب السلبية؛ ج) يخسر المصارع المباراة تلقائيًا؛ د) يقرر الجمهور ما إذا كانت سلبية أم لا")</f>
        <v>أ) هذه استراتيجية دفاعية صالحة؛ ب) سيصدر الحكم تحذيرًا بسبب السلبية؛ ج) يخسر المصارع المباراة تلقائيًا؛ د) يقرر الجمهور ما إذا كانت سلبية أم لا</v>
      </c>
      <c r="J68" s="5" t="str">
        <f>IFERROR(__xludf.DUMMYFUNCTION("GOOGLETRANSLATE(D68, ""en"", ""ar"")"),"ب) يصدر الحكم تحذيرًا بسبب السلبية")</f>
        <v>ب) يصدر الحكم تحذيرًا بسبب السلبية</v>
      </c>
      <c r="K68" s="5" t="str">
        <f>IFERROR(__xludf.DUMMYFUNCTION("GOOGLETRANSLATE(E68, ""en"", ""ar"")"),"يجب على المصارع المشاركة بفعالية في المباراة. سيؤدي الرفض المستمر للمشاركة إلى إنذار رسمي بسبب السلبية.")</f>
        <v>يجب على المصارع المشاركة بفعالية في المباراة. سيؤدي الرفض المستمر للمشاركة إلى إنذار رسمي بسبب السلبية.</v>
      </c>
    </row>
    <row r="69">
      <c r="A69" s="3">
        <v>68.0</v>
      </c>
      <c r="B69" s="4" t="s">
        <v>874</v>
      </c>
      <c r="C69" s="4" t="s">
        <v>875</v>
      </c>
      <c r="D69" s="4" t="s">
        <v>876</v>
      </c>
      <c r="E69" s="4" t="s">
        <v>877</v>
      </c>
      <c r="G69" s="5" t="str">
        <f>IFERROR(__xludf.DUMMYFUNCTION("GOOGLETRANSLATE(A69, ""en"", ""ar"")"),"68")</f>
        <v>68</v>
      </c>
      <c r="H69" s="5" t="str">
        <f>IFERROR(__xludf.DUMMYFUNCTION("GOOGLETRANSLATE(B69, ""en"", ""ar"")"),"هل هناك قواعد بشأن الحد الأدنى أو الأقصى لوزن المصارعين؟")</f>
        <v>هل هناك قواعد بشأن الحد الأدنى أو الأقصى لوزن المصارعين؟</v>
      </c>
      <c r="I69" s="5" t="str">
        <f>IFERROR(__xludf.DUMMYFUNCTION("GOOGLETRANSLATE(C69, ""en"", ""ar"")"),"أ) نعم، هناك فئات وزن صارمة؛ ب) لا، يمكن للمصارعين من أي وزن التنافس ضد بعضهم البعض؛ ج) فقط في بطولات البطولة؛ د) فقط للمصارعين الذين تقل أعمارهم عن 18 عامًا")</f>
        <v>أ) نعم، هناك فئات وزن صارمة؛ ب) لا، يمكن للمصارعين من أي وزن التنافس ضد بعضهم البعض؛ ج) فقط في بطولات البطولة؛ د) فقط للمصارعين الذين تقل أعمارهم عن 18 عامًا</v>
      </c>
      <c r="J69" s="5" t="str">
        <f>IFERROR(__xludf.DUMMYFUNCTION("GOOGLETRANSLATE(D69, ""en"", ""ar"")"),"ب) لا، يمكن للمصارعين من أي وزن التنافس ضد بعضهم البعض")</f>
        <v>ب) لا، يمكن للمصارعين من أي وزن التنافس ضد بعضهم البعض</v>
      </c>
      <c r="K69" s="5" t="str">
        <f>IFERROR(__xludf.DUMMYFUNCTION("GOOGLETRANSLATE(E69, ""en"", ""ar"")"),"لا تستخدم المصارعة النوبية التقليدية فئات الوزن الحديثة، مما يجعلها اختبارًا للمهارة ضد خصوم أكبر حجمًا.")</f>
        <v>لا تستخدم المصارعة النوبية التقليدية فئات الوزن الحديثة، مما يجعلها اختبارًا للمهارة ضد خصوم أكبر حجمًا.</v>
      </c>
    </row>
    <row r="70">
      <c r="A70" s="3">
        <v>69.0</v>
      </c>
      <c r="B70" s="4" t="s">
        <v>878</v>
      </c>
      <c r="C70" s="4" t="s">
        <v>879</v>
      </c>
      <c r="D70" s="4" t="s">
        <v>880</v>
      </c>
      <c r="E70" s="4" t="s">
        <v>881</v>
      </c>
      <c r="G70" s="5" t="str">
        <f>IFERROR(__xludf.DUMMYFUNCTION("GOOGLETRANSLATE(A70, ""en"", ""ar"")"),"69")</f>
        <v>69</v>
      </c>
      <c r="H70" s="5" t="str">
        <f>IFERROR(__xludf.DUMMYFUNCTION("GOOGLETRANSLATE(B70, ""en"", ""ar"")"),"ماذا يحدث إذا صرخ مدرب المصارع أو مساعده بالتعليمات أثناء المباراة؟")</f>
        <v>ماذا يحدث إذا صرخ مدرب المصارع أو مساعده بالتعليمات أثناء المباراة؟</v>
      </c>
      <c r="I70" s="5" t="str">
        <f>IFERROR(__xludf.DUMMYFUNCTION("GOOGLETRANSLATE(C70, ""en"", ""ar"")"),"أ) هذا غير مسموح به؛ ب) هذه ممارسة قياسية ومسموح بها؛ ج) يُسمح فقط بالأوامر المكونة من كلمة واحدة؛ د) فقط إذا كان المصارع في وضع دفاعي")</f>
        <v>أ) هذا غير مسموح به؛ ب) هذه ممارسة قياسية ومسموح بها؛ ج) يُسمح فقط بالأوامر المكونة من كلمة واحدة؛ د) فقط إذا كان المصارع في وضع دفاعي</v>
      </c>
      <c r="J70" s="5" t="str">
        <f>IFERROR(__xludf.DUMMYFUNCTION("GOOGLETRANSLATE(D70, ""en"", ""ar"")"),"ب) هذه ممارسة قياسية ومسموح بها")</f>
        <v>ب) هذه ممارسة قياسية ومسموح بها</v>
      </c>
      <c r="K70" s="5" t="str">
        <f>IFERROR(__xludf.DUMMYFUNCTION("GOOGLETRANSLATE(E70, ""en"", ""ar"")"),"يُسمح للمدربين بتقديم التعليمات التكتيكية من منطقتهم المخصصة أثناء المباراة.")</f>
        <v>يُسمح للمدربين بتقديم التعليمات التكتيكية من منطقتهم المخصصة أثناء المباراة.</v>
      </c>
    </row>
    <row r="71">
      <c r="A71" s="3">
        <v>70.0</v>
      </c>
      <c r="B71" s="4" t="s">
        <v>882</v>
      </c>
      <c r="C71" s="4" t="s">
        <v>883</v>
      </c>
      <c r="D71" s="4" t="s">
        <v>884</v>
      </c>
      <c r="E71" s="4" t="s">
        <v>885</v>
      </c>
      <c r="G71" s="5" t="str">
        <f>IFERROR(__xludf.DUMMYFUNCTION("GOOGLETRANSLATE(A71, ""en"", ""ar"")"),"70")</f>
        <v>70</v>
      </c>
      <c r="H71" s="5" t="str">
        <f>IFERROR(__xludf.DUMMYFUNCTION("GOOGLETRANSLATE(B71, ""en"", ""ar"")"),"كيف يتم تحديد الفائز إذا انتهت المباراة بسبب إصابة مزدوجة حيث لا يستطيع أي من المصارعين الاستمرار؟")</f>
        <v>كيف يتم تحديد الفائز إذا انتهت المباراة بسبب إصابة مزدوجة حيث لا يستطيع أي من المصارعين الاستمرار؟</v>
      </c>
      <c r="I71" s="5" t="str">
        <f>IFERROR(__xludf.DUMMYFUNCTION("GOOGLETRANSLATE(C71, ""en"", ""ar"")"),"أ)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f>
        <v>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v>
      </c>
      <c r="J71" s="5" t="str">
        <f>IFERROR(__xludf.DUMMYFUNCTION("GOOGLETRANSLATE(D71, ""en"", ""ar"")"),"ب) تم إعلان المباراة بالتعادل أو عدم وجود منافسة")</f>
        <v>ب) تم إعلان المباراة بالتعادل أو عدم وجود منافسة</v>
      </c>
      <c r="K71" s="5" t="str">
        <f>IFERROR(__xludf.DUMMYFUNCTION("GOOGLETRANSLATE(E71, ""en"", ""ar"")"),"إذا لم يكن من الممكن إكمال المباراة بسبب إصابة متزامنة وعرضية لكلا المتنافسين، فمن المعتاد أن يتم الحكم عليها بأنها لا تنافس.")</f>
        <v>إذا لم يكن من الممكن إكمال المباراة بسبب إصابة متزامنة وعرضية لكلا المتنافسين، فمن المعتاد أن يتم الحكم عليها بأنها لا تنافس.</v>
      </c>
    </row>
    <row r="72">
      <c r="A72" s="3">
        <v>71.0</v>
      </c>
      <c r="B72" s="4" t="s">
        <v>886</v>
      </c>
      <c r="C72" s="4" t="s">
        <v>887</v>
      </c>
      <c r="D72" s="4" t="s">
        <v>888</v>
      </c>
      <c r="E72" s="4" t="s">
        <v>889</v>
      </c>
      <c r="G72" s="5" t="str">
        <f>IFERROR(__xludf.DUMMYFUNCTION("GOOGLETRANSLATE(A72, ""en"", ""ar"")"),"71")</f>
        <v>71</v>
      </c>
      <c r="H72" s="5" t="str">
        <f>IFERROR(__xludf.DUMMYFUNCTION("GOOGLETRANSLATE(B72, ""en"", ""ar"")"),"هل يجوز ضرب الخصم وهو على الأرض؟")</f>
        <v>هل يجوز ضرب الخصم وهو على الأرض؟</v>
      </c>
      <c r="I72" s="5" t="str">
        <f>IFERROR(__xludf.DUMMYFUNCTION("GOOGLETRANSLATE(C72, ""en"", ""ar"")"),"أ) نعم، الضربات الأرضية مسموح بها؛ ب) لا، لا يجوز ضرب المصارع على الأرض؛ ج) فقط بيد مفتوحة؛ د) فقط للجسم، وليس للرأس")</f>
        <v>أ) نعم، الضربات الأرضية مسموح بها؛ ب) لا، لا يجوز ضرب المصارع على الأرض؛ ج) فقط بيد مفتوحة؛ د) فقط للجسم، وليس للرأس</v>
      </c>
      <c r="J72" s="5" t="str">
        <f>IFERROR(__xludf.DUMMYFUNCTION("GOOGLETRANSLATE(D72, ""en"", ""ar"")"),"ب) لا، لا يجوز ضرب المصارع على الأرض.")</f>
        <v>ب) لا، لا يجوز ضرب المصارع على الأرض.</v>
      </c>
      <c r="K72" s="5" t="str">
        <f>IFERROR(__xludf.DUMMYFUNCTION("GOOGLETRANSLATE(E72, ""en"", ""ar"")"),"بمجرد أن يُسقط المصارع ظهره على الأرض، عادةً ما تنتهي المعركة. ضرب الخصم المُسقط يُعدّ خطأً جسيمًا.")</f>
        <v>بمجرد أن يُسقط المصارع ظهره على الأرض، عادةً ما تنتهي المعركة. ضرب الخصم المُسقط يُعدّ خطأً جسيمًا.</v>
      </c>
    </row>
    <row r="73">
      <c r="A73" s="3">
        <v>72.0</v>
      </c>
      <c r="B73" s="4" t="s">
        <v>890</v>
      </c>
      <c r="C73" s="4" t="s">
        <v>891</v>
      </c>
      <c r="D73" s="4" t="s">
        <v>892</v>
      </c>
      <c r="E73" s="4" t="s">
        <v>893</v>
      </c>
      <c r="G73" s="5" t="str">
        <f>IFERROR(__xludf.DUMMYFUNCTION("GOOGLETRANSLATE(A73, ""en"", ""ar"")"),"72")</f>
        <v>72</v>
      </c>
      <c r="H73" s="5" t="str">
        <f>IFERROR(__xludf.DUMMYFUNCTION("GOOGLETRANSLATE(B73, ""en"", ""ar"")"),"ما هو حكم سحب الشعر أو الإمساك به؟")</f>
        <v>ما هو حكم سحب الشعر أو الإمساك به؟</v>
      </c>
      <c r="I73" s="5" t="str">
        <f>IFERROR(__xludf.DUMMYFUNCTION("GOOGLETRANSLATE(C73, ""en"", ""ar"")"),"أ) إنها وسيلة قانونية للسيطرة؛ ب) ممنوع منعًا باتًا؛ ج) فقط إذا كان الشعر طويلًا؛ د) فقط للدفاع عن النفس")</f>
        <v>أ) إنها وسيلة قانونية للسيطرة؛ ب) ممنوع منعًا باتًا؛ ج) فقط إذا كان الشعر طويلًا؛ د) فقط للدفاع عن النفس</v>
      </c>
      <c r="J73" s="5" t="str">
        <f>IFERROR(__xludf.DUMMYFUNCTION("GOOGLETRANSLATE(D73, ""en"", ""ar"")"),"ب) ممنوع منعاً باتاً")</f>
        <v>ب) ممنوع منعاً باتاً</v>
      </c>
      <c r="K73" s="5" t="str">
        <f>IFERROR(__xludf.DUMMYFUNCTION("GOOGLETRANSLATE(E73, ""en"", ""ar"")"),"يعتبر سحب الشعر خطأ غير رياضي وغير قانوني.")</f>
        <v>يعتبر سحب الشعر خطأ غير رياضي وغير قانوني.</v>
      </c>
    </row>
    <row r="74">
      <c r="A74" s="3">
        <v>73.0</v>
      </c>
      <c r="B74" s="4" t="s">
        <v>894</v>
      </c>
      <c r="C74" s="4" t="s">
        <v>895</v>
      </c>
      <c r="D74" s="4" t="s">
        <v>896</v>
      </c>
      <c r="E74" s="4" t="s">
        <v>897</v>
      </c>
      <c r="G74" s="5" t="str">
        <f>IFERROR(__xludf.DUMMYFUNCTION("GOOGLETRANSLATE(A74, ""en"", ""ar"")"),"73")</f>
        <v>73</v>
      </c>
      <c r="H74" s="5" t="str">
        <f>IFERROR(__xludf.DUMMYFUNCTION("GOOGLETRANSLATE(B74, ""en"", ""ar"")"),"إذا كان المصارع يعتقد أن الحكم اتخذ قرارًا خاطئًا، ما هو الإجراء الصحيح؟")</f>
        <v>إذا كان المصارع يعتقد أن الحكم اتخذ قرارًا خاطئًا، ما هو الإجراء الصحيح؟</v>
      </c>
      <c r="I74" s="5" t="str">
        <f>IFERROR(__xludf.DUMMYFUNCTION("GOOGLETRANSLATE(C74, ""en"", ""ar"")"),"أ) يجب عليهم إيقاف القتال والجدال؛ ب) يمكنهم الاستئناف من خلال مدربهم بعد المباراة؛ ج) يمكنهم سؤال الجمهور عن رأيهم؛ د) قرار الحكم دائمًا نهائي ولا يمكن استئنافه")</f>
        <v>أ) يجب عليهم إيقاف القتال والجدال؛ ب) يمكنهم الاستئناف من خلال مدربهم بعد المباراة؛ ج) يمكنهم سؤال الجمهور عن رأيهم؛ د) قرار الحكم دائمًا نهائي ولا يمكن استئنافه</v>
      </c>
      <c r="J74" s="5" t="str">
        <f>IFERROR(__xludf.DUMMYFUNCTION("GOOGLETRANSLATE(D74, ""en"", ""ar"")"),"ب) يمكنهم الاستئناف من خلال مدربهم بعد المباراة")</f>
        <v>ب) يمكنهم الاستئناف من خلال مدربهم بعد المباراة</v>
      </c>
      <c r="K74" s="5" t="str">
        <f>IFERROR(__xludf.DUMMYFUNCTION("GOOGLETRANSLATE(E74, ""en"", ""ar"")"),"يجب تقديم الاحتجاج الرسمي عبر القنوات المناسبة بعد انتهاء المباراة، وليس أثناء القتال.")</f>
        <v>يجب تقديم الاحتجاج الرسمي عبر القنوات المناسبة بعد انتهاء المباراة، وليس أثناء القتال.</v>
      </c>
    </row>
    <row r="75">
      <c r="A75" s="3">
        <v>74.0</v>
      </c>
      <c r="B75" s="4" t="s">
        <v>898</v>
      </c>
      <c r="C75" s="4" t="s">
        <v>899</v>
      </c>
      <c r="D75" s="4" t="s">
        <v>900</v>
      </c>
      <c r="E75" s="4" t="s">
        <v>901</v>
      </c>
      <c r="G75" s="5" t="str">
        <f>IFERROR(__xludf.DUMMYFUNCTION("GOOGLETRANSLATE(A75, ""en"", ""ar"")"),"74")</f>
        <v>74</v>
      </c>
      <c r="H75" s="5" t="str">
        <f>IFERROR(__xludf.DUMMYFUNCTION("GOOGLETRANSLATE(B75, ""en"", ""ar"")"),"هل هناك قواعد محددة حول مواقف البداية أو المواقف للمصارعين في بداية الجولة؟")</f>
        <v>هل هناك قواعد محددة حول مواقف البداية أو المواقف للمصارعين في بداية الجولة؟</v>
      </c>
      <c r="I75" s="5" t="str">
        <f>IFERROR(__xludf.DUMMYFUNCTION("GOOGLETRANSLATE(C75, ""en"", ""ar"")"),"أ)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f>
        <v>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v>
      </c>
      <c r="J75" s="5" t="str">
        <f>IFERROR(__xludf.DUMMYFUNCTION("GOOGLETRANSLATE(D75, ""en"", ""ar"")"),"ب) نعم، يجب أن يبدأوا في وضع محايد ومواجه.")</f>
        <v>ب) نعم، يجب أن يبدأوا في وضع محايد ومواجه.</v>
      </c>
      <c r="K75" s="5" t="str">
        <f>IFERROR(__xludf.DUMMYFUNCTION("GOOGLETRANSLATE(E75, ""en"", ""ar"")"),"ولضمان بداية عادلة، يتعين على المصارعين البدء في وضع محايد موحد وفقًا لتعليمات الحكم.")</f>
        <v>ولضمان بداية عادلة، يتعين على المصارعين البدء في وضع محايد موحد وفقًا لتعليمات الحكم.</v>
      </c>
    </row>
    <row r="76">
      <c r="A76" s="3">
        <v>75.0</v>
      </c>
      <c r="B76" s="4" t="s">
        <v>902</v>
      </c>
      <c r="C76" s="4" t="s">
        <v>903</v>
      </c>
      <c r="D76" s="4" t="s">
        <v>904</v>
      </c>
      <c r="E76" s="4" t="s">
        <v>905</v>
      </c>
      <c r="G76" s="5" t="str">
        <f>IFERROR(__xludf.DUMMYFUNCTION("GOOGLETRANSLATE(A76, ""en"", ""ar"")"),"75")</f>
        <v>75</v>
      </c>
      <c r="H76" s="5" t="str">
        <f>IFERROR(__xludf.DUMMYFUNCTION("GOOGLETRANSLATE(B76, ""en"", ""ar"")"),"ما هي عقوبة المصارع الذي يتظاهر بالإصابة لإيقاف المباراة؟")</f>
        <v>ما هي عقوبة المصارع الذي يتظاهر بالإصابة لإيقاف المباراة؟</v>
      </c>
      <c r="I76" s="5" t="str">
        <f>IFERROR(__xludf.DUMMYFUNCTION("GOOGLETRANSLATE(C76, ""en"", ""ar"")"),"أ) تحذير؛ ب) الاستبعاد بسبب السلوك غير الرياضي؛ ج) خصم نقطة؛ د) إعادة بدء المباراة")</f>
        <v>أ) تحذير؛ ب) الاستبعاد بسبب السلوك غير الرياضي؛ ج) خصم نقطة؛ د) إعادة بدء المباراة</v>
      </c>
      <c r="J76" s="5" t="str">
        <f>IFERROR(__xludf.DUMMYFUNCTION("GOOGLETRANSLATE(D76, ""en"", ""ar"")"),"ب) الاستبعاد بسبب السلوك غير الرياضي")</f>
        <v>ب) الاستبعاد بسبب السلوك غير الرياضي</v>
      </c>
      <c r="K76" s="5" t="str">
        <f>IFERROR(__xludf.DUMMYFUNCTION("GOOGLETRANSLATE(E76, ""en"", ""ar"")"),"إن التظاهر بالإصابة يعد عملاً خطيراً من الغش وعدم الاحترام والذي قد يؤدي إلى الاستبعاد من المنافسة.")</f>
        <v>إن التظاهر بالإصابة يعد عملاً خطيراً من الغش وعدم الاحترام والذي قد يؤدي إلى الاستبعاد من المنافسة.</v>
      </c>
    </row>
    <row r="77">
      <c r="A77" s="3">
        <v>76.0</v>
      </c>
      <c r="B77" s="4" t="s">
        <v>906</v>
      </c>
      <c r="C77" s="4" t="s">
        <v>907</v>
      </c>
      <c r="D77" s="4" t="s">
        <v>908</v>
      </c>
      <c r="E77" s="4" t="s">
        <v>909</v>
      </c>
      <c r="G77" s="5" t="str">
        <f>IFERROR(__xludf.DUMMYFUNCTION("GOOGLETRANSLATE(A77, ""en"", ""ar"")"),"76")</f>
        <v>76</v>
      </c>
      <c r="H77" s="5" t="str">
        <f>IFERROR(__xludf.DUMMYFUNCTION("GOOGLETRANSLATE(B77, ""en"", ""ar"")"),"هل يجوز عرقلة الخصم باستخدام ساقك؟")</f>
        <v>هل يجوز عرقلة الخصم باستخدام ساقك؟</v>
      </c>
      <c r="I77" s="5" t="str">
        <f>IFERROR(__xludf.DUMMYFUNCTION("GOOGLETRANSLATE(C77, ""en"", ""ar"")"),"أ) نعم، التعثر هو تقنية أساسية؛ ب) لا، كل تعثرات الساق غير قانونية؛ ج) فقط إذا لم يتم استخدام العصا؛ د) فقط ضد الخصم المهاجم")</f>
        <v>أ) نعم، التعثر هو تقنية أساسية؛ ب) لا، كل تعثرات الساق غير قانونية؛ ج) فقط إذا لم يتم استخدام العصا؛ د) فقط ضد الخصم المهاجم</v>
      </c>
      <c r="J77" s="5" t="str">
        <f>IFERROR(__xludf.DUMMYFUNCTION("GOOGLETRANSLATE(D77, ""en"", ""ar"")"),"أ) نعم، التعثر هو تقنية أساسية")</f>
        <v>أ) نعم، التعثر هو تقنية أساسية</v>
      </c>
      <c r="K77" s="5" t="str">
        <f>IFERROR(__xludf.DUMMYFUNCTION("GOOGLETRANSLATE(E77, ""en"", ""ar"")"),"تشكل عمليات كنس الساق والتعثر جزءًا أساسيًا من جوانب المصارعة النوبية والإسقاط.")</f>
        <v>تشكل عمليات كنس الساق والتعثر جزءًا أساسيًا من جوانب المصارعة النوبية والإسقاط.</v>
      </c>
    </row>
    <row r="78">
      <c r="A78" s="3">
        <v>77.0</v>
      </c>
      <c r="B78" s="4" t="s">
        <v>910</v>
      </c>
      <c r="C78" s="4" t="s">
        <v>911</v>
      </c>
      <c r="D78" s="4" t="s">
        <v>912</v>
      </c>
      <c r="E78" s="4" t="s">
        <v>913</v>
      </c>
      <c r="G78" s="5" t="str">
        <f>IFERROR(__xludf.DUMMYFUNCTION("GOOGLETRANSLATE(A78, ""en"", ""ar"")"),"77")</f>
        <v>77</v>
      </c>
      <c r="H78" s="5" t="str">
        <f>IFERROR(__xludf.DUMMYFUNCTION("GOOGLETRANSLATE(B78, ""en"", ""ar"")"),"ما هي القاعدة إذا تم العثور على المصارع يرتدي مجوهرات (مثل خاتم أو قلادة) أثناء المباراة؟")</f>
        <v>ما هي القاعدة إذا تم العثور على المصارع يرتدي مجوهرات (مثل خاتم أو قلادة) أثناء المباراة؟</v>
      </c>
      <c r="I78" s="5" t="str">
        <f>IFERROR(__xludf.DUMMYFUNCTION("GOOGLETRANSLATE(C78, ""en"", ""ar"")"),"أ) تم إيقاف المباراة مؤقتًا، ويجب عليهم خلعها؛ ب) يُسمح لهم بارتدائها؛ ج) يجب عليهم تغطيتها بشريط لاصق؛ د) يؤدي ذلك إلى الاستبعاد الفوري")</f>
        <v>أ) تم إيقاف المباراة مؤقتًا، ويجب عليهم خلعها؛ ب) يُسمح لهم بارتدائها؛ ج) يجب عليهم تغطيتها بشريط لاصق؛ د) يؤدي ذلك إلى الاستبعاد الفوري</v>
      </c>
      <c r="J78" s="5" t="str">
        <f>IFERROR(__xludf.DUMMYFUNCTION("GOOGLETRANSLATE(D78, ""en"", ""ar"")"),"أ) تم إيقاف المباراة مؤقتًا ويجب إزالتها")</f>
        <v>أ) تم إيقاف المباراة مؤقتًا ويجب إزالتها</v>
      </c>
      <c r="K78" s="5" t="str">
        <f>IFERROR(__xludf.DUMMYFUNCTION("GOOGLETRANSLATE(E78, ""en"", ""ar"")"),"لأجل سلامة كلا المتنافسين، يجب إزالة كافة المجوهرات قبل بدء المباراة أو استمرارها.")</f>
        <v>لأجل سلامة كلا المتنافسين، يجب إزالة كافة المجوهرات قبل بدء المباراة أو استمرارها.</v>
      </c>
    </row>
    <row r="79">
      <c r="A79" s="3">
        <v>78.0</v>
      </c>
      <c r="B79" s="4" t="s">
        <v>914</v>
      </c>
      <c r="C79" s="4" t="s">
        <v>915</v>
      </c>
      <c r="D79" s="4" t="s">
        <v>916</v>
      </c>
      <c r="E79" s="4" t="s">
        <v>917</v>
      </c>
      <c r="G79" s="5" t="str">
        <f>IFERROR(__xludf.DUMMYFUNCTION("GOOGLETRANSLATE(A79, ""en"", ""ar"")"),"78")</f>
        <v>78</v>
      </c>
      <c r="H79" s="5" t="str">
        <f>IFERROR(__xludf.DUMMYFUNCTION("GOOGLETRANSLATE(B79, ""en"", ""ar"")"),"هل يمكن حسم المباراة بـ""السقوط الفني"" إذا كان أحد المصارعين مهيمناً بشكل ساحق؟")</f>
        <v>هل يمكن حسم المباراة بـ"السقوط الفني" إذا كان أحد المصارعين مهيمناً بشكل ساحق؟</v>
      </c>
      <c r="I79" s="5" t="str">
        <f>IFERROR(__xludf.DUMMYFUNCTION("GOOGLETRANSLATE(C79, ""en"", ""ar"")"),"أ) لا، يجب أن تستمر المباراة؛ ب) نعم، إذا كان هناك فارق كبير في النقاط؛ ج) فقط في مسابقات الشباب؛ د) يمكن للحكم أن يقرر إيقاف القتال")</f>
        <v>أ) لا، يجب أن تستمر المباراة؛ ب) نعم، إذا كان هناك فارق كبير في النقاط؛ ج) فقط في مسابقات الشباب؛ د) يمكن للحكم أن يقرر إيقاف القتال</v>
      </c>
      <c r="J79" s="5" t="str">
        <f>IFERROR(__xludf.DUMMYFUNCTION("GOOGLETRANSLATE(D79, ""en"", ""ar"")"),"د) يمكن للحكم أن يقرر إيقاف القتال")</f>
        <v>د) يمكن للحكم أن يقرر إيقاف القتال</v>
      </c>
      <c r="K79" s="5" t="str">
        <f>IFERROR(__xludf.DUMMYFUNCTION("GOOGLETRANSLATE(E79, ""en"", ""ar"")"),"إذا كان أحد المصارعين غير قادر على المنافسة تمامًا وكان معرضًا لخطر الإصابة، فيحق للحكم إيقاف المباراة لحمايته.")</f>
        <v>إذا كان أحد المصارعين غير قادر على المنافسة تمامًا وكان معرضًا لخطر الإصابة، فيحق للحكم إيقاف المباراة لحمايته.</v>
      </c>
    </row>
    <row r="80">
      <c r="A80" s="3">
        <v>79.0</v>
      </c>
      <c r="B80" s="4" t="s">
        <v>918</v>
      </c>
      <c r="C80" s="4" t="s">
        <v>919</v>
      </c>
      <c r="D80" s="4" t="s">
        <v>920</v>
      </c>
      <c r="E80" s="4" t="s">
        <v>921</v>
      </c>
      <c r="G80" s="5" t="str">
        <f>IFERROR(__xludf.DUMMYFUNCTION("GOOGLETRANSLATE(A80, ""en"", ""ar"")"),"79")</f>
        <v>79</v>
      </c>
      <c r="H80" s="5" t="str">
        <f>IFERROR(__xludf.DUMMYFUNCTION("GOOGLETRANSLATE(B80, ""en"", ""ar"")"),"ما هي العواقب إذا تدخل مدرب المصارع جسديًا في المباراة؟")</f>
        <v>ما هي العواقب إذا تدخل مدرب المصارع جسديًا في المباراة؟</v>
      </c>
      <c r="I80" s="5" t="str">
        <f>IFERROR(__xludf.DUMMYFUNCTION("GOOGLETRANSLATE(C80, ""en"", ""ar"")"),"أ) يتم تحذير المدرب؛ ب) يتم استبعاد المصارع على الفور؛ ج) يتم خصم نقطة؛ د) يتم طرد المدرب، ولكن تستمر المباراة")</f>
        <v>أ) يتم تحذير المدرب؛ ب) يتم استبعاد المصارع على الفور؛ ج) يتم خصم نقطة؛ د) يتم طرد المدرب، ولكن تستمر المباراة</v>
      </c>
      <c r="J80" s="5" t="str">
        <f>IFERROR(__xludf.DUMMYFUNCTION("GOOGLETRANSLATE(D80, ""en"", ""ar"")"),"ب) يتم استبعاد المصارع فورًا")</f>
        <v>ب) يتم استبعاد المصارع فورًا</v>
      </c>
      <c r="K80" s="5" t="str">
        <f>IFERROR(__xludf.DUMMYFUNCTION("GOOGLETRANSLATE(E80, ""en"", ""ar"")"),"يؤدي التدخل الجسدي من قبل المدرب أو أي عضو في الفريق إلى استبعاد المصارع على الفور.")</f>
        <v>يؤدي التدخل الجسدي من قبل المدرب أو أي عضو في الفريق إلى استبعاد المصارع على الفور.</v>
      </c>
    </row>
    <row r="81">
      <c r="A81" s="3">
        <v>80.0</v>
      </c>
      <c r="B81" s="4" t="s">
        <v>922</v>
      </c>
      <c r="C81" s="4" t="s">
        <v>923</v>
      </c>
      <c r="D81" s="4" t="s">
        <v>924</v>
      </c>
      <c r="E81" s="4" t="s">
        <v>925</v>
      </c>
      <c r="G81" s="5" t="str">
        <f>IFERROR(__xludf.DUMMYFUNCTION("GOOGLETRANSLATE(A81, ""en"", ""ar"")"),"80")</f>
        <v>80</v>
      </c>
      <c r="H81" s="5" t="str">
        <f>IFERROR(__xludf.DUMMYFUNCTION("GOOGLETRANSLATE(B81, ""en"", ""ar"")"),"هل هناك قواعد بشأن فارق السن بين المتنافسين في مباراة واحدة؟")</f>
        <v>هل هناك قواعد بشأن فارق السن بين المتنافسين في مباراة واحدة؟</v>
      </c>
      <c r="I81" s="5" t="str">
        <f>IFERROR(__xludf.DUMMYFUNCTION("GOOGLETRANSLATE(C81, ""en"", ""ar"")"),"أ)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f>
        <v>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v>
      </c>
      <c r="J81" s="5" t="str">
        <f>IFERROR(__xludf.DUMMYFUNCTION("GOOGLETRANSLATE(D81, ""en"", ""ar"")"),"ب) نعم، يجب أن يكونوا ضمن نفس الفئة العمرية")</f>
        <v>ب) نعم، يجب أن يكونوا ضمن نفس الفئة العمرية</v>
      </c>
      <c r="K81" s="5" t="str">
        <f>IFERROR(__xludf.DUMMYFUNCTION("GOOGLETRANSLATE(E81, ""en"", ""ar"")"),"يتم تقسيم المسابقات عادة إلى فئات عمرية (على سبيل المثال، صغار، كبار) لضمان مواجهات عادلة وآمنة.")</f>
        <v>يتم تقسيم المسابقات عادة إلى فئات عمرية (على سبيل المثال، صغار، كبار) لضمان مواجهات عادلة وآمنة.</v>
      </c>
    </row>
    <row r="82">
      <c r="A82" s="3">
        <v>81.0</v>
      </c>
      <c r="B82" s="4" t="s">
        <v>926</v>
      </c>
      <c r="C82" s="4" t="s">
        <v>927</v>
      </c>
      <c r="D82" s="4" t="s">
        <v>928</v>
      </c>
      <c r="E82" s="4" t="s">
        <v>929</v>
      </c>
      <c r="G82" s="5" t="str">
        <f>IFERROR(__xludf.DUMMYFUNCTION("GOOGLETRANSLATE(A82, ""en"", ""ar"")"),"81")</f>
        <v>81</v>
      </c>
      <c r="H82" s="5" t="str">
        <f>IFERROR(__xludf.DUMMYFUNCTION("GOOGLETRANSLATE(B82, ""en"", ""ar"")"),"ما هو القرار الرسمي إذا تمكن المصارع من تحقيق رمية الفوز عند سماع الإشارة النهائية؟")</f>
        <v>ما هو القرار الرسمي إذا تمكن المصارع من تحقيق رمية الفوز عند سماع الإشارة النهائية؟</v>
      </c>
      <c r="I82" s="5" t="str">
        <f>IFERROR(__xludf.DUMMYFUNCTION("GOOGLETRANSLATE(C82, ""en"", ""ar"")"),"أ) لا يتم احتساب الرمية؛ ب) تكون الرمية صحيحة ويفوز المصارع؛ ج) يتم لعب جولة إضافية؛ د) يعتمد الأمر على تقدير الحكم")</f>
        <v>أ) لا يتم احتساب الرمية؛ ب) تكون الرمية صحيحة ويفوز المصارع؛ ج) يتم لعب جولة إضافية؛ د) يعتمد الأمر على تقدير الحكم</v>
      </c>
      <c r="J82" s="5" t="str">
        <f>IFERROR(__xludf.DUMMYFUNCTION("GOOGLETRANSLATE(D82, ""en"", ""ar"")"),"ب) الرمية صحيحة ويفوز المصارع")</f>
        <v>ب) الرمية صحيحة ويفوز المصارع</v>
      </c>
      <c r="K82" s="5" t="str">
        <f>IFERROR(__xludf.DUMMYFUNCTION("GOOGLETRANSLATE(E82, ""en"", ""ar"")"),"تعتبر التقنية التي يتم تنفيذها بنجاح قبل أو في نفس اللحظة التي تظهر فيها إشارة إنهاء الجولة صالحة.")</f>
        <v>تعتبر التقنية التي يتم تنفيذها بنجاح قبل أو في نفس اللحظة التي تظهر فيها إشارة إنهاء الجولة صالحة.</v>
      </c>
    </row>
    <row r="83">
      <c r="A83" s="3">
        <v>82.0</v>
      </c>
      <c r="B83" s="4" t="s">
        <v>930</v>
      </c>
      <c r="C83" s="4" t="s">
        <v>931</v>
      </c>
      <c r="D83" s="4" t="s">
        <v>932</v>
      </c>
      <c r="E83" s="4" t="s">
        <v>933</v>
      </c>
      <c r="G83" s="5" t="str">
        <f>IFERROR(__xludf.DUMMYFUNCTION("GOOGLETRANSLATE(A83, ""en"", ""ar"")"),"82")</f>
        <v>82</v>
      </c>
      <c r="H83" s="5" t="str">
        <f>IFERROR(__xludf.DUMMYFUNCTION("GOOGLETRANSLATE(B83, ""en"", ""ar"")"),"هل يجوز للمصارع أن ينزع سلاح خصمه عمداً عن طريق ضرب عصاه؟")</f>
        <v>هل يجوز للمصارع أن ينزع سلاح خصمه عمداً عن طريق ضرب عصاه؟</v>
      </c>
      <c r="I83" s="5" t="str">
        <f>IFERROR(__xludf.DUMMYFUNCTION("GOOGLETRANSLATE(C83, ""en"", ""ar"")"),"أ) نعم، هذا تكتيك أساسي؛ ب) لا، ضرب العصا يعد خطأ؛ ج) فقط إذا لم تُضرب يد الخصم؛ د) فقط في الجولة النهائية")</f>
        <v>أ) نعم، هذا تكتيك أساسي؛ ب) لا، ضرب العصا يعد خطأ؛ ج) فقط إذا لم تُضرب يد الخصم؛ د) فقط في الجولة النهائية</v>
      </c>
      <c r="J83" s="5" t="str">
        <f>IFERROR(__xludf.DUMMYFUNCTION("GOOGLETRANSLATE(D83, ""en"", ""ar"")"),"أ) نعم، هذا هو التكتيك الرئيسي")</f>
        <v>أ) نعم، هذا هو التكتيك الرئيسي</v>
      </c>
      <c r="K83" s="5" t="str">
        <f>IFERROR(__xludf.DUMMYFUNCTION("GOOGLETRANSLATE(E83, ""en"", ""ar"")"),"إن نزع سلاح الخصم عن طريق ضرب سلاحه بمهارة هي تقنية مشروعة ومحترمة للغاية.")</f>
        <v>إن نزع سلاح الخصم عن طريق ضرب سلاحه بمهارة هي تقنية مشروعة ومحترمة للغاية.</v>
      </c>
    </row>
    <row r="84">
      <c r="A84" s="3">
        <v>83.0</v>
      </c>
      <c r="B84" s="4" t="s">
        <v>934</v>
      </c>
      <c r="C84" s="4" t="s">
        <v>935</v>
      </c>
      <c r="D84" s="4" t="s">
        <v>936</v>
      </c>
      <c r="E84" s="4" t="s">
        <v>937</v>
      </c>
      <c r="G84" s="5" t="str">
        <f>IFERROR(__xludf.DUMMYFUNCTION("GOOGLETRANSLATE(A84, ""en"", ""ar"")"),"83")</f>
        <v>83</v>
      </c>
      <c r="H84" s="5" t="str">
        <f>IFERROR(__xludf.DUMMYFUNCTION("GOOGLETRANSLATE(B84, ""en"", ""ar"")"),"ماذا يحدث إذا تم العثور على مادة محظورة في نظام المصارع من خلال اختبار المنشطات؟")</f>
        <v>ماذا يحدث إذا تم العثور على مادة محظورة في نظام المصارع من خلال اختبار المنشطات؟</v>
      </c>
      <c r="I84" s="5" t="str">
        <f>IFERROR(__xludf.DUMMYFUNCTION("GOOGLETRANSLATE(C84, ""en"", ""ar"")"),"أ) يتم تحذيرهم؛ ب) يتم استبعادهم ويواجهون الإيقاف؛ ج) يخسرون أموال الجائزة الخاصة بهم ولكن لا يتم إيقافهم؛ د) نتيجة المباراة لم تتغير")</f>
        <v>أ) يتم تحذيرهم؛ ب) يتم استبعادهم ويواجهون الإيقاف؛ ج) يخسرون أموال الجائزة الخاصة بهم ولكن لا يتم إيقافهم؛ د) نتيجة المباراة لم تتغير</v>
      </c>
      <c r="J84" s="5" t="str">
        <f>IFERROR(__xludf.DUMMYFUNCTION("GOOGLETRANSLATE(D84, ""en"", ""ar"")"),"ب) يتم استبعادهم ويواجهون الإيقاف")</f>
        <v>ب) يتم استبعادهم ويواجهون الإيقاف</v>
      </c>
      <c r="K84" s="5" t="str">
        <f>IFERROR(__xludf.DUMMYFUNCTION("GOOGLETRANSLATE(E84, ""en"", ""ar"")"),"المنشطات هي جريمة خطيرة تؤدي إلى الاستبعاد من الحدث والحظر من المسابقات المستقبلية.")</f>
        <v>المنشطات هي جريمة خطيرة تؤدي إلى الاستبعاد من الحدث والحظر من المسابقات المستقبلية.</v>
      </c>
    </row>
    <row r="85">
      <c r="A85" s="3">
        <v>84.0</v>
      </c>
      <c r="B85" s="4" t="s">
        <v>938</v>
      </c>
      <c r="C85" s="4" t="s">
        <v>939</v>
      </c>
      <c r="D85" s="4" t="s">
        <v>940</v>
      </c>
      <c r="E85" s="4" t="s">
        <v>941</v>
      </c>
      <c r="G85" s="5" t="str">
        <f>IFERROR(__xludf.DUMMYFUNCTION("GOOGLETRANSLATE(A85, ""en"", ""ar"")"),"84")</f>
        <v>84</v>
      </c>
      <c r="H85" s="5" t="str">
        <f>IFERROR(__xludf.DUMMYFUNCTION("GOOGLETRANSLATE(B85, ""en"", ""ar"")"),"هل يمكن إجراء مباراة المصارعة على سطح صلب مثل الخرسانة أو الحجر؟")</f>
        <v>هل يمكن إجراء مباراة المصارعة على سطح صلب مثل الخرسانة أو الحجر؟</v>
      </c>
      <c r="I85" s="5" t="str">
        <f>IFERROR(__xludf.DUMMYFUNCTION("GOOGLETRANSLATE(C85, ""en"", ""ar"")"),"أ) نعم، إذا وافق كلا المصارعين؛ ب) لا، السطح الناعم مثل الرمل أو العشب إلزامي؛ ج) لأغراض العرض فقط؛ د) فقط إذا كان المصارعون يرتدون أحذية")</f>
        <v>أ) نعم، إذا وافق كلا المصارعين؛ ب) لا، السطح الناعم مثل الرمل أو العشب إلزامي؛ ج) لأغراض العرض فقط؛ د) فقط إذا كان المصارعون يرتدون أحذية</v>
      </c>
      <c r="J85" s="5" t="str">
        <f>IFERROR(__xludf.DUMMYFUNCTION("GOOGLETRANSLATE(D85, ""en"", ""ar"")"),"ب) لا، السطح الناعم مثل الرمل أو العشب إلزامي.")</f>
        <v>ب) لا، السطح الناعم مثل الرمل أو العشب إلزامي.</v>
      </c>
      <c r="K85" s="5" t="str">
        <f>IFERROR(__xludf.DUMMYFUNCTION("GOOGLETRANSLATE(E85, ""en"", ""ar"")"),"تتطلب لوائح السلامة وجود سطح متسامح لتقليل خطر الإصابة نتيجة الرمي والسقوط.")</f>
        <v>تتطلب لوائح السلامة وجود سطح متسامح لتقليل خطر الإصابة نتيجة الرمي والسقوط.</v>
      </c>
    </row>
    <row r="86">
      <c r="A86" s="3">
        <v>85.0</v>
      </c>
      <c r="B86" s="4" t="s">
        <v>942</v>
      </c>
      <c r="C86" s="4" t="s">
        <v>943</v>
      </c>
      <c r="D86" s="4" t="s">
        <v>944</v>
      </c>
      <c r="E86" s="4" t="s">
        <v>945</v>
      </c>
      <c r="G86" s="5" t="str">
        <f>IFERROR(__xludf.DUMMYFUNCTION("GOOGLETRANSLATE(A86, ""en"", ""ar"")"),"85")</f>
        <v>85</v>
      </c>
      <c r="H86" s="5" t="str">
        <f>IFERROR(__xludf.DUMMYFUNCTION("GOOGLETRANSLATE(B86, ""en"", ""ar"")"),"ما هي القاعدة إذا استمر المصارع في القتال بعد أن أشار خصمه بوضوح إلى الخضوع أو الاستسلام؟")</f>
        <v>ما هي القاعدة إذا استمر المصارع في القتال بعد أن أشار خصمه بوضوح إلى الخضوع أو الاستسلام؟</v>
      </c>
      <c r="I86" s="5" t="str">
        <f>IFERROR(__xludf.DUMMYFUNCTION("GOOGLETRANSLATE(C86, ""en"", ""ar"")"),"أ) يُسمح بضمان الفوز؛ ب) إنه خطأ جسيم يؤدي إلى الاستبعاد؛ ج) يتم خصم نقطة؛ د) يصدر الحكم تحذيرًا")</f>
        <v>أ) يُسمح بضمان الفوز؛ ب) إنه خطأ جسيم يؤدي إلى الاستبعاد؛ ج) يتم خصم نقطة؛ د) يصدر الحكم تحذيرًا</v>
      </c>
      <c r="J86" s="5" t="str">
        <f>IFERROR(__xludf.DUMMYFUNCTION("GOOGLETRANSLATE(D86, ""en"", ""ar"")"),"ب) يعتبر خطأ جسيما يؤدي إلى الاستبعاد")</f>
        <v>ب) يعتبر خطأ جسيما يؤدي إلى الاستبعاد</v>
      </c>
      <c r="K86" s="5" t="str">
        <f>IFERROR(__xludf.DUMMYFUNCTION("GOOGLETRANSLATE(E86, ""en"", ""ar"")"),"إن الاستمرار في الهجوم بعد استسلام الخصم يعد انتهاكًا خطيرًا للروح الرياضية والسلامة.")</f>
        <v>إن الاستمرار في الهجوم بعد استسلام الخصم يعد انتهاكًا خطيرًا للروح الرياضية والسلامة.</v>
      </c>
    </row>
    <row r="87">
      <c r="A87" s="3">
        <v>86.0</v>
      </c>
      <c r="B87" s="4" t="s">
        <v>946</v>
      </c>
      <c r="C87" s="4" t="s">
        <v>947</v>
      </c>
      <c r="D87" s="4" t="s">
        <v>948</v>
      </c>
      <c r="E87" s="4" t="s">
        <v>949</v>
      </c>
      <c r="G87" s="5" t="str">
        <f>IFERROR(__xludf.DUMMYFUNCTION("GOOGLETRANSLATE(A87, ""en"", ""ar"")"),"86")</f>
        <v>86</v>
      </c>
      <c r="H87" s="5" t="str">
        <f>IFERROR(__xludf.DUMMYFUNCTION("GOOGLETRANSLATE(B87, ""en"", ""ar"")"),"هل يشترط للمصارعين أن يكون لديهم نوع معين من قصة الشعر أو أن يكونوا حليقي الذقن؟")</f>
        <v>هل يشترط للمصارعين أن يكون لديهم نوع معين من قصة الشعر أو أن يكونوا حليقي الذقن؟</v>
      </c>
      <c r="I87" s="5" t="str">
        <f>IFERROR(__xludf.DUMMYFUNCTION("GOOGLETRANSLATE(C87, ""en"", ""ar"")"),"أ) نعم، من أجل التوحيد؛ ب) لا، لا توجد قواعد خاصة بالمظهر؛ ج) فقط في المسابقات الدولية؛ د) يجب ربط الشعر للخلف إذا كان طويلاً")</f>
        <v>أ) نعم، من أجل التوحيد؛ ب) لا، لا توجد قواعد خاصة بالمظهر؛ ج) فقط في المسابقات الدولية؛ د) يجب ربط الشعر للخلف إذا كان طويلاً</v>
      </c>
      <c r="J87" s="5" t="str">
        <f>IFERROR(__xludf.DUMMYFUNCTION("GOOGLETRANSLATE(D87, ""en"", ""ar"")"),"د) يجب ربط الشعر للخلف إذا كان طويلاً")</f>
        <v>د) يجب ربط الشعر للخلف إذا كان طويلاً</v>
      </c>
      <c r="K87" s="5" t="str">
        <f>IFERROR(__xludf.DUMMYFUNCTION("GOOGLETRANSLATE(E87, ""en"", ""ar"")"),"لأسباب تتعلق بالسلامة، يجب تأمين الشعر الطويل الذي يمكن الإمساك به أو إعاقة الرؤية، ولكن لا توجد قواعد أخرى محددة للعناية بالشعر.")</f>
        <v>لأسباب تتعلق بالسلامة، يجب تأمين الشعر الطويل الذي يمكن الإمساك به أو إعاقة الرؤية، ولكن لا توجد قواعد أخرى محددة للعناية بالشعر.</v>
      </c>
    </row>
    <row r="88">
      <c r="A88" s="3">
        <v>87.0</v>
      </c>
      <c r="B88" s="4" t="s">
        <v>950</v>
      </c>
      <c r="C88" s="4" t="s">
        <v>951</v>
      </c>
      <c r="D88" s="4" t="s">
        <v>952</v>
      </c>
      <c r="E88" s="4" t="s">
        <v>953</v>
      </c>
      <c r="G88" s="5" t="str">
        <f>IFERROR(__xludf.DUMMYFUNCTION("GOOGLETRANSLATE(A88, ""en"", ""ar"")"),"87")</f>
        <v>87</v>
      </c>
      <c r="H88" s="5" t="str">
        <f>IFERROR(__xludf.DUMMYFUNCTION("GOOGLETRANSLATE(B88, ""en"", ""ar"")"),"ما هو الإجراء الرسمي إذا دخل حيوان بري (مثل الكلب) إلى حلبة المصارعة؟")</f>
        <v>ما هو الإجراء الرسمي إذا دخل حيوان بري (مثل الكلب) إلى حلبة المصارعة؟</v>
      </c>
      <c r="I88" s="5" t="str">
        <f>IFERROR(__xludf.DUMMYFUNCTION("GOOGLETRANSLATE(C88, ""en"", ""ar"")"),"أ) تستمر المباراة حول الحيوان؛ ب) تتوقف المباراة على الفور حتى يتم إزالة الحيوان؛ ج) المصارعون مسؤولون عن تخويفه وإبعاده؛ د) يتم إلغاء المباراة")</f>
        <v>أ) تستمر المباراة حول الحيوان؛ ب) تتوقف المباراة على الفور حتى يتم إزالة الحيوان؛ ج) المصارعون مسؤولون عن تخويفه وإبعاده؛ د) يتم إلغاء المباراة</v>
      </c>
      <c r="J88" s="5" t="str">
        <f>IFERROR(__xludf.DUMMYFUNCTION("GOOGLETRANSLATE(D88, ""en"", ""ar"")"),"ب) يتم إيقاف المباراة على الفور حتى يتم إزالة الحيوان")</f>
        <v>ب) يتم إيقاف المباراة على الفور حتى يتم إزالة الحيوان</v>
      </c>
      <c r="K88" s="5" t="str">
        <f>IFERROR(__xludf.DUMMYFUNCTION("GOOGLETRANSLATE(E88, ""en"", ""ar"")"),"أي تدخل خارجي، وخاصة الذي يشكل خطرا على السلامة، يتطلب من الحكم إيقاف المباراة.")</f>
        <v>أي تدخل خارجي، وخاصة الذي يشكل خطرا على السلامة، يتطلب من الحكم إيقاف المباراة.</v>
      </c>
    </row>
    <row r="89">
      <c r="A89" s="3">
        <v>88.0</v>
      </c>
      <c r="B89" s="4" t="s">
        <v>954</v>
      </c>
      <c r="C89" s="4" t="s">
        <v>955</v>
      </c>
      <c r="D89" s="4" t="s">
        <v>956</v>
      </c>
      <c r="E89" s="4" t="s">
        <v>957</v>
      </c>
      <c r="G89" s="5" t="str">
        <f>IFERROR(__xludf.DUMMYFUNCTION("GOOGLETRANSLATE(A89, ""en"", ""ar"")"),"88")</f>
        <v>88</v>
      </c>
      <c r="H89" s="5" t="str">
        <f>IFERROR(__xludf.DUMMYFUNCTION("GOOGLETRANSLATE(B89, ""en"", ""ar"")"),"هل يجوز للمصارع أن يطلب من أحد القادة الروحيين مباركة عصاه قبل المباراة؟")</f>
        <v>هل يجوز للمصارع أن يطلب من أحد القادة الروحيين مباركة عصاه قبل المباراة؟</v>
      </c>
      <c r="I89" s="5" t="str">
        <f>IFERROR(__xludf.DUMMYFUNCTION("GOOGLETRANSLATE(C89, ""en"", ""ar"")"),"أ) لا، يُعتبر هذا ميزة غير عادلة؛ ب) نعم، هذه ممارسة ثقافية محترمة؛ ج) فقط في المباريات الاحتفالية؛ د) فقط إذا فعل الخصم الشيء نفسه")</f>
        <v>أ) لا، يُعتبر هذا ميزة غير عادلة؛ ب) نعم، هذه ممارسة ثقافية محترمة؛ ج) فقط في المباريات الاحتفالية؛ د) فقط إذا فعل الخصم الشيء نفسه</v>
      </c>
      <c r="J89" s="5" t="str">
        <f>IFERROR(__xludf.DUMMYFUNCTION("GOOGLETRANSLATE(D89, ""en"", ""ar"")"),"ب) نعم، هذه ممارسة ثقافية محترمة")</f>
        <v>ب) نعم، هذه ممارسة ثقافية محترمة</v>
      </c>
      <c r="K89" s="5" t="str">
        <f>IFERROR(__xludf.DUMMYFUNCTION("GOOGLETRANSLATE(E89, ""en"", ""ar"")"),"تشكل الطقوس الثقافية والدينية جزءًا لا يتجزأ من التقاليد، ويُسمح بها طالما أنها لا تنتهك أي قواعد للسلامة.")</f>
        <v>تشكل الطقوس الثقافية والدينية جزءًا لا يتجزأ من التقاليد، ويُسمح بها طالما أنها لا تنتهك أي قواعد للسلامة.</v>
      </c>
    </row>
    <row r="90">
      <c r="A90" s="3">
        <v>89.0</v>
      </c>
      <c r="B90" s="4" t="s">
        <v>958</v>
      </c>
      <c r="C90" s="4" t="s">
        <v>959</v>
      </c>
      <c r="D90" s="4" t="s">
        <v>960</v>
      </c>
      <c r="E90" s="4" t="s">
        <v>961</v>
      </c>
      <c r="G90" s="5" t="str">
        <f>IFERROR(__xludf.DUMMYFUNCTION("GOOGLETRANSLATE(A90, ""en"", ""ar"")"),"89")</f>
        <v>89</v>
      </c>
      <c r="H90" s="5" t="str">
        <f>IFERROR(__xludf.DUMMYFUNCTION("GOOGLETRANSLATE(B90, ""en"", ""ar"")"),"ما هي عقوبة المصارع الذي يضرب منطقة غير قانونية بشكل متكرر ومتعمد بعد أن يتم تحذيره؟")</f>
        <v>ما هي عقوبة المصارع الذي يضرب منطقة غير قانونية بشكل متكرر ومتعمد بعد أن يتم تحذيره؟</v>
      </c>
      <c r="I90" s="5" t="str">
        <f>IFERROR(__xludf.DUMMYFUNCTION("GOOGLETRANSLATE(C90, ""en"", ""ar"")"),"أ) خصم نقطة؛ ب) تحذير نهائي؛ ج) الاستبعاد؛ د) يُمنح الخصم رمية حرة")</f>
        <v>أ) خصم نقطة؛ ب) تحذير نهائي؛ ج) الاستبعاد؛ د) يُمنح الخصم رمية حرة</v>
      </c>
      <c r="J90" s="5" t="str">
        <f>IFERROR(__xludf.DUMMYFUNCTION("GOOGLETRANSLATE(D90, ""en"", ""ar"")"),"ج) الاستبعاد")</f>
        <v>ج) الاستبعاد</v>
      </c>
      <c r="K90" s="5" t="str">
        <f>IFERROR(__xludf.DUMMYFUNCTION("GOOGLETRANSLATE(E90, ""en"", ""ar"")"),"بعد التحذير، فإن تكرار الأخطاء المتعمدة يشير إلى عدم مراعاة القواعد وسوف يؤدي إلى الاستبعاد.")</f>
        <v>بعد التحذير، فإن تكرار الأخطاء المتعمدة يشير إلى عدم مراعاة القواعد وسوف يؤدي إلى الاستبعاد.</v>
      </c>
    </row>
    <row r="91">
      <c r="A91" s="3">
        <v>90.0</v>
      </c>
      <c r="B91" s="4" t="s">
        <v>962</v>
      </c>
      <c r="C91" s="4" t="s">
        <v>963</v>
      </c>
      <c r="D91" s="4" t="s">
        <v>964</v>
      </c>
      <c r="E91" s="4" t="s">
        <v>965</v>
      </c>
      <c r="G91" s="5" t="str">
        <f>IFERROR(__xludf.DUMMYFUNCTION("GOOGLETRANSLATE(A91, ""en"", ""ar"")"),"90")</f>
        <v>90</v>
      </c>
      <c r="H91" s="5" t="str">
        <f>IFERROR(__xludf.DUMMYFUNCTION("GOOGLETRANSLATE(B91, ""en"", ""ar"")"),"هل يجوز أن تقام مباراة المصارعة بوجود حكم أو قاض واحد فقط؟")</f>
        <v>هل يجوز أن تقام مباراة المصارعة بوجود حكم أو قاض واحد فقط؟</v>
      </c>
      <c r="I91" s="5" t="str">
        <f>IFERROR(__xludf.DUMMYFUNCTION("GOOGLETRANSLATE(C91, ""en"", ""ar"")"),"أ) نعم، في المباريات المحلية الصغيرة؛ ب) لا، يلزم وجود ثلاثة مسؤولين على الأقل؛ ج) فقط إذا اتفق كلا المصارعين؛ د) فقط في حالة التعادل")</f>
        <v>أ) نعم، في المباريات المحلية الصغيرة؛ ب) لا، يلزم وجود ثلاثة مسؤولين على الأقل؛ ج) فقط إذا اتفق كلا المصارعين؛ د) فقط في حالة التعادل</v>
      </c>
      <c r="J91" s="5" t="str">
        <f>IFERROR(__xludf.DUMMYFUNCTION("GOOGLETRANSLATE(D91, ""en"", ""ar"")"),"ب) لا، يلزم وجود ثلاثة مسؤولين على الأقل")</f>
        <v>ب) لا، يلزم وجود ثلاثة مسؤولين على الأقل</v>
      </c>
      <c r="K91" s="5" t="str">
        <f>IFERROR(__xludf.DUMMYFUNCTION("GOOGLETRANSLATE(E91, ""en"", ""ar"")"),"ولضمان دقة التسجيل وتطبيق القواعد، هناك حاجة إلى لجنة من الحكام (عادة ما تكون حكم مركزي واثنان من القضاة).")</f>
        <v>ولضمان دقة التسجيل وتطبيق القواعد، هناك حاجة إلى لجنة من الحكام (عادة ما تكون حكم مركزي واثنان من القضاة).</v>
      </c>
    </row>
    <row r="92">
      <c r="A92" s="3">
        <v>91.0</v>
      </c>
      <c r="B92" s="4" t="s">
        <v>966</v>
      </c>
      <c r="C92" s="4" t="s">
        <v>967</v>
      </c>
      <c r="D92" s="4" t="s">
        <v>968</v>
      </c>
      <c r="E92" s="4" t="s">
        <v>969</v>
      </c>
      <c r="G92" s="5" t="str">
        <f>IFERROR(__xludf.DUMMYFUNCTION("GOOGLETRANSLATE(A92, ""en"", ""ar"")"),"91")</f>
        <v>91</v>
      </c>
      <c r="H92" s="5" t="str">
        <f>IFERROR(__xludf.DUMMYFUNCTION("GOOGLETRANSLATE(B92, ""en"", ""ar"")"),"هل يجوز رمي الرمل أو التراب على وجه الخصم أثناء المباراة؟")</f>
        <v>هل يجوز رمي الرمل أو التراب على وجه الخصم أثناء المباراة؟</v>
      </c>
      <c r="I92" s="5" t="str">
        <f>IFERROR(__xludf.DUMMYFUNCTION("GOOGLETRANSLATE(C92, ""en"", ""ar"")"),"أ) نعم، إذا أقيمت المباراة على الرمال؛ ب) لا، هذا خطأ جسيم؛ ج) كحركة دفاعية فقط؛ د) فقط إذا قام بها الخصم أولاً")</f>
        <v>أ) نعم، إذا أقيمت المباراة على الرمال؛ ب) لا، هذا خطأ جسيم؛ ج) كحركة دفاعية فقط؛ د) فقط إذا قام بها الخصم أولاً</v>
      </c>
      <c r="J92" s="5" t="str">
        <f>IFERROR(__xludf.DUMMYFUNCTION("GOOGLETRANSLATE(D92, ""en"", ""ar"")"),"ب) لا، هذه خطأ كبير")</f>
        <v>ب) لا، هذه خطأ كبير</v>
      </c>
      <c r="K92" s="5" t="str">
        <f>IFERROR(__xludf.DUMMYFUNCTION("GOOGLETRANSLATE(E92, ""en"", ""ar"")"),"إن إلقاء أي مادة عمدًا في عيون الخصم يعد عملًا خطيرًا وغير رياضي وهو محظور تمامًا.")</f>
        <v>إن إلقاء أي مادة عمدًا في عيون الخصم يعد عملًا خطيرًا وغير رياضي وهو محظور تمامًا.</v>
      </c>
    </row>
    <row r="93">
      <c r="A93" s="3">
        <v>92.0</v>
      </c>
      <c r="B93" s="4" t="s">
        <v>970</v>
      </c>
      <c r="C93" s="4" t="s">
        <v>971</v>
      </c>
      <c r="D93" s="4" t="s">
        <v>972</v>
      </c>
      <c r="E93" s="4" t="s">
        <v>973</v>
      </c>
      <c r="G93" s="5" t="str">
        <f>IFERROR(__xludf.DUMMYFUNCTION("GOOGLETRANSLATE(A93, ""en"", ""ar"")"),"92")</f>
        <v>92</v>
      </c>
      <c r="H93" s="5" t="str">
        <f>IFERROR(__xludf.DUMMYFUNCTION("GOOGLETRANSLATE(B93, ""en"", ""ar"")"),"ما هي القاعدة المتعلقة بـ""منطقة السلبية"" أو حافة منطقة المصارعة؟")</f>
        <v>ما هي القاعدة المتعلقة بـ"منطقة السلبية" أو حافة منطقة المصارعة؟</v>
      </c>
      <c r="I93" s="5" t="str">
        <f>IFERROR(__xludf.DUMMYFUNCTION("GOOGLETRANSLATE(C93, ""en"", ""ar"")"),"أ) لا توجد منطقة خاصة؛ ب) يُعطى المصارع الذي يتم دفعه إلى هذه المنطقة تحذيرًا؛ ج) يمكن للمصارع أن يستريح في هذه المنطقة؛ د) يجب أن تحدث جميع الرميات في هذه المنطقة")</f>
        <v>أ) لا توجد منطقة خاصة؛ ب) يُعطى المصارع الذي يتم دفعه إلى هذه المنطقة تحذيرًا؛ ج) يمكن للمصارع أن يستريح في هذه المنطقة؛ د) يجب أن تحدث جميع الرميات في هذه المنطقة</v>
      </c>
      <c r="J93" s="5" t="str">
        <f>IFERROR(__xludf.DUMMYFUNCTION("GOOGLETRANSLATE(D93, ""en"", ""ar"")"),"ب) يتم إعطاء المصارع الذي يتم دفعه إلى هذه المنطقة تحذيرًا")</f>
        <v>ب) يتم إعطاء المصارع الذي يتم دفعه إلى هذه المنطقة تحذيرًا</v>
      </c>
      <c r="K93" s="5" t="str">
        <f>IFERROR(__xludf.DUMMYFUNCTION("GOOGLETRANSLATE(E93, ""en"", ""ar"")"),"لتشجيع المشاركة النشطة في المركز، قد يتلقى المصارع الذي يُجبر باستمرار على الوصول إلى حافة الحلبة تحذيرًا سلبيًا.")</f>
        <v>لتشجيع المشاركة النشطة في المركز، قد يتلقى المصارع الذي يُجبر باستمرار على الوصول إلى حافة الحلبة تحذيرًا سلبيًا.</v>
      </c>
    </row>
    <row r="94">
      <c r="A94" s="3">
        <v>93.0</v>
      </c>
      <c r="B94" s="4" t="s">
        <v>974</v>
      </c>
      <c r="C94" s="4" t="s">
        <v>975</v>
      </c>
      <c r="D94" s="4" t="s">
        <v>976</v>
      </c>
      <c r="E94" s="4" t="s">
        <v>977</v>
      </c>
      <c r="G94" s="5" t="str">
        <f>IFERROR(__xludf.DUMMYFUNCTION("GOOGLETRANSLATE(A94, ""en"", ""ar"")"),"93")</f>
        <v>93</v>
      </c>
      <c r="H94" s="5" t="str">
        <f>IFERROR(__xludf.DUMMYFUNCTION("GOOGLETRANSLATE(B94, ""en"", ""ar"")"),"إذا تم استبعاد المصارع، من هو الذي يُعلن الفائز؟")</f>
        <v>إذا تم استبعاد المصارع، من هو الذي يُعلن الفائز؟</v>
      </c>
      <c r="I94" s="5" t="str">
        <f>IFERROR(__xludf.DUMMYFUNCTION("GOOGLETRANSLATE(C94, ""en"", ""ar"")"),"أ) الخصم هو الفائز تلقائيًا؛ ب) يتم إعلان المباراة بلا منافسة؛ ج) لا يزال بإمكان المصارع المستبعد الحصول على المركز الثاني؛ د) يتم إدخال خصم جديد")</f>
        <v>أ) الخصم هو الفائز تلقائيًا؛ ب) يتم إعلان المباراة بلا منافسة؛ ج) لا يزال بإمكان المصارع المستبعد الحصول على المركز الثاني؛ د) يتم إدخال خصم جديد</v>
      </c>
      <c r="J94" s="5" t="str">
        <f>IFERROR(__xludf.DUMMYFUNCTION("GOOGLETRANSLATE(D94, ""en"", ""ar"")"),"أ) الخصم هو الفائز تلقائيًا")</f>
        <v>أ) الخصم هو الفائز تلقائيًا</v>
      </c>
      <c r="K94" s="5" t="str">
        <f>IFERROR(__xludf.DUMMYFUNCTION("GOOGLETRANSLATE(E94, ""en"", ""ar"")"),"يؤدي الاستبعاد إلى خسارة فورية للمصارع المخالف وفوز لخصمه.")</f>
        <v>يؤدي الاستبعاد إلى خسارة فورية للمصارع المخالف وفوز لخصمه.</v>
      </c>
    </row>
    <row r="95">
      <c r="A95" s="3">
        <v>94.0</v>
      </c>
      <c r="B95" s="4" t="s">
        <v>978</v>
      </c>
      <c r="C95" s="4" t="s">
        <v>979</v>
      </c>
      <c r="D95" s="4" t="s">
        <v>980</v>
      </c>
      <c r="E95" s="4" t="s">
        <v>981</v>
      </c>
      <c r="G95" s="5" t="str">
        <f>IFERROR(__xludf.DUMMYFUNCTION("GOOGLETRANSLATE(A95, ""en"", ""ar"")"),"94")</f>
        <v>94</v>
      </c>
      <c r="H95" s="5" t="str">
        <f>IFERROR(__xludf.DUMMYFUNCTION("GOOGLETRANSLATE(B95, ""en"", ""ar"")"),"هل يُسمح للمصارعين بارتداء أي نوع من وسائل حماية الجسم، مثل واقي الفم أو واقي الفخذ؟")</f>
        <v>هل يُسمح للمصارعين بارتداء أي نوع من وسائل حماية الجسم، مثل واقي الفم أو واقي الفخذ؟</v>
      </c>
      <c r="I95" s="5" t="str">
        <f>IFERROR(__xludf.DUMMYFUNCTION("GOOGLETRANSLATE(C95, ""en"", ""ar"")"),"أ) لا، لا يُسمح بأي حماية؛ ب) نعم، ولكن يجب الموافقة عليها من قبل المسؤولين؛ ج) فقط في مسابقات الشباب؛ د) فقط إذا أوصى الطبيب بذلك")</f>
        <v>أ) لا، لا يُسمح بأي حماية؛ ب) نعم، ولكن يجب الموافقة عليها من قبل المسؤولين؛ ج) فقط في مسابقات الشباب؛ د) فقط إذا أوصى الطبيب بذلك</v>
      </c>
      <c r="J95" s="5" t="str">
        <f>IFERROR(__xludf.DUMMYFUNCTION("GOOGLETRANSLATE(D95, ""en"", ""ar"")"),"ب) نعم، ولكن يجب أن تتم الموافقة عليه من قبل المسؤولين.")</f>
        <v>ب) نعم، ولكن يجب أن تتم الموافقة عليه من قبل المسؤولين.</v>
      </c>
      <c r="K95" s="5" t="str">
        <f>IFERROR(__xludf.DUMMYFUNCTION("GOOGLETRANSLATE(E95, ""en"", ""ar"")"),"يُسمح عمومًا باستخدام معدات السلامة الأساسية التي لا تؤثر على الأداء أو تشكل خطرًا على الخصم.")</f>
        <v>يُسمح عمومًا باستخدام معدات السلامة الأساسية التي لا تؤثر على الأداء أو تشكل خطرًا على الخصم.</v>
      </c>
    </row>
    <row r="96">
      <c r="A96" s="3">
        <v>95.0</v>
      </c>
      <c r="B96" s="4" t="s">
        <v>982</v>
      </c>
      <c r="C96" s="4" t="s">
        <v>983</v>
      </c>
      <c r="D96" s="4" t="s">
        <v>984</v>
      </c>
      <c r="E96" s="4" t="s">
        <v>985</v>
      </c>
      <c r="G96" s="5" t="str">
        <f>IFERROR(__xludf.DUMMYFUNCTION("GOOGLETRANSLATE(A96, ""en"", ""ar"")"),"95")</f>
        <v>95</v>
      </c>
      <c r="H96" s="5" t="str">
        <f>IFERROR(__xludf.DUMMYFUNCTION("GOOGLETRANSLATE(B96, ""en"", ""ar"")"),"ما هي النتيجة الرسمية إذا تم اكتشاف أن اثنين من المصارعين قاموا بترتيب نتيجة مباراتهم عمداً مسبقًا؟")</f>
        <v>ما هي النتيجة الرسمية إذا تم اكتشاف أن اثنين من المصارعين قاموا بترتيب نتيجة مباراتهم عمداً مسبقًا؟</v>
      </c>
      <c r="I96" s="5" t="str">
        <f>IFERROR(__xludf.DUMMYFUNCTION("GOOGLETRANSLATE(C96, ""en"", ""ar"")"),"أ) النتيجة ثابتة؛ ب) يتم منع كلا المصارعين من ممارسة الرياضة؛ ج) يتم إعادة المباراة مع مصارعين جدد؛ د) يتم التبرع بجائزة المال للأعمال الخيرية")</f>
        <v>أ) النتيجة ثابتة؛ ب) يتم منع كلا المصارعين من ممارسة الرياضة؛ ج) يتم إعادة المباراة مع مصارعين جدد؛ د) يتم التبرع بجائزة المال للأعمال الخيرية</v>
      </c>
      <c r="J96" s="5" t="str">
        <f>IFERROR(__xludf.DUMMYFUNCTION("GOOGLETRANSLATE(D96, ""en"", ""ar"")"),"ب) كلا المصارعين ممنوعان من ممارسة هذه الرياضة")</f>
        <v>ب) كلا المصارعين ممنوعان من ممارسة هذه الرياضة</v>
      </c>
      <c r="K96" s="5" t="str">
        <f>IFERROR(__xludf.DUMMYFUNCTION("GOOGLETRANSLATE(E96, ""en"", ""ar"")"),"يعد التلاعب بنتائج المباريات من أخطر الجرائم التي ترتكب ضد نزاهة الرياضة، ويؤدي إلى فرض حظر شديد وطويل الأمد على جميع المتورطين فيه.")</f>
        <v>يعد التلاعب بنتائج المباريات من أخطر الجرائم التي ترتكب ضد نزاهة الرياضة، ويؤدي إلى فرض حظر شديد وطويل الأمد على جميع المتورطين فيه.</v>
      </c>
    </row>
    <row r="97">
      <c r="A97" s="3">
        <v>96.0</v>
      </c>
      <c r="B97" s="4" t="s">
        <v>986</v>
      </c>
      <c r="C97" s="4" t="s">
        <v>987</v>
      </c>
      <c r="D97" s="4" t="s">
        <v>988</v>
      </c>
      <c r="E97" s="4" t="s">
        <v>989</v>
      </c>
      <c r="G97" s="5" t="str">
        <f>IFERROR(__xludf.DUMMYFUNCTION("GOOGLETRANSLATE(A97, ""en"", ""ar"")"),"96")</f>
        <v>96</v>
      </c>
      <c r="H97" s="5" t="str">
        <f>IFERROR(__xludf.DUMMYFUNCTION("GOOGLETRANSLATE(B97, ""en"", ""ar"")"),"هل يمكن معاقبة المصارع لاستخدامه عصاه لدفع الخصم بدلا من الضرب؟")</f>
        <v>هل يمكن معاقبة المصارع لاستخدامه عصاه لدفع الخصم بدلا من الضرب؟</v>
      </c>
      <c r="I97" s="5" t="str">
        <f>IFERROR(__xludf.DUMMYFUNCTION("GOOGLETRANSLATE(C97, ""en"", ""ar"")"),"أ) لا، الدفع مسموح به؛ ب) نعم، هذا استخدام غير قانوني للعصا؛ ج) فقط إذا كان في الوجه؛ د) فقط إذا تسبب في سقوط الخصم")</f>
        <v>أ) لا، الدفع مسموح به؛ ب) نعم، هذا استخدام غير قانوني للعصا؛ ج) فقط إذا كان في الوجه؛ د) فقط إذا تسبب في سقوط الخصم</v>
      </c>
      <c r="J97" s="5" t="str">
        <f>IFERROR(__xludf.DUMMYFUNCTION("GOOGLETRANSLATE(D97, ""en"", ""ar"")"),"ب) نعم، هذا استخدام غير قانوني للعصا.")</f>
        <v>ب) نعم، هذا استخدام غير قانوني للعصا.</v>
      </c>
      <c r="K97" s="5" t="str">
        <f>IFERROR(__xludf.DUMMYFUNCTION("GOOGLETRANSLATE(E97, ""en"", ""ar"")"),"العصا مخصصة لضرب وحجب تقنيات محددة، واستخدامها لمجرد الدفع يعد خطأ.")</f>
        <v>العصا مخصصة لضرب وحجب تقنيات محددة، واستخدامها لمجرد الدفع يعد خطأ.</v>
      </c>
    </row>
    <row r="98">
      <c r="A98" s="3">
        <v>97.0</v>
      </c>
      <c r="B98" s="4" t="s">
        <v>990</v>
      </c>
      <c r="C98" s="4" t="s">
        <v>991</v>
      </c>
      <c r="D98" s="4" t="s">
        <v>992</v>
      </c>
      <c r="E98" s="4" t="s">
        <v>993</v>
      </c>
      <c r="G98" s="5" t="str">
        <f>IFERROR(__xludf.DUMMYFUNCTION("GOOGLETRANSLATE(A98, ""en"", ""ar"")"),"97")</f>
        <v>97</v>
      </c>
      <c r="H98" s="5" t="str">
        <f>IFERROR(__xludf.DUMMYFUNCTION("GOOGLETRANSLATE(B98, ""en"", ""ar"")"),"ما هو دور الموسيقى التقليدية التي يتم تشغيلها أثناء مباراة المصارعة؟")</f>
        <v>ما هو دور الموسيقى التقليدية التي يتم تشغيلها أثناء مباراة المصارعة؟</v>
      </c>
      <c r="I98" s="5" t="str">
        <f>IFERROR(__xludf.DUMMYFUNCTION("GOOGLETRANSLATE(C98, ""en"", ""ar"")"),"أ) إنها مجرد تسلية؛ ب) إنها تحدد إيقاع وسرعة القتال؛ ج) إنها تشير إلى نهاية الجولة؛ د) يتم استخدامها لتشتيت انتباه المصارعين")</f>
        <v>أ) إنها مجرد تسلية؛ ب) إنها تحدد إيقاع وسرعة القتال؛ ج) إنها تشير إلى نهاية الجولة؛ د) يتم استخدامها لتشتيت انتباه المصارعين</v>
      </c>
      <c r="J98" s="5" t="str">
        <f>IFERROR(__xludf.DUMMYFUNCTION("GOOGLETRANSLATE(D98, ""en"", ""ar"")"),"ب) يحدد إيقاع وسرعة القتال")</f>
        <v>ب) يحدد إيقاع وسرعة القتال</v>
      </c>
      <c r="K98" s="5" t="str">
        <f>IFERROR(__xludf.DUMMYFUNCTION("GOOGLETRANSLATE(E98, ""en"", ""ar"")"),"تشكل الموسيقى جزءًا لا يتجزأ من الحدث، حيث ترتفع وتيرة الحدث وتنخفض في كثير من الأحيان مع الحركة في الحلبة.")</f>
        <v>تشكل الموسيقى جزءًا لا يتجزأ من الحدث، حيث ترتفع وتيرة الحدث وتنخفض في كثير من الأحيان مع الحركة في الحلبة.</v>
      </c>
    </row>
    <row r="99">
      <c r="A99" s="3">
        <v>98.0</v>
      </c>
      <c r="B99" s="4" t="s">
        <v>994</v>
      </c>
      <c r="C99" s="4" t="s">
        <v>995</v>
      </c>
      <c r="D99" s="4" t="s">
        <v>996</v>
      </c>
      <c r="E99" s="4" t="s">
        <v>997</v>
      </c>
      <c r="G99" s="5" t="str">
        <f>IFERROR(__xludf.DUMMYFUNCTION("GOOGLETRANSLATE(A99, ""en"", ""ar"")"),"98")</f>
        <v>98</v>
      </c>
      <c r="H99" s="5" t="str">
        <f>IFERROR(__xludf.DUMMYFUNCTION("GOOGLETRANSLATE(B99, ""en"", ""ar"")"),"إذا تم رمي المصارع ولكنه تمكن من الهبوط على قدميه، كيف يتم تسجيل هذا الفعل؟")</f>
        <v>إذا تم رمي المصارع ولكنه تمكن من الهبوط على قدميه، كيف يتم تسجيل هذا الفعل؟</v>
      </c>
      <c r="I99" s="5" t="str">
        <f>IFERROR(__xludf.DUMMYFUNCTION("GOOGLETRANSLATE(C99, ""en"", ""ar"")"),"أ) لا تزال تُمنح نقطة للرامي؛ ب) لا تُسجل أي نقاط؛ ج) تُمنح نقطة جزئية للمحاولة؛ د) يحصل المصارع الذي هبط على قدميه على نقطة للدفاع")</f>
        <v>أ) لا تزال تُمنح نقطة للرامي؛ ب) لا تُسجل أي نقاط؛ ج) تُمنح نقطة جزئية للمحاولة؛ د) يحصل المصارع الذي هبط على قدميه على نقطة للدفاع</v>
      </c>
      <c r="J99" s="5" t="str">
        <f>IFERROR(__xludf.DUMMYFUNCTION("GOOGLETRANSLATE(D99, ""en"", ""ar"")"),"ب) لم يتم تسجيل أي نقاط")</f>
        <v>ب) لم يتم تسجيل أي نقاط</v>
      </c>
      <c r="K99" s="5" t="str">
        <f>IFERROR(__xludf.DUMMYFUNCTION("GOOGLETRANSLATE(E99, ""en"", ""ar"")"),"يتم احتساب الرمية فقط إذا تم إسقاط الخصم على ظهره أو جانبه، والاسترداد الدفاعي الناجح يلغي النتيجة.")</f>
        <v>يتم احتساب الرمية فقط إذا تم إسقاط الخصم على ظهره أو جانبه، والاسترداد الدفاعي الناجح يلغي النتيجة.</v>
      </c>
    </row>
    <row r="100">
      <c r="A100" s="3">
        <v>99.0</v>
      </c>
      <c r="B100" s="4" t="s">
        <v>998</v>
      </c>
      <c r="C100" s="4" t="s">
        <v>999</v>
      </c>
      <c r="D100" s="4" t="s">
        <v>1000</v>
      </c>
      <c r="E100" s="4" t="s">
        <v>1001</v>
      </c>
      <c r="G100" s="5" t="str">
        <f>IFERROR(__xludf.DUMMYFUNCTION("GOOGLETRANSLATE(A100, ""en"", ""ar"")"),"99")</f>
        <v>99</v>
      </c>
      <c r="H100" s="5" t="str">
        <f>IFERROR(__xludf.DUMMYFUNCTION("GOOGLETRANSLATE(B100, ""en"", ""ar"")"),"هل هناك قواعد بشأن وزن عصا المصارعة؟")</f>
        <v>هل هناك قواعد بشأن وزن عصا المصارعة؟</v>
      </c>
      <c r="I100" s="5" t="str">
        <f>IFERROR(__xludf.DUMMYFUNCTION("GOOGLETRANSLATE(C100, ""en"", ""ar"")"),"أ) لا، يُسمح بأي وزن؛ ب) نعم، يجب أن تكون العصا ضمن نطاق وزن محدد؛ ج) يجب أن تكون العصا خفيفة قدر الإمكان؛ د) يجب على المصارعين استخدام عصي ذات وزن متساوٍ")</f>
        <v>أ) لا، يُسمح بأي وزن؛ ب) نعم، يجب أن تكون العصا ضمن نطاق وزن محدد؛ ج) يجب أن تكون العصا خفيفة قدر الإمكان؛ د) يجب على المصارعين استخدام عصي ذات وزن متساوٍ</v>
      </c>
      <c r="J100" s="5" t="str">
        <f>IFERROR(__xludf.DUMMYFUNCTION("GOOGLETRANSLATE(D100, ""en"", ""ar"")"),"د) يجب على المصارعين استخدام العصي ذات الوزن المتساوي")</f>
        <v>د) يجب على المصارعين استخدام العصي ذات الوزن المتساوي</v>
      </c>
      <c r="K100" s="5" t="str">
        <f>IFERROR(__xludf.DUMMYFUNCTION("GOOGLETRANSLATE(E100, ""en"", ""ar"")"),"ولضمان العدالة، يجب أن تكون العصي المقدمة للمباراة متطابقة أو متقاربة جدًا في الوزن والحجم.")</f>
        <v>ولضمان العدالة، يجب أن تكون العصي المقدمة للمباراة متطابقة أو متقاربة جدًا في الوزن والحجم.</v>
      </c>
    </row>
    <row r="101">
      <c r="A101" s="3">
        <v>100.0</v>
      </c>
      <c r="B101" s="4" t="s">
        <v>1002</v>
      </c>
      <c r="C101" s="4" t="s">
        <v>1003</v>
      </c>
      <c r="D101" s="4" t="s">
        <v>1004</v>
      </c>
      <c r="E101" s="4" t="s">
        <v>1005</v>
      </c>
      <c r="G101" s="5" t="str">
        <f>IFERROR(__xludf.DUMMYFUNCTION("GOOGLETRANSLATE(A101, ""en"", ""ar"")"),"100")</f>
        <v>100</v>
      </c>
      <c r="H101" s="5" t="str">
        <f>IFERROR(__xludf.DUMMYFUNCTION("GOOGLETRANSLATE(B101, ""en"", ""ar"")"),"ما هو أعلى شرف أو لقب يمكن أن يحصل عليه بطل المصارعة النوبي؟")</f>
        <v>ما هو أعلى شرف أو لقب يمكن أن يحصل عليه بطل المصارعة النوبي؟</v>
      </c>
      <c r="I101" s="5" t="str">
        <f>IFERROR(__xludf.DUMMYFUNCTION("GOOGLETRANSLATE(C101, ""en"", ""ar"")"),"أ) ""العصا الذهبية""؛ ب) لقب ""سيد الحلبة""؛ ج) جائزة نقدية فقط؛ د) ""حزام الزعيم""")</f>
        <v>أ) "العصا الذهبية"؛ ب) لقب "سيد الحلبة"؛ ج) جائزة نقدية فقط؛ د) "حزام الزعيم"</v>
      </c>
      <c r="J101" s="5" t="str">
        <f>IFERROR(__xludf.DUMMYFUNCTION("GOOGLETRANSLATE(D101, ""en"", ""ar"")"),"ب) لقب ""سيد الحلبة""")</f>
        <v>ب) لقب "سيد الحلبة"</v>
      </c>
      <c r="K101" s="5" t="str">
        <f>IFERROR(__xludf.DUMMYFUNCTION("GOOGLETRANSLATE(E101, ""en"", ""ar"")"),"إن الفوز ببطولة كبرى يمنح شرفًا عظيمًا واللقب المرموق ""سيد الحلبة"" (ساحة المصارعة).")</f>
        <v>إن الفوز ببطولة كبرى يمنح شرفًا عظيمًا واللقب المرموق "سيد الحلبة" (ساحة المصارعة).</v>
      </c>
    </row>
    <row r="102">
      <c r="A102" s="3">
        <v>101.0</v>
      </c>
      <c r="B102" s="4" t="s">
        <v>1006</v>
      </c>
      <c r="C102" s="4" t="s">
        <v>1007</v>
      </c>
      <c r="D102" s="4" t="s">
        <v>1008</v>
      </c>
      <c r="E102" s="4" t="s">
        <v>1009</v>
      </c>
      <c r="G102" s="5" t="str">
        <f>IFERROR(__xludf.DUMMYFUNCTION("GOOGLETRANSLATE(A102, ""en"", ""ar"")"),"101")</f>
        <v>101</v>
      </c>
      <c r="H102" s="5" t="str">
        <f>IFERROR(__xludf.DUMMYFUNCTION("GOOGLETRANSLATE(B102, ""en"", ""ar"")"),"ما هو الإجراء الرسمي إذا تبين أن الحكم متحيز أو لا ينفذ القواعد بشكل عادل؟")</f>
        <v>ما هو الإجراء الرسمي إذا تبين أن الحكم متحيز أو لا ينفذ القواعد بشكل عادل؟</v>
      </c>
      <c r="I102" s="5" t="str">
        <f>IFERROR(__xludf.DUMMYFUNCTION("GOOGLETRANSLATE(C102, ""en"", ""ar"")"),"أ) يمكن للمصارعين رفض القتال؛ ب) يمكن لمسؤول كبير أو حكم أن يحل محل الحكم؛ ج) يتم إعلان المباريات باطلة؛ د) يتم تحذير الحكم بعد الحدث")</f>
        <v>أ) يمكن للمصارعين رفض القتال؛ ب) يمكن لمسؤول كبير أو حكم أن يحل محل الحكم؛ ج) يتم إعلان المباريات باطلة؛ د) يتم تحذير الحكم بعد الحدث</v>
      </c>
      <c r="J102" s="5" t="str">
        <f>IFERROR(__xludf.DUMMYFUNCTION("GOOGLETRANSLATE(D102, ""en"", ""ar"")"),"ب) يمكن لمسؤول كبير أو قاضي أن يحل محل الحكم")</f>
        <v>ب) يمكن لمسؤول كبير أو قاضي أن يحل محل الحكم</v>
      </c>
      <c r="K102" s="5" t="str">
        <f>IFERROR(__xludf.DUMMYFUNCTION("GOOGLETRANSLATE(E102, ""en"", ""ar"")"),"إذا كان هناك دليل واضح على عدم الكفاءة أو التحيز، فيحق لمسؤول أعلى رتبة التدخل وتغيير الحكم.")</f>
        <v>إذا كان هناك دليل واضح على عدم الكفاءة أو التحيز، فيحق لمسؤول أعلى رتبة التدخل وتغيير الحكم.</v>
      </c>
    </row>
    <row r="103">
      <c r="A103" s="3">
        <v>102.0</v>
      </c>
      <c r="B103" s="4" t="s">
        <v>1010</v>
      </c>
      <c r="C103" s="4" t="s">
        <v>1011</v>
      </c>
      <c r="D103" s="4" t="s">
        <v>1012</v>
      </c>
      <c r="E103" s="4" t="s">
        <v>1013</v>
      </c>
      <c r="G103" s="5" t="str">
        <f>IFERROR(__xludf.DUMMYFUNCTION("GOOGLETRANSLATE(A103, ""en"", ""ar"")"),"102")</f>
        <v>102</v>
      </c>
      <c r="H103" s="5" t="str">
        <f>IFERROR(__xludf.DUMMYFUNCTION("GOOGLETRANSLATE(B103, ""en"", ""ar"")"),"هل هناك قواعد محددة بشأن النظام الغذائي للمصارع في الأيام التي تسبق المنافسة؟")</f>
        <v>هل هناك قواعد محددة بشأن النظام الغذائي للمصارع في الأيام التي تسبق المنافسة؟</v>
      </c>
      <c r="I103" s="5" t="str">
        <f>IFERROR(__xludf.DUMMYFUNCTION("GOOGLETRANSLATE(C103, ""en"", ""ar"")"),"أ)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f>
        <v>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v>
      </c>
      <c r="J103" s="5" t="str">
        <f>IFERROR(__xludf.DUMMYFUNCTION("GOOGLETRANSLATE(D103, ""en"", ""ar"")"),"ج) لا يحرم عليهم إلا شرب الخمر.")</f>
        <v>ج) لا يحرم عليهم إلا شرب الخمر.</v>
      </c>
      <c r="K103" s="5" t="str">
        <f>IFERROR(__xludf.DUMMYFUNCTION("GOOGLETRANSLATE(E103, ""en"", ""ar"")"),"على الرغم من عدم فرض اتباع أنظمة غذائية محددة، فإن تناول الكحول أو المسكرات الأخرى قبل المنافسة محظور تمامًا.")</f>
        <v>على الرغم من عدم فرض اتباع أنظمة غذائية محددة، فإن تناول الكحول أو المسكرات الأخرى قبل المنافسة محظور تمامًا.</v>
      </c>
    </row>
    <row r="104">
      <c r="A104" s="3">
        <v>103.0</v>
      </c>
      <c r="B104" s="4" t="s">
        <v>1014</v>
      </c>
      <c r="C104" s="4" t="s">
        <v>1015</v>
      </c>
      <c r="D104" s="4" t="s">
        <v>1016</v>
      </c>
      <c r="E104" s="4" t="s">
        <v>1017</v>
      </c>
      <c r="G104" s="5" t="str">
        <f>IFERROR(__xludf.DUMMYFUNCTION("GOOGLETRANSLATE(A104, ""en"", ""ar"")"),"103")</f>
        <v>103</v>
      </c>
      <c r="H104" s="5" t="str">
        <f>IFERROR(__xludf.DUMMYFUNCTION("GOOGLETRANSLATE(B104, ""en"", ""ar"")"),"إذا قام المصارع بإصابة خصمه عن طريق الخطأ، ما هي الإشارة المطلوبة من الروح الرياضية؟")</f>
        <v>إذا قام المصارع بإصابة خصمه عن طريق الخطأ، ما هي الإشارة المطلوبة من الروح الرياضية؟</v>
      </c>
      <c r="I104" s="5" t="str">
        <f>IFERROR(__xludf.DUMMYFUNCTION("GOOGLETRANSLATE(C104, ""en"", ""ar"")"),"أ) التحقق فورًا من سلامة الخصم؛ ب) الاحتفال بالنقطة؛ ج) تجاهل الخصم وانتظار إعادة اللعب؛ د) الاعتذار لمدرب الخصم")</f>
        <v>أ) التحقق فورًا من سلامة الخصم؛ ب) الاحتفال بالنقطة؛ ج) تجاهل الخصم وانتظار إعادة اللعب؛ د) الاعتذار لمدرب الخصم</v>
      </c>
      <c r="J104" s="5" t="str">
        <f>IFERROR(__xludf.DUMMYFUNCTION("GOOGLETRANSLATE(D104, ""en"", ""ar"")"),"أ) التحقق فورًا من سلامة الخصم")</f>
        <v>أ) التحقق فورًا من سلامة الخصم</v>
      </c>
      <c r="K104" s="5" t="str">
        <f>IFERROR(__xludf.DUMMYFUNCTION("GOOGLETRANSLATE(E104, ""en"", ""ar"")"),"أحد المبادئ الأساسية للمصارعة النوبية هو الاحترام؛ حيث من المتوقع أن يُظهر المصارع الاهتمام بخصمه الذي أصابه عن طريق الخطأ.")</f>
        <v>أحد المبادئ الأساسية للمصارعة النوبية هو الاحترام؛ حيث من المتوقع أن يُظهر المصارع الاهتمام بخصمه الذي أصابه عن طريق الخطأ.</v>
      </c>
    </row>
    <row r="105">
      <c r="A105" s="3">
        <v>104.0</v>
      </c>
      <c r="B105" s="4" t="s">
        <v>1018</v>
      </c>
      <c r="C105" s="4" t="s">
        <v>1019</v>
      </c>
      <c r="D105" s="4" t="s">
        <v>1020</v>
      </c>
      <c r="E105" s="4" t="s">
        <v>1021</v>
      </c>
      <c r="G105" s="5" t="str">
        <f>IFERROR(__xludf.DUMMYFUNCTION("GOOGLETRANSLATE(A105, ""en"", ""ar"")"),"104")</f>
        <v>104</v>
      </c>
      <c r="H105" s="5" t="str">
        <f>IFERROR(__xludf.DUMMYFUNCTION("GOOGLETRANSLATE(B105, ""en"", ""ar"")"),"ما هي عقوبة المصارع الذي يرفض أداء التحية التقليدية قبل المباراة؟")</f>
        <v>ما هي عقوبة المصارع الذي يرفض أداء التحية التقليدية قبل المباراة؟</v>
      </c>
      <c r="I105" s="5" t="str">
        <f>IFERROR(__xludf.DUMMYFUNCTION("GOOGLETRANSLATE(C105, ""en"", ""ar"")"),"أ) لا عقوبة؛ ب) تحذير رسمي بسبب عدم الاحترام؛ ج) خصم نقطة قبل بدء المباراة؛ د) الاستبعاد")</f>
        <v>أ) لا عقوبة؛ ب) تحذير رسمي بسبب عدم الاحترام؛ ج) خصم نقطة قبل بدء المباراة؛ د) الاستبعاد</v>
      </c>
      <c r="J105" s="5" t="str">
        <f>IFERROR(__xludf.DUMMYFUNCTION("GOOGLETRANSLATE(D105, ""en"", ""ar"")"),"ب) تحذير رسمي لعدم الاحترام")</f>
        <v>ب) تحذير رسمي لعدم الاحترام</v>
      </c>
      <c r="K105" s="5" t="str">
        <f>IFERROR(__xludf.DUMMYFUNCTION("GOOGLETRANSLATE(E105, ""en"", ""ar"")"),"تعتبر طقوس ما قبل المباراة جزءًا إلزاميًا من التقاليد، ويعتبر رفض المشاركة فيها جريمة يعاقب عليها القانون.")</f>
        <v>تعتبر طقوس ما قبل المباراة جزءًا إلزاميًا من التقاليد، ويعتبر رفض المشاركة فيها جريمة يعاقب عليها القانون.</v>
      </c>
    </row>
    <row r="106">
      <c r="A106" s="3">
        <v>105.0</v>
      </c>
      <c r="B106" s="4" t="s">
        <v>1022</v>
      </c>
      <c r="C106" s="4" t="s">
        <v>1023</v>
      </c>
      <c r="D106" s="4" t="s">
        <v>1024</v>
      </c>
      <c r="E106" s="4" t="s">
        <v>1025</v>
      </c>
      <c r="G106" s="5" t="str">
        <f>IFERROR(__xludf.DUMMYFUNCTION("GOOGLETRANSLATE(A106, ""en"", ""ar"")"),"105")</f>
        <v>105</v>
      </c>
      <c r="H106" s="5" t="str">
        <f>IFERROR(__xludf.DUMMYFUNCTION("GOOGLETRANSLATE(B106, ""en"", ""ar"")"),"هل يجوز ضرب الخصم على يديه لإسقاط عصاه؟")</f>
        <v>هل يجوز ضرب الخصم على يديه لإسقاط عصاه؟</v>
      </c>
      <c r="I106" s="5" t="str">
        <f>IFERROR(__xludf.DUMMYFUNCTION("GOOGLETRANSLATE(C106, ""en"", ""ar"")"),"أ) نعم، إنها تقنية نزع سلاح صالحة؛ ب) لا، الضربات على اليدين ممنوعة؛ ج) فقط بصفعة اليد المفتوحة؛ د) فقط إذا كان الخصم يهاجم")</f>
        <v>أ) نعم، إنها تقنية نزع سلاح صالحة؛ ب) لا، الضربات على اليدين ممنوعة؛ ج) فقط بصفعة اليد المفتوحة؛ د) فقط إذا كان الخصم يهاجم</v>
      </c>
      <c r="J106" s="5" t="str">
        <f>IFERROR(__xludf.DUMMYFUNCTION("GOOGLETRANSLATE(D106, ""en"", ""ar"")"),"أ) نعم، إنها تقنية نزع سلاح صالحة")</f>
        <v>أ) نعم، إنها تقنية نزع سلاح صالحة</v>
      </c>
      <c r="K106" s="5" t="str">
        <f>IFERROR(__xludf.DUMMYFUNCTION("GOOGLETRANSLATE(E106, ""en"", ""ar"")"),"إن ضرب اليدين أو الساعد هو وسيلة مشروعة لنزع سلاح الخصم، طالما لم يتم ذلك بقوة مفرطة.")</f>
        <v>إن ضرب اليدين أو الساعد هو وسيلة مشروعة لنزع سلاح الخصم، طالما لم يتم ذلك بقوة مفرطة.</v>
      </c>
    </row>
    <row r="107">
      <c r="A107" s="3">
        <v>106.0</v>
      </c>
      <c r="B107" s="4" t="s">
        <v>1026</v>
      </c>
      <c r="C107" s="4" t="s">
        <v>1027</v>
      </c>
      <c r="D107" s="4" t="s">
        <v>1028</v>
      </c>
      <c r="E107" s="4" t="s">
        <v>1029</v>
      </c>
      <c r="G107" s="5" t="str">
        <f>IFERROR(__xludf.DUMMYFUNCTION("GOOGLETRANSLATE(A107, ""en"", ""ar"")"),"106")</f>
        <v>106</v>
      </c>
      <c r="H107" s="5" t="str">
        <f>IFERROR(__xludf.DUMMYFUNCTION("GOOGLETRANSLATE(B107, ""en"", ""ar"")"),"ما هي القاعدة إذا أصبح الزي التقليدي للمصارع (مثل مئزر) فضفاضًا أثناء المباراة؟")</f>
        <v>ما هي القاعدة إذا أصبح الزي التقليدي للمصارع (مثل مئزر) فضفاضًا أثناء المباراة؟</v>
      </c>
      <c r="I107" s="5" t="str">
        <f>IFERROR(__xludf.DUMMYFUNCTION("GOOGLETRANSLATE(C107, ""en"", ""ar"")"),"أ) تستمر المباراة؛ ب) يجب على الحكم إيقاف المباراة مؤقتًا للسماح بإعادة التعديل؛ ج) يتم استبعاد المصارع؛ د) يتم منح نقطة للخصم")</f>
        <v>أ) تستمر المباراة؛ ب) يجب على الحكم إيقاف المباراة مؤقتًا للسماح بإعادة التعديل؛ ج) يتم استبعاد المصارع؛ د) يتم منح نقطة للخصم</v>
      </c>
      <c r="J107" s="5" t="str">
        <f>IFERROR(__xludf.DUMMYFUNCTION("GOOGLETRANSLATE(D107, ""en"", ""ar"")"),"ب) يجب على الحكم إيقاف المباراة مؤقتًا للسماح بإعادة التعديل")</f>
        <v>ب) يجب على الحكم إيقاف المباراة مؤقتًا للسماح بإعادة التعديل</v>
      </c>
      <c r="K107" s="5" t="str">
        <f>IFERROR(__xludf.DUMMYFUNCTION("GOOGLETRANSLATE(E107, ""en"", ""ar"")"),"سيقوم الحكم بإيقاف المباراة مؤقتًا للسماح للمصارعين بتعديل ملابسهم للحفاظ على النظام ومنع التشابك.")</f>
        <v>سيقوم الحكم بإيقاف المباراة مؤقتًا للسماح للمصارعين بتعديل ملابسهم للحفاظ على النظام ومنع التشابك.</v>
      </c>
    </row>
    <row r="108">
      <c r="A108" s="3">
        <v>107.0</v>
      </c>
      <c r="B108" s="4" t="s">
        <v>1030</v>
      </c>
      <c r="C108" s="4" t="s">
        <v>1031</v>
      </c>
      <c r="D108" s="4" t="s">
        <v>1032</v>
      </c>
      <c r="E108" s="4" t="s">
        <v>1033</v>
      </c>
      <c r="G108" s="5" t="str">
        <f>IFERROR(__xludf.DUMMYFUNCTION("GOOGLETRANSLATE(A108, ""en"", ""ar"")"),"107")</f>
        <v>107</v>
      </c>
      <c r="H108" s="5" t="str">
        <f>IFERROR(__xludf.DUMMYFUNCTION("GOOGLETRANSLATE(B108, ""en"", ""ar"")"),"هل هناك أي قواعد ضد تدريب المصارع من قبل أحد أفراد الأسرة؟")</f>
        <v>هل هناك أي قواعد ضد تدريب المصارع من قبل أحد أفراد الأسرة؟</v>
      </c>
      <c r="I108" s="5" t="str">
        <f>IFERROR(__xludf.DUMMYFUNCTION("GOOGLETRANSLATE(C108, ""en"", ""ar"")"),"أ)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f>
        <v>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v>
      </c>
      <c r="J108" s="5" t="str">
        <f>IFERROR(__xludf.DUMMYFUNCTION("GOOGLETRANSLATE(D108, ""en"", ""ar"")"),"ب) لا، التدريب عن طريق الأسرة أمر شائع ومسموح به")</f>
        <v>ب) لا، التدريب عن طريق الأسرة أمر شائع ومسموح به</v>
      </c>
      <c r="K108" s="5" t="str">
        <f>IFERROR(__xludf.DUMMYFUNCTION("GOOGLETRANSLATE(E108, ""en"", ""ar"")"),"لا توجد قيود على التدريب أو التدريب من قبل أحد الأقارب، وهو جانب شائع في تقاليد الرياضة.")</f>
        <v>لا توجد قيود على التدريب أو التدريب من قبل أحد الأقارب، وهو جانب شائع في تقاليد الرياضة.</v>
      </c>
    </row>
    <row r="109">
      <c r="A109" s="3">
        <v>108.0</v>
      </c>
      <c r="B109" s="4" t="s">
        <v>1034</v>
      </c>
      <c r="C109" s="4" t="s">
        <v>1035</v>
      </c>
      <c r="D109" s="4" t="s">
        <v>1036</v>
      </c>
      <c r="E109" s="4" t="s">
        <v>1037</v>
      </c>
      <c r="G109" s="5" t="str">
        <f>IFERROR(__xludf.DUMMYFUNCTION("GOOGLETRANSLATE(A109, ""en"", ""ar"")"),"108")</f>
        <v>108</v>
      </c>
      <c r="H109" s="5" t="str">
        <f>IFERROR(__xludf.DUMMYFUNCTION("GOOGLETRANSLATE(B109, ""en"", ""ar"")"),"إذا انتهت مباراة البطولة بالتعادل بعد جولة إضافية، كيف يتم تحديد الفائز؟")</f>
        <v>إذا انتهت مباراة البطولة بالتعادل بعد جولة إضافية، كيف يتم تحديد الفائز؟</v>
      </c>
      <c r="I109" s="5" t="str">
        <f>IFERROR(__xludf.DUMMYFUNCTION("GOOGLETRANSLATE(C109, ""en"", ""ar"")"),"أ) رمي العملة المعدنية؛ ب) يحتفظ البطل المدافع باللقب؛ ج) قرار من لجنة التحكيم يعتمد على العدوانية والمهارة؛ د) يتم تحديد مباراة إعادة ثانية")</f>
        <v>أ) رمي العملة المعدنية؛ ب) يحتفظ البطل المدافع باللقب؛ ج) قرار من لجنة التحكيم يعتمد على العدوانية والمهارة؛ د) يتم تحديد مباراة إعادة ثانية</v>
      </c>
      <c r="J109" s="5" t="str">
        <f>IFERROR(__xludf.DUMMYFUNCTION("GOOGLETRANSLATE(D109, ""en"", ""ar"")"),"ج) قرار من لجنة التحكيم بناء على العدوانية والمهارة")</f>
        <v>ج) قرار من لجنة التحكيم بناء على العدوانية والمهارة</v>
      </c>
      <c r="K109" s="5" t="str">
        <f>IFERROR(__xludf.DUMMYFUNCTION("GOOGLETRANSLATE(E109, ""en"", ""ar"")"),"إذا لم تكن هناك أي سقوط حاسم، يتم تحديد الفائز بقرار الحكام بناءً على من أظهر تقنية وسيطرة متفوقة.")</f>
        <v>إذا لم تكن هناك أي سقوط حاسم، يتم تحديد الفائز بقرار الحكام بناءً على من أظهر تقنية وسيطرة متفوقة.</v>
      </c>
    </row>
    <row r="110">
      <c r="A110" s="3">
        <v>109.0</v>
      </c>
      <c r="B110" s="4" t="s">
        <v>1038</v>
      </c>
      <c r="C110" s="4" t="s">
        <v>1039</v>
      </c>
      <c r="D110" s="4" t="s">
        <v>1040</v>
      </c>
      <c r="E110" s="4" t="s">
        <v>1041</v>
      </c>
      <c r="G110" s="5" t="str">
        <f>IFERROR(__xludf.DUMMYFUNCTION("GOOGLETRANSLATE(A110, ""en"", ""ar"")"),"109")</f>
        <v>109</v>
      </c>
      <c r="H110" s="5" t="str">
        <f>IFERROR(__xludf.DUMMYFUNCTION("GOOGLETRANSLATE(B110, ""en"", ""ar"")"),"ما هو الإجراء إذا أراد المصارع الطعن في شرعية عصا خصمه؟")</f>
        <v>ما هو الإجراء إذا أراد المصارع الطعن في شرعية عصا خصمه؟</v>
      </c>
      <c r="I110" s="5" t="str">
        <f>IFERROR(__xludf.DUMMYFUNCTION("GOOGLETRANSLATE(C110, ""en"", ""ar"")"),"أ) يمكنهم الاعتراض عليه في أي وقت؛ ب) يجب عليهم إجراء الاعتراض قبل بدء المباراة؛ ج) لا يمكنهم الاعتراض على المعدات؛ د) فقط بعد تسجيل النقطة الأولى")</f>
        <v>أ) يمكنهم الاعتراض عليه في أي وقت؛ ب) يجب عليهم إجراء الاعتراض قبل بدء المباراة؛ ج) لا يمكنهم الاعتراض على المعدات؛ د) فقط بعد تسجيل النقطة الأولى</v>
      </c>
      <c r="J110" s="5" t="str">
        <f>IFERROR(__xludf.DUMMYFUNCTION("GOOGLETRANSLATE(D110, ""en"", ""ar"")"),"ب) يجب عليهم إجراء التحدي قبل بدء المباراة")</f>
        <v>ب) يجب عليهم إجراء التحدي قبل بدء المباراة</v>
      </c>
      <c r="K110" s="5" t="str">
        <f>IFERROR(__xludf.DUMMYFUNCTION("GOOGLETRANSLATE(E110, ""en"", ""ar"")"),"يجب إثارة أي مخاوف بشأن معدات الخصم مع المسؤولين أثناء عملية التفتيش قبل المباراة.")</f>
        <v>يجب إثارة أي مخاوف بشأن معدات الخصم مع المسؤولين أثناء عملية التفتيش قبل المباراة.</v>
      </c>
    </row>
    <row r="111">
      <c r="A111" s="3">
        <v>110.0</v>
      </c>
      <c r="B111" s="4" t="s">
        <v>1042</v>
      </c>
      <c r="C111" s="4" t="s">
        <v>1043</v>
      </c>
      <c r="D111" s="4" t="s">
        <v>1044</v>
      </c>
      <c r="E111" s="4" t="s">
        <v>1045</v>
      </c>
      <c r="G111" s="5" t="str">
        <f>IFERROR(__xludf.DUMMYFUNCTION("GOOGLETRANSLATE(A111, ""en"", ""ar"")"),"110")</f>
        <v>110</v>
      </c>
      <c r="H111" s="5" t="str">
        <f>IFERROR(__xludf.DUMMYFUNCTION("GOOGLETRANSLATE(B111, ""en"", ""ar"")"),"هل يجوز للمصارع أن يضع شعارات الرعاة على ملابسه؟")</f>
        <v>هل يجوز للمصارع أن يضع شعارات الرعاة على ملابسه؟</v>
      </c>
      <c r="I111" s="5" t="str">
        <f>IFERROR(__xludf.DUMMYFUNCTION("GOOGLETRANSLATE(C111, ""en"", ""ar"")"),"أ) لا، يجب أن تكون الملابس تقليدية وبسيطة؛ ب) نعم، بموافقة من منظمي الحدث؛ ج) للمتسابقين الدوليين فقط؛ د) فقط إذا كان الراعي شركة محلية")</f>
        <v>أ) لا، يجب أن تكون الملابس تقليدية وبسيطة؛ ب) نعم، بموافقة من منظمي الحدث؛ ج) للمتسابقين الدوليين فقط؛ د) فقط إذا كان الراعي شركة محلية</v>
      </c>
      <c r="J111" s="5" t="str">
        <f>IFERROR(__xludf.DUMMYFUNCTION("GOOGLETRANSLATE(D111, ""en"", ""ar"")"),"ب) نعم، بموافقة منظمي الحدث")</f>
        <v>ب) نعم، بموافقة منظمي الحدث</v>
      </c>
      <c r="K111" s="5" t="str">
        <f>IFERROR(__xludf.DUMMYFUNCTION("GOOGLETRANSLATE(E111, ""en"", ""ar"")"),"غالبًا ما تسمح المسابقات الحديثة بالرعاية، ولكن يجب أن تفي الشعارات باللوائح المتعلقة بالحجم والموضع.")</f>
        <v>غالبًا ما تسمح المسابقات الحديثة بالرعاية، ولكن يجب أن تفي الشعارات باللوائح المتعلقة بالحجم والموضع.</v>
      </c>
    </row>
    <row r="112">
      <c r="A112" s="3">
        <v>111.0</v>
      </c>
      <c r="B112" s="4" t="s">
        <v>1046</v>
      </c>
      <c r="C112" s="4" t="s">
        <v>1047</v>
      </c>
      <c r="D112" s="4" t="s">
        <v>1048</v>
      </c>
      <c r="E112" s="4" t="s">
        <v>1049</v>
      </c>
      <c r="G112" s="5" t="str">
        <f>IFERROR(__xludf.DUMMYFUNCTION("GOOGLETRANSLATE(A112, ""en"", ""ar"")"),"111")</f>
        <v>111</v>
      </c>
      <c r="H112" s="5" t="str">
        <f>IFERROR(__xludf.DUMMYFUNCTION("GOOGLETRANSLATE(B112, ""en"", ""ar"")"),"ما هي القاعدة إذا وجد أن المصارع يعاني من نقص كبير في الوزن بالنسبة لفئته العمرية؟")</f>
        <v>ما هي القاعدة إذا وجد أن المصارع يعاني من نقص كبير في الوزن بالنسبة لفئته العمرية؟</v>
      </c>
      <c r="I112" s="5" t="str">
        <f>IFERROR(__xludf.DUMMYFUNCTION("GOOGLETRANSLATE(C112, ""en"", ""ar"")"),"أ) يُسمح لهم بالمنافسة؛ ب) قد يتم نقلهم إلى فئة عمرية أصغر؛ ج) لا يُسمح لهم بالمنافسة لأسباب تتعلق بالصحة والسلامة؛ د) يجب عليهم التنافس ضد خصوم أثقل وزنًا")</f>
        <v>أ) يُسمح لهم بالمنافسة؛ ب) قد يتم نقلهم إلى فئة عمرية أصغر؛ ج) لا يُسمح لهم بالمنافسة لأسباب تتعلق بالصحة والسلامة؛ د) يجب عليهم التنافس ضد خصوم أثقل وزنًا</v>
      </c>
      <c r="J112" s="5" t="str">
        <f>IFERROR(__xludf.DUMMYFUNCTION("GOOGLETRANSLATE(D112, ""en"", ""ar"")"),"ج) لا يجوز لهم التنافس لأسباب تتعلق بالصحة والسلامة")</f>
        <v>ج) لا يجوز لهم التنافس لأسباب تتعلق بالصحة والسلامة</v>
      </c>
      <c r="K112" s="5" t="str">
        <f>IFERROR(__xludf.DUMMYFUNCTION("GOOGLETRANSLATE(E112, ""en"", ""ar"")"),"قد يُعتبر المصارع الذي يعاني من نقص شديد في الوزن غير لائق طبياً للمنافسة بأمان.")</f>
        <v>قد يُعتبر المصارع الذي يعاني من نقص شديد في الوزن غير لائق طبياً للمنافسة بأمان.</v>
      </c>
    </row>
    <row r="113">
      <c r="A113" s="3">
        <v>112.0</v>
      </c>
      <c r="B113" s="4" t="s">
        <v>1050</v>
      </c>
      <c r="C113" s="4" t="s">
        <v>1051</v>
      </c>
      <c r="D113" s="4" t="s">
        <v>1052</v>
      </c>
      <c r="E113" s="4" t="s">
        <v>1053</v>
      </c>
      <c r="G113" s="5" t="str">
        <f>IFERROR(__xludf.DUMMYFUNCTION("GOOGLETRANSLATE(A113, ""en"", ""ar"")"),"112")</f>
        <v>112</v>
      </c>
      <c r="H113" s="5" t="str">
        <f>IFERROR(__xludf.DUMMYFUNCTION("GOOGLETRANSLATE(B113, ""en"", ""ar"")"),"هل يمكن معاقبة المصارع بسبب ""الاحتفال بالنصر"" الذي يعتبر استفزازيًا أو مهينًا بشكل مفرط؟")</f>
        <v>هل يمكن معاقبة المصارع بسبب "الاحتفال بالنصر" الذي يعتبر استفزازيًا أو مهينًا بشكل مفرط؟</v>
      </c>
      <c r="I113" s="5" t="str">
        <f>IFERROR(__xludf.DUMMYFUNCTION("GOOGLETRANSLATE(C113, ""en"", ""ar"")"),"أ) لا، الاحتفالات غير منظمة؛ ب) نعم، مع تحذير أو خصم نقاط بسبب السلوك غير الرياضي؛ ج) فقط إذا اشتكى الخصم؛ د) فقط إذا أدى ذلك إلى تأخير الجولة التالية")</f>
        <v>أ) لا، الاحتفالات غير منظمة؛ ب) نعم، مع تحذير أو خصم نقاط بسبب السلوك غير الرياضي؛ ج) فقط إذا اشتكى الخصم؛ د) فقط إذا أدى ذلك إلى تأخير الجولة التالية</v>
      </c>
      <c r="J113" s="5" t="str">
        <f>IFERROR(__xludf.DUMMYFUNCTION("GOOGLETRANSLATE(D113, ""en"", ""ar"")"),"ب) نعم، مع تحذير أو خصم نقاط بسبب السلوك غير الرياضي")</f>
        <v>ب) نعم، مع تحذير أو خصم نقاط بسبب السلوك غير الرياضي</v>
      </c>
      <c r="K113" s="5" t="str">
        <f>IFERROR(__xludf.DUMMYFUNCTION("GOOGLETRANSLATE(E113, ""en"", ""ar"")"),"إن الاحتفالات المبالغ فيها أو المهينة تنتهك قواعد الاحترام الرياضي، وهي عرضة للعقوبات.")</f>
        <v>إن الاحتفالات المبالغ فيها أو المهينة تنتهك قواعد الاحترام الرياضي، وهي عرضة للعقوبات.</v>
      </c>
    </row>
    <row r="114">
      <c r="A114" s="3">
        <v>113.0</v>
      </c>
      <c r="B114" s="4" t="s">
        <v>1054</v>
      </c>
      <c r="C114" s="4" t="s">
        <v>1055</v>
      </c>
      <c r="D114" s="4" t="s">
        <v>1056</v>
      </c>
      <c r="E114" s="4" t="s">
        <v>1057</v>
      </c>
      <c r="G114" s="5" t="str">
        <f>IFERROR(__xludf.DUMMYFUNCTION("GOOGLETRANSLATE(A114, ""en"", ""ar"")"),"113")</f>
        <v>113</v>
      </c>
      <c r="H114" s="5" t="str">
        <f>IFERROR(__xludf.DUMMYFUNCTION("GOOGLETRANSLATE(B114, ""en"", ""ar"")"),"ما هي إشارة الحكم لإيقاف اللعب في الحلبة؟")</f>
        <v>ما هي إشارة الحكم لإيقاف اللعب في الحلبة؟</v>
      </c>
      <c r="I114" s="5" t="str">
        <f>IFERROR(__xludf.DUMMYFUNCTION("GOOGLETRANSLATE(C114, ""en"", ""ar"")"),"أ) صيحة عالية؛ ب) صفارة واحدة حادة؛ ج) التلويح بالعلم؛ د) رنين الجرس")</f>
        <v>أ) صيحة عالية؛ ب) صفارة واحدة حادة؛ ج) التلويح بالعلم؛ د) رنين الجرس</v>
      </c>
      <c r="J114" s="5" t="str">
        <f>IFERROR(__xludf.DUMMYFUNCTION("GOOGLETRANSLATE(D114, ""en"", ""ar"")"),"ب) صفارة واحدة حادة")</f>
        <v>ب) صفارة واحدة حادة</v>
      </c>
      <c r="K114" s="5" t="str">
        <f>IFERROR(__xludf.DUMMYFUNCTION("GOOGLETRANSLATE(E114, ""en"", ""ar"")"),"يستخدم الحكم صافرة لجذب انتباه المصارعين والإشارة إلى توقف المباراة على الفور.")</f>
        <v>يستخدم الحكم صافرة لجذب انتباه المصارعين والإشارة إلى توقف المباراة على الفور.</v>
      </c>
    </row>
    <row r="115">
      <c r="A115" s="3">
        <v>114.0</v>
      </c>
      <c r="B115" s="4" t="s">
        <v>1058</v>
      </c>
      <c r="C115" s="4" t="s">
        <v>1059</v>
      </c>
      <c r="D115" s="4" t="s">
        <v>1060</v>
      </c>
      <c r="E115" s="4" t="s">
        <v>1061</v>
      </c>
      <c r="G115" s="5" t="str">
        <f>IFERROR(__xludf.DUMMYFUNCTION("GOOGLETRANSLATE(A115, ""en"", ""ar"")"),"114")</f>
        <v>114</v>
      </c>
      <c r="H115" s="5" t="str">
        <f>IFERROR(__xludf.DUMMYFUNCTION("GOOGLETRANSLATE(B115, ""en"", ""ar"")"),"هل هناك قواعد تحكم النظام الغذائي للمصارعين قبل المباراة؟")</f>
        <v>هل هناك قواعد تحكم النظام الغذائي للمصارعين قبل المباراة؟</v>
      </c>
      <c r="I115" s="5" t="str">
        <f>IFERROR(__xludf.DUMMYFUNCTION("GOOGLETRANSLATE(C115, ""en"", ""ar"")"),"أ) لا، إنها مسألة شخصية؛ ب) نعم، يجب عليهم الإفصاح عما تناولوه؛ ج) يُحظر عليهم فقط استخدام المنبهات مثل الكافيين؛ د) يُطلب منهم تناول وجبة تقليدية محددة")</f>
        <v>أ) لا، إنها مسألة شخصية؛ ب) نعم، يجب عليهم الإفصاح عما تناولوه؛ ج) يُحظر عليهم فقط استخدام المنبهات مثل الكافيين؛ د) يُطلب منهم تناول وجبة تقليدية محددة</v>
      </c>
      <c r="J115" s="5" t="str">
        <f>IFERROR(__xludf.DUMMYFUNCTION("GOOGLETRANSLATE(D115, ""en"", ""ar"")"),"أ) لا، إنها مسألة شخصية")</f>
        <v>أ) لا، إنها مسألة شخصية</v>
      </c>
      <c r="K115" s="5" t="str">
        <f>IFERROR(__xludf.DUMMYFUNCTION("GOOGLETRANSLATE(E115, ""en"", ""ar"")"),"وباستثناء الحظر المفروض على المنشطات والكحول، فإن النظام الغذائي للمصارع لا يخضع لقواعد المنافسة.")</f>
        <v>وباستثناء الحظر المفروض على المنشطات والكحول، فإن النظام الغذائي للمصارع لا يخضع لقواعد المنافسة.</v>
      </c>
    </row>
    <row r="116">
      <c r="A116" s="3">
        <v>115.0</v>
      </c>
      <c r="B116" s="4" t="s">
        <v>1062</v>
      </c>
      <c r="C116" s="4" t="s">
        <v>1063</v>
      </c>
      <c r="D116" s="4" t="s">
        <v>1064</v>
      </c>
      <c r="E116" s="4" t="s">
        <v>1065</v>
      </c>
      <c r="G116" s="5" t="str">
        <f>IFERROR(__xludf.DUMMYFUNCTION("GOOGLETRANSLATE(A116, ""en"", ""ar"")"),"115")</f>
        <v>115</v>
      </c>
      <c r="H116" s="5" t="str">
        <f>IFERROR(__xludf.DUMMYFUNCTION("GOOGLETRANSLATE(B116, ""en"", ""ar"")"),"إذا خرج المصارع من الحلبة وسقط على قدميه فما الحكم؟")</f>
        <v>إذا خرج المصارع من الحلبة وسقط على قدميه فما الحكم؟</v>
      </c>
      <c r="I116" s="5" t="str">
        <f>IFERROR(__xludf.DUMMYFUNCTION("GOOGLETRANSLATE(C116, ""en"", ""ar"")"),"أ) يخسر المصارع المباراة بسبب خروجه من الحلبة؛ ب) يُسمح للمصارع بالعودة إلى الحلبة؛ ج) يخسر المصارع نقطة ولكن تستمر المباراة؛ د) الجولة تعادل")</f>
        <v>أ) يخسر المصارع المباراة بسبب خروجه من الحلبة؛ ب) يُسمح للمصارع بالعودة إلى الحلبة؛ ج) يخسر المصارع نقطة ولكن تستمر المباراة؛ د) الجولة تعادل</v>
      </c>
      <c r="J116" s="5" t="str">
        <f>IFERROR(__xludf.DUMMYFUNCTION("GOOGLETRANSLATE(D116, ""en"", ""ar"")"),"أ) يخسر المصارع المباراة بسبب خروجه من الحلبة")</f>
        <v>أ) يخسر المصارع المباراة بسبب خروجه من الحلبة</v>
      </c>
      <c r="K116" s="5" t="str">
        <f>IFERROR(__xludf.DUMMYFUNCTION("GOOGLETRANSLATE(E116, ""en"", ""ar"")"),"القاعدة مطلقة: أي متنافس يُجبر على الخروج من منطقة المصارعة المخصصة أو يغادرها طواعيةً يخسر المباراة.")</f>
        <v>القاعدة مطلقة: أي متنافس يُجبر على الخروج من منطقة المصارعة المخصصة أو يغادرها طواعيةً يخسر المباراة.</v>
      </c>
    </row>
    <row r="117">
      <c r="A117" s="3">
        <v>116.0</v>
      </c>
      <c r="B117" s="4" t="s">
        <v>1066</v>
      </c>
      <c r="C117" s="4" t="s">
        <v>1067</v>
      </c>
      <c r="D117" s="4" t="s">
        <v>1068</v>
      </c>
      <c r="E117" s="4" t="s">
        <v>1069</v>
      </c>
      <c r="G117" s="5" t="str">
        <f>IFERROR(__xludf.DUMMYFUNCTION("GOOGLETRANSLATE(A117, ""en"", ""ar"")"),"116")</f>
        <v>116</v>
      </c>
      <c r="H117" s="5" t="str">
        <f>IFERROR(__xludf.DUMMYFUNCTION("GOOGLETRANSLATE(B117, ""en"", ""ar"")"),"ما هي عقوبة المصارع الذي يرفض الخضوع لاختبار المخدرات بعد المباراة؟")</f>
        <v>ما هي عقوبة المصارع الذي يرفض الخضوع لاختبار المخدرات بعد المباراة؟</v>
      </c>
      <c r="I117" s="5" t="str">
        <f>IFERROR(__xludf.DUMMYFUNCTION("GOOGLETRANSLATE(C117, ""en"", ""ar"")"),"أ) تحذير للمخالفة الأولى؛ ب) يتم التعامل معها كاختبار إيجابي، مما يؤدي إلى الاستبعاد والإيقاف؛ ج) يتم فرض غرامة؛ د) يتم مصادرة أموال الجائزة الخاصة بهم فقط")</f>
        <v>أ) تحذير للمخالفة الأولى؛ ب) يتم التعامل معها كاختبار إيجابي، مما يؤدي إلى الاستبعاد والإيقاف؛ ج) يتم فرض غرامة؛ د) يتم مصادرة أموال الجائزة الخاصة بهم فقط</v>
      </c>
      <c r="J117" s="5" t="str">
        <f>IFERROR(__xludf.DUMMYFUNCTION("GOOGLETRANSLATE(D117, ""en"", ""ar"")"),"ب) يتم التعامل معه كاختبار إيجابي، مما يؤدي إلى الاستبعاد والإيقاف")</f>
        <v>ب) يتم التعامل معه كاختبار إيجابي، مما يؤدي إلى الاستبعاد والإيقاف</v>
      </c>
      <c r="K117" s="5" t="str">
        <f>IFERROR(__xludf.DUMMYFUNCTION("GOOGLETRANSLATE(E117, ""en"", ""ar"")"),"إن رفض تقديم عينة لاختبار المنشطات يعد اعترافًا بالذنب ويحمل نفس العقوبات الشديدة.")</f>
        <v>إن رفض تقديم عينة لاختبار المنشطات يعد اعترافًا بالذنب ويحمل نفس العقوبات الشديدة.</v>
      </c>
    </row>
    <row r="118">
      <c r="A118" s="3">
        <v>117.0</v>
      </c>
      <c r="B118" s="4" t="s">
        <v>1070</v>
      </c>
      <c r="C118" s="4" t="s">
        <v>1071</v>
      </c>
      <c r="D118" s="4" t="s">
        <v>1072</v>
      </c>
      <c r="E118" s="4" t="s">
        <v>1073</v>
      </c>
      <c r="G118" s="5" t="str">
        <f>IFERROR(__xludf.DUMMYFUNCTION("GOOGLETRANSLATE(A118, ""en"", ""ar"")"),"117")</f>
        <v>117</v>
      </c>
      <c r="H118" s="5" t="str">
        <f>IFERROR(__xludf.DUMMYFUNCTION("GOOGLETRANSLATE(B118, ""en"", ""ar"")"),"هل يجوز استعمال عصا المصارعة لربط ساق الخصم للتعثر؟")</f>
        <v>هل يجوز استعمال عصا المصارعة لربط ساق الخصم للتعثر؟</v>
      </c>
      <c r="I118" s="5" t="str">
        <f>IFERROR(__xludf.DUMMYFUNCTION("GOOGLETRANSLATE(C118, ""en"", ""ar"")"),"أ) نعم، هذه تقنية شائعة؛ ب) لا، لا يمكن استخدام العصا لربط الأطراف؛ ج) فقط على الجزء العلوي من الساق؛ د) فقط إذا كان الخصم ثابتًا")</f>
        <v>أ) نعم، هذه تقنية شائعة؛ ب) لا، لا يمكن استخدام العصا لربط الأطراف؛ ج) فقط على الجزء العلوي من الساق؛ د) فقط إذا كان الخصم ثابتًا</v>
      </c>
      <c r="J118" s="5" t="str">
        <f>IFERROR(__xludf.DUMMYFUNCTION("GOOGLETRANSLATE(D118, ""en"", ""ar"")"),"ب) لا، لا يمكن استخدام العصا لتعليق الأطراف.")</f>
        <v>ب) لا، لا يمكن استخدام العصا لتعليق الأطراف.</v>
      </c>
      <c r="K118" s="5" t="str">
        <f>IFERROR(__xludf.DUMMYFUNCTION("GOOGLETRANSLATE(E118, ""en"", ""ar"")"),"إن استخدام العصا لربط أو سحب أو تعثر الخصم هو تكتيك غير قانوني؛ فالعصا مخصصة للضرب والحجب فقط.")</f>
        <v>إن استخدام العصا لربط أو سحب أو تعثر الخصم هو تكتيك غير قانوني؛ فالعصا مخصصة للضرب والحجب فقط.</v>
      </c>
    </row>
    <row r="119">
      <c r="A119" s="3">
        <v>118.0</v>
      </c>
      <c r="B119" s="4" t="s">
        <v>1074</v>
      </c>
      <c r="C119" s="4" t="s">
        <v>1075</v>
      </c>
      <c r="D119" s="4" t="s">
        <v>1076</v>
      </c>
      <c r="E119" s="4" t="s">
        <v>1077</v>
      </c>
      <c r="G119" s="5" t="str">
        <f>IFERROR(__xludf.DUMMYFUNCTION("GOOGLETRANSLATE(A119, ""en"", ""ar"")"),"118")</f>
        <v>118</v>
      </c>
      <c r="H119" s="5" t="str">
        <f>IFERROR(__xludf.DUMMYFUNCTION("GOOGLETRANSLATE(B119, ""en"", ""ar"")"),"ماذا يحدث إذا تم طرد مدرب المصارع بسبب سوء السلوك؟")</f>
        <v>ماذا يحدث إذا تم طرد مدرب المصارع بسبب سوء السلوك؟</v>
      </c>
      <c r="I119" s="5" t="str">
        <f>IFERROR(__xludf.DUMMYFUNCTION("GOOGLETRANSLATE(C119, ""en"", ""ar"")"),"أ) يمكن للمصارع الاستمرار مع مدرب جديد؛ ب) يجب على المصارع الاستمرار بدون مدرب؛ ج) يتم استبعاد المصارع أيضًا؛ د) يتم تغريم المدرب ولكن يمكنه العودة لاحقًا")</f>
        <v>أ) يمكن للمصارع الاستمرار مع مدرب جديد؛ ب) يجب على المصارع الاستمرار بدون مدرب؛ ج) يتم استبعاد المصارع أيضًا؛ د) يتم تغريم المدرب ولكن يمكنه العودة لاحقًا</v>
      </c>
      <c r="J119" s="5" t="str">
        <f>IFERROR(__xludf.DUMMYFUNCTION("GOOGLETRANSLATE(D119, ""en"", ""ar"")"),"ب) يجب على المصارع الاستمرار بدون مدرب")</f>
        <v>ب) يجب على المصارع الاستمرار بدون مدرب</v>
      </c>
      <c r="K119" s="5" t="str">
        <f>IFERROR(__xludf.DUMMYFUNCTION("GOOGLETRANSLATE(E119, ""en"", ""ar"")"),"لا يتم معاقبة المصارع على تصرفات مدربه ولكن يجب عليه إكمال المباراة دون توجيهاته.")</f>
        <v>لا يتم معاقبة المصارع على تصرفات مدربه ولكن يجب عليه إكمال المباراة دون توجيهاته.</v>
      </c>
    </row>
    <row r="120">
      <c r="A120" s="3">
        <v>119.0</v>
      </c>
      <c r="B120" s="4" t="s">
        <v>1078</v>
      </c>
      <c r="C120" s="4" t="s">
        <v>1079</v>
      </c>
      <c r="D120" s="4" t="s">
        <v>1080</v>
      </c>
      <c r="E120" s="4" t="s">
        <v>1081</v>
      </c>
      <c r="G120" s="5" t="str">
        <f>IFERROR(__xludf.DUMMYFUNCTION("GOOGLETRANSLATE(A120, ""en"", ""ar"")"),"119")</f>
        <v>119</v>
      </c>
      <c r="H120" s="5" t="str">
        <f>IFERROR(__xludf.DUMMYFUNCTION("GOOGLETRANSLATE(B120, ""en"", ""ar"")"),"هل هناك قواعد بشأن الحد الأدنى من التدريب الذي يجب أن يحصل عليه المصارع للدخول في المنافسة؟")</f>
        <v>هل هناك قواعد بشأن الحد الأدنى من التدريب الذي يجب أن يحصل عليه المصارع للدخول في المنافسة؟</v>
      </c>
      <c r="I120" s="5" t="str">
        <f>IFERROR(__xludf.DUMMYFUNCTION("GOOGLETRANSLATE(C120, ""en"", ""ar"")"),"أ) لا، يمكن لأي شخص الدخول؛ ب) نعم، يجب أن يكونوا مسجلين في نادٍ معترف به؛ ج) يجب أن يكون لديهم خبرة لا تقل عن عام واحد؛ د) يجب أن يجتازوا اختبار المهارات")</f>
        <v>أ) لا، يمكن لأي شخص الدخول؛ ب) نعم، يجب أن يكونوا مسجلين في نادٍ معترف به؛ ج) يجب أن يكون لديهم خبرة لا تقل عن عام واحد؛ د) يجب أن يجتازوا اختبار المهارات</v>
      </c>
      <c r="J120" s="5" t="str">
        <f>IFERROR(__xludf.DUMMYFUNCTION("GOOGLETRANSLATE(D120, ""en"", ""ar"")"),"ب) نعم، يجب أن يكونوا مسجلين في نادي معترف به.")</f>
        <v>ب) نعم، يجب أن يكونوا مسجلين في نادي معترف به.</v>
      </c>
      <c r="K120" s="5" t="str">
        <f>IFERROR(__xludf.DUMMYFUNCTION("GOOGLETRANSLATE(E120, ""en"", ""ar"")"),"ولضمان الحد الأدنى من المهارة والسلامة، عادة ما يُطلب من المتسابقين أن يكونوا أعضاء في نادي تدريب رسمي أو ""padepokan"".")</f>
        <v>ولضمان الحد الأدنى من المهارة والسلامة، عادة ما يُطلب من المتسابقين أن يكونوا أعضاء في نادي تدريب رسمي أو "padepokan".</v>
      </c>
    </row>
    <row r="121">
      <c r="A121" s="3">
        <v>120.0</v>
      </c>
      <c r="B121" s="4" t="s">
        <v>1082</v>
      </c>
      <c r="C121" s="4" t="s">
        <v>1083</v>
      </c>
      <c r="D121" s="4" t="s">
        <v>1084</v>
      </c>
      <c r="E121" s="4" t="s">
        <v>1085</v>
      </c>
      <c r="G121" s="5" t="str">
        <f>IFERROR(__xludf.DUMMYFUNCTION("GOOGLETRANSLATE(A121, ""en"", ""ar"")"),"120")</f>
        <v>120</v>
      </c>
      <c r="H121" s="5" t="str">
        <f>IFERROR(__xludf.DUMMYFUNCTION("GOOGLETRANSLATE(B121, ""en"", ""ar"")"),"إذا فاز المصارع بسبب انسحاب خصمه، فكيف يتم تسجيل ذلك؟")</f>
        <v>إذا فاز المصارع بسبب انسحاب خصمه، فكيف يتم تسجيل ذلك؟</v>
      </c>
      <c r="I121" s="5" t="str">
        <f>IFERROR(__xludf.DUMMYFUNCTION("GOOGLETRANSLATE(C121, ""en"", ""ar"")"),"أ) كفوز عادي؛ ب) كفوز سهل؛ ج) لم يُسجل كفوز رسمي؛ د) كفوز فني")</f>
        <v>أ) كفوز عادي؛ ب) كفوز سهل؛ ج) لم يُسجل كفوز رسمي؛ د) كفوز فني</v>
      </c>
      <c r="J121" s="5" t="str">
        <f>IFERROR(__xludf.DUMMYFUNCTION("GOOGLETRANSLATE(D121, ""en"", ""ar"")"),"ب) ""كفوز سهل""")</f>
        <v>ب) "كفوز سهل"</v>
      </c>
      <c r="K121" s="5" t="str">
        <f>IFERROR(__xludf.DUMMYFUNCTION("GOOGLETRANSLATE(E121, ""en"", ""ar"")"),"يُطلق رسميًا على الفوز الذي يحدث بسبب فشل الخصم في الظهور أو عدم قدرته على المنافسة اسم ""الانسحاب"".")</f>
        <v>يُطلق رسميًا على الفوز الذي يحدث بسبب فشل الخصم في الظهور أو عدم قدرته على المنافسة اسم "الانسحاب".</v>
      </c>
    </row>
    <row r="122">
      <c r="A122" s="3">
        <v>121.0</v>
      </c>
      <c r="B122" s="4" t="s">
        <v>1086</v>
      </c>
      <c r="C122" s="4" t="s">
        <v>1087</v>
      </c>
      <c r="D122" s="4" t="s">
        <v>1088</v>
      </c>
      <c r="E122" s="4" t="s">
        <v>1089</v>
      </c>
      <c r="G122" s="5" t="str">
        <f>IFERROR(__xludf.DUMMYFUNCTION("GOOGLETRANSLATE(A122, ""en"", ""ar"")"),"121")</f>
        <v>121</v>
      </c>
      <c r="H122" s="5" t="str">
        <f>IFERROR(__xludf.DUMMYFUNCTION("GOOGLETRANSLATE(B122, ""en"", ""ar"")"),"ما هي القاعدة بشأن استخدام نقاط الضغط على الخصم؟")</f>
        <v>ما هي القاعدة بشأن استخدام نقاط الضغط على الخصم؟</v>
      </c>
      <c r="I122" s="5" t="str">
        <f>IFERROR(__xludf.DUMMYFUNCTION("GOOGLETRANSLATE(C122, ""en"", ""ar"")"),"أ) إنها جزء أساسي من التقنية المتقدمة؛ ب) ممنوعة تمامًا؛ ج) فقط على الذراعين والساقين؛ د) فقط إذا لم يحدث أي ألم")</f>
        <v>أ) إنها جزء أساسي من التقنية المتقدمة؛ ب) ممنوعة تمامًا؛ ج) فقط على الذراعين والساقين؛ د) فقط إذا لم يحدث أي ألم</v>
      </c>
      <c r="J122" s="5" t="str">
        <f>IFERROR(__xludf.DUMMYFUNCTION("GOOGLETRANSLATE(D122, ""en"", ""ar"")"),"ب) ممنوع منعاً باتاً")</f>
        <v>ب) ممنوع منعاً باتاً</v>
      </c>
      <c r="K122" s="5" t="str">
        <f>IFERROR(__xludf.DUMMYFUNCTION("GOOGLETRANSLATE(E122, ""en"", ""ar"")"),"يعتبر مهاجمة المراكز العصبية أو نقاط الضغط تقنية خطيرة وغير قانونية.")</f>
        <v>يعتبر مهاجمة المراكز العصبية أو نقاط الضغط تقنية خطيرة وغير قانونية.</v>
      </c>
    </row>
    <row r="123">
      <c r="A123" s="3">
        <v>122.0</v>
      </c>
      <c r="B123" s="4" t="s">
        <v>1090</v>
      </c>
      <c r="C123" s="4" t="s">
        <v>1091</v>
      </c>
      <c r="D123" s="4" t="s">
        <v>1092</v>
      </c>
      <c r="E123" s="4" t="s">
        <v>1093</v>
      </c>
      <c r="G123" s="5" t="str">
        <f>IFERROR(__xludf.DUMMYFUNCTION("GOOGLETRANSLATE(A123, ""en"", ""ar"")"),"122")</f>
        <v>122</v>
      </c>
      <c r="H123" s="5" t="str">
        <f>IFERROR(__xludf.DUMMYFUNCTION("GOOGLETRANSLATE(B123, ""en"", ""ar"")"),"إذا ارتكب الحكم خطأ يؤثر بشكل واضح على نتيجة الجولة، هل يمكن إعادة لعب الجولة؟")</f>
        <v>إذا ارتكب الحكم خطأ يؤثر بشكل واضح على نتيجة الجولة، هل يمكن إعادة لعب الجولة؟</v>
      </c>
      <c r="I123" s="5" t="str">
        <f>IFERROR(__xludf.DUMMYFUNCTION("GOOGLETRANSLATE(C123, ""en"", ""ar"")"),"أ) لا، قرار الحكم نهائي؛ ب) نعم، بعد مراجعة رئيس القضاة؛ ج) فقط إذا اتفق كلا المصارعين؛ د) فقط في مباريات البطولة")</f>
        <v>أ) لا، قرار الحكم نهائي؛ ب) نعم، بعد مراجعة رئيس القضاة؛ ج) فقط إذا اتفق كلا المصارعين؛ د) فقط في مباريات البطولة</v>
      </c>
      <c r="J123" s="5" t="str">
        <f>IFERROR(__xludf.DUMMYFUNCTION("GOOGLETRANSLATE(D123, ""en"", ""ar"")"),"ب) نعم، بعد مراجعة رئيس المحكمة.")</f>
        <v>ب) نعم، بعد مراجعة رئيس المحكمة.</v>
      </c>
      <c r="K123" s="5" t="str">
        <f>IFERROR(__xludf.DUMMYFUNCTION("GOOGLETRANSLATE(E123, ""en"", ""ar"")"),"في حالة ارتكاب الحكم خطأ فني واضح وكبير، يمكن لمسؤول كبير أن يأمر بإعادة الجولة.")</f>
        <v>في حالة ارتكاب الحكم خطأ فني واضح وكبير، يمكن لمسؤول كبير أن يأمر بإعادة الجولة.</v>
      </c>
    </row>
    <row r="124">
      <c r="A124" s="3">
        <v>123.0</v>
      </c>
      <c r="B124" s="4" t="s">
        <v>1094</v>
      </c>
      <c r="C124" s="4" t="s">
        <v>1095</v>
      </c>
      <c r="D124" s="4" t="s">
        <v>1096</v>
      </c>
      <c r="E124" s="4" t="s">
        <v>1097</v>
      </c>
      <c r="G124" s="5" t="str">
        <f>IFERROR(__xludf.DUMMYFUNCTION("GOOGLETRANSLATE(A124, ""en"", ""ar"")"),"123")</f>
        <v>123</v>
      </c>
      <c r="H124" s="5" t="str">
        <f>IFERROR(__xludf.DUMMYFUNCTION("GOOGLETRANSLATE(B124, ""en"", ""ar"")"),"هل يُسمح للمصارع بمواصلة المنافسة إذا كانت معدات الحماية الخاصة به (مثل مئزره) ممزقة؟")</f>
        <v>هل يُسمح للمصارع بمواصلة المنافسة إذا كانت معدات الحماية الخاصة به (مثل مئزره) ممزقة؟</v>
      </c>
      <c r="I124" s="5" t="str">
        <f>IFERROR(__xludf.DUMMYFUNCTION("GOOGLETRANSLATE(C124, ""en"", ""ar"")"),"أ) نعم، يمكنهم الاستمرار؛ ب) لا، يتم إيقاف المباراة مؤقتًا لاستبدال المعدات؛ ج) يجب عليهم الانسحاب من المباراة؛ د) يمكنهم الاستمرار ولكن يخسرون نقطة")</f>
        <v>أ) نعم، يمكنهم الاستمرار؛ ب) لا، يتم إيقاف المباراة مؤقتًا لاستبدال المعدات؛ ج) يجب عليهم الانسحاب من المباراة؛ د) يمكنهم الاستمرار ولكن يخسرون نقطة</v>
      </c>
      <c r="J124" s="5" t="str">
        <f>IFERROR(__xludf.DUMMYFUNCTION("GOOGLETRANSLATE(D124, ""en"", ""ar"")"),"ب) لا، تم إيقاف المباراة مؤقتًا لاستبدال الترس")</f>
        <v>ب) لا، تم إيقاف المباراة مؤقتًا لاستبدال الترس</v>
      </c>
      <c r="K124" s="5" t="str">
        <f>IFERROR(__xludf.DUMMYFUNCTION("GOOGLETRANSLATE(E124, ""en"", ""ar"")"),"إذا تعرض زي المصارع للتلف بطريقة تؤثر على السلامة أو اللياقة، فإن الحكم يوقف القتال حتى يتم إصلاحه.")</f>
        <v>إذا تعرض زي المصارع للتلف بطريقة تؤثر على السلامة أو اللياقة، فإن الحكم يوقف القتال حتى يتم إصلاحه.</v>
      </c>
    </row>
    <row r="125">
      <c r="A125" s="3">
        <v>124.0</v>
      </c>
      <c r="B125" s="4" t="s">
        <v>1098</v>
      </c>
      <c r="C125" s="4" t="s">
        <v>1099</v>
      </c>
      <c r="D125" s="4" t="s">
        <v>1100</v>
      </c>
      <c r="E125" s="4" t="s">
        <v>1101</v>
      </c>
      <c r="G125" s="5" t="str">
        <f>IFERROR(__xludf.DUMMYFUNCTION("GOOGLETRANSLATE(A125, ""en"", ""ar"")"),"124")</f>
        <v>124</v>
      </c>
      <c r="H125" s="5" t="str">
        <f>IFERROR(__xludf.DUMMYFUNCTION("GOOGLETRANSLATE(B125, ""en"", ""ar"")"),"ما هي عقوبة المصارع الذي يثبت مشاركته في المسابقات باسم مزيف؟")</f>
        <v>ما هي عقوبة المصارع الذي يثبت مشاركته في المسابقات باسم مزيف؟</v>
      </c>
      <c r="I125" s="5" t="str">
        <f>IFERROR(__xludf.DUMMYFUNCTION("GOOGLETRANSLATE(C125, ""en"", ""ar"")"),"أ) تحذير؛ ب) غرامة؛ ج) الاستبعاد والإيقاف بسبب الاحتيال؛ د) إلغاء نتيجة المباراة")</f>
        <v>أ) تحذير؛ ب) غرامة؛ ج) الاستبعاد والإيقاف بسبب الاحتيال؛ د) إلغاء نتيجة المباراة</v>
      </c>
      <c r="J125" s="5" t="str">
        <f>IFERROR(__xludf.DUMMYFUNCTION("GOOGLETRANSLATE(D125, ""en"", ""ar"")"),"ج) الاستبعاد والإيقاف بسبب الاحتيال")</f>
        <v>ج) الاستبعاد والإيقاف بسبب الاحتيال</v>
      </c>
      <c r="K125" s="5" t="str">
        <f>IFERROR(__xludf.DUMMYFUNCTION("GOOGLETRANSLATE(E125, ""en"", ""ar"")"),"إن التنافس باستخدام هوية مزيفة يعد عملاً احتيالياً خطيراً يؤدي إلى عقوبات شديدة.")</f>
        <v>إن التنافس باستخدام هوية مزيفة يعد عملاً احتيالياً خطيراً يؤدي إلى عقوبات شديدة.</v>
      </c>
    </row>
    <row r="126">
      <c r="A126" s="3">
        <v>125.0</v>
      </c>
      <c r="B126" s="4" t="s">
        <v>1102</v>
      </c>
      <c r="C126" s="4" t="s">
        <v>1103</v>
      </c>
      <c r="D126" s="4" t="s">
        <v>1104</v>
      </c>
      <c r="E126" s="4" t="s">
        <v>1105</v>
      </c>
      <c r="G126" s="5" t="str">
        <f>IFERROR(__xludf.DUMMYFUNCTION("GOOGLETRANSLATE(A126, ""en"", ""ar"")"),"125")</f>
        <v>125</v>
      </c>
      <c r="H126" s="5" t="str">
        <f>IFERROR(__xludf.DUMMYFUNCTION("GOOGLETRANSLATE(B126, ""en"", ""ar"")"),"هل هناك مجموعات مختلفة من القواعد لمسابقات الشباب مقارنة بمسابقات الكبار؟")</f>
        <v>هل هناك مجموعات مختلفة من القواعد لمسابقات الشباب مقارنة بمسابقات الكبار؟</v>
      </c>
      <c r="I126" s="5" t="str">
        <f>IFERROR(__xludf.DUMMYFUNCTION("GOOGLETRANSLATE(C126, ""en"", ""ar"")"),"أ) لا، القواعد متطابقة؛ ب) نعم، قد تتضمن قواعد الشباب جولات أقصر وقيودًا أكثر؛ ج) فقط التسجيل هو المختلف؛ د) فقط حجم الساحة هو المختلف")</f>
        <v>أ) لا، القواعد متطابقة؛ ب) نعم، قد تتضمن قواعد الشباب جولات أقصر وقيودًا أكثر؛ ج) فقط التسجيل هو المختلف؛ د) فقط حجم الساحة هو المختلف</v>
      </c>
      <c r="J126" s="5" t="str">
        <f>IFERROR(__xludf.DUMMYFUNCTION("GOOGLETRANSLATE(D126, ""en"", ""ar"")"),"ب) نعم، قد تتضمن قواعد الشباب جولات أقصر وقيودًا أكثر")</f>
        <v>ب) نعم، قد تتضمن قواعد الشباب جولات أقصر وقيودًا أكثر</v>
      </c>
      <c r="K126" s="5" t="str">
        <f>IFERROR(__xludf.DUMMYFUNCTION("GOOGLETRANSLATE(E126, ""en"", ""ar"")"),"غالبًا ما يتم تعديل قواعد المسابقات المخصصة للمصارعين الأصغر سنًا، مثل تقصير أوقات المباريات وحظر استخدام تقنيات أكثر خطورة، لضمان السلامة.")</f>
        <v>غالبًا ما يتم تعديل قواعد المسابقات المخصصة للمصارعين الأصغر سنًا، مثل تقصير أوقات المباريات وحظر استخدام تقنيات أكثر خطورة، لضمان السلامة.</v>
      </c>
    </row>
    <row r="127">
      <c r="A127" s="3">
        <v>126.0</v>
      </c>
      <c r="B127" s="4" t="s">
        <v>1106</v>
      </c>
      <c r="C127" s="4" t="s">
        <v>1107</v>
      </c>
      <c r="D127" s="4" t="s">
        <v>1108</v>
      </c>
      <c r="E127" s="4" t="s">
        <v>1109</v>
      </c>
      <c r="G127" s="5" t="str">
        <f>IFERROR(__xludf.DUMMYFUNCTION("GOOGLETRANSLATE(A127, ""en"", ""ar"")"),"126")</f>
        <v>126</v>
      </c>
      <c r="H127" s="5" t="str">
        <f>IFERROR(__xludf.DUMMYFUNCTION("GOOGLETRANSLATE(B127, ""en"", ""ar"")"),"ما هو البروتوكول إذا قام أحد المتفرجين برمي شيء ما في حلبة المصارعة؟")</f>
        <v>ما هو البروتوكول إذا قام أحد المتفرجين برمي شيء ما في حلبة المصارعة؟</v>
      </c>
      <c r="I127" s="5" t="str">
        <f>IFERROR(__xludf.DUMMYFUNCTION("GOOGLETRANSLATE(C127, ""en"", ""ar"")"),"أ) يتم تجاهل الهدف؛ ب) يتم إيقاف المباراة مؤقتًا، ويتم إخراج المتفرج؛ ج) يخسر المصارع الأقرب إلى الهدف نقطة؛ د) يتم إلغاء المباراة على الفور")</f>
        <v>أ) يتم تجاهل الهدف؛ ب) يتم إيقاف المباراة مؤقتًا، ويتم إخراج المتفرج؛ ج) يخسر المصارع الأقرب إلى الهدف نقطة؛ د) يتم إلغاء المباراة على الفور</v>
      </c>
      <c r="J127" s="5" t="str">
        <f>IFERROR(__xludf.DUMMYFUNCTION("GOOGLETRANSLATE(D127, ""en"", ""ar"")"),"ب) يتم إيقاف المباراة مؤقتًا ويتم إخراج المتفرج")</f>
        <v>ب) يتم إيقاف المباراة مؤقتًا ويتم إخراج المتفرج</v>
      </c>
      <c r="K127" s="5" t="str">
        <f>IFERROR(__xludf.DUMMYFUNCTION("GOOGLETRANSLATE(E127, ""en"", ""ar"")"),"يعد رمي الأشياء داخل الحلبة انتهاكًا خطيرًا للسلامة ويتطلب إيقاف المباراة وإخراج المخالف من مكان المباراة.")</f>
        <v>يعد رمي الأشياء داخل الحلبة انتهاكًا خطيرًا للسلامة ويتطلب إيقاف المباراة وإخراج المخالف من مكان المباراة.</v>
      </c>
    </row>
    <row r="128">
      <c r="A128" s="3">
        <v>127.0</v>
      </c>
      <c r="B128" s="4" t="s">
        <v>1110</v>
      </c>
      <c r="C128" s="4" t="s">
        <v>1111</v>
      </c>
      <c r="D128" s="4" t="s">
        <v>1112</v>
      </c>
      <c r="E128" s="4" t="s">
        <v>1113</v>
      </c>
      <c r="G128" s="5" t="str">
        <f>IFERROR(__xludf.DUMMYFUNCTION("GOOGLETRANSLATE(A128, ""en"", ""ar"")"),"127")</f>
        <v>127</v>
      </c>
      <c r="H128" s="5" t="str">
        <f>IFERROR(__xludf.DUMMYFUNCTION("GOOGLETRANSLATE(B128, ""en"", ""ar"")"),"هل يجوز للمصارع استخدام رأسه لضرب جسد خصمه؟")</f>
        <v>هل يجوز للمصارع استخدام رأسه لضرب جسد خصمه؟</v>
      </c>
      <c r="I128" s="5" t="str">
        <f>IFERROR(__xludf.DUMMYFUNCTION("GOOGLETRANSLATE(C128, ""en"", ""ar"")"),"أ) نعم، يُسمح بضربات الرأس على الجسم؛ ب) لا، يُحظر استخدام الرأس كسلاح؛ ج) فقط على كتف الخصم؛ د) فقط إذا كان الخصم على الأرض")</f>
        <v>أ) نعم، يُسمح بضربات الرأس على الجسم؛ ب) لا، يُحظر استخدام الرأس كسلاح؛ ج) فقط على كتف الخصم؛ د) فقط إذا كان الخصم على الأرض</v>
      </c>
      <c r="J128" s="5" t="str">
        <f>IFERROR(__xludf.DUMMYFUNCTION("GOOGLETRANSLATE(D128, ""en"", ""ar"")"),"أ) نعم، يُسمح بضربات الرأس على الجسم")</f>
        <v>أ) نعم، يُسمح بضربات الرأس على الجسم</v>
      </c>
      <c r="K128" s="5" t="str">
        <f>IFERROR(__xludf.DUMMYFUNCTION("GOOGLETRANSLATE(E128, ""en"", ""ar"")"),"في حين أن الضربات على الرأس محظورة، فإن استخدام الرأس لضرب جذع الخصم هي تقنية مسموح بها، وإن كانت محفوفة بالمخاطر.")</f>
        <v>في حين أن الضربات على الرأس محظورة، فإن استخدام الرأس لضرب جذع الخصم هي تقنية مسموح بها، وإن كانت محفوفة بالمخاطر.</v>
      </c>
    </row>
    <row r="129">
      <c r="A129" s="3">
        <v>128.0</v>
      </c>
      <c r="B129" s="4" t="s">
        <v>1114</v>
      </c>
      <c r="C129" s="4" t="s">
        <v>1115</v>
      </c>
      <c r="D129" s="4" t="s">
        <v>1116</v>
      </c>
      <c r="E129" s="4" t="s">
        <v>1117</v>
      </c>
      <c r="G129" s="5" t="str">
        <f>IFERROR(__xludf.DUMMYFUNCTION("GOOGLETRANSLATE(A129, ""en"", ""ar"")"),"128")</f>
        <v>128</v>
      </c>
      <c r="H129" s="5" t="str">
        <f>IFERROR(__xludf.DUMMYFUNCTION("GOOGLETRANSLATE(B129, ""en"", ""ar"")"),"إذا تم استبعاد المصارع بسبب ارتكاب خطأ، فهل يحق له الاحتفاظ بأي نقاط سجلها في وقت سابق من المباراة؟")</f>
        <v>إذا تم استبعاد المصارع بسبب ارتكاب خطأ، فهل يحق له الاحتفاظ بأي نقاط سجلها في وقت سابق من المباراة؟</v>
      </c>
      <c r="I129" s="5" t="str">
        <f>IFERROR(__xludf.DUMMYFUNCTION("GOOGLETRANSLATE(C129, ""en"", ""ar"")"),"أ) نعم، تبقى النقاط في سجلهم؛ ب) لا، يتم إلغاء جميع النقاط؛ ج) يحتفظون بنصف نقاطهم؛ د) فقط النقاط من الجولات السابقة")</f>
        <v>أ) نعم، تبقى النقاط في سجلهم؛ ب) لا، يتم إلغاء جميع النقاط؛ ج) يحتفظون بنصف نقاطهم؛ د) فقط النقاط من الجولات السابقة</v>
      </c>
      <c r="J129" s="5" t="str">
        <f>IFERROR(__xludf.DUMMYFUNCTION("GOOGLETRANSLATE(D129, ""en"", ""ar"")"),"ب) لا، يتم إلغاء جميع النقاط")</f>
        <v>ب) لا، يتم إلغاء جميع النقاط</v>
      </c>
      <c r="K129" s="5" t="str">
        <f>IFERROR(__xludf.DUMMYFUNCTION("GOOGLETRANSLATE(E129, ""en"", ""ar"")"),"إن الاستبعاد يعني خسارة المصارع للمباراة بالكامل، وأي نقاط حصل عليها تصبح باطلة.")</f>
        <v>إن الاستبعاد يعني خسارة المصارع للمباراة بالكامل، وأي نقاط حصل عليها تصبح باطلة.</v>
      </c>
    </row>
    <row r="130">
      <c r="A130" s="3">
        <v>129.0</v>
      </c>
      <c r="B130" s="4" t="s">
        <v>1118</v>
      </c>
      <c r="C130" s="4" t="s">
        <v>1119</v>
      </c>
      <c r="D130" s="4" t="s">
        <v>1120</v>
      </c>
      <c r="E130" s="4" t="s">
        <v>1121</v>
      </c>
      <c r="G130" s="5" t="str">
        <f>IFERROR(__xludf.DUMMYFUNCTION("GOOGLETRANSLATE(A130, ""en"", ""ar"")"),"129")</f>
        <v>129</v>
      </c>
      <c r="H130" s="5" t="str">
        <f>IFERROR(__xludf.DUMMYFUNCTION("GOOGLETRANSLATE(B130, ""en"", ""ar"")"),"هل هناك قواعد تتعلق بسطح عصا المصارعة، كأن يكون أملسًا مثلاً؟")</f>
        <v>هل هناك قواعد تتعلق بسطح عصا المصارعة، كأن يكون أملسًا مثلاً؟</v>
      </c>
      <c r="I130" s="5" t="str">
        <f>IFERROR(__xludf.DUMMYFUNCTION("GOOGLETRANSLATE(C130, ""en"", ""ar"")"),"أ) لا، يُسمح بأي نسيج؛ ب) نعم، يجب أن تكون العصا ناعمة وخالية من الشظايا؛ ج) يمكن لف العصا بشريط لاصق؛ د) فقط العصي الاحتفالية لها قواعد")</f>
        <v>أ) لا، يُسمح بأي نسيج؛ ب) نعم، يجب أن تكون العصا ناعمة وخالية من الشظايا؛ ج) يمكن لف العصا بشريط لاصق؛ د) فقط العصي الاحتفالية لها قواعد</v>
      </c>
      <c r="J130" s="5" t="str">
        <f>IFERROR(__xludf.DUMMYFUNCTION("GOOGLETRANSLATE(D130, ""en"", ""ar"")"),"ب) نعم، يجب أن تكون العصا ناعمة وخالية من الشظايا.")</f>
        <v>ب) نعم، يجب أن تكون العصا ناعمة وخالية من الشظايا.</v>
      </c>
      <c r="K130" s="5" t="str">
        <f>IFERROR(__xludf.DUMMYFUNCTION("GOOGLETRANSLATE(E130, ""en"", ""ar"")"),"من أجل السلامة، يجب أن تكون عصا المصارعة في حالة جيدة، وناعمة، ولا تحتوي على حواف حادة أو شظايا يمكن أن تسبب الإصابة.")</f>
        <v>من أجل السلامة، يجب أن تكون عصا المصارعة في حالة جيدة، وناعمة، ولا تحتوي على حواف حادة أو شظايا يمكن أن تسبب الإصابة.</v>
      </c>
    </row>
    <row r="131">
      <c r="A131" s="3">
        <v>130.0</v>
      </c>
      <c r="B131" s="4" t="s">
        <v>1122</v>
      </c>
      <c r="C131" s="4" t="s">
        <v>1123</v>
      </c>
      <c r="D131" s="4" t="s">
        <v>1124</v>
      </c>
      <c r="E131" s="4" t="s">
        <v>1125</v>
      </c>
      <c r="G131" s="5" t="str">
        <f>IFERROR(__xludf.DUMMYFUNCTION("GOOGLETRANSLATE(A131, ""en"", ""ar"")"),"130")</f>
        <v>130</v>
      </c>
      <c r="H131" s="5" t="str">
        <f>IFERROR(__xludf.DUMMYFUNCTION("GOOGLETRANSLATE(B131, ""en"", ""ar"")"),"ماذا يحدث إذا تم اكتشاف أن مدرب المصارع لا يملك ترخيصًا صالحًا؟")</f>
        <v>ماذا يحدث إذا تم اكتشاف أن مدرب المصارع لا يملك ترخيصًا صالحًا؟</v>
      </c>
      <c r="I131" s="5" t="str">
        <f>IFERROR(__xludf.DUMMYFUNCTION("GOOGLETRANSLATE(C131, ""en"", ""ar"")"),"أ) يتم تحذير المدرب؛ ب) يتم طرد المدرب، وقد يتم استبعاد المصارع؛ ج) يمكن للمدرب الحصول على ترخيص مؤقت على الفور؛ د) لا توجد عقوبة")</f>
        <v>أ) يتم تحذير المدرب؛ ب) يتم طرد المدرب، وقد يتم استبعاد المصارع؛ ج) يمكن للمدرب الحصول على ترخيص مؤقت على الفور؛ د) لا توجد عقوبة</v>
      </c>
      <c r="J131" s="5" t="str">
        <f>IFERROR(__xludf.DUMMYFUNCTION("GOOGLETRANSLATE(D131, ""en"", ""ar"")"),"ب) يتم طرد المدرب، وقد يتم استبعاد المصارع")</f>
        <v>ب) يتم طرد المدرب، وقد يتم استبعاد المصارع</v>
      </c>
      <c r="K131" s="5" t="str">
        <f>IFERROR(__xludf.DUMMYFUNCTION("GOOGLETRANSLATE(E131, ""en"", ""ar"")"),"يجب أن يكون جميع مسؤولي الفريق، بمن فيهم المدربون، حاصلين على اعتمادات قانونية. الاستعانة بمدرب غير مرخص قد يؤدي إلى استبعاد الفريق بأكمله.")</f>
        <v>يجب أن يكون جميع مسؤولي الفريق، بمن فيهم المدربون، حاصلين على اعتمادات قانونية. الاستعانة بمدرب غير مرخص قد يؤدي إلى استبعاد الفريق بأكمله.</v>
      </c>
    </row>
    <row r="132">
      <c r="A132" s="3">
        <v>131.0</v>
      </c>
      <c r="B132" s="4" t="s">
        <v>1126</v>
      </c>
      <c r="C132" s="4" t="s">
        <v>1127</v>
      </c>
      <c r="D132" s="4" t="s">
        <v>1128</v>
      </c>
      <c r="E132" s="4" t="s">
        <v>1129</v>
      </c>
      <c r="G132" s="5" t="str">
        <f>IFERROR(__xludf.DUMMYFUNCTION("GOOGLETRANSLATE(A132, ""en"", ""ar"")"),"131")</f>
        <v>131</v>
      </c>
      <c r="H132" s="5" t="str">
        <f>IFERROR(__xludf.DUMMYFUNCTION("GOOGLETRANSLATE(B132, ""en"", ""ar"")"),"هل يجوز للمصارع أن يطلب حكمًا معينًا لمباراته؟")</f>
        <v>هل يجوز للمصارع أن يطلب حكمًا معينًا لمباراته؟</v>
      </c>
      <c r="I132" s="5" t="str">
        <f>IFERROR(__xludf.DUMMYFUNCTION("GOOGLETRANSLATE(C132, ""en"", ""ar"")"),"أ) نعم، إذا دفعوا رسومًا؛ ب) لا، يتم تعيين الحكام بشكل محايد؛ ج) فقط إذا اتفق كلا المصارعين على الحكم؛ د) فقط لمباراة البطولة")</f>
        <v>أ) نعم، إذا دفعوا رسومًا؛ ب) لا، يتم تعيين الحكام بشكل محايد؛ ج) فقط إذا اتفق كلا المصارعين على الحكم؛ د) فقط لمباراة البطولة</v>
      </c>
      <c r="J132" s="5" t="str">
        <f>IFERROR(__xludf.DUMMYFUNCTION("GOOGLETRANSLATE(D132, ""en"", ""ar"")"),"ب) لا، يتم تعيين الحكام بشكل محايد")</f>
        <v>ب) لا، يتم تعيين الحكام بشكل محايد</v>
      </c>
      <c r="K132" s="5" t="str">
        <f>IFERROR(__xludf.DUMMYFUNCTION("GOOGLETRANSLATE(E132, ""en"", ""ar"")"),"ولضمان العدالة، يتم تعيين الحكام من قبل مسؤولي البطولة، ولا يمكن للمتنافسين اختيار حكامهم بأنفسهم.")</f>
        <v>ولضمان العدالة، يتم تعيين الحكام من قبل مسؤولي البطولة، ولا يمكن للمتنافسين اختيار حكامهم بأنفسهم.</v>
      </c>
    </row>
    <row r="133">
      <c r="A133" s="3">
        <v>132.0</v>
      </c>
      <c r="B133" s="4" t="s">
        <v>1130</v>
      </c>
      <c r="C133" s="4" t="s">
        <v>1131</v>
      </c>
      <c r="D133" s="4" t="s">
        <v>1132</v>
      </c>
      <c r="E133" s="4" t="s">
        <v>1133</v>
      </c>
      <c r="G133" s="5" t="str">
        <f>IFERROR(__xludf.DUMMYFUNCTION("GOOGLETRANSLATE(A133, ""en"", ""ar"")"),"132")</f>
        <v>132</v>
      </c>
      <c r="H133" s="5" t="str">
        <f>IFERROR(__xludf.DUMMYFUNCTION("GOOGLETRANSLATE(B133, ""en"", ""ar"")"),"ما هي القاعدة إذا كان المصارع غير قادر على الاستمرار بسبب حالة طبية سابقة لم يكشف عنها؟")</f>
        <v>ما هي القاعدة إذا كان المصارع غير قادر على الاستمرار بسبب حالة طبية سابقة لم يكشف عنها؟</v>
      </c>
      <c r="I133" s="5" t="str">
        <f>IFERROR(__xludf.DUMMYFUNCTION("GOOGLETRANSLATE(C133, ""en"", ""ar"")"),"أ) المباراة تعادل؛ ب) ينسحبون من المباراة؛ ج) يتم إعادة جدولة المباراة؛ د) يتم إعلان الخصم فائزًا بشكل افتراضي")</f>
        <v>أ) المباراة تعادل؛ ب) ينسحبون من المباراة؛ ج) يتم إعادة جدولة المباراة؛ د) يتم إعلان الخصم فائزًا بشكل افتراضي</v>
      </c>
      <c r="J133" s="5" t="str">
        <f>IFERROR(__xludf.DUMMYFUNCTION("GOOGLETRANSLATE(D133, ""en"", ""ar"")"),"ب) يخسرون المباراة")</f>
        <v>ب) يخسرون المباراة</v>
      </c>
      <c r="K133" s="5" t="str">
        <f>IFERROR(__xludf.DUMMYFUNCTION("GOOGLETRANSLATE(E133, ""en"", ""ar"")"),"يلتزم المصارع باللياقة الطبية للمنافسة. إذا اضطر للانسحاب لأسباب غير معلنة، يُعتبر خاسرًا.")</f>
        <v>يلتزم المصارع باللياقة الطبية للمنافسة. إذا اضطر للانسحاب لأسباب غير معلنة، يُعتبر خاسرًا.</v>
      </c>
    </row>
    <row r="134">
      <c r="A134" s="3">
        <v>133.0</v>
      </c>
      <c r="B134" s="4" t="s">
        <v>1134</v>
      </c>
      <c r="C134" s="4" t="s">
        <v>1135</v>
      </c>
      <c r="D134" s="4" t="s">
        <v>1136</v>
      </c>
      <c r="E134" s="4" t="s">
        <v>1137</v>
      </c>
      <c r="G134" s="5" t="str">
        <f>IFERROR(__xludf.DUMMYFUNCTION("GOOGLETRANSLATE(A134, ""en"", ""ar"")"),"133")</f>
        <v>133</v>
      </c>
      <c r="H134" s="5" t="str">
        <f>IFERROR(__xludf.DUMMYFUNCTION("GOOGLETRANSLATE(B134, ""en"", ""ar"")"),"هل يمكن معاقبة المصارع لعدم إظهاره ""روح القتال"" الكافية؟")</f>
        <v>هل يمكن معاقبة المصارع لعدم إظهاره "روح القتال" الكافية؟</v>
      </c>
      <c r="I134" s="5" t="str">
        <f>IFERROR(__xludf.DUMMYFUNCTION("GOOGLETRANSLATE(C134, ""en"", ""ar"")"),"أ) لا، هذا أمر شخصي؛ ب) نعم، يمكن للحكم أن يحذر المصارع لكونه خاملاً للغاية؛ ج) فقط إذا كان يخسر بشكل سيء؛ د) فقط إذا اشتكى الجمهور")</f>
        <v>أ) لا، هذا أمر شخصي؛ ب) نعم، يمكن للحكم أن يحذر المصارع لكونه خاملاً للغاية؛ ج) فقط إذا كان يخسر بشكل سيء؛ د) فقط إذا اشتكى الجمهور</v>
      </c>
      <c r="J134" s="5" t="str">
        <f>IFERROR(__xludf.DUMMYFUNCTION("GOOGLETRANSLATE(D134, ""en"", ""ar"")"),"ب) نعم، يمكن للحكم أن يحذر المصارع لكونه خاملاً للغاية")</f>
        <v>ب) نعم، يمكن للحكم أن يحذر المصارع لكونه خاملاً للغاية</v>
      </c>
      <c r="K134" s="5" t="str">
        <f>IFERROR(__xludf.DUMMYFUNCTION("GOOGLETRANSLATE(E134, ""en"", ""ar"")"),"على غرار السلبية، يمكن تحذير المصارع الذي يبدو أنه لا يحاول لأنه لم يساهم في مسابقة حقيقية.")</f>
        <v>على غرار السلبية، يمكن تحذير المصارع الذي يبدو أنه لا يحاول لأنه لم يساهم في مسابقة حقيقية.</v>
      </c>
    </row>
    <row r="135">
      <c r="A135" s="3">
        <v>134.0</v>
      </c>
      <c r="B135" s="4" t="s">
        <v>1138</v>
      </c>
      <c r="C135" s="4" t="s">
        <v>1139</v>
      </c>
      <c r="D135" s="4" t="s">
        <v>1140</v>
      </c>
      <c r="E135" s="4" t="s">
        <v>1141</v>
      </c>
      <c r="G135" s="5" t="str">
        <f>IFERROR(__xludf.DUMMYFUNCTION("GOOGLETRANSLATE(A135, ""en"", ""ar"")"),"134")</f>
        <v>134</v>
      </c>
      <c r="H135" s="5" t="str">
        <f>IFERROR(__xludf.DUMMYFUNCTION("GOOGLETRANSLATE(B135, ""en"", ""ar"")"),"هل يجوز استغلال حدود حلبة المصارعة أو أعمدةها للحصول على نفوذ للرمي؟")</f>
        <v>هل يجوز استغلال حدود حلبة المصارعة أو أعمدةها للحصول على نفوذ للرمي؟</v>
      </c>
      <c r="I135" s="5" t="str">
        <f>IFERROR(__xludf.DUMMYFUNCTION("GOOGLETRANSLATE(C135, ""en"", ""ar"")"),"أ) نعم، إنها تكتيك ذكي؛ ب) لا، لا يمكن استخدام الحدود كأداة؛ ج) يمكن استخدام أعمدة الزاوية فقط؛ د) فقط إذا تم ذلك عن طريق الخطأ")</f>
        <v>أ) نعم، إنها تكتيك ذكي؛ ب) لا، لا يمكن استخدام الحدود كأداة؛ ج) يمكن استخدام أعمدة الزاوية فقط؛ د) فقط إذا تم ذلك عن طريق الخطأ</v>
      </c>
      <c r="J135" s="5" t="str">
        <f>IFERROR(__xludf.DUMMYFUNCTION("GOOGLETRANSLATE(D135, ""en"", ""ar"")"),"ب) لا، لا يمكن استخدام الحدود كأداة")</f>
        <v>ب) لا، لا يمكن استخدام الحدود كأداة</v>
      </c>
      <c r="K135" s="5" t="str">
        <f>IFERROR(__xludf.DUMMYFUNCTION("GOOGLETRANSLATE(E135, ""en"", ""ar"")"),"يجب على المصارع الاعتماد على جسده للضغط. استخدام أي جزء من هيكل الحلبة أسلوب غير قانوني.")</f>
        <v>يجب على المصارع الاعتماد على جسده للضغط. استخدام أي جزء من هيكل الحلبة أسلوب غير قانوني.</v>
      </c>
    </row>
    <row r="136">
      <c r="A136" s="3">
        <v>135.0</v>
      </c>
      <c r="B136" s="4" t="s">
        <v>1142</v>
      </c>
      <c r="C136" s="4" t="s">
        <v>1143</v>
      </c>
      <c r="D136" s="4" t="s">
        <v>1144</v>
      </c>
      <c r="E136" s="4" t="s">
        <v>1145</v>
      </c>
      <c r="G136" s="5" t="str">
        <f>IFERROR(__xludf.DUMMYFUNCTION("GOOGLETRANSLATE(A136, ""en"", ""ar"")"),"135")</f>
        <v>135</v>
      </c>
      <c r="H136" s="5" t="str">
        <f>IFERROR(__xludf.DUMMYFUNCTION("GOOGLETRANSLATE(B136, ""en"", ""ar"")"),"ما هو الإجراء إذا كان هناك حاجة إلى مترجم لمصارع دولي؟")</f>
        <v>ما هو الإجراء إذا كان هناك حاجة إلى مترجم لمصارع دولي؟</v>
      </c>
      <c r="I136" s="5" t="str">
        <f>IFERROR(__xludf.DUMMYFUNCTION("GOOGLETRANSLATE(C136, ""en"", ""ar"")"),"أ) يعمل المدرب كمترجم؛ ب) يجب استخدام مترجم رسمي محايد؛ ج) يجب أن يتعلم المصارع اللغة المحلية؛ د) يتم استخدام إشارات اليد بدلاً من ذلك")</f>
        <v>أ) يعمل المدرب كمترجم؛ ب) يجب استخدام مترجم رسمي محايد؛ ج) يجب أن يتعلم المصارع اللغة المحلية؛ د) يتم استخدام إشارات اليد بدلاً من ذلك</v>
      </c>
      <c r="J136" s="5" t="str">
        <f>IFERROR(__xludf.DUMMYFUNCTION("GOOGLETRANSLATE(D136, ""en"", ""ar"")"),"ب) يجب استخدام مترجم رسمي محايد")</f>
        <v>ب) يجب استخدام مترجم رسمي محايد</v>
      </c>
      <c r="K136" s="5" t="str">
        <f>IFERROR(__xludf.DUMMYFUNCTION("GOOGLETRANSLATE(E136, ""en"", ""ar"")"),"ولضمان التواصل الدقيق والنزيه، وخاصة أثناء النزاعات، هناك حاجة إلى مترجمين رسميين.")</f>
        <v>ولضمان التواصل الدقيق والنزيه، وخاصة أثناء النزاعات، هناك حاجة إلى مترجمين رسميين.</v>
      </c>
    </row>
    <row r="137">
      <c r="A137" s="3">
        <v>136.0</v>
      </c>
      <c r="B137" s="4" t="s">
        <v>1146</v>
      </c>
      <c r="C137" s="4" t="s">
        <v>1147</v>
      </c>
      <c r="D137" s="4" t="s">
        <v>1148</v>
      </c>
      <c r="E137" s="4" t="s">
        <v>1149</v>
      </c>
      <c r="G137" s="5" t="str">
        <f>IFERROR(__xludf.DUMMYFUNCTION("GOOGLETRANSLATE(A137, ""en"", ""ar"")"),"136")</f>
        <v>136</v>
      </c>
      <c r="H137" s="5" t="str">
        <f>IFERROR(__xludf.DUMMYFUNCTION("GOOGLETRANSLATE(B137, ""en"", ""ar"")"),"هل يجوز للمصارع ارتداء غطاء رأس واقي أثناء المباراة؟")</f>
        <v>هل يجوز للمصارع ارتداء غطاء رأس واقي أثناء المباراة؟</v>
      </c>
      <c r="I137" s="5" t="str">
        <f>IFERROR(__xludf.DUMMYFUNCTION("GOOGLETRANSLATE(C137, ""en"", ""ar"")"),"أ) نعم، إنه إلزامي؛ ب) لا، لا يُسمح بارتداء غطاء الرأس في المصارعة التقليدية؛ ج) فقط إذا كان لديهم إصابة سابقة في الرأس؛ د) فقط للمصارعين الذين تقل أعمارهم عن 16 عامًا")</f>
        <v>أ) نعم، إنه إلزامي؛ ب) لا، لا يُسمح بارتداء غطاء الرأس في المصارعة التقليدية؛ ج) فقط إذا كان لديهم إصابة سابقة في الرأس؛ د) فقط للمصارعين الذين تقل أعمارهم عن 16 عامًا</v>
      </c>
      <c r="J137" s="5" t="str">
        <f>IFERROR(__xludf.DUMMYFUNCTION("GOOGLETRANSLATE(D137, ""en"", ""ar"")"),"ب) لا، لا يُسمح بارتداء غطاء الرأس في المصارعة التقليدية")</f>
        <v>ب) لا، لا يُسمح بارتداء غطاء الرأس في المصارعة التقليدية</v>
      </c>
      <c r="K137" s="5" t="str">
        <f>IFERROR(__xludf.DUMMYFUNCTION("GOOGLETRANSLATE(E137, ""en"", ""ar"")"),"يتم ممارسة المصارعة النوبية التقليدية دون استخدام معدات الحماية الحديثة مثل واقيات الرأس.")</f>
        <v>يتم ممارسة المصارعة النوبية التقليدية دون استخدام معدات الحماية الحديثة مثل واقيات الرأس.</v>
      </c>
    </row>
    <row r="138">
      <c r="A138" s="3">
        <v>137.0</v>
      </c>
      <c r="B138" s="4" t="s">
        <v>1150</v>
      </c>
      <c r="C138" s="4" t="s">
        <v>1151</v>
      </c>
      <c r="D138" s="4" t="s">
        <v>1152</v>
      </c>
      <c r="E138" s="4" t="s">
        <v>1153</v>
      </c>
      <c r="G138" s="5" t="str">
        <f>IFERROR(__xludf.DUMMYFUNCTION("GOOGLETRANSLATE(A138, ""en"", ""ar"")"),"137")</f>
        <v>137</v>
      </c>
      <c r="H138" s="5" t="str">
        <f>IFERROR(__xludf.DUMMYFUNCTION("GOOGLETRANSLATE(B138, ""en"", ""ar"")"),"ماذا يحدث إذا تم العثور على مصارع يحمل شيئًا محظورًا (مثل حجر صغير) مخفيًا في أربطة يديه؟")</f>
        <v>ماذا يحدث إذا تم العثور على مصارع يحمل شيئًا محظورًا (مثل حجر صغير) مخفيًا في أربطة يديه؟</v>
      </c>
      <c r="I138" s="5" t="str">
        <f>IFERROR(__xludf.DUMMYFUNCTION("GOOGLETRANSLATE(C138, ""en"", ""ar"")"),"أ) يتم إزالة الجسم، ويتم توجيه تحذير؛ ب) يتم استبعاد المصارع على الفور ويواجه إيقافًا طويلًا؛ ج) يتم خصم نقطة؛ د) يتم إعادة بدء المباراة")</f>
        <v>أ) يتم إزالة الجسم، ويتم توجيه تحذير؛ ب) يتم استبعاد المصارع على الفور ويواجه إيقافًا طويلًا؛ ج) يتم خصم نقطة؛ د) يتم إعادة بدء المباراة</v>
      </c>
      <c r="J138" s="5" t="str">
        <f>IFERROR(__xludf.DUMMYFUNCTION("GOOGLETRANSLATE(D138, ""en"", ""ar"")"),"ب) يتم استبعاد المصارع على الفور ويواجه إيقافًا طويلًا")</f>
        <v>ب) يتم استبعاد المصارع على الفور ويواجه إيقافًا طويلًا</v>
      </c>
      <c r="K138" s="5" t="str">
        <f>IFERROR(__xludf.DUMMYFUNCTION("GOOGLETRANSLATE(E138, ""en"", ""ar"")"),"إن إخفاء جسم غريب يعد عملاً خطيراً واحتيالياً بقصد الإيذاء، ويعاقب عليه بأشد العقوبات.")</f>
        <v>إن إخفاء جسم غريب يعد عملاً خطيراً واحتيالياً بقصد الإيذاء، ويعاقب عليه بأشد العقوبات.</v>
      </c>
    </row>
    <row r="139">
      <c r="A139" s="3">
        <v>138.0</v>
      </c>
      <c r="B139" s="4" t="s">
        <v>1154</v>
      </c>
      <c r="C139" s="4" t="s">
        <v>1155</v>
      </c>
      <c r="D139" s="4" t="s">
        <v>1156</v>
      </c>
      <c r="E139" s="4" t="s">
        <v>1157</v>
      </c>
      <c r="G139" s="5" t="str">
        <f>IFERROR(__xludf.DUMMYFUNCTION("GOOGLETRANSLATE(A139, ""en"", ""ar"")"),"138")</f>
        <v>138</v>
      </c>
      <c r="H139" s="5" t="str">
        <f>IFERROR(__xludf.DUMMYFUNCTION("GOOGLETRANSLATE(B139, ""en"", ""ar"")"),"هل هناك قواعد تتعلق بوزن وتوازن عصي المصارعة المستخدمة؟")</f>
        <v>هل هناك قواعد تتعلق بوزن وتوازن عصي المصارعة المستخدمة؟</v>
      </c>
      <c r="I139" s="5" t="str">
        <f>IFERROR(__xludf.DUMMYFUNCTION("GOOGLETRANSLATE(C139, ""en"", ""ar"")"),"أ) لا، يمكن للمصارعين إحضار عصيهم الخاصة؛ ب) نعم، يجب أن تكون العصي موحدة ومقدمة من قبل المنظم؛ ج) يحصل المصارع الأثقل وزنًا على عصا أخف وزنًا؛ د) يتم اختيار العصي عن طريق اليانصيب")</f>
        <v>أ) لا، يمكن للمصارعين إحضار عصيهم الخاصة؛ ب) نعم، يجب أن تكون العصي موحدة ومقدمة من قبل المنظم؛ ج) يحصل المصارع الأثقل وزنًا على عصا أخف وزنًا؛ د) يتم اختيار العصي عن طريق اليانصيب</v>
      </c>
      <c r="J139" s="5" t="str">
        <f>IFERROR(__xludf.DUMMYFUNCTION("GOOGLETRANSLATE(D139, ""en"", ""ar"")"),"ب) نعم، يجب أن تكون العصي موحدة ومقدمة من قبل المنظم")</f>
        <v>ب) نعم، يجب أن تكون العصي موحدة ومقدمة من قبل المنظم</v>
      </c>
      <c r="K139" s="5" t="str">
        <f>IFERROR(__xludf.DUMMYFUNCTION("GOOGLETRANSLATE(E139, ""en"", ""ar"")"),"ولضمان العدالة، يجب على جميع المنافسين في المباراة استخدام معدات رسمية وموحدة.")</f>
        <v>ولضمان العدالة، يجب على جميع المنافسين في المباراة استخدام معدات رسمية وموحدة.</v>
      </c>
    </row>
    <row r="140">
      <c r="A140" s="3">
        <v>139.0</v>
      </c>
      <c r="B140" s="4" t="s">
        <v>1158</v>
      </c>
      <c r="C140" s="4" t="s">
        <v>1159</v>
      </c>
      <c r="D140" s="4" t="s">
        <v>1160</v>
      </c>
      <c r="E140" s="4" t="s">
        <v>1161</v>
      </c>
      <c r="G140" s="5" t="str">
        <f>IFERROR(__xludf.DUMMYFUNCTION("GOOGLETRANSLATE(A140, ""en"", ""ar"")"),"139")</f>
        <v>139</v>
      </c>
      <c r="H140" s="5" t="str">
        <f>IFERROR(__xludf.DUMMYFUNCTION("GOOGLETRANSLATE(B140, ""en"", ""ar"")"),"ما الحكم إذا كان فوز المصارع نتيجة مباشرة لخطأ واضح وجلي من الحكم؟")</f>
        <v>ما الحكم إذا كان فوز المصارع نتيجة مباشرة لخطأ واضح وجلي من الحكم؟</v>
      </c>
      <c r="I140" s="5" t="str">
        <f>IFERROR(__xludf.DUMMYFUNCTION("GOOGLETRANSLATE(C140, ""en"", ""ar"")"),"أ) النتيجة ثابتة؛ ب) يمكن إلغاء النتيجة من قبل لجنة المراجعة؛ ج) يجب إعادة المباراة؛ د) يتم تقسيم جائزة المال")</f>
        <v>أ) النتيجة ثابتة؛ ب) يمكن إلغاء النتيجة من قبل لجنة المراجعة؛ ج) يجب إعادة المباراة؛ د) يتم تقسيم جائزة المال</v>
      </c>
      <c r="J140" s="5" t="str">
        <f>IFERROR(__xludf.DUMMYFUNCTION("GOOGLETRANSLATE(D140, ""en"", ""ar"")"),"ب) يمكن إلغاء النتيجة من قبل لجنة المراجعة")</f>
        <v>ب) يمكن إلغاء النتيجة من قبل لجنة المراجعة</v>
      </c>
      <c r="K140" s="5" t="str">
        <f>IFERROR(__xludf.DUMMYFUNCTION("GOOGLETRANSLATE(E140, ""en"", ""ar"")"),"في حالات استثنائية لخطأ فني صارخ من قبل أحد المسؤولين، يمكن أن يؤدي الاحتجاج إلى تغيير النتيجة عند المراجعة.")</f>
        <v>في حالات استثنائية لخطأ فني صارخ من قبل أحد المسؤولين، يمكن أن يؤدي الاحتجاج إلى تغيير النتيجة عند المراجعة.</v>
      </c>
    </row>
    <row r="141">
      <c r="A141" s="3">
        <v>140.0</v>
      </c>
      <c r="B141" s="4" t="s">
        <v>1162</v>
      </c>
      <c r="C141" s="4" t="s">
        <v>1163</v>
      </c>
      <c r="D141" s="4" t="s">
        <v>1164</v>
      </c>
      <c r="E141" s="4" t="s">
        <v>1165</v>
      </c>
      <c r="G141" s="5" t="str">
        <f>IFERROR(__xludf.DUMMYFUNCTION("GOOGLETRANSLATE(A141, ""en"", ""ar"")"),"140")</f>
        <v>140</v>
      </c>
      <c r="H141" s="5" t="str">
        <f>IFERROR(__xludf.DUMMYFUNCTION("GOOGLETRANSLATE(B141, ""en"", ""ar"")"),"هل يجوز للمصارع الاستمرار في القتال إذا فقد أحد أسنانه؟")</f>
        <v>هل يجوز للمصارع الاستمرار في القتال إذا فقد أحد أسنانه؟</v>
      </c>
      <c r="I141" s="5" t="str">
        <f>IFERROR(__xludf.DUMMYFUNCTION("GOOGLETRANSLATE(C141, ""en"", ""ar"")"),"أ) لا، يتم إيقاف المباراة على الفور؛ ب) نعم، إذا تم السيطرة على النزيف ويرغبون في الاستمرار؛ ج) فقط إذا كانوا يرتدون واقي الفم؛ د) فقط في الجولة النهائية")</f>
        <v>أ) لا، يتم إيقاف المباراة على الفور؛ ب) نعم، إذا تم السيطرة على النزيف ويرغبون في الاستمرار؛ ج) فقط إذا كانوا يرتدون واقي الفم؛ د) فقط في الجولة النهائية</v>
      </c>
      <c r="J141" s="5" t="str">
        <f>IFERROR(__xludf.DUMMYFUNCTION("GOOGLETRANSLATE(D141, ""en"", ""ar"")"),"ب) نعم، إذا تم السيطرة على النزيف ويرغبون في الاستمرار")</f>
        <v>ب) نعم، إذا تم السيطرة على النزيف ويرغبون في الاستمرار</v>
      </c>
      <c r="K141" s="5" t="str">
        <f>IFERROR(__xludf.DUMMYFUNCTION("GOOGLETRANSLATE(E141, ""en"", ""ar"")"),"لا تعتبر الأسنان المفقودة إصابة خطيرة بما يكفي لإيقاف القتال تلقائيًا، بشرط أن يحصل المصارع على تصريح طبي للمتابعة.")</f>
        <v>لا تعتبر الأسنان المفقودة إصابة خطيرة بما يكفي لإيقاف القتال تلقائيًا، بشرط أن يحصل المصارع على تصريح طبي للمتابعة.</v>
      </c>
    </row>
    <row r="142">
      <c r="A142" s="3">
        <v>141.0</v>
      </c>
      <c r="B142" s="4" t="s">
        <v>1166</v>
      </c>
      <c r="C142" s="4" t="s">
        <v>1167</v>
      </c>
      <c r="D142" s="4" t="s">
        <v>1168</v>
      </c>
      <c r="E142" s="4" t="s">
        <v>1169</v>
      </c>
      <c r="G142" s="5" t="str">
        <f>IFERROR(__xludf.DUMMYFUNCTION("GOOGLETRANSLATE(A142, ""en"", ""ar"")"),"141")</f>
        <v>141</v>
      </c>
      <c r="H142" s="5" t="str">
        <f>IFERROR(__xludf.DUMMYFUNCTION("GOOGLETRANSLATE(B142, ""en"", ""ar"")"),"ما هي العقوبة التي يتعرض لها الفريق الذي يثبت تجسسه على جلسات التدريب الخاصة للفريق المنافس؟")</f>
        <v>ما هي العقوبة التي يتعرض لها الفريق الذي يثبت تجسسه على جلسات التدريب الخاصة للفريق المنافس؟</v>
      </c>
      <c r="I142" s="5" t="str">
        <f>IFERROR(__xludf.DUMMYFUNCTION("GOOGLETRANSLATE(C142, ""en"", ""ar"")"),"أ) لا توجد عقوبة؛ ب) تحذير بسبب السلوك غير الرياضي؛ ج) يمكن استبعاد الفريق من البطولة؛ د) يتم إعطاء الفريق الآخر التفاصيل الاستراتيجية للجواسيس")</f>
        <v>أ) لا توجد عقوبة؛ ب) تحذير بسبب السلوك غير الرياضي؛ ج) يمكن استبعاد الفريق من البطولة؛ د) يتم إعطاء الفريق الآخر التفاصيل الاستراتيجية للجواسيس</v>
      </c>
      <c r="J142" s="5" t="str">
        <f>IFERROR(__xludf.DUMMYFUNCTION("GOOGLETRANSLATE(D142, ""en"", ""ar"")"),"ج) يمكن استبعاد الفريق من البطولة")</f>
        <v>ج) يمكن استبعاد الفريق من البطولة</v>
      </c>
      <c r="K142" s="5" t="str">
        <f>IFERROR(__xludf.DUMMYFUNCTION("GOOGLETRANSLATE(E142, ""en"", ""ar"")"),"يعد التجسس انتهاكا صارخا لأخلاقيات الرياضة وقد يؤدي إلى إبعاد الفريق بأكمله من المنافسة.")</f>
        <v>يعد التجسس انتهاكا صارخا لأخلاقيات الرياضة وقد يؤدي إلى إبعاد الفريق بأكمله من المنافسة.</v>
      </c>
    </row>
    <row r="143">
      <c r="A143" s="3">
        <v>142.0</v>
      </c>
      <c r="B143" s="4" t="s">
        <v>1170</v>
      </c>
      <c r="C143" s="4" t="s">
        <v>1171</v>
      </c>
      <c r="D143" s="4" t="s">
        <v>1172</v>
      </c>
      <c r="E143" s="4" t="s">
        <v>1173</v>
      </c>
      <c r="G143" s="5" t="str">
        <f>IFERROR(__xludf.DUMMYFUNCTION("GOOGLETRANSLATE(A143, ""en"", ""ar"")"),"142")</f>
        <v>142</v>
      </c>
      <c r="H143" s="5" t="str">
        <f>IFERROR(__xludf.DUMMYFUNCTION("GOOGLETRANSLATE(B143, ""en"", ""ar"")"),"هل يمكن استبعاد المصارع بسبب رفضه اتباع تعليمات الحكم بالتوقف عن الإمساك؟")</f>
        <v>هل يمكن استبعاد المصارع بسبب رفضه اتباع تعليمات الحكم بالتوقف عن الإمساك؟</v>
      </c>
      <c r="I143" s="5" t="str">
        <f>IFERROR(__xludf.DUMMYFUNCTION("GOOGLETRANSLATE(C143, ""en"", ""ar"")"),"أ) لا، يمكنهم الاحتفاظ بالكرة طالما أرادوا؛ ب) نعم، بعد تحذير شفهي؛ ج) فقط إذا كان الاحتفاظ غير قانوني؛ د) فقط إذا اشتكى خصمهم")</f>
        <v>أ) لا، يمكنهم الاحتفاظ بالكرة طالما أرادوا؛ ب) نعم، بعد تحذير شفهي؛ ج) فقط إذا كان الاحتفاظ غير قانوني؛ د) فقط إذا اشتكى خصمهم</v>
      </c>
      <c r="J143" s="5" t="str">
        <f>IFERROR(__xludf.DUMMYFUNCTION("GOOGLETRANSLATE(D143, ""en"", ""ar"")"),"ب) نعم، بعد الإنذار الشفهي")</f>
        <v>ب) نعم، بعد الإنذار الشفهي</v>
      </c>
      <c r="K143" s="5" t="str">
        <f>IFERROR(__xludf.DUMMYFUNCTION("GOOGLETRANSLATE(E143, ""en"", ""ar"")"),"إن رفض الامتثال لأوامر الحكم، مثل ""الاستراحة""، يعد عملاً من أعمال العصيان الذي قد يؤدي إلى الاستبعاد.")</f>
        <v>إن رفض الامتثال لأوامر الحكم، مثل "الاستراحة"، يعد عملاً من أعمال العصيان الذي قد يؤدي إلى الاستبعاد.</v>
      </c>
    </row>
    <row r="144">
      <c r="A144" s="3">
        <v>143.0</v>
      </c>
      <c r="B144" s="4" t="s">
        <v>1174</v>
      </c>
      <c r="C144" s="4" t="s">
        <v>1175</v>
      </c>
      <c r="D144" s="4" t="s">
        <v>1176</v>
      </c>
      <c r="E144" s="4" t="s">
        <v>1177</v>
      </c>
      <c r="G144" s="5" t="str">
        <f>IFERROR(__xludf.DUMMYFUNCTION("GOOGLETRANSLATE(A144, ""en"", ""ar"")"),"143")</f>
        <v>143</v>
      </c>
      <c r="H144" s="5" t="str">
        <f>IFERROR(__xludf.DUMMYFUNCTION("GOOGLETRANSLATE(B144, ""en"", ""ar"")"),"هل يشترط مباركة ساحة المصارعة أو إقامة مراسم تقليدية قبل بدء المسابقة؟")</f>
        <v>هل يشترط مباركة ساحة المصارعة أو إقامة مراسم تقليدية قبل بدء المسابقة؟</v>
      </c>
      <c r="I144" s="5" t="str">
        <f>IFERROR(__xludf.DUMMYFUNCTION("GOOGLETRANSLATE(C144, ""en"", ""ar"")"),"أ) لا، هذه ليست قاعدة؛ ب) نعم، إنه متطلب ثقافي إلزامي؛ ج) فقط للبطولات الوطنية؛ د) فقط إذا طلب شيوخ القرية ذلك")</f>
        <v>أ) لا، هذه ليست قاعدة؛ ب) نعم، إنه متطلب ثقافي إلزامي؛ ج) فقط للبطولات الوطنية؛ د) فقط إذا طلب شيوخ القرية ذلك</v>
      </c>
      <c r="J144" s="5" t="str">
        <f>IFERROR(__xludf.DUMMYFUNCTION("GOOGLETRANSLATE(D144, ""en"", ""ar"")"),"ب) نعم، إنه متطلب ثقافي إلزامي.")</f>
        <v>ب) نعم، إنه متطلب ثقافي إلزامي.</v>
      </c>
      <c r="K144" s="5" t="str">
        <f>IFERROR(__xludf.DUMMYFUNCTION("GOOGLETRANSLATE(E144, ""en"", ""ar"")"),"إن الحدث ليس مجرد رياضة بل هو تقليد ثقافي، وتشكل البركة الاحتفالية للحلبة جزءًا أساسيًا ومطلوبًا من الإجراءات.")</f>
        <v>إن الحدث ليس مجرد رياضة بل هو تقليد ثقافي، وتشكل البركة الاحتفالية للحلبة جزءًا أساسيًا ومطلوبًا من الإجراءات.</v>
      </c>
    </row>
    <row r="145">
      <c r="A145" s="3">
        <v>144.0</v>
      </c>
      <c r="B145" s="4" t="s">
        <v>1178</v>
      </c>
      <c r="C145" s="4" t="s">
        <v>1179</v>
      </c>
      <c r="D145" s="4" t="s">
        <v>1180</v>
      </c>
      <c r="E145" s="4" t="s">
        <v>1181</v>
      </c>
      <c r="G145" s="5" t="str">
        <f>IFERROR(__xludf.DUMMYFUNCTION("GOOGLETRANSLATE(A145, ""en"", ""ar"")"),"144")</f>
        <v>144</v>
      </c>
      <c r="H145" s="5" t="str">
        <f>IFERROR(__xludf.DUMMYFUNCTION("GOOGLETRANSLATE(B145, ""en"", ""ar"")"),"ما هي القاعدة إذا هاجم المصارع إصابة قديمة معروفة لخصمه؟")</f>
        <v>ما هي القاعدة إذا هاجم المصارع إصابة قديمة معروفة لخصمه؟</v>
      </c>
      <c r="I145" s="5" t="str">
        <f>IFERROR(__xludf.DUMMYFUNCTION("GOOGLETRANSLATE(C145, ""en"", ""ar"")"),"أ) إنها استراتيجية ذكية ولكنها قانونية؛ ب) تعتبر غير رياضية ويمكن معاقبتها؛ ج) مسموح بها فقط إذا لم يتم تضميد الإصابة؛ د) لا توجد قاعدة ضدها")</f>
        <v>أ) إنها استراتيجية ذكية ولكنها قانونية؛ ب) تعتبر غير رياضية ويمكن معاقبتها؛ ج) مسموح بها فقط إذا لم يتم تضميد الإصابة؛ د) لا توجد قاعدة ضدها</v>
      </c>
      <c r="J145" s="5" t="str">
        <f>IFERROR(__xludf.DUMMYFUNCTION("GOOGLETRANSLATE(D145, ""en"", ""ar"")"),"ب) يعتبر هذا غير رياضي ويمكن معاقبته")</f>
        <v>ب) يعتبر هذا غير رياضي ويمكن معاقبته</v>
      </c>
      <c r="K145" s="5" t="str">
        <f>IFERROR(__xludf.DUMMYFUNCTION("GOOGLETRANSLATE(E145, ""en"", ""ar"")"),"ورغم أنه ليس من السهل دائمًا إثبات ذلك، فإن استهداف إصابة معروفة عمدًا يعد انتهاكًا لقانون الشرف غير المكتوب في هذه الرياضة، ويمكن أن يعاقب عليه الحكم.")</f>
        <v>ورغم أنه ليس من السهل دائمًا إثبات ذلك، فإن استهداف إصابة معروفة عمدًا يعد انتهاكًا لقانون الشرف غير المكتوب في هذه الرياضة، ويمكن أن يعاقب عليه الحكم.</v>
      </c>
    </row>
    <row r="146">
      <c r="A146" s="3">
        <v>145.0</v>
      </c>
      <c r="B146" s="4" t="s">
        <v>1182</v>
      </c>
      <c r="C146" s="4" t="s">
        <v>1183</v>
      </c>
      <c r="D146" s="4" t="s">
        <v>1184</v>
      </c>
      <c r="E146" s="4" t="s">
        <v>1185</v>
      </c>
      <c r="G146" s="5" t="str">
        <f>IFERROR(__xludf.DUMMYFUNCTION("GOOGLETRANSLATE(A146, ""en"", ""ar"")"),"145")</f>
        <v>145</v>
      </c>
      <c r="H146" s="5" t="str">
        <f>IFERROR(__xludf.DUMMYFUNCTION("GOOGLETRANSLATE(B146, ""en"", ""ar"")"),"هل هناك شروط خاصة باللياقة البدنية للحكام؟")</f>
        <v>هل هناك شروط خاصة باللياقة البدنية للحكام؟</v>
      </c>
      <c r="I146" s="5" t="str">
        <f>IFERROR(__xludf.DUMMYFUNCTION("GOOGLETRANSLATE(C146, ""en"", ""ar"")"),"أ) لا، يمكن لأي شخص أن يكون حكمًا؛ ب) نعم، يجب على الحكام اجتياز اختبار اللياقة البدنية؛ ج) فقط للحكام الدوليين؛ د) يجب أن يكونوا تحت سن معينة")</f>
        <v>أ) لا، يمكن لأي شخص أن يكون حكمًا؛ ب) نعم، يجب على الحكام اجتياز اختبار اللياقة البدنية؛ ج) فقط للحكام الدوليين؛ د) يجب أن يكونوا تحت سن معينة</v>
      </c>
      <c r="J146" s="5" t="str">
        <f>IFERROR(__xludf.DUMMYFUNCTION("GOOGLETRANSLATE(D146, ""en"", ""ar"")"),"ب) نعم، يجب على الحكام اجتياز اختبار اللياقة البدنية.")</f>
        <v>ب) نعم، يجب على الحكام اجتياز اختبار اللياقة البدنية.</v>
      </c>
      <c r="K146" s="5" t="str">
        <f>IFERROR(__xludf.DUMMYFUNCTION("GOOGLETRANSLATE(E146, ""en"", ""ar"")"),"من أجل مواكبة الأحداث والحفاظ على السيطرة على المباراة، يتعين على الحكام استيفاء مستوى معين من اللياقة البدنية.")</f>
        <v>من أجل مواكبة الأحداث والحفاظ على السيطرة على المباراة، يتعين على الحكام استيفاء مستوى معين من اللياقة البدنية.</v>
      </c>
    </row>
    <row r="147">
      <c r="A147" s="3">
        <v>146.0</v>
      </c>
      <c r="B147" s="4" t="s">
        <v>1186</v>
      </c>
      <c r="C147" s="4" t="s">
        <v>1187</v>
      </c>
      <c r="D147" s="4" t="s">
        <v>1188</v>
      </c>
      <c r="E147" s="4" t="s">
        <v>1189</v>
      </c>
      <c r="G147" s="5" t="str">
        <f>IFERROR(__xludf.DUMMYFUNCTION("GOOGLETRANSLATE(A147, ""en"", ""ar"")"),"146")</f>
        <v>146</v>
      </c>
      <c r="H147" s="5" t="str">
        <f>IFERROR(__xludf.DUMMYFUNCTION("GOOGLETRANSLATE(B147, ""en"", ""ar"")"),"إذا تم إلقاء المصارع على الأرض، ما هو الحد الأقصى للوقت الذي يمكنه البقاء فيه على الأرض قبل أن يضطر إلى إعادة الاشتباك؟")</f>
        <v>إذا تم إلقاء المصارع على الأرض، ما هو الحد الأقصى للوقت الذي يمكنه البقاء فيه على الأرض قبل أن يضطر إلى إعادة الاشتباك؟</v>
      </c>
      <c r="I147" s="5" t="str">
        <f>IFERROR(__xludf.DUMMYFUNCTION("GOOGLETRANSLATE(C147, ""en"", ""ar"")"),"أ) لا يوجد حد زمني؛ ب) 5 ثوانٍ؛ ج) 10 ثوانٍ؛ د) سيطلب منهم الحكم النهوض فورًا")</f>
        <v>أ) لا يوجد حد زمني؛ ب) 5 ثوانٍ؛ ج) 10 ثوانٍ؛ د) سيطلب منهم الحكم النهوض فورًا</v>
      </c>
      <c r="J147" s="5" t="str">
        <f>IFERROR(__xludf.DUMMYFUNCTION("GOOGLETRANSLATE(D147, ""en"", ""ar"")"),"د) يطلب منهم الحكم النهوض فورًا")</f>
        <v>د) يطلب منهم الحكم النهوض فورًا</v>
      </c>
      <c r="K147" s="5" t="str">
        <f>IFERROR(__xludf.DUMMYFUNCTION("GOOGLETRANSLATE(E147, ""en"", ""ar"")"),"للحفاظ على استمرار الحركة، يجب على المصارع الموجود على الأرض ولكنه غير مثبت أن يعمل فورًا على العودة إلى قدميه أو إلى وضع المصارعة الدائمة.")</f>
        <v>للحفاظ على استمرار الحركة، يجب على المصارع الموجود على الأرض ولكنه غير مثبت أن يعمل فورًا على العودة إلى قدميه أو إلى وضع المصارعة الدائمة.</v>
      </c>
    </row>
    <row r="148">
      <c r="A148" s="3">
        <v>147.0</v>
      </c>
      <c r="B148" s="4" t="s">
        <v>1190</v>
      </c>
      <c r="C148" s="4" t="s">
        <v>1191</v>
      </c>
      <c r="D148" s="4" t="s">
        <v>1020</v>
      </c>
      <c r="E148" s="4" t="s">
        <v>1192</v>
      </c>
      <c r="G148" s="5" t="str">
        <f>IFERROR(__xludf.DUMMYFUNCTION("GOOGLETRANSLATE(A148, ""en"", ""ar"")"),"147")</f>
        <v>147</v>
      </c>
      <c r="H148" s="5" t="str">
        <f>IFERROR(__xludf.DUMMYFUNCTION("GOOGLETRANSLATE(B148, ""en"", ""ar"")"),"ما هي عقوبة المصارع الذي يستخدم لغة مهينة تجاه خصمه؟")</f>
        <v>ما هي عقوبة المصارع الذي يستخدم لغة مهينة تجاه خصمه؟</v>
      </c>
      <c r="I148" s="5" t="str">
        <f>IFERROR(__xludf.DUMMYFUNCTION("GOOGLETRANSLATE(C148, ""en"", ""ar"")"),"أ) لا توجد عقوبة؛ ب) تحذير رسمي لعدم الاحترام؛ ج) يتم خصم نقطة؛ د) الاستبعاد")</f>
        <v>أ) لا توجد عقوبة؛ ب) تحذير رسمي لعدم الاحترام؛ ج) يتم خصم نقطة؛ د) الاستبعاد</v>
      </c>
      <c r="J148" s="5" t="str">
        <f>IFERROR(__xludf.DUMMYFUNCTION("GOOGLETRANSLATE(D148, ""en"", ""ar"")"),"ب) تحذير رسمي لعدم الاحترام")</f>
        <v>ب) تحذير رسمي لعدم الاحترام</v>
      </c>
      <c r="K148" s="5" t="str">
        <f>IFERROR(__xludf.DUMMYFUNCTION("GOOGLETRANSLATE(E148, ""en"", ""ar"")"),"إن الإساءة اللفظية تنتهك قواعد السلوك وسيتم مواجهتها بتحذير، مع حالات أخرى تؤدي إلى خصم النقاط.")</f>
        <v>إن الإساءة اللفظية تنتهك قواعد السلوك وسيتم مواجهتها بتحذير، مع حالات أخرى تؤدي إلى خصم النقاط.</v>
      </c>
    </row>
    <row r="149">
      <c r="A149" s="3">
        <v>148.0</v>
      </c>
      <c r="B149" s="4" t="s">
        <v>1193</v>
      </c>
      <c r="C149" s="4" t="s">
        <v>1194</v>
      </c>
      <c r="D149" s="4" t="s">
        <v>1195</v>
      </c>
      <c r="E149" s="4" t="s">
        <v>1196</v>
      </c>
      <c r="G149" s="5" t="str">
        <f>IFERROR(__xludf.DUMMYFUNCTION("GOOGLETRANSLATE(A149, ""en"", ""ar"")"),"148")</f>
        <v>148</v>
      </c>
      <c r="H149" s="5" t="str">
        <f>IFERROR(__xludf.DUMMYFUNCTION("GOOGLETRANSLATE(B149, ""en"", ""ar"")"),"هل يجوز استعمال العصا للضغط على رقبة أو حلق الخصم؟")</f>
        <v>هل يجوز استعمال العصا للضغط على رقبة أو حلق الخصم؟</v>
      </c>
      <c r="I149" s="5" t="str">
        <f>IFERROR(__xludf.DUMMYFUNCTION("GOOGLETRANSLATE(C149, ""en"", ""ar"")"),"أ) نعم، إذا أجبر على الخضوع؛ ب) لا، هذه حركة خطيرة وغير قانونية؛ ج) فقط بالجانب المسطح من العصا؛ د) فقط للحظة وجيزة")</f>
        <v>أ) نعم، إذا أجبر على الخضوع؛ ب) لا، هذه حركة خطيرة وغير قانونية؛ ج) فقط بالجانب المسطح من العصا؛ د) فقط للحظة وجيزة</v>
      </c>
      <c r="J149" s="5" t="str">
        <f>IFERROR(__xludf.DUMMYFUNCTION("GOOGLETRANSLATE(D149, ""en"", ""ar"")"),"ب) لا، هذه خطوة خطيرة وغير قانونية.")</f>
        <v>ب) لا، هذه خطوة خطيرة وغير قانونية.</v>
      </c>
      <c r="K149" s="5" t="str">
        <f>IFERROR(__xludf.DUMMYFUNCTION("GOOGLETRANSLATE(E149, ""en"", ""ar"")"),"الرقبة والحلق مناطق محمية، واستخدام العصا للضغط عليها يعتبر خطأ كبيرا.")</f>
        <v>الرقبة والحلق مناطق محمية، واستخدام العصا للضغط عليها يعتبر خطأ كبيرا.</v>
      </c>
    </row>
    <row r="150">
      <c r="A150" s="3">
        <v>149.0</v>
      </c>
      <c r="B150" s="4" t="s">
        <v>1197</v>
      </c>
      <c r="C150" s="4" t="s">
        <v>1198</v>
      </c>
      <c r="D150" s="4" t="s">
        <v>1199</v>
      </c>
      <c r="E150" s="4" t="s">
        <v>1200</v>
      </c>
      <c r="G150" s="5" t="str">
        <f>IFERROR(__xludf.DUMMYFUNCTION("GOOGLETRANSLATE(A150, ""en"", ""ar"")"),"149")</f>
        <v>149</v>
      </c>
      <c r="H150" s="5" t="str">
        <f>IFERROR(__xludf.DUMMYFUNCTION("GOOGLETRANSLATE(B150, ""en"", ""ar"")"),"ما هي القاعدة إذا أصيب المصارع بنوبة ربو أثناء المباراة؟")</f>
        <v>ما هي القاعدة إذا أصيب المصارع بنوبة ربو أثناء المباراة؟</v>
      </c>
      <c r="I150" s="5" t="str">
        <f>IFERROR(__xludf.DUMMYFUNCTION("GOOGLETRANSLATE(C150, ""en"", ""ar"")"),"أ)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f>
        <v>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v>
      </c>
      <c r="J150" s="5" t="str">
        <f>IFERROR(__xludf.DUMMYFUNCTION("GOOGLETRANSLATE(D150, ""en"", ""ar"")"),"ج) يتم إيقاف المباراة مؤقتًا، ويتم التعامل معها كوقت مستقطع للإصابة")</f>
        <v>ج) يتم إيقاف المباراة مؤقتًا، ويتم التعامل معها كوقت مستقطع للإصابة</v>
      </c>
      <c r="K150" s="5" t="str">
        <f>IFERROR(__xludf.DUMMYFUNCTION("GOOGLETRANSLATE(E150, ""en"", ""ar"")"),"يتم التعامل مع حالة طبية طارئة مشروعة مثل نوبة الربو كإصابة، حيث يحدد الحكم والطاقم الطبي ما إذا كان المصارع يستطيع الاستمرار بأمان.")</f>
        <v>يتم التعامل مع حالة طبية طارئة مشروعة مثل نوبة الربو كإصابة، حيث يحدد الحكم والطاقم الطبي ما إذا كان المصارع يستطيع الاستمرار بأمان.</v>
      </c>
    </row>
    <row r="151">
      <c r="A151" s="3">
        <v>150.0</v>
      </c>
      <c r="B151" s="4" t="s">
        <v>1201</v>
      </c>
      <c r="C151" s="4" t="s">
        <v>1202</v>
      </c>
      <c r="D151" s="4" t="s">
        <v>1203</v>
      </c>
      <c r="E151" s="4" t="s">
        <v>1204</v>
      </c>
      <c r="G151" s="5" t="str">
        <f>IFERROR(__xludf.DUMMYFUNCTION("GOOGLETRANSLATE(A151, ""en"", ""ar"")"),"150")</f>
        <v>150</v>
      </c>
      <c r="H151" s="5" t="str">
        <f>IFERROR(__xludf.DUMMYFUNCTION("GOOGLETRANSLATE(B151, ""en"", ""ar"")"),"إذا اعتزل المصارع البطل، ما هي القاعدة لتحديد البطل الجديد؟")</f>
        <v>إذا اعتزل المصارع البطل، ما هي القاعدة لتحديد البطل الجديد؟</v>
      </c>
      <c r="I151" s="5" t="str">
        <f>IFERROR(__xludf.DUMMYFUNCTION("GOOGLETRANSLATE(C151, ""en"", ""ar"")"),"أ) يظل اللقب شاغرًا؛ ب) تُقام بطولة بين أفضل المتنافسين؛ ج) يتم ترقية وصيف البطولة الأخيرة؛ د) يعين الشيوخ بطلًا جديدًا")</f>
        <v>أ) يظل اللقب شاغرًا؛ ب) تُقام بطولة بين أفضل المتنافسين؛ ج) يتم ترقية وصيف البطولة الأخيرة؛ د) يعين الشيوخ بطلًا جديدًا</v>
      </c>
      <c r="J151" s="5" t="str">
        <f>IFERROR(__xludf.DUMMYFUNCTION("GOOGLETRANSLATE(D151, ""en"", ""ar"")"),"ب) تقام بطولة بين أفضل المتنافسين")</f>
        <v>ب) تقام بطولة بين أفضل المتنافسين</v>
      </c>
      <c r="K151" s="5" t="str">
        <f>IFERROR(__xludf.DUMMYFUNCTION("GOOGLETRANSLATE(E151, ""en"", ""ar"")"),"عندما يصبح اللقب شاغرا، يتم تتويج بطل جديد بالفوز ببطولة أو مباراة بين المصارعين الأعلى تصنيفا.")</f>
        <v>عندما يصبح اللقب شاغرا، يتم تتويج بطل جديد بالفوز ببطولة أو مباراة بين المصارعين الأعلى تصنيفا.</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1205</v>
      </c>
      <c r="B1" s="8" t="s">
        <v>1</v>
      </c>
      <c r="C1" s="8" t="s">
        <v>2</v>
      </c>
      <c r="D1" s="8" t="s">
        <v>3</v>
      </c>
      <c r="E1" s="9" t="s">
        <v>4</v>
      </c>
      <c r="G1" s="10" t="str">
        <f>IFERROR(__xludf.DUMMYFUNCTION("GOOGLETRANSLATE(A1, ""ar"", ""en"")"),"Question No.")</f>
        <v>Question No.</v>
      </c>
      <c r="H1" s="10" t="str">
        <f>IFERROR(__xludf.DUMMYFUNCTION("GOOGLETRANSLATE(B1, ""ar"", ""en"")"),"Question")</f>
        <v>Question</v>
      </c>
      <c r="I1" s="10" t="str">
        <f>IFERROR(__xludf.DUMMYFUNCTION("GOOGLETRANSLATE(C1, ""ar"", ""en"")"),"Options")</f>
        <v>Options</v>
      </c>
      <c r="J1" s="10" t="str">
        <f>IFERROR(__xludf.DUMMYFUNCTION("GOOGLETRANSLATE(D1, ""ar"", ""en"")"),"Answer")</f>
        <v>Answer</v>
      </c>
      <c r="K1" s="10" t="str">
        <f>IFERROR(__xludf.DUMMYFUNCTION("GOOGLETRANSLATE(E1, ""ar"", ""en"")"),"Description")</f>
        <v>Description</v>
      </c>
    </row>
    <row r="2">
      <c r="A2" s="11">
        <v>1.0</v>
      </c>
      <c r="B2" s="12" t="s">
        <v>1206</v>
      </c>
      <c r="C2" s="12" t="s">
        <v>1207</v>
      </c>
      <c r="D2" s="12" t="s">
        <v>1208</v>
      </c>
      <c r="E2" s="13" t="s">
        <v>1209</v>
      </c>
      <c r="G2" s="10" t="str">
        <f>IFERROR(__xludf.DUMMYFUNCTION("GOOGLETRANSLATE(A2, ""ar"", ""en"")"),"1")</f>
        <v>1</v>
      </c>
      <c r="H2" s="10" t="str">
        <f>IFERROR(__xludf.DUMMYFUNCTION("GOOGLETRANSLATE(B2, ""ar"", ""en"")"),"What are the basic rules that participants must follow in Nubian stick fighting?")</f>
        <v>What are the basic rules that participants must follow in Nubian stick fighting?</v>
      </c>
      <c r="I2" s="10" t="str">
        <f>IFERROR(__xludf.DUMMYFUNCTION("GOOGLETRANSLATE(C2, ""ar"", ""en"")"),"a) Continuous, relentless attack; b) Adherence to the rules of arbitration and not exceeding the bounds; c) Use of weapons other than the stick; d) Fighting to the death")</f>
        <v>a) Continuous, relentless attack; b) Adherence to the rules of arbitration and not exceeding the bounds; c) Use of weapons other than the stick; d) Fighting to the death</v>
      </c>
      <c r="J2" s="10" t="str">
        <f>IFERROR(__xludf.DUMMYFUNCTION("GOOGLETRANSLATE(D2, ""ar"", ""en"")"),"b) Commitment to arbitration and not exceeding the limits")</f>
        <v>b) Commitment to arbitration and not exceeding the limits</v>
      </c>
      <c r="K2" s="10" t="str">
        <f>IFERROR(__xludf.DUMMYFUNCTION("GOOGLETRANSLATE(E2, ""ar"", ""en"")"),"Nubian stick fighting relies on adherence to rules and arbitration regulations to ensure the safety of participants.")</f>
        <v>Nubian stick fighting relies on adherence to rules and arbitration regulations to ensure the safety of participants.</v>
      </c>
    </row>
    <row r="3">
      <c r="A3" s="14">
        <v>2.0</v>
      </c>
      <c r="B3" s="15" t="s">
        <v>1210</v>
      </c>
      <c r="C3" s="15" t="s">
        <v>1211</v>
      </c>
      <c r="D3" s="15" t="s">
        <v>1212</v>
      </c>
      <c r="E3" s="16" t="s">
        <v>1213</v>
      </c>
      <c r="G3" s="10" t="str">
        <f>IFERROR(__xludf.DUMMYFUNCTION("GOOGLETRANSLATE(A3, ""ar"", ""en"")"),"2")</f>
        <v>2</v>
      </c>
      <c r="H3" s="10" t="str">
        <f>IFERROR(__xludf.DUMMYFUNCTION("GOOGLETRANSLATE(B3, ""ar"", ""en"")"),"How is the winner determined in Nubian stick fighting duels?")</f>
        <v>How is the winner determined in Nubian stick fighting duels?</v>
      </c>
      <c r="I3" s="10" t="str">
        <f>IFERROR(__xludf.DUMMYFUNCTION("GOOGLETRANSLATE(C3, ""ar"", ""en"")"),"a) Based on who hits their opponent first; b) Based on who takes the most hits; c) Based on the judges' assessment; d) Based on the audience vote")</f>
        <v>a) Based on who hits their opponent first; b) Based on who takes the most hits; c) Based on the judges' assessment; d) Based on the audience vote</v>
      </c>
      <c r="J3" s="10" t="str">
        <f>IFERROR(__xludf.DUMMYFUNCTION("GOOGLETRANSLATE(D3, ""ar"", ""en"")"),"c) Based on the evaluation by the judges")</f>
        <v>c) Based on the evaluation by the judges</v>
      </c>
      <c r="K3" s="10" t="str">
        <f>IFERROR(__xludf.DUMMYFUNCTION("GOOGLETRANSLATE(E3, ""ar"", ""en"")"),"The winner is determined based on the judges' evaluation of the participant's performance, including tactics, defense, and attack.")</f>
        <v>The winner is determined based on the judges' evaluation of the participant's performance, including tactics, defense, and attack.</v>
      </c>
    </row>
    <row r="4">
      <c r="A4" s="11">
        <v>3.0</v>
      </c>
      <c r="B4" s="12" t="s">
        <v>1214</v>
      </c>
      <c r="C4" s="12" t="s">
        <v>1215</v>
      </c>
      <c r="D4" s="12" t="s">
        <v>1216</v>
      </c>
      <c r="E4" s="13" t="s">
        <v>1217</v>
      </c>
      <c r="G4" s="10" t="str">
        <f>IFERROR(__xludf.DUMMYFUNCTION("GOOGLETRANSLATE(A4, ""ar"", ""en"")"),"3")</f>
        <v>3</v>
      </c>
      <c r="H4" s="10" t="str">
        <f>IFERROR(__xludf.DUMMYFUNCTION("GOOGLETRANSLATE(B4, ""ar"", ""en"")"),"Is the use of excessive force permitted in Nubian stick fighting?")</f>
        <v>Is the use of excessive force permitted in Nubian stick fighting?</v>
      </c>
      <c r="I4" s="10" t="str">
        <f>IFERROR(__xludf.DUMMYFUNCTION("GOOGLETRANSLATE(C4, ""ar"", ""en"")"),"a) Yes, maximum force should be used; b) No, excessive force should be avoided; c) Yes, but with exceptions; d) The amount of force doesn't matter")</f>
        <v>a) Yes, maximum force should be used; b) No, excessive force should be avoided; c) Yes, but with exceptions; d) The amount of force doesn't matter</v>
      </c>
      <c r="J4" s="10" t="str">
        <f>IFERROR(__xludf.DUMMYFUNCTION("GOOGLETRANSLATE(D4, ""ar"", ""en"")"),"b) No, excessive force should be avoided.")</f>
        <v>b) No, excessive force should be avoided.</v>
      </c>
      <c r="K4" s="10" t="str">
        <f>IFERROR(__xludf.DUMMYFUNCTION("GOOGLETRANSLATE(E4, ""ar"", ""en"")"),"Fighting with a Nubian stick requires respecting the limits of permissible force to avoid injuries.")</f>
        <v>Fighting with a Nubian stick requires respecting the limits of permissible force to avoid injuries.</v>
      </c>
    </row>
    <row r="5">
      <c r="A5" s="14">
        <v>4.0</v>
      </c>
      <c r="B5" s="15" t="s">
        <v>1218</v>
      </c>
      <c r="C5" s="15" t="s">
        <v>1219</v>
      </c>
      <c r="D5" s="15" t="s">
        <v>1220</v>
      </c>
      <c r="E5" s="16" t="s">
        <v>1221</v>
      </c>
      <c r="G5" s="10" t="str">
        <f>IFERROR(__xludf.DUMMYFUNCTION("GOOGLETRANSLATE(A5, ""ar"", ""en"")"),"4")</f>
        <v>4</v>
      </c>
      <c r="H5" s="10" t="str">
        <f>IFERROR(__xludf.DUMMYFUNCTION("GOOGLETRANSLATE(B5, ""ar"", ""en"")"),"Can a participant in a Nubian stick fight retreat during the match?")</f>
        <v>Can a participant in a Nubian stick fight retreat during the match?</v>
      </c>
      <c r="I5" s="10" t="str">
        <f>IFERROR(__xludf.DUMMYFUNCTION("GOOGLETRANSLATE(C5, ""ar"", ""en"")"),"a) No, the attack should continue; b) Yes, but with a short break; c) Yes, but this must be announced to the referees; d) No, it must stop immediately")</f>
        <v>a) No, the attack should continue; b) Yes, but with a short break; c) Yes, but this must be announced to the referees; d) No, it must stop immediately</v>
      </c>
      <c r="J5" s="10" t="str">
        <f>IFERROR(__xludf.DUMMYFUNCTION("GOOGLETRANSLATE(D5, ""ar"", ""en"")"),"c) Yes, but this must be announced to the judges")</f>
        <v>c) Yes, but this must be announced to the judges</v>
      </c>
      <c r="K5" s="10" t="str">
        <f>IFERROR(__xludf.DUMMYFUNCTION("GOOGLETRANSLATE(E5, ""ar"", ""en"")"),"If a participant decides to withdraw, the referees must be notified to ensure the integrity of the match.")</f>
        <v>If a participant decides to withdraw, the referees must be notified to ensure the integrity of the match.</v>
      </c>
    </row>
    <row r="6">
      <c r="A6" s="11">
        <v>5.0</v>
      </c>
      <c r="B6" s="12" t="s">
        <v>1222</v>
      </c>
      <c r="C6" s="12" t="s">
        <v>1223</v>
      </c>
      <c r="D6" s="12" t="s">
        <v>1224</v>
      </c>
      <c r="E6" s="13" t="s">
        <v>1225</v>
      </c>
      <c r="G6" s="10" t="str">
        <f>IFERROR(__xludf.DUMMYFUNCTION("GOOGLETRANSLATE(A6, ""ar"", ""en"")"),"5")</f>
        <v>5</v>
      </c>
      <c r="H6" s="10" t="str">
        <f>IFERROR(__xludf.DUMMYFUNCTION("GOOGLETRANSLATE(B6, ""ar"", ""en"")"),"Are other weapons besides the stick allowed in Nubian stick fighting?")</f>
        <v>Are other weapons besides the stick allowed in Nubian stick fighting?</v>
      </c>
      <c r="I6" s="10" t="str">
        <f>IFERROR(__xludf.DUMMYFUNCTION("GOOGLETRANSLATE(C6, ""ar"", ""en"")"),"a) Yes, auxiliary weapons may be used; b) No, only a stick is permitted; c) Yes, but with special permission; d) Only in self-defense")</f>
        <v>a) Yes, auxiliary weapons may be used; b) No, only a stick is permitted; c) Yes, but with special permission; d) Only in self-defense</v>
      </c>
      <c r="J6" s="10" t="str">
        <f>IFERROR(__xludf.DUMMYFUNCTION("GOOGLETRANSLATE(D6, ""ar"", ""en"")"),"b) No, only the stick is allowed")</f>
        <v>b) No, only the stick is allowed</v>
      </c>
      <c r="K6" s="10" t="str">
        <f>IFERROR(__xludf.DUMMYFUNCTION("GOOGLETRANSLATE(E6, ""ar"", ""en"")"),"The rules of Nubian stick fighting are limited to the use of the stick only, and the use of any other weapons is prohibited.")</f>
        <v>The rules of Nubian stick fighting are limited to the use of the stick only, and the use of any other weapons is prohibited.</v>
      </c>
    </row>
    <row r="7">
      <c r="A7" s="14">
        <v>6.0</v>
      </c>
      <c r="B7" s="15" t="s">
        <v>1226</v>
      </c>
      <c r="C7" s="15" t="s">
        <v>1227</v>
      </c>
      <c r="D7" s="15" t="s">
        <v>1228</v>
      </c>
      <c r="E7" s="16" t="s">
        <v>1229</v>
      </c>
      <c r="G7" s="10" t="str">
        <f>IFERROR(__xludf.DUMMYFUNCTION("GOOGLETRANSLATE(A7, ""ar"", ""en"")"),"6")</f>
        <v>6</v>
      </c>
      <c r="H7" s="10" t="str">
        <f>IFERROR(__xludf.DUMMYFUNCTION("GOOGLETRANSLATE(B7, ""ar"", ""en"")"),"Can spectators interfere in the duels?")</f>
        <v>Can spectators interfere in the duels?</v>
      </c>
      <c r="I7" s="10" t="str">
        <f>IFERROR(__xludf.DUMMYFUNCTION("GOOGLETRANSLATE(C7, ""ar"", ""en"")"),"a) Yes, they can intervene to help the participant; b) No, they must refrain from interfering; c) Yes, if another referee agrees; d) They can only give instructions")</f>
        <v>a) Yes, they can intervene to help the participant; b) No, they must refrain from interfering; c) Yes, if another referee agrees; d) They can only give instructions</v>
      </c>
      <c r="J7" s="10" t="str">
        <f>IFERROR(__xludf.DUMMYFUNCTION("GOOGLETRANSLATE(D7, ""ar"", ""en"")"),"b) No, they must refrain from interfering")</f>
        <v>b) No, they must refrain from interfering</v>
      </c>
      <c r="K7" s="10" t="str">
        <f>IFERROR(__xludf.DUMMYFUNCTION("GOOGLETRANSLATE(E7, ""ar"", ""en"")"),"Spectators have no right to interfere in duels, and the referees should make the necessary decisions.")</f>
        <v>Spectators have no right to interfere in duels, and the referees should make the necessary decisions.</v>
      </c>
    </row>
    <row r="8">
      <c r="A8" s="11">
        <v>7.0</v>
      </c>
      <c r="B8" s="12" t="s">
        <v>1230</v>
      </c>
      <c r="C8" s="12" t="s">
        <v>1231</v>
      </c>
      <c r="D8" s="12" t="s">
        <v>1232</v>
      </c>
      <c r="E8" s="13" t="s">
        <v>1233</v>
      </c>
      <c r="G8" s="10" t="str">
        <f>IFERROR(__xludf.DUMMYFUNCTION("GOOGLETRANSLATE(A8, ""ar"", ""en"")"),"7")</f>
        <v>7</v>
      </c>
      <c r="H8" s="10" t="str">
        <f>IFERROR(__xludf.DUMMYFUNCTION("GOOGLETRANSLATE(B8, ""ar"", ""en"")"),"Is it permissible to use excessive violence against an opponent in Nubian stick fighting?")</f>
        <v>Is it permissible to use excessive violence against an opponent in Nubian stick fighting?</v>
      </c>
      <c r="I8" s="10" t="str">
        <f>IFERROR(__xludf.DUMMYFUNCTION("GOOGLETRANSLATE(C8, ""ar"", ""en"")"),"a) Yes, in order to win; b) No, excessive violence must be avoided; c) Yes, but after a warning; d) Only if the match has ended")</f>
        <v>a) Yes, in order to win; b) No, excessive violence must be avoided; c) Yes, but after a warning; d) Only if the match has ended</v>
      </c>
      <c r="J8" s="10" t="str">
        <f>IFERROR(__xludf.DUMMYFUNCTION("GOOGLETRANSLATE(D8, ""ar"", ""en"")"),"b) No, excessive violence must be avoided")</f>
        <v>b) No, excessive violence must be avoided</v>
      </c>
      <c r="K8" s="10" t="str">
        <f>IFERROR(__xludf.DUMMYFUNCTION("GOOGLETRANSLATE(E8, ""ar"", ""en"")"),"Fighting with a Nubian stick requires respecting the opponent and not using excessive violence that leads to injuries.")</f>
        <v>Fighting with a Nubian stick requires respecting the opponent and not using excessive violence that leads to injuries.</v>
      </c>
    </row>
    <row r="9">
      <c r="A9" s="14">
        <v>8.0</v>
      </c>
      <c r="B9" s="15" t="s">
        <v>1234</v>
      </c>
      <c r="C9" s="15" t="s">
        <v>1235</v>
      </c>
      <c r="D9" s="15" t="s">
        <v>1236</v>
      </c>
      <c r="E9" s="16" t="s">
        <v>1237</v>
      </c>
      <c r="G9" s="10" t="str">
        <f>IFERROR(__xludf.DUMMYFUNCTION("GOOGLETRANSLATE(A9, ""ar"", ""en"")"),"8")</f>
        <v>8</v>
      </c>
      <c r="H9" s="10" t="str">
        <f>IFERROR(__xludf.DUMMYFUNCTION("GOOGLETRANSLATE(B9, ""ar"", ""en"")"),"How are points awarded in Nubian stick fighting duels?")</f>
        <v>How are points awarded in Nubian stick fighting duels?</v>
      </c>
      <c r="I9" s="10" t="str">
        <f>IFERROR(__xludf.DUMMYFUNCTION("GOOGLETRANSLATE(C9, ""ar"", ""en"")"),"a) Based solely on the speed of strikes; b) Based on strength and skill in attack and defense; c) Based on the extent of damage inflicted on the opponent; d) Based solely on random movements")</f>
        <v>a) Based solely on the speed of strikes; b) Based on strength and skill in attack and defense; c) Based on the extent of damage inflicted on the opponent; d) Based solely on random movements</v>
      </c>
      <c r="J9" s="10" t="str">
        <f>IFERROR(__xludf.DUMMYFUNCTION("GOOGLETRANSLATE(D9, ""ar"", ""en"")"),"b) Based on strength and skill in attack and defense")</f>
        <v>b) Based on strength and skill in attack and defense</v>
      </c>
      <c r="K9" s="10" t="str">
        <f>IFERROR(__xludf.DUMMYFUNCTION("GOOGLETRANSLATE(E9, ""ar"", ""en"")"),"Points are awarded based on overall performance in attack and defense, and taking into account adherence to the rules.")</f>
        <v>Points are awarded based on overall performance in attack and defense, and taking into account adherence to the rules.</v>
      </c>
    </row>
    <row r="10">
      <c r="A10" s="11">
        <v>9.0</v>
      </c>
      <c r="B10" s="12" t="s">
        <v>1238</v>
      </c>
      <c r="C10" s="12" t="s">
        <v>1239</v>
      </c>
      <c r="D10" s="12" t="s">
        <v>1240</v>
      </c>
      <c r="E10" s="13" t="s">
        <v>1241</v>
      </c>
      <c r="G10" s="10" t="str">
        <f>IFERROR(__xludf.DUMMYFUNCTION("GOOGLETRANSLATE(A10, ""ar"", ""en"")"),"9")</f>
        <v>9</v>
      </c>
      <c r="H10" s="10" t="str">
        <f>IFERROR(__xludf.DUMMYFUNCTION("GOOGLETRANSLATE(B10, ""ar"", ""en"")"),"Can a participant stop fighting due to an injury?")</f>
        <v>Can a participant stop fighting due to an injury?</v>
      </c>
      <c r="I10" s="10" t="str">
        <f>IFERROR(__xludf.DUMMYFUNCTION("GOOGLETRANSLATE(C10, ""ar"", ""en"")"),"a) Yes, but he must announce this to the referees; b) No, he must continue fighting; c) Yes, but only if the injury is very serious; d) No, he must finish the match.")</f>
        <v>a) Yes, but he must announce this to the referees; b) No, he must continue fighting; c) Yes, but only if the injury is very serious; d) No, he must finish the match.</v>
      </c>
      <c r="J10" s="10" t="str">
        <f>IFERROR(__xludf.DUMMYFUNCTION("GOOGLETRANSLATE(D10, ""ar"", ""en"")"),"a) Yes, but this must be announced to the referees.")</f>
        <v>a) Yes, but this must be announced to the referees.</v>
      </c>
      <c r="K10" s="10" t="str">
        <f>IFERROR(__xludf.DUMMYFUNCTION("GOOGLETRANSLATE(E10, ""ar"", ""en"")"),"The participant can stop in case of injury, but the referees must be informed before a decision is made.")</f>
        <v>The participant can stop in case of injury, but the referees must be informed before a decision is made.</v>
      </c>
    </row>
    <row r="11">
      <c r="A11" s="14">
        <v>10.0</v>
      </c>
      <c r="B11" s="15" t="s">
        <v>1242</v>
      </c>
      <c r="C11" s="15" t="s">
        <v>1243</v>
      </c>
      <c r="D11" s="15" t="s">
        <v>1244</v>
      </c>
      <c r="E11" s="16" t="s">
        <v>1245</v>
      </c>
      <c r="G11" s="10" t="str">
        <f>IFERROR(__xludf.DUMMYFUNCTION("GOOGLETRANSLATE(A11, ""ar"", ""en"")"),"10")</f>
        <v>10</v>
      </c>
      <c r="H11" s="10" t="str">
        <f>IFERROR(__xludf.DUMMYFUNCTION("GOOGLETRANSLATE(B11, ""ar"", ""en"")"),"Are participants allowed to use tricks or contortionist movements in Nubian stick fighting?")</f>
        <v>Are participants allowed to use tricks or contortionist movements in Nubian stick fighting?</v>
      </c>
      <c r="I11" s="10" t="str">
        <f>IFERROR(__xludf.DUMMYFUNCTION("GOOGLETRANSLATE(C11, ""ar"", ""en"")"),"a) Yes, it is part of the tactics; b) No, the movements must be within the bounds of the rules; c) Yes, but they must be harmless; d) No, except in defensive situations.")</f>
        <v>a) Yes, it is part of the tactics; b) No, the movements must be within the bounds of the rules; c) Yes, but they must be harmless; d) No, except in defensive situations.</v>
      </c>
      <c r="J11" s="10" t="str">
        <f>IFERROR(__xludf.DUMMYFUNCTION("GOOGLETRANSLATE(D11, ""ar"", ""en"")"),"b) No, the movements must be within the limits of the rules.")</f>
        <v>b) No, the movements must be within the limits of the rules.</v>
      </c>
      <c r="K11" s="10" t="str">
        <f>IFERROR(__xludf.DUMMYFUNCTION("GOOGLETRANSLATE(E11, ""ar"", ""en"")"),"Fighting with the Nubian stick must be done within the limits of the permitted rules, and the use of dishonest movements is prohibited.")</f>
        <v>Fighting with the Nubian stick must be done within the limits of the permitted rules, and the use of dishonest movements is prohibited.</v>
      </c>
    </row>
    <row r="12">
      <c r="A12" s="11">
        <v>11.0</v>
      </c>
      <c r="B12" s="12" t="s">
        <v>1246</v>
      </c>
      <c r="C12" s="12" t="s">
        <v>1247</v>
      </c>
      <c r="D12" s="12" t="s">
        <v>1248</v>
      </c>
      <c r="E12" s="13" t="s">
        <v>1249</v>
      </c>
      <c r="G12" s="10" t="str">
        <f>IFERROR(__xludf.DUMMYFUNCTION("GOOGLETRANSLATE(A12, ""ar"", ""en"")"),"11")</f>
        <v>11</v>
      </c>
      <c r="H12" s="10" t="str">
        <f>IFERROR(__xludf.DUMMYFUNCTION("GOOGLETRANSLATE(B12, ""ar"", ""en"")"),"Is it allowed to talk or speak with the opponent during the match?")</f>
        <v>Is it allowed to talk or speak with the opponent during the match?</v>
      </c>
      <c r="I12" s="10" t="str">
        <f>IFERROR(__xludf.DUMMYFUNCTION("GOOGLETRANSLATE(C12, ""ar"", ""en"")"),"a) Yes, free speech is allowed; b) No, the match must be completely silent; c) Yes, but only in defensive situations; d) No, except when there is a joint referee.")</f>
        <v>a) Yes, free speech is allowed; b) No, the match must be completely silent; c) Yes, but only in defensive situations; d) No, except when there is a joint referee.</v>
      </c>
      <c r="J12" s="10" t="str">
        <f>IFERROR(__xludf.DUMMYFUNCTION("GOOGLETRANSLATE(D12, ""ar"", ""en"")"),"b) No, the match must be completely silent")</f>
        <v>b) No, the match must be completely silent</v>
      </c>
      <c r="K12" s="10" t="str">
        <f>IFERROR(__xludf.DUMMYFUNCTION("GOOGLETRANSLATE(E12, ""ar"", ""en"")"),"Duels must be conducted in complete silence, focusing on combat performance without distraction.")</f>
        <v>Duels must be conducted in complete silence, focusing on combat performance without distraction.</v>
      </c>
    </row>
    <row r="13">
      <c r="A13" s="14">
        <v>12.0</v>
      </c>
      <c r="B13" s="15" t="s">
        <v>1250</v>
      </c>
      <c r="C13" s="15" t="s">
        <v>1251</v>
      </c>
      <c r="D13" s="15" t="s">
        <v>1252</v>
      </c>
      <c r="E13" s="16" t="s">
        <v>1253</v>
      </c>
      <c r="G13" s="10" t="str">
        <f>IFERROR(__xludf.DUMMYFUNCTION("GOOGLETRANSLATE(A13, ""ar"", ""en"")"),"12")</f>
        <v>12</v>
      </c>
      <c r="H13" s="10" t="str">
        <f>IFERROR(__xludf.DUMMYFUNCTION("GOOGLETRANSLATE(B13, ""ar"", ""en"")"),"How are the rounds determined in Nubian stick fighting?")</f>
        <v>How are the rounds determined in Nubian stick fighting?</v>
      </c>
      <c r="I13" s="10" t="str">
        <f>IFERROR(__xludf.DUMMYFUNCTION("GOOGLETRANSLATE(C13, ""ar"", ""en"")"),"a) Based on the number of strokes; b) Based on the time taken; c) Based on the judges' evaluation; d) Based on the participant's wishes")</f>
        <v>a) Based on the number of strokes; b) Based on the time taken; c) Based on the judges' evaluation; d) Based on the participant's wishes</v>
      </c>
      <c r="J13" s="10" t="str">
        <f>IFERROR(__xludf.DUMMYFUNCTION("GOOGLETRANSLATE(D13, ""ar"", ""en"")"),"b) Based on the time period")</f>
        <v>b) Based on the time period</v>
      </c>
      <c r="K13" s="10" t="str">
        <f>IFERROR(__xludf.DUMMYFUNCTION("GOOGLETRANSLATE(E13, ""ar"", ""en"")"),"Rounds are determined based on the time allotted for the match, not the number of strokes.")</f>
        <v>Rounds are determined based on the time allotted for the match, not the number of strokes.</v>
      </c>
    </row>
    <row r="14">
      <c r="A14" s="11">
        <v>13.0</v>
      </c>
      <c r="B14" s="12" t="s">
        <v>1254</v>
      </c>
      <c r="C14" s="12" t="s">
        <v>1255</v>
      </c>
      <c r="D14" s="12" t="s">
        <v>1256</v>
      </c>
      <c r="E14" s="13" t="s">
        <v>1257</v>
      </c>
      <c r="G14" s="10" t="str">
        <f>IFERROR(__xludf.DUMMYFUNCTION("GOOGLETRANSLATE(A14, ""ar"", ""en"")"),"13")</f>
        <v>13</v>
      </c>
      <c r="H14" s="10" t="str">
        <f>IFERROR(__xludf.DUMMYFUNCTION("GOOGLETRANSLATE(B14, ""ar"", ""en"")"),"Are blows allowed to be used on certain parts of the body?")</f>
        <v>Are blows allowed to be used on certain parts of the body?</v>
      </c>
      <c r="I14" s="10" t="str">
        <f>IFERROR(__xludf.DUMMYFUNCTION("GOOGLETRANSLATE(C14, ""ar"", ""en"")"),"a) Yes, hitting anywhere on the body is allowed; b) No, there are prohibited areas such as the head and eyes; c) Yes, but only on the legs; d) No, hitting anywhere is not allowed")</f>
        <v>a) Yes, hitting anywhere on the body is allowed; b) No, there are prohibited areas such as the head and eyes; c) Yes, but only on the legs; d) No, hitting anywhere is not allowed</v>
      </c>
      <c r="J14" s="10" t="str">
        <f>IFERROR(__xludf.DUMMYFUNCTION("GOOGLETRANSLATE(D14, ""ar"", ""en"")"),"b) No, there are prohibited areas such as the head and eyes")</f>
        <v>b) No, there are prohibited areas such as the head and eyes</v>
      </c>
      <c r="K14" s="10" t="str">
        <f>IFERROR(__xludf.DUMMYFUNCTION("GOOGLETRANSLATE(E14, ""ar"", ""en"")"),"Stick fighting prohibits striking sensitive areas such as the head and eyes to protect the safety of participants.")</f>
        <v>Stick fighting prohibits striking sensitive areas such as the head and eyes to protect the safety of participants.</v>
      </c>
    </row>
    <row r="15">
      <c r="A15" s="14">
        <v>14.0</v>
      </c>
      <c r="B15" s="15" t="s">
        <v>1258</v>
      </c>
      <c r="C15" s="15" t="s">
        <v>1259</v>
      </c>
      <c r="D15" s="15" t="s">
        <v>1260</v>
      </c>
      <c r="E15" s="16" t="s">
        <v>1261</v>
      </c>
      <c r="G15" s="10" t="str">
        <f>IFERROR(__xludf.DUMMYFUNCTION("GOOGLETRANSLATE(A15, ""ar"", ""en"")"),"14")</f>
        <v>14</v>
      </c>
      <c r="H15" s="10" t="str">
        <f>IFERROR(__xludf.DUMMYFUNCTION("GOOGLETRANSLATE(B15, ""ar"", ""en"")"),"Can a participant change their strategy during a match?")</f>
        <v>Can a participant change their strategy during a match?</v>
      </c>
      <c r="I15" s="10" t="str">
        <f>IFERROR(__xludf.DUMMYFUNCTION("GOOGLETRANSLATE(C15, ""ar"", ""en"")"),"a) Yes, he can change strategy at any time; b) No, he must stick to the same strategy throughout the match; c) Yes, but he must inform the referees first; d) No, unless he has a valid reason.")</f>
        <v>a) Yes, he can change strategy at any time; b) No, he must stick to the same strategy throughout the match; c) Yes, but he must inform the referees first; d) No, unless he has a valid reason.</v>
      </c>
      <c r="J15" s="10" t="str">
        <f>IFERROR(__xludf.DUMMYFUNCTION("GOOGLETRANSLATE(D15, ""ar"", ""en"")"),"a) Yes, he can change the strategy at any time")</f>
        <v>a) Yes, he can change the strategy at any time</v>
      </c>
      <c r="K15" s="10" t="str">
        <f>IFERROR(__xludf.DUMMYFUNCTION("GOOGLETRANSLATE(E15, ""ar"", ""en"")"),"Participants can change their strategies based on the course of the match, in order to adapt to the opponent's style.")</f>
        <v>Participants can change their strategies based on the course of the match, in order to adapt to the opponent's style.</v>
      </c>
    </row>
    <row r="16">
      <c r="A16" s="11">
        <v>15.0</v>
      </c>
      <c r="B16" s="12" t="s">
        <v>1262</v>
      </c>
      <c r="C16" s="12" t="s">
        <v>1263</v>
      </c>
      <c r="D16" s="12" t="s">
        <v>1264</v>
      </c>
      <c r="E16" s="13" t="s">
        <v>1265</v>
      </c>
      <c r="G16" s="10" t="str">
        <f>IFERROR(__xludf.DUMMYFUNCTION("GOOGLETRANSLATE(A16, ""ar"", ""en"")"),"15")</f>
        <v>15</v>
      </c>
      <c r="H16" s="10" t="str">
        <f>IFERROR(__xludf.DUMMYFUNCTION("GOOGLETRANSLATE(B16, ""ar"", ""en"")"),"Is the participant allowed to stop and consult with his coach during the match?")</f>
        <v>Is the participant allowed to stop and consult with his coach during the match?</v>
      </c>
      <c r="I16" s="10" t="str">
        <f>IFERROR(__xludf.DUMMYFUNCTION("GOOGLETRANSLATE(C16, ""ar"", ""en"")"),"a) Yes, but only during breaks; b) No, the match must be independent without external interference; c) Yes, the coach can be called upon during the match; d) No, unless there is an emergency.")</f>
        <v>a) Yes, but only during breaks; b) No, the match must be independent without external interference; c) Yes, the coach can be called upon during the match; d) No, unless there is an emergency.</v>
      </c>
      <c r="J16" s="10" t="str">
        <f>IFERROR(__xludf.DUMMYFUNCTION("GOOGLETRANSLATE(D16, ""ar"", ""en"")"),"b) No, the match must be independent without external interference")</f>
        <v>b) No, the match must be independent without external interference</v>
      </c>
      <c r="K16" s="10" t="str">
        <f>IFERROR(__xludf.DUMMYFUNCTION("GOOGLETRANSLATE(E16, ""ar"", ""en"")"),"Duels must be free from any external interference, such as consultation with the coach.")</f>
        <v>Duels must be free from any external interference, such as consultation with the coach.</v>
      </c>
    </row>
    <row r="17">
      <c r="A17" s="14">
        <v>16.0</v>
      </c>
      <c r="B17" s="15" t="s">
        <v>1266</v>
      </c>
      <c r="C17" s="15" t="s">
        <v>1267</v>
      </c>
      <c r="D17" s="15" t="s">
        <v>1268</v>
      </c>
      <c r="E17" s="16" t="s">
        <v>1269</v>
      </c>
      <c r="G17" s="10" t="str">
        <f>IFERROR(__xludf.DUMMYFUNCTION("GOOGLETRANSLATE(A17, ""ar"", ""en"")"),"16")</f>
        <v>16</v>
      </c>
      <c r="H17" s="10" t="str">
        <f>IFERROR(__xludf.DUMMYFUNCTION("GOOGLETRANSLATE(B17, ""ar"", ""en"")"),"Is the use of any type of stick allowed in Nubian stick fighting?")</f>
        <v>Is the use of any type of stick allowed in Nubian stick fighting?</v>
      </c>
      <c r="I17" s="10" t="str">
        <f>IFERROR(__xludf.DUMMYFUNCTION("GOOGLETRANSLATE(C17, ""ar"", ""en"")"),"a) Yes, any type of stick can be used; b) No, the sticks must conform to the specified standards; c) Yes, but the sticks can be modified during the match; d) No, only locally made sticks are accepted.")</f>
        <v>a) Yes, any type of stick can be used; b) No, the sticks must conform to the specified standards; c) Yes, but the sticks can be modified during the match; d) No, only locally made sticks are accepted.</v>
      </c>
      <c r="J17" s="10" t="str">
        <f>IFERROR(__xludf.DUMMYFUNCTION("GOOGLETRANSLATE(D17, ""ar"", ""en"")"),"b) No, the sticks must conform to the specified standards.")</f>
        <v>b) No, the sticks must conform to the specified standards.</v>
      </c>
      <c r="K17" s="10" t="str">
        <f>IFERROR(__xludf.DUMMYFUNCTION("GOOGLETRANSLATE(E17, ""ar"", ""en"")"),"The sticks used must conform to the standards specified in the rules to ensure balance in matches.")</f>
        <v>The sticks used must conform to the standards specified in the rules to ensure balance in matches.</v>
      </c>
    </row>
    <row r="18">
      <c r="A18" s="11">
        <v>17.0</v>
      </c>
      <c r="B18" s="12" t="s">
        <v>1270</v>
      </c>
      <c r="C18" s="12" t="s">
        <v>1271</v>
      </c>
      <c r="D18" s="12" t="s">
        <v>1272</v>
      </c>
      <c r="E18" s="13" t="s">
        <v>1273</v>
      </c>
      <c r="G18" s="10" t="str">
        <f>IFERROR(__xludf.DUMMYFUNCTION("GOOGLETRANSLATE(A18, ""ar"", ""en"")"),"17")</f>
        <v>17</v>
      </c>
      <c r="H18" s="10" t="str">
        <f>IFERROR(__xludf.DUMMYFUNCTION("GOOGLETRANSLATE(B18, ""ar"", ""en"")"),"Are sticks with sharp ends allowed to be used?")</f>
        <v>Are sticks with sharp ends allowed to be used?</v>
      </c>
      <c r="I18" s="10" t="str">
        <f>IFERROR(__xludf.DUMMYFUNCTION("GOOGLETRANSLATE(C18, ""ar"", ""en"")"),"a) Yes, sharp sticks can sometimes be used; b) No, sticks must be safe and free of sharp ends; c) Yes, but the sharp ends must be harmless; d) No, except in special matches")</f>
        <v>a) Yes, sharp sticks can sometimes be used; b) No, sticks must be safe and free of sharp ends; c) Yes, but the sharp ends must be harmless; d) No, except in special matches</v>
      </c>
      <c r="J18" s="10" t="str">
        <f>IFERROR(__xludf.DUMMYFUNCTION("GOOGLETRANSLATE(D18, ""ar"", ""en"")"),"b) No, the sticks must be safe and free of sharp ends.")</f>
        <v>b) No, the sticks must be safe and free of sharp ends.</v>
      </c>
      <c r="K18" s="10" t="str">
        <f>IFERROR(__xludf.DUMMYFUNCTION("GOOGLETRANSLATE(E18, ""ar"", ""en"")"),"The use of sharp sticks is not allowed because it may lead to serious injuries.")</f>
        <v>The use of sharp sticks is not allowed because it may lead to serious injuries.</v>
      </c>
    </row>
    <row r="19">
      <c r="A19" s="14">
        <v>18.0</v>
      </c>
      <c r="B19" s="15" t="s">
        <v>1274</v>
      </c>
      <c r="C19" s="15" t="s">
        <v>1275</v>
      </c>
      <c r="D19" s="15" t="s">
        <v>1276</v>
      </c>
      <c r="E19" s="16" t="s">
        <v>1277</v>
      </c>
      <c r="G19" s="10" t="str">
        <f>IFERROR(__xludf.DUMMYFUNCTION("GOOGLETRANSLATE(A19, ""ar"", ""en"")"),"18")</f>
        <v>18</v>
      </c>
      <c r="H19" s="10" t="str">
        <f>IFERROR(__xludf.DUMMYFUNCTION("GOOGLETRANSLATE(B19, ""ar"", ""en"")"),"Can a participant move outside the ring during a match?")</f>
        <v>Can a participant move outside the ring during a match?</v>
      </c>
      <c r="I19" s="10" t="str">
        <f>IFERROR(__xludf.DUMMYFUNCTION("GOOGLETRANSLATE(C19, ""ar"", ""en"")"),"a) Yes, he can move outside the ring; b) No, he must remain inside the ring throughout the match; c) Yes, but within a certain distance; d) No, except in case of emergency")</f>
        <v>a) Yes, he can move outside the ring; b) No, he must remain inside the ring throughout the match; c) Yes, but within a certain distance; d) No, except in case of emergency</v>
      </c>
      <c r="J19" s="10" t="str">
        <f>IFERROR(__xludf.DUMMYFUNCTION("GOOGLETRANSLATE(D19, ""ar"", ""en"")"),"b) No, he must remain inside the ring throughout the match")</f>
        <v>b) No, he must remain inside the ring throughout the match</v>
      </c>
      <c r="K19" s="10" t="str">
        <f>IFERROR(__xludf.DUMMYFUNCTION("GOOGLETRANSLATE(E19, ""ar"", ""en"")"),"The participant must remain inside the ring during the match to avoid any interference with the match.")</f>
        <v>The participant must remain inside the ring during the match to avoid any interference with the match.</v>
      </c>
    </row>
    <row r="20">
      <c r="A20" s="11">
        <v>19.0</v>
      </c>
      <c r="B20" s="12" t="s">
        <v>1278</v>
      </c>
      <c r="C20" s="12" t="s">
        <v>1279</v>
      </c>
      <c r="D20" s="12" t="s">
        <v>1280</v>
      </c>
      <c r="E20" s="13" t="s">
        <v>1281</v>
      </c>
      <c r="G20" s="10" t="str">
        <f>IFERROR(__xludf.DUMMYFUNCTION("GOOGLETRANSLATE(A20, ""ar"", ""en"")"),"19")</f>
        <v>19</v>
      </c>
      <c r="H20" s="10" t="str">
        <f>IFERROR(__xludf.DUMMYFUNCTION("GOOGLETRANSLATE(B20, ""ar"", ""en"")"),"Are dance movements allowed in Nubian stick fighting?")</f>
        <v>Are dance movements allowed in Nubian stick fighting?</v>
      </c>
      <c r="I20" s="10" t="str">
        <f>IFERROR(__xludf.DUMMYFUNCTION("GOOGLETRANSLATE(C20, ""ar"", ""en"")"),"a) Yes, dance movements can be combined with fighting; b) No, movements should be limited to fighting only; c) Yes, but movements should be random; d) No, except in the case of a demonstration.")</f>
        <v>a) Yes, dance movements can be combined with fighting; b) No, movements should be limited to fighting only; c) Yes, but movements should be random; d) No, except in the case of a demonstration.</v>
      </c>
      <c r="J20" s="10" t="str">
        <f>IFERROR(__xludf.DUMMYFUNCTION("GOOGLETRANSLATE(D20, ""ar"", ""en"")"),"b) No, movements should be limited to combat only.")</f>
        <v>b) No, movements should be limited to combat only.</v>
      </c>
      <c r="K20" s="10" t="str">
        <f>IFERROR(__xludf.DUMMYFUNCTION("GOOGLETRANSLATE(E20, ""ar"", ""en"")"),"Stick fighting focuses on serious combat movements and dance moves are not allowed.")</f>
        <v>Stick fighting focuses on serious combat movements and dance moves are not allowed.</v>
      </c>
    </row>
    <row r="21">
      <c r="A21" s="14">
        <v>20.0</v>
      </c>
      <c r="B21" s="15" t="s">
        <v>1282</v>
      </c>
      <c r="C21" s="15" t="s">
        <v>1283</v>
      </c>
      <c r="D21" s="15" t="s">
        <v>1284</v>
      </c>
      <c r="E21" s="16" t="s">
        <v>1285</v>
      </c>
      <c r="G21" s="10" t="str">
        <f>IFERROR(__xludf.DUMMYFUNCTION("GOOGLETRANSLATE(A21, ""ar"", ""en"")"),"20")</f>
        <v>20</v>
      </c>
      <c r="H21" s="10" t="str">
        <f>IFERROR(__xludf.DUMMYFUNCTION("GOOGLETRANSLATE(B21, ""ar"", ""en"")"),"Is the participant allowed to change his clothes during the match?")</f>
        <v>Is the participant allowed to change his clothes during the match?</v>
      </c>
      <c r="I21" s="10" t="str">
        <f>IFERROR(__xludf.DUMMYFUNCTION("GOOGLETRANSLATE(C21, ""ar"", ""en"")"),"a) Yes, he can change his clothes; b) No, he must wear the designated match attire; c) Yes, but only in case of emergency; d) No, only after the match has ended")</f>
        <v>a) Yes, he can change his clothes; b) No, he must wear the designated match attire; c) Yes, but only in case of emergency; d) No, only after the match has ended</v>
      </c>
      <c r="J21" s="10" t="str">
        <f>IFERROR(__xludf.DUMMYFUNCTION("GOOGLETRANSLATE(D21, ""ar"", ""en"")"),"b) No, he must adhere to the dress code specified for the match.")</f>
        <v>b) No, he must adhere to the dress code specified for the match.</v>
      </c>
      <c r="K21" s="10" t="str">
        <f>IFERROR(__xludf.DUMMYFUNCTION("GOOGLETRANSLATE(E21, ""ar"", ""en"")"),"Participants must adhere to the specified clothing before the match to avoid any safety issues.")</f>
        <v>Participants must adhere to the specified clothing before the match to avoid any safety issues.</v>
      </c>
    </row>
    <row r="22">
      <c r="A22" s="11">
        <v>21.0</v>
      </c>
      <c r="B22" s="12" t="s">
        <v>1286</v>
      </c>
      <c r="C22" s="12" t="s">
        <v>1287</v>
      </c>
      <c r="D22" s="12" t="s">
        <v>1288</v>
      </c>
      <c r="E22" s="13" t="s">
        <v>1289</v>
      </c>
      <c r="G22" s="10" t="str">
        <f>IFERROR(__xludf.DUMMYFUNCTION("GOOGLETRANSLATE(A22, ""ar"", ""en"")"),"21")</f>
        <v>21</v>
      </c>
      <c r="H22" s="10" t="str">
        <f>IFERROR(__xludf.DUMMYFUNCTION("GOOGLETRANSLATE(B22, ""ar"", ""en"")"),"Can a very long stick be used in combat?")</f>
        <v>Can a very long stick be used in combat?</v>
      </c>
      <c r="I22" s="10" t="str">
        <f>IFERROR(__xludf.DUMMYFUNCTION("GOOGLETRANSLATE(C22, ""ar"", ""en"")"),"a) Yes, a stick of any length can be used; b) No, sticks must be of a specified length; c) Yes, but only for experienced participants; d) No, except in exceptional circumstances")</f>
        <v>a) Yes, a stick of any length can be used; b) No, sticks must be of a specified length; c) Yes, but only for experienced participants; d) No, except in exceptional circumstances</v>
      </c>
      <c r="J22" s="10" t="str">
        <f>IFERROR(__xludf.DUMMYFUNCTION("GOOGLETRANSLATE(D22, ""ar"", ""en"")"),"b) No, the sticks must be within a specified length.")</f>
        <v>b) No, the sticks must be within a specified length.</v>
      </c>
      <c r="K22" s="10" t="str">
        <f>IFERROR(__xludf.DUMMYFUNCTION("GOOGLETRANSLATE(E22, ""ar"", ""en"")"),"The length of the stick should be appropriate for the match so that it is not so long as to make the fight more difficult or put the participants at risk.")</f>
        <v>The length of the stick should be appropriate for the match so that it is not so long as to make the fight more difficult or put the participants at risk.</v>
      </c>
    </row>
    <row r="23">
      <c r="A23" s="14">
        <v>22.0</v>
      </c>
      <c r="B23" s="15" t="s">
        <v>1290</v>
      </c>
      <c r="C23" s="15" t="s">
        <v>1291</v>
      </c>
      <c r="D23" s="15" t="s">
        <v>1292</v>
      </c>
      <c r="E23" s="16" t="s">
        <v>1293</v>
      </c>
      <c r="G23" s="10" t="str">
        <f>IFERROR(__xludf.DUMMYFUNCTION("GOOGLETRANSLATE(A23, ""ar"", ""en"")"),"22")</f>
        <v>22</v>
      </c>
      <c r="H23" s="10" t="str">
        <f>IFERROR(__xludf.DUMMYFUNCTION("GOOGLETRANSLATE(B23, ""ar"", ""en"")"),"Can a participant fight against someone larger than him?")</f>
        <v>Can a participant fight against someone larger than him?</v>
      </c>
      <c r="I23" s="10" t="str">
        <f>IFERROR(__xludf.DUMMYFUNCTION("GOOGLETRANSLATE(C23, ""ar"", ""en"")"),"a) Yes, it's better to fight against a larger opponent; b) No, the size must be equal between the participants; c) Yes, but under the supervision of referees; d) No, the match is canceled in this case.")</f>
        <v>a) Yes, it's better to fight against a larger opponent; b) No, the size must be equal between the participants; c) Yes, but under the supervision of referees; d) No, the match is canceled in this case.</v>
      </c>
      <c r="J23" s="10" t="str">
        <f>IFERROR(__xludf.DUMMYFUNCTION("GOOGLETRANSLATE(D23, ""ar"", ""en"")"),"c) Yes, but under the supervision of the referees")</f>
        <v>c) Yes, but under the supervision of the referees</v>
      </c>
      <c r="K23" s="10" t="str">
        <f>IFERROR(__xludf.DUMMYFUNCTION("GOOGLETRANSLATE(E23, ""ar"", ""en"")"),"Fighting against a larger opponent is permitted but must be supervised by referees to ensure the safety of both parties.")</f>
        <v>Fighting against a larger opponent is permitted but must be supervised by referees to ensure the safety of both parties.</v>
      </c>
    </row>
    <row r="24">
      <c r="A24" s="11">
        <v>23.0</v>
      </c>
      <c r="B24" s="12" t="s">
        <v>1294</v>
      </c>
      <c r="C24" s="12" t="s">
        <v>1295</v>
      </c>
      <c r="D24" s="12" t="s">
        <v>1296</v>
      </c>
      <c r="E24" s="13" t="s">
        <v>1297</v>
      </c>
      <c r="G24" s="10" t="str">
        <f>IFERROR(__xludf.DUMMYFUNCTION("GOOGLETRANSLATE(A24, ""ar"", ""en"")"),"23")</f>
        <v>23</v>
      </c>
      <c r="H24" s="10" t="str">
        <f>IFERROR(__xludf.DUMMYFUNCTION("GOOGLETRANSLATE(B24, ""ar"", ""en"")"),"Is it allowed to fight against multiple opponents at the same time?")</f>
        <v>Is it allowed to fight against multiple opponents at the same time?</v>
      </c>
      <c r="I24" s="10" t="str">
        <f>IFERROR(__xludf.DUMMYFUNCTION("GOOGLETRANSLATE(C24, ""ar"", ""en"")"),"a) Yes, it is possible to fight against more than one opponent; b) No, the fight must be individual; c) Yes, but only after approval from the referees; d) No, except in exceptional circumstances")</f>
        <v>a) Yes, it is possible to fight against more than one opponent; b) No, the fight must be individual; c) Yes, but only after approval from the referees; d) No, except in exceptional circumstances</v>
      </c>
      <c r="J24" s="10" t="str">
        <f>IFERROR(__xludf.DUMMYFUNCTION("GOOGLETRANSLATE(D24, ""ar"", ""en"")"),"b) No, the fight must be individual.")</f>
        <v>b) No, the fight must be individual.</v>
      </c>
      <c r="K24" s="10" t="str">
        <f>IFERROR(__xludf.DUMMYFUNCTION("GOOGLETRANSLATE(E24, ""ar"", ""en"")"),"Stick fighting is between only two people at a time, and fighting against multiple opponents is not allowed.")</f>
        <v>Stick fighting is between only two people at a time, and fighting against multiple opponents is not allowed.</v>
      </c>
    </row>
    <row r="25">
      <c r="A25" s="14">
        <v>24.0</v>
      </c>
      <c r="B25" s="15" t="s">
        <v>1298</v>
      </c>
      <c r="C25" s="15" t="s">
        <v>1299</v>
      </c>
      <c r="D25" s="15" t="s">
        <v>1300</v>
      </c>
      <c r="E25" s="16" t="s">
        <v>1301</v>
      </c>
      <c r="G25" s="10" t="str">
        <f>IFERROR(__xludf.DUMMYFUNCTION("GOOGLETRANSLATE(A25, ""ar"", ""en"")"),"24")</f>
        <v>24</v>
      </c>
      <c r="H25" s="10" t="str">
        <f>IFERROR(__xludf.DUMMYFUNCTION("GOOGLETRANSLATE(B25, ""ar"", ""en"")"),"Is it permissible for multiple participants to share a single weapon?")</f>
        <v>Is it permissible for multiple participants to share a single weapon?</v>
      </c>
      <c r="I25" s="10" t="str">
        <f>IFERROR(__xludf.DUMMYFUNCTION("GOOGLETRANSLATE(C25, ""ar"", ""en"")"),"a) Yes, participants can exchange weapons; b) No, each participant must have their own stick; c) Yes, but only with the approval of the referees; d) No, except in emergencies")</f>
        <v>a) Yes, participants can exchange weapons; b) No, each participant must have their own stick; c) Yes, but only with the approval of the referees; d) No, except in emergencies</v>
      </c>
      <c r="J25" s="10" t="str">
        <f>IFERROR(__xludf.DUMMYFUNCTION("GOOGLETRANSLATE(D25, ""ar"", ""en"")"),"b) No, each participant must have their own stick")</f>
        <v>b) No, each participant must have their own stick</v>
      </c>
      <c r="K25" s="10" t="str">
        <f>IFERROR(__xludf.DUMMYFUNCTION("GOOGLETRANSLATE(E25, ""ar"", ""en"")"),"In Nubian stick fighting, each participant must have their own stick to ensure fairness in the match.")</f>
        <v>In Nubian stick fighting, each participant must have their own stick to ensure fairness in the match.</v>
      </c>
    </row>
    <row r="26">
      <c r="A26" s="11">
        <v>25.0</v>
      </c>
      <c r="B26" s="12" t="s">
        <v>1302</v>
      </c>
      <c r="C26" s="12" t="s">
        <v>1303</v>
      </c>
      <c r="D26" s="12" t="s">
        <v>1304</v>
      </c>
      <c r="E26" s="13" t="s">
        <v>1305</v>
      </c>
      <c r="G26" s="10" t="str">
        <f>IFERROR(__xludf.DUMMYFUNCTION("GOOGLETRANSLATE(A26, ""ar"", ""en"")"),"25")</f>
        <v>25</v>
      </c>
      <c r="H26" s="10" t="str">
        <f>IFERROR(__xludf.DUMMYFUNCTION("GOOGLETRANSLATE(B26, ""ar"", ""en"")"),"Can a participant who leaves the ring return to the match?")</f>
        <v>Can a participant who leaves the ring return to the match?</v>
      </c>
      <c r="I26" s="10" t="str">
        <f>IFERROR(__xludf.DUMMYFUNCTION("GOOGLETRANSLATE(C26, ""ar"", ""en"")"),"a) Yes, he can return after a short time; b) No, he is not allowed to return to the match after leaving the ring; c) Yes, but only with the referees' approval; d) No, except in case of emergency")</f>
        <v>a) Yes, he can return after a short time; b) No, he is not allowed to return to the match after leaving the ring; c) Yes, but only with the referees' approval; d) No, except in case of emergency</v>
      </c>
      <c r="J26" s="10" t="str">
        <f>IFERROR(__xludf.DUMMYFUNCTION("GOOGLETRANSLATE(D26, ""ar"", ""en"")"),"b) No, returning to the match is not allowed after leaving the ring")</f>
        <v>b) No, returning to the match is not allowed after leaving the ring</v>
      </c>
      <c r="K26" s="10" t="str">
        <f>IFERROR(__xludf.DUMMYFUNCTION("GOOGLETRANSLATE(E26, ""ar"", ""en"")"),"If a participant leaves the ring, they are considered a loser and cannot return to the match.")</f>
        <v>If a participant leaves the ring, they are considered a loser and cannot return to the match.</v>
      </c>
    </row>
    <row r="27">
      <c r="A27" s="14">
        <v>26.0</v>
      </c>
      <c r="B27" s="15" t="s">
        <v>1306</v>
      </c>
      <c r="C27" s="15" t="s">
        <v>1307</v>
      </c>
      <c r="D27" s="15" t="s">
        <v>1308</v>
      </c>
      <c r="E27" s="16" t="s">
        <v>1309</v>
      </c>
      <c r="G27" s="10" t="str">
        <f>IFERROR(__xludf.DUMMYFUNCTION("GOOGLETRANSLATE(A27, ""ar"", ""en"")"),"26")</f>
        <v>26</v>
      </c>
      <c r="H27" s="10" t="str">
        <f>IFERROR(__xludf.DUMMYFUNCTION("GOOGLETRANSLATE(B27, ""ar"", ""en"")"),"Can the participant move very quickly during the match?")</f>
        <v>Can the participant move very quickly during the match?</v>
      </c>
      <c r="I27" s="10" t="str">
        <f>IFERROR(__xludf.DUMMYFUNCTION("GOOGLETRANSLATE(C27, ""ar"", ""en"")"),"a) Yes, movement should be rapid to avoid attacks; b) No, movement should be at a moderate pace; c) Yes, but movement should be limited; d) No, random movement is allowed.")</f>
        <v>a) Yes, movement should be rapid to avoid attacks; b) No, movement should be at a moderate pace; c) Yes, but movement should be limited; d) No, random movement is allowed.</v>
      </c>
      <c r="J27" s="10" t="str">
        <f>IFERROR(__xludf.DUMMYFUNCTION("GOOGLETRANSLATE(D27, ""ar"", ""en"")"),"b) No, movement should be at a moderate pace")</f>
        <v>b) No, movement should be at a moderate pace</v>
      </c>
      <c r="K27" s="10" t="str">
        <f>IFERROR(__xludf.DUMMYFUNCTION("GOOGLETRANSLATE(E27, ""ar"", ""en"")"),"Moving too fast can lead to loss of balance, so it is preferable to move at a moderate pace.")</f>
        <v>Moving too fast can lead to loss of balance, so it is preferable to move at a moderate pace.</v>
      </c>
    </row>
    <row r="28">
      <c r="A28" s="11">
        <v>27.0</v>
      </c>
      <c r="B28" s="12" t="s">
        <v>1310</v>
      </c>
      <c r="C28" s="12" t="s">
        <v>1311</v>
      </c>
      <c r="D28" s="12" t="s">
        <v>1312</v>
      </c>
      <c r="E28" s="13" t="s">
        <v>1313</v>
      </c>
      <c r="G28" s="10" t="str">
        <f>IFERROR(__xludf.DUMMYFUNCTION("GOOGLETRANSLATE(A28, ""ar"", ""en"")"),"27")</f>
        <v>27</v>
      </c>
      <c r="H28" s="10" t="str">
        <f>IFERROR(__xludf.DUMMYFUNCTION("GOOGLETRANSLATE(B28, ""ar"", ""en"")"),"Should participants wear protective equipment during fencing?")</f>
        <v>Should participants wear protective equipment during fencing?</v>
      </c>
      <c r="I28" s="10" t="str">
        <f>IFERROR(__xludf.DUMMYFUNCTION("GOOGLETRANSLATE(C28, ""ar"", ""en"")"),"a) Yes, participants must wear protective equipment; b) No, duels are allowed without protection; c) Yes, but only for newcomers; d) No, except in case of injury")</f>
        <v>a) Yes, participants must wear protective equipment; b) No, duels are allowed without protection; c) Yes, but only for newcomers; d) No, except in case of injury</v>
      </c>
      <c r="J28" s="10" t="str">
        <f>IFERROR(__xludf.DUMMYFUNCTION("GOOGLETRANSLATE(D28, ""ar"", ""en"")"),"a) Yes, participants must wear protective equipment")</f>
        <v>a) Yes, participants must wear protective equipment</v>
      </c>
      <c r="K28" s="10" t="str">
        <f>IFERROR(__xludf.DUMMYFUNCTION("GOOGLETRANSLATE(E28, ""ar"", ""en"")"),"Nubian stick fighting requires wearing protective equipment such as helmets and gloves to protect participants from injuries.")</f>
        <v>Nubian stick fighting requires wearing protective equipment such as helmets and gloves to protect participants from injuries.</v>
      </c>
    </row>
    <row r="29">
      <c r="A29" s="14">
        <v>28.0</v>
      </c>
      <c r="B29" s="15" t="s">
        <v>1314</v>
      </c>
      <c r="C29" s="15" t="s">
        <v>1315</v>
      </c>
      <c r="D29" s="15" t="s">
        <v>1316</v>
      </c>
      <c r="E29" s="16" t="s">
        <v>1317</v>
      </c>
      <c r="G29" s="10" t="str">
        <f>IFERROR(__xludf.DUMMYFUNCTION("GOOGLETRANSLATE(A29, ""ar"", ""en"")"),"28")</f>
        <v>28</v>
      </c>
      <c r="H29" s="10" t="str">
        <f>IFERROR(__xludf.DUMMYFUNCTION("GOOGLETRANSLATE(B29, ""ar"", ""en"")"),"Is the participant allowed to use stick-throwing techniques against the opponent?")</f>
        <v>Is the participant allowed to use stick-throwing techniques against the opponent?</v>
      </c>
      <c r="I29" s="10" t="str">
        <f>IFERROR(__xludf.DUMMYFUNCTION("GOOGLETRANSLATE(C29, ""ar"", ""en"")"),"a) Yes, throwing techniques can be used freely; b) No, the stick should only be used for attack or defense; c) Yes, but it must be done under the supervision of referees; d) No, except in exceptional circumstances")</f>
        <v>a) Yes, throwing techniques can be used freely; b) No, the stick should only be used for attack or defense; c) Yes, but it must be done under the supervision of referees; d) No, except in exceptional circumstances</v>
      </c>
      <c r="J29" s="10" t="str">
        <f>IFERROR(__xludf.DUMMYFUNCTION("GOOGLETRANSLATE(D29, ""ar"", ""en"")"),"b) No, the stick should only be used for attack or defense.")</f>
        <v>b) No, the stick should only be used for attack or defense.</v>
      </c>
      <c r="K29" s="10" t="str">
        <f>IFERROR(__xludf.DUMMYFUNCTION("GOOGLETRANSLATE(E29, ""ar"", ""en"")"),"The use of stick-throwing techniques is not permitted in Nubian stick fighting; the stick must remain in the participant's hand to ensure safety.")</f>
        <v>The use of stick-throwing techniques is not permitted in Nubian stick fighting; the stick must remain in the participant's hand to ensure safety.</v>
      </c>
    </row>
    <row r="30">
      <c r="A30" s="11">
        <v>29.0</v>
      </c>
      <c r="B30" s="12" t="s">
        <v>1318</v>
      </c>
      <c r="C30" s="12" t="s">
        <v>1319</v>
      </c>
      <c r="D30" s="12" t="s">
        <v>1320</v>
      </c>
      <c r="E30" s="13" t="s">
        <v>1321</v>
      </c>
      <c r="G30" s="10" t="str">
        <f>IFERROR(__xludf.DUMMYFUNCTION("GOOGLETRANSLATE(A30, ""ar"", ""en"")"),"29")</f>
        <v>29</v>
      </c>
      <c r="H30" s="10" t="str">
        <f>IFERROR(__xludf.DUMMYFUNCTION("GOOGLETRANSLATE(B30, ""ar"", ""en"")"),"Is it permissible to use a stick to raise a challenge against an opponent?")</f>
        <v>Is it permissible to use a stick to raise a challenge against an opponent?</v>
      </c>
      <c r="I30" s="10" t="str">
        <f>IFERROR(__xludf.DUMMYFUNCTION("GOOGLETRANSLATE(C30, ""ar"", ""en"")"),"a) Yes, the challenge can be raised using a stick; b) No, any provocations must be avoided; c) Yes, but with a time limit; d) No, unless it is an exhibition match")</f>
        <v>a) Yes, the challenge can be raised using a stick; b) No, any provocations must be avoided; c) Yes, but with a time limit; d) No, unless it is an exhibition match</v>
      </c>
      <c r="J30" s="10" t="str">
        <f>IFERROR(__xludf.DUMMYFUNCTION("GOOGLETRANSLATE(D30, ""ar"", ""en"")"),"b) No, any provocations should be avoided.")</f>
        <v>b) No, any provocations should be avoided.</v>
      </c>
      <c r="K30" s="10" t="str">
        <f>IFERROR(__xludf.DUMMYFUNCTION("GOOGLETRANSLATE(E30, ""ar"", ""en"")"),"Raising the challenge using a stick is not allowed, and duels must be respectful and based on rules.")</f>
        <v>Raising the challenge using a stick is not allowed, and duels must be respectful and based on rules.</v>
      </c>
    </row>
    <row r="31">
      <c r="A31" s="14">
        <v>30.0</v>
      </c>
      <c r="B31" s="15" t="s">
        <v>1322</v>
      </c>
      <c r="C31" s="15" t="s">
        <v>1323</v>
      </c>
      <c r="D31" s="15" t="s">
        <v>1324</v>
      </c>
      <c r="E31" s="16" t="s">
        <v>1325</v>
      </c>
      <c r="G31" s="10" t="str">
        <f>IFERROR(__xludf.DUMMYFUNCTION("GOOGLETRANSLATE(A31, ""ar"", ""en"")"),"30")</f>
        <v>30</v>
      </c>
      <c r="H31" s="10" t="str">
        <f>IFERROR(__xludf.DUMMYFUNCTION("GOOGLETRANSLATE(B31, ""ar"", ""en"")"),"Is it permissible to use a stick in a sudden, unjustified attack?")</f>
        <v>Is it permissible to use a stick in a sudden, unjustified attack?</v>
      </c>
      <c r="I31" s="10" t="str">
        <f>IFERROR(__xludf.DUMMYFUNCTION("GOOGLETRANSLATE(C31, ""ar"", ""en"")"),"a) Yes, a surprise attack is allowed; b) No, an attack must be justified and within the context of the game; c) Yes, but only after a warning; d) No, a surprise attack is a violation")</f>
        <v>a) Yes, a surprise attack is allowed; b) No, an attack must be justified and within the context of the game; c) Yes, but only after a warning; d) No, a surprise attack is a violation</v>
      </c>
      <c r="J31" s="10" t="str">
        <f>IFERROR(__xludf.DUMMYFUNCTION("GOOGLETRANSLATE(D31, ""ar"", ""en"")"),"b) No, the attack must be justified and within the context of the game.")</f>
        <v>b) No, the attack must be justified and within the context of the game.</v>
      </c>
      <c r="K31" s="10" t="str">
        <f>IFERROR(__xludf.DUMMYFUNCTION("GOOGLETRANSLATE(E31, ""ar"", ""en"")"),"A sudden attack is unjustified and constitutes a violation of the rules, and should only occur within the context of a duel.")</f>
        <v>A sudden attack is unjustified and constitutes a violation of the rules, and should only occur within the context of a duel.</v>
      </c>
    </row>
    <row r="32">
      <c r="A32" s="11">
        <v>31.0</v>
      </c>
      <c r="B32" s="12" t="s">
        <v>1326</v>
      </c>
      <c r="C32" s="12" t="s">
        <v>1327</v>
      </c>
      <c r="D32" s="12" t="s">
        <v>1328</v>
      </c>
      <c r="E32" s="13" t="s">
        <v>1329</v>
      </c>
      <c r="G32" s="10" t="str">
        <f>IFERROR(__xludf.DUMMYFUNCTION("GOOGLETRANSLATE(A32, ""ar"", ""en"")"),"31")</f>
        <v>31</v>
      </c>
      <c r="H32" s="10" t="str">
        <f>IFERROR(__xludf.DUMMYFUNCTION("GOOGLETRANSLATE(B32, ""ar"", ""en"")"),"Are advanced kinetic techniques allowed in Nubian stick fighting?")</f>
        <v>Are advanced kinetic techniques allowed in Nubian stick fighting?</v>
      </c>
      <c r="I32" s="10" t="str">
        <f>IFERROR(__xludf.DUMMYFUNCTION("GOOGLETRANSLATE(C32, ""ar"", ""en"")"),"a) Yes, advanced techniques can be used freely; b) No, only basic movements should be used; c) Yes, but the participant must first be trained in these techniques; d) No, only simple movements should be used.")</f>
        <v>a) Yes, advanced techniques can be used freely; b) No, only basic movements should be used; c) Yes, but the participant must first be trained in these techniques; d) No, only simple movements should be used.</v>
      </c>
      <c r="J32" s="10" t="str">
        <f>IFERROR(__xludf.DUMMYFUNCTION("GOOGLETRANSLATE(D32, ""ar"", ""en"")"),"c) Yes, but the participant must be trained on these techniques first.")</f>
        <v>c) Yes, but the participant must be trained on these techniques first.</v>
      </c>
      <c r="K32" s="10" t="str">
        <f>IFERROR(__xludf.DUMMYFUNCTION("GOOGLETRANSLATE(E32, ""ar"", ""en"")"),"Advanced motor techniques can be used, but the participant must have been well trained in them.")</f>
        <v>Advanced motor techniques can be used, but the participant must have been well trained in them.</v>
      </c>
    </row>
    <row r="33">
      <c r="A33" s="14">
        <v>32.0</v>
      </c>
      <c r="B33" s="15" t="s">
        <v>1330</v>
      </c>
      <c r="C33" s="15" t="s">
        <v>1331</v>
      </c>
      <c r="D33" s="15" t="s">
        <v>1292</v>
      </c>
      <c r="E33" s="16" t="s">
        <v>1332</v>
      </c>
      <c r="G33" s="10" t="str">
        <f>IFERROR(__xludf.DUMMYFUNCTION("GOOGLETRANSLATE(A33, ""ar"", ""en"")"),"32")</f>
        <v>32</v>
      </c>
      <c r="H33" s="10" t="str">
        <f>IFERROR(__xludf.DUMMYFUNCTION("GOOGLETRANSLATE(B33, ""ar"", ""en"")"),"Is a participant allowed to fight against an opponent older than him?")</f>
        <v>Is a participant allowed to fight against an opponent older than him?</v>
      </c>
      <c r="I33" s="10" t="str">
        <f>IFERROR(__xludf.DUMMYFUNCTION("GOOGLETRANSLATE(C33, ""ar"", ""en"")"),"a) Yes, there is no problem with that; b) No, the age of the participants must be the same; c) Yes, but under the supervision of referees; d) No, the match is cancelled in this case.")</f>
        <v>a) Yes, there is no problem with that; b) No, the age of the participants must be the same; c) Yes, but under the supervision of referees; d) No, the match is cancelled in this case.</v>
      </c>
      <c r="J33" s="10" t="str">
        <f>IFERROR(__xludf.DUMMYFUNCTION("GOOGLETRANSLATE(D33, ""ar"", ""en"")"),"c) Yes, but under the supervision of the referees")</f>
        <v>c) Yes, but under the supervision of the referees</v>
      </c>
      <c r="K33" s="10" t="str">
        <f>IFERROR(__xludf.DUMMYFUNCTION("GOOGLETRANSLATE(E33, ""ar"", ""en"")"),"Fighting against an older person is possible but must be done under the supervision of referees to ensure fairness.")</f>
        <v>Fighting against an older person is possible but must be done under the supervision of referees to ensure fairness.</v>
      </c>
    </row>
    <row r="34">
      <c r="A34" s="11">
        <v>33.0</v>
      </c>
      <c r="B34" s="12" t="s">
        <v>1333</v>
      </c>
      <c r="C34" s="12" t="s">
        <v>1334</v>
      </c>
      <c r="D34" s="12" t="s">
        <v>1335</v>
      </c>
      <c r="E34" s="13" t="s">
        <v>1336</v>
      </c>
      <c r="G34" s="10" t="str">
        <f>IFERROR(__xludf.DUMMYFUNCTION("GOOGLETRANSLATE(A34, ""ar"", ""en"")"),"33")</f>
        <v>33</v>
      </c>
      <c r="H34" s="10" t="str">
        <f>IFERROR(__xludf.DUMMYFUNCTION("GOOGLETRANSLATE(B34, ""ar"", ""en"")"),"Is it permissible for a participant to use a stick of disproportionate weight in Nubian stick fighting?")</f>
        <v>Is it permissible for a participant to use a stick of disproportionate weight in Nubian stick fighting?</v>
      </c>
      <c r="I34" s="10" t="str">
        <f>IFERROR(__xludf.DUMMYFUNCTION("GOOGLETRANSLATE(C34, ""ar"", ""en"")"),"a) Yes, a stick of any weight can be used; b) No, the stick must be of a certain weight according to the rules; c) Yes, but only for experienced participants; d) No, only a light stick is allowed.")</f>
        <v>a) Yes, a stick of any weight can be used; b) No, the stick must be of a certain weight according to the rules; c) Yes, but only for experienced participants; d) No, only a light stick is allowed.</v>
      </c>
      <c r="J34" s="10" t="str">
        <f>IFERROR(__xludf.DUMMYFUNCTION("GOOGLETRANSLATE(D34, ""ar"", ""en"")"),"b) No, the stick must be of a certain weight according to the rules")</f>
        <v>b) No, the stick must be of a certain weight according to the rules</v>
      </c>
      <c r="K34" s="10" t="str">
        <f>IFERROR(__xludf.DUMMYFUNCTION("GOOGLETRANSLATE(E34, ""ar"", ""en"")"),"Fighting requires that the stick be of a suitable weight so as not to give an unfair advantage to one of the participants.")</f>
        <v>Fighting requires that the stick be of a suitable weight so as not to give an unfair advantage to one of the participants.</v>
      </c>
    </row>
    <row r="35">
      <c r="A35" s="14">
        <v>34.0</v>
      </c>
      <c r="B35" s="15" t="s">
        <v>1337</v>
      </c>
      <c r="C35" s="15" t="s">
        <v>1338</v>
      </c>
      <c r="D35" s="15" t="s">
        <v>1339</v>
      </c>
      <c r="E35" s="16" t="s">
        <v>1340</v>
      </c>
      <c r="G35" s="10" t="str">
        <f>IFERROR(__xludf.DUMMYFUNCTION("GOOGLETRANSLATE(A35, ""ar"", ""en"")"),"34")</f>
        <v>34</v>
      </c>
      <c r="H35" s="10" t="str">
        <f>IFERROR(__xludf.DUMMYFUNCTION("GOOGLETRANSLATE(B35, ""ar"", ""en"")"),"Is the participant allowed to change the way he grips the stick during the match?")</f>
        <v>Is the participant allowed to change the way he grips the stick during the match?</v>
      </c>
      <c r="I35" s="10" t="str">
        <f>IFERROR(__xludf.DUMMYFUNCTION("GOOGLETRANSLATE(C35, ""ar"", ""en"")"),"a) Yes, he can change his grip at any time; b) No, the grip must remain constant throughout the match; c) Yes, but only between rounds; d) No, the participant must stick to one grip only.")</f>
        <v>a) Yes, he can change his grip at any time; b) No, the grip must remain constant throughout the match; c) Yes, but only between rounds; d) No, the participant must stick to one grip only.</v>
      </c>
      <c r="J35" s="10" t="str">
        <f>IFERROR(__xludf.DUMMYFUNCTION("GOOGLETRANSLATE(D35, ""ar"", ""en"")"),"a) Yes, he can change the grip at any time")</f>
        <v>a) Yes, he can change the grip at any time</v>
      </c>
      <c r="K35" s="10" t="str">
        <f>IFERROR(__xludf.DUMMYFUNCTION("GOOGLETRANSLATE(E35, ""ar"", ""en"")"),"Changing the grip on the stick can be part of adapting to the opponent's style during a match.")</f>
        <v>Changing the grip on the stick can be part of adapting to the opponent's style during a match.</v>
      </c>
    </row>
    <row r="36">
      <c r="A36" s="11">
        <v>35.0</v>
      </c>
      <c r="B36" s="12" t="s">
        <v>1341</v>
      </c>
      <c r="C36" s="12" t="s">
        <v>1342</v>
      </c>
      <c r="D36" s="12" t="s">
        <v>1276</v>
      </c>
      <c r="E36" s="13" t="s">
        <v>1343</v>
      </c>
      <c r="G36" s="10" t="str">
        <f>IFERROR(__xludf.DUMMYFUNCTION("GOOGLETRANSLATE(A36, ""ar"", ""en"")"),"35")</f>
        <v>35</v>
      </c>
      <c r="H36" s="10" t="str">
        <f>IFERROR(__xludf.DUMMYFUNCTION("GOOGLETRANSLATE(B36, ""ar"", ""en"")"),"Is the participant allowed to move freely outside the boundaries of the ring?")</f>
        <v>Is the participant allowed to move freely outside the boundaries of the ring?</v>
      </c>
      <c r="I36" s="10" t="str">
        <f>IFERROR(__xludf.DUMMYFUNCTION("GOOGLETRANSLATE(C36, ""ar"", ""en"")"),"a) Yes, he can move freely outside the ring; b) No, he must remain inside the ring throughout the match; c) Yes, but within a certain distance; d) No, except in emergencies")</f>
        <v>a) Yes, he can move freely outside the ring; b) No, he must remain inside the ring throughout the match; c) Yes, but within a certain distance; d) No, except in emergencies</v>
      </c>
      <c r="J36" s="10" t="str">
        <f>IFERROR(__xludf.DUMMYFUNCTION("GOOGLETRANSLATE(D36, ""ar"", ""en"")"),"b) No, he must remain inside the ring throughout the match")</f>
        <v>b) No, he must remain inside the ring throughout the match</v>
      </c>
      <c r="K36" s="10" t="str">
        <f>IFERROR(__xludf.DUMMYFUNCTION("GOOGLETRANSLATE(E36, ""ar"", ""en"")"),"Movement must be confined to within the ring only to ensure integrity and the safety of the fencer.")</f>
        <v>Movement must be confined to within the ring only to ensure integrity and the safety of the fencer.</v>
      </c>
    </row>
    <row r="37">
      <c r="A37" s="14">
        <v>36.0</v>
      </c>
      <c r="B37" s="15" t="s">
        <v>1344</v>
      </c>
      <c r="C37" s="15" t="s">
        <v>1345</v>
      </c>
      <c r="D37" s="15" t="s">
        <v>1346</v>
      </c>
      <c r="E37" s="16" t="s">
        <v>1347</v>
      </c>
      <c r="G37" s="10" t="str">
        <f>IFERROR(__xludf.DUMMYFUNCTION("GOOGLETRANSLATE(A37, ""ar"", ""en"")"),"36")</f>
        <v>36</v>
      </c>
      <c r="H37" s="10" t="str">
        <f>IFERROR(__xludf.DUMMYFUNCTION("GOOGLETRANSLATE(B37, ""ar"", ""en"")"),"Is it permissible for a participant to speak during the match?")</f>
        <v>Is it permissible for a participant to speak during the match?</v>
      </c>
      <c r="I37" s="10" t="str">
        <f>IFERROR(__xludf.DUMMYFUNCTION("GOOGLETRANSLATE(C37, ""ar"", ""en"")"),"a) Yes, he can speak freely with the opponent; b) No, he must remain silent; c) Yes, but only to direct inquiries to the referees; d) No, unless there is an urgent necessity.")</f>
        <v>a) Yes, he can speak freely with the opponent; b) No, he must remain silent; c) Yes, but only to direct inquiries to the referees; d) No, unless there is an urgent necessity.</v>
      </c>
      <c r="J37" s="10" t="str">
        <f>IFERROR(__xludf.DUMMYFUNCTION("GOOGLETRANSLATE(D37, ""ar"", ""en"")"),"b) No, he must remain silent")</f>
        <v>b) No, he must remain silent</v>
      </c>
      <c r="K37" s="10" t="str">
        <f>IFERROR(__xludf.DUMMYFUNCTION("GOOGLETRANSLATE(E37, ""ar"", ""en"")"),"Duels must be conducted in complete silence to ensure full focus on the performance.")</f>
        <v>Duels must be conducted in complete silence to ensure full focus on the performance.</v>
      </c>
    </row>
    <row r="38">
      <c r="A38" s="11">
        <v>37.0</v>
      </c>
      <c r="B38" s="12" t="s">
        <v>1348</v>
      </c>
      <c r="C38" s="12" t="s">
        <v>1349</v>
      </c>
      <c r="D38" s="12" t="s">
        <v>1350</v>
      </c>
      <c r="E38" s="13" t="s">
        <v>1351</v>
      </c>
      <c r="G38" s="10" t="str">
        <f>IFERROR(__xludf.DUMMYFUNCTION("GOOGLETRANSLATE(A38, ""ar"", ""en"")"),"37")</f>
        <v>37</v>
      </c>
      <c r="H38" s="10" t="str">
        <f>IFERROR(__xludf.DUMMYFUNCTION("GOOGLETRANSLATE(B38, ""ar"", ""en"")"),"Is it permissible to use a stick to block an opponent's strikes?")</f>
        <v>Is it permissible to use a stick to block an opponent's strikes?</v>
      </c>
      <c r="I38" s="10" t="str">
        <f>IFERROR(__xludf.DUMMYFUNCTION("GOOGLETRANSLATE(C38, ""ar"", ""en"")"),"a) Yes, it can be used defensively only; b) No, any stick tackle should be avoided; c) Yes, but with caution to avoid injuries; d) No, offense should be the primary tactic.")</f>
        <v>a) Yes, it can be used defensively only; b) No, any stick tackle should be avoided; c) Yes, but with caution to avoid injuries; d) No, offense should be the primary tactic.</v>
      </c>
      <c r="J38" s="10" t="str">
        <f>IFERROR(__xludf.DUMMYFUNCTION("GOOGLETRANSLATE(D38, ""ar"", ""en"")"),"a) Yes, it can only be used for defense")</f>
        <v>a) Yes, it can only be used for defense</v>
      </c>
      <c r="K38" s="10" t="str">
        <f>IFERROR(__xludf.DUMMYFUNCTION("GOOGLETRANSLATE(E38, ""ar"", ""en"")"),"The stick is primarily used for defense against an opponent's strikes.")</f>
        <v>The stick is primarily used for defense against an opponent's strikes.</v>
      </c>
    </row>
    <row r="39">
      <c r="A39" s="14">
        <v>38.0</v>
      </c>
      <c r="B39" s="15" t="s">
        <v>1352</v>
      </c>
      <c r="C39" s="15" t="s">
        <v>1353</v>
      </c>
      <c r="D39" s="15" t="s">
        <v>1354</v>
      </c>
      <c r="E39" s="16" t="s">
        <v>1355</v>
      </c>
      <c r="G39" s="10" t="str">
        <f>IFERROR(__xludf.DUMMYFUNCTION("GOOGLETRANSLATE(A39, ""ar"", ""en"")"),"38")</f>
        <v>38</v>
      </c>
      <c r="H39" s="10" t="str">
        <f>IFERROR(__xludf.DUMMYFUNCTION("GOOGLETRANSLATE(B39, ""ar"", ""en"")"),"Can a participant withdraw or quit the match if they feel exhausted?")</f>
        <v>Can a participant withdraw or quit the match if they feel exhausted?</v>
      </c>
      <c r="I39" s="10" t="str">
        <f>IFERROR(__xludf.DUMMYFUNCTION("GOOGLETRANSLATE(C39, ""ar"", ""en"")"),"a) Yes, he can withdraw based on how he feels; b) No, he must complete the match; c) Yes, but only after the referees' approval; d) No, except in the case of serious injury")</f>
        <v>a) Yes, he can withdraw based on how he feels; b) No, he must complete the match; c) Yes, but only after the referees' approval; d) No, except in the case of serious injury</v>
      </c>
      <c r="J39" s="10" t="str">
        <f>IFERROR(__xludf.DUMMYFUNCTION("GOOGLETRANSLATE(D39, ""ar"", ""en"")"),"c) Yes, but only after the judges approve.")</f>
        <v>c) Yes, but only after the judges approve.</v>
      </c>
      <c r="K39" s="10" t="str">
        <f>IFERROR(__xludf.DUMMYFUNCTION("GOOGLETRANSLATE(E39, ""ar"", ""en"")"),"If a participant feels tired, they can withdraw, provided that the judges are notified.")</f>
        <v>If a participant feels tired, they can withdraw, provided that the judges are notified.</v>
      </c>
    </row>
    <row r="40">
      <c r="A40" s="11">
        <v>39.0</v>
      </c>
      <c r="B40" s="12" t="s">
        <v>1356</v>
      </c>
      <c r="C40" s="12" t="s">
        <v>1357</v>
      </c>
      <c r="D40" s="12" t="s">
        <v>1358</v>
      </c>
      <c r="E40" s="13" t="s">
        <v>1359</v>
      </c>
      <c r="G40" s="10" t="str">
        <f>IFERROR(__xludf.DUMMYFUNCTION("GOOGLETRANSLATE(A40, ""ar"", ""en"")"),"39")</f>
        <v>39</v>
      </c>
      <c r="H40" s="10" t="str">
        <f>IFERROR(__xludf.DUMMYFUNCTION("GOOGLETRANSLATE(B40, ""ar"", ""en"")"),"Is the participant allowed to use a stick with sharp ends?")</f>
        <v>Is the participant allowed to use a stick with sharp ends?</v>
      </c>
      <c r="I40" s="10" t="str">
        <f>IFERROR(__xludf.DUMMYFUNCTION("GOOGLETRANSLATE(C40, ""ar"", ""en"")"),"a) Yes, sharp sticks can be used in some cases; b) No, the stick must be smooth and safe; c) Yes, but the sharp ends must be harmless; d) No, the stick must be free of sharp edges.")</f>
        <v>a) Yes, sharp sticks can be used in some cases; b) No, the stick must be smooth and safe; c) Yes, but the sharp ends must be harmless; d) No, the stick must be free of sharp edges.</v>
      </c>
      <c r="J40" s="10" t="str">
        <f>IFERROR(__xludf.DUMMYFUNCTION("GOOGLETRANSLATE(D40, ""ar"", ""en"")"),"b) No, the stick must be smooth and safe")</f>
        <v>b) No, the stick must be smooth and safe</v>
      </c>
      <c r="K40" s="10" t="str">
        <f>IFERROR(__xludf.DUMMYFUNCTION("GOOGLETRANSLATE(E40, ""ar"", ""en"")"),"The sticks must be free of sharp ends to ensure the safety of all participants.")</f>
        <v>The sticks must be free of sharp ends to ensure the safety of all participants.</v>
      </c>
    </row>
    <row r="41">
      <c r="A41" s="14">
        <v>40.0</v>
      </c>
      <c r="B41" s="15" t="s">
        <v>1360</v>
      </c>
      <c r="C41" s="15" t="s">
        <v>1361</v>
      </c>
      <c r="D41" s="15" t="s">
        <v>1260</v>
      </c>
      <c r="E41" s="16" t="s">
        <v>1362</v>
      </c>
      <c r="G41" s="10" t="str">
        <f>IFERROR(__xludf.DUMMYFUNCTION("GOOGLETRANSLATE(A41, ""ar"", ""en"")"),"40")</f>
        <v>40</v>
      </c>
      <c r="H41" s="10" t="str">
        <f>IFERROR(__xludf.DUMMYFUNCTION("GOOGLETRANSLATE(B41, ""ar"", ""en"")"),"Is a participant allowed to change strategy during a match?")</f>
        <v>Is a participant allowed to change strategy during a match?</v>
      </c>
      <c r="I41" s="10" t="str">
        <f>IFERROR(__xludf.DUMMYFUNCTION("GOOGLETRANSLATE(C41, ""ar"", ""en"")"),"a) Yes, he can change strategy at any time; b) No, he must stick to the same strategy throughout the match; c) Yes, but the referees must be informed first; d) No, the change must be fully justified.")</f>
        <v>a) Yes, he can change strategy at any time; b) No, he must stick to the same strategy throughout the match; c) Yes, but the referees must be informed first; d) No, the change must be fully justified.</v>
      </c>
      <c r="J41" s="10" t="str">
        <f>IFERROR(__xludf.DUMMYFUNCTION("GOOGLETRANSLATE(D41, ""ar"", ""en"")"),"a) Yes, he can change the strategy at any time")</f>
        <v>a) Yes, he can change the strategy at any time</v>
      </c>
      <c r="K41" s="10" t="str">
        <f>IFERROR(__xludf.DUMMYFUNCTION("GOOGLETRANSLATE(E41, ""ar"", ""en"")"),"The participant can adjust his strategy based on the course of the match and the characteristics of the opponent's style.")</f>
        <v>The participant can adjust his strategy based on the course of the match and the characteristics of the opponent's style.</v>
      </c>
    </row>
    <row r="42">
      <c r="A42" s="11">
        <v>41.0</v>
      </c>
      <c r="B42" s="12" t="s">
        <v>1363</v>
      </c>
      <c r="C42" s="12" t="s">
        <v>1364</v>
      </c>
      <c r="D42" s="12" t="s">
        <v>1365</v>
      </c>
      <c r="E42" s="13" t="s">
        <v>1366</v>
      </c>
      <c r="G42" s="10" t="str">
        <f>IFERROR(__xludf.DUMMYFUNCTION("GOOGLETRANSLATE(A42, ""ar"", ""en"")"),"41")</f>
        <v>41</v>
      </c>
      <c r="H42" s="10" t="str">
        <f>IFERROR(__xludf.DUMMYFUNCTION("GOOGLETRANSLATE(B42, ""ar"", ""en"")"),"Is a short break allowed during the match?")</f>
        <v>Is a short break allowed during the match?</v>
      </c>
      <c r="I42" s="10" t="str">
        <f>IFERROR(__xludf.DUMMYFUNCTION("GOOGLETRANSLATE(C42, ""ar"", ""en"")"),"a) Yes, it can be stopped at any time; b) No, the match must continue uninterrupted; c) Yes, but the break must be timed; d) No, unless there is an injury.")</f>
        <v>a) Yes, it can be stopped at any time; b) No, the match must continue uninterrupted; c) Yes, but the break must be timed; d) No, unless there is an injury.</v>
      </c>
      <c r="J42" s="10" t="str">
        <f>IFERROR(__xludf.DUMMYFUNCTION("GOOGLETRANSLATE(D42, ""ar"", ""en"")"),"c) Yes, but the break must be time-limited.")</f>
        <v>c) Yes, but the break must be time-limited.</v>
      </c>
      <c r="K42" s="10" t="str">
        <f>IFERROR(__xludf.DUMMYFUNCTION("GOOGLETRANSLATE(E42, ""ar"", ""en"")"),"A short break may be given if necessary, but it must be within a specific time frame.")</f>
        <v>A short break may be given if necessary, but it must be within a specific time frame.</v>
      </c>
    </row>
    <row r="43">
      <c r="A43" s="14">
        <v>42.0</v>
      </c>
      <c r="B43" s="15" t="s">
        <v>1367</v>
      </c>
      <c r="C43" s="15" t="s">
        <v>1368</v>
      </c>
      <c r="D43" s="15" t="s">
        <v>1369</v>
      </c>
      <c r="E43" s="16" t="s">
        <v>1370</v>
      </c>
      <c r="G43" s="10" t="str">
        <f>IFERROR(__xludf.DUMMYFUNCTION("GOOGLETRANSLATE(A43, ""ar"", ""en"")"),"42")</f>
        <v>42</v>
      </c>
      <c r="H43" s="10" t="str">
        <f>IFERROR(__xludf.DUMMYFUNCTION("GOOGLETRANSLATE(B43, ""ar"", ""en"")"),"Is a participant allowed to use tricks or dishonest tactics in combat?")</f>
        <v>Is a participant allowed to use tricks or dishonest tactics in combat?</v>
      </c>
      <c r="I43" s="10" t="str">
        <f>IFERROR(__xludf.DUMMYFUNCTION("GOOGLETRANSLATE(C43, ""ar"", ""en"")"),"a) Yes, any tactic can be used to achieve victory; b) No, the fight must be fair and according to the rules; c) Yes, but tricks must be harmless; d) No, except in self-defense.")</f>
        <v>a) Yes, any tactic can be used to achieve victory; b) No, the fight must be fair and according to the rules; c) Yes, but tricks must be harmless; d) No, except in self-defense.</v>
      </c>
      <c r="J43" s="10" t="str">
        <f>IFERROR(__xludf.DUMMYFUNCTION("GOOGLETRANSLATE(D43, ""ar"", ""en"")"),"b) No, the fight must be fair and according to the rules.")</f>
        <v>b) No, the fight must be fair and according to the rules.</v>
      </c>
      <c r="K43" s="10" t="str">
        <f>IFERROR(__xludf.DUMMYFUNCTION("GOOGLETRANSLATE(E43, ""ar"", ""en"")"),"The tactic must be within the bounds of safety and fairness, and the use of dishonest tricks is prohibited.")</f>
        <v>The tactic must be within the bounds of safety and fairness, and the use of dishonest tricks is prohibited.</v>
      </c>
    </row>
    <row r="44">
      <c r="A44" s="11">
        <v>43.0</v>
      </c>
      <c r="B44" s="12" t="s">
        <v>1371</v>
      </c>
      <c r="C44" s="12" t="s">
        <v>1372</v>
      </c>
      <c r="D44" s="12" t="s">
        <v>1373</v>
      </c>
      <c r="E44" s="13" t="s">
        <v>1374</v>
      </c>
      <c r="G44" s="10" t="str">
        <f>IFERROR(__xludf.DUMMYFUNCTION("GOOGLETRANSLATE(A44, ""ar"", ""en"")"),"43")</f>
        <v>43</v>
      </c>
      <c r="H44" s="10" t="str">
        <f>IFERROR(__xludf.DUMMYFUNCTION("GOOGLETRANSLATE(B44, ""ar"", ""en"")"),"Can a participant use a very heavy stick in combat?")</f>
        <v>Can a participant use a very heavy stick in combat?</v>
      </c>
      <c r="I44" s="10" t="str">
        <f>IFERROR(__xludf.DUMMYFUNCTION("GOOGLETRANSLATE(C44, ""ar"", ""en"")"),"a) Yes, a stick of any weight can be used; b) No, the weight of the stick must be within the specified limits; c) Yes, but heavy sticks should be lightweight when in use; d) No, the stick must always be lightweight.")</f>
        <v>a) Yes, a stick of any weight can be used; b) No, the weight of the stick must be within the specified limits; c) Yes, but heavy sticks should be lightweight when in use; d) No, the stick must always be lightweight.</v>
      </c>
      <c r="J44" s="10" t="str">
        <f>IFERROR(__xludf.DUMMYFUNCTION("GOOGLETRANSLATE(D44, ""ar"", ""en"")"),"b) No, the weight of the stick must be within the specified limits.")</f>
        <v>b) No, the weight of the stick must be within the specified limits.</v>
      </c>
      <c r="K44" s="10" t="str">
        <f>IFERROR(__xludf.DUMMYFUNCTION("GOOGLETRANSLATE(E44, ""ar"", ""en"")"),"The appropriate weight of the stick helps maintain balance among the participants.")</f>
        <v>The appropriate weight of the stick helps maintain balance among the participants.</v>
      </c>
    </row>
    <row r="45">
      <c r="A45" s="14">
        <v>44.0</v>
      </c>
      <c r="B45" s="15" t="s">
        <v>1375</v>
      </c>
      <c r="C45" s="15" t="s">
        <v>1376</v>
      </c>
      <c r="D45" s="15" t="s">
        <v>1377</v>
      </c>
      <c r="E45" s="16" t="s">
        <v>1378</v>
      </c>
      <c r="G45" s="10" t="str">
        <f>IFERROR(__xludf.DUMMYFUNCTION("GOOGLETRANSLATE(A45, ""ar"", ""en"")"),"44")</f>
        <v>44</v>
      </c>
      <c r="H45" s="10" t="str">
        <f>IFERROR(__xludf.DUMMYFUNCTION("GOOGLETRANSLATE(B45, ""ar"", ""en"")"),"Can special techniques or advanced combat moves be used against the opponent?")</f>
        <v>Can special techniques or advanced combat moves be used against the opponent?</v>
      </c>
      <c r="I45" s="10" t="str">
        <f>IFERROR(__xludf.DUMMYFUNCTION("GOOGLETRANSLATE(C45, ""ar"", ""en"")"),"a) Yes, all advanced techniques can be used freely; b) No, movements must be limited to the basics; c) Yes, but they must be within the permitted rules; d) No, combat must be simple.")</f>
        <v>a) Yes, all advanced techniques can be used freely; b) No, movements must be limited to the basics; c) Yes, but they must be within the permitted rules; d) No, combat must be simple.</v>
      </c>
      <c r="J45" s="10" t="str">
        <f>IFERROR(__xludf.DUMMYFUNCTION("GOOGLETRANSLATE(D45, ""ar"", ""en"")"),"c) Yes, but it must be within the permitted rules.")</f>
        <v>c) Yes, but it must be within the permitted rules.</v>
      </c>
      <c r="K45" s="10" t="str">
        <f>IFERROR(__xludf.DUMMYFUNCTION("GOOGLETRANSLATE(E45, ""ar"", ""en"")"),"Advanced techniques are permitted provided they are within the framework of rules that ensure the safety of the match.")</f>
        <v>Advanced techniques are permitted provided they are within the framework of rules that ensure the safety of the match.</v>
      </c>
    </row>
    <row r="46">
      <c r="A46" s="11">
        <v>45.0</v>
      </c>
      <c r="B46" s="12" t="s">
        <v>1379</v>
      </c>
      <c r="C46" s="12" t="s">
        <v>1380</v>
      </c>
      <c r="D46" s="12" t="s">
        <v>1381</v>
      </c>
      <c r="E46" s="13" t="s">
        <v>1382</v>
      </c>
      <c r="G46" s="10" t="str">
        <f>IFERROR(__xludf.DUMMYFUNCTION("GOOGLETRANSLATE(A46, ""ar"", ""en"")"),"45")</f>
        <v>45</v>
      </c>
      <c r="H46" s="10" t="str">
        <f>IFERROR(__xludf.DUMMYFUNCTION("GOOGLETRANSLATE(B46, ""ar"", ""en"")"),"Should a participant have a specific form of training before participating in fencing?")</f>
        <v>Should a participant have a specific form of training before participating in fencing?</v>
      </c>
      <c r="I46" s="10" t="str">
        <f>IFERROR(__xludf.DUMMYFUNCTION("GOOGLETRANSLATE(C46, ""ar"", ""en"")"),"a) Yes, they must have undergone special training; b) No, anyone can participate directly; c) Yes, but the training must be long-term; d) No, training is not mandatory.")</f>
        <v>a) Yes, they must have undergone special training; b) No, anyone can participate directly; c) Yes, but the training must be long-term; d) No, training is not mandatory.</v>
      </c>
      <c r="J46" s="10" t="str">
        <f>IFERROR(__xludf.DUMMYFUNCTION("GOOGLETRANSLATE(D46, ""ar"", ""en"")"),"a) Yes, he must have completed special training")</f>
        <v>a) Yes, he must have completed special training</v>
      </c>
      <c r="K46" s="10" t="str">
        <f>IFERROR(__xludf.DUMMYFUNCTION("GOOGLETRANSLATE(E46, ""ar"", ""en"")"),"Specialized training is essential to ensure the ability to fight safely and effectively.")</f>
        <v>Specialized training is essential to ensure the ability to fight safely and effectively.</v>
      </c>
    </row>
    <row r="47">
      <c r="A47" s="14">
        <v>46.0</v>
      </c>
      <c r="B47" s="15" t="s">
        <v>1383</v>
      </c>
      <c r="C47" s="15" t="s">
        <v>1384</v>
      </c>
      <c r="D47" s="15" t="s">
        <v>1385</v>
      </c>
      <c r="E47" s="16" t="s">
        <v>1386</v>
      </c>
      <c r="G47" s="10" t="str">
        <f>IFERROR(__xludf.DUMMYFUNCTION("GOOGLETRANSLATE(A47, ""ar"", ""en"")"),"46")</f>
        <v>46</v>
      </c>
      <c r="H47" s="10" t="str">
        <f>IFERROR(__xludf.DUMMYFUNCTION("GOOGLETRANSLATE(B47, ""ar"", ""en"")"),"Can a participant leave the match if they feel a minor injury?")</f>
        <v>Can a participant leave the match if they feel a minor injury?</v>
      </c>
      <c r="I47" s="10" t="str">
        <f>IFERROR(__xludf.DUMMYFUNCTION("GOOGLETRANSLATE(C47, ""ar"", ""en"")"),"a) Yes, he can leave the match immediately; b) No, he must complete the match; c) Yes, but the referees must be notified first; d) No, except in the case of a very serious injury")</f>
        <v>a) Yes, he can leave the match immediately; b) No, he must complete the match; c) Yes, but the referees must be notified first; d) No, except in the case of a very serious injury</v>
      </c>
      <c r="J47" s="10" t="str">
        <f>IFERROR(__xludf.DUMMYFUNCTION("GOOGLETRANSLATE(D47, ""ar"", ""en"")"),"c) Yes, but the referees must be notified first.")</f>
        <v>c) Yes, but the referees must be notified first.</v>
      </c>
      <c r="K47" s="10" t="str">
        <f>IFERROR(__xludf.DUMMYFUNCTION("GOOGLETRANSLATE(E47, ""ar"", ""en"")"),"If a participant feels a minor injury, they should notify the referees so that they can make the appropriate decision.")</f>
        <v>If a participant feels a minor injury, they should notify the referees so that they can make the appropriate decision.</v>
      </c>
    </row>
    <row r="48">
      <c r="A48" s="11">
        <v>47.0</v>
      </c>
      <c r="B48" s="12" t="s">
        <v>1387</v>
      </c>
      <c r="C48" s="12" t="s">
        <v>1388</v>
      </c>
      <c r="D48" s="12" t="s">
        <v>1389</v>
      </c>
      <c r="E48" s="13" t="s">
        <v>1390</v>
      </c>
      <c r="G48" s="10" t="str">
        <f>IFERROR(__xludf.DUMMYFUNCTION("GOOGLETRANSLATE(A48, ""ar"", ""en"")"),"47")</f>
        <v>47</v>
      </c>
      <c r="H48" s="10" t="str">
        <f>IFERROR(__xludf.DUMMYFUNCTION("GOOGLETRANSLATE(B48, ""ar"", ""en"")"),"Is it permissible for a participant to use any type of stick?")</f>
        <v>Is it permissible for a participant to use any type of stick?</v>
      </c>
      <c r="I48" s="10" t="str">
        <f>IFERROR(__xludf.DUMMYFUNCTION("GOOGLETRANSLATE(C48, ""ar"", ""en"")"),"a) Yes, any type can be used; b) No, the stick must be made of a specific material; c) Yes, but the stick must be safe to use; d) No, all sticks must be identical.")</f>
        <v>a) Yes, any type can be used; b) No, the stick must be made of a specific material; c) Yes, but the stick must be safe to use; d) No, all sticks must be identical.</v>
      </c>
      <c r="J48" s="10" t="str">
        <f>IFERROR(__xludf.DUMMYFUNCTION("GOOGLETRANSLATE(D48, ""ar"", ""en"")"),"b) No, the stick must be made of a certain material")</f>
        <v>b) No, the stick must be made of a certain material</v>
      </c>
      <c r="K48" s="10" t="str">
        <f>IFERROR(__xludf.DUMMYFUNCTION("GOOGLETRANSLATE(E48, ""ar"", ""en"")"),"The sticks must be made of suitable and safe materials in accordance with the rules.")</f>
        <v>The sticks must be made of suitable and safe materials in accordance with the rules.</v>
      </c>
    </row>
    <row r="49">
      <c r="A49" s="14">
        <v>48.0</v>
      </c>
      <c r="B49" s="15" t="s">
        <v>1391</v>
      </c>
      <c r="C49" s="15" t="s">
        <v>1392</v>
      </c>
      <c r="D49" s="15" t="s">
        <v>1393</v>
      </c>
      <c r="E49" s="16" t="s">
        <v>1394</v>
      </c>
      <c r="G49" s="10" t="str">
        <f>IFERROR(__xludf.DUMMYFUNCTION("GOOGLETRANSLATE(A49, ""ar"", ""en"")"),"48")</f>
        <v>48</v>
      </c>
      <c r="H49" s="10" t="str">
        <f>IFERROR(__xludf.DUMMYFUNCTION("GOOGLETRANSLATE(B49, ""ar"", ""en"")"),"Is it permissible for a participant to stop during the match to seek advice from the coach?")</f>
        <v>Is it permissible for a participant to stop during the match to seek advice from the coach?</v>
      </c>
      <c r="I49" s="10" t="str">
        <f>IFERROR(__xludf.DUMMYFUNCTION("GOOGLETRANSLATE(C49, ""ar"", ""en"")"),"a) Yes, a break can be made at any time to seek advice; b) No, the match must be played without outside interference; c) Yes, but only between rounds; d) No, except in emergencies")</f>
        <v>a) Yes, a break can be made at any time to seek advice; b) No, the match must be played without outside interference; c) Yes, but only between rounds; d) No, except in emergencies</v>
      </c>
      <c r="J49" s="10" t="str">
        <f>IFERROR(__xludf.DUMMYFUNCTION("GOOGLETRANSLATE(D49, ""ar"", ""en"")"),"b) No, the match must be without outside interference")</f>
        <v>b) No, the match must be without outside interference</v>
      </c>
      <c r="K49" s="10" t="str">
        <f>IFERROR(__xludf.DUMMYFUNCTION("GOOGLETRANSLATE(E49, ""ar"", ""en"")"),"The fight must take place without outside interference from the coach or anyone else.")</f>
        <v>The fight must take place without outside interference from the coach or anyone else.</v>
      </c>
    </row>
    <row r="50">
      <c r="A50" s="11">
        <v>49.0</v>
      </c>
      <c r="B50" s="12" t="s">
        <v>1395</v>
      </c>
      <c r="C50" s="12" t="s">
        <v>1396</v>
      </c>
      <c r="D50" s="12" t="s">
        <v>1397</v>
      </c>
      <c r="E50" s="13" t="s">
        <v>1398</v>
      </c>
      <c r="G50" s="10" t="str">
        <f>IFERROR(__xludf.DUMMYFUNCTION("GOOGLETRANSLATE(A50, ""ar"", ""en"")"),"49")</f>
        <v>49</v>
      </c>
      <c r="H50" s="10" t="str">
        <f>IFERROR(__xludf.DUMMYFUNCTION("GOOGLETRANSLATE(B50, ""ar"", ""en"")"),"Is the participant allowed to use only defensive moves in combat?")</f>
        <v>Is the participant allowed to use only defensive moves in combat?</v>
      </c>
      <c r="I50" s="10" t="str">
        <f>IFERROR(__xludf.DUMMYFUNCTION("GOOGLETRANSLATE(C50, ""ar"", ""en"")"),"a) Yes, the focus can be solely on defense; b) No, the participant must also be offensive; c) Yes, but must balance offense and defense; d) No, offense must be the only approach.")</f>
        <v>a) Yes, the focus can be solely on defense; b) No, the participant must also be offensive; c) Yes, but must balance offense and defense; d) No, offense must be the only approach.</v>
      </c>
      <c r="J50" s="10" t="str">
        <f>IFERROR(__xludf.DUMMYFUNCTION("GOOGLETRANSLATE(D50, ""ar"", ""en"")"),"c) Yes, but a balance must be struck between attack and defense.")</f>
        <v>c) Yes, but a balance must be struck between attack and defense.</v>
      </c>
      <c r="K50" s="10" t="str">
        <f>IFERROR(__xludf.DUMMYFUNCTION("GOOGLETRANSLATE(E50, ""ar"", ""en"")"),"A balance between attack and defense is essential in Nubian stick fighting to achieve success.")</f>
        <v>A balance between attack and defense is essential in Nubian stick fighting to achieve success.</v>
      </c>
    </row>
    <row r="51">
      <c r="A51" s="14">
        <v>50.0</v>
      </c>
      <c r="B51" s="15" t="s">
        <v>1399</v>
      </c>
      <c r="C51" s="15" t="s">
        <v>1400</v>
      </c>
      <c r="D51" s="15" t="s">
        <v>1401</v>
      </c>
      <c r="E51" s="16" t="s">
        <v>1402</v>
      </c>
      <c r="G51" s="10" t="str">
        <f>IFERROR(__xludf.DUMMYFUNCTION("GOOGLETRANSLATE(A51, ""ar"", ""en"")"),"50")</f>
        <v>50</v>
      </c>
      <c r="H51" s="10" t="str">
        <f>IFERROR(__xludf.DUMMYFUNCTION("GOOGLETRANSLATE(B51, ""ar"", ""en"")"),"Can the participant use confusing or disorienting movements in combat?")</f>
        <v>Can the participant use confusing or disorienting movements in combat?</v>
      </c>
      <c r="I51" s="10" t="str">
        <f>IFERROR(__xludf.DUMMYFUNCTION("GOOGLETRANSLATE(C51, ""ar"", ""en"")"),"a) Yes, confusing movements can be used freely; b) No, movements must be organized and clear; c) Yes, but movements must be within the framework of the rules; d) No, movements must always be clear")</f>
        <v>a) Yes, confusing movements can be used freely; b) No, movements must be organized and clear; c) Yes, but movements must be within the framework of the rules; d) No, movements must always be clear</v>
      </c>
      <c r="J51" s="10" t="str">
        <f>IFERROR(__xludf.DUMMYFUNCTION("GOOGLETRANSLATE(D51, ""ar"", ""en"")"),"b) No, the movements must be organized and clear")</f>
        <v>b) No, the movements must be organized and clear</v>
      </c>
      <c r="K51" s="10" t="str">
        <f>IFERROR(__xludf.DUMMYFUNCTION("GOOGLETRANSLATE(E51, ""ar"", ""en"")"),"The movements must be clear and organized to ensure the integrity of the fight.")</f>
        <v>The movements must be clear and organized to ensure the integrity of the fight.</v>
      </c>
    </row>
    <row r="52">
      <c r="A52" s="17"/>
      <c r="B52" s="18"/>
      <c r="C52" s="18"/>
      <c r="D52" s="18"/>
      <c r="E52"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 customWidth="1" min="8" max="9" width="37.63"/>
    <col customWidth="1" min="10" max="10" width="30.5"/>
    <col customWidth="1" min="11" max="11" width="37.63"/>
  </cols>
  <sheetData>
    <row r="1">
      <c r="A1" s="1" t="s">
        <v>0</v>
      </c>
      <c r="B1" s="1" t="s">
        <v>1</v>
      </c>
      <c r="C1" s="1" t="s">
        <v>2</v>
      </c>
      <c r="D1" s="1" t="s">
        <v>3</v>
      </c>
      <c r="E1" s="1" t="s">
        <v>4</v>
      </c>
      <c r="G1" s="2" t="s">
        <v>5</v>
      </c>
      <c r="H1" s="2" t="s">
        <v>6</v>
      </c>
      <c r="I1" s="2" t="s">
        <v>7</v>
      </c>
      <c r="J1" s="2" t="s">
        <v>8</v>
      </c>
      <c r="K1" s="2" t="s">
        <v>9</v>
      </c>
    </row>
    <row r="2">
      <c r="A2" s="3">
        <v>1.0</v>
      </c>
      <c r="B2" s="4" t="s">
        <v>1403</v>
      </c>
      <c r="C2" s="4" t="s">
        <v>1404</v>
      </c>
      <c r="D2" s="4" t="s">
        <v>608</v>
      </c>
      <c r="E2" s="4" t="s">
        <v>609</v>
      </c>
      <c r="G2" s="5" t="str">
        <f>IFERROR(__xludf.DUMMYFUNCTION("GOOGLETRANSLATE(A2, ""en"", ""ar"")"),"1")</f>
        <v>1</v>
      </c>
      <c r="H2" s="5" t="str">
        <f>IFERROR(__xludf.DUMMYFUNCTION("GOOGLETRANSLATE(B2, ""en"", ""ar"")"),"ما هي القاعدة الأساسية فيما يتعلق بأسلوب القتال في المصارعة النوبية؟")</f>
        <v>ما هي القاعدة الأساسية فيما يتعلق بأسلوب القتال في المصارعة النوبية؟</v>
      </c>
      <c r="I2" s="5" t="str">
        <f>IFERROR(__xludf.DUMMYFUNCTION("GOOGLETRANSLATE(C2, ""en"", ""ar"")"),"أ) الهجوم المستمر دون توقف؛ ب) الالتزام بالتحكيم وعدم تجاوز الحدود؛ ج) استخدام أسلحة أخرى غير العصا؛ د) القتال حتى الموت")</f>
        <v>أ) الهجوم المستمر دون توقف؛ ب) الالتزام بالتحكيم وعدم تجاوز الحدود؛ ج) استخدام أسلحة أخرى غير العصا؛ د) القتال حتى الموت</v>
      </c>
      <c r="J2" s="5" t="str">
        <f>IFERROR(__xludf.DUMMYFUNCTION("GOOGLETRANSLATE(D2, ""en"", ""ar"")"),"ج) مزيج من الهجوم والدفاع")</f>
        <v>ج) مزيج من الهجوم والدفاع</v>
      </c>
      <c r="K2" s="5" t="str">
        <f>IFERROR(__xludf.DUMMYFUNCTION("GOOGLETRANSLATE(E2, ""en"", ""ar"")"),"تعتمد المصارعة النوبية على مزيج من الهجوم والدفاع لتحقيق النصر.")</f>
        <v>تعتمد المصارعة النوبية على مزيج من الهجوم والدفاع لتحقيق النصر.</v>
      </c>
    </row>
    <row r="3">
      <c r="A3" s="3">
        <v>2.0</v>
      </c>
      <c r="B3" s="4" t="s">
        <v>1405</v>
      </c>
      <c r="C3" s="4" t="s">
        <v>611</v>
      </c>
      <c r="D3" s="4" t="s">
        <v>612</v>
      </c>
      <c r="E3" s="4" t="s">
        <v>613</v>
      </c>
      <c r="G3" s="5" t="str">
        <f>IFERROR(__xludf.DUMMYFUNCTION("GOOGLETRANSLATE(A3, ""en"", ""ar"")"),"2")</f>
        <v>2</v>
      </c>
      <c r="H3" s="5" t="str">
        <f>IFERROR(__xludf.DUMMYFUNCTION("GOOGLETRANSLATE(B3, ""en"", ""ar"")"),"ما هي المعدات الأساسية التي يُسمح للمشاركين باستخدامها في المصارعة النوبية؟")</f>
        <v>ما هي المعدات الأساسية التي يُسمح للمشاركين باستخدامها في المصارعة النوبية؟</v>
      </c>
      <c r="I3" s="5" t="str">
        <f>IFERROR(__xludf.DUMMYFUNCTION("GOOGLETRANSLATE(C3, ""en"", ""ar"")"),"أ) نعم، يُسمح باستخدام أي أداة؛ ب) لا، يجب استخدام العصي فقط؛ ج) الأسلحة التقليدية فقط؛ د) يعتمد ذلك على القوانين المحلية")</f>
        <v>أ) نعم، يُسمح باستخدام أي أداة؛ ب) لا، يجب استخدام العصي فقط؛ ج) الأسلحة التقليدية فقط؛ د) يعتمد ذلك على القوانين المحلية</v>
      </c>
      <c r="J3" s="5" t="str">
        <f>IFERROR(__xludf.DUMMYFUNCTION("GOOGLETRANSLATE(D3, ""en"", ""ar"")"),"ب) لا، ينبغي استخدام العصي فقط.")</f>
        <v>ب) لا، ينبغي استخدام العصي فقط.</v>
      </c>
      <c r="K3" s="5" t="str">
        <f>IFERROR(__xludf.DUMMYFUNCTION("GOOGLETRANSLATE(E3, ""en"", ""ar"")"),"في المصارعة النوبية التقليدية، يتم استخدام العصي كأداة قتال أساسية.")</f>
        <v>في المصارعة النوبية التقليدية، يتم استخدام العصي كأداة قتال أساسية.</v>
      </c>
    </row>
    <row r="4">
      <c r="A4" s="3">
        <v>3.0</v>
      </c>
      <c r="B4" s="4" t="s">
        <v>614</v>
      </c>
      <c r="C4" s="4" t="s">
        <v>615</v>
      </c>
      <c r="D4" s="4" t="s">
        <v>616</v>
      </c>
      <c r="E4" s="4" t="s">
        <v>617</v>
      </c>
      <c r="G4" s="5" t="str">
        <f>IFERROR(__xludf.DUMMYFUNCTION("GOOGLETRANSLATE(A4, ""en"", ""ar"")"),"3")</f>
        <v>3</v>
      </c>
      <c r="H4" s="5" t="str">
        <f>IFERROR(__xludf.DUMMYFUNCTION("GOOGLETRANSLATE(B4, ""en"", ""ar"")"),"ما هي المدة النموذجية للمباراة في المصارعة النوبية؟")</f>
        <v>ما هي المدة النموذجية للمباراة في المصارعة النوبية؟</v>
      </c>
      <c r="I4" s="5" t="str">
        <f>IFERROR(__xludf.DUMMYFUNCTION("GOOGLETRANSLATE(C4, ""en"", ""ar"")"),"أ) لا توجد مدة محددة؛ ب) مدة ثابتة لا تتجاوز 10 دقائق؛ ج) تعتمد على عدد الجولات؛ د) يتم تحديد المدة حسب قوة المصارعين")</f>
        <v>أ) لا توجد مدة محددة؛ ب) مدة ثابتة لا تتجاوز 10 دقائق؛ ج) تعتمد على عدد الجولات؛ د) يتم تحديد المدة حسب قوة المصارعين</v>
      </c>
      <c r="J4" s="5" t="str">
        <f>IFERROR(__xludf.DUMMYFUNCTION("GOOGLETRANSLATE(D4, ""en"", ""ar"")"),"أ) لا توجد فترة محددة.")</f>
        <v>أ) لا توجد فترة محددة.</v>
      </c>
      <c r="K4" s="5" t="str">
        <f>IFERROR(__xludf.DUMMYFUNCTION("GOOGLETRANSLATE(E4, ""en"", ""ar"")"),"لا تعتمد مباراة المصارعة النوبية على وقت محدد، بل على القوة والتحمل.")</f>
        <v>لا تعتمد مباراة المصارعة النوبية على وقت محدد، بل على القوة والتحمل.</v>
      </c>
    </row>
    <row r="5">
      <c r="A5" s="3">
        <v>4.0</v>
      </c>
      <c r="B5" s="4" t="s">
        <v>1406</v>
      </c>
      <c r="C5" s="4" t="s">
        <v>1407</v>
      </c>
      <c r="D5" s="4" t="s">
        <v>620</v>
      </c>
      <c r="E5" s="4" t="s">
        <v>621</v>
      </c>
      <c r="G5" s="5" t="str">
        <f>IFERROR(__xludf.DUMMYFUNCTION("GOOGLETRANSLATE(A5, ""en"", ""ar"")"),"4")</f>
        <v>4</v>
      </c>
      <c r="H5" s="5" t="str">
        <f>IFERROR(__xludf.DUMMYFUNCTION("GOOGLETRANSLATE(B5, ""en"", ""ar"")"),"هل يستطيع المصارع استخدام أي تقنيات يريدها في المصارعة النوبية؟")</f>
        <v>هل يستطيع المصارع استخدام أي تقنيات يريدها في المصارعة النوبية؟</v>
      </c>
      <c r="I5" s="5" t="str">
        <f>IFERROR(__xludf.DUMMYFUNCTION("GOOGLETRANSLATE(C5, ""en"", ""ar"")"),"أ) نعم، يُسمح بأي تقنيات؛ ب) لا، يجب على المصارع الالتزام بتقنيات معينة؛ ج) يمكنه استخدام تقنيات معينة تحت إشراف المدرب؛ د) يجب أن تكون التقنيات تقليدية فقط")</f>
        <v>أ) نعم، يُسمح بأي تقنيات؛ ب) لا، يجب على المصارع الالتزام بتقنيات معينة؛ ج) يمكنه استخدام تقنيات معينة تحت إشراف المدرب؛ د) يجب أن تكون التقنيات تقليدية فقط</v>
      </c>
      <c r="J5" s="5" t="str">
        <f>IFERROR(__xludf.DUMMYFUNCTION("GOOGLETRANSLATE(D5, ""en"", ""ar"")"),"ب) لا، بل يجب على المصارع أن يلتزم بتقنيات معينة.")</f>
        <v>ب) لا، بل يجب على المصارع أن يلتزم بتقنيات معينة.</v>
      </c>
      <c r="K5" s="5" t="str">
        <f>IFERROR(__xludf.DUMMYFUNCTION("GOOGLETRANSLATE(E5, ""en"", ""ar"")"),"تعتمد المصارعة النوبية على تقنيات محددة تعتمد على القوة البدنية والتكتيكات الخاصة.")</f>
        <v>تعتمد المصارعة النوبية على تقنيات محددة تعتمد على القوة البدنية والتكتيكات الخاصة.</v>
      </c>
    </row>
    <row r="6">
      <c r="A6" s="3">
        <v>5.0</v>
      </c>
      <c r="B6" s="4" t="s">
        <v>1408</v>
      </c>
      <c r="C6" s="4" t="s">
        <v>1409</v>
      </c>
      <c r="D6" s="4" t="s">
        <v>624</v>
      </c>
      <c r="E6" s="4" t="s">
        <v>625</v>
      </c>
      <c r="G6" s="5" t="str">
        <f>IFERROR(__xludf.DUMMYFUNCTION("GOOGLETRANSLATE(A6, ""en"", ""ar"")"),"5")</f>
        <v>5</v>
      </c>
      <c r="H6" s="5" t="str">
        <f>IFERROR(__xludf.DUMMYFUNCTION("GOOGLETRANSLATE(B6, ""en"", ""ar"")"),"هل يسمح بتدخل الجمهور أثناء مباراة المصارعة النوبية؟")</f>
        <v>هل يسمح بتدخل الجمهور أثناء مباراة المصارعة النوبية؟</v>
      </c>
      <c r="I6" s="5" t="str">
        <f>IFERROR(__xludf.DUMMYFUNCTION("GOOGLETRANSLATE(C6, ""en"", ""ar"")"),"أ) نعم، يمكن للجمهور التدخل؛ ب) لا، يجب أن يتم ذلك فقط تحت إشراف المدرب؛ ج) يُسمح بالتدخل مع بعض الشروط؛ د) يُسمح للجمهور بالإشارة فقط")</f>
        <v>أ) نعم، يمكن للجمهور التدخل؛ ب) لا، يجب أن يتم ذلك فقط تحت إشراف المدرب؛ ج) يُسمح بالتدخل مع بعض الشروط؛ د) يُسمح للجمهور بالإشارة فقط</v>
      </c>
      <c r="J6" s="5" t="str">
        <f>IFERROR(__xludf.DUMMYFUNCTION("GOOGLETRANSLATE(D6, ""en"", ""ar"")"),"ب) لا، يجب أن يتم ذلك تحت إشراف مدرب فقط.")</f>
        <v>ب) لا، يجب أن يتم ذلك تحت إشراف مدرب فقط.</v>
      </c>
      <c r="K6" s="5" t="str">
        <f>IFERROR(__xludf.DUMMYFUNCTION("GOOGLETRANSLATE(E6, ""en"", ""ar"")"),"لا يُسمح بتدخل المتفرجين في المصارعة النوبية ويجب أن يتم ذلك فقط تحت إشراف مدرب.")</f>
        <v>لا يُسمح بتدخل المتفرجين في المصارعة النوبية ويجب أن يتم ذلك فقط تحت إشراف مدرب.</v>
      </c>
    </row>
    <row r="7">
      <c r="A7" s="3">
        <v>6.0</v>
      </c>
      <c r="B7" s="4" t="s">
        <v>1410</v>
      </c>
      <c r="C7" s="4" t="s">
        <v>1411</v>
      </c>
      <c r="D7" s="4" t="s">
        <v>628</v>
      </c>
      <c r="E7" s="4" t="s">
        <v>629</v>
      </c>
      <c r="G7" s="5" t="str">
        <f>IFERROR(__xludf.DUMMYFUNCTION("GOOGLETRANSLATE(A7, ""en"", ""ar"")"),"6")</f>
        <v>6</v>
      </c>
      <c r="H7" s="5" t="str">
        <f>IFERROR(__xludf.DUMMYFUNCTION("GOOGLETRANSLATE(B7, ""en"", ""ar"")"),"ما حكم المصارعة النوبية في حالة التعادل؟")</f>
        <v>ما حكم المصارعة النوبية في حالة التعادل؟</v>
      </c>
      <c r="I7" s="5" t="str">
        <f>IFERROR(__xludf.DUMMYFUNCTION("GOOGLETRANSLATE(C7, ""en"", ""ar"")"),"أ) لا يوجد حكم في حالة التعادل؛ ب) يتم تحديد الفائز بناءً على أكبر عدد من الضربات؛ ج) يتم إجراء جولة إضافية؛ د) يتم تحديد الأمر بناءً على رأي الحكم")</f>
        <v>أ) لا يوجد حكم في حالة التعادل؛ ب) يتم تحديد الفائز بناءً على أكبر عدد من الضربات؛ ج) يتم إجراء جولة إضافية؛ د) يتم تحديد الأمر بناءً على رأي الحكم</v>
      </c>
      <c r="J7" s="5" t="str">
        <f>IFERROR(__xludf.DUMMYFUNCTION("GOOGLETRANSLATE(D7, ""en"", ""ar"")"),"ج) يتم استدعاء جولة إضافية.")</f>
        <v>ج) يتم استدعاء جولة إضافية.</v>
      </c>
      <c r="K7" s="5" t="str">
        <f>IFERROR(__xludf.DUMMYFUNCTION("GOOGLETRANSLATE(E7, ""en"", ""ar"")"),"في حالة التعادل، يتم عقد جولة إضافية لتحديد الفائز.")</f>
        <v>في حالة التعادل، يتم عقد جولة إضافية لتحديد الفائز.</v>
      </c>
    </row>
    <row r="8">
      <c r="A8" s="3">
        <v>7.0</v>
      </c>
      <c r="B8" s="4" t="s">
        <v>1412</v>
      </c>
      <c r="C8" s="4" t="s">
        <v>1413</v>
      </c>
      <c r="D8" s="4" t="s">
        <v>632</v>
      </c>
      <c r="E8" s="4" t="s">
        <v>633</v>
      </c>
      <c r="G8" s="5" t="str">
        <f>IFERROR(__xludf.DUMMYFUNCTION("GOOGLETRANSLATE(A8, ""en"", ""ar"")"),"7")</f>
        <v>7</v>
      </c>
      <c r="H8" s="5" t="str">
        <f>IFERROR(__xludf.DUMMYFUNCTION("GOOGLETRANSLATE(B8, ""en"", ""ar"")"),"هل يمكن للمصارع الانسحاب من المباراة لأي سبب؟")</f>
        <v>هل يمكن للمصارع الانسحاب من المباراة لأي سبب؟</v>
      </c>
      <c r="I8" s="5" t="str">
        <f>IFERROR(__xludf.DUMMYFUNCTION("GOOGLETRANSLATE(C8, ""en"", ""ar"")"),"أ) نعم، يمكنه الانسحاب في أي وقت؛ ب) لا، يجب عليه إكمال المباراة؛ ج) يُسمح بالانسحاب فقط في حالة الإصابة؛ د) يُسمح بالانسحاب فقط بعد ثلاث جولات")</f>
        <v>أ) نعم، يمكنه الانسحاب في أي وقت؛ ب) لا، يجب عليه إكمال المباراة؛ ج) يُسمح بالانسحاب فقط في حالة الإصابة؛ د) يُسمح بالانسحاب فقط بعد ثلاث جولات</v>
      </c>
      <c r="J8" s="5" t="str">
        <f>IFERROR(__xludf.DUMMYFUNCTION("GOOGLETRANSLATE(D8, ""en"", ""ar"")"),"ج) لا يجوز الانسحاب إلا في حالة الإصابة.")</f>
        <v>ج) لا يجوز الانسحاب إلا في حالة الإصابة.</v>
      </c>
      <c r="K8" s="5" t="str">
        <f>IFERROR(__xludf.DUMMYFUNCTION("GOOGLETRANSLATE(E8, ""en"", ""ar"")"),"إذا تعرض المصارع لإصابة قد تؤثر على سلامته، فيمكنه الانسحاب بموافقة المدرب.")</f>
        <v>إذا تعرض المصارع لإصابة قد تؤثر على سلامته، فيمكنه الانسحاب بموافقة المدرب.</v>
      </c>
    </row>
    <row r="9">
      <c r="A9" s="3">
        <v>8.0</v>
      </c>
      <c r="B9" s="4" t="s">
        <v>1414</v>
      </c>
      <c r="C9" s="4" t="s">
        <v>1415</v>
      </c>
      <c r="D9" s="4" t="s">
        <v>636</v>
      </c>
      <c r="E9" s="4" t="s">
        <v>637</v>
      </c>
      <c r="G9" s="5" t="str">
        <f>IFERROR(__xludf.DUMMYFUNCTION("GOOGLETRANSLATE(A9, ""en"", ""ar"")"),"8")</f>
        <v>8</v>
      </c>
      <c r="H9" s="5" t="str">
        <f>IFERROR(__xludf.DUMMYFUNCTION("GOOGLETRANSLATE(B9, ""en"", ""ar"")"),"ما هو حكم استخدام القوة في المصارعة النوبية؟")</f>
        <v>ما هو حكم استخدام القوة في المصارعة النوبية؟</v>
      </c>
      <c r="I9" s="5" t="str">
        <f>IFERROR(__xludf.DUMMYFUNCTION("GOOGLETRANSLATE(C9, ""en"", ""ar"")"),"أ) يُسمح باستخدام القوة البدنية في أي وقت؛ ب) يجب استخدام القوة بحذر وتكتيكي؛ ج) يُحظر استخدام القوة تمامًا؛ د) يُسمح باستخدام القوة فقط في حالة الهجوم")</f>
        <v>أ) يُسمح باستخدام القوة البدنية في أي وقت؛ ب) يجب استخدام القوة بحذر وتكتيكي؛ ج) يُحظر استخدام القوة تمامًا؛ د) يُسمح باستخدام القوة فقط في حالة الهجوم</v>
      </c>
      <c r="J9" s="5" t="str">
        <f>IFERROR(__xludf.DUMMYFUNCTION("GOOGLETRANSLATE(D9, ""en"", ""ar"")"),"ب) يجب استخدام القوة بحذر وتكتيكية.")</f>
        <v>ب) يجب استخدام القوة بحذر وتكتيكية.</v>
      </c>
      <c r="K9" s="5" t="str">
        <f>IFERROR(__xludf.DUMMYFUNCTION("GOOGLETRANSLATE(E9, ""en"", ""ar"")"),"تتطلب المصارعة النوبية الاستخدام التكتيكي للقوة لتحقيق النجاح، بدلاً من استخدامها عشوائيًا.")</f>
        <v>تتطلب المصارعة النوبية الاستخدام التكتيكي للقوة لتحقيق النجاح، بدلاً من استخدامها عشوائيًا.</v>
      </c>
    </row>
    <row r="10">
      <c r="A10" s="3">
        <v>9.0</v>
      </c>
      <c r="B10" s="4" t="s">
        <v>1416</v>
      </c>
      <c r="C10" s="4" t="s">
        <v>1417</v>
      </c>
      <c r="D10" s="4" t="s">
        <v>640</v>
      </c>
      <c r="E10" s="4" t="s">
        <v>641</v>
      </c>
      <c r="G10" s="5" t="str">
        <f>IFERROR(__xludf.DUMMYFUNCTION("GOOGLETRANSLATE(A10, ""en"", ""ar"")"),"9")</f>
        <v>9</v>
      </c>
      <c r="H10" s="5" t="str">
        <f>IFERROR(__xludf.DUMMYFUNCTION("GOOGLETRANSLATE(B10, ""en"", ""ar"")"),"هل يجوز للمصارع استخدام حركات خطيرة قد تسبب إصابة الخصم؟")</f>
        <v>هل يجوز للمصارع استخدام حركات خطيرة قد تسبب إصابة الخصم؟</v>
      </c>
      <c r="I10" s="5" t="str">
        <f>IFERROR(__xludf.DUMMYFUNCTION("GOOGLETRANSLATE(C10, ""en"", ""ar"")"),"أ) نعم، يمكنه استخدام أي حركة؛ ب) لا، الحركات الخطيرة ممنوعة؛ ج) مسموح بها فقط إذا كانت جزءًا من تكتيك؛ د) مسموح بها تحت إشراف طبيب")</f>
        <v>أ) نعم، يمكنه استخدام أي حركة؛ ب) لا، الحركات الخطيرة ممنوعة؛ ج) مسموح بها فقط إذا كانت جزءًا من تكتيك؛ د) مسموح بها تحت إشراف طبيب</v>
      </c>
      <c r="J10" s="5" t="str">
        <f>IFERROR(__xludf.DUMMYFUNCTION("GOOGLETRANSLATE(D10, ""en"", ""ar"")"),"ب) لا، الحركات الخطيرة ممنوعة.")</f>
        <v>ب) لا، الحركات الخطيرة ممنوعة.</v>
      </c>
      <c r="K10" s="5" t="str">
        <f>IFERROR(__xludf.DUMMYFUNCTION("GOOGLETRANSLATE(E10, ""en"", ""ar"")"),"تحظر المصارعة النوبية الحركات التي قد تسبب إصابات خطيرة للمصارعين.")</f>
        <v>تحظر المصارعة النوبية الحركات التي قد تسبب إصابات خطيرة للمصارعين.</v>
      </c>
    </row>
    <row r="11">
      <c r="A11" s="3">
        <v>10.0</v>
      </c>
      <c r="B11" s="4" t="s">
        <v>1418</v>
      </c>
      <c r="C11" s="4" t="s">
        <v>1419</v>
      </c>
      <c r="D11" s="4" t="s">
        <v>644</v>
      </c>
      <c r="E11" s="4" t="s">
        <v>645</v>
      </c>
      <c r="G11" s="5" t="str">
        <f>IFERROR(__xludf.DUMMYFUNCTION("GOOGLETRANSLATE(A11, ""en"", ""ar"")"),"10")</f>
        <v>10</v>
      </c>
      <c r="H11" s="5" t="str">
        <f>IFERROR(__xludf.DUMMYFUNCTION("GOOGLETRANSLATE(B11, ""en"", ""ar"")"),"هل يشترط على المصارع أن يكون مستعدا بدنيا قبل الدخول في المباراة؟")</f>
        <v>هل يشترط على المصارع أن يكون مستعدا بدنيا قبل الدخول في المباراة؟</v>
      </c>
      <c r="I11" s="5" t="str">
        <f>IFERROR(__xludf.DUMMYFUNCTION("GOOGLETRANSLATE(C11, ""en"", ""ar"")"),"أ) لا، لا توجد شروط بدنية؛ ب) نعم، يجب أن يكون المصارع في حالة بدنية جيدة؛ ج) يجب أن يكون المصارع في حالة ذهنية جيدة فقط؛ د) يمكن للمصارع الدخول بدون تدريب")</f>
        <v>أ) لا، لا توجد شروط بدنية؛ ب) نعم، يجب أن يكون المصارع في حالة بدنية جيدة؛ ج) يجب أن يكون المصارع في حالة ذهنية جيدة فقط؛ د) يمكن للمصارع الدخول بدون تدريب</v>
      </c>
      <c r="J11" s="5" t="str">
        <f>IFERROR(__xludf.DUMMYFUNCTION("GOOGLETRANSLATE(D11, ""en"", ""ar"")"),"ب) نعم، يجب أن يكون المصارع في حالة بدنية جيدة.")</f>
        <v>ب) نعم، يجب أن يكون المصارع في حالة بدنية جيدة.</v>
      </c>
      <c r="K11" s="5" t="str">
        <f>IFERROR(__xludf.DUMMYFUNCTION("GOOGLETRANSLATE(E11, ""en"", ""ar"")"),"يجب أن يتمتع المصارع بلياقة بدنية جيدة ليتمكن من تحمل الحركات وتنفيذها بشكل صحيح.")</f>
        <v>يجب أن يتمتع المصارع بلياقة بدنية جيدة ليتمكن من تحمل الحركات وتنفيذها بشكل صحيح.</v>
      </c>
    </row>
    <row r="12">
      <c r="A12" s="3">
        <v>11.0</v>
      </c>
      <c r="B12" s="4" t="s">
        <v>646</v>
      </c>
      <c r="C12" s="4" t="s">
        <v>1420</v>
      </c>
      <c r="D12" s="4" t="s">
        <v>648</v>
      </c>
      <c r="E12" s="4" t="s">
        <v>649</v>
      </c>
      <c r="G12" s="5" t="str">
        <f>IFERROR(__xludf.DUMMYFUNCTION("GOOGLETRANSLATE(A12, ""en"", ""ar"")"),"11")</f>
        <v>11</v>
      </c>
      <c r="H12" s="5" t="str">
        <f>IFERROR(__xludf.DUMMYFUNCTION("GOOGLETRANSLATE(B12, ""en"", ""ar"")"),"هل يجوز للمصارع استخدام أساليب غير قانونية للفوز بالمباراة؟")</f>
        <v>هل يجوز للمصارع استخدام أساليب غير قانونية للفوز بالمباراة؟</v>
      </c>
      <c r="I12" s="5" t="str">
        <f>IFERROR(__xludf.DUMMYFUNCTION("GOOGLETRANSLATE(C12, ""en"", ""ar"")"),"أ) نعم، إذا كان ذلك في مصلحته؛ ب) لا، يجب الالتزام بالقوانين؛ ج) يجوز استخدام الأساليب غير القانونية إذا لم يتم اكتشافها؛ د) مسموح بها إذا كانت ضمن التكتيك")</f>
        <v>أ) نعم، إذا كان ذلك في مصلحته؛ ب) لا، يجب الالتزام بالقوانين؛ ج) يجوز استخدام الأساليب غير القانونية إذا لم يتم اكتشافها؛ د) مسموح بها إذا كانت ضمن التكتيك</v>
      </c>
      <c r="J12" s="5" t="str">
        <f>IFERROR(__xludf.DUMMYFUNCTION("GOOGLETRANSLATE(D12, ""en"", ""ar"")"),"ب) لا، يجب عليك الالتزام بالقوانين.")</f>
        <v>ب) لا، يجب عليك الالتزام بالقوانين.</v>
      </c>
      <c r="K12" s="5" t="str">
        <f>IFERROR(__xludf.DUMMYFUNCTION("GOOGLETRANSLATE(E12, ""en"", ""ar"")"),"تتطلب المصارعة النوبية الالتزام بالقواعد والتقنيات المعترف بها، ويُحظر استخدام الأساليب غير القانونية.")</f>
        <v>تتطلب المصارعة النوبية الالتزام بالقواعد والتقنيات المعترف بها، ويُحظر استخدام الأساليب غير القانونية.</v>
      </c>
    </row>
    <row r="13">
      <c r="A13" s="3">
        <v>12.0</v>
      </c>
      <c r="B13" s="4" t="s">
        <v>650</v>
      </c>
      <c r="C13" s="4" t="s">
        <v>1421</v>
      </c>
      <c r="D13" s="4" t="s">
        <v>652</v>
      </c>
      <c r="E13" s="4" t="s">
        <v>653</v>
      </c>
      <c r="G13" s="5" t="str">
        <f>IFERROR(__xludf.DUMMYFUNCTION("GOOGLETRANSLATE(A13, ""en"", ""ar"")"),"12")</f>
        <v>12</v>
      </c>
      <c r="H13" s="5" t="str">
        <f>IFERROR(__xludf.DUMMYFUNCTION("GOOGLETRANSLATE(B13, ""en"", ""ar"")"),"هل يجب حضور حكم في كل مباراة مصارعة نوبية؟")</f>
        <v>هل يجب حضور حكم في كل مباراة مصارعة نوبية؟</v>
      </c>
      <c r="I13" s="5" t="str">
        <f>IFERROR(__xludf.DUMMYFUNCTION("GOOGLETRANSLATE(C13, ""en"", ""ar"")"),"أ) نعم، يوجد حكم دائم في كل مباراة؛ ب) لا، الحكم ليس ضروريًا؛ ج) يُستخدم الحكم فقط في المباريات الكبرى؛ د) يكون الحكم موجودًا فقط في المباريات بين القبائل المختلفة")</f>
        <v>أ) نعم، يوجد حكم دائم في كل مباراة؛ ب) لا، الحكم ليس ضروريًا؛ ج) يُستخدم الحكم فقط في المباريات الكبرى؛ د) يكون الحكم موجودًا فقط في المباريات بين القبائل المختلفة</v>
      </c>
      <c r="J13" s="5" t="str">
        <f>IFERROR(__xludf.DUMMYFUNCTION("GOOGLETRANSLATE(D13, ""en"", ""ar"")"),"أ) نعم، هناك حكم دائم في كل مباراة.")</f>
        <v>أ) نعم، هناك حكم دائم في كل مباراة.</v>
      </c>
      <c r="K13" s="5" t="str">
        <f>IFERROR(__xludf.DUMMYFUNCTION("GOOGLETRANSLATE(E13, ""en"", ""ar"")"),"تتطلب المصارعة النوبية وجود حكم في كل مباراة للتأكد من اتباع القواعد وضمان النزاهة.")</f>
        <v>تتطلب المصارعة النوبية وجود حكم في كل مباراة للتأكد من اتباع القواعد وضمان النزاهة.</v>
      </c>
    </row>
    <row r="14">
      <c r="A14" s="3">
        <v>13.0</v>
      </c>
      <c r="B14" s="4" t="s">
        <v>1422</v>
      </c>
      <c r="C14" s="4" t="s">
        <v>1423</v>
      </c>
      <c r="D14" s="4" t="s">
        <v>656</v>
      </c>
      <c r="E14" s="4" t="s">
        <v>657</v>
      </c>
      <c r="G14" s="5" t="str">
        <f>IFERROR(__xludf.DUMMYFUNCTION("GOOGLETRANSLATE(A14, ""en"", ""ar"")"),"13")</f>
        <v>13</v>
      </c>
      <c r="H14" s="5" t="str">
        <f>IFERROR(__xludf.DUMMYFUNCTION("GOOGLETRANSLATE(B14, ""en"", ""ar"")"),"ما هي القاعدة الخاصة بحجم المنطقة التي تقام فيها رياضة المصارعة النوبية؟")</f>
        <v>ما هي القاعدة الخاصة بحجم المنطقة التي تقام فيها رياضة المصارعة النوبية؟</v>
      </c>
      <c r="I14" s="5" t="str">
        <f>IFERROR(__xludf.DUMMYFUNCTION("GOOGLETRANSLATE(C14, ""en"", ""ar"")"),"أ) يمكن لعبها في أي مساحة مفتوحة؛ ب) يجب لعبها في مساحة محددة مسبقًا؛ ج) يجب لعبها في منطقة مغلقة فقط؛ د) يجب أن تكون المساحة كبيرة جدًا")</f>
        <v>أ) يمكن لعبها في أي مساحة مفتوحة؛ ب) يجب لعبها في مساحة محددة مسبقًا؛ ج) يجب لعبها في منطقة مغلقة فقط؛ د) يجب أن تكون المساحة كبيرة جدًا</v>
      </c>
      <c r="J14" s="5" t="str">
        <f>IFERROR(__xludf.DUMMYFUNCTION("GOOGLETRANSLATE(D14, ""en"", ""ar"")"),"ب) يجب تشغيلها في مساحة محددة مسبقًا.")</f>
        <v>ب) يجب تشغيلها في مساحة محددة مسبقًا.</v>
      </c>
      <c r="K14" s="5" t="str">
        <f>IFERROR(__xludf.DUMMYFUNCTION("GOOGLETRANSLATE(E14, ""en"", ""ar"")"),"عادة ما يتم لعب المصارعة النوبية في منطقة محددة توفر الأمان والراحة للمصارعين.")</f>
        <v>عادة ما يتم لعب المصارعة النوبية في منطقة محددة توفر الأمان والراحة للمصارعين.</v>
      </c>
    </row>
    <row r="15">
      <c r="A15" s="3">
        <v>14.0</v>
      </c>
      <c r="B15" s="4" t="s">
        <v>1424</v>
      </c>
      <c r="C15" s="4" t="s">
        <v>1425</v>
      </c>
      <c r="D15" s="4" t="s">
        <v>660</v>
      </c>
      <c r="E15" s="4" t="s">
        <v>661</v>
      </c>
      <c r="G15" s="5" t="str">
        <f>IFERROR(__xludf.DUMMYFUNCTION("GOOGLETRANSLATE(A15, ""en"", ""ar"")"),"14")</f>
        <v>14</v>
      </c>
      <c r="H15" s="5" t="str">
        <f>IFERROR(__xludf.DUMMYFUNCTION("GOOGLETRANSLATE(B15, ""en"", ""ar"")"),"هل يجوز للمصارع تغيير استراتيجيته أثناء المباراة؟")</f>
        <v>هل يجوز للمصارع تغيير استراتيجيته أثناء المباراة؟</v>
      </c>
      <c r="I15" s="5" t="str">
        <f>IFERROR(__xludf.DUMMYFUNCTION("GOOGLETRANSLATE(C15, ""en"", ""ar"")"),"أ) نعم، يمكنه تغيير استراتيجيته في أي وقت؛ ب) لا، يجب عليه الالتزام بنفس الاستراتيجية طوال المباراة؛ ج) يُسمح له بتغيير الاستراتيجية فقط بعد الجولة الأولى؛ د) يُسمح له بتغييرها فقط في حالة الخسارة")</f>
        <v>أ) نعم، يمكنه تغيير استراتيجيته في أي وقت؛ ب) لا، يجب عليه الالتزام بنفس الاستراتيجية طوال المباراة؛ ج) يُسمح له بتغيير الاستراتيجية فقط بعد الجولة الأولى؛ د) يُسمح له بتغييرها فقط في حالة الخسارة</v>
      </c>
      <c r="J15" s="5" t="str">
        <f>IFERROR(__xludf.DUMMYFUNCTION("GOOGLETRANSLATE(D15, ""en"", ""ar"")"),"أ) نعم، يمكنه تغيير استراتيجيته في أي وقت.")</f>
        <v>أ) نعم، يمكنه تغيير استراتيجيته في أي وقت.</v>
      </c>
      <c r="K15" s="5" t="str">
        <f>IFERROR(__xludf.DUMMYFUNCTION("GOOGLETRANSLATE(E15, ""en"", ""ar"")"),"تتطلب المصارعة النوبية من المصارع أن يكون مرنًا في استراتيجياته وقادرًا على التكيف مع سير المباراة.")</f>
        <v>تتطلب المصارعة النوبية من المصارع أن يكون مرنًا في استراتيجياته وقادرًا على التكيف مع سير المباراة.</v>
      </c>
    </row>
    <row r="16">
      <c r="A16" s="3">
        <v>15.0</v>
      </c>
      <c r="B16" s="4" t="s">
        <v>662</v>
      </c>
      <c r="C16" s="4" t="s">
        <v>1426</v>
      </c>
      <c r="D16" s="4" t="s">
        <v>664</v>
      </c>
      <c r="E16" s="4" t="s">
        <v>665</v>
      </c>
      <c r="G16" s="5" t="str">
        <f>IFERROR(__xludf.DUMMYFUNCTION("GOOGLETRANSLATE(A16, ""en"", ""ar"")"),"15")</f>
        <v>15</v>
      </c>
      <c r="H16" s="5" t="str">
        <f>IFERROR(__xludf.DUMMYFUNCTION("GOOGLETRANSLATE(B16, ""en"", ""ar"")"),"ما هي القاعدة التي تحكم استخدام المصارع للتقنيات الدفاعية؟")</f>
        <v>ما هي القاعدة التي تحكم استخدام المصارع للتقنيات الدفاعية؟</v>
      </c>
      <c r="I16" s="5" t="str">
        <f>IFERROR(__xludf.DUMMYFUNCTION("GOOGLETRANSLATE(C16, ""en"", ""ar"")"),"أ) يجوز استخدام أي تقنية دفاعية؛ ب) يجب أن يكون الدفاع فعالاً وغير مبالغ فيه؛ ج) لا يجوز استخدام الدفاع في المصارعة النوبية؛ د) يُسمح بالدفاع فقط بعد الهجوم")</f>
        <v>أ) يجوز استخدام أي تقنية دفاعية؛ ب) يجب أن يكون الدفاع فعالاً وغير مبالغ فيه؛ ج) لا يجوز استخدام الدفاع في المصارعة النوبية؛ د) يُسمح بالدفاع فقط بعد الهجوم</v>
      </c>
      <c r="J16" s="5" t="str">
        <f>IFERROR(__xludf.DUMMYFUNCTION("GOOGLETRANSLATE(D16, ""en"", ""ar"")"),"ب) يجب أن يكون الدفاع فعالاً وغير مبالغ فيه.")</f>
        <v>ب) يجب أن يكون الدفاع فعالاً وغير مبالغ فيه.</v>
      </c>
      <c r="K16" s="5" t="str">
        <f>IFERROR(__xludf.DUMMYFUNCTION("GOOGLETRANSLATE(E16, ""en"", ""ar"")"),"ينبغي أن تكون أساليب الدفاع متوازنة وفعالة دون أن تكون مفرطة أو مبالغ فيها.")</f>
        <v>ينبغي أن تكون أساليب الدفاع متوازنة وفعالة دون أن تكون مفرطة أو مبالغ فيها.</v>
      </c>
    </row>
    <row r="17">
      <c r="A17" s="3">
        <v>16.0</v>
      </c>
      <c r="B17" s="4" t="s">
        <v>666</v>
      </c>
      <c r="C17" s="4" t="s">
        <v>1427</v>
      </c>
      <c r="D17" s="4" t="s">
        <v>668</v>
      </c>
      <c r="E17" s="4" t="s">
        <v>669</v>
      </c>
      <c r="G17" s="5" t="str">
        <f>IFERROR(__xludf.DUMMYFUNCTION("GOOGLETRANSLATE(A17, ""en"", ""ar"")"),"16")</f>
        <v>16</v>
      </c>
      <c r="H17" s="5" t="str">
        <f>IFERROR(__xludf.DUMMYFUNCTION("GOOGLETRANSLATE(B17, ""en"", ""ar"")"),"ما هي القاعدة بشأن المدة التي يمكن للمصارع أن يستريح فيها أثناء المباراة؟")</f>
        <v>ما هي القاعدة بشأن المدة التي يمكن للمصارع أن يستريح فيها أثناء المباراة؟</v>
      </c>
      <c r="I17" s="5" t="str">
        <f>IFERROR(__xludf.DUMMYFUNCTION("GOOGLETRANSLATE(C17, ""en"", ""ar"")"),"أ) لا توجد فترات راحة؛ ب) يمكن للمصارع أن يستريح حسب الحاجة؛ ج) يتم منح فترة راحة قصيرة في منتصف المباراة؛ د) يُسمح بالراحة فقط في حالة وجود إصابة")</f>
        <v>أ) لا توجد فترات راحة؛ ب) يمكن للمصارع أن يستريح حسب الحاجة؛ ج) يتم منح فترة راحة قصيرة في منتصف المباراة؛ د) يُسمح بالراحة فقط في حالة وجود إصابة</v>
      </c>
      <c r="J17" s="5" t="str">
        <f>IFERROR(__xludf.DUMMYFUNCTION("GOOGLETRANSLATE(D17, ""en"", ""ar"")"),"ج) يتم إعطاء استراحة قصيرة في منتصف المباراة.")</f>
        <v>ج) يتم إعطاء استراحة قصيرة في منتصف المباراة.</v>
      </c>
      <c r="K17" s="5" t="str">
        <f>IFERROR(__xludf.DUMMYFUNCTION("GOOGLETRANSLATE(E17, ""en"", ""ar"")"),"توفر المصارعة النوبية فترة راحة قصيرة في منتصف المباراة للمصارعين.")</f>
        <v>توفر المصارعة النوبية فترة راحة قصيرة في منتصف المباراة للمصارعين.</v>
      </c>
    </row>
    <row r="18">
      <c r="A18" s="3">
        <v>17.0</v>
      </c>
      <c r="B18" s="4" t="s">
        <v>670</v>
      </c>
      <c r="C18" s="4" t="s">
        <v>1428</v>
      </c>
      <c r="D18" s="4" t="s">
        <v>672</v>
      </c>
      <c r="E18" s="4" t="s">
        <v>673</v>
      </c>
      <c r="G18" s="5" t="str">
        <f>IFERROR(__xludf.DUMMYFUNCTION("GOOGLETRANSLATE(A18, ""en"", ""ar"")"),"17")</f>
        <v>17</v>
      </c>
      <c r="H18" s="5" t="str">
        <f>IFERROR(__xludf.DUMMYFUNCTION("GOOGLETRANSLATE(B18, ""en"", ""ar"")"),"هل يجوز للمصارع استخدام التقنيات النفسية للتأثير على خصمه؟")</f>
        <v>هل يجوز للمصارع استخدام التقنيات النفسية للتأثير على خصمه؟</v>
      </c>
      <c r="I18" s="5" t="str">
        <f>IFERROR(__xludf.DUMMYFUNCTION("GOOGLETRANSLATE(C18, ""en"", ""ar"")"),"أ) نعم، يُسمح بالأساليب النفسية؛ ب) لا، يجب أن تقتصر على الأساليب البدنية؛ ج) لا يجوز استخدام الأساليب النفسية إلا في المباريات النهائية؛ د) لا يُسمح بالأساليب النفسية إلا إذا كانت جزءًا من تكتيك")</f>
        <v>أ) نعم، يُسمح بالأساليب النفسية؛ ب) لا، يجب أن تقتصر على الأساليب البدنية؛ ج) لا يجوز استخدام الأساليب النفسية إلا في المباريات النهائية؛ د) لا يُسمح بالأساليب النفسية إلا إذا كانت جزءًا من تكتيك</v>
      </c>
      <c r="J18" s="5" t="str">
        <f>IFERROR(__xludf.DUMMYFUNCTION("GOOGLETRANSLATE(D18, ""en"", ""ar"")"),"ب) لا، بل يجب أن يقتصر على الطرق الفيزيائية.")</f>
        <v>ب) لا، بل يجب أن يقتصر على الطرق الفيزيائية.</v>
      </c>
      <c r="K18" s="5" t="str">
        <f>IFERROR(__xludf.DUMMYFUNCTION("GOOGLETRANSLATE(E18, ""en"", ""ar"")"),"تقتصر المصارعة النوبية على التقنيات البدنية ولا يجوز استخدام الأساليب النفسية للتأثير على الخصم.")</f>
        <v>تقتصر المصارعة النوبية على التقنيات البدنية ولا يجوز استخدام الأساليب النفسية للتأثير على الخصم.</v>
      </c>
    </row>
    <row r="19">
      <c r="A19" s="3">
        <v>18.0</v>
      </c>
      <c r="B19" s="4" t="s">
        <v>1429</v>
      </c>
      <c r="C19" s="4" t="s">
        <v>1430</v>
      </c>
      <c r="D19" s="4" t="s">
        <v>676</v>
      </c>
      <c r="E19" s="4" t="s">
        <v>677</v>
      </c>
      <c r="G19" s="5" t="str">
        <f>IFERROR(__xludf.DUMMYFUNCTION("GOOGLETRANSLATE(A19, ""en"", ""ar"")"),"18")</f>
        <v>18</v>
      </c>
      <c r="H19" s="5" t="str">
        <f>IFERROR(__xludf.DUMMYFUNCTION("GOOGLETRANSLATE(B19, ""en"", ""ar"")"),"هل يجوز للمصارع تغيير ملابسه أثناء المباراة؟")</f>
        <v>هل يجوز للمصارع تغيير ملابسه أثناء المباراة؟</v>
      </c>
      <c r="I19" s="5" t="str">
        <f>IFERROR(__xludf.DUMMYFUNCTION("GOOGLETRANSLATE(C19, ""en"", ""ar"")"),"أ) نعم، يمكنه تغيير ملابسه في أي وقت؛ ب) لا، يجب عليه ارتداء نفس الملابس طوال المباراة؛ ج) يُسمح بتغيير الملابس فقط بعد الجولة الأولى؛ د) يُسمح بتغيير الملابس إذا كانت الملابس غير مريحة")</f>
        <v>أ) نعم، يمكنه تغيير ملابسه في أي وقت؛ ب) لا، يجب عليه ارتداء نفس الملابس طوال المباراة؛ ج) يُسمح بتغيير الملابس فقط بعد الجولة الأولى؛ د) يُسمح بتغيير الملابس إذا كانت الملابس غير مريحة</v>
      </c>
      <c r="J19" s="5" t="str">
        <f>IFERROR(__xludf.DUMMYFUNCTION("GOOGLETRANSLATE(D19, ""en"", ""ar"")"),"ب) لا، يجب عليه ارتداء نفس الملابس طوال المباراة.")</f>
        <v>ب) لا، يجب عليه ارتداء نفس الملابس طوال المباراة.</v>
      </c>
      <c r="K19" s="5" t="str">
        <f>IFERROR(__xludf.DUMMYFUNCTION("GOOGLETRANSLATE(E19, ""en"", ""ar"")"),"يجب على المصارع ارتداء الملابس المناسبة ولا يجوز له تغييرها أثناء المباراة.")</f>
        <v>يجب على المصارع ارتداء الملابس المناسبة ولا يجوز له تغييرها أثناء المباراة.</v>
      </c>
    </row>
    <row r="20">
      <c r="A20" s="3">
        <v>19.0</v>
      </c>
      <c r="B20" s="4" t="s">
        <v>678</v>
      </c>
      <c r="C20" s="4" t="s">
        <v>1431</v>
      </c>
      <c r="D20" s="4" t="s">
        <v>680</v>
      </c>
      <c r="E20" s="4" t="s">
        <v>681</v>
      </c>
      <c r="G20" s="5" t="str">
        <f>IFERROR(__xludf.DUMMYFUNCTION("GOOGLETRANSLATE(A20, ""en"", ""ar"")"),"19")</f>
        <v>19</v>
      </c>
      <c r="H20" s="5" t="str">
        <f>IFERROR(__xludf.DUMMYFUNCTION("GOOGLETRANSLATE(B20, ""en"", ""ar"")"),"هل يُسمح ببعض تقنيات المصارعة فقط خلال فترات محددة من المباراة؟")</f>
        <v>هل يُسمح ببعض تقنيات المصارعة فقط خلال فترات محددة من المباراة؟</v>
      </c>
      <c r="I20" s="5" t="str">
        <f>IFERROR(__xludf.DUMMYFUNCTION("GOOGLETRANSLATE(C20, ""en"", ""ar"")"),"أ) نعم، يجوز استخدام تقنيات خاصة في مراحل معينة من المباراة؛ ب) لا، يجوز استخدام أي تقنيات في أي وقت؛ ج) يجوز استخدام التقنيات الخاصة فقط في نهاية المباراة؛ د) لا توجد تقنيات خاصة في المصارعة النوبية")</f>
        <v>أ) نعم، يجوز استخدام تقنيات خاصة في مراحل معينة من المباراة؛ ب) لا، يجوز استخدام أي تقنيات في أي وقت؛ ج) يجوز استخدام التقنيات الخاصة فقط في نهاية المباراة؛ د) لا توجد تقنيات خاصة في المصارعة النوبية</v>
      </c>
      <c r="J20" s="5" t="str">
        <f>IFERROR(__xludf.DUMMYFUNCTION("GOOGLETRANSLATE(D20, ""en"", ""ar"")"),"ب) لا، يمكن استخدام أي تقنيات في أي وقت.")</f>
        <v>ب) لا، يمكن استخدام أي تقنيات في أي وقت.</v>
      </c>
      <c r="K20" s="5" t="str">
        <f>IFERROR(__xludf.DUMMYFUNCTION("GOOGLETRANSLATE(E20, ""en"", ""ar"")"),"في المصارعة النوبية، يُسمح باستخدام جميع التقنيات المعترف بها في أي وقت أثناء المباراة.")</f>
        <v>في المصارعة النوبية، يُسمح باستخدام جميع التقنيات المعترف بها في أي وقت أثناء المباراة.</v>
      </c>
    </row>
    <row r="21">
      <c r="A21" s="3">
        <v>20.0</v>
      </c>
      <c r="B21" s="4" t="s">
        <v>682</v>
      </c>
      <c r="C21" s="4" t="s">
        <v>1432</v>
      </c>
      <c r="D21" s="4" t="s">
        <v>684</v>
      </c>
      <c r="E21" s="4" t="s">
        <v>685</v>
      </c>
      <c r="G21" s="5" t="str">
        <f>IFERROR(__xludf.DUMMYFUNCTION("GOOGLETRANSLATE(A21, ""en"", ""ar"")"),"20")</f>
        <v>20</v>
      </c>
      <c r="H21" s="5" t="str">
        <f>IFERROR(__xludf.DUMMYFUNCTION("GOOGLETRANSLATE(B21, ""en"", ""ar"")"),"ما هو حكم استخدام القوة المفرطة في المصارعة النوبية؟")</f>
        <v>ما هو حكم استخدام القوة المفرطة في المصارعة النوبية؟</v>
      </c>
      <c r="I21" s="5" t="str">
        <f>IFERROR(__xludf.DUMMYFUNCTION("GOOGLETRANSLATE(C21, ""en"", ""ar"")"),"أ) يُسمح دائمًا باستخدام القوة المفرطة؛ ب) لا يُسمح أبدًا باستخدام القوة المفرطة؛ ج) يُسمح فقط إذا كان المصارع في موقف دفاعي؛ د) يُسمح باستخدام القوة المفرطة فقط في المباريات المهمة")</f>
        <v>أ) يُسمح دائمًا باستخدام القوة المفرطة؛ ب) لا يُسمح أبدًا باستخدام القوة المفرطة؛ ج) يُسمح فقط إذا كان المصارع في موقف دفاعي؛ د) يُسمح باستخدام القوة المفرطة فقط في المباريات المهمة</v>
      </c>
      <c r="J21" s="5" t="str">
        <f>IFERROR(__xludf.DUMMYFUNCTION("GOOGLETRANSLATE(D21, ""en"", ""ar"")"),"ب) لا يجوز استخدام القوة المفرطة في أي وقت.")</f>
        <v>ب) لا يجوز استخدام القوة المفرطة في أي وقت.</v>
      </c>
      <c r="K21" s="5" t="str">
        <f>IFERROR(__xludf.DUMMYFUNCTION("GOOGLETRANSLATE(E21, ""en"", ""ar"")"),"يحظر المصارعة النوبية استخدام القوة المفرطة لضمان سلامة المصارعين.")</f>
        <v>يحظر المصارعة النوبية استخدام القوة المفرطة لضمان سلامة المصارعين.</v>
      </c>
    </row>
    <row r="22">
      <c r="A22" s="3">
        <v>21.0</v>
      </c>
      <c r="B22" s="4" t="s">
        <v>686</v>
      </c>
      <c r="C22" s="4" t="s">
        <v>1433</v>
      </c>
      <c r="D22" s="4" t="s">
        <v>688</v>
      </c>
      <c r="E22" s="4" t="s">
        <v>689</v>
      </c>
      <c r="G22" s="5" t="str">
        <f>IFERROR(__xludf.DUMMYFUNCTION("GOOGLETRANSLATE(A22, ""en"", ""ar"")"),"21")</f>
        <v>21</v>
      </c>
      <c r="H22" s="5" t="str">
        <f>IFERROR(__xludf.DUMMYFUNCTION("GOOGLETRANSLATE(B22, ""en"", ""ar"")"),"ما هي القاعدة بشأن عدد المصارعين في كل مباراة؟")</f>
        <v>ما هي القاعدة بشأن عدد المصارعين في كل مباراة؟</v>
      </c>
      <c r="I22" s="5" t="str">
        <f>IFERROR(__xludf.DUMMYFUNCTION("GOOGLETRANSLATE(C22, ""en"", ""ar"")"),"أ) يمكن أن تكون المباراة بين أكثر من مصارعين اثنين؛ ب) يجب أن تكون المباراة بين مصارعين اثنين فقط؛ ج) يتم تحديد عدد المصارعين وفقًا للقوانين المحلية؛ د) يُسمح بمباراة الفريق فقط في البطولات الكبرى")</f>
        <v>أ) يمكن أن تكون المباراة بين أكثر من مصارعين اثنين؛ ب) يجب أن تكون المباراة بين مصارعين اثنين فقط؛ ج) يتم تحديد عدد المصارعين وفقًا للقوانين المحلية؛ د) يُسمح بمباراة الفريق فقط في البطولات الكبرى</v>
      </c>
      <c r="J22" s="5" t="str">
        <f>IFERROR(__xludf.DUMMYFUNCTION("GOOGLETRANSLATE(D22, ""en"", ""ar"")"),"ب) يجب أن تكون المباراة بين مصارعين فقط.")</f>
        <v>ب) يجب أن تكون المباراة بين مصارعين فقط.</v>
      </c>
      <c r="K22" s="5" t="str">
        <f>IFERROR(__xludf.DUMMYFUNCTION("GOOGLETRANSLATE(E22, ""en"", ""ar"")"),"تتطلب المصارعة النوبية عادة مصارعين اثنين فقط في كل مباراة.")</f>
        <v>تتطلب المصارعة النوبية عادة مصارعين اثنين فقط في كل مباراة.</v>
      </c>
    </row>
    <row r="23">
      <c r="A23" s="3">
        <v>22.0</v>
      </c>
      <c r="B23" s="4" t="s">
        <v>690</v>
      </c>
      <c r="C23" s="4" t="s">
        <v>1434</v>
      </c>
      <c r="D23" s="4" t="s">
        <v>692</v>
      </c>
      <c r="E23" s="4" t="s">
        <v>693</v>
      </c>
      <c r="G23" s="5" t="str">
        <f>IFERROR(__xludf.DUMMYFUNCTION("GOOGLETRANSLATE(A23, ""en"", ""ar"")"),"22")</f>
        <v>22</v>
      </c>
      <c r="H23" s="5" t="str">
        <f>IFERROR(__xludf.DUMMYFUNCTION("GOOGLETRANSLATE(B23, ""en"", ""ar"")"),"هل يجوز للمصارع تكرار نفس الحركات طوال المباراة؟")</f>
        <v>هل يجوز للمصارع تكرار نفس الحركات طوال المباراة؟</v>
      </c>
      <c r="I23" s="5" t="str">
        <f>IFERROR(__xludf.DUMMYFUNCTION("GOOGLETRANSLATE(C23, ""en"", ""ar"")"),"أ) نعم، يمكنه تكرار نفس الحركات؛ ب) لا، يجب عليه تغيير الحركات طوال المباراة؛ ج) يُسمح له بتكرار الحركات فقط إذا كانت فعالة؛ د) يُسمح له بتكرار الحركات فقط في الدفاع")</f>
        <v>أ) نعم، يمكنه تكرار نفس الحركات؛ ب) لا، يجب عليه تغيير الحركات طوال المباراة؛ ج) يُسمح له بتكرار الحركات فقط إذا كانت فعالة؛ د) يُسمح له بتكرار الحركات فقط في الدفاع</v>
      </c>
      <c r="J23" s="5" t="str">
        <f>IFERROR(__xludf.DUMMYFUNCTION("GOOGLETRANSLATE(D23, ""en"", ""ar"")"),"ب) لا، بل يجب عليه تغيير تحركاته طوال المباراة.")</f>
        <v>ب) لا، بل يجب عليه تغيير تحركاته طوال المباراة.</v>
      </c>
      <c r="K23" s="5" t="str">
        <f>IFERROR(__xludf.DUMMYFUNCTION("GOOGLETRANSLATE(E23, ""en"", ""ar"")"),"تتطلب المصارعة النوبية تنوعًا في الحركات ولا يُسمح بتكرار نفس الحركة طوال المباراة.")</f>
        <v>تتطلب المصارعة النوبية تنوعًا في الحركات ولا يُسمح بتكرار نفس الحركة طوال المباراة.</v>
      </c>
    </row>
    <row r="24">
      <c r="A24" s="3">
        <v>23.0</v>
      </c>
      <c r="B24" s="4" t="s">
        <v>694</v>
      </c>
      <c r="C24" s="4" t="s">
        <v>1435</v>
      </c>
      <c r="D24" s="4" t="s">
        <v>696</v>
      </c>
      <c r="E24" s="4" t="s">
        <v>697</v>
      </c>
      <c r="G24" s="5" t="str">
        <f>IFERROR(__xludf.DUMMYFUNCTION("GOOGLETRANSLATE(A24, ""en"", ""ar"")"),"23")</f>
        <v>23</v>
      </c>
      <c r="H24" s="5" t="str">
        <f>IFERROR(__xludf.DUMMYFUNCTION("GOOGLETRANSLATE(B24, ""en"", ""ar"")"),"هل يستطيع المصارع إيقاف المباراة لمجرد شعوره بالألم؟")</f>
        <v>هل يستطيع المصارع إيقاف المباراة لمجرد شعوره بالألم؟</v>
      </c>
      <c r="I24" s="5" t="str">
        <f>IFERROR(__xludf.DUMMYFUNCTION("GOOGLETRANSLATE(C24, ""en"", ""ar"")"),"أ) نعم، يمكنه إيقاف المباراة؛ ب) لا، يمكنه إيقاف المباراة فقط في حالات الطوارئ؛ ج) يمكنه إيقاف المباراة بعد استشارة الحكم؛ د) يمكنه إيقاف المباراة بعد كل جولة")</f>
        <v>أ) نعم، يمكنه إيقاف المباراة؛ ب) لا، يمكنه إيقاف المباراة فقط في حالات الطوارئ؛ ج) يمكنه إيقاف المباراة بعد استشارة الحكم؛ د) يمكنه إيقاف المباراة بعد كل جولة</v>
      </c>
      <c r="J24" s="5" t="str">
        <f>IFERROR(__xludf.DUMMYFUNCTION("GOOGLETRANSLATE(D24, ""en"", ""ar"")"),"ب) لا، لا يمكنه إيقاف المباراة إلا في حالات الطوارئ.")</f>
        <v>ب) لا، لا يمكنه إيقاف المباراة إلا في حالات الطوارئ.</v>
      </c>
      <c r="K24" s="5" t="str">
        <f>IFERROR(__xludf.DUMMYFUNCTION("GOOGLETRANSLATE(E24, ""en"", ""ar"")"),"لا يمكن للمصارع إيقاف المباراة إلا إذا كانت هناك إصابة خطيرة أو حالة طارئة.")</f>
        <v>لا يمكن للمصارع إيقاف المباراة إلا إذا كانت هناك إصابة خطيرة أو حالة طارئة.</v>
      </c>
    </row>
    <row r="25">
      <c r="A25" s="3">
        <v>24.0</v>
      </c>
      <c r="B25" s="4" t="s">
        <v>1436</v>
      </c>
      <c r="C25" s="4" t="s">
        <v>1437</v>
      </c>
      <c r="D25" s="4" t="s">
        <v>700</v>
      </c>
      <c r="E25" s="4" t="s">
        <v>701</v>
      </c>
      <c r="G25" s="5" t="str">
        <f>IFERROR(__xludf.DUMMYFUNCTION("GOOGLETRANSLATE(A25, ""en"", ""ar"")"),"24")</f>
        <v>24</v>
      </c>
      <c r="H25" s="5" t="str">
        <f>IFERROR(__xludf.DUMMYFUNCTION("GOOGLETRANSLATE(B25, ""en"", ""ar"")"),"هل يجب على المصارعين في السودان الخضوع لفحص طبي قبل المباريات؟")</f>
        <v>هل يجب على المصارعين في السودان الخضوع لفحص طبي قبل المباريات؟</v>
      </c>
      <c r="I25" s="5" t="str">
        <f>IFERROR(__xludf.DUMMYFUNCTION("GOOGLETRANSLATE(C25, ""en"", ""ar"")"),"أ) نعم، يجب على المصارع الخضوع لفحص طبي؛ ب) لا، لا يوجد فحص طبي قبل المباراة؛ ج) يتم إجراء الفحص الطبي فقط في البطولات الكبرى؛ د) يتم إجراء الفحص الطبي فقط بعد المباراة")</f>
        <v>أ) نعم، يجب على المصارع الخضوع لفحص طبي؛ ب) لا، لا يوجد فحص طبي قبل المباراة؛ ج) يتم إجراء الفحص الطبي فقط في البطولات الكبرى؛ د) يتم إجراء الفحص الطبي فقط بعد المباراة</v>
      </c>
      <c r="J25" s="5" t="str">
        <f>IFERROR(__xludf.DUMMYFUNCTION("GOOGLETRANSLATE(D25, ""en"", ""ar"")"),"أ) نعم، يجب على المصارع الخضوع لفحص طبي.")</f>
        <v>أ) نعم، يجب على المصارع الخضوع لفحص طبي.</v>
      </c>
      <c r="K25" s="5" t="str">
        <f>IFERROR(__xludf.DUMMYFUNCTION("GOOGLETRANSLATE(E25, ""en"", ""ar"")"),"يجب على المصارع الخضوع لفحص طبي قبل المباراة للتأكد من سلامته.")</f>
        <v>يجب على المصارع الخضوع لفحص طبي قبل المباراة للتأكد من سلامته.</v>
      </c>
    </row>
    <row r="26">
      <c r="A26" s="3">
        <v>25.0</v>
      </c>
      <c r="B26" s="4" t="s">
        <v>1438</v>
      </c>
      <c r="C26" s="4" t="s">
        <v>1439</v>
      </c>
      <c r="D26" s="4" t="s">
        <v>704</v>
      </c>
      <c r="E26" s="4" t="s">
        <v>705</v>
      </c>
      <c r="G26" s="5" t="str">
        <f>IFERROR(__xludf.DUMMYFUNCTION("GOOGLETRANSLATE(A26, ""en"", ""ar"")"),"25")</f>
        <v>25</v>
      </c>
      <c r="H26" s="5" t="str">
        <f>IFERROR(__xludf.DUMMYFUNCTION("GOOGLETRANSLATE(B26, ""en"", ""ar"")"),"هل يجوز للمصارع استعمال الحركات العنيفة ضد خصمه في المصارعة النوبية؟")</f>
        <v>هل يجوز للمصارع استعمال الحركات العنيفة ضد خصمه في المصارعة النوبية؟</v>
      </c>
      <c r="I26" s="5" t="str">
        <f>IFERROR(__xludf.DUMMYFUNCTION("GOOGLETRANSLATE(C26, ""en"", ""ar"")"),"أ) نعم، يُسمح بالحركات العنيفة في أي وقت؛ ب) لا، يجب استخدام الحركات المناسبة والآمنة فقط؛ ج) يمكنه استخدام الحركات العنيفة فقط في المواقف الدفاعية؛ د) يُسمح بالحركات العنيفة فقط في المباريات النهائية")</f>
        <v>أ) نعم، يُسمح بالحركات العنيفة في أي وقت؛ ب) لا، يجب استخدام الحركات المناسبة والآمنة فقط؛ ج) يمكنه استخدام الحركات العنيفة فقط في المواقف الدفاعية؛ د) يُسمح بالحركات العنيفة فقط في المباريات النهائية</v>
      </c>
      <c r="J26" s="5" t="str">
        <f>IFERROR(__xludf.DUMMYFUNCTION("GOOGLETRANSLATE(D26, ""en"", ""ar"")"),"ب) لا، يجب استخدام الحركات المناسبة والآمنة فقط.")</f>
        <v>ب) لا، يجب استخدام الحركات المناسبة والآمنة فقط.</v>
      </c>
      <c r="K26" s="5" t="str">
        <f>IFERROR(__xludf.DUMMYFUNCTION("GOOGLETRANSLATE(E26, ""en"", ""ar"")"),"تحظر المصارعة النوبية استخدام الحركات العنيفة التي قد تعرض المصارع للخطر.")</f>
        <v>تحظر المصارعة النوبية استخدام الحركات العنيفة التي قد تعرض المصارع للخطر.</v>
      </c>
    </row>
    <row r="27">
      <c r="A27" s="3">
        <v>26.0</v>
      </c>
      <c r="B27" s="4" t="s">
        <v>1440</v>
      </c>
      <c r="C27" s="4" t="s">
        <v>1441</v>
      </c>
      <c r="D27" s="4" t="s">
        <v>708</v>
      </c>
      <c r="E27" s="4" t="s">
        <v>709</v>
      </c>
      <c r="G27" s="5" t="str">
        <f>IFERROR(__xludf.DUMMYFUNCTION("GOOGLETRANSLATE(A27, ""en"", ""ar"")"),"26")</f>
        <v>26</v>
      </c>
      <c r="H27" s="5" t="str">
        <f>IFERROR(__xludf.DUMMYFUNCTION("GOOGLETRANSLATE(B27, ""en"", ""ar"")"),"هل يجوز للمصارع في مباراة نوبية استخدام الذكاء التكتيكي للفوز؟")</f>
        <v>هل يجوز للمصارع في مباراة نوبية استخدام الذكاء التكتيكي للفوز؟</v>
      </c>
      <c r="I27" s="5" t="str">
        <f>IFERROR(__xludf.DUMMYFUNCTION("GOOGLETRANSLATE(C27, ""en"", ""ar"")"),"أ) نعم، يُسمح باستخدام الذكاء التكتيكي؛ ب) لا، يجب على المصارع الاعتماد فقط على القوة البدنية؛ ج) يُسمح بالذكاء التكتيكي فقط في المباريات الرسمية؛ د) يُسمح بالذكاء التكتيكي فقط بعد الجولات الأولى")</f>
        <v>أ) نعم، يُسمح باستخدام الذكاء التكتيكي؛ ب) لا، يجب على المصارع الاعتماد فقط على القوة البدنية؛ ج) يُسمح بالذكاء التكتيكي فقط في المباريات الرسمية؛ د) يُسمح بالذكاء التكتيكي فقط بعد الجولات الأولى</v>
      </c>
      <c r="J27" s="5" t="str">
        <f>IFERROR(__xludf.DUMMYFUNCTION("GOOGLETRANSLATE(D27, ""en"", ""ar"")"),"أ) نعم، يُسمح باستخدام الاستخبارات التكتيكية.")</f>
        <v>أ) نعم، يُسمح باستخدام الاستخبارات التكتيكية.</v>
      </c>
      <c r="K27" s="5" t="str">
        <f>IFERROR(__xludf.DUMMYFUNCTION("GOOGLETRANSLATE(E27, ""en"", ""ar"")"),"تتطلب المصارعة النوبية من المصارعين استخدام الذكاء التكتيكي بالإضافة إلى القوة البدنية لتحقيق التفوق.")</f>
        <v>تتطلب المصارعة النوبية من المصارعين استخدام الذكاء التكتيكي بالإضافة إلى القوة البدنية لتحقيق التفوق.</v>
      </c>
    </row>
    <row r="28">
      <c r="A28" s="3">
        <v>27.0</v>
      </c>
      <c r="B28" s="4" t="s">
        <v>1442</v>
      </c>
      <c r="C28" s="4" t="s">
        <v>1443</v>
      </c>
      <c r="D28" s="4" t="s">
        <v>712</v>
      </c>
      <c r="E28" s="4" t="s">
        <v>713</v>
      </c>
      <c r="G28" s="5" t="str">
        <f>IFERROR(__xludf.DUMMYFUNCTION("GOOGLETRANSLATE(A28, ""en"", ""ar"")"),"27")</f>
        <v>27</v>
      </c>
      <c r="H28" s="5" t="str">
        <f>IFERROR(__xludf.DUMMYFUNCTION("GOOGLETRANSLATE(B28, ""en"", ""ar"")"),"ما هي القاعدة الأساسية لتحديد الفائز في مباراة المصارعة النوبية؟")</f>
        <v>ما هي القاعدة الأساسية لتحديد الفائز في مباراة المصارعة النوبية؟</v>
      </c>
      <c r="I28" s="5" t="str">
        <f>IFERROR(__xludf.DUMMYFUNCTION("GOOGLETRANSLATE(C28, ""en"", ""ar"")"),"أ) الفائز هو من يستطيع إخضاع الخصم تمامًا؛ ب) الفائز هو من يسجل أكبر عدد من النقاط؛ ج) الفائز هو من يدافع بشكل أفضل؛ د) الفائز هو من يبقى واقفًا لأطول فترة.")</f>
        <v>أ) الفائز هو من يستطيع إخضاع الخصم تمامًا؛ ب) الفائز هو من يسجل أكبر عدد من النقاط؛ ج) الفائز هو من يدافع بشكل أفضل؛ د) الفائز هو من يبقى واقفًا لأطول فترة.</v>
      </c>
      <c r="J28" s="5" t="str">
        <f>IFERROR(__xludf.DUMMYFUNCTION("GOOGLETRANSLATE(D28, ""en"", ""ar"")"),"أ) الفائز هو من يستطيع إخضاع الخصم بشكل كامل.")</f>
        <v>أ) الفائز هو من يستطيع إخضاع الخصم بشكل كامل.</v>
      </c>
      <c r="K28" s="5" t="str">
        <f>IFERROR(__xludf.DUMMYFUNCTION("GOOGLETRANSLATE(E28, ""en"", ""ar"")"),"في المصارعة النوبية، يتم تحديد الفائز على أساس القدرة على إخضاع الخصم بشكل كامل.")</f>
        <v>في المصارعة النوبية، يتم تحديد الفائز على أساس القدرة على إخضاع الخصم بشكل كامل.</v>
      </c>
    </row>
    <row r="29">
      <c r="A29" s="3">
        <v>28.0</v>
      </c>
      <c r="B29" s="4" t="s">
        <v>1444</v>
      </c>
      <c r="C29" s="4" t="s">
        <v>1445</v>
      </c>
      <c r="D29" s="4" t="s">
        <v>716</v>
      </c>
      <c r="E29" s="4" t="s">
        <v>717</v>
      </c>
      <c r="G29" s="5" t="str">
        <f>IFERROR(__xludf.DUMMYFUNCTION("GOOGLETRANSLATE(A29, ""en"", ""ar"")"),"28")</f>
        <v>28</v>
      </c>
      <c r="H29" s="5" t="str">
        <f>IFERROR(__xludf.DUMMYFUNCTION("GOOGLETRANSLATE(B29, ""en"", ""ar"")"),"هل يجوز للمصارع في مباراة نوبية تعديل أسلوب قتاله أثناء المنافسة؟")</f>
        <v>هل يجوز للمصارع في مباراة نوبية تعديل أسلوب قتاله أثناء المنافسة؟</v>
      </c>
      <c r="I29" s="5" t="str">
        <f>IFERROR(__xludf.DUMMYFUNCTION("GOOGLETRANSLATE(C29, ""en"", ""ar"")"),"أ) نعم، يُسمح بتعديل الأسلوب؛ ب) لا، يجب الالتزام بنفس الأسلوب طوال المباراة؛ ج) يُسمح بتعديل الأسلوب فقط في الجولات النهائية؛ د) يُسمح بتعديل الأسلوب فقط في حالة مواجهة خصم أقوى")</f>
        <v>أ) نعم، يُسمح بتعديل الأسلوب؛ ب) لا، يجب الالتزام بنفس الأسلوب طوال المباراة؛ ج) يُسمح بتعديل الأسلوب فقط في الجولات النهائية؛ د) يُسمح بتعديل الأسلوب فقط في حالة مواجهة خصم أقوى</v>
      </c>
      <c r="J29" s="5" t="str">
        <f>IFERROR(__xludf.DUMMYFUNCTION("GOOGLETRANSLATE(D29, ""en"", ""ar"")"),"أ) نعم يجوز تعديل الأسلوب.")</f>
        <v>أ) نعم يجوز تعديل الأسلوب.</v>
      </c>
      <c r="K29" s="5" t="str">
        <f>IFERROR(__xludf.DUMMYFUNCTION("GOOGLETRANSLATE(E29, ""en"", ""ar"")"),"المصارعة النوبية تسمح للمصارع بتعديل استراتيجيته وأسلوبه طوال المباراة.")</f>
        <v>المصارعة النوبية تسمح للمصارع بتعديل استراتيجيته وأسلوبه طوال المباراة.</v>
      </c>
    </row>
    <row r="30">
      <c r="A30" s="3">
        <v>29.0</v>
      </c>
      <c r="B30" s="4" t="s">
        <v>1446</v>
      </c>
      <c r="C30" s="4" t="s">
        <v>1447</v>
      </c>
      <c r="D30" s="4" t="s">
        <v>720</v>
      </c>
      <c r="E30" s="4" t="s">
        <v>721</v>
      </c>
      <c r="G30" s="5" t="str">
        <f>IFERROR(__xludf.DUMMYFUNCTION("GOOGLETRANSLATE(A30, ""en"", ""ar"")"),"29")</f>
        <v>29</v>
      </c>
      <c r="H30" s="5" t="str">
        <f>IFERROR(__xludf.DUMMYFUNCTION("GOOGLETRANSLATE(B30, ""en"", ""ar"")"),"هل يجب على المصارع في المباراة النوبية أن يتبع أسلوبًا معينًا محددًا مسبقًا أثناء المنافسة؟")</f>
        <v>هل يجب على المصارع في المباراة النوبية أن يتبع أسلوبًا معينًا محددًا مسبقًا أثناء المنافسة؟</v>
      </c>
      <c r="I30" s="5" t="str">
        <f>IFERROR(__xludf.DUMMYFUNCTION("GOOGLETRANSLATE(C30, ""en"", ""ar"")"),"أ) نعم، يجب أن يتبع أسلوبًا محددًا؛ ب) لا، يمكنه استخدام أي أسلوب يناسبه؛ ج) يجب أن يلتزم بالأسلوب التقليدي فقط؛ د) يجب ألا يتبع أسلوبًا محددًا")</f>
        <v>أ) نعم، يجب أن يتبع أسلوبًا محددًا؛ ب) لا، يمكنه استخدام أي أسلوب يناسبه؛ ج) يجب أن يلتزم بالأسلوب التقليدي فقط؛ د) يجب ألا يتبع أسلوبًا محددًا</v>
      </c>
      <c r="J30" s="5" t="str">
        <f>IFERROR(__xludf.DUMMYFUNCTION("GOOGLETRANSLATE(D30, ""en"", ""ar"")"),"ب) لا، يمكنه استخدام أي طريقة تناسبه.")</f>
        <v>ب) لا، يمكنه استخدام أي طريقة تناسبه.</v>
      </c>
      <c r="K30" s="5" t="str">
        <f>IFERROR(__xludf.DUMMYFUNCTION("GOOGLETRANSLATE(E30, ""en"", ""ar"")"),"المصارعة النوبية تسمح للمصارع باستخدام التقنيات التي تناسبه بناءً على قوته واستراتيجيته.")</f>
        <v>المصارعة النوبية تسمح للمصارع باستخدام التقنيات التي تناسبه بناءً على قوته واستراتيجيته.</v>
      </c>
    </row>
    <row r="31">
      <c r="A31" s="3">
        <v>30.0</v>
      </c>
      <c r="B31" s="4" t="s">
        <v>1448</v>
      </c>
      <c r="C31" s="4" t="s">
        <v>1449</v>
      </c>
      <c r="D31" s="4" t="s">
        <v>724</v>
      </c>
      <c r="E31" s="4" t="s">
        <v>725</v>
      </c>
      <c r="G31" s="5" t="str">
        <f>IFERROR(__xludf.DUMMYFUNCTION("GOOGLETRANSLATE(A31, ""en"", ""ar"")"),"30")</f>
        <v>30</v>
      </c>
      <c r="H31" s="5" t="str">
        <f>IFERROR(__xludf.DUMMYFUNCTION("GOOGLETRANSLATE(B31, ""en"", ""ar"")"),"هل يجوز للمصارع في المباراة النوبية استخدام حركات معقدة أثناء المصارعة؟")</f>
        <v>هل يجوز للمصارع في المباراة النوبية استخدام حركات معقدة أثناء المصارعة؟</v>
      </c>
      <c r="I31" s="5" t="str">
        <f>IFERROR(__xludf.DUMMYFUNCTION("GOOGLETRANSLATE(C31, ""en"", ""ar"")"),"أ) نعم، يُسمح بالحركات المعقدة؛ ب) لا، يجب أن تكون الحركات بسيطة؛ ج) يُسمح بالحركات المعقدة فقط في المباريات النهائية؛ د) لا يُسمح بالحركات المعقدة أبدًا")</f>
        <v>أ) نعم، يُسمح بالحركات المعقدة؛ ب) لا، يجب أن تكون الحركات بسيطة؛ ج) يُسمح بالحركات المعقدة فقط في المباريات النهائية؛ د) لا يُسمح بالحركات المعقدة أبدًا</v>
      </c>
      <c r="J31" s="5" t="str">
        <f>IFERROR(__xludf.DUMMYFUNCTION("GOOGLETRANSLATE(D31, ""en"", ""ar"")"),"أ) نعم، الحركات المعقدة مسموح بها.")</f>
        <v>أ) نعم، الحركات المعقدة مسموح بها.</v>
      </c>
      <c r="K31" s="5" t="str">
        <f>IFERROR(__xludf.DUMMYFUNCTION("GOOGLETRANSLATE(E31, ""en"", ""ar"")"),"تتطلب المصارعة النوبية من المصارعين استخدام مجموعة متنوعة من الحركات بما في ذلك الحركات المعقدة للحصول على التفوق.")</f>
        <v>تتطلب المصارعة النوبية من المصارعين استخدام مجموعة متنوعة من الحركات بما في ذلك الحركات المعقدة للحصول على التفوق.</v>
      </c>
    </row>
    <row r="32">
      <c r="A32" s="3">
        <v>31.0</v>
      </c>
      <c r="B32" s="4" t="s">
        <v>1450</v>
      </c>
      <c r="C32" s="4" t="s">
        <v>1451</v>
      </c>
      <c r="D32" s="4" t="s">
        <v>728</v>
      </c>
      <c r="E32" s="4" t="s">
        <v>729</v>
      </c>
      <c r="G32" s="5" t="str">
        <f>IFERROR(__xludf.DUMMYFUNCTION("GOOGLETRANSLATE(A32, ""en"", ""ar"")"),"31")</f>
        <v>31</v>
      </c>
      <c r="H32" s="5" t="str">
        <f>IFERROR(__xludf.DUMMYFUNCTION("GOOGLETRANSLATE(B32, ""en"", ""ar"")"),"ما هي القاعدة التي تحدد كيفية تسجيل النقاط في مباراة المصارعة النوبية؟")</f>
        <v>ما هي القاعدة التي تحدد كيفية تسجيل النقاط في مباراة المصارعة النوبية؟</v>
      </c>
      <c r="I32" s="5" t="str">
        <f>IFERROR(__xludf.DUMMYFUNCTION("GOOGLETRANSLATE(C32, ""en"", ""ar"")"),"أ) يتم تسجيل النقاط بناءً على السيطرة على الخصم؛ ب) يتم تسجيل النقاط بناءً على الضربات القوية؛ ج) يتم تسجيل النقاط بناءً على الحركات الدفاعية؛ د) لا يتم تسجيل النقاط في المصارعة النوبية")</f>
        <v>أ) يتم تسجيل النقاط بناءً على السيطرة على الخصم؛ ب) يتم تسجيل النقاط بناءً على الضربات القوية؛ ج) يتم تسجيل النقاط بناءً على الحركات الدفاعية؛ د) لا يتم تسجيل النقاط في المصارعة النوبية</v>
      </c>
      <c r="J32" s="5" t="str">
        <f>IFERROR(__xludf.DUMMYFUNCTION("GOOGLETRANSLATE(D32, ""en"", ""ar"")"),"أ) يتم تسجيل النقاط على أساس السيطرة على الخصم.")</f>
        <v>أ) يتم تسجيل النقاط على أساس السيطرة على الخصم.</v>
      </c>
      <c r="K32" s="5" t="str">
        <f>IFERROR(__xludf.DUMMYFUNCTION("GOOGLETRANSLATE(E32, ""en"", ""ar"")"),"يتم تسجيل النقاط في المصارعة النوبية بناءً على قدرة المصارع على السيطرة على خصمه.")</f>
        <v>يتم تسجيل النقاط في المصارعة النوبية بناءً على قدرة المصارع على السيطرة على خصمه.</v>
      </c>
    </row>
    <row r="33">
      <c r="A33" s="3">
        <v>32.0</v>
      </c>
      <c r="B33" s="4" t="s">
        <v>1452</v>
      </c>
      <c r="C33" s="4" t="s">
        <v>1453</v>
      </c>
      <c r="D33" s="4" t="s">
        <v>732</v>
      </c>
      <c r="E33" s="4" t="s">
        <v>733</v>
      </c>
      <c r="G33" s="5" t="str">
        <f>IFERROR(__xludf.DUMMYFUNCTION("GOOGLETRANSLATE(A33, ""en"", ""ar"")"),"32")</f>
        <v>32</v>
      </c>
      <c r="H33" s="5" t="str">
        <f>IFERROR(__xludf.DUMMYFUNCTION("GOOGLETRANSLATE(B33, ""en"", ""ar"")"),"ما هي القاعدة التي تحكم خروج المصارع من الحلبة أثناء مباراة المصارعة النوبية؟")</f>
        <v>ما هي القاعدة التي تحكم خروج المصارع من الحلبة أثناء مباراة المصارعة النوبية؟</v>
      </c>
      <c r="I33" s="5" t="str">
        <f>IFERROR(__xludf.DUMMYFUNCTION("GOOGLETRANSLATE(C33, ""en"", ""ar"")"),"أ) لا يجوز للمصارع مغادرة الحلبة أبدًا؛ ب) لا يجوز للمصارع المغادرة إلا أثناء الدفاع؛ ج) يجوز للمصارع المغادرة لفترة قصيرة من الوقت للراحة؛ د) يؤدي ترك الحلبة إلى خسارة المباراة")</f>
        <v>أ) لا يجوز للمصارع مغادرة الحلبة أبدًا؛ ب) لا يجوز للمصارع المغادرة إلا أثناء الدفاع؛ ج) يجوز للمصارع المغادرة لفترة قصيرة من الوقت للراحة؛ د) يؤدي ترك الحلبة إلى خسارة المباراة</v>
      </c>
      <c r="J33" s="5" t="str">
        <f>IFERROR(__xludf.DUMMYFUNCTION("GOOGLETRANSLATE(D33, ""en"", ""ar"")"),"د) الخروج من الحلبة يؤدي إلى خسارة المباراة.")</f>
        <v>د) الخروج من الحلبة يؤدي إلى خسارة المباراة.</v>
      </c>
      <c r="K33" s="5" t="str">
        <f>IFERROR(__xludf.DUMMYFUNCTION("GOOGLETRANSLATE(E33, ""en"", ""ar"")"),"يعتبر المصارع الذي يترك الحلبة خاسرًا في المصارعة النوبية.")</f>
        <v>يعتبر المصارع الذي يترك الحلبة خاسرًا في المصارعة النوبية.</v>
      </c>
    </row>
    <row r="34">
      <c r="A34" s="3">
        <v>33.0</v>
      </c>
      <c r="B34" s="4" t="s">
        <v>1454</v>
      </c>
      <c r="C34" s="4" t="s">
        <v>1455</v>
      </c>
      <c r="D34" s="4" t="s">
        <v>736</v>
      </c>
      <c r="E34" s="4" t="s">
        <v>737</v>
      </c>
      <c r="G34" s="5" t="str">
        <f>IFERROR(__xludf.DUMMYFUNCTION("GOOGLETRANSLATE(A34, ""en"", ""ar"")"),"33")</f>
        <v>33</v>
      </c>
      <c r="H34" s="5" t="str">
        <f>IFERROR(__xludf.DUMMYFUNCTION("GOOGLETRANSLATE(B34, ""en"", ""ar"")"),"هل يجوز للمصارع في المباراة النوبية أن يعتمد فقط على قوته البدنية للفوز؟")</f>
        <v>هل يجوز للمصارع في المباراة النوبية أن يعتمد فقط على قوته البدنية للفوز؟</v>
      </c>
      <c r="I34" s="5" t="str">
        <f>IFERROR(__xludf.DUMMYFUNCTION("GOOGLETRANSLATE(C34, ""en"", ""ar"")"),"أ) نعم، القوة البدنية هي العامل الوحيد المطلوب للفوز؛ ب) لا، يجب استخدام التكتيكات جنبًا إلى جنب مع القوة البدنية؛ ج) نعم، ولكن يجب أن يكون المصارع خبيرًا تكتيكيًا أيضًا؛ د) القوة البدنية ليست مهمة")</f>
        <v>أ) نعم، القوة البدنية هي العامل الوحيد المطلوب للفوز؛ ب) لا، يجب استخدام التكتيكات جنبًا إلى جنب مع القوة البدنية؛ ج) نعم، ولكن يجب أن يكون المصارع خبيرًا تكتيكيًا أيضًا؛ د) القوة البدنية ليست مهمة</v>
      </c>
      <c r="J34" s="5" t="str">
        <f>IFERROR(__xludf.DUMMYFUNCTION("GOOGLETRANSLATE(D34, ""en"", ""ar"")"),"ب) لا، بل يجب استخدام هذا التكتيك بالقوة البدنية.")</f>
        <v>ب) لا، بل يجب استخدام هذا التكتيك بالقوة البدنية.</v>
      </c>
      <c r="K34" s="5" t="str">
        <f>IFERROR(__xludf.DUMMYFUNCTION("GOOGLETRANSLATE(E34, ""en"", ""ar"")"),"في المصارعة النوبية، لا يكفي الاعتماد على القوة البدنية فقط، بل يجب دمجها مع التكتيكات.")</f>
        <v>في المصارعة النوبية، لا يكفي الاعتماد على القوة البدنية فقط، بل يجب دمجها مع التكتيكات.</v>
      </c>
    </row>
    <row r="35">
      <c r="A35" s="3">
        <v>34.0</v>
      </c>
      <c r="B35" s="4" t="s">
        <v>1456</v>
      </c>
      <c r="C35" s="4" t="s">
        <v>1457</v>
      </c>
      <c r="D35" s="4" t="s">
        <v>740</v>
      </c>
      <c r="E35" s="4" t="s">
        <v>741</v>
      </c>
      <c r="G35" s="5" t="str">
        <f>IFERROR(__xludf.DUMMYFUNCTION("GOOGLETRANSLATE(A35, ""en"", ""ar"")"),"34")</f>
        <v>34</v>
      </c>
      <c r="H35" s="5" t="str">
        <f>IFERROR(__xludf.DUMMYFUNCTION("GOOGLETRANSLATE(B35, ""en"", ""ar"")"),"هل تختلف قواعد المصارعة النوبية بشكل كبير بين البطولات المحلية والدولية؟")</f>
        <v>هل تختلف قواعد المصارعة النوبية بشكل كبير بين البطولات المحلية والدولية؟</v>
      </c>
      <c r="I35" s="5" t="str">
        <f>IFERROR(__xludf.DUMMYFUNCTION("GOOGLETRANSLATE(C35, ""en"", ""ar"")"),"أ) نعم، هناك اختلافات كبيرة في القواعد؛ ب) لا، القواعد هي نفسها في جميع البطولات؛ ج) نعم، تختلف القواعد المحلية قليلاً عن قواعد العالم؛ د) فقط قواعد العالم هي الصالحة")</f>
        <v>أ) نعم، هناك اختلافات كبيرة في القواعد؛ ب) لا، القواعد هي نفسها في جميع البطولات؛ ج) نعم، تختلف القواعد المحلية قليلاً عن قواعد العالم؛ د) فقط قواعد العالم هي الصالحة</v>
      </c>
      <c r="J35" s="5" t="str">
        <f>IFERROR(__xludf.DUMMYFUNCTION("GOOGLETRANSLATE(D35, ""en"", ""ar"")"),"ب) لا، القواعد هي نفسها في جميع البطولات.")</f>
        <v>ب) لا، القواعد هي نفسها في جميع البطولات.</v>
      </c>
      <c r="K35" s="5" t="str">
        <f>IFERROR(__xludf.DUMMYFUNCTION("GOOGLETRANSLATE(E35, ""en"", ""ar"")"),"لا تختلف قواعد المصارعة النوبية بين البطولات المحلية والدولية.")</f>
        <v>لا تختلف قواعد المصارعة النوبية بين البطولات المحلية والدولية.</v>
      </c>
    </row>
    <row r="36">
      <c r="A36" s="3">
        <v>35.0</v>
      </c>
      <c r="B36" s="4" t="s">
        <v>1458</v>
      </c>
      <c r="C36" s="4" t="s">
        <v>1459</v>
      </c>
      <c r="D36" s="4" t="s">
        <v>744</v>
      </c>
      <c r="E36" s="4" t="s">
        <v>745</v>
      </c>
      <c r="G36" s="5" t="str">
        <f>IFERROR(__xludf.DUMMYFUNCTION("GOOGLETRANSLATE(A36, ""en"", ""ar"")"),"35")</f>
        <v>35</v>
      </c>
      <c r="H36" s="5" t="str">
        <f>IFERROR(__xludf.DUMMYFUNCTION("GOOGLETRANSLATE(B36, ""en"", ""ar"")"),"هل يجوز للمصارع في مباراة نوبية استخدام تكتيك دفاعي تماما طوال المباراة؟")</f>
        <v>هل يجوز للمصارع في مباراة نوبية استخدام تكتيك دفاعي تماما طوال المباراة؟</v>
      </c>
      <c r="I36" s="5" t="str">
        <f>IFERROR(__xludf.DUMMYFUNCTION("GOOGLETRANSLATE(C36, ""en"", ""ar"")"),"أ) نعم، يُسمح بالدفاع طوال المباراة؛ ب) لا، يجب أن يكون الدفاع متوازنًا مع الهجوم؛ ج) يُسمح بالدفاع فقط في الجولات النهائية؛ د) الدفاع محظور في المصارعة النوبية")</f>
        <v>أ) نعم، يُسمح بالدفاع طوال المباراة؛ ب) لا، يجب أن يكون الدفاع متوازنًا مع الهجوم؛ ج) يُسمح بالدفاع فقط في الجولات النهائية؛ د) الدفاع محظور في المصارعة النوبية</v>
      </c>
      <c r="J36" s="5" t="str">
        <f>IFERROR(__xludf.DUMMYFUNCTION("GOOGLETRANSLATE(D36, ""en"", ""ar"")"),"ب) لا، يجب أن يكون الدفاع متوازنا مع الهجوم.")</f>
        <v>ب) لا، يجب أن يكون الدفاع متوازنا مع الهجوم.</v>
      </c>
      <c r="K36" s="5" t="str">
        <f>IFERROR(__xludf.DUMMYFUNCTION("GOOGLETRANSLATE(E36, ""en"", ""ar"")"),"في المصارعة النوبية، يجب على المصارع الموازنة بين الدفاع والهجوم لتحقيق النجاح.")</f>
        <v>في المصارعة النوبية، يجب على المصارع الموازنة بين الدفاع والهجوم لتحقيق النجاح.</v>
      </c>
    </row>
    <row r="37">
      <c r="A37" s="3">
        <v>36.0</v>
      </c>
      <c r="B37" s="4" t="s">
        <v>1460</v>
      </c>
      <c r="C37" s="4" t="s">
        <v>1461</v>
      </c>
      <c r="D37" s="4" t="s">
        <v>748</v>
      </c>
      <c r="E37" s="4" t="s">
        <v>749</v>
      </c>
      <c r="G37" s="5" t="str">
        <f>IFERROR(__xludf.DUMMYFUNCTION("GOOGLETRANSLATE(A37, ""en"", ""ar"")"),"36")</f>
        <v>36</v>
      </c>
      <c r="H37" s="5" t="str">
        <f>IFERROR(__xludf.DUMMYFUNCTION("GOOGLETRANSLATE(B37, ""en"", ""ar"")"),"هل يجوز للمصارع في المباراة النوبية استخدام تقنيات محظورة عندما يكون تحت ضغط كبير؟")</f>
        <v>هل يجوز للمصارع في المباراة النوبية استخدام تقنيات محظورة عندما يكون تحت ضغط كبير؟</v>
      </c>
      <c r="I37" s="5" t="str">
        <f>IFERROR(__xludf.DUMMYFUNCTION("GOOGLETRANSLATE(C37, ""en"", ""ar"")"),"أ) نعم، في مواقف الضغط يجوز استخدام أي تقنيات؛ ب) لا، يجب اتباع القواعد حتى في مواقف الضغط؛ ج) يجوز للمصارع استخدام تقنيات محظورة إذا طلب الحكم ذلك؛ د) لا يُسمح بالتقنيات المحظورة إلا في الجولات النهائية")</f>
        <v>أ) نعم، في مواقف الضغط يجوز استخدام أي تقنيات؛ ب) لا، يجب اتباع القواعد حتى في مواقف الضغط؛ ج) يجوز للمصارع استخدام تقنيات محظورة إذا طلب الحكم ذلك؛ د) لا يُسمح بالتقنيات المحظورة إلا في الجولات النهائية</v>
      </c>
      <c r="J37" s="5" t="str">
        <f>IFERROR(__xludf.DUMMYFUNCTION("GOOGLETRANSLATE(D37, ""en"", ""ar"")"),"ب) لا، بل يجب الالتزام بالقوانين حتى في حالات الضغط.")</f>
        <v>ب) لا، بل يجب الالتزام بالقوانين حتى في حالات الضغط.</v>
      </c>
      <c r="K37" s="5" t="str">
        <f>IFERROR(__xludf.DUMMYFUNCTION("GOOGLETRANSLATE(E37, ""en"", ""ar"")"),"يجب على المصارع أن يلتزم بالقواعد ويتجنب التقنيات المحظورة حتى تحت الضغط.")</f>
        <v>يجب على المصارع أن يلتزم بالقواعد ويتجنب التقنيات المحظورة حتى تحت الضغط.</v>
      </c>
    </row>
    <row r="38">
      <c r="A38" s="3">
        <v>37.0</v>
      </c>
      <c r="B38" s="4" t="s">
        <v>1462</v>
      </c>
      <c r="C38" s="4" t="s">
        <v>1463</v>
      </c>
      <c r="D38" s="4" t="s">
        <v>752</v>
      </c>
      <c r="E38" s="4" t="s">
        <v>753</v>
      </c>
      <c r="G38" s="5" t="str">
        <f>IFERROR(__xludf.DUMMYFUNCTION("GOOGLETRANSLATE(A38, ""en"", ""ar"")"),"37")</f>
        <v>37</v>
      </c>
      <c r="H38" s="5" t="str">
        <f>IFERROR(__xludf.DUMMYFUNCTION("GOOGLETRANSLATE(B38, ""en"", ""ar"")"),"هل يستطيع المصارع في مباراة نوبية تغيير وضعه الجسدي والتحرك بحرية أثناء المنافسة؟")</f>
        <v>هل يستطيع المصارع في مباراة نوبية تغيير وضعه الجسدي والتحرك بحرية أثناء المنافسة؟</v>
      </c>
      <c r="I38" s="5" t="str">
        <f>IFERROR(__xludf.DUMMYFUNCTION("GOOGLETRANSLATE(C38, ""en"", ""ar"")"),"أ) نعم، يُسمح له بالتحرك بحرية؛ ب) لا، يجب عليه البقاء في المكان المخصص له؛ ج) يُسمح له بالتغيير فقط بعد فترة الراحة؛ د) يُسمح له بالحركة ولكن ضمن حدود معينة")</f>
        <v>أ) نعم، يُسمح له بالتحرك بحرية؛ ب) لا، يجب عليه البقاء في المكان المخصص له؛ ج) يُسمح له بالتغيير فقط بعد فترة الراحة؛ د) يُسمح له بالحركة ولكن ضمن حدود معينة</v>
      </c>
      <c r="J38" s="5" t="str">
        <f>IFERROR(__xludf.DUMMYFUNCTION("GOOGLETRANSLATE(D38, ""en"", ""ar"")"),"أ) نعم يجوز له التحرك بحرية.")</f>
        <v>أ) نعم يجوز له التحرك بحرية.</v>
      </c>
      <c r="K38" s="5" t="str">
        <f>IFERROR(__xludf.DUMMYFUNCTION("GOOGLETRANSLATE(E38, ""en"", ""ar"")"),"يُسمح للمصارع بالتحرك بحرية داخل الحلبة أثناء المباراة.")</f>
        <v>يُسمح للمصارع بالتحرك بحرية داخل الحلبة أثناء المباراة.</v>
      </c>
    </row>
    <row r="39">
      <c r="A39" s="3">
        <v>38.0</v>
      </c>
      <c r="B39" s="4" t="s">
        <v>1464</v>
      </c>
      <c r="C39" s="4" t="s">
        <v>1465</v>
      </c>
      <c r="D39" s="4" t="s">
        <v>756</v>
      </c>
      <c r="E39" s="4" t="s">
        <v>757</v>
      </c>
      <c r="G39" s="5" t="str">
        <f>IFERROR(__xludf.DUMMYFUNCTION("GOOGLETRANSLATE(A39, ""en"", ""ar"")"),"38")</f>
        <v>38</v>
      </c>
      <c r="H39" s="5" t="str">
        <f>IFERROR(__xludf.DUMMYFUNCTION("GOOGLETRANSLATE(B39, ""en"", ""ar"")"),"هل يجوز للمصارعين في مباراة النوبية استخدام أي أسلحة غير العصي؟")</f>
        <v>هل يجوز للمصارعين في مباراة النوبية استخدام أي أسلحة غير العصي؟</v>
      </c>
      <c r="I39" s="5" t="str">
        <f>IFERROR(__xludf.DUMMYFUNCTION("GOOGLETRANSLATE(C39, ""en"", ""ar"")"),"أ) نعم، يُسمح باستخدام أسلحة أخرى في المصارعة النوبية؛ ب) لا، العصي هي الأداة الوحيدة المسموح بها؛ ج) لا يُسمح باستخدام الأسلحة إلا في المباريات الخاصة؛ د) يُسمح باستخدام الأسلحة في المباريات الرسمية فقط")</f>
        <v>أ) نعم، يُسمح باستخدام أسلحة أخرى في المصارعة النوبية؛ ب) لا، العصي هي الأداة الوحيدة المسموح بها؛ ج) لا يُسمح باستخدام الأسلحة إلا في المباريات الخاصة؛ د) يُسمح باستخدام الأسلحة في المباريات الرسمية فقط</v>
      </c>
      <c r="J39" s="5" t="str">
        <f>IFERROR(__xludf.DUMMYFUNCTION("GOOGLETRANSLATE(D39, ""en"", ""ar"")"),"ب) لا، العصي هي الأداة الوحيدة المسموح بها.")</f>
        <v>ب) لا، العصي هي الأداة الوحيدة المسموح بها.</v>
      </c>
      <c r="K39" s="5" t="str">
        <f>IFERROR(__xludf.DUMMYFUNCTION("GOOGLETRANSLATE(E39, ""en"", ""ar"")"),"تعتمد المصارعة النوبية على العصي فقط كأداة قتالية أساسية.")</f>
        <v>تعتمد المصارعة النوبية على العصي فقط كأداة قتالية أساسية.</v>
      </c>
    </row>
    <row r="40">
      <c r="A40" s="3">
        <v>39.0</v>
      </c>
      <c r="B40" s="4" t="s">
        <v>1466</v>
      </c>
      <c r="C40" s="4" t="s">
        <v>1467</v>
      </c>
      <c r="D40" s="4" t="s">
        <v>760</v>
      </c>
      <c r="E40" s="4" t="s">
        <v>761</v>
      </c>
      <c r="G40" s="5" t="str">
        <f>IFERROR(__xludf.DUMMYFUNCTION("GOOGLETRANSLATE(A40, ""en"", ""ar"")"),"39")</f>
        <v>39</v>
      </c>
      <c r="H40" s="5" t="str">
        <f>IFERROR(__xludf.DUMMYFUNCTION("GOOGLETRANSLATE(B40, ""en"", ""ar"")"),"هل يستطيع المصارع في المباراة النوبية أن يستمر في القتال إذا كان مصابًا؟")</f>
        <v>هل يستطيع المصارع في المباراة النوبية أن يستمر في القتال إذا كان مصابًا؟</v>
      </c>
      <c r="I40" s="5" t="str">
        <f>IFERROR(__xludf.DUMMYFUNCTION("GOOGLETRANSLATE(C40, ""en"", ""ar"")"),"أ) نعم، يمكنه الاستمرار طالما كان قادرًا على القتال؛ ب) لا، يجب عليه التوقف فورًا إذا شعر بألم؛ ج) يمكنه الاستمرار إذا لم تكن الإصابة خطيرة؛ د) يجب عليه طلب إذن الحكم بالاستمرار")</f>
        <v>أ) نعم، يمكنه الاستمرار طالما كان قادرًا على القتال؛ ب) لا، يجب عليه التوقف فورًا إذا شعر بألم؛ ج) يمكنه الاستمرار إذا لم تكن الإصابة خطيرة؛ د) يجب عليه طلب إذن الحكم بالاستمرار</v>
      </c>
      <c r="J40" s="5" t="str">
        <f>IFERROR(__xludf.DUMMYFUNCTION("GOOGLETRANSLATE(D40, ""en"", ""ar"")"),"ب) لا، بل يجب عليه التوقف فورًا إذا شعر بألم.")</f>
        <v>ب) لا، بل يجب عليه التوقف فورًا إذا شعر بألم.</v>
      </c>
      <c r="K40" s="5" t="str">
        <f>IFERROR(__xludf.DUMMYFUNCTION("GOOGLETRANSLATE(E40, ""en"", ""ar"")"),"إذا شعر المصارع بألم أو إصابة، يجب عليه التوقف عن القتال من أجل سلامته.")</f>
        <v>إذا شعر المصارع بألم أو إصابة، يجب عليه التوقف عن القتال من أجل سلامته.</v>
      </c>
    </row>
    <row r="41">
      <c r="A41" s="3">
        <v>40.0</v>
      </c>
      <c r="B41" s="4" t="s">
        <v>1468</v>
      </c>
      <c r="C41" s="4" t="s">
        <v>1469</v>
      </c>
      <c r="D41" s="4" t="s">
        <v>764</v>
      </c>
      <c r="E41" s="4" t="s">
        <v>765</v>
      </c>
      <c r="G41" s="5" t="str">
        <f>IFERROR(__xludf.DUMMYFUNCTION("GOOGLETRANSLATE(A41, ""en"", ""ar"")"),"40")</f>
        <v>40</v>
      </c>
      <c r="H41" s="5" t="str">
        <f>IFERROR(__xludf.DUMMYFUNCTION("GOOGLETRANSLATE(B41, ""en"", ""ar"")"),"هل يجوز للمصارع استخدام تقنيات الرفع في المصارعة النوبية؟")</f>
        <v>هل يجوز للمصارع استخدام تقنيات الرفع في المصارعة النوبية؟</v>
      </c>
      <c r="I41" s="5" t="str">
        <f>IFERROR(__xludf.DUMMYFUNCTION("GOOGLETRANSLATE(C41, ""en"", ""ar"")"),"أ) نعم، تقنيات الرفع مسموح بها وتعتبر أساسية؛ ب) لا، الرفع محظور في المصارعة النوبية؛ ج) الرفع مسموح به في الجولات النهائية فقط؛ د) الرفع مسموح به فقط ضد خصم أكبر حجمًا")</f>
        <v>أ) نعم، تقنيات الرفع مسموح بها وتعتبر أساسية؛ ب) لا، الرفع محظور في المصارعة النوبية؛ ج) الرفع مسموح به في الجولات النهائية فقط؛ د) الرفع مسموح به فقط ضد خصم أكبر حجمًا</v>
      </c>
      <c r="J41" s="5" t="str">
        <f>IFERROR(__xludf.DUMMYFUNCTION("GOOGLETRANSLATE(D41, ""en"", ""ar"")"),"أ) نعم، يُسمح بتقنيات الرفع وتعتبر أساسية.")</f>
        <v>أ) نعم، يُسمح بتقنيات الرفع وتعتبر أساسية.</v>
      </c>
      <c r="K41" s="5" t="str">
        <f>IFERROR(__xludf.DUMMYFUNCTION("GOOGLETRANSLATE(E41, ""en"", ""ar"")"),"تشكل تقنيات الرفع جزءًا من استراتيجيات المصارعة النوبية وتعتبر مهارات أساسية.")</f>
        <v>تشكل تقنيات الرفع جزءًا من استراتيجيات المصارعة النوبية وتعتبر مهارات أساسية.</v>
      </c>
    </row>
    <row r="42">
      <c r="A42" s="3">
        <v>41.0</v>
      </c>
      <c r="B42" s="4" t="s">
        <v>1470</v>
      </c>
      <c r="C42" s="4" t="s">
        <v>1471</v>
      </c>
      <c r="D42" s="4" t="s">
        <v>768</v>
      </c>
      <c r="E42" s="4" t="s">
        <v>769</v>
      </c>
      <c r="G42" s="5" t="str">
        <f>IFERROR(__xludf.DUMMYFUNCTION("GOOGLETRANSLATE(A42, ""en"", ""ar"")"),"41")</f>
        <v>41</v>
      </c>
      <c r="H42" s="5" t="str">
        <f>IFERROR(__xludf.DUMMYFUNCTION("GOOGLETRANSLATE(B42, ""en"", ""ar"")"),"هل يجوز للمصارع في المباراة النوبية استخدام أي حركات قتالية أرضية؟")</f>
        <v>هل يجوز للمصارع في المباراة النوبية استخدام أي حركات قتالية أرضية؟</v>
      </c>
      <c r="I42" s="5" t="str">
        <f>IFERROR(__xludf.DUMMYFUNCTION("GOOGLETRANSLATE(C42, ""en"", ""ar"")"),"أ) نعم، الحركات الأرضية مسموح بها في المصارعة النوبية؛ ب) لا، الحركات الأرضية ممنوعة؛ ج) الحركات الأرضية مسموح بها فقط في الجولات النهائية؛ د) الحركات الأرضية مسموح بها فقط في الدفاع")</f>
        <v>أ) نعم، الحركات الأرضية مسموح بها في المصارعة النوبية؛ ب) لا، الحركات الأرضية ممنوعة؛ ج) الحركات الأرضية مسموح بها فقط في الجولات النهائية؛ د) الحركات الأرضية مسموح بها فقط في الدفاع</v>
      </c>
      <c r="J42" s="5" t="str">
        <f>IFERROR(__xludf.DUMMYFUNCTION("GOOGLETRANSLATE(D42, ""en"", ""ar"")"),"أ) نعم، الحركات الأرضية مسموح بها في المصارعة النوبية.")</f>
        <v>أ) نعم، الحركات الأرضية مسموح بها في المصارعة النوبية.</v>
      </c>
      <c r="K42" s="5" t="str">
        <f>IFERROR(__xludf.DUMMYFUNCTION("GOOGLETRANSLATE(E42, ""en"", ""ar"")"),"تعتبر الحركات الأرضية جزءًا من استراتيجيات المصارعة النوبية ويمكن استخدامها بشكل قانوني.")</f>
        <v>تعتبر الحركات الأرضية جزءًا من استراتيجيات المصارعة النوبية ويمكن استخدامها بشكل قانوني.</v>
      </c>
    </row>
    <row r="43">
      <c r="A43" s="3">
        <v>42.0</v>
      </c>
      <c r="B43" s="4" t="s">
        <v>770</v>
      </c>
      <c r="C43" s="4" t="s">
        <v>1472</v>
      </c>
      <c r="D43" s="4" t="s">
        <v>772</v>
      </c>
      <c r="E43" s="4" t="s">
        <v>773</v>
      </c>
      <c r="G43" s="5" t="str">
        <f>IFERROR(__xludf.DUMMYFUNCTION("GOOGLETRANSLATE(A43, ""en"", ""ar"")"),"42")</f>
        <v>42</v>
      </c>
      <c r="H43" s="5" t="str">
        <f>IFERROR(__xludf.DUMMYFUNCTION("GOOGLETRANSLATE(B43, ""en"", ""ar"")"),"ما هي القاعدة الخاصة بتوقيت الجولات في مباراة المصارعة النوبية؟")</f>
        <v>ما هي القاعدة الخاصة بتوقيت الجولات في مباراة المصارعة النوبية؟</v>
      </c>
      <c r="I43" s="5" t="str">
        <f>IFERROR(__xludf.DUMMYFUNCTION("GOOGLETRANSLATE(C43, ""en"", ""ar"")"),"أ) لا يوجد وقت محدد للجولة؛ ب) يجب أن تستمر كل جولة لمدة دقيقة واحدة؛ ج) تستمر الجولات لمدة ثلاث دقائق؛ د) يجب أن تكون الجولات قصيرة جدًا")</f>
        <v>أ) لا يوجد وقت محدد للجولة؛ ب) يجب أن تستمر كل جولة لمدة دقيقة واحدة؛ ج) تستمر الجولات لمدة ثلاث دقائق؛ د) يجب أن تكون الجولات قصيرة جدًا</v>
      </c>
      <c r="J43" s="5" t="str">
        <f>IFERROR(__xludf.DUMMYFUNCTION("GOOGLETRANSLATE(D43, ""en"", ""ar"")"),"أ) لا يوجد وقت محدد للجولة.")</f>
        <v>أ) لا يوجد وقت محدد للجولة.</v>
      </c>
      <c r="K43" s="5" t="str">
        <f>IFERROR(__xludf.DUMMYFUNCTION("GOOGLETRANSLATE(E43, ""en"", ""ar"")"),"لا يتم تحديد وقت محدد لكل جولة في المصارعة النوبية، بل يعتمد ذلك على تقدم المباراة.")</f>
        <v>لا يتم تحديد وقت محدد لكل جولة في المصارعة النوبية، بل يعتمد ذلك على تقدم المباراة.</v>
      </c>
    </row>
    <row r="44">
      <c r="A44" s="3">
        <v>43.0</v>
      </c>
      <c r="B44" s="4" t="s">
        <v>1473</v>
      </c>
      <c r="C44" s="4" t="s">
        <v>1474</v>
      </c>
      <c r="D44" s="4" t="s">
        <v>776</v>
      </c>
      <c r="E44" s="4" t="s">
        <v>777</v>
      </c>
      <c r="G44" s="5" t="str">
        <f>IFERROR(__xludf.DUMMYFUNCTION("GOOGLETRANSLATE(A44, ""en"", ""ar"")"),"43")</f>
        <v>43</v>
      </c>
      <c r="H44" s="5" t="str">
        <f>IFERROR(__xludf.DUMMYFUNCTION("GOOGLETRANSLATE(B44, ""en"", ""ar"")"),"هل يجوز للمصارع في مباراة نوبية استخدام تقنيات الضرب القوية مباشرة على رأس خصمه؟")</f>
        <v>هل يجوز للمصارع في مباراة نوبية استخدام تقنيات الضرب القوية مباشرة على رأس خصمه؟</v>
      </c>
      <c r="I44" s="5" t="str">
        <f>IFERROR(__xludf.DUMMYFUNCTION("GOOGLETRANSLATE(C44, ""en"", ""ar"")"),"أ) نعم، يُسمح دائمًا بالنطح بالرأس؛ ب) لا، يجب تجنب النطح المباشر بالرأس؛ ج) يُسمح بالنطح بالرأس فقط في حالة الدفاع؛ د) يُسمح بالنطح بالرأس فقط في حالات خاصة")</f>
        <v>أ) نعم، يُسمح دائمًا بالنطح بالرأس؛ ب) لا، يجب تجنب النطح المباشر بالرأس؛ ج) يُسمح بالنطح بالرأس فقط في حالة الدفاع؛ د) يُسمح بالنطح بالرأس فقط في حالات خاصة</v>
      </c>
      <c r="J44" s="5" t="str">
        <f>IFERROR(__xludf.DUMMYFUNCTION("GOOGLETRANSLATE(D44, ""en"", ""ar"")"),"ب) لا، يجب تجنب الضربات المباشرة على الرأس.")</f>
        <v>ب) لا، يجب تجنب الضربات المباشرة على الرأس.</v>
      </c>
      <c r="K44" s="5" t="str">
        <f>IFERROR(__xludf.DUMMYFUNCTION("GOOGLETRANSLATE(E44, ""en"", ""ar"")"),"يُحظر الضرب المباشر بالرأس في المصارعة النوبية من أجل سلامة الخصم.")</f>
        <v>يُحظر الضرب المباشر بالرأس في المصارعة النوبية من أجل سلامة الخصم.</v>
      </c>
    </row>
    <row r="45">
      <c r="A45" s="3">
        <v>44.0</v>
      </c>
      <c r="B45" s="4" t="s">
        <v>1475</v>
      </c>
      <c r="C45" s="4" t="s">
        <v>1476</v>
      </c>
      <c r="D45" s="4" t="s">
        <v>780</v>
      </c>
      <c r="E45" s="4" t="s">
        <v>781</v>
      </c>
      <c r="G45" s="5" t="str">
        <f>IFERROR(__xludf.DUMMYFUNCTION("GOOGLETRANSLATE(A45, ""en"", ""ar"")"),"44")</f>
        <v>44</v>
      </c>
      <c r="H45" s="5" t="str">
        <f>IFERROR(__xludf.DUMMYFUNCTION("GOOGLETRANSLATE(B45, ""en"", ""ar"")"),"هل يجوز للمصارع في مباراة نوبية الهجوم باستخدام يديه فقط؟")</f>
        <v>هل يجوز للمصارع في مباراة نوبية الهجوم باستخدام يديه فقط؟</v>
      </c>
      <c r="I45" s="5" t="str">
        <f>IFERROR(__xludf.DUMMYFUNCTION("GOOGLETRANSLATE(C45, ""en"", ""ar"")"),"أ) نعم، يجب عليك الهجوم باستخدام يديك فقط؛ ب) لا، يُسمح بكلتا اليدين والعصي؛ ج) يُسمح فقط باليدين في المصارعة الأرضية؛ د) يُسمح فقط بالعصي في الهجوم")</f>
        <v>أ) نعم، يجب عليك الهجوم باستخدام يديك فقط؛ ب) لا، يُسمح بكلتا اليدين والعصي؛ ج) يُسمح فقط باليدين في المصارعة الأرضية؛ د) يُسمح فقط بالعصي في الهجوم</v>
      </c>
      <c r="J45" s="5" t="str">
        <f>IFERROR(__xludf.DUMMYFUNCTION("GOOGLETRANSLATE(D45, ""en"", ""ar"")"),"ب) لا، يُسمح باستخدام اليدين والعصي.")</f>
        <v>ب) لا، يُسمح باستخدام اليدين والعصي.</v>
      </c>
      <c r="K45" s="5" t="str">
        <f>IFERROR(__xludf.DUMMYFUNCTION("GOOGLETRANSLATE(E45, ""en"", ""ar"")"),"تتميز المصارعة النوبية بمجموعة متنوعة من الهجمات ويمكن استخدام اليدين والعصي معًا.")</f>
        <v>تتميز المصارعة النوبية بمجموعة متنوعة من الهجمات ويمكن استخدام اليدين والعصي معًا.</v>
      </c>
    </row>
    <row r="46">
      <c r="A46" s="3">
        <v>45.0</v>
      </c>
      <c r="B46" s="4" t="s">
        <v>1477</v>
      </c>
      <c r="C46" s="4" t="s">
        <v>1478</v>
      </c>
      <c r="D46" s="4" t="s">
        <v>784</v>
      </c>
      <c r="E46" s="4" t="s">
        <v>785</v>
      </c>
      <c r="G46" s="5" t="str">
        <f>IFERROR(__xludf.DUMMYFUNCTION("GOOGLETRANSLATE(A46, ""en"", ""ar"")"),"45")</f>
        <v>45</v>
      </c>
      <c r="H46" s="5" t="str">
        <f>IFERROR(__xludf.DUMMYFUNCTION("GOOGLETRANSLATE(B46, ""en"", ""ar"")"),"هل يجوز للمصارع في مباراة نوبية تعديل استراتيجيته بعد كل جولة من المنافسة؟")</f>
        <v>هل يجوز للمصارع في مباراة نوبية تعديل استراتيجيته بعد كل جولة من المنافسة؟</v>
      </c>
      <c r="I46" s="5" t="str">
        <f>IFERROR(__xludf.DUMMYFUNCTION("GOOGLETRANSLATE(C46, ""en"", ""ar"")"),"أ) نعم، يمكنه تغيير استراتيجيته بعد كل جولة؛ ب) لا، يجب عليه الالتزام بنفس الاستراتيجية طوال المباراة؛ ج) يُسمح بالتعديل بعد الجولة الأولى فقط؛ د) يُسمح فقط بتعديل التكتيك الدفاعي")</f>
        <v>أ) نعم، يمكنه تغيير استراتيجيته بعد كل جولة؛ ب) لا، يجب عليه الالتزام بنفس الاستراتيجية طوال المباراة؛ ج) يُسمح بالتعديل بعد الجولة الأولى فقط؛ د) يُسمح فقط بتعديل التكتيك الدفاعي</v>
      </c>
      <c r="J46" s="5" t="str">
        <f>IFERROR(__xludf.DUMMYFUNCTION("GOOGLETRANSLATE(D46, ""en"", ""ar"")"),"أ) نعم، يمكنه تغيير استراتيجيته بعد كل جولة.")</f>
        <v>أ) نعم، يمكنه تغيير استراتيجيته بعد كل جولة.</v>
      </c>
      <c r="K46" s="5" t="str">
        <f>IFERROR(__xludf.DUMMYFUNCTION("GOOGLETRANSLATE(E46, ""en"", ""ar"")"),"تشجع المصارعة النوبية على التعديل المستمر للاستراتيجيات لضمان النجاح.")</f>
        <v>تشجع المصارعة النوبية على التعديل المستمر للاستراتيجيات لضمان النجاح.</v>
      </c>
    </row>
    <row r="47">
      <c r="A47" s="3">
        <v>46.0</v>
      </c>
      <c r="B47" s="4" t="s">
        <v>1479</v>
      </c>
      <c r="C47" s="4" t="s">
        <v>1480</v>
      </c>
      <c r="D47" s="4" t="s">
        <v>788</v>
      </c>
      <c r="E47" s="4" t="s">
        <v>789</v>
      </c>
      <c r="G47" s="5" t="str">
        <f>IFERROR(__xludf.DUMMYFUNCTION("GOOGLETRANSLATE(A47, ""en"", ""ar"")"),"46")</f>
        <v>46</v>
      </c>
      <c r="H47" s="5" t="str">
        <f>IFERROR(__xludf.DUMMYFUNCTION("GOOGLETRANSLATE(B47, ""en"", ""ar"")"),"هل يجوز للمصارع في المباراة النوبية التركيز فقط على الهجوم دون وجود أي دفاع؟")</f>
        <v>هل يجوز للمصارع في المباراة النوبية التركيز فقط على الهجوم دون وجود أي دفاع؟</v>
      </c>
      <c r="I47" s="5" t="str">
        <f>IFERROR(__xludf.DUMMYFUNCTION("GOOGLETRANSLATE(C47, ""en"", ""ar"")"),"أ) نعم، الهجوم فقط هو الذي يمكنه الفوز؛ ب) لا، يجب أن يكون هناك توازن بين الهجوم والدفاع؛ ج) يُسمح بالهجوم فقط في الجولات النهائية؛ د) يُسمح بالهجوم فقط في حالة الدفاع الكامل")</f>
        <v>أ) نعم، الهجوم فقط هو الذي يمكنه الفوز؛ ب) لا، يجب أن يكون هناك توازن بين الهجوم والدفاع؛ ج) يُسمح بالهجوم فقط في الجولات النهائية؛ د) يُسمح بالهجوم فقط في حالة الدفاع الكامل</v>
      </c>
      <c r="J47" s="5" t="str">
        <f>IFERROR(__xludf.DUMMYFUNCTION("GOOGLETRANSLATE(D47, ""en"", ""ar"")"),"ب) لا، يجب أن يكون هناك توازن بين الهجوم والدفاع.")</f>
        <v>ب) لا، يجب أن يكون هناك توازن بين الهجوم والدفاع.</v>
      </c>
      <c r="K47" s="5" t="str">
        <f>IFERROR(__xludf.DUMMYFUNCTION("GOOGLETRANSLATE(E47, ""en"", ""ar"")"),"في المصارعة النوبية، يجب أن يكون هناك توازن بين الهجوم والدفاع لتحقيق التفوق.")</f>
        <v>في المصارعة النوبية، يجب أن يكون هناك توازن بين الهجوم والدفاع لتحقيق التفوق.</v>
      </c>
    </row>
    <row r="48">
      <c r="A48" s="3">
        <v>47.0</v>
      </c>
      <c r="B48" s="4" t="s">
        <v>1481</v>
      </c>
      <c r="C48" s="4" t="s">
        <v>1482</v>
      </c>
      <c r="D48" s="4" t="s">
        <v>792</v>
      </c>
      <c r="E48" s="4" t="s">
        <v>1483</v>
      </c>
      <c r="G48" s="5" t="str">
        <f>IFERROR(__xludf.DUMMYFUNCTION("GOOGLETRANSLATE(A48, ""en"", ""ar"")"),"47")</f>
        <v>47</v>
      </c>
      <c r="H48" s="5" t="str">
        <f>IFERROR(__xludf.DUMMYFUNCTION("GOOGLETRANSLATE(B48, ""en"", ""ar"")"),"هل يمكن للمصارع في مباراة النوبة استخدام تكتيك الهجوم الخفي أو المفاجئ أثناء المنافسة؟")</f>
        <v>هل يمكن للمصارع في مباراة النوبة استخدام تكتيك الهجوم الخفي أو المفاجئ أثناء المنافسة؟</v>
      </c>
      <c r="I48" s="5" t="str">
        <f>IFERROR(__xludf.DUMMYFUNCTION("GOOGLETRANSLATE(C48, ""en"", ""ar"")"),"أ) نعم، التسلل هو تكتيك قانوني؛ ب) لا، التسلل ممنوع تمامًا؛ ج) يُسمح بالتسلل في حالة الهجوم المفاجئ؛ د) يُسمح بالتسلل فقط في الجولات النهائية")</f>
        <v>أ) نعم، التسلل هو تكتيك قانوني؛ ب) لا، التسلل ممنوع تمامًا؛ ج) يُسمح بالتسلل في حالة الهجوم المفاجئ؛ د) يُسمح بالتسلل فقط في الجولات النهائية</v>
      </c>
      <c r="J48" s="5" t="str">
        <f>IFERROR(__xludf.DUMMYFUNCTION("GOOGLETRANSLATE(D48, ""en"", ""ar"")"),"ب) لا، التسلل ممنوع تمامًا.")</f>
        <v>ب) لا، التسلل ممنوع تمامًا.</v>
      </c>
      <c r="K48" s="5" t="str">
        <f>IFERROR(__xludf.DUMMYFUNCTION("GOOGLETRANSLATE(E48, ""en"", ""ar"")"),"لا يُسمح بالتسلل في المصارعة النوبية، ويجب أن يكون القتال مباشرًا.")</f>
        <v>لا يُسمح بالتسلل في المصارعة النوبية، ويجب أن يكون القتال مباشرًا.</v>
      </c>
    </row>
    <row r="49">
      <c r="A49" s="3">
        <v>48.0</v>
      </c>
      <c r="B49" s="4" t="s">
        <v>1484</v>
      </c>
      <c r="C49" s="4" t="s">
        <v>1485</v>
      </c>
      <c r="D49" s="4" t="s">
        <v>796</v>
      </c>
      <c r="E49" s="4" t="s">
        <v>797</v>
      </c>
      <c r="G49" s="5" t="str">
        <f>IFERROR(__xludf.DUMMYFUNCTION("GOOGLETRANSLATE(A49, ""en"", ""ar"")"),"48")</f>
        <v>48</v>
      </c>
      <c r="H49" s="5" t="str">
        <f>IFERROR(__xludf.DUMMYFUNCTION("GOOGLETRANSLATE(B49, ""en"", ""ar"")"),"ما هي القاعدة التي تحكم مباريات العودة في المصارعة النوبية إذا لم يتم تحديد الفائز؟")</f>
        <v>ما هي القاعدة التي تحكم مباريات العودة في المصارعة النوبية إذا لم يتم تحديد الفائز؟</v>
      </c>
      <c r="I49" s="5" t="str">
        <f>IFERROR(__xludf.DUMMYFUNCTION("GOOGLETRANSLATE(C49, ""en"", ""ar"")"),"أ) يتم لعب مباراة إعادة تلقائيًا إذا لم يتم تحديد الفائز؛ ب) لا يُسمح بمباراة إعادة في أي حال من الأحوال؛ ج) يُسمح بمباراة إعادة فقط في حالة الإصابات؛ د) يُسمح بمباراة إعادة إذا كان هناك تعادل")</f>
        <v>أ) يتم لعب مباراة إعادة تلقائيًا إذا لم يتم تحديد الفائز؛ ب) لا يُسمح بمباراة إعادة في أي حال من الأحوال؛ ج) يُسمح بمباراة إعادة فقط في حالة الإصابات؛ د) يُسمح بمباراة إعادة إذا كان هناك تعادل</v>
      </c>
      <c r="J49" s="5" t="str">
        <f>IFERROR(__xludf.DUMMYFUNCTION("GOOGLETRANSLATE(D49, ""en"", ""ar"")"),"أ) سيتم إعادة المباراة تلقائيًا إذا لم يتم تحديد الفائز.")</f>
        <v>أ) سيتم إعادة المباراة تلقائيًا إذا لم يتم تحديد الفائز.</v>
      </c>
      <c r="K49" s="5" t="str">
        <f>IFERROR(__xludf.DUMMYFUNCTION("GOOGLETRANSLATE(E49, ""en"", ""ar"")"),"المصارعة النوبية تسمح بإعادة المباراة إذا لم يكن هناك فائز.")</f>
        <v>المصارعة النوبية تسمح بإعادة المباراة إذا لم يكن هناك فائز.</v>
      </c>
    </row>
    <row r="50">
      <c r="A50" s="3">
        <v>49.0</v>
      </c>
      <c r="B50" s="4" t="s">
        <v>1486</v>
      </c>
      <c r="C50" s="4" t="s">
        <v>1487</v>
      </c>
      <c r="D50" s="4" t="s">
        <v>800</v>
      </c>
      <c r="E50" s="4" t="s">
        <v>801</v>
      </c>
      <c r="G50" s="5" t="str">
        <f>IFERROR(__xludf.DUMMYFUNCTION("GOOGLETRANSLATE(A50, ""en"", ""ar"")"),"49")</f>
        <v>49</v>
      </c>
      <c r="H50" s="5" t="str">
        <f>IFERROR(__xludf.DUMMYFUNCTION("GOOGLETRANSLATE(B50, ""en"", ""ar"")"),"هل يتم تحديد الفائز في مباراة المصارعة النوبية بناءً على عدد الضربات أو الحركات فقط؟")</f>
        <v>هل يتم تحديد الفائز في مباراة المصارعة النوبية بناءً على عدد الضربات أو الحركات فقط؟</v>
      </c>
      <c r="I50" s="5" t="str">
        <f>IFERROR(__xludf.DUMMYFUNCTION("GOOGLETRANSLATE(C50, ""en"", ""ar"")"),"أ) نعم، يتم تحديد الفائز من خلال عدد الضربات؛ ب) لا، يتم تحديده من خلال القدرة على التحكم في الخصم؛ ج) يتم تحديد الفائز بناءً على قوة الضربة؛ د) يتم تحديد الفائز بناءً على نوع الحركات المستخدمة")</f>
        <v>أ) نعم، يتم تحديد الفائز من خلال عدد الضربات؛ ب) لا، يتم تحديده من خلال القدرة على التحكم في الخصم؛ ج) يتم تحديد الفائز بناءً على قوة الضربة؛ د) يتم تحديد الفائز بناءً على نوع الحركات المستخدمة</v>
      </c>
      <c r="J50" s="5" t="str">
        <f>IFERROR(__xludf.DUMMYFUNCTION("GOOGLETRANSLATE(D50, ""en"", ""ar"")"),"ب) لا، ذلك يعتمد على القدرة على السيطرة على الخصم.")</f>
        <v>ب) لا، ذلك يعتمد على القدرة على السيطرة على الخصم.</v>
      </c>
      <c r="K50" s="5" t="str">
        <f>IFERROR(__xludf.DUMMYFUNCTION("GOOGLETRANSLATE(E50, ""en"", ""ar"")"),"يتم تحديد الفائز في المصارعة النوبية على أساس القدرة على السيطرة على الخصم.")</f>
        <v>يتم تحديد الفائز في المصارعة النوبية على أساس القدرة على السيطرة على الخصم.</v>
      </c>
    </row>
    <row r="51">
      <c r="A51" s="3">
        <v>50.0</v>
      </c>
      <c r="B51" s="4" t="s">
        <v>1488</v>
      </c>
      <c r="C51" s="4" t="s">
        <v>1489</v>
      </c>
      <c r="D51" s="4" t="s">
        <v>804</v>
      </c>
      <c r="E51" s="4" t="s">
        <v>805</v>
      </c>
      <c r="G51" s="5" t="str">
        <f>IFERROR(__xludf.DUMMYFUNCTION("GOOGLETRANSLATE(A51, ""en"", ""ar"")"),"50")</f>
        <v>50</v>
      </c>
      <c r="H51" s="5" t="str">
        <f>IFERROR(__xludf.DUMMYFUNCTION("GOOGLETRANSLATE(B51, ""en"", ""ar"")"),"هل يجوز للمصارع في المباراة النوبية استخدام حركات مفاجئة وغير متوقعة في أي وقت؟")</f>
        <v>هل يجوز للمصارع في المباراة النوبية استخدام حركات مفاجئة وغير متوقعة في أي وقت؟</v>
      </c>
      <c r="I51" s="5" t="str">
        <f>IFERROR(__xludf.DUMMYFUNCTION("GOOGLETRANSLATE(C51, ""en"", ""ar"")"),"أ) نعم، يُسمح بالحركات المفاجئة في أي وقت؛ ب) لا، يجب أن تكون الحركات مفاجئة فقط في حالة الدفاع؛ ج) يُسمح بالحركات المفاجئة فقط في الجولات النهائية؛ د) الحركات المفاجئة ممنوعة")</f>
        <v>أ) نعم، يُسمح بالحركات المفاجئة في أي وقت؛ ب) لا، يجب أن تكون الحركات مفاجئة فقط في حالة الدفاع؛ ج) يُسمح بالحركات المفاجئة فقط في الجولات النهائية؛ د) الحركات المفاجئة ممنوعة</v>
      </c>
      <c r="J51" s="5" t="str">
        <f>IFERROR(__xludf.DUMMYFUNCTION("GOOGLETRANSLATE(D51, ""en"", ""ar"")"),"أ) نعم، يُسمح بالحركات المفاجئة في أي وقت.")</f>
        <v>أ) نعم، يُسمح بالحركات المفاجئة في أي وقت.</v>
      </c>
      <c r="K51" s="5" t="str">
        <f>IFERROR(__xludf.DUMMYFUNCTION("GOOGLETRANSLATE(E51, ""en"", ""ar"")"),"المصارعة النوبية تسمح باستخدام الحركات المفاجئة في أي وقت للحصول على التفوق.")</f>
        <v>المصارعة النوبية تسمح باستخدام الحركات المفاجئة في أي وقت للحصول على التفوق.</v>
      </c>
    </row>
    <row r="52">
      <c r="A52" s="3">
        <v>51.0</v>
      </c>
      <c r="B52" s="4" t="s">
        <v>806</v>
      </c>
      <c r="C52" s="4" t="s">
        <v>807</v>
      </c>
      <c r="D52" s="4" t="s">
        <v>808</v>
      </c>
      <c r="E52" s="4" t="s">
        <v>809</v>
      </c>
      <c r="G52" s="5" t="str">
        <f>IFERROR(__xludf.DUMMYFUNCTION("GOOGLETRANSLATE(A52, ""en"", ""ar"")"),"51")</f>
        <v>51</v>
      </c>
      <c r="H52" s="5" t="str">
        <f>IFERROR(__xludf.DUMMYFUNCTION("GOOGLETRANSLATE(B52, ""en"", ""ar"")"),"كيف يتم تعريف ""السقوط"" رسميًا لتحديد الفائز في المصارعة النوبية؟")</f>
        <v>كيف يتم تعريف "السقوط" رسميًا لتحديد الفائز في المصارعة النوبية؟</v>
      </c>
      <c r="I52" s="5" t="str">
        <f>IFERROR(__xludf.DUMMYFUNCTION("GOOGLETRANSLATE(C52, ""en"", ""ar"")"),"أ) عندما تلمس ركبة المصارع الأرض؛ ب) عندما يلمس ظهر المصارع الأرض؛ ج) عندما يُطرد المصارع من الحلبة؛ د) عندما يستسلم المصارع لفظيًا")</f>
        <v>أ) عندما تلمس ركبة المصارع الأرض؛ ب) عندما يلمس ظهر المصارع الأرض؛ ج) عندما يُطرد المصارع من الحلبة؛ د) عندما يستسلم المصارع لفظيًا</v>
      </c>
      <c r="J52" s="5" t="str">
        <f>IFERROR(__xludf.DUMMYFUNCTION("GOOGLETRANSLATE(D52, ""en"", ""ar"")"),"ب) عندما يلمس ظهر المصارع الأرض")</f>
        <v>ب) عندما يلمس ظهر المصارع الأرض</v>
      </c>
      <c r="K52" s="5" t="str">
        <f>IFERROR(__xludf.DUMMYFUNCTION("GOOGLETRANSLATE(E52, ""en"", ""ar"")"),"يتم تحقيق النصر بالسقوط فقط عندما يجبر المصارع ظهر خصمه على الاتصال بالأرض، مما يدل على السيطرة الكاملة.")</f>
        <v>يتم تحقيق النصر بالسقوط فقط عندما يجبر المصارع ظهر خصمه على الاتصال بالأرض، مما يدل على السيطرة الكاملة.</v>
      </c>
    </row>
    <row r="53">
      <c r="A53" s="3">
        <v>52.0</v>
      </c>
      <c r="B53" s="4" t="s">
        <v>810</v>
      </c>
      <c r="C53" s="4" t="s">
        <v>811</v>
      </c>
      <c r="D53" s="4" t="s">
        <v>812</v>
      </c>
      <c r="E53" s="4" t="s">
        <v>813</v>
      </c>
      <c r="G53" s="5" t="str">
        <f>IFERROR(__xludf.DUMMYFUNCTION("GOOGLETRANSLATE(A53, ""en"", ""ar"")"),"52")</f>
        <v>52</v>
      </c>
      <c r="H53" s="5" t="str">
        <f>IFERROR(__xludf.DUMMYFUNCTION("GOOGLETRANSLATE(B53, ""en"", ""ar"")"),"ما هي العقوبة الرسمية للمصارع الذي يتم ضبطه وهو يمسك عمداً بملابس خصمه؟")</f>
        <v>ما هي العقوبة الرسمية للمصارع الذي يتم ضبطه وهو يمسك عمداً بملابس خصمه؟</v>
      </c>
      <c r="I53" s="5" t="str">
        <f>IFERROR(__xludf.DUMMYFUNCTION("GOOGLETRANSLATE(C53, ""en"", ""ar"")"),"أ) تتوقف المباراة فورًا؛ ب) يتم إصدار تحذير رسمي للمخالفة الأولى؛ ج) يخسر المصارع المباراة؛ د) لا توجد عقوبة على هذا")</f>
        <v>أ) تتوقف المباراة فورًا؛ ب) يتم إصدار تحذير رسمي للمخالفة الأولى؛ ج) يخسر المصارع المباراة؛ د) لا توجد عقوبة على هذا</v>
      </c>
      <c r="J53" s="5" t="str">
        <f>IFERROR(__xludf.DUMMYFUNCTION("GOOGLETRANSLATE(D53, ""en"", ""ar"")"),"ب) يتم إصدار إنذار رسمي للمخالفة الأولى")</f>
        <v>ب) يتم إصدار إنذار رسمي للمخالفة الأولى</v>
      </c>
      <c r="K53" s="5" t="str">
        <f>IFERROR(__xludf.DUMMYFUNCTION("GOOGLETRANSLATE(E53, ""en"", ""ar"")"),"انتزاع الملابس تكتيك غير قانوني. يُنذر المصارع في المرة الأولى، وفي حال تكرار المخالفة، يُخصم من رصيده أو يُستبعد.")</f>
        <v>انتزاع الملابس تكتيك غير قانوني. يُنذر المصارع في المرة الأولى، وفي حال تكرار المخالفة، يُخصم من رصيده أو يُستبعد.</v>
      </c>
    </row>
    <row r="54">
      <c r="A54" s="3">
        <v>53.0</v>
      </c>
      <c r="B54" s="4" t="s">
        <v>814</v>
      </c>
      <c r="C54" s="4" t="s">
        <v>815</v>
      </c>
      <c r="D54" s="4" t="s">
        <v>816</v>
      </c>
      <c r="E54" s="4" t="s">
        <v>817</v>
      </c>
      <c r="G54" s="5" t="str">
        <f>IFERROR(__xludf.DUMMYFUNCTION("GOOGLETRANSLATE(A54, ""en"", ""ar"")"),"53")</f>
        <v>53</v>
      </c>
      <c r="H54" s="5" t="str">
        <f>IFERROR(__xludf.DUMMYFUNCTION("GOOGLETRANSLATE(B54, ""en"", ""ar"")"),"هل هناك قواعد محددة بشأن مادة وسمك عصا المصارعة؟")</f>
        <v>هل هناك قواعد محددة بشأن مادة وسمك عصا المصارعة؟</v>
      </c>
      <c r="I54" s="5" t="str">
        <f>IFERROR(__xludf.DUMMYFUNCTION("GOOGLETRANSLATE(C54, ""en"", ""ar"")"),"أ) يُسمح بأي عصا خشبية؛ ب) يجب أن تكون مصنوعة من الخيزران المرن؛ ج) هناك قواعد محددة بشأن الطول والمادة؛ د) يجب أن تكون العصي مبطنة")</f>
        <v>أ) يُسمح بأي عصا خشبية؛ ب) يجب أن تكون مصنوعة من الخيزران المرن؛ ج) هناك قواعد محددة بشأن الطول والمادة؛ د) يجب أن تكون العصي مبطنة</v>
      </c>
      <c r="J54" s="5" t="str">
        <f>IFERROR(__xludf.DUMMYFUNCTION("GOOGLETRANSLATE(D54, ""en"", ""ar"")"),"ج) هناك قواعد محددة بشأن الطول والمادة")</f>
        <v>ج) هناك قواعد محددة بشأن الطول والمادة</v>
      </c>
      <c r="K54" s="5" t="str">
        <f>IFERROR(__xludf.DUMMYFUNCTION("GOOGLETRANSLATE(E54, ""en"", ""ar"")"),"ولضمان العدالة والسلامة، يجب أن تتوافق عصا المصارعة مع اللوائح الرسمية فيما يتعلق بطولها وسمكها ونوع الخشب المستخدم.")</f>
        <v>ولضمان العدالة والسلامة، يجب أن تتوافق عصا المصارعة مع اللوائح الرسمية فيما يتعلق بطولها وسمكها ونوع الخشب المستخدم.</v>
      </c>
    </row>
    <row r="55">
      <c r="A55" s="3">
        <v>54.0</v>
      </c>
      <c r="B55" s="4" t="s">
        <v>818</v>
      </c>
      <c r="C55" s="4" t="s">
        <v>819</v>
      </c>
      <c r="D55" s="4" t="s">
        <v>820</v>
      </c>
      <c r="E55" s="4" t="s">
        <v>821</v>
      </c>
      <c r="G55" s="5" t="str">
        <f>IFERROR(__xludf.DUMMYFUNCTION("GOOGLETRANSLATE(A55, ""en"", ""ar"")"),"54")</f>
        <v>54</v>
      </c>
      <c r="H55" s="5" t="str">
        <f>IFERROR(__xludf.DUMMYFUNCTION("GOOGLETRANSLATE(B55, ""en"", ""ar"")"),"إذا سقط المصارعان خارج الحلبة في نفس الوقت أثناء الاشتباك، ما هو قرار الحكم؟")</f>
        <v>إذا سقط المصارعان خارج الحلبة في نفس الوقت أثناء الاشتباك، ما هو قرار الحكم؟</v>
      </c>
      <c r="I55" s="5" t="str">
        <f>IFERROR(__xludf.DUMMYFUNCTION("GOOGLETRANSLATE(C55, ""en"", ""ar"")"),"أ) آخر مصارع يلمس الحلبة يفوز؛ ب) يتم إعلان المباراة بالتعادل؛ ج) يتم استئناف المباراة من المنتصف؛ د) يتم استبعاد كلا المصارعين")</f>
        <v>أ) آخر مصارع يلمس الحلبة يفوز؛ ب) يتم إعلان المباراة بالتعادل؛ ج) يتم استئناف المباراة من المنتصف؛ د) يتم استبعاد كلا المصارعين</v>
      </c>
      <c r="J55" s="5" t="str">
        <f>IFERROR(__xludf.DUMMYFUNCTION("GOOGLETRANSLATE(D55, ""en"", ""ar"")"),"ج) تستأنف المباراة من المركز")</f>
        <v>ج) تستأنف المباراة من المركز</v>
      </c>
      <c r="K55" s="5" t="str">
        <f>IFERROR(__xludf.DUMMYFUNCTION("GOOGLETRANSLATE(E55, ""en"", ""ar"")"),"عندما يؤدي إجراء ما إلى إخراج كلا المتنافسين من الحدود دون فائز واضح، يقوم الحكم بإيقاف الإجراء وإعادة بدء المباراة في وسط الحلبة.")</f>
        <v>عندما يؤدي إجراء ما إلى إخراج كلا المتنافسين من الحدود دون فائز واضح، يقوم الحكم بإيقاف الإجراء وإعادة بدء المباراة في وسط الحلبة.</v>
      </c>
    </row>
    <row r="56">
      <c r="A56" s="3">
        <v>55.0</v>
      </c>
      <c r="B56" s="4" t="s">
        <v>822</v>
      </c>
      <c r="C56" s="4" t="s">
        <v>823</v>
      </c>
      <c r="D56" s="4" t="s">
        <v>824</v>
      </c>
      <c r="E56" s="4" t="s">
        <v>825</v>
      </c>
      <c r="G56" s="5" t="str">
        <f>IFERROR(__xludf.DUMMYFUNCTION("GOOGLETRANSLATE(A56, ""en"", ""ar"")"),"55")</f>
        <v>55</v>
      </c>
      <c r="H56" s="5" t="str">
        <f>IFERROR(__xludf.DUMMYFUNCTION("GOOGLETRANSLATE(B56, ""en"", ""ar"")"),"ما هي القاعدة المتعلقة بالرقصة أو العرض التقليدي قبل المباراة؟")</f>
        <v>ما هي القاعدة المتعلقة بالرقصة أو العرض التقليدي قبل المباراة؟</v>
      </c>
      <c r="I56" s="5" t="str">
        <f>IFERROR(__xludf.DUMMYFUNCTION("GOOGLETRANSLATE(C56, ""en"", ""ar"")"),"أ) إنه اختياري بالنسبة للمصارعين؛ ب) إنه جزء إلزامي من حفل الافتتاح؛ ج) يتم أداؤه فقط في نهائيات البطولة؛ د) يؤديه البطل المدافع فقط")</f>
        <v>أ) إنه اختياري بالنسبة للمصارعين؛ ب) إنه جزء إلزامي من حفل الافتتاح؛ ج) يتم أداؤه فقط في نهائيات البطولة؛ د) يؤديه البطل المدافع فقط</v>
      </c>
      <c r="J56" s="5" t="str">
        <f>IFERROR(__xludf.DUMMYFUNCTION("GOOGLETRANSLATE(D56, ""en"", ""ar"")"),"ب) هو جزء إلزامي من حفل الافتتاح")</f>
        <v>ب) هو جزء إلزامي من حفل الافتتاح</v>
      </c>
      <c r="K56" s="5" t="str">
        <f>IFERROR(__xludf.DUMMYFUNCTION("GOOGLETRANSLATE(E56, ""en"", ""ar"")"),"تشكل الرقصة الطقسية التي تسبق المباراة جزءًا لا يتجزأ من التقاليد الثقافية، وتعمل كعرض للاستعداد والاحترام.")</f>
        <v>تشكل الرقصة الطقسية التي تسبق المباراة جزءًا لا يتجزأ من التقاليد الثقافية، وتعمل كعرض للاستعداد والاحترام.</v>
      </c>
    </row>
    <row r="57">
      <c r="A57" s="3">
        <v>56.0</v>
      </c>
      <c r="B57" s="4" t="s">
        <v>826</v>
      </c>
      <c r="C57" s="4" t="s">
        <v>827</v>
      </c>
      <c r="D57" s="4" t="s">
        <v>828</v>
      </c>
      <c r="E57" s="4" t="s">
        <v>829</v>
      </c>
      <c r="G57" s="5" t="str">
        <f>IFERROR(__xludf.DUMMYFUNCTION("GOOGLETRANSLATE(A57, ""en"", ""ar"")"),"56")</f>
        <v>56</v>
      </c>
      <c r="H57" s="5" t="str">
        <f>IFERROR(__xludf.DUMMYFUNCTION("GOOGLETRANSLATE(B57, ""en"", ""ar"")"),"هل تقنيات الاختناق أو حركات الاستسلام التي تحد من التنفس مسموح بها في المصارعة النوبية؟")</f>
        <v>هل تقنيات الاختناق أو حركات الاستسلام التي تحد من التنفس مسموح بها في المصارعة النوبية؟</v>
      </c>
      <c r="I57" s="5" t="str">
        <f>IFERROR(__xludf.DUMMYFUNCTION("GOOGLETRANSLATE(C57, ""en"", ""ar"")"),"أ) نعم، إنها جزء أساسي من الرياضة؛ ب) لا، جميع حركات الخنق غير قانونية تمامًا؛ ج) فقط إذا تم تطبيقها لمدة أقل من 5 ثوانٍ؛ د) فقط في المسابقات المتقدمة")</f>
        <v>أ) نعم، إنها جزء أساسي من الرياضة؛ ب) لا، جميع حركات الخنق غير قانونية تمامًا؛ ج) فقط إذا تم تطبيقها لمدة أقل من 5 ثوانٍ؛ د) فقط في المسابقات المتقدمة</v>
      </c>
      <c r="J57" s="5" t="str">
        <f>IFERROR(__xludf.DUMMYFUNCTION("GOOGLETRANSLATE(D57, ""en"", ""ar"")"),"ب) لا، كل حركات الخنق غير قانونية تمامًا")</f>
        <v>ب) لا، كل حركات الخنق غير قانونية تمامًا</v>
      </c>
      <c r="K57" s="5" t="str">
        <f>IFERROR(__xludf.DUMMYFUNCTION("GOOGLETRANSLATE(E57, ""en"", ""ar"")"),"من أجل سلامة المنافسين، فإن أي تقنية تحد من قدرة الخصم على التنفس تعتبر خطأً جسيماً.")</f>
        <v>من أجل سلامة المنافسين، فإن أي تقنية تحد من قدرة الخصم على التنفس تعتبر خطأً جسيماً.</v>
      </c>
    </row>
    <row r="58">
      <c r="A58" s="3">
        <v>57.0</v>
      </c>
      <c r="B58" s="4" t="s">
        <v>830</v>
      </c>
      <c r="C58" s="4" t="s">
        <v>831</v>
      </c>
      <c r="D58" s="4" t="s">
        <v>832</v>
      </c>
      <c r="E58" s="4" t="s">
        <v>833</v>
      </c>
      <c r="G58" s="5" t="str">
        <f>IFERROR(__xludf.DUMMYFUNCTION("GOOGLETRANSLATE(A58, ""en"", ""ar"")"),"57")</f>
        <v>57</v>
      </c>
      <c r="H58" s="5" t="str">
        <f>IFERROR(__xludf.DUMMYFUNCTION("GOOGLETRANSLATE(B58, ""en"", ""ar"")"),"إذا كان المصارع ينزف، ما هو الإجراء الإلزامي؟")</f>
        <v>إذا كان المصارع ينزف، ما هو الإجراء الإلزامي؟</v>
      </c>
      <c r="I58" s="5" t="str">
        <f>IFERROR(__xludf.DUMMYFUNCTION("GOOGLETRANSLATE(C58, ""en"", ""ar"")"),"أ)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f>
        <v>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v>
      </c>
      <c r="J58" s="5" t="str">
        <f>IFERROR(__xludf.DUMMYFUNCTION("GOOGLETRANSLATE(D58, ""en"", ""ar"")"),"ب) يتم إيقاف المباراة للحصول على الرعاية الطبية")</f>
        <v>ب) يتم إيقاف المباراة للحصول على الرعاية الطبية</v>
      </c>
      <c r="K58" s="5" t="str">
        <f>IFERROR(__xludf.DUMMYFUNCTION("GOOGLETRANSLATE(E58, ""en"", ""ar"")"),"ويجب على الحكم إيقاف المباراة للسماح للطاقم الطبي بالسيطرة على النزيف وتقييم الإصابة قبل أن يقرر ما إذا كان المصارع يستطيع الاستمرار.")</f>
        <v>ويجب على الحكم إيقاف المباراة للسماح للطاقم الطبي بالسيطرة على النزيف وتقييم الإصابة قبل أن يقرر ما إذا كان المصارع يستطيع الاستمرار.</v>
      </c>
    </row>
    <row r="59">
      <c r="A59" s="3">
        <v>58.0</v>
      </c>
      <c r="B59" s="4" t="s">
        <v>834</v>
      </c>
      <c r="C59" s="4" t="s">
        <v>835</v>
      </c>
      <c r="D59" s="4" t="s">
        <v>836</v>
      </c>
      <c r="E59" s="4" t="s">
        <v>837</v>
      </c>
      <c r="G59" s="5" t="str">
        <f>IFERROR(__xludf.DUMMYFUNCTION("GOOGLETRANSLATE(A59, ""en"", ""ar"")"),"58")</f>
        <v>58</v>
      </c>
      <c r="H59" s="5" t="str">
        <f>IFERROR(__xludf.DUMMYFUNCTION("GOOGLETRANSLATE(B59, ""en"", ""ar"")"),"ما هو الحكم الرسمي في حال كسر عصا المصارع أثناء المباراة؟")</f>
        <v>ما هو الحكم الرسمي في حال كسر عصا المصارع أثناء المباراة؟</v>
      </c>
      <c r="I59" s="5" t="str">
        <f>IFERROR(__xludf.DUMMYFUNCTION("GOOGLETRANSLATE(C59, ""en"", ""ar"")"),"أ) يجب على المصارع الاستمرار بدون عصا؛ ب) يخسر المصارع الجولة تلقائيًا؛ ج) يوقف الحكم المباراة لتوفير بديل؛ د) يمكن للمصارع أن يأخذ عصا خصمه")</f>
        <v>أ) يجب على المصارع الاستمرار بدون عصا؛ ب) يخسر المصارع الجولة تلقائيًا؛ ج) يوقف الحكم المباراة لتوفير بديل؛ د) يمكن للمصارع أن يأخذ عصا خصمه</v>
      </c>
      <c r="J59" s="5" t="str">
        <f>IFERROR(__xludf.DUMMYFUNCTION("GOOGLETRANSLATE(D59, ""en"", ""ar"")"),"ج) يوقف الحكم المباراة لتوفير البديل")</f>
        <v>ج) يوقف الحكم المباراة لتوفير البديل</v>
      </c>
      <c r="K59" s="5" t="str">
        <f>IFERROR(__xludf.DUMMYFUNCTION("GOOGLETRANSLATE(E59, ""en"", ""ar"")"),"تم إيقاف المباراة مؤقتًا للتأكد من أن كلا المتنافسين مجهزان بشكل صحيح، وتم توفير عصا بديلة قياسية.")</f>
        <v>تم إيقاف المباراة مؤقتًا للتأكد من أن كلا المتنافسين مجهزان بشكل صحيح، وتم توفير عصا بديلة قياسية.</v>
      </c>
    </row>
    <row r="60">
      <c r="A60" s="3">
        <v>59.0</v>
      </c>
      <c r="B60" s="4" t="s">
        <v>838</v>
      </c>
      <c r="C60" s="4" t="s">
        <v>839</v>
      </c>
      <c r="D60" s="4" t="s">
        <v>840</v>
      </c>
      <c r="E60" s="4" t="s">
        <v>841</v>
      </c>
      <c r="G60" s="5" t="str">
        <f>IFERROR(__xludf.DUMMYFUNCTION("GOOGLETRANSLATE(A60, ""en"", ""ar"")"),"59")</f>
        <v>59</v>
      </c>
      <c r="H60" s="5" t="str">
        <f>IFERROR(__xludf.DUMMYFUNCTION("GOOGLETRANSLATE(B60, ""en"", ""ar"")"),"هل يجوز للمصارع أن يطبق أقفال المفاصل على أصابع اليدين أو القدمين؟")</f>
        <v>هل يجوز للمصارع أن يطبق أقفال المفاصل على أصابع اليدين أو القدمين؟</v>
      </c>
      <c r="I60" s="5" t="str">
        <f>IFERROR(__xludf.DUMMYFUNCTION("GOOGLETRANSLATE(C60, ""en"", ""ar"")"),"أ) نعم، يُسمح بقفل جميع المفاصل؛ ب) لا، التلاعب بالمفاصل الصغيرة غير قانوني؛ ج) فقط للإبهام؛ د) فقط إذا كان الخصم على الأرض")</f>
        <v>أ) نعم، يُسمح بقفل جميع المفاصل؛ ب) لا، التلاعب بالمفاصل الصغيرة غير قانوني؛ ج) فقط للإبهام؛ د) فقط إذا كان الخصم على الأرض</v>
      </c>
      <c r="J60" s="5" t="str">
        <f>IFERROR(__xludf.DUMMYFUNCTION("GOOGLETRANSLATE(D60, ""en"", ""ar"")"),"ب) لا، التلاعب بالمفاصل الصغيرة غير قانوني")</f>
        <v>ب) لا، التلاعب بالمفاصل الصغيرة غير قانوني</v>
      </c>
      <c r="K60" s="5" t="str">
        <f>IFERROR(__xludf.DUMMYFUNCTION("GOOGLETRANSLATE(E60, ""en"", ""ar"")"),"ولمنع الإصابات الخطيرة والدائمة، فإن الضغط على المفاصل الصغيرة مثل أصابع اليدين والقدمين يعد تقنية محظورة.")</f>
        <v>ولمنع الإصابات الخطيرة والدائمة، فإن الضغط على المفاصل الصغيرة مثل أصابع اليدين والقدمين يعد تقنية محظورة.</v>
      </c>
    </row>
    <row r="61">
      <c r="A61" s="3">
        <v>60.0</v>
      </c>
      <c r="B61" s="4" t="s">
        <v>842</v>
      </c>
      <c r="C61" s="4" t="s">
        <v>843</v>
      </c>
      <c r="D61" s="4" t="s">
        <v>844</v>
      </c>
      <c r="E61" s="4" t="s">
        <v>845</v>
      </c>
      <c r="G61" s="5" t="str">
        <f>IFERROR(__xludf.DUMMYFUNCTION("GOOGLETRANSLATE(A61, ""en"", ""ar"")"),"60")</f>
        <v>60</v>
      </c>
      <c r="H61" s="5" t="str">
        <f>IFERROR(__xludf.DUMMYFUNCTION("GOOGLETRANSLATE(B61, ""en"", ""ar"")"),"ماذا يحدث إذا وجد أن المصارع قد وضع مادة زلقة (مثل الزيت) على جسده قبل المباراة؟")</f>
        <v>ماذا يحدث إذا وجد أن المصارع قد وضع مادة زلقة (مثل الزيت) على جسده قبل المباراة؟</v>
      </c>
      <c r="I61" s="5" t="str">
        <f>IFERROR(__xludf.DUMMYFUNCTION("GOOGLETRANSLATE(C61, ""en"", ""ar"")"),"أ) يتم إصدار تحذير؛ ب) يجب على المصارع غسله؛ ج) يتم استبعاد المصارع على الفور؛ د) يُسمح للخصم بفعل الشيء نفسه")</f>
        <v>أ) يتم إصدار تحذير؛ ب) يجب على المصارع غسله؛ ج) يتم استبعاد المصارع على الفور؛ د) يُسمح للخصم بفعل الشيء نفسه</v>
      </c>
      <c r="J61" s="5" t="str">
        <f>IFERROR(__xludf.DUMMYFUNCTION("GOOGLETRANSLATE(D61, ""en"", ""ar"")"),"ج) يتم استبعاد المصارع فورًا")</f>
        <v>ج) يتم استبعاد المصارع فورًا</v>
      </c>
      <c r="K61" s="5" t="str">
        <f>IFERROR(__xludf.DUMMYFUNCTION("GOOGLETRANSLATE(E61, ""en"", ""ar"")"),"إن استخدام مواد غريبة للحصول على ميزة غير عادلة عن طريق جعل الإمساك بها صعبًا يُعتبر غشًا.")</f>
        <v>إن استخدام مواد غريبة للحصول على ميزة غير عادلة عن طريق جعل الإمساك بها صعبًا يُعتبر غشًا.</v>
      </c>
    </row>
    <row r="62">
      <c r="A62" s="3">
        <v>61.0</v>
      </c>
      <c r="B62" s="4" t="s">
        <v>846</v>
      </c>
      <c r="C62" s="4" t="s">
        <v>847</v>
      </c>
      <c r="D62" s="4" t="s">
        <v>848</v>
      </c>
      <c r="E62" s="4" t="s">
        <v>849</v>
      </c>
      <c r="G62" s="5" t="str">
        <f>IFERROR(__xludf.DUMMYFUNCTION("GOOGLETRANSLATE(A62, ""en"", ""ar"")"),"61")</f>
        <v>61</v>
      </c>
      <c r="H62" s="5" t="str">
        <f>IFERROR(__xludf.DUMMYFUNCTION("GOOGLETRANSLATE(B62, ""en"", ""ar"")"),"ما هو المصطلح الرسمي لمنطقة المصارعة أو الحلبة المخصصة؟")</f>
        <v>ما هو المصطلح الرسمي لمنطقة المصارعة أو الحلبة المخصصة؟</v>
      </c>
      <c r="I62" s="5" t="str">
        <f>IFERROR(__xludf.DUMMYFUNCTION("GOOGLETRANSLATE(C62, ""en"", ""ar"")"),"أ) الدائرة؛ ب) الحصيرة؛ ج) الحلبة؛ د) الساحة")</f>
        <v>أ) الدائرة؛ ب) الحصيرة؛ ج) الحلبة؛ د) الساحة</v>
      </c>
      <c r="J62" s="5" t="str">
        <f>IFERROR(__xludf.DUMMYFUNCTION("GOOGLETRANSLATE(D62, ""en"", ""ar"")"),"ج) الحلبا")</f>
        <v>ج) الحلبا</v>
      </c>
      <c r="K62" s="5" t="str">
        <f>IFERROR(__xludf.DUMMYFUNCTION("GOOGLETRANSLATE(E62, ""en"", ""ar"")"),"في سياق المصارعة السودانية والنوبية، غالبًا ما يُشار إلى الحلبة التقليدية باسم ""الحلبة"".")</f>
        <v>في سياق المصارعة السودانية والنوبية، غالبًا ما يُشار إلى الحلبة التقليدية باسم "الحلبة".</v>
      </c>
    </row>
    <row r="63">
      <c r="A63" s="3">
        <v>62.0</v>
      </c>
      <c r="B63" s="4" t="s">
        <v>850</v>
      </c>
      <c r="C63" s="4" t="s">
        <v>851</v>
      </c>
      <c r="D63" s="4" t="s">
        <v>852</v>
      </c>
      <c r="E63" s="4" t="s">
        <v>853</v>
      </c>
      <c r="G63" s="5" t="str">
        <f>IFERROR(__xludf.DUMMYFUNCTION("GOOGLETRANSLATE(A63, ""en"", ""ar"")"),"62")</f>
        <v>62</v>
      </c>
      <c r="H63" s="5" t="str">
        <f>IFERROR(__xludf.DUMMYFUNCTION("GOOGLETRANSLATE(B63, ""en"", ""ar"")"),"هل يشترط على المصارعين أن يلمسوا أيديهم أو عصيهم قبل بداية كل جولة؟")</f>
        <v>هل يشترط على المصارعين أن يلمسوا أيديهم أو عصيهم قبل بداية كل جولة؟</v>
      </c>
      <c r="I63" s="5" t="str">
        <f>IFERROR(__xludf.DUMMYFUNCTION("GOOGLETRANSLATE(C63, ""en"", ""ar"")"),"أ) لا، ليس مطلوبًا؛ ب) نعم، إنها علامة احترام إلزامية؛ ج) فقط في الجولة الأولى؛ د) فقط إذا طلب الحكم ذلك")</f>
        <v>أ) لا، ليس مطلوبًا؛ ب) نعم، إنها علامة احترام إلزامية؛ ج) فقط في الجولة الأولى؛ د) فقط إذا طلب الحكم ذلك</v>
      </c>
      <c r="J63" s="5" t="str">
        <f>IFERROR(__xludf.DUMMYFUNCTION("GOOGLETRANSLATE(D63, ""en"", ""ar"")"),"ب) نعم، إنها علامة احترام إلزامية.")</f>
        <v>ب) نعم، إنها علامة احترام إلزامية.</v>
      </c>
      <c r="K63" s="5" t="str">
        <f>IFERROR(__xludf.DUMMYFUNCTION("GOOGLETRANSLATE(E63, ""en"", ""ar"")"),"تعتبر اللمسة الطقسية أو التحية مطلوبة قبل المشاركة للدلالة على الروح الرياضية والاحترام المتبادل.")</f>
        <v>تعتبر اللمسة الطقسية أو التحية مطلوبة قبل المشاركة للدلالة على الروح الرياضية والاحترام المتبادل.</v>
      </c>
    </row>
    <row r="64">
      <c r="A64" s="3">
        <v>63.0</v>
      </c>
      <c r="B64" s="4" t="s">
        <v>854</v>
      </c>
      <c r="C64" s="4" t="s">
        <v>855</v>
      </c>
      <c r="D64" s="4" t="s">
        <v>856</v>
      </c>
      <c r="E64" s="4" t="s">
        <v>857</v>
      </c>
      <c r="G64" s="5" t="str">
        <f>IFERROR(__xludf.DUMMYFUNCTION("GOOGLETRANSLATE(A64, ""en"", ""ar"")"),"63")</f>
        <v>63</v>
      </c>
      <c r="H64" s="5" t="str">
        <f>IFERROR(__xludf.DUMMYFUNCTION("GOOGLETRANSLATE(B64, ""en"", ""ar"")"),"إذا فاز المصارع بنقطة ثم سخر من خصمه بطريقة غير محترمة، ما هو الإجراء الذي يمكن للحكم اتخاذه؟")</f>
        <v>إذا فاز المصارع بنقطة ثم سخر من خصمه بطريقة غير محترمة، ما هو الإجراء الذي يمكن للحكم اتخاذه؟</v>
      </c>
      <c r="I64" s="5" t="str">
        <f>IFERROR(__xludf.DUMMYFUNCTION("GOOGLETRANSLATE(C64, ""en"", ""ar"")"),"أ) لم يتم اتخاذ أي إجراء؛ ب) تم إلغاء نقطة المصارع؛ ج) تم إعطاء المصارع تحذيرًا رسميًا بسبب السلوك غير الرياضي؛ د) تم منح نقطة إضافية للخصم")</f>
        <v>أ) لم يتم اتخاذ أي إجراء؛ ب) تم إلغاء نقطة المصارع؛ ج) تم إعطاء المصارع تحذيرًا رسميًا بسبب السلوك غير الرياضي؛ د) تم منح نقطة إضافية للخصم</v>
      </c>
      <c r="J64" s="5" t="str">
        <f>IFERROR(__xludf.DUMMYFUNCTION("GOOGLETRANSLATE(D64, ""en"", ""ar"")"),"ج) يتم إعطاء المصارع تحذيرًا رسميًا بسبب السلوك غير الرياضي")</f>
        <v>ج) يتم إعطاء المصارع تحذيرًا رسميًا بسبب السلوك غير الرياضي</v>
      </c>
      <c r="K64" s="5" t="str">
        <f>IFERROR(__xludf.DUMMYFUNCTION("GOOGLETRANSLATE(E64, ""en"", ""ar"")"),"في حين أن النقطة المسجلة قد تظل قائمة، فإن أي فعل من أفعال عدم الاحترام يعد جريمة منفصلة يعاقب عليها بتحذير أو خصم نقاط.")</f>
        <v>في حين أن النقطة المسجلة قد تظل قائمة، فإن أي فعل من أفعال عدم الاحترام يعد جريمة منفصلة يعاقب عليها بتحذير أو خصم نقاط.</v>
      </c>
    </row>
    <row r="65">
      <c r="A65" s="3">
        <v>64.0</v>
      </c>
      <c r="B65" s="4" t="s">
        <v>858</v>
      </c>
      <c r="C65" s="4" t="s">
        <v>859</v>
      </c>
      <c r="D65" s="4" t="s">
        <v>860</v>
      </c>
      <c r="E65" s="4" t="s">
        <v>861</v>
      </c>
      <c r="G65" s="5" t="str">
        <f>IFERROR(__xludf.DUMMYFUNCTION("GOOGLETRANSLATE(A65, ""en"", ""ar"")"),"64")</f>
        <v>64</v>
      </c>
      <c r="H65" s="5" t="str">
        <f>IFERROR(__xludf.DUMMYFUNCTION("GOOGLETRANSLATE(B65, ""en"", ""ar"")"),"هل هناك قواعد محددة بشأن نوع الأحذية المسموح بها، إن وجدت؟")</f>
        <v>هل هناك قواعد محددة بشأن نوع الأحذية المسموح بها، إن وجدت؟</v>
      </c>
      <c r="I65" s="5" t="str">
        <f>IFERROR(__xludf.DUMMYFUNCTION("GOOGLETRANSLATE(C65, ""en"", ""ar"")"),"أ) يجب أن يكون المصارعون حفاة الأقدام؛ ب) يُسمح بأي نوع من الأحذية الرياضية؛ ج) يُسمح فقط بالنعال الجلدية الناعمة؛ د) لا توجد قواعد بشأن الأحذية")</f>
        <v>أ) يجب أن يكون المصارعون حفاة الأقدام؛ ب) يُسمح بأي نوع من الأحذية الرياضية؛ ج) يُسمح فقط بالنعال الجلدية الناعمة؛ د) لا توجد قواعد بشأن الأحذية</v>
      </c>
      <c r="J65" s="5" t="str">
        <f>IFERROR(__xludf.DUMMYFUNCTION("GOOGLETRANSLATE(D65, ""en"", ""ar"")"),"أ) يجب على المصارعين أن يكونوا حفاة القدمين")</f>
        <v>أ) يجب على المصارعين أن يكونوا حفاة القدمين</v>
      </c>
      <c r="K65" s="5" t="str">
        <f>IFERROR(__xludf.DUMMYFUNCTION("GOOGLETRANSLATE(E65, ""en"", ""ar"")"),"يتم ممارسة المصارعة النوبية التقليدية حافي القدمين للحفاظ على الاتصال بالأرض ولأسباب تتعلق بالسلامة.")</f>
        <v>يتم ممارسة المصارعة النوبية التقليدية حافي القدمين للحفاظ على الاتصال بالأرض ولأسباب تتعلق بالسلامة.</v>
      </c>
    </row>
    <row r="66">
      <c r="A66" s="3">
        <v>65.0</v>
      </c>
      <c r="B66" s="4" t="s">
        <v>862</v>
      </c>
      <c r="C66" s="4" t="s">
        <v>863</v>
      </c>
      <c r="D66" s="4" t="s">
        <v>864</v>
      </c>
      <c r="E66" s="4" t="s">
        <v>865</v>
      </c>
      <c r="G66" s="5" t="str">
        <f>IFERROR(__xludf.DUMMYFUNCTION("GOOGLETRANSLATE(A66, ""en"", ""ar"")"),"65")</f>
        <v>65</v>
      </c>
      <c r="H66" s="5" t="str">
        <f>IFERROR(__xludf.DUMMYFUNCTION("GOOGLETRANSLATE(B66, ""en"", ""ar"")"),"ما هو الإجراء إذا ضرب المصارع الحكم بعصاه عن طريق الخطأ؟")</f>
        <v>ما هو الإجراء إذا ضرب المصارع الحكم بعصاه عن طريق الخطأ؟</v>
      </c>
      <c r="I66" s="5" t="str">
        <f>IFERROR(__xludf.DUMMYFUNCTION("GOOGLETRANSLATE(C66, ""en"", ""ar"")"),"أ) يتم استبعاد المصارع على الفور؛ ب) تستمر المباراة كما لو كانت حادثًا؛ ج) يتم إيقاف المباراة مؤقتًا، ويتم إصدار تحذير؛ د) يتم خصم نقطة من المصارع")</f>
        <v>أ) يتم استبعاد المصارع على الفور؛ ب) تستمر المباراة كما لو كانت حادثًا؛ ج) يتم إيقاف المباراة مؤقتًا، ويتم إصدار تحذير؛ د) يتم خصم نقطة من المصارع</v>
      </c>
      <c r="J66" s="5" t="str">
        <f>IFERROR(__xludf.DUMMYFUNCTION("GOOGLETRANSLATE(D66, ""en"", ""ar"")"),"ج) يتم إيقاف المباراة مؤقتًا ويتم إصدار تحذير")</f>
        <v>ج) يتم إيقاف المباراة مؤقتًا ويتم إصدار تحذير</v>
      </c>
      <c r="K66" s="5" t="str">
        <f>IFERROR(__xludf.DUMMYFUNCTION("GOOGLETRANSLATE(E66, ""en"", ""ar"")"),"حتى لو كان ذلك عن طريق الخطأ، فإن الاتصال بالحكم يعد خطأ خطيرًا يتطلب التوقف وتوجيه تحذير رسمي.")</f>
        <v>حتى لو كان ذلك عن طريق الخطأ، فإن الاتصال بالحكم يعد خطأ خطيرًا يتطلب التوقف وتوجيه تحذير رسمي.</v>
      </c>
    </row>
    <row r="67">
      <c r="A67" s="3">
        <v>66.0</v>
      </c>
      <c r="B67" s="4" t="s">
        <v>866</v>
      </c>
      <c r="C67" s="4" t="s">
        <v>867</v>
      </c>
      <c r="D67" s="4" t="s">
        <v>868</v>
      </c>
      <c r="E67" s="4" t="s">
        <v>869</v>
      </c>
      <c r="G67" s="5" t="str">
        <f>IFERROR(__xludf.DUMMYFUNCTION("GOOGLETRANSLATE(A67, ""en"", ""ar"")"),"66")</f>
        <v>66</v>
      </c>
      <c r="H67" s="5" t="str">
        <f>IFERROR(__xludf.DUMMYFUNCTION("GOOGLETRANSLATE(B67, ""en"", ""ar"")"),"هل يجوز استعمال عصا الخصم ضده إذا كان أعزلاً؟")</f>
        <v>هل يجوز استعمال عصا الخصم ضده إذا كان أعزلاً؟</v>
      </c>
      <c r="I67" s="5" t="str">
        <f>IFERROR(__xludf.DUMMYFUNCTION("GOOGLETRANSLATE(C67, ""en"", ""ar"")"),"أ) نعم، إنها تكتيك ذكي؛ ب) لا، لا يمكن للمصارع استخدام عصاه إلا؛ ج) فقط إذا تم إلقاء الخصم على الأرض؛ د) فقط لضربة واحدة")</f>
        <v>أ) نعم، إنها تكتيك ذكي؛ ب) لا، لا يمكن للمصارع استخدام عصاه إلا؛ ج) فقط إذا تم إلقاء الخصم على الأرض؛ د) فقط لضربة واحدة</v>
      </c>
      <c r="J67" s="5" t="str">
        <f>IFERROR(__xludf.DUMMYFUNCTION("GOOGLETRANSLATE(D67, ""en"", ""ar"")"),"ب) لا، لا يمكن للمصارع استخدام عصاه إلا")</f>
        <v>ب) لا، لا يمكن للمصارع استخدام عصاه إلا</v>
      </c>
      <c r="K67" s="5" t="str">
        <f>IFERROR(__xludf.DUMMYFUNCTION("GOOGLETRANSLATE(E67, ""en"", ""ar"")"),"لا يجوز للمصارع استخدام سلاح خصمه. إذا كان سلاحه معزولًا، فعليه التركيز على الدفاع حتى تتوقف المباراة مؤقتًا، وإلا فسيتمكن من استعادة عصاه.")</f>
        <v>لا يجوز للمصارع استخدام سلاح خصمه. إذا كان سلاحه معزولًا، فعليه التركيز على الدفاع حتى تتوقف المباراة مؤقتًا، وإلا فسيتمكن من استعادة عصاه.</v>
      </c>
    </row>
    <row r="68">
      <c r="A68" s="3">
        <v>67.0</v>
      </c>
      <c r="B68" s="4" t="s">
        <v>870</v>
      </c>
      <c r="C68" s="4" t="s">
        <v>871</v>
      </c>
      <c r="D68" s="4" t="s">
        <v>872</v>
      </c>
      <c r="E68" s="4" t="s">
        <v>873</v>
      </c>
      <c r="G68" s="5" t="str">
        <f>IFERROR(__xludf.DUMMYFUNCTION("GOOGLETRANSLATE(A68, ""en"", ""ar"")"),"67")</f>
        <v>67</v>
      </c>
      <c r="H68" s="5" t="str">
        <f>IFERROR(__xludf.DUMMYFUNCTION("GOOGLETRANSLATE(B68, ""en"", ""ar"")"),"ما حكم المصارع إذا كان سلبيا بشكل واضح ويتجنب المشاركة لمدة طويلة؟")</f>
        <v>ما حكم المصارع إذا كان سلبيا بشكل واضح ويتجنب المشاركة لمدة طويلة؟</v>
      </c>
      <c r="I68" s="5" t="str">
        <f>IFERROR(__xludf.DUMMYFUNCTION("GOOGLETRANSLATE(C68, ""en"", ""ar"")"),"أ) هذه استراتيجية دفاعية صالحة؛ ب) سيصدر الحكم تحذيرًا بسبب السلبية؛ ج) يخسر المصارع المباراة تلقائيًا؛ د) يقرر الجمهور ما إذا كانت سلبية أم لا")</f>
        <v>أ) هذه استراتيجية دفاعية صالحة؛ ب) سيصدر الحكم تحذيرًا بسبب السلبية؛ ج) يخسر المصارع المباراة تلقائيًا؛ د) يقرر الجمهور ما إذا كانت سلبية أم لا</v>
      </c>
      <c r="J68" s="5" t="str">
        <f>IFERROR(__xludf.DUMMYFUNCTION("GOOGLETRANSLATE(D68, ""en"", ""ar"")"),"ب) يصدر الحكم تحذيرًا بسبب السلبية")</f>
        <v>ب) يصدر الحكم تحذيرًا بسبب السلبية</v>
      </c>
      <c r="K68" s="5" t="str">
        <f>IFERROR(__xludf.DUMMYFUNCTION("GOOGLETRANSLATE(E68, ""en"", ""ar"")"),"يجب على المصارع المشاركة بفعالية في المباراة. سيؤدي الرفض المستمر للمشاركة إلى إنذار رسمي بسبب السلبية.")</f>
        <v>يجب على المصارع المشاركة بفعالية في المباراة. سيؤدي الرفض المستمر للمشاركة إلى إنذار رسمي بسبب السلبية.</v>
      </c>
    </row>
    <row r="69">
      <c r="A69" s="3">
        <v>68.0</v>
      </c>
      <c r="B69" s="4" t="s">
        <v>874</v>
      </c>
      <c r="C69" s="4" t="s">
        <v>875</v>
      </c>
      <c r="D69" s="4" t="s">
        <v>876</v>
      </c>
      <c r="E69" s="4" t="s">
        <v>877</v>
      </c>
      <c r="G69" s="5" t="str">
        <f>IFERROR(__xludf.DUMMYFUNCTION("GOOGLETRANSLATE(A69, ""en"", ""ar"")"),"68")</f>
        <v>68</v>
      </c>
      <c r="H69" s="5" t="str">
        <f>IFERROR(__xludf.DUMMYFUNCTION("GOOGLETRANSLATE(B69, ""en"", ""ar"")"),"هل هناك قواعد بشأن الحد الأدنى أو الأقصى لوزن المصارعين؟")</f>
        <v>هل هناك قواعد بشأن الحد الأدنى أو الأقصى لوزن المصارعين؟</v>
      </c>
      <c r="I69" s="5" t="str">
        <f>IFERROR(__xludf.DUMMYFUNCTION("GOOGLETRANSLATE(C69, ""en"", ""ar"")"),"أ) نعم، هناك فئات وزن صارمة؛ ب) لا، يمكن للمصارعين من أي وزن التنافس ضد بعضهم البعض؛ ج) فقط في بطولات البطولة؛ د) فقط للمصارعين الذين تقل أعمارهم عن 18 عامًا")</f>
        <v>أ) نعم، هناك فئات وزن صارمة؛ ب) لا، يمكن للمصارعين من أي وزن التنافس ضد بعضهم البعض؛ ج) فقط في بطولات البطولة؛ د) فقط للمصارعين الذين تقل أعمارهم عن 18 عامًا</v>
      </c>
      <c r="J69" s="5" t="str">
        <f>IFERROR(__xludf.DUMMYFUNCTION("GOOGLETRANSLATE(D69, ""en"", ""ar"")"),"ب) لا، يمكن للمصارعين من أي وزن التنافس ضد بعضهم البعض")</f>
        <v>ب) لا، يمكن للمصارعين من أي وزن التنافس ضد بعضهم البعض</v>
      </c>
      <c r="K69" s="5" t="str">
        <f>IFERROR(__xludf.DUMMYFUNCTION("GOOGLETRANSLATE(E69, ""en"", ""ar"")"),"لا تستخدم المصارعة النوبية التقليدية فئات الوزن الحديثة، مما يجعلها اختبارًا للمهارة ضد خصوم أكبر حجمًا.")</f>
        <v>لا تستخدم المصارعة النوبية التقليدية فئات الوزن الحديثة، مما يجعلها اختبارًا للمهارة ضد خصوم أكبر حجمًا.</v>
      </c>
    </row>
    <row r="70">
      <c r="A70" s="3">
        <v>69.0</v>
      </c>
      <c r="B70" s="4" t="s">
        <v>878</v>
      </c>
      <c r="C70" s="4" t="s">
        <v>879</v>
      </c>
      <c r="D70" s="4" t="s">
        <v>880</v>
      </c>
      <c r="E70" s="4" t="s">
        <v>881</v>
      </c>
      <c r="G70" s="5" t="str">
        <f>IFERROR(__xludf.DUMMYFUNCTION("GOOGLETRANSLATE(A70, ""en"", ""ar"")"),"69")</f>
        <v>69</v>
      </c>
      <c r="H70" s="5" t="str">
        <f>IFERROR(__xludf.DUMMYFUNCTION("GOOGLETRANSLATE(B70, ""en"", ""ar"")"),"ماذا يحدث إذا صرخ مدرب المصارع أو مساعده بالتعليمات أثناء المباراة؟")</f>
        <v>ماذا يحدث إذا صرخ مدرب المصارع أو مساعده بالتعليمات أثناء المباراة؟</v>
      </c>
      <c r="I70" s="5" t="str">
        <f>IFERROR(__xludf.DUMMYFUNCTION("GOOGLETRANSLATE(C70, ""en"", ""ar"")"),"أ) هذا غير مسموح به؛ ب) هذه ممارسة قياسية ومسموح بها؛ ج) يُسمح فقط بالأوامر المكونة من كلمة واحدة؛ د) فقط إذا كان المصارع في وضع دفاعي")</f>
        <v>أ) هذا غير مسموح به؛ ب) هذه ممارسة قياسية ومسموح بها؛ ج) يُسمح فقط بالأوامر المكونة من كلمة واحدة؛ د) فقط إذا كان المصارع في وضع دفاعي</v>
      </c>
      <c r="J70" s="5" t="str">
        <f>IFERROR(__xludf.DUMMYFUNCTION("GOOGLETRANSLATE(D70, ""en"", ""ar"")"),"ب) هذه ممارسة قياسية ومسموح بها")</f>
        <v>ب) هذه ممارسة قياسية ومسموح بها</v>
      </c>
      <c r="K70" s="5" t="str">
        <f>IFERROR(__xludf.DUMMYFUNCTION("GOOGLETRANSLATE(E70, ""en"", ""ar"")"),"يُسمح للمدربين بتقديم التعليمات التكتيكية من منطقتهم المخصصة أثناء المباراة.")</f>
        <v>يُسمح للمدربين بتقديم التعليمات التكتيكية من منطقتهم المخصصة أثناء المباراة.</v>
      </c>
    </row>
    <row r="71">
      <c r="A71" s="3">
        <v>70.0</v>
      </c>
      <c r="B71" s="4" t="s">
        <v>882</v>
      </c>
      <c r="C71" s="4" t="s">
        <v>883</v>
      </c>
      <c r="D71" s="4" t="s">
        <v>884</v>
      </c>
      <c r="E71" s="4" t="s">
        <v>885</v>
      </c>
      <c r="G71" s="5" t="str">
        <f>IFERROR(__xludf.DUMMYFUNCTION("GOOGLETRANSLATE(A71, ""en"", ""ar"")"),"70")</f>
        <v>70</v>
      </c>
      <c r="H71" s="5" t="str">
        <f>IFERROR(__xludf.DUMMYFUNCTION("GOOGLETRANSLATE(B71, ""en"", ""ar"")"),"كيف يتم تحديد الفائز إذا انتهت المباراة بسبب إصابة مزدوجة حيث لا يستطيع أي من المصارعين الاستمرار؟")</f>
        <v>كيف يتم تحديد الفائز إذا انتهت المباراة بسبب إصابة مزدوجة حيث لا يستطيع أي من المصارعين الاستمرار؟</v>
      </c>
      <c r="I71" s="5" t="str">
        <f>IFERROR(__xludf.DUMMYFUNCTION("GOOGLETRANSLATE(C71, ""en"", ""ar"")"),"أ)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f>
        <v>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v>
      </c>
      <c r="J71" s="5" t="str">
        <f>IFERROR(__xludf.DUMMYFUNCTION("GOOGLETRANSLATE(D71, ""en"", ""ar"")"),"ب) تم إعلان المباراة بالتعادل أو عدم وجود منافسة")</f>
        <v>ب) تم إعلان المباراة بالتعادل أو عدم وجود منافسة</v>
      </c>
      <c r="K71" s="5" t="str">
        <f>IFERROR(__xludf.DUMMYFUNCTION("GOOGLETRANSLATE(E71, ""en"", ""ar"")"),"إذا لم يكن من الممكن إكمال المباراة بسبب إصابة متزامنة وعرضية لكلا المتنافسين، فمن المعتاد أن يتم الحكم عليها بأنها لا تنافس.")</f>
        <v>إذا لم يكن من الممكن إكمال المباراة بسبب إصابة متزامنة وعرضية لكلا المتنافسين، فمن المعتاد أن يتم الحكم عليها بأنها لا تنافس.</v>
      </c>
    </row>
    <row r="72">
      <c r="A72" s="3">
        <v>71.0</v>
      </c>
      <c r="B72" s="4" t="s">
        <v>886</v>
      </c>
      <c r="C72" s="4" t="s">
        <v>887</v>
      </c>
      <c r="D72" s="4" t="s">
        <v>888</v>
      </c>
      <c r="E72" s="4" t="s">
        <v>889</v>
      </c>
      <c r="G72" s="5" t="str">
        <f>IFERROR(__xludf.DUMMYFUNCTION("GOOGLETRANSLATE(A72, ""en"", ""ar"")"),"71")</f>
        <v>71</v>
      </c>
      <c r="H72" s="5" t="str">
        <f>IFERROR(__xludf.DUMMYFUNCTION("GOOGLETRANSLATE(B72, ""en"", ""ar"")"),"هل يجوز ضرب الخصم وهو على الأرض؟")</f>
        <v>هل يجوز ضرب الخصم وهو على الأرض؟</v>
      </c>
      <c r="I72" s="5" t="str">
        <f>IFERROR(__xludf.DUMMYFUNCTION("GOOGLETRANSLATE(C72, ""en"", ""ar"")"),"أ) نعم، الضربات الأرضية مسموح بها؛ ب) لا، لا يجوز ضرب المصارع على الأرض؛ ج) فقط بيد مفتوحة؛ د) فقط للجسم، وليس للرأس")</f>
        <v>أ) نعم، الضربات الأرضية مسموح بها؛ ب) لا، لا يجوز ضرب المصارع على الأرض؛ ج) فقط بيد مفتوحة؛ د) فقط للجسم، وليس للرأس</v>
      </c>
      <c r="J72" s="5" t="str">
        <f>IFERROR(__xludf.DUMMYFUNCTION("GOOGLETRANSLATE(D72, ""en"", ""ar"")"),"ب) لا، لا يجوز ضرب المصارع على الأرض.")</f>
        <v>ب) لا، لا يجوز ضرب المصارع على الأرض.</v>
      </c>
      <c r="K72" s="5" t="str">
        <f>IFERROR(__xludf.DUMMYFUNCTION("GOOGLETRANSLATE(E72, ""en"", ""ar"")"),"بمجرد أن يُسقط المصارع ظهره على الأرض، عادةً ما تنتهي المعركة. ضرب الخصم المُسقط يُعدّ خطأً جسيمًا.")</f>
        <v>بمجرد أن يُسقط المصارع ظهره على الأرض، عادةً ما تنتهي المعركة. ضرب الخصم المُسقط يُعدّ خطأً جسيمًا.</v>
      </c>
    </row>
    <row r="73">
      <c r="A73" s="3">
        <v>72.0</v>
      </c>
      <c r="B73" s="4" t="s">
        <v>890</v>
      </c>
      <c r="C73" s="4" t="s">
        <v>891</v>
      </c>
      <c r="D73" s="4" t="s">
        <v>892</v>
      </c>
      <c r="E73" s="4" t="s">
        <v>893</v>
      </c>
      <c r="G73" s="5" t="str">
        <f>IFERROR(__xludf.DUMMYFUNCTION("GOOGLETRANSLATE(A73, ""en"", ""ar"")"),"72")</f>
        <v>72</v>
      </c>
      <c r="H73" s="5" t="str">
        <f>IFERROR(__xludf.DUMMYFUNCTION("GOOGLETRANSLATE(B73, ""en"", ""ar"")"),"ما هو حكم سحب الشعر أو الإمساك به؟")</f>
        <v>ما هو حكم سحب الشعر أو الإمساك به؟</v>
      </c>
      <c r="I73" s="5" t="str">
        <f>IFERROR(__xludf.DUMMYFUNCTION("GOOGLETRANSLATE(C73, ""en"", ""ar"")"),"أ) إنها وسيلة قانونية للسيطرة؛ ب) ممنوع منعًا باتًا؛ ج) فقط إذا كان الشعر طويلًا؛ د) فقط للدفاع عن النفس")</f>
        <v>أ) إنها وسيلة قانونية للسيطرة؛ ب) ممنوع منعًا باتًا؛ ج) فقط إذا كان الشعر طويلًا؛ د) فقط للدفاع عن النفس</v>
      </c>
      <c r="J73" s="5" t="str">
        <f>IFERROR(__xludf.DUMMYFUNCTION("GOOGLETRANSLATE(D73, ""en"", ""ar"")"),"ب) ممنوع منعاً باتاً")</f>
        <v>ب) ممنوع منعاً باتاً</v>
      </c>
      <c r="K73" s="5" t="str">
        <f>IFERROR(__xludf.DUMMYFUNCTION("GOOGLETRANSLATE(E73, ""en"", ""ar"")"),"يعتبر سحب الشعر خطأ غير رياضي وغير قانوني.")</f>
        <v>يعتبر سحب الشعر خطأ غير رياضي وغير قانوني.</v>
      </c>
    </row>
    <row r="74">
      <c r="A74" s="3">
        <v>73.0</v>
      </c>
      <c r="B74" s="4" t="s">
        <v>894</v>
      </c>
      <c r="C74" s="4" t="s">
        <v>895</v>
      </c>
      <c r="D74" s="4" t="s">
        <v>896</v>
      </c>
      <c r="E74" s="4" t="s">
        <v>897</v>
      </c>
      <c r="G74" s="5" t="str">
        <f>IFERROR(__xludf.DUMMYFUNCTION("GOOGLETRANSLATE(A74, ""en"", ""ar"")"),"73")</f>
        <v>73</v>
      </c>
      <c r="H74" s="5" t="str">
        <f>IFERROR(__xludf.DUMMYFUNCTION("GOOGLETRANSLATE(B74, ""en"", ""ar"")"),"إذا كان المصارع يعتقد أن الحكم اتخذ قرارًا خاطئًا، ما هو الإجراء الصحيح؟")</f>
        <v>إذا كان المصارع يعتقد أن الحكم اتخذ قرارًا خاطئًا، ما هو الإجراء الصحيح؟</v>
      </c>
      <c r="I74" s="5" t="str">
        <f>IFERROR(__xludf.DUMMYFUNCTION("GOOGLETRANSLATE(C74, ""en"", ""ar"")"),"أ) يجب عليهم إيقاف القتال والجدال؛ ب) يمكنهم الاستئناف من خلال مدربهم بعد المباراة؛ ج) يمكنهم سؤال الجمهور عن رأيهم؛ د) قرار الحكم دائمًا نهائي ولا يمكن استئنافه")</f>
        <v>أ) يجب عليهم إيقاف القتال والجدال؛ ب) يمكنهم الاستئناف من خلال مدربهم بعد المباراة؛ ج) يمكنهم سؤال الجمهور عن رأيهم؛ د) قرار الحكم دائمًا نهائي ولا يمكن استئنافه</v>
      </c>
      <c r="J74" s="5" t="str">
        <f>IFERROR(__xludf.DUMMYFUNCTION("GOOGLETRANSLATE(D74, ""en"", ""ar"")"),"ب) يمكنهم الاستئناف من خلال مدربهم بعد المباراة")</f>
        <v>ب) يمكنهم الاستئناف من خلال مدربهم بعد المباراة</v>
      </c>
      <c r="K74" s="5" t="str">
        <f>IFERROR(__xludf.DUMMYFUNCTION("GOOGLETRANSLATE(E74, ""en"", ""ar"")"),"يجب تقديم الاحتجاج الرسمي عبر القنوات المناسبة بعد انتهاء المباراة، وليس أثناء القتال.")</f>
        <v>يجب تقديم الاحتجاج الرسمي عبر القنوات المناسبة بعد انتهاء المباراة، وليس أثناء القتال.</v>
      </c>
    </row>
    <row r="75">
      <c r="A75" s="3">
        <v>74.0</v>
      </c>
      <c r="B75" s="4" t="s">
        <v>898</v>
      </c>
      <c r="C75" s="4" t="s">
        <v>899</v>
      </c>
      <c r="D75" s="4" t="s">
        <v>900</v>
      </c>
      <c r="E75" s="4" t="s">
        <v>901</v>
      </c>
      <c r="G75" s="5" t="str">
        <f>IFERROR(__xludf.DUMMYFUNCTION("GOOGLETRANSLATE(A75, ""en"", ""ar"")"),"74")</f>
        <v>74</v>
      </c>
      <c r="H75" s="5" t="str">
        <f>IFERROR(__xludf.DUMMYFUNCTION("GOOGLETRANSLATE(B75, ""en"", ""ar"")"),"هل هناك قواعد محددة حول مواقف البداية أو المواقف للمصارعين في بداية الجولة؟")</f>
        <v>هل هناك قواعد محددة حول مواقف البداية أو المواقف للمصارعين في بداية الجولة؟</v>
      </c>
      <c r="I75" s="5" t="str">
        <f>IFERROR(__xludf.DUMMYFUNCTION("GOOGLETRANSLATE(C75, ""en"", ""ar"")"),"أ)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f>
        <v>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v>
      </c>
      <c r="J75" s="5" t="str">
        <f>IFERROR(__xludf.DUMMYFUNCTION("GOOGLETRANSLATE(D75, ""en"", ""ar"")"),"ب) نعم، يجب أن يبدأوا في وضع محايد ومواجه.")</f>
        <v>ب) نعم، يجب أن يبدأوا في وضع محايد ومواجه.</v>
      </c>
      <c r="K75" s="5" t="str">
        <f>IFERROR(__xludf.DUMMYFUNCTION("GOOGLETRANSLATE(E75, ""en"", ""ar"")"),"ولضمان بداية عادلة، يتعين على المصارعين البدء في وضع محايد موحد وفقًا لتعليمات الحكم.")</f>
        <v>ولضمان بداية عادلة، يتعين على المصارعين البدء في وضع محايد موحد وفقًا لتعليمات الحكم.</v>
      </c>
    </row>
    <row r="76">
      <c r="A76" s="3">
        <v>75.0</v>
      </c>
      <c r="B76" s="4" t="s">
        <v>902</v>
      </c>
      <c r="C76" s="4" t="s">
        <v>903</v>
      </c>
      <c r="D76" s="4" t="s">
        <v>904</v>
      </c>
      <c r="E76" s="4" t="s">
        <v>905</v>
      </c>
      <c r="G76" s="5" t="str">
        <f>IFERROR(__xludf.DUMMYFUNCTION("GOOGLETRANSLATE(A76, ""en"", ""ar"")"),"75")</f>
        <v>75</v>
      </c>
      <c r="H76" s="5" t="str">
        <f>IFERROR(__xludf.DUMMYFUNCTION("GOOGLETRANSLATE(B76, ""en"", ""ar"")"),"ما هي عقوبة المصارع الذي يتظاهر بالإصابة لإيقاف المباراة؟")</f>
        <v>ما هي عقوبة المصارع الذي يتظاهر بالإصابة لإيقاف المباراة؟</v>
      </c>
      <c r="I76" s="5" t="str">
        <f>IFERROR(__xludf.DUMMYFUNCTION("GOOGLETRANSLATE(C76, ""en"", ""ar"")"),"أ) تحذير؛ ب) الاستبعاد بسبب السلوك غير الرياضي؛ ج) خصم نقطة؛ د) إعادة بدء المباراة")</f>
        <v>أ) تحذير؛ ب) الاستبعاد بسبب السلوك غير الرياضي؛ ج) خصم نقطة؛ د) إعادة بدء المباراة</v>
      </c>
      <c r="J76" s="5" t="str">
        <f>IFERROR(__xludf.DUMMYFUNCTION("GOOGLETRANSLATE(D76, ""en"", ""ar"")"),"ب) الاستبعاد بسبب السلوك غير الرياضي")</f>
        <v>ب) الاستبعاد بسبب السلوك غير الرياضي</v>
      </c>
      <c r="K76" s="5" t="str">
        <f>IFERROR(__xludf.DUMMYFUNCTION("GOOGLETRANSLATE(E76, ""en"", ""ar"")"),"إن التظاهر بالإصابة يعد عملاً خطيراً من الغش وعدم الاحترام والذي قد يؤدي إلى الاستبعاد من المنافسة.")</f>
        <v>إن التظاهر بالإصابة يعد عملاً خطيراً من الغش وعدم الاحترام والذي قد يؤدي إلى الاستبعاد من المنافسة.</v>
      </c>
    </row>
    <row r="77">
      <c r="A77" s="3">
        <v>76.0</v>
      </c>
      <c r="B77" s="4" t="s">
        <v>906</v>
      </c>
      <c r="C77" s="4" t="s">
        <v>907</v>
      </c>
      <c r="D77" s="4" t="s">
        <v>908</v>
      </c>
      <c r="E77" s="4" t="s">
        <v>909</v>
      </c>
      <c r="G77" s="5" t="str">
        <f>IFERROR(__xludf.DUMMYFUNCTION("GOOGLETRANSLATE(A77, ""en"", ""ar"")"),"76")</f>
        <v>76</v>
      </c>
      <c r="H77" s="5" t="str">
        <f>IFERROR(__xludf.DUMMYFUNCTION("GOOGLETRANSLATE(B77, ""en"", ""ar"")"),"هل يجوز عرقلة الخصم باستخدام ساقك؟")</f>
        <v>هل يجوز عرقلة الخصم باستخدام ساقك؟</v>
      </c>
      <c r="I77" s="5" t="str">
        <f>IFERROR(__xludf.DUMMYFUNCTION("GOOGLETRANSLATE(C77, ""en"", ""ar"")"),"أ) نعم، التعثر هو تقنية أساسية؛ ب) لا، كل تعثرات الساق غير قانونية؛ ج) فقط إذا لم يتم استخدام العصا؛ د) فقط ضد الخصم المهاجم")</f>
        <v>أ) نعم، التعثر هو تقنية أساسية؛ ب) لا، كل تعثرات الساق غير قانونية؛ ج) فقط إذا لم يتم استخدام العصا؛ د) فقط ضد الخصم المهاجم</v>
      </c>
      <c r="J77" s="5" t="str">
        <f>IFERROR(__xludf.DUMMYFUNCTION("GOOGLETRANSLATE(D77, ""en"", ""ar"")"),"أ) نعم، التعثر هو تقنية أساسية")</f>
        <v>أ) نعم، التعثر هو تقنية أساسية</v>
      </c>
      <c r="K77" s="5" t="str">
        <f>IFERROR(__xludf.DUMMYFUNCTION("GOOGLETRANSLATE(E77, ""en"", ""ar"")"),"تشكل عمليات كنس الساق والتعثر جزءًا أساسيًا من جوانب المصارعة النوبية والإسقاط.")</f>
        <v>تشكل عمليات كنس الساق والتعثر جزءًا أساسيًا من جوانب المصارعة النوبية والإسقاط.</v>
      </c>
    </row>
    <row r="78">
      <c r="A78" s="3">
        <v>77.0</v>
      </c>
      <c r="B78" s="4" t="s">
        <v>910</v>
      </c>
      <c r="C78" s="4" t="s">
        <v>911</v>
      </c>
      <c r="D78" s="4" t="s">
        <v>912</v>
      </c>
      <c r="E78" s="4" t="s">
        <v>913</v>
      </c>
      <c r="G78" s="5" t="str">
        <f>IFERROR(__xludf.DUMMYFUNCTION("GOOGLETRANSLATE(A78, ""en"", ""ar"")"),"77")</f>
        <v>77</v>
      </c>
      <c r="H78" s="5" t="str">
        <f>IFERROR(__xludf.DUMMYFUNCTION("GOOGLETRANSLATE(B78, ""en"", ""ar"")"),"ما هي القاعدة إذا تم العثور على المصارع يرتدي مجوهرات (مثل خاتم أو قلادة) أثناء المباراة؟")</f>
        <v>ما هي القاعدة إذا تم العثور على المصارع يرتدي مجوهرات (مثل خاتم أو قلادة) أثناء المباراة؟</v>
      </c>
      <c r="I78" s="5" t="str">
        <f>IFERROR(__xludf.DUMMYFUNCTION("GOOGLETRANSLATE(C78, ""en"", ""ar"")"),"أ) تم إيقاف المباراة مؤقتًا، ويجب عليهم خلعها؛ ب) يُسمح لهم بارتدائها؛ ج) يجب عليهم تغطيتها بشريط لاصق؛ د) يؤدي ذلك إلى الاستبعاد الفوري")</f>
        <v>أ) تم إيقاف المباراة مؤقتًا، ويجب عليهم خلعها؛ ب) يُسمح لهم بارتدائها؛ ج) يجب عليهم تغطيتها بشريط لاصق؛ د) يؤدي ذلك إلى الاستبعاد الفوري</v>
      </c>
      <c r="J78" s="5" t="str">
        <f>IFERROR(__xludf.DUMMYFUNCTION("GOOGLETRANSLATE(D78, ""en"", ""ar"")"),"أ) تم إيقاف المباراة مؤقتًا ويجب إزالتها")</f>
        <v>أ) تم إيقاف المباراة مؤقتًا ويجب إزالتها</v>
      </c>
      <c r="K78" s="5" t="str">
        <f>IFERROR(__xludf.DUMMYFUNCTION("GOOGLETRANSLATE(E78, ""en"", ""ar"")"),"لأجل سلامة كلا المتنافسين، يجب إزالة كافة المجوهرات قبل بدء المباراة أو استمرارها.")</f>
        <v>لأجل سلامة كلا المتنافسين، يجب إزالة كافة المجوهرات قبل بدء المباراة أو استمرارها.</v>
      </c>
    </row>
    <row r="79">
      <c r="A79" s="3">
        <v>78.0</v>
      </c>
      <c r="B79" s="4" t="s">
        <v>914</v>
      </c>
      <c r="C79" s="4" t="s">
        <v>915</v>
      </c>
      <c r="D79" s="4" t="s">
        <v>916</v>
      </c>
      <c r="E79" s="4" t="s">
        <v>917</v>
      </c>
      <c r="G79" s="5" t="str">
        <f>IFERROR(__xludf.DUMMYFUNCTION("GOOGLETRANSLATE(A79, ""en"", ""ar"")"),"78")</f>
        <v>78</v>
      </c>
      <c r="H79" s="5" t="str">
        <f>IFERROR(__xludf.DUMMYFUNCTION("GOOGLETRANSLATE(B79, ""en"", ""ar"")"),"هل يمكن حسم المباراة بـ""السقوط الفني"" إذا كان أحد المصارعين مهيمناً بشكل ساحق؟")</f>
        <v>هل يمكن حسم المباراة بـ"السقوط الفني" إذا كان أحد المصارعين مهيمناً بشكل ساحق؟</v>
      </c>
      <c r="I79" s="5" t="str">
        <f>IFERROR(__xludf.DUMMYFUNCTION("GOOGLETRANSLATE(C79, ""en"", ""ar"")"),"أ) لا، يجب أن تستمر المباراة؛ ب) نعم، إذا كان هناك فارق كبير في النقاط؛ ج) فقط في مسابقات الشباب؛ د) يمكن للحكم أن يقرر إيقاف القتال")</f>
        <v>أ) لا، يجب أن تستمر المباراة؛ ب) نعم، إذا كان هناك فارق كبير في النقاط؛ ج) فقط في مسابقات الشباب؛ د) يمكن للحكم أن يقرر إيقاف القتال</v>
      </c>
      <c r="J79" s="5" t="str">
        <f>IFERROR(__xludf.DUMMYFUNCTION("GOOGLETRANSLATE(D79, ""en"", ""ar"")"),"د) يمكن للحكم أن يقرر إيقاف القتال")</f>
        <v>د) يمكن للحكم أن يقرر إيقاف القتال</v>
      </c>
      <c r="K79" s="5" t="str">
        <f>IFERROR(__xludf.DUMMYFUNCTION("GOOGLETRANSLATE(E79, ""en"", ""ar"")"),"إذا كان أحد المصارعين غير قادر على المنافسة تمامًا وكان معرضًا لخطر الإصابة، فيحق للحكم إيقاف المباراة لحمايته.")</f>
        <v>إذا كان أحد المصارعين غير قادر على المنافسة تمامًا وكان معرضًا لخطر الإصابة، فيحق للحكم إيقاف المباراة لحمايته.</v>
      </c>
    </row>
    <row r="80">
      <c r="A80" s="3">
        <v>79.0</v>
      </c>
      <c r="B80" s="4" t="s">
        <v>918</v>
      </c>
      <c r="C80" s="4" t="s">
        <v>919</v>
      </c>
      <c r="D80" s="4" t="s">
        <v>920</v>
      </c>
      <c r="E80" s="4" t="s">
        <v>921</v>
      </c>
      <c r="G80" s="5" t="str">
        <f>IFERROR(__xludf.DUMMYFUNCTION("GOOGLETRANSLATE(A80, ""en"", ""ar"")"),"79")</f>
        <v>79</v>
      </c>
      <c r="H80" s="5" t="str">
        <f>IFERROR(__xludf.DUMMYFUNCTION("GOOGLETRANSLATE(B80, ""en"", ""ar"")"),"ما هي العواقب إذا تدخل مدرب المصارع جسديًا في المباراة؟")</f>
        <v>ما هي العواقب إذا تدخل مدرب المصارع جسديًا في المباراة؟</v>
      </c>
      <c r="I80" s="5" t="str">
        <f>IFERROR(__xludf.DUMMYFUNCTION("GOOGLETRANSLATE(C80, ""en"", ""ar"")"),"أ) يتم تحذير المدرب؛ ب) يتم استبعاد المصارع على الفور؛ ج) يتم خصم نقطة؛ د) يتم طرد المدرب، ولكن تستمر المباراة")</f>
        <v>أ) يتم تحذير المدرب؛ ب) يتم استبعاد المصارع على الفور؛ ج) يتم خصم نقطة؛ د) يتم طرد المدرب، ولكن تستمر المباراة</v>
      </c>
      <c r="J80" s="5" t="str">
        <f>IFERROR(__xludf.DUMMYFUNCTION("GOOGLETRANSLATE(D80, ""en"", ""ar"")"),"ب) يتم استبعاد المصارع فورًا")</f>
        <v>ب) يتم استبعاد المصارع فورًا</v>
      </c>
      <c r="K80" s="5" t="str">
        <f>IFERROR(__xludf.DUMMYFUNCTION("GOOGLETRANSLATE(E80, ""en"", ""ar"")"),"يؤدي التدخل الجسدي من قبل المدرب أو أي عضو في الفريق إلى استبعاد المصارع على الفور.")</f>
        <v>يؤدي التدخل الجسدي من قبل المدرب أو أي عضو في الفريق إلى استبعاد المصارع على الفور.</v>
      </c>
    </row>
    <row r="81">
      <c r="A81" s="3">
        <v>80.0</v>
      </c>
      <c r="B81" s="4" t="s">
        <v>922</v>
      </c>
      <c r="C81" s="4" t="s">
        <v>923</v>
      </c>
      <c r="D81" s="4" t="s">
        <v>924</v>
      </c>
      <c r="E81" s="4" t="s">
        <v>925</v>
      </c>
      <c r="G81" s="5" t="str">
        <f>IFERROR(__xludf.DUMMYFUNCTION("GOOGLETRANSLATE(A81, ""en"", ""ar"")"),"80")</f>
        <v>80</v>
      </c>
      <c r="H81" s="5" t="str">
        <f>IFERROR(__xludf.DUMMYFUNCTION("GOOGLETRANSLATE(B81, ""en"", ""ar"")"),"هل هناك قواعد بشأن فارق السن بين المتنافسين في مباراة واحدة؟")</f>
        <v>هل هناك قواعد بشأن فارق السن بين المتنافسين في مباراة واحدة؟</v>
      </c>
      <c r="I81" s="5" t="str">
        <f>IFERROR(__xludf.DUMMYFUNCTION("GOOGLETRANSLATE(C81, ""en"", ""ar"")"),"أ)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f>
        <v>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v>
      </c>
      <c r="J81" s="5" t="str">
        <f>IFERROR(__xludf.DUMMYFUNCTION("GOOGLETRANSLATE(D81, ""en"", ""ar"")"),"ب) نعم، يجب أن يكونوا ضمن نفس الفئة العمرية")</f>
        <v>ب) نعم، يجب أن يكونوا ضمن نفس الفئة العمرية</v>
      </c>
      <c r="K81" s="5" t="str">
        <f>IFERROR(__xludf.DUMMYFUNCTION("GOOGLETRANSLATE(E81, ""en"", ""ar"")"),"يتم تقسيم المسابقات عادة إلى فئات عمرية (على سبيل المثال، صغار، كبار) لضمان مواجهات عادلة وآمنة.")</f>
        <v>يتم تقسيم المسابقات عادة إلى فئات عمرية (على سبيل المثال، صغار، كبار) لضمان مواجهات عادلة وآمنة.</v>
      </c>
    </row>
    <row r="82">
      <c r="A82" s="3">
        <v>81.0</v>
      </c>
      <c r="B82" s="4" t="s">
        <v>926</v>
      </c>
      <c r="C82" s="4" t="s">
        <v>927</v>
      </c>
      <c r="D82" s="4" t="s">
        <v>928</v>
      </c>
      <c r="E82" s="4" t="s">
        <v>929</v>
      </c>
      <c r="G82" s="5" t="str">
        <f>IFERROR(__xludf.DUMMYFUNCTION("GOOGLETRANSLATE(A82, ""en"", ""ar"")"),"81")</f>
        <v>81</v>
      </c>
      <c r="H82" s="5" t="str">
        <f>IFERROR(__xludf.DUMMYFUNCTION("GOOGLETRANSLATE(B82, ""en"", ""ar"")"),"ما هو القرار الرسمي إذا تمكن المصارع من تحقيق رمية الفوز عند سماع الإشارة النهائية؟")</f>
        <v>ما هو القرار الرسمي إذا تمكن المصارع من تحقيق رمية الفوز عند سماع الإشارة النهائية؟</v>
      </c>
      <c r="I82" s="5" t="str">
        <f>IFERROR(__xludf.DUMMYFUNCTION("GOOGLETRANSLATE(C82, ""en"", ""ar"")"),"أ) لا يتم احتساب الرمية؛ ب) تكون الرمية صحيحة ويفوز المصارع؛ ج) يتم لعب جولة إضافية؛ د) يعتمد الأمر على تقدير الحكم")</f>
        <v>أ) لا يتم احتساب الرمية؛ ب) تكون الرمية صحيحة ويفوز المصارع؛ ج) يتم لعب جولة إضافية؛ د) يعتمد الأمر على تقدير الحكم</v>
      </c>
      <c r="J82" s="5" t="str">
        <f>IFERROR(__xludf.DUMMYFUNCTION("GOOGLETRANSLATE(D82, ""en"", ""ar"")"),"ب) الرمية صحيحة ويفوز المصارع")</f>
        <v>ب) الرمية صحيحة ويفوز المصارع</v>
      </c>
      <c r="K82" s="5" t="str">
        <f>IFERROR(__xludf.DUMMYFUNCTION("GOOGLETRANSLATE(E82, ""en"", ""ar"")"),"تعتبر التقنية التي يتم تنفيذها بنجاح قبل أو في نفس اللحظة التي تظهر فيها إشارة إنهاء الجولة صالحة.")</f>
        <v>تعتبر التقنية التي يتم تنفيذها بنجاح قبل أو في نفس اللحظة التي تظهر فيها إشارة إنهاء الجولة صالحة.</v>
      </c>
    </row>
    <row r="83">
      <c r="A83" s="3">
        <v>82.0</v>
      </c>
      <c r="B83" s="4" t="s">
        <v>930</v>
      </c>
      <c r="C83" s="4" t="s">
        <v>931</v>
      </c>
      <c r="D83" s="4" t="s">
        <v>932</v>
      </c>
      <c r="E83" s="4" t="s">
        <v>933</v>
      </c>
      <c r="G83" s="5" t="str">
        <f>IFERROR(__xludf.DUMMYFUNCTION("GOOGLETRANSLATE(A83, ""en"", ""ar"")"),"82")</f>
        <v>82</v>
      </c>
      <c r="H83" s="5" t="str">
        <f>IFERROR(__xludf.DUMMYFUNCTION("GOOGLETRANSLATE(B83, ""en"", ""ar"")"),"هل يجوز للمصارع أن ينزع سلاح خصمه عمداً عن طريق ضرب عصاه؟")</f>
        <v>هل يجوز للمصارع أن ينزع سلاح خصمه عمداً عن طريق ضرب عصاه؟</v>
      </c>
      <c r="I83" s="5" t="str">
        <f>IFERROR(__xludf.DUMMYFUNCTION("GOOGLETRANSLATE(C83, ""en"", ""ar"")"),"أ) نعم، هذا تكتيك أساسي؛ ب) لا، ضرب العصا يعد خطأ؛ ج) فقط إذا لم تُضرب يد الخصم؛ د) فقط في الجولة النهائية")</f>
        <v>أ) نعم، هذا تكتيك أساسي؛ ب) لا، ضرب العصا يعد خطأ؛ ج) فقط إذا لم تُضرب يد الخصم؛ د) فقط في الجولة النهائية</v>
      </c>
      <c r="J83" s="5" t="str">
        <f>IFERROR(__xludf.DUMMYFUNCTION("GOOGLETRANSLATE(D83, ""en"", ""ar"")"),"أ) نعم، هذا هو التكتيك الرئيسي")</f>
        <v>أ) نعم، هذا هو التكتيك الرئيسي</v>
      </c>
      <c r="K83" s="5" t="str">
        <f>IFERROR(__xludf.DUMMYFUNCTION("GOOGLETRANSLATE(E83, ""en"", ""ar"")"),"إن نزع سلاح الخصم عن طريق ضرب سلاحه بمهارة هي تقنية مشروعة ومحترمة للغاية.")</f>
        <v>إن نزع سلاح الخصم عن طريق ضرب سلاحه بمهارة هي تقنية مشروعة ومحترمة للغاية.</v>
      </c>
    </row>
    <row r="84">
      <c r="A84" s="3">
        <v>83.0</v>
      </c>
      <c r="B84" s="4" t="s">
        <v>934</v>
      </c>
      <c r="C84" s="4" t="s">
        <v>935</v>
      </c>
      <c r="D84" s="4" t="s">
        <v>936</v>
      </c>
      <c r="E84" s="4" t="s">
        <v>937</v>
      </c>
      <c r="G84" s="5" t="str">
        <f>IFERROR(__xludf.DUMMYFUNCTION("GOOGLETRANSLATE(A84, ""en"", ""ar"")"),"83")</f>
        <v>83</v>
      </c>
      <c r="H84" s="5" t="str">
        <f>IFERROR(__xludf.DUMMYFUNCTION("GOOGLETRANSLATE(B84, ""en"", ""ar"")"),"ماذا يحدث إذا تم العثور على مادة محظورة في نظام المصارع من خلال اختبار المنشطات؟")</f>
        <v>ماذا يحدث إذا تم العثور على مادة محظورة في نظام المصارع من خلال اختبار المنشطات؟</v>
      </c>
      <c r="I84" s="5" t="str">
        <f>IFERROR(__xludf.DUMMYFUNCTION("GOOGLETRANSLATE(C84, ""en"", ""ar"")"),"أ) يتم تحذيرهم؛ ب) يتم استبعادهم ويواجهون الإيقاف؛ ج) يخسرون أموال الجائزة الخاصة بهم ولكن لا يتم إيقافهم؛ د) نتيجة المباراة لم تتغير")</f>
        <v>أ) يتم تحذيرهم؛ ب) يتم استبعادهم ويواجهون الإيقاف؛ ج) يخسرون أموال الجائزة الخاصة بهم ولكن لا يتم إيقافهم؛ د) نتيجة المباراة لم تتغير</v>
      </c>
      <c r="J84" s="5" t="str">
        <f>IFERROR(__xludf.DUMMYFUNCTION("GOOGLETRANSLATE(D84, ""en"", ""ar"")"),"ب) يتم استبعادهم ويواجهون الإيقاف")</f>
        <v>ب) يتم استبعادهم ويواجهون الإيقاف</v>
      </c>
      <c r="K84" s="5" t="str">
        <f>IFERROR(__xludf.DUMMYFUNCTION("GOOGLETRANSLATE(E84, ""en"", ""ar"")"),"المنشطات هي جريمة خطيرة تؤدي إلى الاستبعاد من الحدث والحظر من المسابقات المستقبلية.")</f>
        <v>المنشطات هي جريمة خطيرة تؤدي إلى الاستبعاد من الحدث والحظر من المسابقات المستقبلية.</v>
      </c>
    </row>
    <row r="85">
      <c r="A85" s="3">
        <v>84.0</v>
      </c>
      <c r="B85" s="4" t="s">
        <v>938</v>
      </c>
      <c r="C85" s="4" t="s">
        <v>939</v>
      </c>
      <c r="D85" s="4" t="s">
        <v>940</v>
      </c>
      <c r="E85" s="4" t="s">
        <v>941</v>
      </c>
      <c r="G85" s="5" t="str">
        <f>IFERROR(__xludf.DUMMYFUNCTION("GOOGLETRANSLATE(A85, ""en"", ""ar"")"),"84")</f>
        <v>84</v>
      </c>
      <c r="H85" s="5" t="str">
        <f>IFERROR(__xludf.DUMMYFUNCTION("GOOGLETRANSLATE(B85, ""en"", ""ar"")"),"هل يمكن إجراء مباراة المصارعة على سطح صلب مثل الخرسانة أو الحجر؟")</f>
        <v>هل يمكن إجراء مباراة المصارعة على سطح صلب مثل الخرسانة أو الحجر؟</v>
      </c>
      <c r="I85" s="5" t="str">
        <f>IFERROR(__xludf.DUMMYFUNCTION("GOOGLETRANSLATE(C85, ""en"", ""ar"")"),"أ) نعم، إذا وافق كلا المصارعين؛ ب) لا، السطح الناعم مثل الرمل أو العشب إلزامي؛ ج) لأغراض العرض فقط؛ د) فقط إذا كان المصارعون يرتدون أحذية")</f>
        <v>أ) نعم، إذا وافق كلا المصارعين؛ ب) لا، السطح الناعم مثل الرمل أو العشب إلزامي؛ ج) لأغراض العرض فقط؛ د) فقط إذا كان المصارعون يرتدون أحذية</v>
      </c>
      <c r="J85" s="5" t="str">
        <f>IFERROR(__xludf.DUMMYFUNCTION("GOOGLETRANSLATE(D85, ""en"", ""ar"")"),"ب) لا، السطح الناعم مثل الرمل أو العشب إلزامي.")</f>
        <v>ب) لا، السطح الناعم مثل الرمل أو العشب إلزامي.</v>
      </c>
      <c r="K85" s="5" t="str">
        <f>IFERROR(__xludf.DUMMYFUNCTION("GOOGLETRANSLATE(E85, ""en"", ""ar"")"),"تتطلب لوائح السلامة وجود سطح متسامح لتقليل خطر الإصابة نتيجة الرمي والسقوط.")</f>
        <v>تتطلب لوائح السلامة وجود سطح متسامح لتقليل خطر الإصابة نتيجة الرمي والسقوط.</v>
      </c>
    </row>
    <row r="86">
      <c r="A86" s="3">
        <v>85.0</v>
      </c>
      <c r="B86" s="4" t="s">
        <v>942</v>
      </c>
      <c r="C86" s="4" t="s">
        <v>943</v>
      </c>
      <c r="D86" s="4" t="s">
        <v>944</v>
      </c>
      <c r="E86" s="4" t="s">
        <v>945</v>
      </c>
      <c r="G86" s="5" t="str">
        <f>IFERROR(__xludf.DUMMYFUNCTION("GOOGLETRANSLATE(A86, ""en"", ""ar"")"),"85")</f>
        <v>85</v>
      </c>
      <c r="H86" s="5" t="str">
        <f>IFERROR(__xludf.DUMMYFUNCTION("GOOGLETRANSLATE(B86, ""en"", ""ar"")"),"ما هي القاعدة إذا استمر المصارع في القتال بعد أن أشار خصمه بوضوح إلى الخضوع أو الاستسلام؟")</f>
        <v>ما هي القاعدة إذا استمر المصارع في القتال بعد أن أشار خصمه بوضوح إلى الخضوع أو الاستسلام؟</v>
      </c>
      <c r="I86" s="5" t="str">
        <f>IFERROR(__xludf.DUMMYFUNCTION("GOOGLETRANSLATE(C86, ""en"", ""ar"")"),"أ) يُسمح بضمان الفوز؛ ب) إنه خطأ جسيم يؤدي إلى الاستبعاد؛ ج) يتم خصم نقطة؛ د) يصدر الحكم تحذيرًا")</f>
        <v>أ) يُسمح بضمان الفوز؛ ب) إنه خطأ جسيم يؤدي إلى الاستبعاد؛ ج) يتم خصم نقطة؛ د) يصدر الحكم تحذيرًا</v>
      </c>
      <c r="J86" s="5" t="str">
        <f>IFERROR(__xludf.DUMMYFUNCTION("GOOGLETRANSLATE(D86, ""en"", ""ar"")"),"ب) يعتبر خطأ جسيما يؤدي إلى الاستبعاد")</f>
        <v>ب) يعتبر خطأ جسيما يؤدي إلى الاستبعاد</v>
      </c>
      <c r="K86" s="5" t="str">
        <f>IFERROR(__xludf.DUMMYFUNCTION("GOOGLETRANSLATE(E86, ""en"", ""ar"")"),"إن الاستمرار في الهجوم بعد استسلام الخصم يعد انتهاكًا خطيرًا للروح الرياضية والسلامة.")</f>
        <v>إن الاستمرار في الهجوم بعد استسلام الخصم يعد انتهاكًا خطيرًا للروح الرياضية والسلامة.</v>
      </c>
    </row>
    <row r="87">
      <c r="A87" s="3">
        <v>86.0</v>
      </c>
      <c r="B87" s="4" t="s">
        <v>946</v>
      </c>
      <c r="C87" s="4" t="s">
        <v>947</v>
      </c>
      <c r="D87" s="4" t="s">
        <v>948</v>
      </c>
      <c r="E87" s="4" t="s">
        <v>949</v>
      </c>
      <c r="G87" s="5" t="str">
        <f>IFERROR(__xludf.DUMMYFUNCTION("GOOGLETRANSLATE(A87, ""en"", ""ar"")"),"86")</f>
        <v>86</v>
      </c>
      <c r="H87" s="5" t="str">
        <f>IFERROR(__xludf.DUMMYFUNCTION("GOOGLETRANSLATE(B87, ""en"", ""ar"")"),"هل يشترط للمصارعين أن يكون لديهم نوع معين من قصة الشعر أو أن يكونوا حليقي الذقن؟")</f>
        <v>هل يشترط للمصارعين أن يكون لديهم نوع معين من قصة الشعر أو أن يكونوا حليقي الذقن؟</v>
      </c>
      <c r="I87" s="5" t="str">
        <f>IFERROR(__xludf.DUMMYFUNCTION("GOOGLETRANSLATE(C87, ""en"", ""ar"")"),"أ) نعم، من أجل التوحيد؛ ب) لا، لا توجد قواعد خاصة بالمظهر؛ ج) فقط في المسابقات الدولية؛ د) يجب ربط الشعر للخلف إذا كان طويلاً")</f>
        <v>أ) نعم، من أجل التوحيد؛ ب) لا، لا توجد قواعد خاصة بالمظهر؛ ج) فقط في المسابقات الدولية؛ د) يجب ربط الشعر للخلف إذا كان طويلاً</v>
      </c>
      <c r="J87" s="5" t="str">
        <f>IFERROR(__xludf.DUMMYFUNCTION("GOOGLETRANSLATE(D87, ""en"", ""ar"")"),"د) يجب ربط الشعر للخلف إذا كان طويلاً")</f>
        <v>د) يجب ربط الشعر للخلف إذا كان طويلاً</v>
      </c>
      <c r="K87" s="5" t="str">
        <f>IFERROR(__xludf.DUMMYFUNCTION("GOOGLETRANSLATE(E87, ""en"", ""ar"")"),"لأسباب تتعلق بالسلامة، يجب تأمين الشعر الطويل الذي يمكن الإمساك به أو إعاقة الرؤية، ولكن لا توجد قواعد أخرى محددة للعناية بالشعر.")</f>
        <v>لأسباب تتعلق بالسلامة، يجب تأمين الشعر الطويل الذي يمكن الإمساك به أو إعاقة الرؤية، ولكن لا توجد قواعد أخرى محددة للعناية بالشعر.</v>
      </c>
    </row>
    <row r="88">
      <c r="A88" s="3">
        <v>87.0</v>
      </c>
      <c r="B88" s="4" t="s">
        <v>950</v>
      </c>
      <c r="C88" s="4" t="s">
        <v>951</v>
      </c>
      <c r="D88" s="4" t="s">
        <v>952</v>
      </c>
      <c r="E88" s="4" t="s">
        <v>953</v>
      </c>
      <c r="G88" s="5" t="str">
        <f>IFERROR(__xludf.DUMMYFUNCTION("GOOGLETRANSLATE(A88, ""en"", ""ar"")"),"87")</f>
        <v>87</v>
      </c>
      <c r="H88" s="5" t="str">
        <f>IFERROR(__xludf.DUMMYFUNCTION("GOOGLETRANSLATE(B88, ""en"", ""ar"")"),"ما هو الإجراء الرسمي إذا دخل حيوان بري (مثل الكلب) إلى حلبة المصارعة؟")</f>
        <v>ما هو الإجراء الرسمي إذا دخل حيوان بري (مثل الكلب) إلى حلبة المصارعة؟</v>
      </c>
      <c r="I88" s="5" t="str">
        <f>IFERROR(__xludf.DUMMYFUNCTION("GOOGLETRANSLATE(C88, ""en"", ""ar"")"),"أ) تستمر المباراة حول الحيوان؛ ب) تتوقف المباراة على الفور حتى يتم إزالة الحيوان؛ ج) المصارعون مسؤولون عن تخويفه وإبعاده؛ د) يتم إلغاء المباراة")</f>
        <v>أ) تستمر المباراة حول الحيوان؛ ب) تتوقف المباراة على الفور حتى يتم إزالة الحيوان؛ ج) المصارعون مسؤولون عن تخويفه وإبعاده؛ د) يتم إلغاء المباراة</v>
      </c>
      <c r="J88" s="5" t="str">
        <f>IFERROR(__xludf.DUMMYFUNCTION("GOOGLETRANSLATE(D88, ""en"", ""ar"")"),"ب) يتم إيقاف المباراة على الفور حتى يتم إزالة الحيوان")</f>
        <v>ب) يتم إيقاف المباراة على الفور حتى يتم إزالة الحيوان</v>
      </c>
      <c r="K88" s="5" t="str">
        <f>IFERROR(__xludf.DUMMYFUNCTION("GOOGLETRANSLATE(E88, ""en"", ""ar"")"),"أي تدخل خارجي، وخاصة الذي يشكل خطرا على السلامة، يتطلب من الحكم إيقاف المباراة.")</f>
        <v>أي تدخل خارجي، وخاصة الذي يشكل خطرا على السلامة، يتطلب من الحكم إيقاف المباراة.</v>
      </c>
    </row>
    <row r="89">
      <c r="A89" s="3">
        <v>88.0</v>
      </c>
      <c r="B89" s="4" t="s">
        <v>954</v>
      </c>
      <c r="C89" s="4" t="s">
        <v>955</v>
      </c>
      <c r="D89" s="4" t="s">
        <v>956</v>
      </c>
      <c r="E89" s="4" t="s">
        <v>957</v>
      </c>
      <c r="G89" s="5" t="str">
        <f>IFERROR(__xludf.DUMMYFUNCTION("GOOGLETRANSLATE(A89, ""en"", ""ar"")"),"88")</f>
        <v>88</v>
      </c>
      <c r="H89" s="5" t="str">
        <f>IFERROR(__xludf.DUMMYFUNCTION("GOOGLETRANSLATE(B89, ""en"", ""ar"")"),"هل يجوز للمصارع أن يطلب من أحد القادة الروحيين مباركة عصاه قبل المباراة؟")</f>
        <v>هل يجوز للمصارع أن يطلب من أحد القادة الروحيين مباركة عصاه قبل المباراة؟</v>
      </c>
      <c r="I89" s="5" t="str">
        <f>IFERROR(__xludf.DUMMYFUNCTION("GOOGLETRANSLATE(C89, ""en"", ""ar"")"),"أ) لا، يُعتبر هذا ميزة غير عادلة؛ ب) نعم، هذه ممارسة ثقافية محترمة؛ ج) فقط في المباريات الاحتفالية؛ د) فقط إذا فعل الخصم الشيء نفسه")</f>
        <v>أ) لا، يُعتبر هذا ميزة غير عادلة؛ ب) نعم، هذه ممارسة ثقافية محترمة؛ ج) فقط في المباريات الاحتفالية؛ د) فقط إذا فعل الخصم الشيء نفسه</v>
      </c>
      <c r="J89" s="5" t="str">
        <f>IFERROR(__xludf.DUMMYFUNCTION("GOOGLETRANSLATE(D89, ""en"", ""ar"")"),"ب) نعم، هذه ممارسة ثقافية محترمة")</f>
        <v>ب) نعم، هذه ممارسة ثقافية محترمة</v>
      </c>
      <c r="K89" s="5" t="str">
        <f>IFERROR(__xludf.DUMMYFUNCTION("GOOGLETRANSLATE(E89, ""en"", ""ar"")"),"تشكل الطقوس الثقافية والدينية جزءًا لا يتجزأ من التقاليد، ويُسمح بها طالما أنها لا تنتهك أي قواعد للسلامة.")</f>
        <v>تشكل الطقوس الثقافية والدينية جزءًا لا يتجزأ من التقاليد، ويُسمح بها طالما أنها لا تنتهك أي قواعد للسلامة.</v>
      </c>
    </row>
    <row r="90">
      <c r="A90" s="3">
        <v>89.0</v>
      </c>
      <c r="B90" s="4" t="s">
        <v>958</v>
      </c>
      <c r="C90" s="4" t="s">
        <v>959</v>
      </c>
      <c r="D90" s="4" t="s">
        <v>960</v>
      </c>
      <c r="E90" s="4" t="s">
        <v>961</v>
      </c>
      <c r="G90" s="5" t="str">
        <f>IFERROR(__xludf.DUMMYFUNCTION("GOOGLETRANSLATE(A90, ""en"", ""ar"")"),"89")</f>
        <v>89</v>
      </c>
      <c r="H90" s="5" t="str">
        <f>IFERROR(__xludf.DUMMYFUNCTION("GOOGLETRANSLATE(B90, ""en"", ""ar"")"),"ما هي عقوبة المصارع الذي يضرب منطقة غير قانونية بشكل متكرر ومتعمد بعد أن يتم تحذيره؟")</f>
        <v>ما هي عقوبة المصارع الذي يضرب منطقة غير قانونية بشكل متكرر ومتعمد بعد أن يتم تحذيره؟</v>
      </c>
      <c r="I90" s="5" t="str">
        <f>IFERROR(__xludf.DUMMYFUNCTION("GOOGLETRANSLATE(C90, ""en"", ""ar"")"),"أ) خصم نقطة؛ ب) تحذير نهائي؛ ج) الاستبعاد؛ د) يُمنح الخصم رمية حرة")</f>
        <v>أ) خصم نقطة؛ ب) تحذير نهائي؛ ج) الاستبعاد؛ د) يُمنح الخصم رمية حرة</v>
      </c>
      <c r="J90" s="5" t="str">
        <f>IFERROR(__xludf.DUMMYFUNCTION("GOOGLETRANSLATE(D90, ""en"", ""ar"")"),"ج) الاستبعاد")</f>
        <v>ج) الاستبعاد</v>
      </c>
      <c r="K90" s="5" t="str">
        <f>IFERROR(__xludf.DUMMYFUNCTION("GOOGLETRANSLATE(E90, ""en"", ""ar"")"),"بعد التحذير، فإن تكرار الأخطاء المتعمدة يشير إلى عدم مراعاة القواعد وسوف يؤدي إلى الاستبعاد.")</f>
        <v>بعد التحذير، فإن تكرار الأخطاء المتعمدة يشير إلى عدم مراعاة القواعد وسوف يؤدي إلى الاستبعاد.</v>
      </c>
    </row>
    <row r="91">
      <c r="A91" s="3">
        <v>90.0</v>
      </c>
      <c r="B91" s="4" t="s">
        <v>962</v>
      </c>
      <c r="C91" s="4" t="s">
        <v>963</v>
      </c>
      <c r="D91" s="4" t="s">
        <v>964</v>
      </c>
      <c r="E91" s="4" t="s">
        <v>965</v>
      </c>
      <c r="G91" s="5" t="str">
        <f>IFERROR(__xludf.DUMMYFUNCTION("GOOGLETRANSLATE(A91, ""en"", ""ar"")"),"90")</f>
        <v>90</v>
      </c>
      <c r="H91" s="5" t="str">
        <f>IFERROR(__xludf.DUMMYFUNCTION("GOOGLETRANSLATE(B91, ""en"", ""ar"")"),"هل يجوز أن تقام مباراة المصارعة بوجود حكم أو قاض واحد فقط؟")</f>
        <v>هل يجوز أن تقام مباراة المصارعة بوجود حكم أو قاض واحد فقط؟</v>
      </c>
      <c r="I91" s="5" t="str">
        <f>IFERROR(__xludf.DUMMYFUNCTION("GOOGLETRANSLATE(C91, ""en"", ""ar"")"),"أ) نعم، في المباريات المحلية الصغيرة؛ ب) لا، يلزم وجود ثلاثة مسؤولين على الأقل؛ ج) فقط إذا اتفق كلا المصارعين؛ د) فقط في حالة التعادل")</f>
        <v>أ) نعم، في المباريات المحلية الصغيرة؛ ب) لا، يلزم وجود ثلاثة مسؤولين على الأقل؛ ج) فقط إذا اتفق كلا المصارعين؛ د) فقط في حالة التعادل</v>
      </c>
      <c r="J91" s="5" t="str">
        <f>IFERROR(__xludf.DUMMYFUNCTION("GOOGLETRANSLATE(D91, ""en"", ""ar"")"),"ب) لا، يلزم وجود ثلاثة مسؤولين على الأقل")</f>
        <v>ب) لا، يلزم وجود ثلاثة مسؤولين على الأقل</v>
      </c>
      <c r="K91" s="5" t="str">
        <f>IFERROR(__xludf.DUMMYFUNCTION("GOOGLETRANSLATE(E91, ""en"", ""ar"")"),"ولضمان دقة التسجيل وتطبيق القواعد، هناك حاجة إلى لجنة من الحكام (عادة ما تكون حكم مركزي واثنان من القضاة).")</f>
        <v>ولضمان دقة التسجيل وتطبيق القواعد، هناك حاجة إلى لجنة من الحكام (عادة ما تكون حكم مركزي واثنان من القضاة).</v>
      </c>
    </row>
    <row r="92">
      <c r="A92" s="3">
        <v>91.0</v>
      </c>
      <c r="B92" s="4" t="s">
        <v>966</v>
      </c>
      <c r="C92" s="4" t="s">
        <v>967</v>
      </c>
      <c r="D92" s="4" t="s">
        <v>968</v>
      </c>
      <c r="E92" s="4" t="s">
        <v>969</v>
      </c>
      <c r="G92" s="5" t="str">
        <f>IFERROR(__xludf.DUMMYFUNCTION("GOOGLETRANSLATE(A92, ""en"", ""ar"")"),"91")</f>
        <v>91</v>
      </c>
      <c r="H92" s="5" t="str">
        <f>IFERROR(__xludf.DUMMYFUNCTION("GOOGLETRANSLATE(B92, ""en"", ""ar"")"),"هل يجوز رمي الرمل أو التراب على وجه الخصم أثناء المباراة؟")</f>
        <v>هل يجوز رمي الرمل أو التراب على وجه الخصم أثناء المباراة؟</v>
      </c>
      <c r="I92" s="5" t="str">
        <f>IFERROR(__xludf.DUMMYFUNCTION("GOOGLETRANSLATE(C92, ""en"", ""ar"")"),"أ) نعم، إذا أقيمت المباراة على الرمال؛ ب) لا، هذا خطأ جسيم؛ ج) كحركة دفاعية فقط؛ د) فقط إذا قام بها الخصم أولاً")</f>
        <v>أ) نعم، إذا أقيمت المباراة على الرمال؛ ب) لا، هذا خطأ جسيم؛ ج) كحركة دفاعية فقط؛ د) فقط إذا قام بها الخصم أولاً</v>
      </c>
      <c r="J92" s="5" t="str">
        <f>IFERROR(__xludf.DUMMYFUNCTION("GOOGLETRANSLATE(D92, ""en"", ""ar"")"),"ب) لا، هذه خطأ كبير")</f>
        <v>ب) لا، هذه خطأ كبير</v>
      </c>
      <c r="K92" s="5" t="str">
        <f>IFERROR(__xludf.DUMMYFUNCTION("GOOGLETRANSLATE(E92, ""en"", ""ar"")"),"إن إلقاء أي مادة عمدًا في عيون الخصم يعد عملًا خطيرًا وغير رياضي وهو محظور تمامًا.")</f>
        <v>إن إلقاء أي مادة عمدًا في عيون الخصم يعد عملًا خطيرًا وغير رياضي وهو محظور تمامًا.</v>
      </c>
    </row>
    <row r="93">
      <c r="A93" s="3">
        <v>92.0</v>
      </c>
      <c r="B93" s="4" t="s">
        <v>970</v>
      </c>
      <c r="C93" s="4" t="s">
        <v>971</v>
      </c>
      <c r="D93" s="4" t="s">
        <v>972</v>
      </c>
      <c r="E93" s="4" t="s">
        <v>973</v>
      </c>
      <c r="G93" s="5" t="str">
        <f>IFERROR(__xludf.DUMMYFUNCTION("GOOGLETRANSLATE(A93, ""en"", ""ar"")"),"92")</f>
        <v>92</v>
      </c>
      <c r="H93" s="5" t="str">
        <f>IFERROR(__xludf.DUMMYFUNCTION("GOOGLETRANSLATE(B93, ""en"", ""ar"")"),"ما هي القاعدة المتعلقة بـ""منطقة السلبية"" أو حافة منطقة المصارعة؟")</f>
        <v>ما هي القاعدة المتعلقة بـ"منطقة السلبية" أو حافة منطقة المصارعة؟</v>
      </c>
      <c r="I93" s="5" t="str">
        <f>IFERROR(__xludf.DUMMYFUNCTION("GOOGLETRANSLATE(C93, ""en"", ""ar"")"),"أ) لا توجد منطقة خاصة؛ ب) يُعطى المصارع الذي يتم دفعه إلى هذه المنطقة تحذيرًا؛ ج) يمكن للمصارع أن يستريح في هذه المنطقة؛ د) يجب أن تحدث جميع الرميات في هذه المنطقة")</f>
        <v>أ) لا توجد منطقة خاصة؛ ب) يُعطى المصارع الذي يتم دفعه إلى هذه المنطقة تحذيرًا؛ ج) يمكن للمصارع أن يستريح في هذه المنطقة؛ د) يجب أن تحدث جميع الرميات في هذه المنطقة</v>
      </c>
      <c r="J93" s="5" t="str">
        <f>IFERROR(__xludf.DUMMYFUNCTION("GOOGLETRANSLATE(D93, ""en"", ""ar"")"),"ب) يتم إعطاء المصارع الذي يتم دفعه إلى هذه المنطقة تحذيرًا")</f>
        <v>ب) يتم إعطاء المصارع الذي يتم دفعه إلى هذه المنطقة تحذيرًا</v>
      </c>
      <c r="K93" s="5" t="str">
        <f>IFERROR(__xludf.DUMMYFUNCTION("GOOGLETRANSLATE(E93, ""en"", ""ar"")"),"لتشجيع المشاركة النشطة في المركز، قد يتلقى المصارع الذي يُجبر باستمرار على الوصول إلى حافة الحلبة تحذيرًا سلبيًا.")</f>
        <v>لتشجيع المشاركة النشطة في المركز، قد يتلقى المصارع الذي يُجبر باستمرار على الوصول إلى حافة الحلبة تحذيرًا سلبيًا.</v>
      </c>
    </row>
    <row r="94">
      <c r="A94" s="3">
        <v>93.0</v>
      </c>
      <c r="B94" s="4" t="s">
        <v>974</v>
      </c>
      <c r="C94" s="4" t="s">
        <v>975</v>
      </c>
      <c r="D94" s="4" t="s">
        <v>976</v>
      </c>
      <c r="E94" s="4" t="s">
        <v>977</v>
      </c>
      <c r="G94" s="5" t="str">
        <f>IFERROR(__xludf.DUMMYFUNCTION("GOOGLETRANSLATE(A94, ""en"", ""ar"")"),"93")</f>
        <v>93</v>
      </c>
      <c r="H94" s="5" t="str">
        <f>IFERROR(__xludf.DUMMYFUNCTION("GOOGLETRANSLATE(B94, ""en"", ""ar"")"),"إذا تم استبعاد المصارع، من هو الذي يُعلن الفائز؟")</f>
        <v>إذا تم استبعاد المصارع، من هو الذي يُعلن الفائز؟</v>
      </c>
      <c r="I94" s="5" t="str">
        <f>IFERROR(__xludf.DUMMYFUNCTION("GOOGLETRANSLATE(C94, ""en"", ""ar"")"),"أ) الخصم هو الفائز تلقائيًا؛ ب) يتم إعلان المباراة بلا منافسة؛ ج) لا يزال بإمكان المصارع المستبعد الحصول على المركز الثاني؛ د) يتم إدخال خصم جديد")</f>
        <v>أ) الخصم هو الفائز تلقائيًا؛ ب) يتم إعلان المباراة بلا منافسة؛ ج) لا يزال بإمكان المصارع المستبعد الحصول على المركز الثاني؛ د) يتم إدخال خصم جديد</v>
      </c>
      <c r="J94" s="5" t="str">
        <f>IFERROR(__xludf.DUMMYFUNCTION("GOOGLETRANSLATE(D94, ""en"", ""ar"")"),"أ) الخصم هو الفائز تلقائيًا")</f>
        <v>أ) الخصم هو الفائز تلقائيًا</v>
      </c>
      <c r="K94" s="5" t="str">
        <f>IFERROR(__xludf.DUMMYFUNCTION("GOOGLETRANSLATE(E94, ""en"", ""ar"")"),"يؤدي الاستبعاد إلى خسارة فورية للمصارع المخالف وفوز لخصمه.")</f>
        <v>يؤدي الاستبعاد إلى خسارة فورية للمصارع المخالف وفوز لخصمه.</v>
      </c>
    </row>
    <row r="95">
      <c r="A95" s="3">
        <v>94.0</v>
      </c>
      <c r="B95" s="4" t="s">
        <v>978</v>
      </c>
      <c r="C95" s="4" t="s">
        <v>979</v>
      </c>
      <c r="D95" s="4" t="s">
        <v>980</v>
      </c>
      <c r="E95" s="4" t="s">
        <v>981</v>
      </c>
      <c r="G95" s="5" t="str">
        <f>IFERROR(__xludf.DUMMYFUNCTION("GOOGLETRANSLATE(A95, ""en"", ""ar"")"),"94")</f>
        <v>94</v>
      </c>
      <c r="H95" s="5" t="str">
        <f>IFERROR(__xludf.DUMMYFUNCTION("GOOGLETRANSLATE(B95, ""en"", ""ar"")"),"هل يُسمح للمصارعين بارتداء أي نوع من وسائل حماية الجسم، مثل واقي الفم أو واقي الفخذ؟")</f>
        <v>هل يُسمح للمصارعين بارتداء أي نوع من وسائل حماية الجسم، مثل واقي الفم أو واقي الفخذ؟</v>
      </c>
      <c r="I95" s="5" t="str">
        <f>IFERROR(__xludf.DUMMYFUNCTION("GOOGLETRANSLATE(C95, ""en"", ""ar"")"),"أ) لا، لا يُسمح بأي حماية؛ ب) نعم، ولكن يجب الموافقة عليها من قبل المسؤولين؛ ج) فقط في مسابقات الشباب؛ د) فقط إذا أوصى الطبيب بذلك")</f>
        <v>أ) لا، لا يُسمح بأي حماية؛ ب) نعم، ولكن يجب الموافقة عليها من قبل المسؤولين؛ ج) فقط في مسابقات الشباب؛ د) فقط إذا أوصى الطبيب بذلك</v>
      </c>
      <c r="J95" s="5" t="str">
        <f>IFERROR(__xludf.DUMMYFUNCTION("GOOGLETRANSLATE(D95, ""en"", ""ar"")"),"ب) نعم، ولكن يجب أن تتم الموافقة عليه من قبل المسؤولين.")</f>
        <v>ب) نعم، ولكن يجب أن تتم الموافقة عليه من قبل المسؤولين.</v>
      </c>
      <c r="K95" s="5" t="str">
        <f>IFERROR(__xludf.DUMMYFUNCTION("GOOGLETRANSLATE(E95, ""en"", ""ar"")"),"يُسمح عمومًا باستخدام معدات السلامة الأساسية التي لا تؤثر على الأداء أو تشكل خطرًا على الخصم.")</f>
        <v>يُسمح عمومًا باستخدام معدات السلامة الأساسية التي لا تؤثر على الأداء أو تشكل خطرًا على الخصم.</v>
      </c>
    </row>
    <row r="96">
      <c r="A96" s="3">
        <v>95.0</v>
      </c>
      <c r="B96" s="4" t="s">
        <v>982</v>
      </c>
      <c r="C96" s="4" t="s">
        <v>983</v>
      </c>
      <c r="D96" s="4" t="s">
        <v>984</v>
      </c>
      <c r="E96" s="4" t="s">
        <v>985</v>
      </c>
      <c r="G96" s="5" t="str">
        <f>IFERROR(__xludf.DUMMYFUNCTION("GOOGLETRANSLATE(A96, ""en"", ""ar"")"),"95")</f>
        <v>95</v>
      </c>
      <c r="H96" s="5" t="str">
        <f>IFERROR(__xludf.DUMMYFUNCTION("GOOGLETRANSLATE(B96, ""en"", ""ar"")"),"ما هي النتيجة الرسمية إذا تم اكتشاف أن اثنين من المصارعين قاموا بترتيب نتيجة مباراتهم عمداً مسبقًا؟")</f>
        <v>ما هي النتيجة الرسمية إذا تم اكتشاف أن اثنين من المصارعين قاموا بترتيب نتيجة مباراتهم عمداً مسبقًا؟</v>
      </c>
      <c r="I96" s="5" t="str">
        <f>IFERROR(__xludf.DUMMYFUNCTION("GOOGLETRANSLATE(C96, ""en"", ""ar"")"),"أ) النتيجة ثابتة؛ ب) يتم منع كلا المصارعين من ممارسة الرياضة؛ ج) يتم إعادة المباراة مع مصارعين جدد؛ د) يتم التبرع بجائزة المال للأعمال الخيرية")</f>
        <v>أ) النتيجة ثابتة؛ ب) يتم منع كلا المصارعين من ممارسة الرياضة؛ ج) يتم إعادة المباراة مع مصارعين جدد؛ د) يتم التبرع بجائزة المال للأعمال الخيرية</v>
      </c>
      <c r="J96" s="5" t="str">
        <f>IFERROR(__xludf.DUMMYFUNCTION("GOOGLETRANSLATE(D96, ""en"", ""ar"")"),"ب) كلا المصارعين ممنوعان من ممارسة هذه الرياضة")</f>
        <v>ب) كلا المصارعين ممنوعان من ممارسة هذه الرياضة</v>
      </c>
      <c r="K96" s="5" t="str">
        <f>IFERROR(__xludf.DUMMYFUNCTION("GOOGLETRANSLATE(E96, ""en"", ""ar"")"),"يعد التلاعب بنتائج المباريات من أخطر الجرائم التي ترتكب ضد نزاهة الرياضة، ويؤدي إلى فرض حظر شديد وطويل الأمد على جميع المتورطين فيه.")</f>
        <v>يعد التلاعب بنتائج المباريات من أخطر الجرائم التي ترتكب ضد نزاهة الرياضة، ويؤدي إلى فرض حظر شديد وطويل الأمد على جميع المتورطين فيه.</v>
      </c>
    </row>
    <row r="97">
      <c r="A97" s="3">
        <v>96.0</v>
      </c>
      <c r="B97" s="4" t="s">
        <v>986</v>
      </c>
      <c r="C97" s="4" t="s">
        <v>987</v>
      </c>
      <c r="D97" s="4" t="s">
        <v>988</v>
      </c>
      <c r="E97" s="4" t="s">
        <v>989</v>
      </c>
      <c r="G97" s="5" t="str">
        <f>IFERROR(__xludf.DUMMYFUNCTION("GOOGLETRANSLATE(A97, ""en"", ""ar"")"),"96")</f>
        <v>96</v>
      </c>
      <c r="H97" s="5" t="str">
        <f>IFERROR(__xludf.DUMMYFUNCTION("GOOGLETRANSLATE(B97, ""en"", ""ar"")"),"هل يمكن معاقبة المصارع لاستخدامه عصاه لدفع الخصم بدلا من الضرب؟")</f>
        <v>هل يمكن معاقبة المصارع لاستخدامه عصاه لدفع الخصم بدلا من الضرب؟</v>
      </c>
      <c r="I97" s="5" t="str">
        <f>IFERROR(__xludf.DUMMYFUNCTION("GOOGLETRANSLATE(C97, ""en"", ""ar"")"),"أ) لا، الدفع مسموح به؛ ب) نعم، هذا استخدام غير قانوني للعصا؛ ج) فقط إذا كان في الوجه؛ د) فقط إذا تسبب في سقوط الخصم")</f>
        <v>أ) لا، الدفع مسموح به؛ ب) نعم، هذا استخدام غير قانوني للعصا؛ ج) فقط إذا كان في الوجه؛ د) فقط إذا تسبب في سقوط الخصم</v>
      </c>
      <c r="J97" s="5" t="str">
        <f>IFERROR(__xludf.DUMMYFUNCTION("GOOGLETRANSLATE(D97, ""en"", ""ar"")"),"ب) نعم، هذا استخدام غير قانوني للعصا.")</f>
        <v>ب) نعم، هذا استخدام غير قانوني للعصا.</v>
      </c>
      <c r="K97" s="5" t="str">
        <f>IFERROR(__xludf.DUMMYFUNCTION("GOOGLETRANSLATE(E97, ""en"", ""ar"")"),"العصا مخصصة لضرب وحجب تقنيات محددة، واستخدامها لمجرد الدفع يعد خطأ.")</f>
        <v>العصا مخصصة لضرب وحجب تقنيات محددة، واستخدامها لمجرد الدفع يعد خطأ.</v>
      </c>
    </row>
    <row r="98">
      <c r="A98" s="3">
        <v>97.0</v>
      </c>
      <c r="B98" s="4" t="s">
        <v>990</v>
      </c>
      <c r="C98" s="4" t="s">
        <v>991</v>
      </c>
      <c r="D98" s="4" t="s">
        <v>992</v>
      </c>
      <c r="E98" s="4" t="s">
        <v>993</v>
      </c>
      <c r="G98" s="5" t="str">
        <f>IFERROR(__xludf.DUMMYFUNCTION("GOOGLETRANSLATE(A98, ""en"", ""ar"")"),"97")</f>
        <v>97</v>
      </c>
      <c r="H98" s="5" t="str">
        <f>IFERROR(__xludf.DUMMYFUNCTION("GOOGLETRANSLATE(B98, ""en"", ""ar"")"),"ما هو دور الموسيقى التقليدية التي يتم تشغيلها أثناء مباراة المصارعة؟")</f>
        <v>ما هو دور الموسيقى التقليدية التي يتم تشغيلها أثناء مباراة المصارعة؟</v>
      </c>
      <c r="I98" s="5" t="str">
        <f>IFERROR(__xludf.DUMMYFUNCTION("GOOGLETRANSLATE(C98, ""en"", ""ar"")"),"أ) إنها مجرد تسلية؛ ب) إنها تحدد إيقاع وسرعة القتال؛ ج) إنها تشير إلى نهاية الجولة؛ د) يتم استخدامها لتشتيت انتباه المصارعين")</f>
        <v>أ) إنها مجرد تسلية؛ ب) إنها تحدد إيقاع وسرعة القتال؛ ج) إنها تشير إلى نهاية الجولة؛ د) يتم استخدامها لتشتيت انتباه المصارعين</v>
      </c>
      <c r="J98" s="5" t="str">
        <f>IFERROR(__xludf.DUMMYFUNCTION("GOOGLETRANSLATE(D98, ""en"", ""ar"")"),"ب) يحدد إيقاع وسرعة القتال")</f>
        <v>ب) يحدد إيقاع وسرعة القتال</v>
      </c>
      <c r="K98" s="5" t="str">
        <f>IFERROR(__xludf.DUMMYFUNCTION("GOOGLETRANSLATE(E98, ""en"", ""ar"")"),"تشكل الموسيقى جزءًا لا يتجزأ من الحدث، حيث ترتفع وتيرة الحدث وتنخفض في كثير من الأحيان مع الحركة في الحلبة.")</f>
        <v>تشكل الموسيقى جزءًا لا يتجزأ من الحدث، حيث ترتفع وتيرة الحدث وتنخفض في كثير من الأحيان مع الحركة في الحلبة.</v>
      </c>
    </row>
    <row r="99">
      <c r="A99" s="3">
        <v>98.0</v>
      </c>
      <c r="B99" s="4" t="s">
        <v>994</v>
      </c>
      <c r="C99" s="4" t="s">
        <v>995</v>
      </c>
      <c r="D99" s="4" t="s">
        <v>996</v>
      </c>
      <c r="E99" s="4" t="s">
        <v>997</v>
      </c>
      <c r="G99" s="5" t="str">
        <f>IFERROR(__xludf.DUMMYFUNCTION("GOOGLETRANSLATE(A99, ""en"", ""ar"")"),"98")</f>
        <v>98</v>
      </c>
      <c r="H99" s="5" t="str">
        <f>IFERROR(__xludf.DUMMYFUNCTION("GOOGLETRANSLATE(B99, ""en"", ""ar"")"),"إذا تم رمي المصارع ولكنه تمكن من الهبوط على قدميه، كيف يتم تسجيل هذا الفعل؟")</f>
        <v>إذا تم رمي المصارع ولكنه تمكن من الهبوط على قدميه، كيف يتم تسجيل هذا الفعل؟</v>
      </c>
      <c r="I99" s="5" t="str">
        <f>IFERROR(__xludf.DUMMYFUNCTION("GOOGLETRANSLATE(C99, ""en"", ""ar"")"),"أ) لا تزال تُمنح نقطة للرامي؛ ب) لا تُسجل أي نقاط؛ ج) تُمنح نقطة جزئية للمحاولة؛ د) يحصل المصارع الذي هبط على قدميه على نقطة للدفاع")</f>
        <v>أ) لا تزال تُمنح نقطة للرامي؛ ب) لا تُسجل أي نقاط؛ ج) تُمنح نقطة جزئية للمحاولة؛ د) يحصل المصارع الذي هبط على قدميه على نقطة للدفاع</v>
      </c>
      <c r="J99" s="5" t="str">
        <f>IFERROR(__xludf.DUMMYFUNCTION("GOOGLETRANSLATE(D99, ""en"", ""ar"")"),"ب) لم يتم تسجيل أي نقاط")</f>
        <v>ب) لم يتم تسجيل أي نقاط</v>
      </c>
      <c r="K99" s="5" t="str">
        <f>IFERROR(__xludf.DUMMYFUNCTION("GOOGLETRANSLATE(E99, ""en"", ""ar"")"),"يتم احتساب الرمية فقط إذا تم إسقاط الخصم على ظهره أو جانبه، والاسترداد الدفاعي الناجح يلغي النتيجة.")</f>
        <v>يتم احتساب الرمية فقط إذا تم إسقاط الخصم على ظهره أو جانبه، والاسترداد الدفاعي الناجح يلغي النتيجة.</v>
      </c>
    </row>
    <row r="100">
      <c r="A100" s="3">
        <v>99.0</v>
      </c>
      <c r="B100" s="4" t="s">
        <v>998</v>
      </c>
      <c r="C100" s="4" t="s">
        <v>999</v>
      </c>
      <c r="D100" s="4" t="s">
        <v>1000</v>
      </c>
      <c r="E100" s="4" t="s">
        <v>1001</v>
      </c>
      <c r="G100" s="5" t="str">
        <f>IFERROR(__xludf.DUMMYFUNCTION("GOOGLETRANSLATE(A100, ""en"", ""ar"")"),"99")</f>
        <v>99</v>
      </c>
      <c r="H100" s="5" t="str">
        <f>IFERROR(__xludf.DUMMYFUNCTION("GOOGLETRANSLATE(B100, ""en"", ""ar"")"),"هل هناك قواعد بشأن وزن عصا المصارعة؟")</f>
        <v>هل هناك قواعد بشأن وزن عصا المصارعة؟</v>
      </c>
      <c r="I100" s="5" t="str">
        <f>IFERROR(__xludf.DUMMYFUNCTION("GOOGLETRANSLATE(C100, ""en"", ""ar"")"),"أ) لا، يُسمح بأي وزن؛ ب) نعم، يجب أن تكون العصا ضمن نطاق وزن محدد؛ ج) يجب أن تكون العصا خفيفة قدر الإمكان؛ د) يجب على المصارعين استخدام عصي ذات وزن متساوٍ")</f>
        <v>أ) لا، يُسمح بأي وزن؛ ب) نعم، يجب أن تكون العصا ضمن نطاق وزن محدد؛ ج) يجب أن تكون العصا خفيفة قدر الإمكان؛ د) يجب على المصارعين استخدام عصي ذات وزن متساوٍ</v>
      </c>
      <c r="J100" s="5" t="str">
        <f>IFERROR(__xludf.DUMMYFUNCTION("GOOGLETRANSLATE(D100, ""en"", ""ar"")"),"د) يجب على المصارعين استخدام العصي ذات الوزن المتساوي")</f>
        <v>د) يجب على المصارعين استخدام العصي ذات الوزن المتساوي</v>
      </c>
      <c r="K100" s="5" t="str">
        <f>IFERROR(__xludf.DUMMYFUNCTION("GOOGLETRANSLATE(E100, ""en"", ""ar"")"),"ولضمان العدالة، يجب أن تكون العصي المقدمة للمباراة متطابقة أو متقاربة جدًا في الوزن والحجم.")</f>
        <v>ولضمان العدالة، يجب أن تكون العصي المقدمة للمباراة متطابقة أو متقاربة جدًا في الوزن والحجم.</v>
      </c>
    </row>
    <row r="101">
      <c r="A101" s="3">
        <v>100.0</v>
      </c>
      <c r="B101" s="4" t="s">
        <v>1002</v>
      </c>
      <c r="C101" s="4" t="s">
        <v>1003</v>
      </c>
      <c r="D101" s="4" t="s">
        <v>1004</v>
      </c>
      <c r="E101" s="4" t="s">
        <v>1005</v>
      </c>
      <c r="G101" s="5" t="str">
        <f>IFERROR(__xludf.DUMMYFUNCTION("GOOGLETRANSLATE(A101, ""en"", ""ar"")"),"100")</f>
        <v>100</v>
      </c>
      <c r="H101" s="5" t="str">
        <f>IFERROR(__xludf.DUMMYFUNCTION("GOOGLETRANSLATE(B101, ""en"", ""ar"")"),"ما هو أعلى شرف أو لقب يمكن أن يحصل عليه بطل المصارعة النوبي؟")</f>
        <v>ما هو أعلى شرف أو لقب يمكن أن يحصل عليه بطل المصارعة النوبي؟</v>
      </c>
      <c r="I101" s="5" t="str">
        <f>IFERROR(__xludf.DUMMYFUNCTION("GOOGLETRANSLATE(C101, ""en"", ""ar"")"),"أ) ""العصا الذهبية""؛ ب) لقب ""سيد الحلبة""؛ ج) جائزة نقدية فقط؛ د) ""حزام الزعيم""")</f>
        <v>أ) "العصا الذهبية"؛ ب) لقب "سيد الحلبة"؛ ج) جائزة نقدية فقط؛ د) "حزام الزعيم"</v>
      </c>
      <c r="J101" s="5" t="str">
        <f>IFERROR(__xludf.DUMMYFUNCTION("GOOGLETRANSLATE(D101, ""en"", ""ar"")"),"ب) لقب ""سيد الحلبة""")</f>
        <v>ب) لقب "سيد الحلبة"</v>
      </c>
      <c r="K101" s="5" t="str">
        <f>IFERROR(__xludf.DUMMYFUNCTION("GOOGLETRANSLATE(E101, ""en"", ""ar"")"),"إن الفوز ببطولة كبرى يمنح شرفًا عظيمًا واللقب المرموق ""سيد الحلبة"" (ساحة المصارعة).")</f>
        <v>إن الفوز ببطولة كبرى يمنح شرفًا عظيمًا واللقب المرموق "سيد الحلبة" (ساحة المصارعة).</v>
      </c>
    </row>
    <row r="102">
      <c r="A102" s="3">
        <v>101.0</v>
      </c>
      <c r="B102" s="4" t="s">
        <v>1006</v>
      </c>
      <c r="C102" s="4" t="s">
        <v>1007</v>
      </c>
      <c r="D102" s="4" t="s">
        <v>1008</v>
      </c>
      <c r="E102" s="4" t="s">
        <v>1009</v>
      </c>
      <c r="G102" s="5" t="str">
        <f>IFERROR(__xludf.DUMMYFUNCTION("GOOGLETRANSLATE(A102, ""en"", ""ar"")"),"101")</f>
        <v>101</v>
      </c>
      <c r="H102" s="5" t="str">
        <f>IFERROR(__xludf.DUMMYFUNCTION("GOOGLETRANSLATE(B102, ""en"", ""ar"")"),"ما هو الإجراء الرسمي إذا تبين أن الحكم متحيز أو لا ينفذ القواعد بشكل عادل؟")</f>
        <v>ما هو الإجراء الرسمي إذا تبين أن الحكم متحيز أو لا ينفذ القواعد بشكل عادل؟</v>
      </c>
      <c r="I102" s="5" t="str">
        <f>IFERROR(__xludf.DUMMYFUNCTION("GOOGLETRANSLATE(C102, ""en"", ""ar"")"),"أ) يمكن للمصارعين رفض القتال؛ ب) يمكن لمسؤول كبير أو حكم أن يحل محل الحكم؛ ج) يتم إعلان المباريات باطلة؛ د) يتم تحذير الحكم بعد الحدث")</f>
        <v>أ) يمكن للمصارعين رفض القتال؛ ب) يمكن لمسؤول كبير أو حكم أن يحل محل الحكم؛ ج) يتم إعلان المباريات باطلة؛ د) يتم تحذير الحكم بعد الحدث</v>
      </c>
      <c r="J102" s="5" t="str">
        <f>IFERROR(__xludf.DUMMYFUNCTION("GOOGLETRANSLATE(D102, ""en"", ""ar"")"),"ب) يمكن لمسؤول كبير أو قاضي أن يحل محل الحكم")</f>
        <v>ب) يمكن لمسؤول كبير أو قاضي أن يحل محل الحكم</v>
      </c>
      <c r="K102" s="5" t="str">
        <f>IFERROR(__xludf.DUMMYFUNCTION("GOOGLETRANSLATE(E102, ""en"", ""ar"")"),"إذا كان هناك دليل واضح على عدم الكفاءة أو التحيز، فيحق لمسؤول أعلى رتبة التدخل وتغيير الحكم.")</f>
        <v>إذا كان هناك دليل واضح على عدم الكفاءة أو التحيز، فيحق لمسؤول أعلى رتبة التدخل وتغيير الحكم.</v>
      </c>
    </row>
    <row r="103">
      <c r="A103" s="3">
        <v>102.0</v>
      </c>
      <c r="B103" s="4" t="s">
        <v>1010</v>
      </c>
      <c r="C103" s="4" t="s">
        <v>1011</v>
      </c>
      <c r="D103" s="4" t="s">
        <v>1012</v>
      </c>
      <c r="E103" s="4" t="s">
        <v>1013</v>
      </c>
      <c r="G103" s="5" t="str">
        <f>IFERROR(__xludf.DUMMYFUNCTION("GOOGLETRANSLATE(A103, ""en"", ""ar"")"),"102")</f>
        <v>102</v>
      </c>
      <c r="H103" s="5" t="str">
        <f>IFERROR(__xludf.DUMMYFUNCTION("GOOGLETRANSLATE(B103, ""en"", ""ar"")"),"هل هناك قواعد محددة بشأن النظام الغذائي للمصارع في الأيام التي تسبق المنافسة؟")</f>
        <v>هل هناك قواعد محددة بشأن النظام الغذائي للمصارع في الأيام التي تسبق المنافسة؟</v>
      </c>
      <c r="I103" s="5" t="str">
        <f>IFERROR(__xludf.DUMMYFUNCTION("GOOGLETRANSLATE(C103, ""en"", ""ar"")"),"أ)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f>
        <v>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v>
      </c>
      <c r="J103" s="5" t="str">
        <f>IFERROR(__xludf.DUMMYFUNCTION("GOOGLETRANSLATE(D103, ""en"", ""ar"")"),"ج) لا يحرم عليهم إلا شرب الخمر.")</f>
        <v>ج) لا يحرم عليهم إلا شرب الخمر.</v>
      </c>
      <c r="K103" s="5" t="str">
        <f>IFERROR(__xludf.DUMMYFUNCTION("GOOGLETRANSLATE(E103, ""en"", ""ar"")"),"على الرغم من عدم فرض اتباع أنظمة غذائية محددة، فإن تناول الكحول أو المسكرات الأخرى قبل المنافسة محظور تمامًا.")</f>
        <v>على الرغم من عدم فرض اتباع أنظمة غذائية محددة، فإن تناول الكحول أو المسكرات الأخرى قبل المنافسة محظور تمامًا.</v>
      </c>
    </row>
    <row r="104">
      <c r="A104" s="3">
        <v>103.0</v>
      </c>
      <c r="B104" s="4" t="s">
        <v>1014</v>
      </c>
      <c r="C104" s="4" t="s">
        <v>1015</v>
      </c>
      <c r="D104" s="4" t="s">
        <v>1016</v>
      </c>
      <c r="E104" s="4" t="s">
        <v>1017</v>
      </c>
      <c r="G104" s="5" t="str">
        <f>IFERROR(__xludf.DUMMYFUNCTION("GOOGLETRANSLATE(A104, ""en"", ""ar"")"),"103")</f>
        <v>103</v>
      </c>
      <c r="H104" s="5" t="str">
        <f>IFERROR(__xludf.DUMMYFUNCTION("GOOGLETRANSLATE(B104, ""en"", ""ar"")"),"إذا قام المصارع بإصابة خصمه عن طريق الخطأ، ما هي الإشارة المطلوبة من الروح الرياضية؟")</f>
        <v>إذا قام المصارع بإصابة خصمه عن طريق الخطأ، ما هي الإشارة المطلوبة من الروح الرياضية؟</v>
      </c>
      <c r="I104" s="5" t="str">
        <f>IFERROR(__xludf.DUMMYFUNCTION("GOOGLETRANSLATE(C104, ""en"", ""ar"")"),"أ) التحقق فورًا من سلامة الخصم؛ ب) الاحتفال بالنقطة؛ ج) تجاهل الخصم وانتظار إعادة اللعب؛ د) الاعتذار لمدرب الخصم")</f>
        <v>أ) التحقق فورًا من سلامة الخصم؛ ب) الاحتفال بالنقطة؛ ج) تجاهل الخصم وانتظار إعادة اللعب؛ د) الاعتذار لمدرب الخصم</v>
      </c>
      <c r="J104" s="5" t="str">
        <f>IFERROR(__xludf.DUMMYFUNCTION("GOOGLETRANSLATE(D104, ""en"", ""ar"")"),"أ) التحقق فورًا من سلامة الخصم")</f>
        <v>أ) التحقق فورًا من سلامة الخصم</v>
      </c>
      <c r="K104" s="5" t="str">
        <f>IFERROR(__xludf.DUMMYFUNCTION("GOOGLETRANSLATE(E104, ""en"", ""ar"")"),"أحد المبادئ الأساسية للمصارعة النوبية هو الاحترام؛ حيث من المتوقع أن يُظهر المصارع الاهتمام بخصمه الذي أصابه عن طريق الخطأ.")</f>
        <v>أحد المبادئ الأساسية للمصارعة النوبية هو الاحترام؛ حيث من المتوقع أن يُظهر المصارع الاهتمام بخصمه الذي أصابه عن طريق الخطأ.</v>
      </c>
    </row>
    <row r="105">
      <c r="A105" s="3">
        <v>104.0</v>
      </c>
      <c r="B105" s="4" t="s">
        <v>1018</v>
      </c>
      <c r="C105" s="4" t="s">
        <v>1019</v>
      </c>
      <c r="D105" s="4" t="s">
        <v>1020</v>
      </c>
      <c r="E105" s="4" t="s">
        <v>1021</v>
      </c>
      <c r="G105" s="5" t="str">
        <f>IFERROR(__xludf.DUMMYFUNCTION("GOOGLETRANSLATE(A105, ""en"", ""ar"")"),"104")</f>
        <v>104</v>
      </c>
      <c r="H105" s="5" t="str">
        <f>IFERROR(__xludf.DUMMYFUNCTION("GOOGLETRANSLATE(B105, ""en"", ""ar"")"),"ما هي عقوبة المصارع الذي يرفض أداء التحية التقليدية قبل المباراة؟")</f>
        <v>ما هي عقوبة المصارع الذي يرفض أداء التحية التقليدية قبل المباراة؟</v>
      </c>
      <c r="I105" s="5" t="str">
        <f>IFERROR(__xludf.DUMMYFUNCTION("GOOGLETRANSLATE(C105, ""en"", ""ar"")"),"أ) لا عقوبة؛ ب) تحذير رسمي بسبب عدم الاحترام؛ ج) خصم نقطة قبل بدء المباراة؛ د) الاستبعاد")</f>
        <v>أ) لا عقوبة؛ ب) تحذير رسمي بسبب عدم الاحترام؛ ج) خصم نقطة قبل بدء المباراة؛ د) الاستبعاد</v>
      </c>
      <c r="J105" s="5" t="str">
        <f>IFERROR(__xludf.DUMMYFUNCTION("GOOGLETRANSLATE(D105, ""en"", ""ar"")"),"ب) تحذير رسمي لعدم الاحترام")</f>
        <v>ب) تحذير رسمي لعدم الاحترام</v>
      </c>
      <c r="K105" s="5" t="str">
        <f>IFERROR(__xludf.DUMMYFUNCTION("GOOGLETRANSLATE(E105, ""en"", ""ar"")"),"تعتبر طقوس ما قبل المباراة جزءًا إلزاميًا من التقاليد، ويعتبر رفض المشاركة فيها جريمة يعاقب عليها القانون.")</f>
        <v>تعتبر طقوس ما قبل المباراة جزءًا إلزاميًا من التقاليد، ويعتبر رفض المشاركة فيها جريمة يعاقب عليها القانون.</v>
      </c>
    </row>
    <row r="106">
      <c r="A106" s="3">
        <v>105.0</v>
      </c>
      <c r="B106" s="4" t="s">
        <v>1022</v>
      </c>
      <c r="C106" s="4" t="s">
        <v>1023</v>
      </c>
      <c r="D106" s="4" t="s">
        <v>1024</v>
      </c>
      <c r="E106" s="4" t="s">
        <v>1025</v>
      </c>
      <c r="G106" s="5" t="str">
        <f>IFERROR(__xludf.DUMMYFUNCTION("GOOGLETRANSLATE(A106, ""en"", ""ar"")"),"105")</f>
        <v>105</v>
      </c>
      <c r="H106" s="5" t="str">
        <f>IFERROR(__xludf.DUMMYFUNCTION("GOOGLETRANSLATE(B106, ""en"", ""ar"")"),"هل يجوز ضرب الخصم على يديه لإسقاط عصاه؟")</f>
        <v>هل يجوز ضرب الخصم على يديه لإسقاط عصاه؟</v>
      </c>
      <c r="I106" s="5" t="str">
        <f>IFERROR(__xludf.DUMMYFUNCTION("GOOGLETRANSLATE(C106, ""en"", ""ar"")"),"أ) نعم، إنها تقنية نزع سلاح صالحة؛ ب) لا، الضربات على اليدين ممنوعة؛ ج) فقط بصفعة اليد المفتوحة؛ د) فقط إذا كان الخصم يهاجم")</f>
        <v>أ) نعم، إنها تقنية نزع سلاح صالحة؛ ب) لا، الضربات على اليدين ممنوعة؛ ج) فقط بصفعة اليد المفتوحة؛ د) فقط إذا كان الخصم يهاجم</v>
      </c>
      <c r="J106" s="5" t="str">
        <f>IFERROR(__xludf.DUMMYFUNCTION("GOOGLETRANSLATE(D106, ""en"", ""ar"")"),"أ) نعم، إنها تقنية نزع سلاح صالحة")</f>
        <v>أ) نعم، إنها تقنية نزع سلاح صالحة</v>
      </c>
      <c r="K106" s="5" t="str">
        <f>IFERROR(__xludf.DUMMYFUNCTION("GOOGLETRANSLATE(E106, ""en"", ""ar"")"),"إن ضرب اليدين أو الساعد هو وسيلة مشروعة لنزع سلاح الخصم، طالما لم يتم ذلك بقوة مفرطة.")</f>
        <v>إن ضرب اليدين أو الساعد هو وسيلة مشروعة لنزع سلاح الخصم، طالما لم يتم ذلك بقوة مفرطة.</v>
      </c>
    </row>
    <row r="107">
      <c r="A107" s="3">
        <v>106.0</v>
      </c>
      <c r="B107" s="4" t="s">
        <v>1026</v>
      </c>
      <c r="C107" s="4" t="s">
        <v>1027</v>
      </c>
      <c r="D107" s="4" t="s">
        <v>1028</v>
      </c>
      <c r="E107" s="4" t="s">
        <v>1029</v>
      </c>
      <c r="G107" s="5" t="str">
        <f>IFERROR(__xludf.DUMMYFUNCTION("GOOGLETRANSLATE(A107, ""en"", ""ar"")"),"106")</f>
        <v>106</v>
      </c>
      <c r="H107" s="5" t="str">
        <f>IFERROR(__xludf.DUMMYFUNCTION("GOOGLETRANSLATE(B107, ""en"", ""ar"")"),"ما هي القاعدة إذا أصبح الزي التقليدي للمصارع (مثل مئزر) فضفاضًا أثناء المباراة؟")</f>
        <v>ما هي القاعدة إذا أصبح الزي التقليدي للمصارع (مثل مئزر) فضفاضًا أثناء المباراة؟</v>
      </c>
      <c r="I107" s="5" t="str">
        <f>IFERROR(__xludf.DUMMYFUNCTION("GOOGLETRANSLATE(C107, ""en"", ""ar"")"),"أ) تستمر المباراة؛ ب) يجب على الحكم إيقاف المباراة مؤقتًا للسماح بإعادة التعديل؛ ج) يتم استبعاد المصارع؛ د) يتم منح نقطة للخصم")</f>
        <v>أ) تستمر المباراة؛ ب) يجب على الحكم إيقاف المباراة مؤقتًا للسماح بإعادة التعديل؛ ج) يتم استبعاد المصارع؛ د) يتم منح نقطة للخصم</v>
      </c>
      <c r="J107" s="5" t="str">
        <f>IFERROR(__xludf.DUMMYFUNCTION("GOOGLETRANSLATE(D107, ""en"", ""ar"")"),"ب) يجب على الحكم إيقاف المباراة مؤقتًا للسماح بإعادة التعديل")</f>
        <v>ب) يجب على الحكم إيقاف المباراة مؤقتًا للسماح بإعادة التعديل</v>
      </c>
      <c r="K107" s="5" t="str">
        <f>IFERROR(__xludf.DUMMYFUNCTION("GOOGLETRANSLATE(E107, ""en"", ""ar"")"),"سيقوم الحكم بإيقاف المباراة مؤقتًا للسماح للمصارعين بتعديل ملابسهم للحفاظ على النظام ومنع التشابك.")</f>
        <v>سيقوم الحكم بإيقاف المباراة مؤقتًا للسماح للمصارعين بتعديل ملابسهم للحفاظ على النظام ومنع التشابك.</v>
      </c>
    </row>
    <row r="108">
      <c r="A108" s="3">
        <v>107.0</v>
      </c>
      <c r="B108" s="4" t="s">
        <v>1030</v>
      </c>
      <c r="C108" s="4" t="s">
        <v>1031</v>
      </c>
      <c r="D108" s="4" t="s">
        <v>1032</v>
      </c>
      <c r="E108" s="4" t="s">
        <v>1033</v>
      </c>
      <c r="G108" s="5" t="str">
        <f>IFERROR(__xludf.DUMMYFUNCTION("GOOGLETRANSLATE(A108, ""en"", ""ar"")"),"107")</f>
        <v>107</v>
      </c>
      <c r="H108" s="5" t="str">
        <f>IFERROR(__xludf.DUMMYFUNCTION("GOOGLETRANSLATE(B108, ""en"", ""ar"")"),"هل هناك أي قواعد ضد تدريب المصارع من قبل أحد أفراد الأسرة؟")</f>
        <v>هل هناك أي قواعد ضد تدريب المصارع من قبل أحد أفراد الأسرة؟</v>
      </c>
      <c r="I108" s="5" t="str">
        <f>IFERROR(__xludf.DUMMYFUNCTION("GOOGLETRANSLATE(C108, ""en"", ""ar"")"),"أ)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f>
        <v>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v>
      </c>
      <c r="J108" s="5" t="str">
        <f>IFERROR(__xludf.DUMMYFUNCTION("GOOGLETRANSLATE(D108, ""en"", ""ar"")"),"ب) لا، التدريب عن طريق الأسرة أمر شائع ومسموح به")</f>
        <v>ب) لا، التدريب عن طريق الأسرة أمر شائع ومسموح به</v>
      </c>
      <c r="K108" s="5" t="str">
        <f>IFERROR(__xludf.DUMMYFUNCTION("GOOGLETRANSLATE(E108, ""en"", ""ar"")"),"لا توجد قيود على التدريب أو التدريب من قبل أحد الأقارب، وهو جانب شائع في تقاليد الرياضة.")</f>
        <v>لا توجد قيود على التدريب أو التدريب من قبل أحد الأقارب، وهو جانب شائع في تقاليد الرياضة.</v>
      </c>
    </row>
    <row r="109">
      <c r="A109" s="3">
        <v>108.0</v>
      </c>
      <c r="B109" s="4" t="s">
        <v>1034</v>
      </c>
      <c r="C109" s="4" t="s">
        <v>1035</v>
      </c>
      <c r="D109" s="4" t="s">
        <v>1036</v>
      </c>
      <c r="E109" s="4" t="s">
        <v>1037</v>
      </c>
      <c r="G109" s="5" t="str">
        <f>IFERROR(__xludf.DUMMYFUNCTION("GOOGLETRANSLATE(A109, ""en"", ""ar"")"),"108")</f>
        <v>108</v>
      </c>
      <c r="H109" s="5" t="str">
        <f>IFERROR(__xludf.DUMMYFUNCTION("GOOGLETRANSLATE(B109, ""en"", ""ar"")"),"إذا انتهت مباراة البطولة بالتعادل بعد جولة إضافية، كيف يتم تحديد الفائز؟")</f>
        <v>إذا انتهت مباراة البطولة بالتعادل بعد جولة إضافية، كيف يتم تحديد الفائز؟</v>
      </c>
      <c r="I109" s="5" t="str">
        <f>IFERROR(__xludf.DUMMYFUNCTION("GOOGLETRANSLATE(C109, ""en"", ""ar"")"),"أ) رمي العملة المعدنية؛ ب) يحتفظ البطل المدافع باللقب؛ ج) قرار من لجنة التحكيم يعتمد على العدوانية والمهارة؛ د) يتم تحديد مباراة إعادة ثانية")</f>
        <v>أ) رمي العملة المعدنية؛ ب) يحتفظ البطل المدافع باللقب؛ ج) قرار من لجنة التحكيم يعتمد على العدوانية والمهارة؛ د) يتم تحديد مباراة إعادة ثانية</v>
      </c>
      <c r="J109" s="5" t="str">
        <f>IFERROR(__xludf.DUMMYFUNCTION("GOOGLETRANSLATE(D109, ""en"", ""ar"")"),"ج) قرار من لجنة التحكيم بناء على العدوانية والمهارة")</f>
        <v>ج) قرار من لجنة التحكيم بناء على العدوانية والمهارة</v>
      </c>
      <c r="K109" s="5" t="str">
        <f>IFERROR(__xludf.DUMMYFUNCTION("GOOGLETRANSLATE(E109, ""en"", ""ar"")"),"إذا لم تكن هناك أي سقوط حاسم، يتم تحديد الفائز بقرار الحكام بناءً على من أظهر تقنية وسيطرة متفوقة.")</f>
        <v>إذا لم تكن هناك أي سقوط حاسم، يتم تحديد الفائز بقرار الحكام بناءً على من أظهر تقنية وسيطرة متفوقة.</v>
      </c>
    </row>
    <row r="110">
      <c r="A110" s="3">
        <v>109.0</v>
      </c>
      <c r="B110" s="4" t="s">
        <v>1038</v>
      </c>
      <c r="C110" s="4" t="s">
        <v>1039</v>
      </c>
      <c r="D110" s="4" t="s">
        <v>1040</v>
      </c>
      <c r="E110" s="4" t="s">
        <v>1041</v>
      </c>
      <c r="G110" s="5" t="str">
        <f>IFERROR(__xludf.DUMMYFUNCTION("GOOGLETRANSLATE(A110, ""en"", ""ar"")"),"109")</f>
        <v>109</v>
      </c>
      <c r="H110" s="5" t="str">
        <f>IFERROR(__xludf.DUMMYFUNCTION("GOOGLETRANSLATE(B110, ""en"", ""ar"")"),"ما هو الإجراء إذا أراد المصارع الطعن في شرعية عصا خصمه؟")</f>
        <v>ما هو الإجراء إذا أراد المصارع الطعن في شرعية عصا خصمه؟</v>
      </c>
      <c r="I110" s="5" t="str">
        <f>IFERROR(__xludf.DUMMYFUNCTION("GOOGLETRANSLATE(C110, ""en"", ""ar"")"),"أ) يمكنهم الاعتراض عليه في أي وقت؛ ب) يجب عليهم إجراء الاعتراض قبل بدء المباراة؛ ج) لا يمكنهم الاعتراض على المعدات؛ د) فقط بعد تسجيل النقطة الأولى")</f>
        <v>أ) يمكنهم الاعتراض عليه في أي وقت؛ ب) يجب عليهم إجراء الاعتراض قبل بدء المباراة؛ ج) لا يمكنهم الاعتراض على المعدات؛ د) فقط بعد تسجيل النقطة الأولى</v>
      </c>
      <c r="J110" s="5" t="str">
        <f>IFERROR(__xludf.DUMMYFUNCTION("GOOGLETRANSLATE(D110, ""en"", ""ar"")"),"ب) يجب عليهم إجراء التحدي قبل بدء المباراة")</f>
        <v>ب) يجب عليهم إجراء التحدي قبل بدء المباراة</v>
      </c>
      <c r="K110" s="5" t="str">
        <f>IFERROR(__xludf.DUMMYFUNCTION("GOOGLETRANSLATE(E110, ""en"", ""ar"")"),"يجب إثارة أي مخاوف بشأن معدات الخصم مع المسؤولين أثناء عملية التفتيش قبل المباراة.")</f>
        <v>يجب إثارة أي مخاوف بشأن معدات الخصم مع المسؤولين أثناء عملية التفتيش قبل المباراة.</v>
      </c>
    </row>
    <row r="111">
      <c r="A111" s="3">
        <v>110.0</v>
      </c>
      <c r="B111" s="4" t="s">
        <v>1042</v>
      </c>
      <c r="C111" s="4" t="s">
        <v>1043</v>
      </c>
      <c r="D111" s="4" t="s">
        <v>1044</v>
      </c>
      <c r="E111" s="4" t="s">
        <v>1045</v>
      </c>
      <c r="G111" s="5" t="str">
        <f>IFERROR(__xludf.DUMMYFUNCTION("GOOGLETRANSLATE(A111, ""en"", ""ar"")"),"110")</f>
        <v>110</v>
      </c>
      <c r="H111" s="5" t="str">
        <f>IFERROR(__xludf.DUMMYFUNCTION("GOOGLETRANSLATE(B111, ""en"", ""ar"")"),"هل يجوز للمصارع أن يضع شعارات الرعاة على ملابسه؟")</f>
        <v>هل يجوز للمصارع أن يضع شعارات الرعاة على ملابسه؟</v>
      </c>
      <c r="I111" s="5" t="str">
        <f>IFERROR(__xludf.DUMMYFUNCTION("GOOGLETRANSLATE(C111, ""en"", ""ar"")"),"أ) لا، يجب أن تكون الملابس تقليدية وبسيطة؛ ب) نعم، بموافقة من منظمي الحدث؛ ج) للمتسابقين الدوليين فقط؛ د) فقط إذا كان الراعي شركة محلية")</f>
        <v>أ) لا، يجب أن تكون الملابس تقليدية وبسيطة؛ ب) نعم، بموافقة من منظمي الحدث؛ ج) للمتسابقين الدوليين فقط؛ د) فقط إذا كان الراعي شركة محلية</v>
      </c>
      <c r="J111" s="5" t="str">
        <f>IFERROR(__xludf.DUMMYFUNCTION("GOOGLETRANSLATE(D111, ""en"", ""ar"")"),"ب) نعم، بموافقة منظمي الحدث")</f>
        <v>ب) نعم، بموافقة منظمي الحدث</v>
      </c>
      <c r="K111" s="5" t="str">
        <f>IFERROR(__xludf.DUMMYFUNCTION("GOOGLETRANSLATE(E111, ""en"", ""ar"")"),"غالبًا ما تسمح المسابقات الحديثة بالرعاية، ولكن يجب أن تفي الشعارات باللوائح المتعلقة بالحجم والموضع.")</f>
        <v>غالبًا ما تسمح المسابقات الحديثة بالرعاية، ولكن يجب أن تفي الشعارات باللوائح المتعلقة بالحجم والموضع.</v>
      </c>
    </row>
    <row r="112">
      <c r="A112" s="3">
        <v>111.0</v>
      </c>
      <c r="B112" s="4" t="s">
        <v>1046</v>
      </c>
      <c r="C112" s="4" t="s">
        <v>1047</v>
      </c>
      <c r="D112" s="4" t="s">
        <v>1048</v>
      </c>
      <c r="E112" s="4" t="s">
        <v>1049</v>
      </c>
      <c r="G112" s="5" t="str">
        <f>IFERROR(__xludf.DUMMYFUNCTION("GOOGLETRANSLATE(A112, ""en"", ""ar"")"),"111")</f>
        <v>111</v>
      </c>
      <c r="H112" s="5" t="str">
        <f>IFERROR(__xludf.DUMMYFUNCTION("GOOGLETRANSLATE(B112, ""en"", ""ar"")"),"ما هي القاعدة إذا وجد أن المصارع يعاني من نقص كبير في الوزن بالنسبة لفئته العمرية؟")</f>
        <v>ما هي القاعدة إذا وجد أن المصارع يعاني من نقص كبير في الوزن بالنسبة لفئته العمرية؟</v>
      </c>
      <c r="I112" s="5" t="str">
        <f>IFERROR(__xludf.DUMMYFUNCTION("GOOGLETRANSLATE(C112, ""en"", ""ar"")"),"أ) يُسمح لهم بالمنافسة؛ ب) قد يتم نقلهم إلى فئة عمرية أصغر؛ ج) لا يُسمح لهم بالمنافسة لأسباب تتعلق بالصحة والسلامة؛ د) يجب عليهم التنافس ضد خصوم أثقل وزنًا")</f>
        <v>أ) يُسمح لهم بالمنافسة؛ ب) قد يتم نقلهم إلى فئة عمرية أصغر؛ ج) لا يُسمح لهم بالمنافسة لأسباب تتعلق بالصحة والسلامة؛ د) يجب عليهم التنافس ضد خصوم أثقل وزنًا</v>
      </c>
      <c r="J112" s="5" t="str">
        <f>IFERROR(__xludf.DUMMYFUNCTION("GOOGLETRANSLATE(D112, ""en"", ""ar"")"),"ج) لا يجوز لهم التنافس لأسباب تتعلق بالصحة والسلامة")</f>
        <v>ج) لا يجوز لهم التنافس لأسباب تتعلق بالصحة والسلامة</v>
      </c>
      <c r="K112" s="5" t="str">
        <f>IFERROR(__xludf.DUMMYFUNCTION("GOOGLETRANSLATE(E112, ""en"", ""ar"")"),"قد يُعتبر المصارع الذي يعاني من نقص شديد في الوزن غير لائق طبياً للمنافسة بأمان.")</f>
        <v>قد يُعتبر المصارع الذي يعاني من نقص شديد في الوزن غير لائق طبياً للمنافسة بأمان.</v>
      </c>
    </row>
    <row r="113">
      <c r="A113" s="3">
        <v>112.0</v>
      </c>
      <c r="B113" s="4" t="s">
        <v>1050</v>
      </c>
      <c r="C113" s="4" t="s">
        <v>1051</v>
      </c>
      <c r="D113" s="4" t="s">
        <v>1052</v>
      </c>
      <c r="E113" s="4" t="s">
        <v>1053</v>
      </c>
      <c r="G113" s="5" t="str">
        <f>IFERROR(__xludf.DUMMYFUNCTION("GOOGLETRANSLATE(A113, ""en"", ""ar"")"),"112")</f>
        <v>112</v>
      </c>
      <c r="H113" s="5" t="str">
        <f>IFERROR(__xludf.DUMMYFUNCTION("GOOGLETRANSLATE(B113, ""en"", ""ar"")"),"هل يمكن معاقبة المصارع بسبب ""الاحتفال بالنصر"" الذي يعتبر استفزازيًا أو مهينًا بشكل مفرط؟")</f>
        <v>هل يمكن معاقبة المصارع بسبب "الاحتفال بالنصر" الذي يعتبر استفزازيًا أو مهينًا بشكل مفرط؟</v>
      </c>
      <c r="I113" s="5" t="str">
        <f>IFERROR(__xludf.DUMMYFUNCTION("GOOGLETRANSLATE(C113, ""en"", ""ar"")"),"أ) لا، الاحتفالات غير منظمة؛ ب) نعم، مع تحذير أو خصم نقاط بسبب السلوك غير الرياضي؛ ج) فقط إذا اشتكى الخصم؛ د) فقط إذا أدى ذلك إلى تأخير الجولة التالية")</f>
        <v>أ) لا، الاحتفالات غير منظمة؛ ب) نعم، مع تحذير أو خصم نقاط بسبب السلوك غير الرياضي؛ ج) فقط إذا اشتكى الخصم؛ د) فقط إذا أدى ذلك إلى تأخير الجولة التالية</v>
      </c>
      <c r="J113" s="5" t="str">
        <f>IFERROR(__xludf.DUMMYFUNCTION("GOOGLETRANSLATE(D113, ""en"", ""ar"")"),"ب) نعم، مع تحذير أو خصم نقاط بسبب السلوك غير الرياضي")</f>
        <v>ب) نعم، مع تحذير أو خصم نقاط بسبب السلوك غير الرياضي</v>
      </c>
      <c r="K113" s="5" t="str">
        <f>IFERROR(__xludf.DUMMYFUNCTION("GOOGLETRANSLATE(E113, ""en"", ""ar"")"),"إن الاحتفالات المبالغ فيها أو المهينة تنتهك قواعد الاحترام الرياضي، وهي عرضة للعقوبات.")</f>
        <v>إن الاحتفالات المبالغ فيها أو المهينة تنتهك قواعد الاحترام الرياضي، وهي عرضة للعقوبات.</v>
      </c>
    </row>
    <row r="114">
      <c r="A114" s="3">
        <v>113.0</v>
      </c>
      <c r="B114" s="4" t="s">
        <v>1054</v>
      </c>
      <c r="C114" s="4" t="s">
        <v>1055</v>
      </c>
      <c r="D114" s="4" t="s">
        <v>1056</v>
      </c>
      <c r="E114" s="4" t="s">
        <v>1057</v>
      </c>
      <c r="G114" s="5" t="str">
        <f>IFERROR(__xludf.DUMMYFUNCTION("GOOGLETRANSLATE(A114, ""en"", ""ar"")"),"113")</f>
        <v>113</v>
      </c>
      <c r="H114" s="5" t="str">
        <f>IFERROR(__xludf.DUMMYFUNCTION("GOOGLETRANSLATE(B114, ""en"", ""ar"")"),"ما هي إشارة الحكم لإيقاف اللعب في الحلبة؟")</f>
        <v>ما هي إشارة الحكم لإيقاف اللعب في الحلبة؟</v>
      </c>
      <c r="I114" s="5" t="str">
        <f>IFERROR(__xludf.DUMMYFUNCTION("GOOGLETRANSLATE(C114, ""en"", ""ar"")"),"أ) صيحة عالية؛ ب) صفارة واحدة حادة؛ ج) التلويح بالعلم؛ د) رنين الجرس")</f>
        <v>أ) صيحة عالية؛ ب) صفارة واحدة حادة؛ ج) التلويح بالعلم؛ د) رنين الجرس</v>
      </c>
      <c r="J114" s="5" t="str">
        <f>IFERROR(__xludf.DUMMYFUNCTION("GOOGLETRANSLATE(D114, ""en"", ""ar"")"),"ب) صفارة واحدة حادة")</f>
        <v>ب) صفارة واحدة حادة</v>
      </c>
      <c r="K114" s="5" t="str">
        <f>IFERROR(__xludf.DUMMYFUNCTION("GOOGLETRANSLATE(E114, ""en"", ""ar"")"),"يستخدم الحكم صافرة لجذب انتباه المصارعين والإشارة إلى توقف المباراة على الفور.")</f>
        <v>يستخدم الحكم صافرة لجذب انتباه المصارعين والإشارة إلى توقف المباراة على الفور.</v>
      </c>
    </row>
    <row r="115">
      <c r="A115" s="3">
        <v>114.0</v>
      </c>
      <c r="B115" s="4" t="s">
        <v>1058</v>
      </c>
      <c r="C115" s="4" t="s">
        <v>1059</v>
      </c>
      <c r="D115" s="4" t="s">
        <v>1060</v>
      </c>
      <c r="E115" s="4" t="s">
        <v>1061</v>
      </c>
      <c r="G115" s="5" t="str">
        <f>IFERROR(__xludf.DUMMYFUNCTION("GOOGLETRANSLATE(A115, ""en"", ""ar"")"),"114")</f>
        <v>114</v>
      </c>
      <c r="H115" s="5" t="str">
        <f>IFERROR(__xludf.DUMMYFUNCTION("GOOGLETRANSLATE(B115, ""en"", ""ar"")"),"هل هناك قواعد تحكم النظام الغذائي للمصارعين قبل المباراة؟")</f>
        <v>هل هناك قواعد تحكم النظام الغذائي للمصارعين قبل المباراة؟</v>
      </c>
      <c r="I115" s="5" t="str">
        <f>IFERROR(__xludf.DUMMYFUNCTION("GOOGLETRANSLATE(C115, ""en"", ""ar"")"),"أ) لا، إنها مسألة شخصية؛ ب) نعم، يجب عليهم الإفصاح عما تناولوه؛ ج) يُحظر عليهم فقط استخدام المنبهات مثل الكافيين؛ د) يُطلب منهم تناول وجبة تقليدية محددة")</f>
        <v>أ) لا، إنها مسألة شخصية؛ ب) نعم، يجب عليهم الإفصاح عما تناولوه؛ ج) يُحظر عليهم فقط استخدام المنبهات مثل الكافيين؛ د) يُطلب منهم تناول وجبة تقليدية محددة</v>
      </c>
      <c r="J115" s="5" t="str">
        <f>IFERROR(__xludf.DUMMYFUNCTION("GOOGLETRANSLATE(D115, ""en"", ""ar"")"),"أ) لا، إنها مسألة شخصية")</f>
        <v>أ) لا، إنها مسألة شخصية</v>
      </c>
      <c r="K115" s="5" t="str">
        <f>IFERROR(__xludf.DUMMYFUNCTION("GOOGLETRANSLATE(E115, ""en"", ""ar"")"),"وباستثناء الحظر المفروض على المنشطات والكحول، فإن النظام الغذائي للمصارع لا يخضع لقواعد المنافسة.")</f>
        <v>وباستثناء الحظر المفروض على المنشطات والكحول، فإن النظام الغذائي للمصارع لا يخضع لقواعد المنافسة.</v>
      </c>
    </row>
    <row r="116">
      <c r="A116" s="3">
        <v>115.0</v>
      </c>
      <c r="B116" s="4" t="s">
        <v>1062</v>
      </c>
      <c r="C116" s="4" t="s">
        <v>1063</v>
      </c>
      <c r="D116" s="4" t="s">
        <v>1064</v>
      </c>
      <c r="E116" s="4" t="s">
        <v>1065</v>
      </c>
      <c r="G116" s="5" t="str">
        <f>IFERROR(__xludf.DUMMYFUNCTION("GOOGLETRANSLATE(A116, ""en"", ""ar"")"),"115")</f>
        <v>115</v>
      </c>
      <c r="H116" s="5" t="str">
        <f>IFERROR(__xludf.DUMMYFUNCTION("GOOGLETRANSLATE(B116, ""en"", ""ar"")"),"إذا خرج المصارع من الحلبة وسقط على قدميه فما الحكم؟")</f>
        <v>إذا خرج المصارع من الحلبة وسقط على قدميه فما الحكم؟</v>
      </c>
      <c r="I116" s="5" t="str">
        <f>IFERROR(__xludf.DUMMYFUNCTION("GOOGLETRANSLATE(C116, ""en"", ""ar"")"),"أ) يخسر المصارع المباراة بسبب خروجه من الحلبة؛ ب) يُسمح للمصارع بالعودة إلى الحلبة؛ ج) يخسر المصارع نقطة ولكن تستمر المباراة؛ د) الجولة تعادل")</f>
        <v>أ) يخسر المصارع المباراة بسبب خروجه من الحلبة؛ ب) يُسمح للمصارع بالعودة إلى الحلبة؛ ج) يخسر المصارع نقطة ولكن تستمر المباراة؛ د) الجولة تعادل</v>
      </c>
      <c r="J116" s="5" t="str">
        <f>IFERROR(__xludf.DUMMYFUNCTION("GOOGLETRANSLATE(D116, ""en"", ""ar"")"),"أ) يخسر المصارع المباراة بسبب خروجه من الحلبة")</f>
        <v>أ) يخسر المصارع المباراة بسبب خروجه من الحلبة</v>
      </c>
      <c r="K116" s="5" t="str">
        <f>IFERROR(__xludf.DUMMYFUNCTION("GOOGLETRANSLATE(E116, ""en"", ""ar"")"),"القاعدة مطلقة: أي متنافس يُجبر على الخروج من منطقة المصارعة المخصصة أو يغادرها طواعيةً يخسر المباراة.")</f>
        <v>القاعدة مطلقة: أي متنافس يُجبر على الخروج من منطقة المصارعة المخصصة أو يغادرها طواعيةً يخسر المباراة.</v>
      </c>
    </row>
    <row r="117">
      <c r="A117" s="3">
        <v>116.0</v>
      </c>
      <c r="B117" s="4" t="s">
        <v>1066</v>
      </c>
      <c r="C117" s="4" t="s">
        <v>1067</v>
      </c>
      <c r="D117" s="4" t="s">
        <v>1068</v>
      </c>
      <c r="E117" s="4" t="s">
        <v>1069</v>
      </c>
      <c r="G117" s="5" t="str">
        <f>IFERROR(__xludf.DUMMYFUNCTION("GOOGLETRANSLATE(A117, ""en"", ""ar"")"),"116")</f>
        <v>116</v>
      </c>
      <c r="H117" s="5" t="str">
        <f>IFERROR(__xludf.DUMMYFUNCTION("GOOGLETRANSLATE(B117, ""en"", ""ar"")"),"ما هي عقوبة المصارع الذي يرفض الخضوع لاختبار المخدرات بعد المباراة؟")</f>
        <v>ما هي عقوبة المصارع الذي يرفض الخضوع لاختبار المخدرات بعد المباراة؟</v>
      </c>
      <c r="I117" s="5" t="str">
        <f>IFERROR(__xludf.DUMMYFUNCTION("GOOGLETRANSLATE(C117, ""en"", ""ar"")"),"أ) تحذير للمخالفة الأولى؛ ب) يتم التعامل معها كاختبار إيجابي، مما يؤدي إلى الاستبعاد والإيقاف؛ ج) يتم فرض غرامة؛ د) يتم مصادرة أموال الجائزة الخاصة بهم فقط")</f>
        <v>أ) تحذير للمخالفة الأولى؛ ب) يتم التعامل معها كاختبار إيجابي، مما يؤدي إلى الاستبعاد والإيقاف؛ ج) يتم فرض غرامة؛ د) يتم مصادرة أموال الجائزة الخاصة بهم فقط</v>
      </c>
      <c r="J117" s="5" t="str">
        <f>IFERROR(__xludf.DUMMYFUNCTION("GOOGLETRANSLATE(D117, ""en"", ""ar"")"),"ب) يتم التعامل معه كاختبار إيجابي، مما يؤدي إلى الاستبعاد والإيقاف")</f>
        <v>ب) يتم التعامل معه كاختبار إيجابي، مما يؤدي إلى الاستبعاد والإيقاف</v>
      </c>
      <c r="K117" s="5" t="str">
        <f>IFERROR(__xludf.DUMMYFUNCTION("GOOGLETRANSLATE(E117, ""en"", ""ar"")"),"إن رفض تقديم عينة لاختبار المنشطات يعد اعترافًا بالذنب ويحمل نفس العقوبات الشديدة.")</f>
        <v>إن رفض تقديم عينة لاختبار المنشطات يعد اعترافًا بالذنب ويحمل نفس العقوبات الشديدة.</v>
      </c>
    </row>
    <row r="118">
      <c r="A118" s="3">
        <v>117.0</v>
      </c>
      <c r="B118" s="4" t="s">
        <v>1070</v>
      </c>
      <c r="C118" s="4" t="s">
        <v>1071</v>
      </c>
      <c r="D118" s="4" t="s">
        <v>1072</v>
      </c>
      <c r="E118" s="4" t="s">
        <v>1073</v>
      </c>
      <c r="G118" s="5" t="str">
        <f>IFERROR(__xludf.DUMMYFUNCTION("GOOGLETRANSLATE(A118, ""en"", ""ar"")"),"117")</f>
        <v>117</v>
      </c>
      <c r="H118" s="5" t="str">
        <f>IFERROR(__xludf.DUMMYFUNCTION("GOOGLETRANSLATE(B118, ""en"", ""ar"")"),"هل يجوز استعمال عصا المصارعة لربط ساق الخصم للتعثر؟")</f>
        <v>هل يجوز استعمال عصا المصارعة لربط ساق الخصم للتعثر؟</v>
      </c>
      <c r="I118" s="5" t="str">
        <f>IFERROR(__xludf.DUMMYFUNCTION("GOOGLETRANSLATE(C118, ""en"", ""ar"")"),"أ) نعم، هذه تقنية شائعة؛ ب) لا، لا يمكن استخدام العصا لربط الأطراف؛ ج) فقط على الجزء العلوي من الساق؛ د) فقط إذا كان الخصم ثابتًا")</f>
        <v>أ) نعم، هذه تقنية شائعة؛ ب) لا، لا يمكن استخدام العصا لربط الأطراف؛ ج) فقط على الجزء العلوي من الساق؛ د) فقط إذا كان الخصم ثابتًا</v>
      </c>
      <c r="J118" s="5" t="str">
        <f>IFERROR(__xludf.DUMMYFUNCTION("GOOGLETRANSLATE(D118, ""en"", ""ar"")"),"ب) لا، لا يمكن استخدام العصا لتعليق الأطراف.")</f>
        <v>ب) لا، لا يمكن استخدام العصا لتعليق الأطراف.</v>
      </c>
      <c r="K118" s="5" t="str">
        <f>IFERROR(__xludf.DUMMYFUNCTION("GOOGLETRANSLATE(E118, ""en"", ""ar"")"),"إن استخدام العصا لربط أو سحب أو تعثر الخصم هو تكتيك غير قانوني؛ فالعصا مخصصة للضرب والحجب فقط.")</f>
        <v>إن استخدام العصا لربط أو سحب أو تعثر الخصم هو تكتيك غير قانوني؛ فالعصا مخصصة للضرب والحجب فقط.</v>
      </c>
    </row>
    <row r="119">
      <c r="A119" s="3">
        <v>118.0</v>
      </c>
      <c r="B119" s="4" t="s">
        <v>1074</v>
      </c>
      <c r="C119" s="4" t="s">
        <v>1075</v>
      </c>
      <c r="D119" s="4" t="s">
        <v>1076</v>
      </c>
      <c r="E119" s="4" t="s">
        <v>1077</v>
      </c>
      <c r="G119" s="5" t="str">
        <f>IFERROR(__xludf.DUMMYFUNCTION("GOOGLETRANSLATE(A119, ""en"", ""ar"")"),"118")</f>
        <v>118</v>
      </c>
      <c r="H119" s="5" t="str">
        <f>IFERROR(__xludf.DUMMYFUNCTION("GOOGLETRANSLATE(B119, ""en"", ""ar"")"),"ماذا يحدث إذا تم طرد مدرب المصارع بسبب سوء السلوك؟")</f>
        <v>ماذا يحدث إذا تم طرد مدرب المصارع بسبب سوء السلوك؟</v>
      </c>
      <c r="I119" s="5" t="str">
        <f>IFERROR(__xludf.DUMMYFUNCTION("GOOGLETRANSLATE(C119, ""en"", ""ar"")"),"أ) يمكن للمصارع الاستمرار مع مدرب جديد؛ ب) يجب على المصارع الاستمرار بدون مدرب؛ ج) يتم استبعاد المصارع أيضًا؛ د) يتم تغريم المدرب ولكن يمكنه العودة لاحقًا")</f>
        <v>أ) يمكن للمصارع الاستمرار مع مدرب جديد؛ ب) يجب على المصارع الاستمرار بدون مدرب؛ ج) يتم استبعاد المصارع أيضًا؛ د) يتم تغريم المدرب ولكن يمكنه العودة لاحقًا</v>
      </c>
      <c r="J119" s="5" t="str">
        <f>IFERROR(__xludf.DUMMYFUNCTION("GOOGLETRANSLATE(D119, ""en"", ""ar"")"),"ب) يجب على المصارع الاستمرار بدون مدرب")</f>
        <v>ب) يجب على المصارع الاستمرار بدون مدرب</v>
      </c>
      <c r="K119" s="5" t="str">
        <f>IFERROR(__xludf.DUMMYFUNCTION("GOOGLETRANSLATE(E119, ""en"", ""ar"")"),"لا يتم معاقبة المصارع على تصرفات مدربه ولكن يجب عليه إكمال المباراة دون توجيهاته.")</f>
        <v>لا يتم معاقبة المصارع على تصرفات مدربه ولكن يجب عليه إكمال المباراة دون توجيهاته.</v>
      </c>
    </row>
    <row r="120">
      <c r="A120" s="3">
        <v>119.0</v>
      </c>
      <c r="B120" s="4" t="s">
        <v>1078</v>
      </c>
      <c r="C120" s="4" t="s">
        <v>1079</v>
      </c>
      <c r="D120" s="4" t="s">
        <v>1080</v>
      </c>
      <c r="E120" s="4" t="s">
        <v>1081</v>
      </c>
      <c r="G120" s="5" t="str">
        <f>IFERROR(__xludf.DUMMYFUNCTION("GOOGLETRANSLATE(A120, ""en"", ""ar"")"),"119")</f>
        <v>119</v>
      </c>
      <c r="H120" s="5" t="str">
        <f>IFERROR(__xludf.DUMMYFUNCTION("GOOGLETRANSLATE(B120, ""en"", ""ar"")"),"هل هناك قواعد بشأن الحد الأدنى من التدريب الذي يجب أن يحصل عليه المصارع للدخول في المنافسة؟")</f>
        <v>هل هناك قواعد بشأن الحد الأدنى من التدريب الذي يجب أن يحصل عليه المصارع للدخول في المنافسة؟</v>
      </c>
      <c r="I120" s="5" t="str">
        <f>IFERROR(__xludf.DUMMYFUNCTION("GOOGLETRANSLATE(C120, ""en"", ""ar"")"),"أ) لا، يمكن لأي شخص الدخول؛ ب) نعم، يجب أن يكونوا مسجلين في نادٍ معترف به؛ ج) يجب أن يكون لديهم خبرة لا تقل عن عام واحد؛ د) يجب أن يجتازوا اختبار المهارات")</f>
        <v>أ) لا، يمكن لأي شخص الدخول؛ ب) نعم، يجب أن يكونوا مسجلين في نادٍ معترف به؛ ج) يجب أن يكون لديهم خبرة لا تقل عن عام واحد؛ د) يجب أن يجتازوا اختبار المهارات</v>
      </c>
      <c r="J120" s="5" t="str">
        <f>IFERROR(__xludf.DUMMYFUNCTION("GOOGLETRANSLATE(D120, ""en"", ""ar"")"),"ب) نعم، يجب أن يكونوا مسجلين في نادي معترف به.")</f>
        <v>ب) نعم، يجب أن يكونوا مسجلين في نادي معترف به.</v>
      </c>
      <c r="K120" s="5" t="str">
        <f>IFERROR(__xludf.DUMMYFUNCTION("GOOGLETRANSLATE(E120, ""en"", ""ar"")"),"ولضمان الحد الأدنى من المهارة والسلامة، عادة ما يُطلب من المتسابقين أن يكونوا أعضاء في نادي تدريب رسمي أو ""padepokan"".")</f>
        <v>ولضمان الحد الأدنى من المهارة والسلامة، عادة ما يُطلب من المتسابقين أن يكونوا أعضاء في نادي تدريب رسمي أو "padepokan".</v>
      </c>
    </row>
    <row r="121">
      <c r="A121" s="3">
        <v>120.0</v>
      </c>
      <c r="B121" s="4" t="s">
        <v>1082</v>
      </c>
      <c r="C121" s="4" t="s">
        <v>1083</v>
      </c>
      <c r="D121" s="4" t="s">
        <v>1084</v>
      </c>
      <c r="E121" s="4" t="s">
        <v>1085</v>
      </c>
      <c r="G121" s="5" t="str">
        <f>IFERROR(__xludf.DUMMYFUNCTION("GOOGLETRANSLATE(A121, ""en"", ""ar"")"),"120")</f>
        <v>120</v>
      </c>
      <c r="H121" s="5" t="str">
        <f>IFERROR(__xludf.DUMMYFUNCTION("GOOGLETRANSLATE(B121, ""en"", ""ar"")"),"إذا فاز المصارع بسبب انسحاب خصمه، فكيف يتم تسجيل ذلك؟")</f>
        <v>إذا فاز المصارع بسبب انسحاب خصمه، فكيف يتم تسجيل ذلك؟</v>
      </c>
      <c r="I121" s="5" t="str">
        <f>IFERROR(__xludf.DUMMYFUNCTION("GOOGLETRANSLATE(C121, ""en"", ""ar"")"),"أ) كفوز عادي؛ ب) كفوز سهل؛ ج) لم يُسجل كفوز رسمي؛ د) كفوز فني")</f>
        <v>أ) كفوز عادي؛ ب) كفوز سهل؛ ج) لم يُسجل كفوز رسمي؛ د) كفوز فني</v>
      </c>
      <c r="J121" s="5" t="str">
        <f>IFERROR(__xludf.DUMMYFUNCTION("GOOGLETRANSLATE(D121, ""en"", ""ar"")"),"ب) ""كفوز سهل""")</f>
        <v>ب) "كفوز سهل"</v>
      </c>
      <c r="K121" s="5" t="str">
        <f>IFERROR(__xludf.DUMMYFUNCTION("GOOGLETRANSLATE(E121, ""en"", ""ar"")"),"يُطلق رسميًا على الفوز الذي يحدث بسبب فشل الخصم في الظهور أو عدم قدرته على المنافسة اسم ""الانسحاب"".")</f>
        <v>يُطلق رسميًا على الفوز الذي يحدث بسبب فشل الخصم في الظهور أو عدم قدرته على المنافسة اسم "الانسحاب".</v>
      </c>
    </row>
    <row r="122">
      <c r="A122" s="3">
        <v>121.0</v>
      </c>
      <c r="B122" s="4" t="s">
        <v>1086</v>
      </c>
      <c r="C122" s="4" t="s">
        <v>1087</v>
      </c>
      <c r="D122" s="4" t="s">
        <v>1088</v>
      </c>
      <c r="E122" s="4" t="s">
        <v>1089</v>
      </c>
      <c r="G122" s="5" t="str">
        <f>IFERROR(__xludf.DUMMYFUNCTION("GOOGLETRANSLATE(A122, ""en"", ""ar"")"),"121")</f>
        <v>121</v>
      </c>
      <c r="H122" s="5" t="str">
        <f>IFERROR(__xludf.DUMMYFUNCTION("GOOGLETRANSLATE(B122, ""en"", ""ar"")"),"ما هي القاعدة بشأن استخدام نقاط الضغط على الخصم؟")</f>
        <v>ما هي القاعدة بشأن استخدام نقاط الضغط على الخصم؟</v>
      </c>
      <c r="I122" s="5" t="str">
        <f>IFERROR(__xludf.DUMMYFUNCTION("GOOGLETRANSLATE(C122, ""en"", ""ar"")"),"أ) إنها جزء أساسي من التقنية المتقدمة؛ ب) ممنوعة تمامًا؛ ج) فقط على الذراعين والساقين؛ د) فقط إذا لم يحدث أي ألم")</f>
        <v>أ) إنها جزء أساسي من التقنية المتقدمة؛ ب) ممنوعة تمامًا؛ ج) فقط على الذراعين والساقين؛ د) فقط إذا لم يحدث أي ألم</v>
      </c>
      <c r="J122" s="5" t="str">
        <f>IFERROR(__xludf.DUMMYFUNCTION("GOOGLETRANSLATE(D122, ""en"", ""ar"")"),"ب) ممنوع منعاً باتاً")</f>
        <v>ب) ممنوع منعاً باتاً</v>
      </c>
      <c r="K122" s="5" t="str">
        <f>IFERROR(__xludf.DUMMYFUNCTION("GOOGLETRANSLATE(E122, ""en"", ""ar"")"),"يعتبر مهاجمة المراكز العصبية أو نقاط الضغط تقنية خطيرة وغير قانونية.")</f>
        <v>يعتبر مهاجمة المراكز العصبية أو نقاط الضغط تقنية خطيرة وغير قانونية.</v>
      </c>
    </row>
    <row r="123">
      <c r="A123" s="3">
        <v>122.0</v>
      </c>
      <c r="B123" s="4" t="s">
        <v>1090</v>
      </c>
      <c r="C123" s="4" t="s">
        <v>1091</v>
      </c>
      <c r="D123" s="4" t="s">
        <v>1092</v>
      </c>
      <c r="E123" s="4" t="s">
        <v>1093</v>
      </c>
      <c r="G123" s="5" t="str">
        <f>IFERROR(__xludf.DUMMYFUNCTION("GOOGLETRANSLATE(A123, ""en"", ""ar"")"),"122")</f>
        <v>122</v>
      </c>
      <c r="H123" s="5" t="str">
        <f>IFERROR(__xludf.DUMMYFUNCTION("GOOGLETRANSLATE(B123, ""en"", ""ar"")"),"إذا ارتكب الحكم خطأ يؤثر بشكل واضح على نتيجة الجولة، هل يمكن إعادة لعب الجولة؟")</f>
        <v>إذا ارتكب الحكم خطأ يؤثر بشكل واضح على نتيجة الجولة، هل يمكن إعادة لعب الجولة؟</v>
      </c>
      <c r="I123" s="5" t="str">
        <f>IFERROR(__xludf.DUMMYFUNCTION("GOOGLETRANSLATE(C123, ""en"", ""ar"")"),"أ) لا، قرار الحكم نهائي؛ ب) نعم، بعد مراجعة رئيس القضاة؛ ج) فقط إذا اتفق كلا المصارعين؛ د) فقط في مباريات البطولة")</f>
        <v>أ) لا، قرار الحكم نهائي؛ ب) نعم، بعد مراجعة رئيس القضاة؛ ج) فقط إذا اتفق كلا المصارعين؛ د) فقط في مباريات البطولة</v>
      </c>
      <c r="J123" s="5" t="str">
        <f>IFERROR(__xludf.DUMMYFUNCTION("GOOGLETRANSLATE(D123, ""en"", ""ar"")"),"ب) نعم، بعد مراجعة رئيس المحكمة.")</f>
        <v>ب) نعم، بعد مراجعة رئيس المحكمة.</v>
      </c>
      <c r="K123" s="5" t="str">
        <f>IFERROR(__xludf.DUMMYFUNCTION("GOOGLETRANSLATE(E123, ""en"", ""ar"")"),"في حالة ارتكاب الحكم خطأ فني واضح وكبير، يمكن لمسؤول كبير أن يأمر بإعادة الجولة.")</f>
        <v>في حالة ارتكاب الحكم خطأ فني واضح وكبير، يمكن لمسؤول كبير أن يأمر بإعادة الجولة.</v>
      </c>
    </row>
    <row r="124">
      <c r="A124" s="3">
        <v>123.0</v>
      </c>
      <c r="B124" s="4" t="s">
        <v>1094</v>
      </c>
      <c r="C124" s="4" t="s">
        <v>1095</v>
      </c>
      <c r="D124" s="4" t="s">
        <v>1096</v>
      </c>
      <c r="E124" s="4" t="s">
        <v>1097</v>
      </c>
      <c r="G124" s="5" t="str">
        <f>IFERROR(__xludf.DUMMYFUNCTION("GOOGLETRANSLATE(A124, ""en"", ""ar"")"),"123")</f>
        <v>123</v>
      </c>
      <c r="H124" s="5" t="str">
        <f>IFERROR(__xludf.DUMMYFUNCTION("GOOGLETRANSLATE(B124, ""en"", ""ar"")"),"هل يُسمح للمصارع بمواصلة المنافسة إذا كانت معدات الحماية الخاصة به (مثل مئزره) ممزقة؟")</f>
        <v>هل يُسمح للمصارع بمواصلة المنافسة إذا كانت معدات الحماية الخاصة به (مثل مئزره) ممزقة؟</v>
      </c>
      <c r="I124" s="5" t="str">
        <f>IFERROR(__xludf.DUMMYFUNCTION("GOOGLETRANSLATE(C124, ""en"", ""ar"")"),"أ) نعم، يمكنهم الاستمرار؛ ب) لا، يتم إيقاف المباراة مؤقتًا لاستبدال المعدات؛ ج) يجب عليهم الانسحاب من المباراة؛ د) يمكنهم الاستمرار ولكن يخسرون نقطة")</f>
        <v>أ) نعم، يمكنهم الاستمرار؛ ب) لا، يتم إيقاف المباراة مؤقتًا لاستبدال المعدات؛ ج) يجب عليهم الانسحاب من المباراة؛ د) يمكنهم الاستمرار ولكن يخسرون نقطة</v>
      </c>
      <c r="J124" s="5" t="str">
        <f>IFERROR(__xludf.DUMMYFUNCTION("GOOGLETRANSLATE(D124, ""en"", ""ar"")"),"ب) لا، تم إيقاف المباراة مؤقتًا لاستبدال الترس")</f>
        <v>ب) لا، تم إيقاف المباراة مؤقتًا لاستبدال الترس</v>
      </c>
      <c r="K124" s="5" t="str">
        <f>IFERROR(__xludf.DUMMYFUNCTION("GOOGLETRANSLATE(E124, ""en"", ""ar"")"),"إذا تعرض زي المصارع للتلف بطريقة تؤثر على السلامة أو اللياقة، فإن الحكم يوقف القتال حتى يتم إصلاحه.")</f>
        <v>إذا تعرض زي المصارع للتلف بطريقة تؤثر على السلامة أو اللياقة، فإن الحكم يوقف القتال حتى يتم إصلاحه.</v>
      </c>
    </row>
    <row r="125">
      <c r="A125" s="3">
        <v>124.0</v>
      </c>
      <c r="B125" s="4" t="s">
        <v>1098</v>
      </c>
      <c r="C125" s="4" t="s">
        <v>1099</v>
      </c>
      <c r="D125" s="4" t="s">
        <v>1100</v>
      </c>
      <c r="E125" s="4" t="s">
        <v>1101</v>
      </c>
      <c r="G125" s="5" t="str">
        <f>IFERROR(__xludf.DUMMYFUNCTION("GOOGLETRANSLATE(A125, ""en"", ""ar"")"),"124")</f>
        <v>124</v>
      </c>
      <c r="H125" s="5" t="str">
        <f>IFERROR(__xludf.DUMMYFUNCTION("GOOGLETRANSLATE(B125, ""en"", ""ar"")"),"ما هي عقوبة المصارع الذي يثبت مشاركته في المسابقات باسم مزيف؟")</f>
        <v>ما هي عقوبة المصارع الذي يثبت مشاركته في المسابقات باسم مزيف؟</v>
      </c>
      <c r="I125" s="5" t="str">
        <f>IFERROR(__xludf.DUMMYFUNCTION("GOOGLETRANSLATE(C125, ""en"", ""ar"")"),"أ) تحذير؛ ب) غرامة؛ ج) الاستبعاد والإيقاف بسبب الاحتيال؛ د) إلغاء نتيجة المباراة")</f>
        <v>أ) تحذير؛ ب) غرامة؛ ج) الاستبعاد والإيقاف بسبب الاحتيال؛ د) إلغاء نتيجة المباراة</v>
      </c>
      <c r="J125" s="5" t="str">
        <f>IFERROR(__xludf.DUMMYFUNCTION("GOOGLETRANSLATE(D125, ""en"", ""ar"")"),"ج) الاستبعاد والإيقاف بسبب الاحتيال")</f>
        <v>ج) الاستبعاد والإيقاف بسبب الاحتيال</v>
      </c>
      <c r="K125" s="5" t="str">
        <f>IFERROR(__xludf.DUMMYFUNCTION("GOOGLETRANSLATE(E125, ""en"", ""ar"")"),"إن التنافس باستخدام هوية مزيفة يعد عملاً احتيالياً خطيراً يؤدي إلى عقوبات شديدة.")</f>
        <v>إن التنافس باستخدام هوية مزيفة يعد عملاً احتيالياً خطيراً يؤدي إلى عقوبات شديدة.</v>
      </c>
    </row>
    <row r="126">
      <c r="A126" s="3">
        <v>125.0</v>
      </c>
      <c r="B126" s="4" t="s">
        <v>1102</v>
      </c>
      <c r="C126" s="4" t="s">
        <v>1103</v>
      </c>
      <c r="D126" s="4" t="s">
        <v>1104</v>
      </c>
      <c r="E126" s="4" t="s">
        <v>1105</v>
      </c>
      <c r="G126" s="5" t="str">
        <f>IFERROR(__xludf.DUMMYFUNCTION("GOOGLETRANSLATE(A126, ""en"", ""ar"")"),"125")</f>
        <v>125</v>
      </c>
      <c r="H126" s="5" t="str">
        <f>IFERROR(__xludf.DUMMYFUNCTION("GOOGLETRANSLATE(B126, ""en"", ""ar"")"),"هل هناك مجموعات مختلفة من القواعد لمسابقات الشباب مقارنة بمسابقات الكبار؟")</f>
        <v>هل هناك مجموعات مختلفة من القواعد لمسابقات الشباب مقارنة بمسابقات الكبار؟</v>
      </c>
      <c r="I126" s="5" t="str">
        <f>IFERROR(__xludf.DUMMYFUNCTION("GOOGLETRANSLATE(C126, ""en"", ""ar"")"),"أ) لا، القواعد متطابقة؛ ب) نعم، قد تتضمن قواعد الشباب جولات أقصر وقيودًا أكثر؛ ج) فقط التسجيل هو المختلف؛ د) فقط حجم الساحة هو المختلف")</f>
        <v>أ) لا، القواعد متطابقة؛ ب) نعم، قد تتضمن قواعد الشباب جولات أقصر وقيودًا أكثر؛ ج) فقط التسجيل هو المختلف؛ د) فقط حجم الساحة هو المختلف</v>
      </c>
      <c r="J126" s="5" t="str">
        <f>IFERROR(__xludf.DUMMYFUNCTION("GOOGLETRANSLATE(D126, ""en"", ""ar"")"),"ب) نعم، قد تتضمن قواعد الشباب جولات أقصر وقيودًا أكثر")</f>
        <v>ب) نعم، قد تتضمن قواعد الشباب جولات أقصر وقيودًا أكثر</v>
      </c>
      <c r="K126" s="5" t="str">
        <f>IFERROR(__xludf.DUMMYFUNCTION("GOOGLETRANSLATE(E126, ""en"", ""ar"")"),"غالبًا ما يتم تعديل قواعد المسابقات المخصصة للمصارعين الأصغر سنًا، مثل تقصير أوقات المباريات وحظر استخدام تقنيات أكثر خطورة، لضمان السلامة.")</f>
        <v>غالبًا ما يتم تعديل قواعد المسابقات المخصصة للمصارعين الأصغر سنًا، مثل تقصير أوقات المباريات وحظر استخدام تقنيات أكثر خطورة، لضمان السلامة.</v>
      </c>
    </row>
    <row r="127">
      <c r="A127" s="3">
        <v>126.0</v>
      </c>
      <c r="B127" s="4" t="s">
        <v>1106</v>
      </c>
      <c r="C127" s="4" t="s">
        <v>1107</v>
      </c>
      <c r="D127" s="4" t="s">
        <v>1108</v>
      </c>
      <c r="E127" s="4" t="s">
        <v>1109</v>
      </c>
      <c r="G127" s="5" t="str">
        <f>IFERROR(__xludf.DUMMYFUNCTION("GOOGLETRANSLATE(A127, ""en"", ""ar"")"),"126")</f>
        <v>126</v>
      </c>
      <c r="H127" s="5" t="str">
        <f>IFERROR(__xludf.DUMMYFUNCTION("GOOGLETRANSLATE(B127, ""en"", ""ar"")"),"ما هو البروتوكول إذا قام أحد المتفرجين برمي شيء ما في حلبة المصارعة؟")</f>
        <v>ما هو البروتوكول إذا قام أحد المتفرجين برمي شيء ما في حلبة المصارعة؟</v>
      </c>
      <c r="I127" s="5" t="str">
        <f>IFERROR(__xludf.DUMMYFUNCTION("GOOGLETRANSLATE(C127, ""en"", ""ar"")"),"أ) يتم تجاهل الهدف؛ ب) يتم إيقاف المباراة مؤقتًا، ويتم إخراج المتفرج؛ ج) يخسر المصارع الأقرب إلى الهدف نقطة؛ د) يتم إلغاء المباراة على الفور")</f>
        <v>أ) يتم تجاهل الهدف؛ ب) يتم إيقاف المباراة مؤقتًا، ويتم إخراج المتفرج؛ ج) يخسر المصارع الأقرب إلى الهدف نقطة؛ د) يتم إلغاء المباراة على الفور</v>
      </c>
      <c r="J127" s="5" t="str">
        <f>IFERROR(__xludf.DUMMYFUNCTION("GOOGLETRANSLATE(D127, ""en"", ""ar"")"),"ب) يتم إيقاف المباراة مؤقتًا ويتم إخراج المتفرج")</f>
        <v>ب) يتم إيقاف المباراة مؤقتًا ويتم إخراج المتفرج</v>
      </c>
      <c r="K127" s="5" t="str">
        <f>IFERROR(__xludf.DUMMYFUNCTION("GOOGLETRANSLATE(E127, ""en"", ""ar"")"),"يعد رمي الأشياء داخل الحلبة انتهاكًا خطيرًا للسلامة ويتطلب إيقاف المباراة وإخراج المخالف من مكان المباراة.")</f>
        <v>يعد رمي الأشياء داخل الحلبة انتهاكًا خطيرًا للسلامة ويتطلب إيقاف المباراة وإخراج المخالف من مكان المباراة.</v>
      </c>
    </row>
    <row r="128">
      <c r="A128" s="3">
        <v>127.0</v>
      </c>
      <c r="B128" s="4" t="s">
        <v>1110</v>
      </c>
      <c r="C128" s="4" t="s">
        <v>1111</v>
      </c>
      <c r="D128" s="4" t="s">
        <v>1112</v>
      </c>
      <c r="E128" s="4" t="s">
        <v>1113</v>
      </c>
      <c r="G128" s="5" t="str">
        <f>IFERROR(__xludf.DUMMYFUNCTION("GOOGLETRANSLATE(A128, ""en"", ""ar"")"),"127")</f>
        <v>127</v>
      </c>
      <c r="H128" s="5" t="str">
        <f>IFERROR(__xludf.DUMMYFUNCTION("GOOGLETRANSLATE(B128, ""en"", ""ar"")"),"هل يجوز للمصارع استخدام رأسه لضرب جسد خصمه؟")</f>
        <v>هل يجوز للمصارع استخدام رأسه لضرب جسد خصمه؟</v>
      </c>
      <c r="I128" s="5" t="str">
        <f>IFERROR(__xludf.DUMMYFUNCTION("GOOGLETRANSLATE(C128, ""en"", ""ar"")"),"أ) نعم، يُسمح بضربات الرأس على الجسم؛ ب) لا، يُحظر استخدام الرأس كسلاح؛ ج) فقط على كتف الخصم؛ د) فقط إذا كان الخصم على الأرض")</f>
        <v>أ) نعم، يُسمح بضربات الرأس على الجسم؛ ب) لا، يُحظر استخدام الرأس كسلاح؛ ج) فقط على كتف الخصم؛ د) فقط إذا كان الخصم على الأرض</v>
      </c>
      <c r="J128" s="5" t="str">
        <f>IFERROR(__xludf.DUMMYFUNCTION("GOOGLETRANSLATE(D128, ""en"", ""ar"")"),"أ) نعم، يُسمح بضربات الرأس على الجسم")</f>
        <v>أ) نعم، يُسمح بضربات الرأس على الجسم</v>
      </c>
      <c r="K128" s="5" t="str">
        <f>IFERROR(__xludf.DUMMYFUNCTION("GOOGLETRANSLATE(E128, ""en"", ""ar"")"),"في حين أن الضربات على الرأس محظورة، فإن استخدام الرأس لضرب جذع الخصم هي تقنية مسموح بها، وإن كانت محفوفة بالمخاطر.")</f>
        <v>في حين أن الضربات على الرأس محظورة، فإن استخدام الرأس لضرب جذع الخصم هي تقنية مسموح بها، وإن كانت محفوفة بالمخاطر.</v>
      </c>
    </row>
    <row r="129">
      <c r="A129" s="3">
        <v>128.0</v>
      </c>
      <c r="B129" s="4" t="s">
        <v>1114</v>
      </c>
      <c r="C129" s="4" t="s">
        <v>1115</v>
      </c>
      <c r="D129" s="4" t="s">
        <v>1116</v>
      </c>
      <c r="E129" s="4" t="s">
        <v>1117</v>
      </c>
      <c r="G129" s="5" t="str">
        <f>IFERROR(__xludf.DUMMYFUNCTION("GOOGLETRANSLATE(A129, ""en"", ""ar"")"),"128")</f>
        <v>128</v>
      </c>
      <c r="H129" s="5" t="str">
        <f>IFERROR(__xludf.DUMMYFUNCTION("GOOGLETRANSLATE(B129, ""en"", ""ar"")"),"إذا تم استبعاد المصارع بسبب ارتكاب خطأ، فهل يحق له الاحتفاظ بأي نقاط سجلها في وقت سابق من المباراة؟")</f>
        <v>إذا تم استبعاد المصارع بسبب ارتكاب خطأ، فهل يحق له الاحتفاظ بأي نقاط سجلها في وقت سابق من المباراة؟</v>
      </c>
      <c r="I129" s="5" t="str">
        <f>IFERROR(__xludf.DUMMYFUNCTION("GOOGLETRANSLATE(C129, ""en"", ""ar"")"),"أ) نعم، تبقى النقاط في سجلهم؛ ب) لا، يتم إلغاء جميع النقاط؛ ج) يحتفظون بنصف نقاطهم؛ د) فقط النقاط من الجولات السابقة")</f>
        <v>أ) نعم، تبقى النقاط في سجلهم؛ ب) لا، يتم إلغاء جميع النقاط؛ ج) يحتفظون بنصف نقاطهم؛ د) فقط النقاط من الجولات السابقة</v>
      </c>
      <c r="J129" s="5" t="str">
        <f>IFERROR(__xludf.DUMMYFUNCTION("GOOGLETRANSLATE(D129, ""en"", ""ar"")"),"ب) لا، يتم إلغاء جميع النقاط")</f>
        <v>ب) لا، يتم إلغاء جميع النقاط</v>
      </c>
      <c r="K129" s="5" t="str">
        <f>IFERROR(__xludf.DUMMYFUNCTION("GOOGLETRANSLATE(E129, ""en"", ""ar"")"),"إن الاستبعاد يعني خسارة المصارع للمباراة بالكامل، وأي نقاط حصل عليها تصبح باطلة.")</f>
        <v>إن الاستبعاد يعني خسارة المصارع للمباراة بالكامل، وأي نقاط حصل عليها تصبح باطلة.</v>
      </c>
    </row>
    <row r="130">
      <c r="A130" s="3">
        <v>129.0</v>
      </c>
      <c r="B130" s="4" t="s">
        <v>1118</v>
      </c>
      <c r="C130" s="4" t="s">
        <v>1119</v>
      </c>
      <c r="D130" s="4" t="s">
        <v>1120</v>
      </c>
      <c r="E130" s="4" t="s">
        <v>1121</v>
      </c>
      <c r="G130" s="5" t="str">
        <f>IFERROR(__xludf.DUMMYFUNCTION("GOOGLETRANSLATE(A130, ""en"", ""ar"")"),"129")</f>
        <v>129</v>
      </c>
      <c r="H130" s="5" t="str">
        <f>IFERROR(__xludf.DUMMYFUNCTION("GOOGLETRANSLATE(B130, ""en"", ""ar"")"),"هل هناك قواعد تتعلق بسطح عصا المصارعة، كأن يكون أملسًا مثلاً؟")</f>
        <v>هل هناك قواعد تتعلق بسطح عصا المصارعة، كأن يكون أملسًا مثلاً؟</v>
      </c>
      <c r="I130" s="5" t="str">
        <f>IFERROR(__xludf.DUMMYFUNCTION("GOOGLETRANSLATE(C130, ""en"", ""ar"")"),"أ) لا، يُسمح بأي نسيج؛ ب) نعم، يجب أن تكون العصا ناعمة وخالية من الشظايا؛ ج) يمكن لف العصا بشريط لاصق؛ د) فقط العصي الاحتفالية لها قواعد")</f>
        <v>أ) لا، يُسمح بأي نسيج؛ ب) نعم، يجب أن تكون العصا ناعمة وخالية من الشظايا؛ ج) يمكن لف العصا بشريط لاصق؛ د) فقط العصي الاحتفالية لها قواعد</v>
      </c>
      <c r="J130" s="5" t="str">
        <f>IFERROR(__xludf.DUMMYFUNCTION("GOOGLETRANSLATE(D130, ""en"", ""ar"")"),"ب) نعم، يجب أن تكون العصا ناعمة وخالية من الشظايا.")</f>
        <v>ب) نعم، يجب أن تكون العصا ناعمة وخالية من الشظايا.</v>
      </c>
      <c r="K130" s="5" t="str">
        <f>IFERROR(__xludf.DUMMYFUNCTION("GOOGLETRANSLATE(E130, ""en"", ""ar"")"),"من أجل السلامة، يجب أن تكون عصا المصارعة في حالة جيدة، وناعمة، ولا تحتوي على حواف حادة أو شظايا يمكن أن تسبب الإصابة.")</f>
        <v>من أجل السلامة، يجب أن تكون عصا المصارعة في حالة جيدة، وناعمة، ولا تحتوي على حواف حادة أو شظايا يمكن أن تسبب الإصابة.</v>
      </c>
    </row>
    <row r="131">
      <c r="A131" s="3">
        <v>130.0</v>
      </c>
      <c r="B131" s="4" t="s">
        <v>1122</v>
      </c>
      <c r="C131" s="4" t="s">
        <v>1123</v>
      </c>
      <c r="D131" s="4" t="s">
        <v>1124</v>
      </c>
      <c r="E131" s="4" t="s">
        <v>1125</v>
      </c>
      <c r="G131" s="5" t="str">
        <f>IFERROR(__xludf.DUMMYFUNCTION("GOOGLETRANSLATE(A131, ""en"", ""ar"")"),"130")</f>
        <v>130</v>
      </c>
      <c r="H131" s="5" t="str">
        <f>IFERROR(__xludf.DUMMYFUNCTION("GOOGLETRANSLATE(B131, ""en"", ""ar"")"),"ماذا يحدث إذا تم اكتشاف أن مدرب المصارع لا يملك ترخيصًا صالحًا؟")</f>
        <v>ماذا يحدث إذا تم اكتشاف أن مدرب المصارع لا يملك ترخيصًا صالحًا؟</v>
      </c>
      <c r="I131" s="5" t="str">
        <f>IFERROR(__xludf.DUMMYFUNCTION("GOOGLETRANSLATE(C131, ""en"", ""ar"")"),"أ) يتم تحذير المدرب؛ ب) يتم طرد المدرب، وقد يتم استبعاد المصارع؛ ج) يمكن للمدرب الحصول على ترخيص مؤقت على الفور؛ د) لا توجد عقوبة")</f>
        <v>أ) يتم تحذير المدرب؛ ب) يتم طرد المدرب، وقد يتم استبعاد المصارع؛ ج) يمكن للمدرب الحصول على ترخيص مؤقت على الفور؛ د) لا توجد عقوبة</v>
      </c>
      <c r="J131" s="5" t="str">
        <f>IFERROR(__xludf.DUMMYFUNCTION("GOOGLETRANSLATE(D131, ""en"", ""ar"")"),"ب) يتم طرد المدرب، وقد يتم استبعاد المصارع")</f>
        <v>ب) يتم طرد المدرب، وقد يتم استبعاد المصارع</v>
      </c>
      <c r="K131" s="5" t="str">
        <f>IFERROR(__xludf.DUMMYFUNCTION("GOOGLETRANSLATE(E131, ""en"", ""ar"")"),"يجب أن يكون جميع مسؤولي الفريق، بمن فيهم المدربون، حاصلين على اعتمادات قانونية. الاستعانة بمدرب غير مرخص قد يؤدي إلى استبعاد الفريق بأكمله.")</f>
        <v>يجب أن يكون جميع مسؤولي الفريق، بمن فيهم المدربون، حاصلين على اعتمادات قانونية. الاستعانة بمدرب غير مرخص قد يؤدي إلى استبعاد الفريق بأكمله.</v>
      </c>
    </row>
    <row r="132">
      <c r="A132" s="3">
        <v>131.0</v>
      </c>
      <c r="B132" s="4" t="s">
        <v>1126</v>
      </c>
      <c r="C132" s="4" t="s">
        <v>1127</v>
      </c>
      <c r="D132" s="4" t="s">
        <v>1128</v>
      </c>
      <c r="E132" s="4" t="s">
        <v>1129</v>
      </c>
      <c r="G132" s="5" t="str">
        <f>IFERROR(__xludf.DUMMYFUNCTION("GOOGLETRANSLATE(A132, ""en"", ""ar"")"),"131")</f>
        <v>131</v>
      </c>
      <c r="H132" s="5" t="str">
        <f>IFERROR(__xludf.DUMMYFUNCTION("GOOGLETRANSLATE(B132, ""en"", ""ar"")"),"هل يجوز للمصارع أن يطلب حكمًا معينًا لمباراته؟")</f>
        <v>هل يجوز للمصارع أن يطلب حكمًا معينًا لمباراته؟</v>
      </c>
      <c r="I132" s="5" t="str">
        <f>IFERROR(__xludf.DUMMYFUNCTION("GOOGLETRANSLATE(C132, ""en"", ""ar"")"),"أ) نعم، إذا دفعوا رسومًا؛ ب) لا، يتم تعيين الحكام بشكل محايد؛ ج) فقط إذا اتفق كلا المصارعين على الحكم؛ د) فقط لمباراة البطولة")</f>
        <v>أ) نعم، إذا دفعوا رسومًا؛ ب) لا، يتم تعيين الحكام بشكل محايد؛ ج) فقط إذا اتفق كلا المصارعين على الحكم؛ د) فقط لمباراة البطولة</v>
      </c>
      <c r="J132" s="5" t="str">
        <f>IFERROR(__xludf.DUMMYFUNCTION("GOOGLETRANSLATE(D132, ""en"", ""ar"")"),"ب) لا، يتم تعيين الحكام بشكل محايد")</f>
        <v>ب) لا، يتم تعيين الحكام بشكل محايد</v>
      </c>
      <c r="K132" s="5" t="str">
        <f>IFERROR(__xludf.DUMMYFUNCTION("GOOGLETRANSLATE(E132, ""en"", ""ar"")"),"ولضمان العدالة، يتم تعيين الحكام من قبل مسؤولي البطولة، ولا يمكن للمتنافسين اختيار حكامهم بأنفسهم.")</f>
        <v>ولضمان العدالة، يتم تعيين الحكام من قبل مسؤولي البطولة، ولا يمكن للمتنافسين اختيار حكامهم بأنفسهم.</v>
      </c>
    </row>
    <row r="133">
      <c r="A133" s="3">
        <v>132.0</v>
      </c>
      <c r="B133" s="4" t="s">
        <v>1130</v>
      </c>
      <c r="C133" s="4" t="s">
        <v>1131</v>
      </c>
      <c r="D133" s="4" t="s">
        <v>1132</v>
      </c>
      <c r="E133" s="4" t="s">
        <v>1133</v>
      </c>
      <c r="G133" s="5" t="str">
        <f>IFERROR(__xludf.DUMMYFUNCTION("GOOGLETRANSLATE(A133, ""en"", ""ar"")"),"132")</f>
        <v>132</v>
      </c>
      <c r="H133" s="5" t="str">
        <f>IFERROR(__xludf.DUMMYFUNCTION("GOOGLETRANSLATE(B133, ""en"", ""ar"")"),"ما هي القاعدة إذا كان المصارع غير قادر على الاستمرار بسبب حالة طبية سابقة لم يكشف عنها؟")</f>
        <v>ما هي القاعدة إذا كان المصارع غير قادر على الاستمرار بسبب حالة طبية سابقة لم يكشف عنها؟</v>
      </c>
      <c r="I133" s="5" t="str">
        <f>IFERROR(__xludf.DUMMYFUNCTION("GOOGLETRANSLATE(C133, ""en"", ""ar"")"),"أ) المباراة تعادل؛ ب) ينسحبون من المباراة؛ ج) يتم إعادة جدولة المباراة؛ د) يتم إعلان الخصم فائزًا بشكل افتراضي")</f>
        <v>أ) المباراة تعادل؛ ب) ينسحبون من المباراة؛ ج) يتم إعادة جدولة المباراة؛ د) يتم إعلان الخصم فائزًا بشكل افتراضي</v>
      </c>
      <c r="J133" s="5" t="str">
        <f>IFERROR(__xludf.DUMMYFUNCTION("GOOGLETRANSLATE(D133, ""en"", ""ar"")"),"ب) يخسرون المباراة")</f>
        <v>ب) يخسرون المباراة</v>
      </c>
      <c r="K133" s="5" t="str">
        <f>IFERROR(__xludf.DUMMYFUNCTION("GOOGLETRANSLATE(E133, ""en"", ""ar"")"),"يلتزم المصارع باللياقة الطبية للمنافسة. إذا اضطر للانسحاب لأسباب غير معلنة، يُعتبر خاسرًا.")</f>
        <v>يلتزم المصارع باللياقة الطبية للمنافسة. إذا اضطر للانسحاب لأسباب غير معلنة، يُعتبر خاسرًا.</v>
      </c>
    </row>
    <row r="134">
      <c r="A134" s="3">
        <v>133.0</v>
      </c>
      <c r="B134" s="4" t="s">
        <v>1134</v>
      </c>
      <c r="C134" s="4" t="s">
        <v>1135</v>
      </c>
      <c r="D134" s="4" t="s">
        <v>1136</v>
      </c>
      <c r="E134" s="4" t="s">
        <v>1137</v>
      </c>
      <c r="G134" s="5" t="str">
        <f>IFERROR(__xludf.DUMMYFUNCTION("GOOGLETRANSLATE(A134, ""en"", ""ar"")"),"133")</f>
        <v>133</v>
      </c>
      <c r="H134" s="5" t="str">
        <f>IFERROR(__xludf.DUMMYFUNCTION("GOOGLETRANSLATE(B134, ""en"", ""ar"")"),"هل يمكن معاقبة المصارع لعدم إظهاره ""روح القتال"" الكافية؟")</f>
        <v>هل يمكن معاقبة المصارع لعدم إظهاره "روح القتال" الكافية؟</v>
      </c>
      <c r="I134" s="5" t="str">
        <f>IFERROR(__xludf.DUMMYFUNCTION("GOOGLETRANSLATE(C134, ""en"", ""ar"")"),"أ) لا، هذا أمر شخصي؛ ب) نعم، يمكن للحكم أن يحذر المصارع لكونه خاملاً للغاية؛ ج) فقط إذا كان يخسر بشكل سيء؛ د) فقط إذا اشتكى الجمهور")</f>
        <v>أ) لا، هذا أمر شخصي؛ ب) نعم، يمكن للحكم أن يحذر المصارع لكونه خاملاً للغاية؛ ج) فقط إذا كان يخسر بشكل سيء؛ د) فقط إذا اشتكى الجمهور</v>
      </c>
      <c r="J134" s="5" t="str">
        <f>IFERROR(__xludf.DUMMYFUNCTION("GOOGLETRANSLATE(D134, ""en"", ""ar"")"),"ب) نعم، يمكن للحكم أن يحذر المصارع لكونه خاملاً للغاية")</f>
        <v>ب) نعم، يمكن للحكم أن يحذر المصارع لكونه خاملاً للغاية</v>
      </c>
      <c r="K134" s="5" t="str">
        <f>IFERROR(__xludf.DUMMYFUNCTION("GOOGLETRANSLATE(E134, ""en"", ""ar"")"),"على غرار السلبية، يمكن تحذير المصارع الذي يبدو أنه لا يحاول لأنه لم يساهم في مسابقة حقيقية.")</f>
        <v>على غرار السلبية، يمكن تحذير المصارع الذي يبدو أنه لا يحاول لأنه لم يساهم في مسابقة حقيقية.</v>
      </c>
    </row>
    <row r="135">
      <c r="A135" s="3">
        <v>134.0</v>
      </c>
      <c r="B135" s="4" t="s">
        <v>1138</v>
      </c>
      <c r="C135" s="4" t="s">
        <v>1139</v>
      </c>
      <c r="D135" s="4" t="s">
        <v>1140</v>
      </c>
      <c r="E135" s="4" t="s">
        <v>1141</v>
      </c>
      <c r="G135" s="5" t="str">
        <f>IFERROR(__xludf.DUMMYFUNCTION("GOOGLETRANSLATE(A135, ""en"", ""ar"")"),"134")</f>
        <v>134</v>
      </c>
      <c r="H135" s="5" t="str">
        <f>IFERROR(__xludf.DUMMYFUNCTION("GOOGLETRANSLATE(B135, ""en"", ""ar"")"),"هل يجوز استغلال حدود حلبة المصارعة أو أعمدةها للحصول على نفوذ للرمي؟")</f>
        <v>هل يجوز استغلال حدود حلبة المصارعة أو أعمدةها للحصول على نفوذ للرمي؟</v>
      </c>
      <c r="I135" s="5" t="str">
        <f>IFERROR(__xludf.DUMMYFUNCTION("GOOGLETRANSLATE(C135, ""en"", ""ar"")"),"أ) نعم، إنها تكتيك ذكي؛ ب) لا، لا يمكن استخدام الحدود كأداة؛ ج) يمكن استخدام أعمدة الزاوية فقط؛ د) فقط إذا تم ذلك عن طريق الخطأ")</f>
        <v>أ) نعم، إنها تكتيك ذكي؛ ب) لا، لا يمكن استخدام الحدود كأداة؛ ج) يمكن استخدام أعمدة الزاوية فقط؛ د) فقط إذا تم ذلك عن طريق الخطأ</v>
      </c>
      <c r="J135" s="5" t="str">
        <f>IFERROR(__xludf.DUMMYFUNCTION("GOOGLETRANSLATE(D135, ""en"", ""ar"")"),"ب) لا، لا يمكن استخدام الحدود كأداة")</f>
        <v>ب) لا، لا يمكن استخدام الحدود كأداة</v>
      </c>
      <c r="K135" s="5" t="str">
        <f>IFERROR(__xludf.DUMMYFUNCTION("GOOGLETRANSLATE(E135, ""en"", ""ar"")"),"يجب على المصارع الاعتماد على جسده للضغط. استخدام أي جزء من هيكل الحلبة أسلوب غير قانوني.")</f>
        <v>يجب على المصارع الاعتماد على جسده للضغط. استخدام أي جزء من هيكل الحلبة أسلوب غير قانوني.</v>
      </c>
    </row>
    <row r="136">
      <c r="A136" s="3">
        <v>135.0</v>
      </c>
      <c r="B136" s="4" t="s">
        <v>1142</v>
      </c>
      <c r="C136" s="4" t="s">
        <v>1143</v>
      </c>
      <c r="D136" s="4" t="s">
        <v>1144</v>
      </c>
      <c r="E136" s="4" t="s">
        <v>1145</v>
      </c>
      <c r="G136" s="5" t="str">
        <f>IFERROR(__xludf.DUMMYFUNCTION("GOOGLETRANSLATE(A136, ""en"", ""ar"")"),"135")</f>
        <v>135</v>
      </c>
      <c r="H136" s="5" t="str">
        <f>IFERROR(__xludf.DUMMYFUNCTION("GOOGLETRANSLATE(B136, ""en"", ""ar"")"),"ما هو الإجراء إذا كان هناك حاجة إلى مترجم لمصارع دولي؟")</f>
        <v>ما هو الإجراء إذا كان هناك حاجة إلى مترجم لمصارع دولي؟</v>
      </c>
      <c r="I136" s="5" t="str">
        <f>IFERROR(__xludf.DUMMYFUNCTION("GOOGLETRANSLATE(C136, ""en"", ""ar"")"),"أ) يعمل المدرب كمترجم؛ ب) يجب استخدام مترجم رسمي محايد؛ ج) يجب أن يتعلم المصارع اللغة المحلية؛ د) يتم استخدام إشارات اليد بدلاً من ذلك")</f>
        <v>أ) يعمل المدرب كمترجم؛ ب) يجب استخدام مترجم رسمي محايد؛ ج) يجب أن يتعلم المصارع اللغة المحلية؛ د) يتم استخدام إشارات اليد بدلاً من ذلك</v>
      </c>
      <c r="J136" s="5" t="str">
        <f>IFERROR(__xludf.DUMMYFUNCTION("GOOGLETRANSLATE(D136, ""en"", ""ar"")"),"ب) يجب استخدام مترجم رسمي محايد")</f>
        <v>ب) يجب استخدام مترجم رسمي محايد</v>
      </c>
      <c r="K136" s="5" t="str">
        <f>IFERROR(__xludf.DUMMYFUNCTION("GOOGLETRANSLATE(E136, ""en"", ""ar"")"),"ولضمان التواصل الدقيق والنزيه، وخاصة أثناء النزاعات، هناك حاجة إلى مترجمين رسميين.")</f>
        <v>ولضمان التواصل الدقيق والنزيه، وخاصة أثناء النزاعات، هناك حاجة إلى مترجمين رسميين.</v>
      </c>
    </row>
    <row r="137">
      <c r="A137" s="3">
        <v>136.0</v>
      </c>
      <c r="B137" s="4" t="s">
        <v>1146</v>
      </c>
      <c r="C137" s="4" t="s">
        <v>1147</v>
      </c>
      <c r="D137" s="4" t="s">
        <v>1148</v>
      </c>
      <c r="E137" s="4" t="s">
        <v>1149</v>
      </c>
      <c r="G137" s="5" t="str">
        <f>IFERROR(__xludf.DUMMYFUNCTION("GOOGLETRANSLATE(A137, ""en"", ""ar"")"),"136")</f>
        <v>136</v>
      </c>
      <c r="H137" s="5" t="str">
        <f>IFERROR(__xludf.DUMMYFUNCTION("GOOGLETRANSLATE(B137, ""en"", ""ar"")"),"هل يجوز للمصارع ارتداء غطاء رأس واقي أثناء المباراة؟")</f>
        <v>هل يجوز للمصارع ارتداء غطاء رأس واقي أثناء المباراة؟</v>
      </c>
      <c r="I137" s="5" t="str">
        <f>IFERROR(__xludf.DUMMYFUNCTION("GOOGLETRANSLATE(C137, ""en"", ""ar"")"),"أ) نعم، إنه إلزامي؛ ب) لا، لا يُسمح بارتداء غطاء الرأس في المصارعة التقليدية؛ ج) فقط إذا كان لديهم إصابة سابقة في الرأس؛ د) فقط للمصارعين الذين تقل أعمارهم عن 16 عامًا")</f>
        <v>أ) نعم، إنه إلزامي؛ ب) لا، لا يُسمح بارتداء غطاء الرأس في المصارعة التقليدية؛ ج) فقط إذا كان لديهم إصابة سابقة في الرأس؛ د) فقط للمصارعين الذين تقل أعمارهم عن 16 عامًا</v>
      </c>
      <c r="J137" s="5" t="str">
        <f>IFERROR(__xludf.DUMMYFUNCTION("GOOGLETRANSLATE(D137, ""en"", ""ar"")"),"ب) لا، لا يُسمح بارتداء غطاء الرأس في المصارعة التقليدية")</f>
        <v>ب) لا، لا يُسمح بارتداء غطاء الرأس في المصارعة التقليدية</v>
      </c>
      <c r="K137" s="5" t="str">
        <f>IFERROR(__xludf.DUMMYFUNCTION("GOOGLETRANSLATE(E137, ""en"", ""ar"")"),"يتم ممارسة المصارعة النوبية التقليدية دون استخدام معدات الحماية الحديثة مثل واقيات الرأس.")</f>
        <v>يتم ممارسة المصارعة النوبية التقليدية دون استخدام معدات الحماية الحديثة مثل واقيات الرأس.</v>
      </c>
    </row>
    <row r="138">
      <c r="A138" s="3">
        <v>137.0</v>
      </c>
      <c r="B138" s="4" t="s">
        <v>1150</v>
      </c>
      <c r="C138" s="4" t="s">
        <v>1151</v>
      </c>
      <c r="D138" s="4" t="s">
        <v>1152</v>
      </c>
      <c r="E138" s="4" t="s">
        <v>1153</v>
      </c>
      <c r="G138" s="5" t="str">
        <f>IFERROR(__xludf.DUMMYFUNCTION("GOOGLETRANSLATE(A138, ""en"", ""ar"")"),"137")</f>
        <v>137</v>
      </c>
      <c r="H138" s="5" t="str">
        <f>IFERROR(__xludf.DUMMYFUNCTION("GOOGLETRANSLATE(B138, ""en"", ""ar"")"),"ماذا يحدث إذا تم العثور على مصارع يحمل شيئًا محظورًا (مثل حجر صغير) مخفيًا في أربطة يديه؟")</f>
        <v>ماذا يحدث إذا تم العثور على مصارع يحمل شيئًا محظورًا (مثل حجر صغير) مخفيًا في أربطة يديه؟</v>
      </c>
      <c r="I138" s="5" t="str">
        <f>IFERROR(__xludf.DUMMYFUNCTION("GOOGLETRANSLATE(C138, ""en"", ""ar"")"),"أ) يتم إزالة الجسم، ويتم توجيه تحذير؛ ب) يتم استبعاد المصارع على الفور ويواجه إيقافًا طويلًا؛ ج) يتم خصم نقطة؛ د) يتم إعادة بدء المباراة")</f>
        <v>أ) يتم إزالة الجسم، ويتم توجيه تحذير؛ ب) يتم استبعاد المصارع على الفور ويواجه إيقافًا طويلًا؛ ج) يتم خصم نقطة؛ د) يتم إعادة بدء المباراة</v>
      </c>
      <c r="J138" s="5" t="str">
        <f>IFERROR(__xludf.DUMMYFUNCTION("GOOGLETRANSLATE(D138, ""en"", ""ar"")"),"ب) يتم استبعاد المصارع على الفور ويواجه إيقافًا طويلًا")</f>
        <v>ب) يتم استبعاد المصارع على الفور ويواجه إيقافًا طويلًا</v>
      </c>
      <c r="K138" s="5" t="str">
        <f>IFERROR(__xludf.DUMMYFUNCTION("GOOGLETRANSLATE(E138, ""en"", ""ar"")"),"إن إخفاء جسم غريب يعد عملاً خطيراً واحتيالياً بقصد الإيذاء، ويعاقب عليه بأشد العقوبات.")</f>
        <v>إن إخفاء جسم غريب يعد عملاً خطيراً واحتيالياً بقصد الإيذاء، ويعاقب عليه بأشد العقوبات.</v>
      </c>
    </row>
    <row r="139">
      <c r="A139" s="3">
        <v>138.0</v>
      </c>
      <c r="B139" s="4" t="s">
        <v>1154</v>
      </c>
      <c r="C139" s="4" t="s">
        <v>1155</v>
      </c>
      <c r="D139" s="4" t="s">
        <v>1156</v>
      </c>
      <c r="E139" s="4" t="s">
        <v>1157</v>
      </c>
      <c r="G139" s="5" t="str">
        <f>IFERROR(__xludf.DUMMYFUNCTION("GOOGLETRANSLATE(A139, ""en"", ""ar"")"),"138")</f>
        <v>138</v>
      </c>
      <c r="H139" s="5" t="str">
        <f>IFERROR(__xludf.DUMMYFUNCTION("GOOGLETRANSLATE(B139, ""en"", ""ar"")"),"هل هناك قواعد تتعلق بوزن وتوازن عصي المصارعة المستخدمة؟")</f>
        <v>هل هناك قواعد تتعلق بوزن وتوازن عصي المصارعة المستخدمة؟</v>
      </c>
      <c r="I139" s="5" t="str">
        <f>IFERROR(__xludf.DUMMYFUNCTION("GOOGLETRANSLATE(C139, ""en"", ""ar"")"),"أ) لا، يمكن للمصارعين إحضار عصيهم الخاصة؛ ب) نعم، يجب أن تكون العصي موحدة ومقدمة من قبل المنظم؛ ج) يحصل المصارع الأثقل وزنًا على عصا أخف وزنًا؛ د) يتم اختيار العصي عن طريق اليانصيب")</f>
        <v>أ) لا، يمكن للمصارعين إحضار عصيهم الخاصة؛ ب) نعم، يجب أن تكون العصي موحدة ومقدمة من قبل المنظم؛ ج) يحصل المصارع الأثقل وزنًا على عصا أخف وزنًا؛ د) يتم اختيار العصي عن طريق اليانصيب</v>
      </c>
      <c r="J139" s="5" t="str">
        <f>IFERROR(__xludf.DUMMYFUNCTION("GOOGLETRANSLATE(D139, ""en"", ""ar"")"),"ب) نعم، يجب أن تكون العصي موحدة ومقدمة من قبل المنظم")</f>
        <v>ب) نعم، يجب أن تكون العصي موحدة ومقدمة من قبل المنظم</v>
      </c>
      <c r="K139" s="5" t="str">
        <f>IFERROR(__xludf.DUMMYFUNCTION("GOOGLETRANSLATE(E139, ""en"", ""ar"")"),"ولضمان العدالة، يجب على جميع المنافسين في المباراة استخدام معدات رسمية وموحدة.")</f>
        <v>ولضمان العدالة، يجب على جميع المنافسين في المباراة استخدام معدات رسمية وموحدة.</v>
      </c>
    </row>
    <row r="140">
      <c r="A140" s="3">
        <v>139.0</v>
      </c>
      <c r="B140" s="4" t="s">
        <v>1158</v>
      </c>
      <c r="C140" s="4" t="s">
        <v>1159</v>
      </c>
      <c r="D140" s="4" t="s">
        <v>1160</v>
      </c>
      <c r="E140" s="4" t="s">
        <v>1161</v>
      </c>
      <c r="G140" s="5" t="str">
        <f>IFERROR(__xludf.DUMMYFUNCTION("GOOGLETRANSLATE(A140, ""en"", ""ar"")"),"139")</f>
        <v>139</v>
      </c>
      <c r="H140" s="5" t="str">
        <f>IFERROR(__xludf.DUMMYFUNCTION("GOOGLETRANSLATE(B140, ""en"", ""ar"")"),"ما الحكم إذا كان فوز المصارع نتيجة مباشرة لخطأ واضح وجلي من الحكم؟")</f>
        <v>ما الحكم إذا كان فوز المصارع نتيجة مباشرة لخطأ واضح وجلي من الحكم؟</v>
      </c>
      <c r="I140" s="5" t="str">
        <f>IFERROR(__xludf.DUMMYFUNCTION("GOOGLETRANSLATE(C140, ""en"", ""ar"")"),"أ) النتيجة ثابتة؛ ب) يمكن إلغاء النتيجة من قبل لجنة المراجعة؛ ج) يجب إعادة المباراة؛ د) يتم تقسيم جائزة المال")</f>
        <v>أ) النتيجة ثابتة؛ ب) يمكن إلغاء النتيجة من قبل لجنة المراجعة؛ ج) يجب إعادة المباراة؛ د) يتم تقسيم جائزة المال</v>
      </c>
      <c r="J140" s="5" t="str">
        <f>IFERROR(__xludf.DUMMYFUNCTION("GOOGLETRANSLATE(D140, ""en"", ""ar"")"),"ب) يمكن إلغاء النتيجة من قبل لجنة المراجعة")</f>
        <v>ب) يمكن إلغاء النتيجة من قبل لجنة المراجعة</v>
      </c>
      <c r="K140" s="5" t="str">
        <f>IFERROR(__xludf.DUMMYFUNCTION("GOOGLETRANSLATE(E140, ""en"", ""ar"")"),"في حالات استثنائية لخطأ فني صارخ من قبل أحد المسؤولين، يمكن أن يؤدي الاحتجاج إلى تغيير النتيجة عند المراجعة.")</f>
        <v>في حالات استثنائية لخطأ فني صارخ من قبل أحد المسؤولين، يمكن أن يؤدي الاحتجاج إلى تغيير النتيجة عند المراجعة.</v>
      </c>
    </row>
    <row r="141">
      <c r="A141" s="3">
        <v>140.0</v>
      </c>
      <c r="B141" s="4" t="s">
        <v>1162</v>
      </c>
      <c r="C141" s="4" t="s">
        <v>1163</v>
      </c>
      <c r="D141" s="4" t="s">
        <v>1164</v>
      </c>
      <c r="E141" s="4" t="s">
        <v>1165</v>
      </c>
      <c r="G141" s="5" t="str">
        <f>IFERROR(__xludf.DUMMYFUNCTION("GOOGLETRANSLATE(A141, ""en"", ""ar"")"),"140")</f>
        <v>140</v>
      </c>
      <c r="H141" s="5" t="str">
        <f>IFERROR(__xludf.DUMMYFUNCTION("GOOGLETRANSLATE(B141, ""en"", ""ar"")"),"هل يجوز للمصارع الاستمرار في القتال إذا فقد أحد أسنانه؟")</f>
        <v>هل يجوز للمصارع الاستمرار في القتال إذا فقد أحد أسنانه؟</v>
      </c>
      <c r="I141" s="5" t="str">
        <f>IFERROR(__xludf.DUMMYFUNCTION("GOOGLETRANSLATE(C141, ""en"", ""ar"")"),"أ) لا، يتم إيقاف المباراة على الفور؛ ب) نعم، إذا تم السيطرة على النزيف ويرغبون في الاستمرار؛ ج) فقط إذا كانوا يرتدون واقي الفم؛ د) فقط في الجولة النهائية")</f>
        <v>أ) لا، يتم إيقاف المباراة على الفور؛ ب) نعم، إذا تم السيطرة على النزيف ويرغبون في الاستمرار؛ ج) فقط إذا كانوا يرتدون واقي الفم؛ د) فقط في الجولة النهائية</v>
      </c>
      <c r="J141" s="5" t="str">
        <f>IFERROR(__xludf.DUMMYFUNCTION("GOOGLETRANSLATE(D141, ""en"", ""ar"")"),"ب) نعم، إذا تم السيطرة على النزيف ويرغبون في الاستمرار")</f>
        <v>ب) نعم، إذا تم السيطرة على النزيف ويرغبون في الاستمرار</v>
      </c>
      <c r="K141" s="5" t="str">
        <f>IFERROR(__xludf.DUMMYFUNCTION("GOOGLETRANSLATE(E141, ""en"", ""ar"")"),"لا تعتبر الأسنان المفقودة إصابة خطيرة بما يكفي لإيقاف القتال تلقائيًا، بشرط أن يحصل المصارع على تصريح طبي للمتابعة.")</f>
        <v>لا تعتبر الأسنان المفقودة إصابة خطيرة بما يكفي لإيقاف القتال تلقائيًا، بشرط أن يحصل المصارع على تصريح طبي للمتابعة.</v>
      </c>
    </row>
    <row r="142">
      <c r="A142" s="3">
        <v>141.0</v>
      </c>
      <c r="B142" s="4" t="s">
        <v>1166</v>
      </c>
      <c r="C142" s="4" t="s">
        <v>1167</v>
      </c>
      <c r="D142" s="4" t="s">
        <v>1168</v>
      </c>
      <c r="E142" s="4" t="s">
        <v>1169</v>
      </c>
      <c r="G142" s="5" t="str">
        <f>IFERROR(__xludf.DUMMYFUNCTION("GOOGLETRANSLATE(A142, ""en"", ""ar"")"),"141")</f>
        <v>141</v>
      </c>
      <c r="H142" s="5" t="str">
        <f>IFERROR(__xludf.DUMMYFUNCTION("GOOGLETRANSLATE(B142, ""en"", ""ar"")"),"ما هي العقوبة التي يتعرض لها الفريق الذي يثبت تجسسه على جلسات التدريب الخاصة للفريق المنافس؟")</f>
        <v>ما هي العقوبة التي يتعرض لها الفريق الذي يثبت تجسسه على جلسات التدريب الخاصة للفريق المنافس؟</v>
      </c>
      <c r="I142" s="5" t="str">
        <f>IFERROR(__xludf.DUMMYFUNCTION("GOOGLETRANSLATE(C142, ""en"", ""ar"")"),"أ) لا توجد عقوبة؛ ب) تحذير بسبب السلوك غير الرياضي؛ ج) يمكن استبعاد الفريق من البطولة؛ د) يتم إعطاء الفريق الآخر التفاصيل الاستراتيجية للجواسيس")</f>
        <v>أ) لا توجد عقوبة؛ ب) تحذير بسبب السلوك غير الرياضي؛ ج) يمكن استبعاد الفريق من البطولة؛ د) يتم إعطاء الفريق الآخر التفاصيل الاستراتيجية للجواسيس</v>
      </c>
      <c r="J142" s="5" t="str">
        <f>IFERROR(__xludf.DUMMYFUNCTION("GOOGLETRANSLATE(D142, ""en"", ""ar"")"),"ج) يمكن استبعاد الفريق من البطولة")</f>
        <v>ج) يمكن استبعاد الفريق من البطولة</v>
      </c>
      <c r="K142" s="5" t="str">
        <f>IFERROR(__xludf.DUMMYFUNCTION("GOOGLETRANSLATE(E142, ""en"", ""ar"")"),"يعد التجسس انتهاكا صارخا لأخلاقيات الرياضة وقد يؤدي إلى إبعاد الفريق بأكمله من المنافسة.")</f>
        <v>يعد التجسس انتهاكا صارخا لأخلاقيات الرياضة وقد يؤدي إلى إبعاد الفريق بأكمله من المنافسة.</v>
      </c>
    </row>
    <row r="143">
      <c r="A143" s="3">
        <v>142.0</v>
      </c>
      <c r="B143" s="4" t="s">
        <v>1170</v>
      </c>
      <c r="C143" s="4" t="s">
        <v>1171</v>
      </c>
      <c r="D143" s="4" t="s">
        <v>1172</v>
      </c>
      <c r="E143" s="4" t="s">
        <v>1173</v>
      </c>
      <c r="G143" s="5" t="str">
        <f>IFERROR(__xludf.DUMMYFUNCTION("GOOGLETRANSLATE(A143, ""en"", ""ar"")"),"142")</f>
        <v>142</v>
      </c>
      <c r="H143" s="5" t="str">
        <f>IFERROR(__xludf.DUMMYFUNCTION("GOOGLETRANSLATE(B143, ""en"", ""ar"")"),"هل يمكن استبعاد المصارع بسبب رفضه اتباع تعليمات الحكم بالتوقف عن الإمساك؟")</f>
        <v>هل يمكن استبعاد المصارع بسبب رفضه اتباع تعليمات الحكم بالتوقف عن الإمساك؟</v>
      </c>
      <c r="I143" s="5" t="str">
        <f>IFERROR(__xludf.DUMMYFUNCTION("GOOGLETRANSLATE(C143, ""en"", ""ar"")"),"أ) لا، يمكنهم الاحتفاظ بالكرة طالما أرادوا؛ ب) نعم، بعد تحذير شفهي؛ ج) فقط إذا كان الاحتفاظ غير قانوني؛ د) فقط إذا اشتكى خصمهم")</f>
        <v>أ) لا، يمكنهم الاحتفاظ بالكرة طالما أرادوا؛ ب) نعم، بعد تحذير شفهي؛ ج) فقط إذا كان الاحتفاظ غير قانوني؛ د) فقط إذا اشتكى خصمهم</v>
      </c>
      <c r="J143" s="5" t="str">
        <f>IFERROR(__xludf.DUMMYFUNCTION("GOOGLETRANSLATE(D143, ""en"", ""ar"")"),"ب) نعم، بعد الإنذار الشفهي")</f>
        <v>ب) نعم، بعد الإنذار الشفهي</v>
      </c>
      <c r="K143" s="5" t="str">
        <f>IFERROR(__xludf.DUMMYFUNCTION("GOOGLETRANSLATE(E143, ""en"", ""ar"")"),"إن رفض الامتثال لأوامر الحكم، مثل ""الاستراحة""، يعد عملاً من أعمال العصيان الذي قد يؤدي إلى الاستبعاد.")</f>
        <v>إن رفض الامتثال لأوامر الحكم، مثل "الاستراحة"، يعد عملاً من أعمال العصيان الذي قد يؤدي إلى الاستبعاد.</v>
      </c>
    </row>
    <row r="144">
      <c r="A144" s="3">
        <v>143.0</v>
      </c>
      <c r="B144" s="4" t="s">
        <v>1174</v>
      </c>
      <c r="C144" s="4" t="s">
        <v>1175</v>
      </c>
      <c r="D144" s="4" t="s">
        <v>1176</v>
      </c>
      <c r="E144" s="4" t="s">
        <v>1177</v>
      </c>
      <c r="G144" s="5" t="str">
        <f>IFERROR(__xludf.DUMMYFUNCTION("GOOGLETRANSLATE(A144, ""en"", ""ar"")"),"143")</f>
        <v>143</v>
      </c>
      <c r="H144" s="5" t="str">
        <f>IFERROR(__xludf.DUMMYFUNCTION("GOOGLETRANSLATE(B144, ""en"", ""ar"")"),"هل يشترط مباركة ساحة المصارعة أو إقامة مراسم تقليدية قبل بدء المسابقة؟")</f>
        <v>هل يشترط مباركة ساحة المصارعة أو إقامة مراسم تقليدية قبل بدء المسابقة؟</v>
      </c>
      <c r="I144" s="5" t="str">
        <f>IFERROR(__xludf.DUMMYFUNCTION("GOOGLETRANSLATE(C144, ""en"", ""ar"")"),"أ) لا، هذه ليست قاعدة؛ ب) نعم، إنه متطلب ثقافي إلزامي؛ ج) فقط للبطولات الوطنية؛ د) فقط إذا طلب شيوخ القرية ذلك")</f>
        <v>أ) لا، هذه ليست قاعدة؛ ب) نعم، إنه متطلب ثقافي إلزامي؛ ج) فقط للبطولات الوطنية؛ د) فقط إذا طلب شيوخ القرية ذلك</v>
      </c>
      <c r="J144" s="5" t="str">
        <f>IFERROR(__xludf.DUMMYFUNCTION("GOOGLETRANSLATE(D144, ""en"", ""ar"")"),"ب) نعم، إنه متطلب ثقافي إلزامي.")</f>
        <v>ب) نعم، إنه متطلب ثقافي إلزامي.</v>
      </c>
      <c r="K144" s="5" t="str">
        <f>IFERROR(__xludf.DUMMYFUNCTION("GOOGLETRANSLATE(E144, ""en"", ""ar"")"),"إن الحدث ليس مجرد رياضة بل هو تقليد ثقافي، وتشكل البركة الاحتفالية للحلبة جزءًا أساسيًا ومطلوبًا من الإجراءات.")</f>
        <v>إن الحدث ليس مجرد رياضة بل هو تقليد ثقافي، وتشكل البركة الاحتفالية للحلبة جزءًا أساسيًا ومطلوبًا من الإجراءات.</v>
      </c>
    </row>
    <row r="145">
      <c r="A145" s="3">
        <v>144.0</v>
      </c>
      <c r="B145" s="4" t="s">
        <v>1178</v>
      </c>
      <c r="C145" s="4" t="s">
        <v>1179</v>
      </c>
      <c r="D145" s="4" t="s">
        <v>1180</v>
      </c>
      <c r="E145" s="4" t="s">
        <v>1181</v>
      </c>
      <c r="G145" s="5" t="str">
        <f>IFERROR(__xludf.DUMMYFUNCTION("GOOGLETRANSLATE(A145, ""en"", ""ar"")"),"144")</f>
        <v>144</v>
      </c>
      <c r="H145" s="5" t="str">
        <f>IFERROR(__xludf.DUMMYFUNCTION("GOOGLETRANSLATE(B145, ""en"", ""ar"")"),"ما هي القاعدة إذا هاجم المصارع إصابة قديمة معروفة لخصمه؟")</f>
        <v>ما هي القاعدة إذا هاجم المصارع إصابة قديمة معروفة لخصمه؟</v>
      </c>
      <c r="I145" s="5" t="str">
        <f>IFERROR(__xludf.DUMMYFUNCTION("GOOGLETRANSLATE(C145, ""en"", ""ar"")"),"أ) إنها استراتيجية ذكية ولكنها قانونية؛ ب) تعتبر غير رياضية ويمكن معاقبتها؛ ج) مسموح بها فقط إذا لم يتم تضميد الإصابة؛ د) لا توجد قاعدة ضدها")</f>
        <v>أ) إنها استراتيجية ذكية ولكنها قانونية؛ ب) تعتبر غير رياضية ويمكن معاقبتها؛ ج) مسموح بها فقط إذا لم يتم تضميد الإصابة؛ د) لا توجد قاعدة ضدها</v>
      </c>
      <c r="J145" s="5" t="str">
        <f>IFERROR(__xludf.DUMMYFUNCTION("GOOGLETRANSLATE(D145, ""en"", ""ar"")"),"ب) يعتبر هذا غير رياضي ويمكن معاقبته")</f>
        <v>ب) يعتبر هذا غير رياضي ويمكن معاقبته</v>
      </c>
      <c r="K145" s="5" t="str">
        <f>IFERROR(__xludf.DUMMYFUNCTION("GOOGLETRANSLATE(E145, ""en"", ""ar"")"),"ورغم أنه ليس من السهل دائمًا إثبات ذلك، فإن استهداف إصابة معروفة عمدًا يعد انتهاكًا لقانون الشرف غير المكتوب في هذه الرياضة، ويمكن أن يعاقب عليه الحكم.")</f>
        <v>ورغم أنه ليس من السهل دائمًا إثبات ذلك، فإن استهداف إصابة معروفة عمدًا يعد انتهاكًا لقانون الشرف غير المكتوب في هذه الرياضة، ويمكن أن يعاقب عليه الحكم.</v>
      </c>
    </row>
    <row r="146">
      <c r="A146" s="3">
        <v>145.0</v>
      </c>
      <c r="B146" s="4" t="s">
        <v>1182</v>
      </c>
      <c r="C146" s="4" t="s">
        <v>1183</v>
      </c>
      <c r="D146" s="4" t="s">
        <v>1184</v>
      </c>
      <c r="E146" s="4" t="s">
        <v>1185</v>
      </c>
      <c r="G146" s="5" t="str">
        <f>IFERROR(__xludf.DUMMYFUNCTION("GOOGLETRANSLATE(A146, ""en"", ""ar"")"),"145")</f>
        <v>145</v>
      </c>
      <c r="H146" s="5" t="str">
        <f>IFERROR(__xludf.DUMMYFUNCTION("GOOGLETRANSLATE(B146, ""en"", ""ar"")"),"هل هناك شروط خاصة باللياقة البدنية للحكام؟")</f>
        <v>هل هناك شروط خاصة باللياقة البدنية للحكام؟</v>
      </c>
      <c r="I146" s="5" t="str">
        <f>IFERROR(__xludf.DUMMYFUNCTION("GOOGLETRANSLATE(C146, ""en"", ""ar"")"),"أ) لا، يمكن لأي شخص أن يكون حكمًا؛ ب) نعم، يجب على الحكام اجتياز اختبار اللياقة البدنية؛ ج) فقط للحكام الدوليين؛ د) يجب أن يكونوا تحت سن معينة")</f>
        <v>أ) لا، يمكن لأي شخص أن يكون حكمًا؛ ب) نعم، يجب على الحكام اجتياز اختبار اللياقة البدنية؛ ج) فقط للحكام الدوليين؛ د) يجب أن يكونوا تحت سن معينة</v>
      </c>
      <c r="J146" s="5" t="str">
        <f>IFERROR(__xludf.DUMMYFUNCTION("GOOGLETRANSLATE(D146, ""en"", ""ar"")"),"ب) نعم، يجب على الحكام اجتياز اختبار اللياقة البدنية.")</f>
        <v>ب) نعم، يجب على الحكام اجتياز اختبار اللياقة البدنية.</v>
      </c>
      <c r="K146" s="5" t="str">
        <f>IFERROR(__xludf.DUMMYFUNCTION("GOOGLETRANSLATE(E146, ""en"", ""ar"")"),"من أجل مواكبة الأحداث والحفاظ على السيطرة على المباراة، يتعين على الحكام استيفاء مستوى معين من اللياقة البدنية.")</f>
        <v>من أجل مواكبة الأحداث والحفاظ على السيطرة على المباراة، يتعين على الحكام استيفاء مستوى معين من اللياقة البدنية.</v>
      </c>
    </row>
    <row r="147">
      <c r="A147" s="3">
        <v>146.0</v>
      </c>
      <c r="B147" s="4" t="s">
        <v>1186</v>
      </c>
      <c r="C147" s="4" t="s">
        <v>1187</v>
      </c>
      <c r="D147" s="4" t="s">
        <v>1188</v>
      </c>
      <c r="E147" s="4" t="s">
        <v>1189</v>
      </c>
      <c r="G147" s="5" t="str">
        <f>IFERROR(__xludf.DUMMYFUNCTION("GOOGLETRANSLATE(A147, ""en"", ""ar"")"),"146")</f>
        <v>146</v>
      </c>
      <c r="H147" s="5" t="str">
        <f>IFERROR(__xludf.DUMMYFUNCTION("GOOGLETRANSLATE(B147, ""en"", ""ar"")"),"إذا تم إلقاء المصارع على الأرض، ما هو الحد الأقصى للوقت الذي يمكنه البقاء فيه على الأرض قبل أن يضطر إلى إعادة الاشتباك؟")</f>
        <v>إذا تم إلقاء المصارع على الأرض، ما هو الحد الأقصى للوقت الذي يمكنه البقاء فيه على الأرض قبل أن يضطر إلى إعادة الاشتباك؟</v>
      </c>
      <c r="I147" s="5" t="str">
        <f>IFERROR(__xludf.DUMMYFUNCTION("GOOGLETRANSLATE(C147, ""en"", ""ar"")"),"أ) لا يوجد حد زمني؛ ب) 5 ثوانٍ؛ ج) 10 ثوانٍ؛ د) سيطلب منهم الحكم النهوض فورًا")</f>
        <v>أ) لا يوجد حد زمني؛ ب) 5 ثوانٍ؛ ج) 10 ثوانٍ؛ د) سيطلب منهم الحكم النهوض فورًا</v>
      </c>
      <c r="J147" s="5" t="str">
        <f>IFERROR(__xludf.DUMMYFUNCTION("GOOGLETRANSLATE(D147, ""en"", ""ar"")"),"د) يطلب منهم الحكم النهوض فورًا")</f>
        <v>د) يطلب منهم الحكم النهوض فورًا</v>
      </c>
      <c r="K147" s="5" t="str">
        <f>IFERROR(__xludf.DUMMYFUNCTION("GOOGLETRANSLATE(E147, ""en"", ""ar"")"),"للحفاظ على استمرار الحركة، يجب على المصارع الموجود على الأرض ولكنه غير مثبت أن يعمل فورًا على العودة إلى قدميه أو إلى وضع المصارعة الدائمة.")</f>
        <v>للحفاظ على استمرار الحركة، يجب على المصارع الموجود على الأرض ولكنه غير مثبت أن يعمل فورًا على العودة إلى قدميه أو إلى وضع المصارعة الدائمة.</v>
      </c>
    </row>
    <row r="148">
      <c r="A148" s="3">
        <v>147.0</v>
      </c>
      <c r="B148" s="4" t="s">
        <v>1190</v>
      </c>
      <c r="C148" s="4" t="s">
        <v>1191</v>
      </c>
      <c r="D148" s="4" t="s">
        <v>1020</v>
      </c>
      <c r="E148" s="4" t="s">
        <v>1192</v>
      </c>
      <c r="G148" s="5" t="str">
        <f>IFERROR(__xludf.DUMMYFUNCTION("GOOGLETRANSLATE(A148, ""en"", ""ar"")"),"147")</f>
        <v>147</v>
      </c>
      <c r="H148" s="5" t="str">
        <f>IFERROR(__xludf.DUMMYFUNCTION("GOOGLETRANSLATE(B148, ""en"", ""ar"")"),"ما هي عقوبة المصارع الذي يستخدم لغة مهينة تجاه خصمه؟")</f>
        <v>ما هي عقوبة المصارع الذي يستخدم لغة مهينة تجاه خصمه؟</v>
      </c>
      <c r="I148" s="5" t="str">
        <f>IFERROR(__xludf.DUMMYFUNCTION("GOOGLETRANSLATE(C148, ""en"", ""ar"")"),"أ) لا توجد عقوبة؛ ب) تحذير رسمي لعدم الاحترام؛ ج) يتم خصم نقطة؛ د) الاستبعاد")</f>
        <v>أ) لا توجد عقوبة؛ ب) تحذير رسمي لعدم الاحترام؛ ج) يتم خصم نقطة؛ د) الاستبعاد</v>
      </c>
      <c r="J148" s="5" t="str">
        <f>IFERROR(__xludf.DUMMYFUNCTION("GOOGLETRANSLATE(D148, ""en"", ""ar"")"),"ب) تحذير رسمي لعدم الاحترام")</f>
        <v>ب) تحذير رسمي لعدم الاحترام</v>
      </c>
      <c r="K148" s="5" t="str">
        <f>IFERROR(__xludf.DUMMYFUNCTION("GOOGLETRANSLATE(E148, ""en"", ""ar"")"),"إن الإساءة اللفظية تنتهك قواعد السلوك وسيتم مواجهتها بتحذير، مع حالات أخرى تؤدي إلى خصم النقاط.")</f>
        <v>إن الإساءة اللفظية تنتهك قواعد السلوك وسيتم مواجهتها بتحذير، مع حالات أخرى تؤدي إلى خصم النقاط.</v>
      </c>
    </row>
    <row r="149">
      <c r="A149" s="3">
        <v>148.0</v>
      </c>
      <c r="B149" s="4" t="s">
        <v>1193</v>
      </c>
      <c r="C149" s="4" t="s">
        <v>1194</v>
      </c>
      <c r="D149" s="4" t="s">
        <v>1195</v>
      </c>
      <c r="E149" s="4" t="s">
        <v>1196</v>
      </c>
      <c r="G149" s="5" t="str">
        <f>IFERROR(__xludf.DUMMYFUNCTION("GOOGLETRANSLATE(A149, ""en"", ""ar"")"),"148")</f>
        <v>148</v>
      </c>
      <c r="H149" s="5" t="str">
        <f>IFERROR(__xludf.DUMMYFUNCTION("GOOGLETRANSLATE(B149, ""en"", ""ar"")"),"هل يجوز استعمال العصا للضغط على رقبة أو حلق الخصم؟")</f>
        <v>هل يجوز استعمال العصا للضغط على رقبة أو حلق الخصم؟</v>
      </c>
      <c r="I149" s="5" t="str">
        <f>IFERROR(__xludf.DUMMYFUNCTION("GOOGLETRANSLATE(C149, ""en"", ""ar"")"),"أ) نعم، إذا أجبر على الخضوع؛ ب) لا، هذه حركة خطيرة وغير قانونية؛ ج) فقط بالجانب المسطح من العصا؛ د) فقط للحظة وجيزة")</f>
        <v>أ) نعم، إذا أجبر على الخضوع؛ ب) لا، هذه حركة خطيرة وغير قانونية؛ ج) فقط بالجانب المسطح من العصا؛ د) فقط للحظة وجيزة</v>
      </c>
      <c r="J149" s="5" t="str">
        <f>IFERROR(__xludf.DUMMYFUNCTION("GOOGLETRANSLATE(D149, ""en"", ""ar"")"),"ب) لا، هذه خطوة خطيرة وغير قانونية.")</f>
        <v>ب) لا، هذه خطوة خطيرة وغير قانونية.</v>
      </c>
      <c r="K149" s="5" t="str">
        <f>IFERROR(__xludf.DUMMYFUNCTION("GOOGLETRANSLATE(E149, ""en"", ""ar"")"),"الرقبة والحلق مناطق محمية، واستخدام العصا للضغط عليها يعتبر خطأ كبيرا.")</f>
        <v>الرقبة والحلق مناطق محمية، واستخدام العصا للضغط عليها يعتبر خطأ كبيرا.</v>
      </c>
    </row>
    <row r="150">
      <c r="A150" s="3">
        <v>149.0</v>
      </c>
      <c r="B150" s="4" t="s">
        <v>1197</v>
      </c>
      <c r="C150" s="4" t="s">
        <v>1198</v>
      </c>
      <c r="D150" s="4" t="s">
        <v>1199</v>
      </c>
      <c r="E150" s="4" t="s">
        <v>1200</v>
      </c>
      <c r="G150" s="5" t="str">
        <f>IFERROR(__xludf.DUMMYFUNCTION("GOOGLETRANSLATE(A150, ""en"", ""ar"")"),"149")</f>
        <v>149</v>
      </c>
      <c r="H150" s="5" t="str">
        <f>IFERROR(__xludf.DUMMYFUNCTION("GOOGLETRANSLATE(B150, ""en"", ""ar"")"),"ما هي القاعدة إذا أصيب المصارع بنوبة ربو أثناء المباراة؟")</f>
        <v>ما هي القاعدة إذا أصيب المصارع بنوبة ربو أثناء المباراة؟</v>
      </c>
      <c r="I150" s="5" t="str">
        <f>IFERROR(__xludf.DUMMYFUNCTION("GOOGLETRANSLATE(C150, ""en"", ""ar"")"),"أ)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f>
        <v>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v>
      </c>
      <c r="J150" s="5" t="str">
        <f>IFERROR(__xludf.DUMMYFUNCTION("GOOGLETRANSLATE(D150, ""en"", ""ar"")"),"ج) يتم إيقاف المباراة مؤقتًا، ويتم التعامل معها كوقت مستقطع للإصابة")</f>
        <v>ج) يتم إيقاف المباراة مؤقتًا، ويتم التعامل معها كوقت مستقطع للإصابة</v>
      </c>
      <c r="K150" s="5" t="str">
        <f>IFERROR(__xludf.DUMMYFUNCTION("GOOGLETRANSLATE(E150, ""en"", ""ar"")"),"يتم التعامل مع حالة طبية طارئة مشروعة مثل نوبة الربو كإصابة، حيث يحدد الحكم والطاقم الطبي ما إذا كان المصارع يستطيع الاستمرار بأمان.")</f>
        <v>يتم التعامل مع حالة طبية طارئة مشروعة مثل نوبة الربو كإصابة، حيث يحدد الحكم والطاقم الطبي ما إذا كان المصارع يستطيع الاستمرار بأمان.</v>
      </c>
    </row>
    <row r="151">
      <c r="A151" s="3">
        <v>150.0</v>
      </c>
      <c r="B151" s="4" t="s">
        <v>1201</v>
      </c>
      <c r="C151" s="4" t="s">
        <v>1202</v>
      </c>
      <c r="D151" s="4" t="s">
        <v>1203</v>
      </c>
      <c r="E151" s="4" t="s">
        <v>1204</v>
      </c>
      <c r="G151" s="5" t="str">
        <f>IFERROR(__xludf.DUMMYFUNCTION("GOOGLETRANSLATE(A151, ""en"", ""ar"")"),"150")</f>
        <v>150</v>
      </c>
      <c r="H151" s="5" t="str">
        <f>IFERROR(__xludf.DUMMYFUNCTION("GOOGLETRANSLATE(B151, ""en"", ""ar"")"),"إذا اعتزل المصارع البطل، ما هي القاعدة لتحديد البطل الجديد؟")</f>
        <v>إذا اعتزل المصارع البطل، ما هي القاعدة لتحديد البطل الجديد؟</v>
      </c>
      <c r="I151" s="5" t="str">
        <f>IFERROR(__xludf.DUMMYFUNCTION("GOOGLETRANSLATE(C151, ""en"", ""ar"")"),"أ) يظل اللقب شاغرًا؛ ب) تُقام بطولة بين أفضل المتنافسين؛ ج) يتم ترقية وصيف البطولة الأخيرة؛ د) يعين الشيوخ بطلًا جديدًا")</f>
        <v>أ) يظل اللقب شاغرًا؛ ب) تُقام بطولة بين أفضل المتنافسين؛ ج) يتم ترقية وصيف البطولة الأخيرة؛ د) يعين الشيوخ بطلًا جديدًا</v>
      </c>
      <c r="J151" s="5" t="str">
        <f>IFERROR(__xludf.DUMMYFUNCTION("GOOGLETRANSLATE(D151, ""en"", ""ar"")"),"ب) تقام بطولة بين أفضل المتنافسين")</f>
        <v>ب) تقام بطولة بين أفضل المتنافسين</v>
      </c>
      <c r="K151" s="5" t="str">
        <f>IFERROR(__xludf.DUMMYFUNCTION("GOOGLETRANSLATE(E151, ""en"", ""ar"")"),"عندما يصبح اللقب شاغرا، يتم تتويج بطل جديد بالفوز ببطولة أو مباراة بين المصارعين الأعلى تصنيفا.")</f>
        <v>عندما يصبح اللقب شاغرا، يتم تتويج بطل جديد بالفوز ببطولة أو مباراة بين المصارعين الأعلى تصنيفا.</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s>
  <sheetData>
    <row r="1">
      <c r="A1" s="1" t="s">
        <v>0</v>
      </c>
      <c r="B1" s="1" t="s">
        <v>1</v>
      </c>
      <c r="C1" s="1" t="s">
        <v>2</v>
      </c>
      <c r="D1" s="1" t="s">
        <v>3</v>
      </c>
      <c r="E1" s="1" t="s">
        <v>4</v>
      </c>
    </row>
    <row r="2">
      <c r="A2" s="3">
        <v>1.0</v>
      </c>
      <c r="B2" s="4" t="s">
        <v>1490</v>
      </c>
      <c r="C2" s="4" t="s">
        <v>1491</v>
      </c>
      <c r="D2" s="4" t="s">
        <v>1492</v>
      </c>
      <c r="E2" s="4" t="s">
        <v>1493</v>
      </c>
    </row>
    <row r="3">
      <c r="A3" s="3">
        <v>2.0</v>
      </c>
      <c r="B3" s="4" t="s">
        <v>1494</v>
      </c>
      <c r="C3" s="4" t="s">
        <v>1495</v>
      </c>
      <c r="D3" s="4" t="s">
        <v>1496</v>
      </c>
      <c r="E3" s="4" t="s">
        <v>1497</v>
      </c>
    </row>
    <row r="4">
      <c r="A4" s="3">
        <v>3.0</v>
      </c>
      <c r="B4" s="4" t="s">
        <v>1498</v>
      </c>
      <c r="C4" s="4" t="s">
        <v>1499</v>
      </c>
      <c r="D4" s="4" t="s">
        <v>1500</v>
      </c>
      <c r="E4" s="4" t="s">
        <v>1501</v>
      </c>
    </row>
    <row r="5">
      <c r="A5" s="3">
        <v>4.0</v>
      </c>
      <c r="B5" s="4" t="s">
        <v>1502</v>
      </c>
      <c r="C5" s="4" t="s">
        <v>1503</v>
      </c>
      <c r="D5" s="4" t="s">
        <v>1504</v>
      </c>
      <c r="E5" s="4" t="s">
        <v>1505</v>
      </c>
    </row>
    <row r="6">
      <c r="A6" s="3">
        <v>5.0</v>
      </c>
      <c r="B6" s="4" t="s">
        <v>1506</v>
      </c>
      <c r="C6" s="4" t="s">
        <v>1507</v>
      </c>
      <c r="D6" s="4" t="s">
        <v>1508</v>
      </c>
      <c r="E6" s="4" t="s">
        <v>1509</v>
      </c>
    </row>
    <row r="7">
      <c r="A7" s="3">
        <v>6.0</v>
      </c>
      <c r="B7" s="4" t="s">
        <v>1510</v>
      </c>
      <c r="C7" s="4" t="s">
        <v>1511</v>
      </c>
      <c r="D7" s="4" t="s">
        <v>1512</v>
      </c>
      <c r="E7" s="4" t="s">
        <v>1513</v>
      </c>
    </row>
    <row r="8">
      <c r="A8" s="3">
        <v>7.0</v>
      </c>
      <c r="B8" s="4" t="s">
        <v>1514</v>
      </c>
      <c r="C8" s="4" t="s">
        <v>1515</v>
      </c>
      <c r="D8" s="4" t="s">
        <v>1516</v>
      </c>
      <c r="E8" s="4" t="s">
        <v>1517</v>
      </c>
    </row>
    <row r="9">
      <c r="A9" s="3">
        <v>8.0</v>
      </c>
      <c r="B9" s="4" t="s">
        <v>1518</v>
      </c>
      <c r="C9" s="4" t="s">
        <v>1519</v>
      </c>
      <c r="D9" s="4" t="s">
        <v>1520</v>
      </c>
      <c r="E9" s="4" t="s">
        <v>1521</v>
      </c>
    </row>
    <row r="10">
      <c r="A10" s="3">
        <v>9.0</v>
      </c>
      <c r="B10" s="4" t="s">
        <v>1522</v>
      </c>
      <c r="C10" s="4" t="s">
        <v>1523</v>
      </c>
      <c r="D10" s="4" t="s">
        <v>1524</v>
      </c>
      <c r="E10" s="4" t="s">
        <v>1525</v>
      </c>
    </row>
    <row r="11">
      <c r="A11" s="3">
        <v>10.0</v>
      </c>
      <c r="B11" s="4" t="s">
        <v>1526</v>
      </c>
      <c r="C11" s="4" t="s">
        <v>1527</v>
      </c>
      <c r="D11" s="4" t="s">
        <v>1528</v>
      </c>
      <c r="E11" s="4" t="s">
        <v>1529</v>
      </c>
    </row>
    <row r="12">
      <c r="A12" s="3">
        <v>11.0</v>
      </c>
      <c r="B12" s="4" t="s">
        <v>1530</v>
      </c>
      <c r="C12" s="4" t="s">
        <v>1531</v>
      </c>
      <c r="D12" s="4" t="s">
        <v>1532</v>
      </c>
      <c r="E12" s="4" t="s">
        <v>1533</v>
      </c>
    </row>
    <row r="13">
      <c r="A13" s="3">
        <v>12.0</v>
      </c>
      <c r="B13" s="4" t="s">
        <v>1534</v>
      </c>
      <c r="C13" s="4" t="s">
        <v>1535</v>
      </c>
      <c r="D13" s="4" t="s">
        <v>1536</v>
      </c>
      <c r="E13" s="4" t="s">
        <v>1537</v>
      </c>
    </row>
    <row r="14">
      <c r="A14" s="3">
        <v>13.0</v>
      </c>
      <c r="B14" s="4" t="s">
        <v>1538</v>
      </c>
      <c r="C14" s="4" t="s">
        <v>1539</v>
      </c>
      <c r="D14" s="4" t="s">
        <v>1540</v>
      </c>
      <c r="E14" s="4" t="s">
        <v>1541</v>
      </c>
    </row>
    <row r="15">
      <c r="A15" s="3">
        <v>14.0</v>
      </c>
      <c r="B15" s="4" t="s">
        <v>1542</v>
      </c>
      <c r="C15" s="4" t="s">
        <v>1543</v>
      </c>
      <c r="D15" s="4" t="s">
        <v>1544</v>
      </c>
      <c r="E15" s="4" t="s">
        <v>1545</v>
      </c>
    </row>
    <row r="16">
      <c r="A16" s="3">
        <v>15.0</v>
      </c>
      <c r="B16" s="4" t="s">
        <v>1546</v>
      </c>
      <c r="C16" s="4" t="s">
        <v>1547</v>
      </c>
      <c r="D16" s="4" t="s">
        <v>1548</v>
      </c>
      <c r="E16" s="4" t="s">
        <v>1549</v>
      </c>
    </row>
    <row r="17">
      <c r="A17" s="3">
        <v>16.0</v>
      </c>
      <c r="B17" s="4" t="s">
        <v>1550</v>
      </c>
      <c r="C17" s="4" t="s">
        <v>1551</v>
      </c>
      <c r="D17" s="4" t="s">
        <v>1552</v>
      </c>
      <c r="E17" s="4" t="s">
        <v>1553</v>
      </c>
    </row>
    <row r="18">
      <c r="A18" s="3">
        <v>17.0</v>
      </c>
      <c r="B18" s="4" t="s">
        <v>1554</v>
      </c>
      <c r="C18" s="4" t="s">
        <v>1555</v>
      </c>
      <c r="D18" s="4" t="s">
        <v>1556</v>
      </c>
      <c r="E18" s="4" t="s">
        <v>1557</v>
      </c>
    </row>
    <row r="19">
      <c r="A19" s="3">
        <v>18.0</v>
      </c>
      <c r="B19" s="4" t="s">
        <v>1558</v>
      </c>
      <c r="C19" s="4" t="s">
        <v>1559</v>
      </c>
      <c r="D19" s="4" t="s">
        <v>1560</v>
      </c>
      <c r="E19" s="4" t="s">
        <v>1561</v>
      </c>
    </row>
    <row r="20">
      <c r="A20" s="3">
        <v>19.0</v>
      </c>
      <c r="B20" s="4" t="s">
        <v>1562</v>
      </c>
      <c r="C20" s="4" t="s">
        <v>1563</v>
      </c>
      <c r="D20" s="4" t="s">
        <v>1564</v>
      </c>
      <c r="E20" s="4" t="s">
        <v>1565</v>
      </c>
    </row>
    <row r="21">
      <c r="A21" s="3">
        <v>20.0</v>
      </c>
      <c r="B21" s="4" t="s">
        <v>1566</v>
      </c>
      <c r="C21" s="4" t="s">
        <v>1567</v>
      </c>
      <c r="D21" s="4" t="s">
        <v>1568</v>
      </c>
      <c r="E21" s="4" t="s">
        <v>1569</v>
      </c>
    </row>
    <row r="22">
      <c r="A22" s="3">
        <v>21.0</v>
      </c>
      <c r="B22" s="4" t="s">
        <v>1570</v>
      </c>
      <c r="C22" s="4" t="s">
        <v>1571</v>
      </c>
      <c r="D22" s="4" t="s">
        <v>1552</v>
      </c>
      <c r="E22" s="4" t="s">
        <v>1572</v>
      </c>
    </row>
    <row r="23">
      <c r="A23" s="3">
        <v>22.0</v>
      </c>
      <c r="B23" s="4" t="s">
        <v>1573</v>
      </c>
      <c r="C23" s="4" t="s">
        <v>1574</v>
      </c>
      <c r="D23" s="4" t="s">
        <v>1575</v>
      </c>
      <c r="E23" s="4" t="s">
        <v>1576</v>
      </c>
    </row>
    <row r="24">
      <c r="A24" s="3">
        <v>23.0</v>
      </c>
      <c r="B24" s="4" t="s">
        <v>1577</v>
      </c>
      <c r="C24" s="4" t="s">
        <v>1578</v>
      </c>
      <c r="D24" s="4" t="s">
        <v>1579</v>
      </c>
      <c r="E24" s="4" t="s">
        <v>1580</v>
      </c>
    </row>
    <row r="25">
      <c r="A25" s="3">
        <v>24.0</v>
      </c>
      <c r="B25" s="4" t="s">
        <v>1581</v>
      </c>
      <c r="C25" s="4" t="s">
        <v>1582</v>
      </c>
      <c r="D25" s="4" t="s">
        <v>1583</v>
      </c>
      <c r="E25" s="4" t="s">
        <v>1584</v>
      </c>
    </row>
    <row r="26">
      <c r="A26" s="3">
        <v>25.0</v>
      </c>
      <c r="B26" s="4" t="s">
        <v>1585</v>
      </c>
      <c r="C26" s="4" t="s">
        <v>1586</v>
      </c>
      <c r="D26" s="4" t="s">
        <v>1587</v>
      </c>
      <c r="E26" s="4" t="s">
        <v>1588</v>
      </c>
    </row>
    <row r="27">
      <c r="A27" s="3">
        <v>26.0</v>
      </c>
      <c r="B27" s="4" t="s">
        <v>1589</v>
      </c>
      <c r="C27" s="4" t="s">
        <v>1590</v>
      </c>
      <c r="D27" s="4" t="s">
        <v>1591</v>
      </c>
      <c r="E27" s="4" t="s">
        <v>1592</v>
      </c>
    </row>
    <row r="28">
      <c r="A28" s="3">
        <v>27.0</v>
      </c>
      <c r="B28" s="4" t="s">
        <v>1593</v>
      </c>
      <c r="C28" s="4" t="s">
        <v>1594</v>
      </c>
      <c r="D28" s="4" t="s">
        <v>1595</v>
      </c>
      <c r="E28" s="4" t="s">
        <v>1596</v>
      </c>
    </row>
    <row r="29">
      <c r="A29" s="3">
        <v>28.0</v>
      </c>
      <c r="B29" s="4" t="s">
        <v>1597</v>
      </c>
      <c r="C29" s="4" t="s">
        <v>1598</v>
      </c>
      <c r="D29" s="4" t="s">
        <v>1599</v>
      </c>
      <c r="E29" s="4" t="s">
        <v>1600</v>
      </c>
    </row>
    <row r="30">
      <c r="A30" s="3">
        <v>29.0</v>
      </c>
      <c r="B30" s="4" t="s">
        <v>1601</v>
      </c>
      <c r="C30" s="4" t="s">
        <v>1602</v>
      </c>
      <c r="D30" s="4" t="s">
        <v>1603</v>
      </c>
      <c r="E30" s="4" t="s">
        <v>1604</v>
      </c>
    </row>
    <row r="31">
      <c r="A31" s="3">
        <v>30.0</v>
      </c>
      <c r="B31" s="4" t="s">
        <v>1605</v>
      </c>
      <c r="C31" s="4" t="s">
        <v>1606</v>
      </c>
      <c r="D31" s="4" t="s">
        <v>1607</v>
      </c>
      <c r="E31" s="4" t="s">
        <v>1608</v>
      </c>
    </row>
    <row r="32">
      <c r="A32" s="3">
        <v>31.0</v>
      </c>
      <c r="B32" s="4" t="s">
        <v>1609</v>
      </c>
      <c r="C32" s="4" t="s">
        <v>1610</v>
      </c>
      <c r="D32" s="4" t="s">
        <v>1611</v>
      </c>
      <c r="E32" s="4" t="s">
        <v>1612</v>
      </c>
    </row>
    <row r="33">
      <c r="A33" s="3">
        <v>32.0</v>
      </c>
      <c r="B33" s="4" t="s">
        <v>1613</v>
      </c>
      <c r="C33" s="4" t="s">
        <v>1614</v>
      </c>
      <c r="D33" s="4" t="s">
        <v>1615</v>
      </c>
      <c r="E33" s="4" t="s">
        <v>1616</v>
      </c>
    </row>
    <row r="34">
      <c r="A34" s="3">
        <v>33.0</v>
      </c>
      <c r="B34" s="4" t="s">
        <v>1617</v>
      </c>
      <c r="C34" s="4" t="s">
        <v>1618</v>
      </c>
      <c r="D34" s="4" t="s">
        <v>1619</v>
      </c>
      <c r="E34" s="4" t="s">
        <v>1620</v>
      </c>
    </row>
    <row r="35">
      <c r="A35" s="3">
        <v>34.0</v>
      </c>
      <c r="B35" s="4" t="s">
        <v>1621</v>
      </c>
      <c r="C35" s="4" t="s">
        <v>1622</v>
      </c>
      <c r="D35" s="4" t="s">
        <v>1623</v>
      </c>
      <c r="E35" s="4" t="s">
        <v>1624</v>
      </c>
    </row>
    <row r="36">
      <c r="A36" s="3">
        <v>35.0</v>
      </c>
      <c r="B36" s="4" t="s">
        <v>1625</v>
      </c>
      <c r="C36" s="4" t="s">
        <v>1626</v>
      </c>
      <c r="D36" s="4" t="s">
        <v>1627</v>
      </c>
      <c r="E36" s="4" t="s">
        <v>1628</v>
      </c>
    </row>
    <row r="37">
      <c r="A37" s="3">
        <v>36.0</v>
      </c>
      <c r="B37" s="4" t="s">
        <v>1629</v>
      </c>
      <c r="C37" s="4" t="s">
        <v>1630</v>
      </c>
      <c r="D37" s="4" t="s">
        <v>1631</v>
      </c>
      <c r="E37" s="4" t="s">
        <v>1632</v>
      </c>
    </row>
    <row r="38">
      <c r="A38" s="3">
        <v>37.0</v>
      </c>
      <c r="B38" s="4" t="s">
        <v>1633</v>
      </c>
      <c r="C38" s="4" t="s">
        <v>1634</v>
      </c>
      <c r="D38" s="4" t="s">
        <v>1635</v>
      </c>
      <c r="E38" s="4" t="s">
        <v>1636</v>
      </c>
    </row>
    <row r="39">
      <c r="A39" s="3">
        <v>38.0</v>
      </c>
      <c r="B39" s="4" t="s">
        <v>1637</v>
      </c>
      <c r="C39" s="4" t="s">
        <v>1638</v>
      </c>
      <c r="D39" s="4" t="s">
        <v>1639</v>
      </c>
      <c r="E39" s="4" t="s">
        <v>1640</v>
      </c>
    </row>
    <row r="40">
      <c r="A40" s="3">
        <v>39.0</v>
      </c>
      <c r="B40" s="4" t="s">
        <v>1641</v>
      </c>
      <c r="C40" s="4" t="s">
        <v>1642</v>
      </c>
      <c r="D40" s="4" t="s">
        <v>1643</v>
      </c>
      <c r="E40" s="4" t="s">
        <v>1644</v>
      </c>
    </row>
    <row r="41">
      <c r="A41" s="3">
        <v>40.0</v>
      </c>
      <c r="B41" s="4" t="s">
        <v>1645</v>
      </c>
      <c r="C41" s="4" t="s">
        <v>1646</v>
      </c>
      <c r="D41" s="4" t="s">
        <v>1647</v>
      </c>
      <c r="E41" s="4" t="s">
        <v>1648</v>
      </c>
    </row>
    <row r="42">
      <c r="A42" s="3">
        <v>41.0</v>
      </c>
      <c r="B42" s="4" t="s">
        <v>1649</v>
      </c>
      <c r="C42" s="4" t="s">
        <v>1650</v>
      </c>
      <c r="D42" s="4" t="s">
        <v>1651</v>
      </c>
      <c r="E42" s="4" t="s">
        <v>1652</v>
      </c>
    </row>
    <row r="43">
      <c r="A43" s="3">
        <v>42.0</v>
      </c>
      <c r="B43" s="4" t="s">
        <v>1653</v>
      </c>
      <c r="C43" s="4" t="s">
        <v>1654</v>
      </c>
      <c r="D43" s="4" t="s">
        <v>1655</v>
      </c>
      <c r="E43" s="4" t="s">
        <v>1656</v>
      </c>
    </row>
    <row r="44">
      <c r="A44" s="3">
        <v>43.0</v>
      </c>
      <c r="B44" s="4" t="s">
        <v>1657</v>
      </c>
      <c r="C44" s="4" t="s">
        <v>1658</v>
      </c>
      <c r="D44" s="4" t="s">
        <v>1659</v>
      </c>
      <c r="E44" s="4" t="s">
        <v>1660</v>
      </c>
    </row>
    <row r="45">
      <c r="A45" s="3">
        <v>44.0</v>
      </c>
      <c r="B45" s="4" t="s">
        <v>1661</v>
      </c>
      <c r="C45" s="4" t="s">
        <v>1662</v>
      </c>
      <c r="D45" s="4" t="s">
        <v>1663</v>
      </c>
      <c r="E45" s="4" t="s">
        <v>1664</v>
      </c>
    </row>
    <row r="46">
      <c r="A46" s="3">
        <v>45.0</v>
      </c>
      <c r="B46" s="4" t="s">
        <v>1665</v>
      </c>
      <c r="C46" s="4" t="s">
        <v>1666</v>
      </c>
      <c r="D46" s="4" t="s">
        <v>1667</v>
      </c>
      <c r="E46" s="4" t="s">
        <v>1668</v>
      </c>
    </row>
    <row r="47">
      <c r="A47" s="3">
        <v>46.0</v>
      </c>
      <c r="B47" s="4" t="s">
        <v>1669</v>
      </c>
      <c r="C47" s="4" t="s">
        <v>1670</v>
      </c>
      <c r="D47" s="4" t="s">
        <v>1671</v>
      </c>
      <c r="E47" s="4" t="s">
        <v>1672</v>
      </c>
    </row>
    <row r="48">
      <c r="A48" s="3">
        <v>47.0</v>
      </c>
      <c r="B48" s="4" t="s">
        <v>1673</v>
      </c>
      <c r="C48" s="4" t="s">
        <v>1674</v>
      </c>
      <c r="D48" s="4" t="s">
        <v>1675</v>
      </c>
      <c r="E48" s="4" t="s">
        <v>1676</v>
      </c>
    </row>
    <row r="49">
      <c r="A49" s="3">
        <v>48.0</v>
      </c>
      <c r="B49" s="4" t="s">
        <v>1677</v>
      </c>
      <c r="C49" s="4" t="s">
        <v>1678</v>
      </c>
      <c r="D49" s="4" t="s">
        <v>1679</v>
      </c>
      <c r="E49" s="4" t="s">
        <v>1680</v>
      </c>
    </row>
    <row r="50">
      <c r="A50" s="3">
        <v>49.0</v>
      </c>
      <c r="B50" s="4" t="s">
        <v>1681</v>
      </c>
      <c r="C50" s="4" t="s">
        <v>1682</v>
      </c>
      <c r="D50" s="4" t="s">
        <v>1683</v>
      </c>
      <c r="E50" s="4" t="s">
        <v>1684</v>
      </c>
    </row>
    <row r="51">
      <c r="A51" s="3">
        <v>50.0</v>
      </c>
      <c r="B51" s="4" t="s">
        <v>1685</v>
      </c>
      <c r="C51" s="4" t="s">
        <v>1686</v>
      </c>
      <c r="D51" s="4" t="s">
        <v>1687</v>
      </c>
      <c r="E51" s="4" t="s">
        <v>1688</v>
      </c>
    </row>
    <row r="52">
      <c r="A52" s="3">
        <v>51.0</v>
      </c>
      <c r="B52" s="4" t="s">
        <v>1689</v>
      </c>
      <c r="C52" s="4" t="s">
        <v>1690</v>
      </c>
      <c r="D52" s="4" t="s">
        <v>1691</v>
      </c>
      <c r="E52" s="4" t="s">
        <v>1692</v>
      </c>
    </row>
    <row r="53">
      <c r="A53" s="3">
        <v>52.0</v>
      </c>
      <c r="B53" s="4" t="s">
        <v>1693</v>
      </c>
      <c r="C53" s="4" t="s">
        <v>1694</v>
      </c>
      <c r="D53" s="4" t="s">
        <v>1695</v>
      </c>
      <c r="E53" s="4" t="s">
        <v>1696</v>
      </c>
    </row>
    <row r="54">
      <c r="A54" s="3">
        <v>53.0</v>
      </c>
      <c r="B54" s="4" t="s">
        <v>1697</v>
      </c>
      <c r="C54" s="4" t="s">
        <v>1698</v>
      </c>
      <c r="D54" s="4" t="s">
        <v>1699</v>
      </c>
      <c r="E54" s="4" t="s">
        <v>1700</v>
      </c>
    </row>
    <row r="55">
      <c r="A55" s="3">
        <v>54.0</v>
      </c>
      <c r="B55" s="4" t="s">
        <v>1701</v>
      </c>
      <c r="C55" s="4" t="s">
        <v>1702</v>
      </c>
      <c r="D55" s="4" t="s">
        <v>1703</v>
      </c>
      <c r="E55" s="4" t="s">
        <v>1704</v>
      </c>
    </row>
    <row r="56">
      <c r="A56" s="3">
        <v>55.0</v>
      </c>
      <c r="B56" s="4" t="s">
        <v>1705</v>
      </c>
      <c r="C56" s="4" t="s">
        <v>1706</v>
      </c>
      <c r="D56" s="4" t="s">
        <v>1707</v>
      </c>
      <c r="E56" s="4" t="s">
        <v>1708</v>
      </c>
    </row>
    <row r="57">
      <c r="A57" s="3">
        <v>56.0</v>
      </c>
      <c r="B57" s="4" t="s">
        <v>1709</v>
      </c>
      <c r="C57" s="4" t="s">
        <v>1710</v>
      </c>
      <c r="D57" s="4" t="s">
        <v>1711</v>
      </c>
      <c r="E57" s="4" t="s">
        <v>1712</v>
      </c>
    </row>
    <row r="58">
      <c r="A58" s="3">
        <v>57.0</v>
      </c>
      <c r="B58" s="4" t="s">
        <v>1713</v>
      </c>
      <c r="C58" s="4" t="s">
        <v>1714</v>
      </c>
      <c r="D58" s="4" t="s">
        <v>1715</v>
      </c>
      <c r="E58" s="4" t="s">
        <v>1716</v>
      </c>
    </row>
    <row r="59">
      <c r="A59" s="3">
        <v>58.0</v>
      </c>
      <c r="B59" s="4" t="s">
        <v>1717</v>
      </c>
      <c r="C59" s="4" t="s">
        <v>1718</v>
      </c>
      <c r="D59" s="4" t="s">
        <v>1719</v>
      </c>
      <c r="E59" s="4" t="s">
        <v>1720</v>
      </c>
    </row>
    <row r="60">
      <c r="A60" s="3">
        <v>59.0</v>
      </c>
      <c r="B60" s="4" t="s">
        <v>1721</v>
      </c>
      <c r="C60" s="4" t="s">
        <v>1722</v>
      </c>
      <c r="D60" s="4" t="s">
        <v>1723</v>
      </c>
      <c r="E60" s="4" t="s">
        <v>1724</v>
      </c>
    </row>
    <row r="61">
      <c r="A61" s="3">
        <v>60.0</v>
      </c>
      <c r="B61" s="4" t="s">
        <v>1725</v>
      </c>
      <c r="C61" s="4" t="s">
        <v>1726</v>
      </c>
      <c r="D61" s="4" t="s">
        <v>1727</v>
      </c>
      <c r="E61" s="4" t="s">
        <v>1728</v>
      </c>
    </row>
    <row r="62">
      <c r="A62" s="3">
        <v>61.0</v>
      </c>
      <c r="B62" s="4" t="s">
        <v>1729</v>
      </c>
      <c r="C62" s="4" t="s">
        <v>1730</v>
      </c>
      <c r="D62" s="4" t="s">
        <v>1731</v>
      </c>
      <c r="E62" s="4" t="s">
        <v>1732</v>
      </c>
    </row>
    <row r="63">
      <c r="A63" s="3">
        <v>62.0</v>
      </c>
      <c r="B63" s="4" t="s">
        <v>1733</v>
      </c>
      <c r="C63" s="4" t="s">
        <v>1734</v>
      </c>
      <c r="D63" s="4" t="s">
        <v>1735</v>
      </c>
      <c r="E63" s="4" t="s">
        <v>1736</v>
      </c>
    </row>
    <row r="64">
      <c r="A64" s="3">
        <v>63.0</v>
      </c>
      <c r="B64" s="4" t="s">
        <v>1737</v>
      </c>
      <c r="C64" s="4" t="s">
        <v>1738</v>
      </c>
      <c r="D64" s="4" t="s">
        <v>1739</v>
      </c>
      <c r="E64" s="4" t="s">
        <v>1740</v>
      </c>
    </row>
    <row r="65">
      <c r="A65" s="3">
        <v>64.0</v>
      </c>
      <c r="B65" s="4" t="s">
        <v>1741</v>
      </c>
      <c r="C65" s="4" t="s">
        <v>1742</v>
      </c>
      <c r="D65" s="4" t="s">
        <v>1743</v>
      </c>
      <c r="E65" s="4" t="s">
        <v>1744</v>
      </c>
    </row>
    <row r="66">
      <c r="A66" s="3">
        <v>65.0</v>
      </c>
      <c r="B66" s="4" t="s">
        <v>1745</v>
      </c>
      <c r="C66" s="4" t="s">
        <v>1746</v>
      </c>
      <c r="D66" s="4" t="s">
        <v>1747</v>
      </c>
      <c r="E66" s="4" t="s">
        <v>1748</v>
      </c>
    </row>
    <row r="67">
      <c r="A67" s="3">
        <v>66.0</v>
      </c>
      <c r="B67" s="4" t="s">
        <v>1749</v>
      </c>
      <c r="C67" s="4" t="s">
        <v>1750</v>
      </c>
      <c r="D67" s="4" t="s">
        <v>1751</v>
      </c>
      <c r="E67" s="4" t="s">
        <v>1752</v>
      </c>
    </row>
    <row r="68">
      <c r="A68" s="3">
        <v>67.0</v>
      </c>
      <c r="B68" s="4" t="s">
        <v>1753</v>
      </c>
      <c r="C68" s="4" t="s">
        <v>1754</v>
      </c>
      <c r="D68" s="4" t="s">
        <v>1755</v>
      </c>
      <c r="E68" s="4" t="s">
        <v>1756</v>
      </c>
    </row>
    <row r="69">
      <c r="A69" s="3">
        <v>68.0</v>
      </c>
      <c r="B69" s="4" t="s">
        <v>1757</v>
      </c>
      <c r="C69" s="4" t="s">
        <v>1758</v>
      </c>
      <c r="D69" s="4" t="s">
        <v>1759</v>
      </c>
      <c r="E69" s="4" t="s">
        <v>1760</v>
      </c>
    </row>
    <row r="70">
      <c r="A70" s="3">
        <v>69.0</v>
      </c>
      <c r="B70" s="4" t="s">
        <v>1761</v>
      </c>
      <c r="C70" s="4" t="s">
        <v>1762</v>
      </c>
      <c r="D70" s="4" t="s">
        <v>1763</v>
      </c>
      <c r="E70" s="4" t="s">
        <v>1764</v>
      </c>
    </row>
    <row r="71">
      <c r="A71" s="3">
        <v>70.0</v>
      </c>
      <c r="B71" s="4" t="s">
        <v>1765</v>
      </c>
      <c r="C71" s="4" t="s">
        <v>1766</v>
      </c>
      <c r="D71" s="4" t="s">
        <v>1767</v>
      </c>
      <c r="E71" s="4" t="s">
        <v>1768</v>
      </c>
    </row>
    <row r="72">
      <c r="A72" s="3">
        <v>71.0</v>
      </c>
      <c r="B72" s="4" t="s">
        <v>1769</v>
      </c>
      <c r="C72" s="4" t="s">
        <v>1770</v>
      </c>
      <c r="D72" s="4" t="s">
        <v>1771</v>
      </c>
      <c r="E72" s="4" t="s">
        <v>1772</v>
      </c>
    </row>
    <row r="73">
      <c r="A73" s="3">
        <v>72.0</v>
      </c>
      <c r="B73" s="4" t="s">
        <v>1773</v>
      </c>
      <c r="C73" s="4" t="s">
        <v>1774</v>
      </c>
      <c r="D73" s="4" t="s">
        <v>1775</v>
      </c>
      <c r="E73" s="4" t="s">
        <v>1776</v>
      </c>
    </row>
    <row r="74">
      <c r="A74" s="3">
        <v>73.0</v>
      </c>
      <c r="B74" s="4" t="s">
        <v>1777</v>
      </c>
      <c r="C74" s="4" t="s">
        <v>1778</v>
      </c>
      <c r="D74" s="4" t="s">
        <v>1779</v>
      </c>
      <c r="E74" s="4" t="s">
        <v>1780</v>
      </c>
    </row>
    <row r="75">
      <c r="A75" s="3">
        <v>74.0</v>
      </c>
      <c r="B75" s="4" t="s">
        <v>1781</v>
      </c>
      <c r="C75" s="4" t="s">
        <v>1782</v>
      </c>
      <c r="D75" s="4" t="s">
        <v>1783</v>
      </c>
      <c r="E75" s="4" t="s">
        <v>1784</v>
      </c>
    </row>
    <row r="76">
      <c r="A76" s="3">
        <v>75.0</v>
      </c>
      <c r="B76" s="4" t="s">
        <v>1785</v>
      </c>
      <c r="C76" s="4" t="s">
        <v>1786</v>
      </c>
      <c r="D76" s="4" t="s">
        <v>1787</v>
      </c>
      <c r="E76" s="4" t="s">
        <v>1788</v>
      </c>
    </row>
    <row r="77">
      <c r="A77" s="3">
        <v>76.0</v>
      </c>
      <c r="B77" s="4" t="s">
        <v>1789</v>
      </c>
      <c r="C77" s="4" t="s">
        <v>1790</v>
      </c>
      <c r="D77" s="4" t="s">
        <v>1791</v>
      </c>
      <c r="E77" s="4" t="s">
        <v>1792</v>
      </c>
    </row>
    <row r="78">
      <c r="A78" s="3">
        <v>77.0</v>
      </c>
      <c r="B78" s="4" t="s">
        <v>1793</v>
      </c>
      <c r="C78" s="4" t="s">
        <v>1794</v>
      </c>
      <c r="D78" s="4" t="s">
        <v>1795</v>
      </c>
      <c r="E78" s="4" t="s">
        <v>1796</v>
      </c>
    </row>
    <row r="79">
      <c r="A79" s="3">
        <v>78.0</v>
      </c>
      <c r="B79" s="4" t="s">
        <v>1797</v>
      </c>
      <c r="C79" s="4" t="s">
        <v>1798</v>
      </c>
      <c r="D79" s="4" t="s">
        <v>1799</v>
      </c>
      <c r="E79" s="4" t="s">
        <v>1800</v>
      </c>
    </row>
    <row r="80">
      <c r="A80" s="3">
        <v>79.0</v>
      </c>
      <c r="B80" s="4" t="s">
        <v>1801</v>
      </c>
      <c r="C80" s="4" t="s">
        <v>1802</v>
      </c>
      <c r="D80" s="4" t="s">
        <v>1803</v>
      </c>
      <c r="E80" s="4" t="s">
        <v>1804</v>
      </c>
    </row>
    <row r="81">
      <c r="A81" s="3">
        <v>80.0</v>
      </c>
      <c r="B81" s="4" t="s">
        <v>1805</v>
      </c>
      <c r="C81" s="4" t="s">
        <v>1806</v>
      </c>
      <c r="D81" s="4" t="s">
        <v>1807</v>
      </c>
      <c r="E81" s="4" t="s">
        <v>1808</v>
      </c>
    </row>
    <row r="82">
      <c r="A82" s="3">
        <v>81.0</v>
      </c>
      <c r="B82" s="4" t="s">
        <v>1809</v>
      </c>
      <c r="C82" s="4" t="s">
        <v>1810</v>
      </c>
      <c r="D82" s="4" t="s">
        <v>1811</v>
      </c>
      <c r="E82" s="4" t="s">
        <v>1812</v>
      </c>
    </row>
    <row r="83">
      <c r="A83" s="3">
        <v>82.0</v>
      </c>
      <c r="B83" s="4" t="s">
        <v>1813</v>
      </c>
      <c r="C83" s="4" t="s">
        <v>1814</v>
      </c>
      <c r="D83" s="4" t="s">
        <v>1815</v>
      </c>
      <c r="E83" s="4" t="s">
        <v>1816</v>
      </c>
    </row>
    <row r="84">
      <c r="A84" s="3">
        <v>83.0</v>
      </c>
      <c r="B84" s="4" t="s">
        <v>1817</v>
      </c>
      <c r="C84" s="4" t="s">
        <v>1818</v>
      </c>
      <c r="D84" s="4" t="s">
        <v>1819</v>
      </c>
      <c r="E84" s="4" t="s">
        <v>1820</v>
      </c>
    </row>
    <row r="85">
      <c r="A85" s="3">
        <v>84.0</v>
      </c>
      <c r="B85" s="4" t="s">
        <v>1821</v>
      </c>
      <c r="C85" s="4" t="s">
        <v>1822</v>
      </c>
      <c r="D85" s="4" t="s">
        <v>1823</v>
      </c>
      <c r="E85" s="4" t="s">
        <v>1824</v>
      </c>
    </row>
    <row r="86">
      <c r="A86" s="3">
        <v>85.0</v>
      </c>
      <c r="B86" s="4" t="s">
        <v>1825</v>
      </c>
      <c r="C86" s="4" t="s">
        <v>1826</v>
      </c>
      <c r="D86" s="4" t="s">
        <v>1827</v>
      </c>
      <c r="E86" s="4" t="s">
        <v>1828</v>
      </c>
    </row>
    <row r="87">
      <c r="A87" s="3">
        <v>86.0</v>
      </c>
      <c r="B87" s="4" t="s">
        <v>1829</v>
      </c>
      <c r="C87" s="4" t="s">
        <v>1830</v>
      </c>
      <c r="D87" s="4" t="s">
        <v>1831</v>
      </c>
      <c r="E87" s="4" t="s">
        <v>1832</v>
      </c>
    </row>
    <row r="88">
      <c r="A88" s="3">
        <v>87.0</v>
      </c>
      <c r="B88" s="4" t="s">
        <v>1833</v>
      </c>
      <c r="C88" s="4" t="s">
        <v>1834</v>
      </c>
      <c r="D88" s="4" t="s">
        <v>1835</v>
      </c>
      <c r="E88" s="4" t="s">
        <v>1836</v>
      </c>
    </row>
    <row r="89">
      <c r="A89" s="3">
        <v>88.0</v>
      </c>
      <c r="B89" s="4" t="s">
        <v>1837</v>
      </c>
      <c r="C89" s="4" t="s">
        <v>1838</v>
      </c>
      <c r="D89" s="4" t="s">
        <v>1839</v>
      </c>
      <c r="E89" s="4" t="s">
        <v>1840</v>
      </c>
    </row>
    <row r="90">
      <c r="A90" s="3">
        <v>89.0</v>
      </c>
      <c r="B90" s="4" t="s">
        <v>1841</v>
      </c>
      <c r="C90" s="4" t="s">
        <v>1842</v>
      </c>
      <c r="D90" s="4" t="s">
        <v>1843</v>
      </c>
      <c r="E90" s="4" t="s">
        <v>1844</v>
      </c>
    </row>
    <row r="91">
      <c r="A91" s="3">
        <v>90.0</v>
      </c>
      <c r="B91" s="4" t="s">
        <v>1845</v>
      </c>
      <c r="C91" s="4" t="s">
        <v>1846</v>
      </c>
      <c r="D91" s="4" t="s">
        <v>1847</v>
      </c>
      <c r="E91" s="4" t="s">
        <v>1848</v>
      </c>
    </row>
    <row r="92">
      <c r="A92" s="3">
        <v>91.0</v>
      </c>
      <c r="B92" s="4" t="s">
        <v>1849</v>
      </c>
      <c r="C92" s="4" t="s">
        <v>1850</v>
      </c>
      <c r="D92" s="4" t="s">
        <v>1851</v>
      </c>
      <c r="E92" s="4" t="s">
        <v>1852</v>
      </c>
    </row>
    <row r="93">
      <c r="A93" s="3">
        <v>92.0</v>
      </c>
      <c r="B93" s="4" t="s">
        <v>1853</v>
      </c>
      <c r="C93" s="4" t="s">
        <v>1854</v>
      </c>
      <c r="D93" s="4" t="s">
        <v>1855</v>
      </c>
      <c r="E93" s="4" t="s">
        <v>1856</v>
      </c>
    </row>
    <row r="94">
      <c r="A94" s="3">
        <v>93.0</v>
      </c>
      <c r="B94" s="4" t="s">
        <v>1857</v>
      </c>
      <c r="C94" s="4" t="s">
        <v>1858</v>
      </c>
      <c r="D94" s="4" t="s">
        <v>1859</v>
      </c>
      <c r="E94" s="4" t="s">
        <v>1860</v>
      </c>
    </row>
    <row r="95">
      <c r="A95" s="3">
        <v>94.0</v>
      </c>
      <c r="B95" s="4" t="s">
        <v>1861</v>
      </c>
      <c r="C95" s="4" t="s">
        <v>1862</v>
      </c>
      <c r="D95" s="4" t="s">
        <v>1863</v>
      </c>
      <c r="E95" s="4" t="s">
        <v>1864</v>
      </c>
    </row>
    <row r="96">
      <c r="A96" s="3">
        <v>95.0</v>
      </c>
      <c r="B96" s="4" t="s">
        <v>1865</v>
      </c>
      <c r="C96" s="4" t="s">
        <v>1866</v>
      </c>
      <c r="D96" s="4" t="s">
        <v>1867</v>
      </c>
      <c r="E96" s="4" t="s">
        <v>1868</v>
      </c>
    </row>
    <row r="97">
      <c r="A97" s="3">
        <v>96.0</v>
      </c>
      <c r="B97" s="4" t="s">
        <v>1869</v>
      </c>
      <c r="C97" s="4" t="s">
        <v>1870</v>
      </c>
      <c r="D97" s="4" t="s">
        <v>1871</v>
      </c>
      <c r="E97" s="4" t="s">
        <v>1872</v>
      </c>
    </row>
    <row r="98">
      <c r="A98" s="3">
        <v>97.0</v>
      </c>
      <c r="B98" s="4" t="s">
        <v>1873</v>
      </c>
      <c r="C98" s="4" t="s">
        <v>1874</v>
      </c>
      <c r="D98" s="4" t="s">
        <v>1875</v>
      </c>
      <c r="E98" s="4" t="s">
        <v>1876</v>
      </c>
    </row>
    <row r="99">
      <c r="A99" s="3">
        <v>98.0</v>
      </c>
      <c r="B99" s="4" t="s">
        <v>1877</v>
      </c>
      <c r="C99" s="4" t="s">
        <v>1878</v>
      </c>
      <c r="D99" s="4" t="s">
        <v>1879</v>
      </c>
      <c r="E99" s="4" t="s">
        <v>1880</v>
      </c>
    </row>
    <row r="100">
      <c r="A100" s="3">
        <v>99.0</v>
      </c>
      <c r="B100" s="4" t="s">
        <v>1881</v>
      </c>
      <c r="C100" s="4" t="s">
        <v>1882</v>
      </c>
      <c r="D100" s="4" t="s">
        <v>1883</v>
      </c>
      <c r="E100" s="4" t="s">
        <v>1884</v>
      </c>
    </row>
    <row r="101">
      <c r="A101" s="3">
        <v>100.0</v>
      </c>
      <c r="B101" s="4" t="s">
        <v>1885</v>
      </c>
      <c r="C101" s="4" t="s">
        <v>1886</v>
      </c>
      <c r="D101" s="4" t="s">
        <v>548</v>
      </c>
      <c r="E101" s="4" t="s">
        <v>1887</v>
      </c>
    </row>
    <row r="102">
      <c r="A102" s="3">
        <v>101.0</v>
      </c>
      <c r="B102" s="4" t="s">
        <v>1888</v>
      </c>
      <c r="C102" s="4" t="s">
        <v>1889</v>
      </c>
      <c r="D102" s="4" t="s">
        <v>1890</v>
      </c>
      <c r="E102" s="4" t="s">
        <v>1891</v>
      </c>
    </row>
    <row r="103">
      <c r="A103" s="3">
        <v>102.0</v>
      </c>
      <c r="B103" s="4" t="s">
        <v>1892</v>
      </c>
      <c r="C103" s="4" t="s">
        <v>1893</v>
      </c>
      <c r="D103" s="4" t="s">
        <v>1894</v>
      </c>
      <c r="E103" s="4" t="s">
        <v>1895</v>
      </c>
    </row>
    <row r="104">
      <c r="A104" s="3">
        <v>103.0</v>
      </c>
      <c r="B104" s="4" t="s">
        <v>1896</v>
      </c>
      <c r="C104" s="4" t="s">
        <v>1897</v>
      </c>
      <c r="D104" s="4" t="s">
        <v>1898</v>
      </c>
      <c r="E104" s="4" t="s">
        <v>1899</v>
      </c>
    </row>
    <row r="105">
      <c r="A105" s="3">
        <v>104.0</v>
      </c>
      <c r="B105" s="4" t="s">
        <v>1900</v>
      </c>
      <c r="C105" s="4" t="s">
        <v>1901</v>
      </c>
      <c r="D105" s="4" t="s">
        <v>1902</v>
      </c>
      <c r="E105" s="4" t="s">
        <v>1903</v>
      </c>
    </row>
    <row r="106">
      <c r="A106" s="3">
        <v>105.0</v>
      </c>
      <c r="B106" s="4" t="s">
        <v>1904</v>
      </c>
      <c r="C106" s="4" t="s">
        <v>1905</v>
      </c>
      <c r="D106" s="4" t="s">
        <v>1906</v>
      </c>
      <c r="E106" s="4" t="s">
        <v>1907</v>
      </c>
    </row>
    <row r="107">
      <c r="A107" s="3">
        <v>106.0</v>
      </c>
      <c r="B107" s="4" t="s">
        <v>1908</v>
      </c>
      <c r="C107" s="4" t="s">
        <v>1909</v>
      </c>
      <c r="D107" s="4" t="s">
        <v>1910</v>
      </c>
      <c r="E107" s="4" t="s">
        <v>1911</v>
      </c>
    </row>
    <row r="108">
      <c r="A108" s="3">
        <v>107.0</v>
      </c>
      <c r="B108" s="4" t="s">
        <v>1912</v>
      </c>
      <c r="C108" s="4" t="s">
        <v>1913</v>
      </c>
      <c r="D108" s="4" t="s">
        <v>1914</v>
      </c>
      <c r="E108" s="4" t="s">
        <v>1915</v>
      </c>
    </row>
    <row r="109">
      <c r="A109" s="3">
        <v>108.0</v>
      </c>
      <c r="B109" s="4" t="s">
        <v>1916</v>
      </c>
      <c r="C109" s="4" t="s">
        <v>1917</v>
      </c>
      <c r="D109" s="4" t="s">
        <v>1918</v>
      </c>
      <c r="E109" s="4" t="s">
        <v>1919</v>
      </c>
    </row>
    <row r="110">
      <c r="A110" s="3">
        <v>109.0</v>
      </c>
      <c r="B110" s="4" t="s">
        <v>1920</v>
      </c>
      <c r="C110" s="4" t="s">
        <v>1921</v>
      </c>
      <c r="D110" s="4" t="s">
        <v>1922</v>
      </c>
      <c r="E110" s="4" t="s">
        <v>1923</v>
      </c>
    </row>
    <row r="111">
      <c r="A111" s="3">
        <v>110.0</v>
      </c>
      <c r="B111" s="4" t="s">
        <v>1924</v>
      </c>
      <c r="C111" s="4" t="s">
        <v>1925</v>
      </c>
      <c r="D111" s="4" t="s">
        <v>1926</v>
      </c>
      <c r="E111" s="4" t="s">
        <v>1927</v>
      </c>
    </row>
    <row r="112">
      <c r="A112" s="3">
        <v>111.0</v>
      </c>
      <c r="B112" s="4" t="s">
        <v>1928</v>
      </c>
      <c r="C112" s="4" t="s">
        <v>1929</v>
      </c>
      <c r="D112" s="4" t="s">
        <v>1930</v>
      </c>
      <c r="E112" s="4" t="s">
        <v>1931</v>
      </c>
    </row>
    <row r="113">
      <c r="A113" s="3">
        <v>112.0</v>
      </c>
      <c r="B113" s="4" t="s">
        <v>1932</v>
      </c>
      <c r="C113" s="4" t="s">
        <v>1933</v>
      </c>
      <c r="D113" s="4" t="s">
        <v>1934</v>
      </c>
      <c r="E113" s="4" t="s">
        <v>1935</v>
      </c>
    </row>
    <row r="114">
      <c r="A114" s="3">
        <v>113.0</v>
      </c>
      <c r="B114" s="4" t="s">
        <v>1936</v>
      </c>
      <c r="C114" s="4" t="s">
        <v>1937</v>
      </c>
      <c r="D114" s="4" t="s">
        <v>1938</v>
      </c>
      <c r="E114" s="4" t="s">
        <v>1939</v>
      </c>
    </row>
    <row r="115">
      <c r="A115" s="3">
        <v>114.0</v>
      </c>
      <c r="B115" s="4" t="s">
        <v>1940</v>
      </c>
      <c r="C115" s="4" t="s">
        <v>1941</v>
      </c>
      <c r="D115" s="4" t="s">
        <v>1942</v>
      </c>
      <c r="E115" s="4" t="s">
        <v>1943</v>
      </c>
    </row>
    <row r="116">
      <c r="A116" s="3">
        <v>115.0</v>
      </c>
      <c r="B116" s="4" t="s">
        <v>1944</v>
      </c>
      <c r="C116" s="4" t="s">
        <v>1945</v>
      </c>
      <c r="D116" s="4" t="s">
        <v>1946</v>
      </c>
      <c r="E116" s="4" t="s">
        <v>1947</v>
      </c>
    </row>
    <row r="117">
      <c r="A117" s="3">
        <v>116.0</v>
      </c>
      <c r="B117" s="4" t="s">
        <v>1948</v>
      </c>
      <c r="C117" s="4" t="s">
        <v>1949</v>
      </c>
      <c r="D117" s="4" t="s">
        <v>1950</v>
      </c>
      <c r="E117" s="4" t="s">
        <v>1951</v>
      </c>
    </row>
    <row r="118">
      <c r="A118" s="3">
        <v>117.0</v>
      </c>
      <c r="B118" s="4" t="s">
        <v>1952</v>
      </c>
      <c r="C118" s="4" t="s">
        <v>1953</v>
      </c>
      <c r="D118" s="4" t="s">
        <v>1954</v>
      </c>
      <c r="E118" s="4" t="s">
        <v>1955</v>
      </c>
    </row>
    <row r="119">
      <c r="A119" s="3">
        <v>118.0</v>
      </c>
      <c r="B119" s="4" t="s">
        <v>1956</v>
      </c>
      <c r="C119" s="4" t="s">
        <v>1957</v>
      </c>
      <c r="D119" s="4" t="s">
        <v>1958</v>
      </c>
      <c r="E119" s="4" t="s">
        <v>1959</v>
      </c>
    </row>
    <row r="120">
      <c r="A120" s="3">
        <v>119.0</v>
      </c>
      <c r="B120" s="4" t="s">
        <v>1960</v>
      </c>
      <c r="C120" s="4" t="s">
        <v>1961</v>
      </c>
      <c r="D120" s="4" t="s">
        <v>1962</v>
      </c>
      <c r="E120" s="4" t="s">
        <v>1963</v>
      </c>
    </row>
    <row r="121">
      <c r="A121" s="3">
        <v>120.0</v>
      </c>
      <c r="B121" s="4" t="s">
        <v>1964</v>
      </c>
      <c r="C121" s="4" t="s">
        <v>1965</v>
      </c>
      <c r="D121" s="4" t="s">
        <v>1966</v>
      </c>
      <c r="E121" s="4" t="s">
        <v>1967</v>
      </c>
    </row>
    <row r="122">
      <c r="A122" s="3">
        <v>121.0</v>
      </c>
      <c r="B122" s="4" t="s">
        <v>1968</v>
      </c>
      <c r="C122" s="4" t="s">
        <v>1969</v>
      </c>
      <c r="D122" s="4" t="s">
        <v>1970</v>
      </c>
      <c r="E122" s="4" t="s">
        <v>1971</v>
      </c>
    </row>
    <row r="123">
      <c r="A123" s="3">
        <v>122.0</v>
      </c>
      <c r="B123" s="4" t="s">
        <v>1972</v>
      </c>
      <c r="C123" s="4" t="s">
        <v>1973</v>
      </c>
      <c r="D123" s="4" t="s">
        <v>1974</v>
      </c>
      <c r="E123" s="4" t="s">
        <v>1975</v>
      </c>
    </row>
    <row r="124">
      <c r="A124" s="3">
        <v>123.0</v>
      </c>
      <c r="B124" s="4" t="s">
        <v>1976</v>
      </c>
      <c r="C124" s="4" t="s">
        <v>1977</v>
      </c>
      <c r="D124" s="4" t="s">
        <v>1978</v>
      </c>
      <c r="E124" s="4" t="s">
        <v>1979</v>
      </c>
    </row>
    <row r="125">
      <c r="A125" s="3">
        <v>124.0</v>
      </c>
      <c r="B125" s="4" t="s">
        <v>1980</v>
      </c>
      <c r="C125" s="4" t="s">
        <v>1981</v>
      </c>
      <c r="D125" s="4" t="s">
        <v>1982</v>
      </c>
      <c r="E125" s="4" t="s">
        <v>1983</v>
      </c>
    </row>
    <row r="126">
      <c r="A126" s="3">
        <v>125.0</v>
      </c>
      <c r="B126" s="4" t="s">
        <v>1984</v>
      </c>
      <c r="C126" s="4" t="s">
        <v>1985</v>
      </c>
      <c r="D126" s="4" t="s">
        <v>1986</v>
      </c>
      <c r="E126" s="4" t="s">
        <v>1987</v>
      </c>
    </row>
    <row r="127">
      <c r="A127" s="3">
        <v>126.0</v>
      </c>
      <c r="B127" s="4" t="s">
        <v>1988</v>
      </c>
      <c r="C127" s="4" t="s">
        <v>1989</v>
      </c>
      <c r="D127" s="4" t="s">
        <v>1990</v>
      </c>
      <c r="E127" s="4" t="s">
        <v>1991</v>
      </c>
    </row>
    <row r="128">
      <c r="A128" s="3">
        <v>127.0</v>
      </c>
      <c r="B128" s="4" t="s">
        <v>1992</v>
      </c>
      <c r="C128" s="4" t="s">
        <v>1993</v>
      </c>
      <c r="D128" s="4" t="s">
        <v>1994</v>
      </c>
      <c r="E128" s="4" t="s">
        <v>1995</v>
      </c>
    </row>
    <row r="129">
      <c r="A129" s="3">
        <v>128.0</v>
      </c>
      <c r="B129" s="4" t="s">
        <v>1996</v>
      </c>
      <c r="C129" s="4" t="s">
        <v>1997</v>
      </c>
      <c r="D129" s="4" t="s">
        <v>1998</v>
      </c>
      <c r="E129" s="4" t="s">
        <v>1999</v>
      </c>
    </row>
    <row r="130">
      <c r="A130" s="3">
        <v>129.0</v>
      </c>
      <c r="B130" s="4" t="s">
        <v>2000</v>
      </c>
      <c r="C130" s="4" t="s">
        <v>2001</v>
      </c>
      <c r="D130" s="4" t="s">
        <v>2002</v>
      </c>
      <c r="E130" s="4" t="s">
        <v>2003</v>
      </c>
    </row>
    <row r="131">
      <c r="A131" s="3">
        <v>130.0</v>
      </c>
      <c r="B131" s="4" t="s">
        <v>2004</v>
      </c>
      <c r="C131" s="4" t="s">
        <v>2005</v>
      </c>
      <c r="D131" s="4" t="s">
        <v>2006</v>
      </c>
      <c r="E131" s="4" t="s">
        <v>2007</v>
      </c>
    </row>
    <row r="132">
      <c r="A132" s="3">
        <v>131.0</v>
      </c>
      <c r="B132" s="4" t="s">
        <v>2008</v>
      </c>
      <c r="C132" s="4" t="s">
        <v>2009</v>
      </c>
      <c r="D132" s="4" t="s">
        <v>2010</v>
      </c>
      <c r="E132" s="4" t="s">
        <v>2011</v>
      </c>
    </row>
    <row r="133">
      <c r="A133" s="3">
        <v>132.0</v>
      </c>
      <c r="B133" s="4" t="s">
        <v>2012</v>
      </c>
      <c r="C133" s="4" t="s">
        <v>2013</v>
      </c>
      <c r="D133" s="4" t="s">
        <v>2014</v>
      </c>
      <c r="E133" s="4" t="s">
        <v>2015</v>
      </c>
    </row>
    <row r="134">
      <c r="A134" s="3">
        <v>133.0</v>
      </c>
      <c r="B134" s="4" t="s">
        <v>2016</v>
      </c>
      <c r="C134" s="4" t="s">
        <v>2017</v>
      </c>
      <c r="D134" s="4" t="s">
        <v>2018</v>
      </c>
      <c r="E134" s="4" t="s">
        <v>2019</v>
      </c>
    </row>
    <row r="135">
      <c r="A135" s="3">
        <v>134.0</v>
      </c>
      <c r="B135" s="4" t="s">
        <v>2020</v>
      </c>
      <c r="C135" s="4" t="s">
        <v>2021</v>
      </c>
      <c r="D135" s="4" t="s">
        <v>2022</v>
      </c>
      <c r="E135" s="4" t="s">
        <v>2023</v>
      </c>
    </row>
    <row r="136">
      <c r="A136" s="3">
        <v>135.0</v>
      </c>
      <c r="B136" s="4" t="s">
        <v>2024</v>
      </c>
      <c r="C136" s="4" t="s">
        <v>2025</v>
      </c>
      <c r="D136" s="4" t="s">
        <v>2026</v>
      </c>
      <c r="E136" s="4" t="s">
        <v>2027</v>
      </c>
    </row>
    <row r="137">
      <c r="A137" s="3">
        <v>136.0</v>
      </c>
      <c r="B137" s="4" t="s">
        <v>2028</v>
      </c>
      <c r="C137" s="4" t="s">
        <v>2029</v>
      </c>
      <c r="D137" s="4" t="s">
        <v>2030</v>
      </c>
      <c r="E137" s="4" t="s">
        <v>2031</v>
      </c>
    </row>
    <row r="138">
      <c r="A138" s="3">
        <v>137.0</v>
      </c>
      <c r="B138" s="4" t="s">
        <v>2032</v>
      </c>
      <c r="C138" s="4" t="s">
        <v>2033</v>
      </c>
      <c r="D138" s="4" t="s">
        <v>2034</v>
      </c>
      <c r="E138" s="4" t="s">
        <v>2035</v>
      </c>
    </row>
    <row r="139">
      <c r="A139" s="3">
        <v>138.0</v>
      </c>
      <c r="B139" s="4" t="s">
        <v>2036</v>
      </c>
      <c r="C139" s="4" t="s">
        <v>2037</v>
      </c>
      <c r="D139" s="4" t="s">
        <v>2038</v>
      </c>
      <c r="E139" s="4" t="s">
        <v>2039</v>
      </c>
    </row>
    <row r="140">
      <c r="A140" s="3">
        <v>139.0</v>
      </c>
      <c r="B140" s="4" t="s">
        <v>2040</v>
      </c>
      <c r="C140" s="4" t="s">
        <v>2041</v>
      </c>
      <c r="D140" s="4" t="s">
        <v>2042</v>
      </c>
      <c r="E140" s="4" t="s">
        <v>2043</v>
      </c>
    </row>
    <row r="141">
      <c r="A141" s="3">
        <v>140.0</v>
      </c>
      <c r="B141" s="4" t="s">
        <v>2044</v>
      </c>
      <c r="C141" s="4" t="s">
        <v>2045</v>
      </c>
      <c r="D141" s="4" t="s">
        <v>2046</v>
      </c>
      <c r="E141" s="4" t="s">
        <v>2047</v>
      </c>
    </row>
    <row r="142">
      <c r="A142" s="3">
        <v>141.0</v>
      </c>
      <c r="B142" s="4" t="s">
        <v>2048</v>
      </c>
      <c r="C142" s="4" t="s">
        <v>2049</v>
      </c>
      <c r="D142" s="4" t="s">
        <v>2050</v>
      </c>
      <c r="E142" s="4" t="s">
        <v>2051</v>
      </c>
    </row>
    <row r="143">
      <c r="A143" s="3">
        <v>142.0</v>
      </c>
      <c r="B143" s="4" t="s">
        <v>2052</v>
      </c>
      <c r="C143" s="4" t="s">
        <v>2053</v>
      </c>
      <c r="D143" s="4" t="s">
        <v>2054</v>
      </c>
      <c r="E143" s="4" t="s">
        <v>2055</v>
      </c>
    </row>
    <row r="144">
      <c r="A144" s="3">
        <v>143.0</v>
      </c>
      <c r="B144" s="4" t="s">
        <v>2056</v>
      </c>
      <c r="C144" s="4" t="s">
        <v>2057</v>
      </c>
      <c r="D144" s="4" t="s">
        <v>2058</v>
      </c>
      <c r="E144" s="4" t="s">
        <v>2059</v>
      </c>
    </row>
    <row r="145">
      <c r="A145" s="3">
        <v>144.0</v>
      </c>
      <c r="B145" s="4" t="s">
        <v>2060</v>
      </c>
      <c r="C145" s="4" t="s">
        <v>2061</v>
      </c>
      <c r="D145" s="4" t="s">
        <v>2062</v>
      </c>
      <c r="E145" s="4" t="s">
        <v>2063</v>
      </c>
    </row>
    <row r="146">
      <c r="A146" s="3">
        <v>145.0</v>
      </c>
      <c r="B146" s="4" t="s">
        <v>2064</v>
      </c>
      <c r="C146" s="4" t="s">
        <v>2065</v>
      </c>
      <c r="D146" s="4" t="s">
        <v>2066</v>
      </c>
      <c r="E146" s="4" t="s">
        <v>2067</v>
      </c>
    </row>
    <row r="147">
      <c r="A147" s="3">
        <v>146.0</v>
      </c>
      <c r="B147" s="4" t="s">
        <v>2068</v>
      </c>
      <c r="C147" s="4" t="s">
        <v>2069</v>
      </c>
      <c r="D147" s="4" t="s">
        <v>2070</v>
      </c>
      <c r="E147" s="4" t="s">
        <v>2071</v>
      </c>
    </row>
    <row r="148">
      <c r="A148" s="3">
        <v>147.0</v>
      </c>
      <c r="B148" s="4" t="s">
        <v>2072</v>
      </c>
      <c r="C148" s="4" t="s">
        <v>2073</v>
      </c>
      <c r="D148" s="4" t="s">
        <v>2074</v>
      </c>
      <c r="E148" s="4" t="s">
        <v>2075</v>
      </c>
    </row>
    <row r="149">
      <c r="A149" s="3">
        <v>148.0</v>
      </c>
      <c r="B149" s="4" t="s">
        <v>2076</v>
      </c>
      <c r="C149" s="4" t="s">
        <v>2077</v>
      </c>
      <c r="D149" s="4" t="s">
        <v>2078</v>
      </c>
      <c r="E149" s="4" t="s">
        <v>2079</v>
      </c>
    </row>
    <row r="150">
      <c r="A150" s="3">
        <v>149.0</v>
      </c>
      <c r="B150" s="4" t="s">
        <v>2080</v>
      </c>
      <c r="C150" s="4" t="s">
        <v>2081</v>
      </c>
      <c r="D150" s="4" t="s">
        <v>2082</v>
      </c>
      <c r="E150" s="4" t="s">
        <v>2083</v>
      </c>
    </row>
    <row r="151">
      <c r="A151" s="3">
        <v>150.0</v>
      </c>
      <c r="B151" s="4" t="s">
        <v>2084</v>
      </c>
      <c r="C151" s="4" t="s">
        <v>2085</v>
      </c>
      <c r="D151" s="4" t="s">
        <v>2086</v>
      </c>
      <c r="E151" s="4" t="s">
        <v>2087</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37.63"/>
    <col customWidth="1" min="4" max="4" width="22.38"/>
    <col customWidth="1" min="5" max="5" width="37.63"/>
    <col customWidth="1" min="8" max="9" width="37.63"/>
    <col customWidth="1" min="10" max="10" width="13.0"/>
    <col customWidth="1" min="11" max="11" width="37.63"/>
  </cols>
  <sheetData>
    <row r="1">
      <c r="A1" s="1" t="s">
        <v>0</v>
      </c>
      <c r="B1" s="1" t="s">
        <v>1</v>
      </c>
      <c r="C1" s="1" t="s">
        <v>2</v>
      </c>
      <c r="D1" s="1" t="s">
        <v>3</v>
      </c>
      <c r="E1" s="1" t="s">
        <v>4</v>
      </c>
      <c r="G1" s="2" t="s">
        <v>5</v>
      </c>
      <c r="H1" s="2" t="s">
        <v>6</v>
      </c>
      <c r="I1" s="2" t="s">
        <v>7</v>
      </c>
      <c r="J1" s="2" t="s">
        <v>8</v>
      </c>
      <c r="K1" s="2" t="s">
        <v>9</v>
      </c>
    </row>
    <row r="2">
      <c r="A2" s="3">
        <v>1.0</v>
      </c>
      <c r="B2" s="4" t="s">
        <v>2088</v>
      </c>
      <c r="C2" s="4" t="s">
        <v>2089</v>
      </c>
      <c r="D2" s="4" t="s">
        <v>2090</v>
      </c>
      <c r="E2" s="4" t="s">
        <v>2091</v>
      </c>
      <c r="G2" s="5" t="str">
        <f>IFERROR(__xludf.DUMMYFUNCTION("GOOGLETRANSLATE(A2, ""en"", ""ar"")"),"1")</f>
        <v>1</v>
      </c>
      <c r="H2" s="5" t="str">
        <f>IFERROR(__xludf.DUMMYFUNCTION("GOOGLETRANSLATE(B2, ""en"", ""ar"")"),"ما هو السن الأدنى للبقرة حتى تكون مؤهلة للمشاركة في مسابقات القتال في السودان؟")</f>
        <v>ما هو السن الأدنى للبقرة حتى تكون مؤهلة للمشاركة في مسابقات القتال في السودان؟</v>
      </c>
      <c r="I2" s="5" t="str">
        <f>IFERROR(__xludf.DUMMYFUNCTION("GOOGLETRANSLATE(C2, ""en"", ""ar"")"),"أ) 6 أشهر؛ ب) سنة واحدة؛ ج) 3 سنوات؛ د) 5 سنوات")</f>
        <v>أ) 6 أشهر؛ ب) سنة واحدة؛ ج) 3 سنوات؛ د) 5 سنوات</v>
      </c>
      <c r="J2" s="5" t="str">
        <f>IFERROR(__xludf.DUMMYFUNCTION("GOOGLETRANSLATE(D2, ""en"", ""ar"")"),"ب) سنة واحدة")</f>
        <v>ب) سنة واحدة</v>
      </c>
      <c r="K2" s="5" t="str">
        <f>IFERROR(__xludf.DUMMYFUNCTION("GOOGLETRANSLATE(E2, ""en"", ""ar"")"),"يجب أن يكون عمر الأبقار المشاركة في المصارعة عامًا واحدًا على الأقل لضمان قوتها.")</f>
        <v>يجب أن يكون عمر الأبقار المشاركة في المصارعة عامًا واحدًا على الأقل لضمان قوتها.</v>
      </c>
    </row>
    <row r="3">
      <c r="A3" s="3">
        <v>2.0</v>
      </c>
      <c r="B3" s="4" t="s">
        <v>2092</v>
      </c>
      <c r="C3" s="4" t="s">
        <v>2093</v>
      </c>
      <c r="D3" s="4" t="s">
        <v>2094</v>
      </c>
      <c r="E3" s="4" t="s">
        <v>2095</v>
      </c>
      <c r="G3" s="5" t="str">
        <f>IFERROR(__xludf.DUMMYFUNCTION("GOOGLETRANSLATE(A3, ""en"", ""ar"")"),"2")</f>
        <v>2</v>
      </c>
      <c r="H3" s="5" t="str">
        <f>IFERROR(__xludf.DUMMYFUNCTION("GOOGLETRANSLATE(B3, ""en"", ""ar"")"),"ما هي الأوقات المناسبة في اليوم لتدريب الأبقار للقتال في السودان لتجنب الحرارة الشديدة؟")</f>
        <v>ما هي الأوقات المناسبة في اليوم لتدريب الأبقار للقتال في السودان لتجنب الحرارة الشديدة؟</v>
      </c>
      <c r="I3" s="5" t="str">
        <f>IFERROR(__xludf.DUMMYFUNCTION("GOOGLETRANSLATE(C3, ""en"", ""ar"")"),"أ) في الصباح الباكر فقط؛ ب) في المساء فقط؛ ج) طوال اليوم؛ د) خلال أوقات الاستراحة فقط")</f>
        <v>أ) في الصباح الباكر فقط؛ ب) في المساء فقط؛ ج) طوال اليوم؛ د) خلال أوقات الاستراحة فقط</v>
      </c>
      <c r="J3" s="5" t="str">
        <f>IFERROR(__xludf.DUMMYFUNCTION("GOOGLETRANSLATE(D3, ""en"", ""ar"")"),"ج) طوال اليوم")</f>
        <v>ج) طوال اليوم</v>
      </c>
      <c r="K3" s="5" t="str">
        <f>IFERROR(__xludf.DUMMYFUNCTION("GOOGLETRANSLATE(E3, ""en"", ""ar"")"),"يمكن أن يتم التدريب طوال اليوم، ولكن يفضل أن يكون في أوقات لا تتعارض مع حرارة الشمس.")</f>
        <v>يمكن أن يتم التدريب طوال اليوم، ولكن يفضل أن يكون في أوقات لا تتعارض مع حرارة الشمس.</v>
      </c>
    </row>
    <row r="4">
      <c r="A4" s="3">
        <v>3.0</v>
      </c>
      <c r="B4" s="4" t="s">
        <v>2096</v>
      </c>
      <c r="C4" s="4" t="s">
        <v>2097</v>
      </c>
      <c r="D4" s="4" t="s">
        <v>2098</v>
      </c>
      <c r="E4" s="4" t="s">
        <v>2099</v>
      </c>
      <c r="G4" s="5" t="str">
        <f>IFERROR(__xludf.DUMMYFUNCTION("GOOGLETRANSLATE(A4, ""en"", ""ar"")"),"3")</f>
        <v>3</v>
      </c>
      <c r="H4" s="5" t="str">
        <f>IFERROR(__xludf.DUMMYFUNCTION("GOOGLETRANSLATE(B4, ""en"", ""ar"")"),"هل يجب أن تتم تدريبات مصارعة الأبقار في السودان تحت إشراف حكومي رسمي؟")</f>
        <v>هل يجب أن تتم تدريبات مصارعة الأبقار في السودان تحت إشراف حكومي رسمي؟</v>
      </c>
      <c r="I4" s="5" t="str">
        <f>IFERROR(__xludf.DUMMYFUNCTION("GOOGLETRANSLATE(C4, ""en"", ""ar"")"),"أ) نعم؛ ب) لا؛ ج) فقط في المناسبات الكبرى؛ د) أحيانًا")</f>
        <v>أ) نعم؛ ب) لا؛ ج) فقط في المناسبات الكبرى؛ د) أحيانًا</v>
      </c>
      <c r="J4" s="5" t="str">
        <f>IFERROR(__xludf.DUMMYFUNCTION("GOOGLETRANSLATE(D4, ""en"", ""ar"")"),"أ) نعم")</f>
        <v>أ) نعم</v>
      </c>
      <c r="K4" s="5" t="str">
        <f>IFERROR(__xludf.DUMMYFUNCTION("GOOGLETRANSLATE(E4, ""en"", ""ar"")"),"وتشرف الحكومة على التدريب لضمان الالتزام بالقوانين والسلامة.")</f>
        <v>وتشرف الحكومة على التدريب لضمان الالتزام بالقوانين والسلامة.</v>
      </c>
    </row>
    <row r="5">
      <c r="A5" s="3">
        <v>4.0</v>
      </c>
      <c r="B5" s="4" t="s">
        <v>2100</v>
      </c>
      <c r="C5" s="4" t="s">
        <v>2101</v>
      </c>
      <c r="D5" s="4" t="s">
        <v>2102</v>
      </c>
      <c r="E5" s="4" t="s">
        <v>2103</v>
      </c>
      <c r="G5" s="5" t="str">
        <f>IFERROR(__xludf.DUMMYFUNCTION("GOOGLETRANSLATE(A5, ""en"", ""ar"")"),"4")</f>
        <v>4</v>
      </c>
      <c r="H5" s="5" t="str">
        <f>IFERROR(__xludf.DUMMYFUNCTION("GOOGLETRANSLATE(B5, ""en"", ""ar"")"),"هل يجوز للمزارعين في السودان استخدام أدوات خاصة مثل السلاسل أثناء مصارعة الأبقار؟")</f>
        <v>هل يجوز للمزارعين في السودان استخدام أدوات خاصة مثل السلاسل أثناء مصارعة الأبقار؟</v>
      </c>
      <c r="I5" s="5" t="str">
        <f>IFERROR(__xludf.DUMMYFUNCTION("GOOGLETRANSLATE(C5, ""en"", ""ar"")"),"أ) نعم؛ ب) لا؛ ج) فقط في التدريب؛ د) فقط للمحترفين")</f>
        <v>أ) نعم؛ ب) لا؛ ج) فقط في التدريب؛ د) فقط للمحترفين</v>
      </c>
      <c r="J5" s="5" t="str">
        <f>IFERROR(__xludf.DUMMYFUNCTION("GOOGLETRANSLATE(D5, ""en"", ""ar"")"),"ب) لا")</f>
        <v>ب) لا</v>
      </c>
      <c r="K5" s="5" t="str">
        <f>IFERROR(__xludf.DUMMYFUNCTION("GOOGLETRANSLATE(E5, ""en"", ""ar"")"),"لا يجوز استعمال أدوات مثل السلاسل في قتال الأبقار.")</f>
        <v>لا يجوز استعمال أدوات مثل السلاسل في قتال الأبقار.</v>
      </c>
    </row>
    <row r="6">
      <c r="A6" s="3">
        <v>5.0</v>
      </c>
      <c r="B6" s="4" t="s">
        <v>2104</v>
      </c>
      <c r="C6" s="4" t="s">
        <v>2105</v>
      </c>
      <c r="D6" s="4" t="s">
        <v>2106</v>
      </c>
      <c r="E6" s="4" t="s">
        <v>2107</v>
      </c>
      <c r="G6" s="5" t="str">
        <f>IFERROR(__xludf.DUMMYFUNCTION("GOOGLETRANSLATE(A6, ""en"", ""ar"")"),"5")</f>
        <v>5</v>
      </c>
      <c r="H6" s="5" t="str">
        <f>IFERROR(__xludf.DUMMYFUNCTION("GOOGLETRANSLATE(B6, ""en"", ""ar"")"),"ما هو الحد الأدنى لعدد الحضور الذي يجب أن يكون حاضرا لإقامة مسابقة مصارعة الأبقار في السودان؟")</f>
        <v>ما هو الحد الأدنى لعدد الحضور الذي يجب أن يكون حاضرا لإقامة مسابقة مصارعة الأبقار في السودان؟</v>
      </c>
      <c r="I6" s="5" t="str">
        <f>IFERROR(__xludf.DUMMYFUNCTION("GOOGLETRANSLATE(C6, ""en"", ""ar"")"),"أ) 10 أشخاص؛ ب) 20 شخصًا؛ ج) 50 شخصًا؛ د) لا يوجد حد أقصى")</f>
        <v>أ) 10 أشخاص؛ ب) 20 شخصًا؛ ج) 50 شخصًا؛ د) لا يوجد حد أقصى</v>
      </c>
      <c r="J6" s="5" t="str">
        <f>IFERROR(__xludf.DUMMYFUNCTION("GOOGLETRANSLATE(D6, ""en"", ""ar"")"),"د) لا يوجد حد معين.")</f>
        <v>د) لا يوجد حد معين.</v>
      </c>
      <c r="K6" s="5" t="str">
        <f>IFERROR(__xludf.DUMMYFUNCTION("GOOGLETRANSLATE(E6, ""en"", ""ar"")"),"قد يختلف عدد الحضور حسب الحدث، ولا يوجد حد محدد.")</f>
        <v>قد يختلف عدد الحضور حسب الحدث، ولا يوجد حد محدد.</v>
      </c>
    </row>
    <row r="7">
      <c r="A7" s="3">
        <v>6.0</v>
      </c>
      <c r="B7" s="4" t="s">
        <v>2108</v>
      </c>
      <c r="C7" s="4" t="s">
        <v>2109</v>
      </c>
      <c r="D7" s="4" t="s">
        <v>2098</v>
      </c>
      <c r="E7" s="4" t="s">
        <v>2110</v>
      </c>
      <c r="G7" s="5" t="str">
        <f>IFERROR(__xludf.DUMMYFUNCTION("GOOGLETRANSLATE(A7, ""en"", ""ar"")"),"6")</f>
        <v>6</v>
      </c>
      <c r="H7" s="5" t="str">
        <f>IFERROR(__xludf.DUMMYFUNCTION("GOOGLETRANSLATE(B7, ""en"", ""ar"")"),"هل يجب على المشاركين في مسابقات مصارعة الأبقار في السودان ارتداء ملابس وقائية خاصة؟")</f>
        <v>هل يجب على المشاركين في مسابقات مصارعة الأبقار في السودان ارتداء ملابس وقائية خاصة؟</v>
      </c>
      <c r="I7" s="5" t="str">
        <f>IFERROR(__xludf.DUMMYFUNCTION("GOOGLETRANSLATE(C7, ""en"", ""ar"")"),"أ) نعم؛ ب) لا؛ ج) في بعض الحالات؛ د) يعتمد على نوع المصارعة")</f>
        <v>أ) نعم؛ ب) لا؛ ج) في بعض الحالات؛ د) يعتمد على نوع المصارعة</v>
      </c>
      <c r="J7" s="5" t="str">
        <f>IFERROR(__xludf.DUMMYFUNCTION("GOOGLETRANSLATE(D7, ""en"", ""ar"")"),"أ) نعم")</f>
        <v>أ) نعم</v>
      </c>
      <c r="K7" s="5" t="str">
        <f>IFERROR(__xludf.DUMMYFUNCTION("GOOGLETRANSLATE(E7, ""en"", ""ar"")"),"يجب على المشاركين ارتداء ملابس واقية لضمان سلامتهم.")</f>
        <v>يجب على المشاركين ارتداء ملابس واقية لضمان سلامتهم.</v>
      </c>
    </row>
    <row r="8">
      <c r="A8" s="3">
        <v>7.0</v>
      </c>
      <c r="B8" s="4" t="s">
        <v>2111</v>
      </c>
      <c r="C8" s="4" t="s">
        <v>2112</v>
      </c>
      <c r="D8" s="4" t="s">
        <v>2102</v>
      </c>
      <c r="E8" s="4" t="s">
        <v>2113</v>
      </c>
      <c r="G8" s="5" t="str">
        <f>IFERROR(__xludf.DUMMYFUNCTION("GOOGLETRANSLATE(A8, ""en"", ""ar"")"),"7")</f>
        <v>7</v>
      </c>
      <c r="H8" s="5" t="str">
        <f>IFERROR(__xludf.DUMMYFUNCTION("GOOGLETRANSLATE(B8, ""en"", ""ar"")"),"هل يجوز للبقرة المعروفة بمرضها أن تشارك في مسابقة القتال؟")</f>
        <v>هل يجوز للبقرة المعروفة بمرضها أن تشارك في مسابقة القتال؟</v>
      </c>
      <c r="I8" s="5" t="str">
        <f>IFERROR(__xludf.DUMMYFUNCTION("GOOGLETRANSLATE(C8, ""en"", ""ar"")"),"أ) نعم؛ ب) لا؛ ج) فقط بعد العلاج؛ د) بناءً على قرار الطبيب البيطري")</f>
        <v>أ) نعم؛ ب) لا؛ ج) فقط بعد العلاج؛ د) بناءً على قرار الطبيب البيطري</v>
      </c>
      <c r="J8" s="5" t="str">
        <f>IFERROR(__xludf.DUMMYFUNCTION("GOOGLETRANSLATE(D8, ""en"", ""ar"")"),"ب) لا")</f>
        <v>ب) لا</v>
      </c>
      <c r="K8" s="5" t="str">
        <f>IFERROR(__xludf.DUMMYFUNCTION("GOOGLETRANSLATE(E8, ""en"", ""ar"")"),"لا يُسمح للأبقار التي تعاني من الأمراض بالمشاركة في المصارعة.")</f>
        <v>لا يُسمح للأبقار التي تعاني من الأمراض بالمشاركة في المصارعة.</v>
      </c>
    </row>
    <row r="9">
      <c r="A9" s="3">
        <v>8.0</v>
      </c>
      <c r="B9" s="4" t="s">
        <v>2114</v>
      </c>
      <c r="C9" s="4" t="s">
        <v>2115</v>
      </c>
      <c r="D9" s="4" t="s">
        <v>2102</v>
      </c>
      <c r="E9" s="4" t="s">
        <v>2116</v>
      </c>
      <c r="G9" s="5" t="str">
        <f>IFERROR(__xludf.DUMMYFUNCTION("GOOGLETRANSLATE(A9, ""en"", ""ar"")"),"8")</f>
        <v>8</v>
      </c>
      <c r="H9" s="5" t="str">
        <f>IFERROR(__xludf.DUMMYFUNCTION("GOOGLETRANSLATE(B9, ""en"", ""ar"")"),"هل يجوز للمشاركين في مصارعة الأبقار في السودان استخدام الأسلحة؟")</f>
        <v>هل يجوز للمشاركين في مصارعة الأبقار في السودان استخدام الأسلحة؟</v>
      </c>
      <c r="I9" s="5" t="str">
        <f>IFERROR(__xludf.DUMMYFUNCTION("GOOGLETRANSLATE(C9, ""en"", ""ar"")"),"أ) نعم؛ ب) لا؛ ج) فقط في حالة الدفاع عن النفس؛ د) في حالات الطوارئ")</f>
        <v>أ) نعم؛ ب) لا؛ ج) فقط في حالة الدفاع عن النفس؛ د) في حالات الطوارئ</v>
      </c>
      <c r="J9" s="5" t="str">
        <f>IFERROR(__xludf.DUMMYFUNCTION("GOOGLETRANSLATE(D9, ""en"", ""ar"")"),"ب) لا")</f>
        <v>ب) لا</v>
      </c>
      <c r="K9" s="5" t="str">
        <f>IFERROR(__xludf.DUMMYFUNCTION("GOOGLETRANSLATE(E9, ""en"", ""ar"")"),"يُحظر استخدام الأسلحة في المصارعة من أجل سلامة الجميع.")</f>
        <v>يُحظر استخدام الأسلحة في المصارعة من أجل سلامة الجميع.</v>
      </c>
    </row>
    <row r="10">
      <c r="A10" s="3">
        <v>9.0</v>
      </c>
      <c r="B10" s="4" t="s">
        <v>2117</v>
      </c>
      <c r="C10" s="4" t="s">
        <v>2118</v>
      </c>
      <c r="D10" s="4" t="s">
        <v>2119</v>
      </c>
      <c r="E10" s="4" t="s">
        <v>2120</v>
      </c>
      <c r="G10" s="5" t="str">
        <f>IFERROR(__xludf.DUMMYFUNCTION("GOOGLETRANSLATE(A10, ""en"", ""ar"")"),"9")</f>
        <v>9</v>
      </c>
      <c r="H10" s="5" t="str">
        <f>IFERROR(__xludf.DUMMYFUNCTION("GOOGLETRANSLATE(B10, ""en"", ""ar"")"),"هل يجوز إقامة مسابقات مصارعة الأبقار في السودان أثناء هطول الأمطار؟")</f>
        <v>هل يجوز إقامة مسابقات مصارعة الأبقار في السودان أثناء هطول الأمطار؟</v>
      </c>
      <c r="I10" s="5" t="str">
        <f>IFERROR(__xludf.DUMMYFUNCTION("GOOGLETRANSLATE(C10, ""en"", ""ar"")"),"أ) نعم؛ ب) لا؛ ج) في حالات خاصة؛ د) فقط في الأيام الحارة")</f>
        <v>أ) نعم؛ ب) لا؛ ج) في حالات خاصة؛ د) فقط في الأيام الحارة</v>
      </c>
      <c r="J10" s="5" t="str">
        <f>IFERROR(__xludf.DUMMYFUNCTION("GOOGLETRANSLATE(D10, ""en"", ""ar"")"),"ج) في حالات خاصة")</f>
        <v>ج) في حالات خاصة</v>
      </c>
      <c r="K10" s="5" t="str">
        <f>IFERROR(__xludf.DUMMYFUNCTION("GOOGLETRANSLATE(E10, ""en"", ""ar"")"),"في حالة هطول أمطار غزيرة، قد يتم إلغاء القتال لضمان سلامة الأبقار.")</f>
        <v>في حالة هطول أمطار غزيرة، قد يتم إلغاء القتال لضمان سلامة الأبقار.</v>
      </c>
    </row>
    <row r="11">
      <c r="A11" s="3">
        <v>10.0</v>
      </c>
      <c r="B11" s="4" t="s">
        <v>2121</v>
      </c>
      <c r="C11" s="4" t="s">
        <v>2122</v>
      </c>
      <c r="D11" s="4" t="s">
        <v>2098</v>
      </c>
      <c r="E11" s="4" t="s">
        <v>2123</v>
      </c>
      <c r="G11" s="5" t="str">
        <f>IFERROR(__xludf.DUMMYFUNCTION("GOOGLETRANSLATE(A11, ""en"", ""ar"")"),"10")</f>
        <v>10</v>
      </c>
      <c r="H11" s="5" t="str">
        <f>IFERROR(__xludf.DUMMYFUNCTION("GOOGLETRANSLATE(B11, ""en"", ""ar"")"),"هل يجب على المدربين في السودان اتباع قواعد محددة عند تحضير الأبقار للقتال؟")</f>
        <v>هل يجب على المدربين في السودان اتباع قواعد محددة عند تحضير الأبقار للقتال؟</v>
      </c>
      <c r="I11" s="5" t="str">
        <f>IFERROR(__xludf.DUMMYFUNCTION("GOOGLETRANSLATE(C11, ""en"", ""ar"")"),"أ) نعم؛ ب) لا؛ ج) فقط في المسابقات؛ د) أحيانًا")</f>
        <v>أ) نعم؛ ب) لا؛ ج) فقط في المسابقات؛ د) أحيانًا</v>
      </c>
      <c r="J11" s="5" t="str">
        <f>IFERROR(__xludf.DUMMYFUNCTION("GOOGLETRANSLATE(D11, ""en"", ""ar"")"),"أ) نعم")</f>
        <v>أ) نعم</v>
      </c>
      <c r="K11" s="5" t="str">
        <f>IFERROR(__xludf.DUMMYFUNCTION("GOOGLETRANSLATE(E11, ""en"", ""ar"")"),"يجب على المدربين اتباع قواعد التدريب الدقيقة لضمان التطوير السليم للمهارات.")</f>
        <v>يجب على المدربين اتباع قواعد التدريب الدقيقة لضمان التطوير السليم للمهارات.</v>
      </c>
    </row>
    <row r="12">
      <c r="A12" s="3">
        <v>11.0</v>
      </c>
      <c r="B12" s="4" t="s">
        <v>2124</v>
      </c>
      <c r="C12" s="4" t="s">
        <v>2125</v>
      </c>
      <c r="D12" s="4" t="s">
        <v>2102</v>
      </c>
      <c r="E12" s="4" t="s">
        <v>2126</v>
      </c>
      <c r="G12" s="5" t="str">
        <f>IFERROR(__xludf.DUMMYFUNCTION("GOOGLETRANSLATE(A12, ""en"", ""ar"")"),"11")</f>
        <v>11</v>
      </c>
      <c r="H12" s="5" t="str">
        <f>IFERROR(__xludf.DUMMYFUNCTION("GOOGLETRANSLATE(B12, ""en"", ""ar"")"),"هل يجوز استبدال بقرة بأخرى بعد بدء المسابقة في السودان؟")</f>
        <v>هل يجوز استبدال بقرة بأخرى بعد بدء المسابقة في السودان؟</v>
      </c>
      <c r="I12" s="5" t="str">
        <f>IFERROR(__xludf.DUMMYFUNCTION("GOOGLETRANSLATE(C12, ""en"", ""ar"")"),"أ) نعم؛ ب) لا؛ ج) فقط في حالة الطوارئ؛ د) بناءً على قرار الحكم")</f>
        <v>أ) نعم؛ ب) لا؛ ج) فقط في حالة الطوارئ؛ د) بناءً على قرار الحكم</v>
      </c>
      <c r="J12" s="5" t="str">
        <f>IFERROR(__xludf.DUMMYFUNCTION("GOOGLETRANSLATE(D12, ""en"", ""ar"")"),"ب) لا")</f>
        <v>ب) لا</v>
      </c>
      <c r="K12" s="5" t="str">
        <f>IFERROR(__xludf.DUMMYFUNCTION("GOOGLETRANSLATE(E12, ""en"", ""ar"")"),"لا يجوز تغيير الأبقار بعد بدء المنافسة.")</f>
        <v>لا يجوز تغيير الأبقار بعد بدء المنافسة.</v>
      </c>
    </row>
    <row r="13">
      <c r="A13" s="3">
        <v>12.0</v>
      </c>
      <c r="B13" s="4" t="s">
        <v>2127</v>
      </c>
      <c r="C13" s="4" t="s">
        <v>2128</v>
      </c>
      <c r="D13" s="4" t="s">
        <v>2129</v>
      </c>
      <c r="E13" s="4" t="s">
        <v>2130</v>
      </c>
      <c r="G13" s="5" t="str">
        <f>IFERROR(__xludf.DUMMYFUNCTION("GOOGLETRANSLATE(A13, ""en"", ""ar"")"),"12")</f>
        <v>12</v>
      </c>
      <c r="H13" s="5" t="str">
        <f>IFERROR(__xludf.DUMMYFUNCTION("GOOGLETRANSLATE(B13, ""en"", ""ar"")"),"هل يجوز للأبقار في السودان التنافس في أكثر من مباراة في نفس اليوم؟")</f>
        <v>هل يجوز للأبقار في السودان التنافس في أكثر من مباراة في نفس اليوم؟</v>
      </c>
      <c r="I13" s="5" t="str">
        <f>IFERROR(__xludf.DUMMYFUNCTION("GOOGLETRANSLATE(C13, ""en"", ""ar"")"),"أ) نعم؛ ب) لا؛ ج) في بعض الحالات؛ د) يعتمد ذلك على عمر البقرة")</f>
        <v>أ) نعم؛ ب) لا؛ ج) في بعض الحالات؛ د) يعتمد ذلك على عمر البقرة</v>
      </c>
      <c r="J13" s="5" t="str">
        <f>IFERROR(__xludf.DUMMYFUNCTION("GOOGLETRANSLATE(D13, ""en"", ""ar"")"),"ج) في بعض الحالات")</f>
        <v>ج) في بعض الحالات</v>
      </c>
      <c r="K13" s="5" t="str">
        <f>IFERROR(__xludf.DUMMYFUNCTION("GOOGLETRANSLATE(E13, ""en"", ""ar"")"),"يجوز السماح للأبقار بالتنافس في عدة مباريات إذا كانت في حالة بدنية جيدة.")</f>
        <v>يجوز السماح للأبقار بالتنافس في عدة مباريات إذا كانت في حالة بدنية جيدة.</v>
      </c>
    </row>
    <row r="14">
      <c r="A14" s="3">
        <v>13.0</v>
      </c>
      <c r="B14" s="4" t="s">
        <v>2131</v>
      </c>
      <c r="C14" s="4" t="s">
        <v>2132</v>
      </c>
      <c r="D14" s="4" t="s">
        <v>2102</v>
      </c>
      <c r="E14" s="4" t="s">
        <v>2133</v>
      </c>
      <c r="G14" s="5" t="str">
        <f>IFERROR(__xludf.DUMMYFUNCTION("GOOGLETRANSLATE(A14, ""en"", ""ar"")"),"13")</f>
        <v>13</v>
      </c>
      <c r="H14" s="5" t="str">
        <f>IFERROR(__xludf.DUMMYFUNCTION("GOOGLETRANSLATE(B14, ""en"", ""ar"")"),"هل يمكن للجمهور التدخل بأي شكل من الأشكال خلال مباراة مصارعة الأبقار في السودان؟")</f>
        <v>هل يمكن للجمهور التدخل بأي شكل من الأشكال خلال مباراة مصارعة الأبقار في السودان؟</v>
      </c>
      <c r="I14" s="5" t="str">
        <f>IFERROR(__xludf.DUMMYFUNCTION("GOOGLETRANSLATE(C14, ""en"", ""ar"")"),"أ) نعم؛ ب) لا؛ ج) في حالات الطوارئ فقط؛ د) عند الطلب")</f>
        <v>أ) نعم؛ ب) لا؛ ج) في حالات الطوارئ فقط؛ د) عند الطلب</v>
      </c>
      <c r="J14" s="5" t="str">
        <f>IFERROR(__xludf.DUMMYFUNCTION("GOOGLETRANSLATE(D14, ""en"", ""ar"")"),"ب) لا")</f>
        <v>ب) لا</v>
      </c>
      <c r="K14" s="5" t="str">
        <f>IFERROR(__xludf.DUMMYFUNCTION("GOOGLETRANSLATE(E14, ""en"", ""ar"")"),"لا ينبغي للجمهور التدخل في المصارعة للحفاظ على نزاهتها.")</f>
        <v>لا ينبغي للجمهور التدخل في المصارعة للحفاظ على نزاهتها.</v>
      </c>
    </row>
    <row r="15">
      <c r="A15" s="3">
        <v>14.0</v>
      </c>
      <c r="B15" s="4" t="s">
        <v>2134</v>
      </c>
      <c r="C15" s="4" t="s">
        <v>2135</v>
      </c>
      <c r="D15" s="4" t="s">
        <v>2098</v>
      </c>
      <c r="E15" s="4" t="s">
        <v>2136</v>
      </c>
      <c r="G15" s="5" t="str">
        <f>IFERROR(__xludf.DUMMYFUNCTION("GOOGLETRANSLATE(A15, ""en"", ""ar"")"),"14")</f>
        <v>14</v>
      </c>
      <c r="H15" s="5" t="str">
        <f>IFERROR(__xludf.DUMMYFUNCTION("GOOGLETRANSLATE(B15, ""en"", ""ar"")"),"هل يسمح للمزارعين في السودان بإحضار الأبقار من مناطق أخرى للمشاركة في المسابقات المحلية؟")</f>
        <v>هل يسمح للمزارعين في السودان بإحضار الأبقار من مناطق أخرى للمشاركة في المسابقات المحلية؟</v>
      </c>
      <c r="I15" s="5" t="str">
        <f>IFERROR(__xludf.DUMMYFUNCTION("GOOGLETRANSLATE(C15, ""en"", ""ar"")"),"أ) نعم؛ ب) لا؛ ج) فقط للمزارعين المعروفين؛ د) في حالات خاصة")</f>
        <v>أ) نعم؛ ب) لا؛ ج) فقط للمزارعين المعروفين؛ د) في حالات خاصة</v>
      </c>
      <c r="J15" s="5" t="str">
        <f>IFERROR(__xludf.DUMMYFUNCTION("GOOGLETRANSLATE(D15, ""en"", ""ar"")"),"أ) نعم")</f>
        <v>أ) نعم</v>
      </c>
      <c r="K15" s="5" t="str">
        <f>IFERROR(__xludf.DUMMYFUNCTION("GOOGLETRANSLATE(E15, ""en"", ""ar"")"),"يُسمح للمزارعين بإحضار الأبقار من مناطق مختلفة للمشاركة في المسابقات.")</f>
        <v>يُسمح للمزارعين بإحضار الأبقار من مناطق مختلفة للمشاركة في المسابقات.</v>
      </c>
    </row>
    <row r="16">
      <c r="A16" s="3">
        <v>15.0</v>
      </c>
      <c r="B16" s="4" t="s">
        <v>2137</v>
      </c>
      <c r="C16" s="4" t="s">
        <v>2138</v>
      </c>
      <c r="D16" s="4" t="s">
        <v>2098</v>
      </c>
      <c r="E16" s="4" t="s">
        <v>2139</v>
      </c>
      <c r="G16" s="5" t="str">
        <f>IFERROR(__xludf.DUMMYFUNCTION("GOOGLETRANSLATE(A16, ""en"", ""ar"")"),"15")</f>
        <v>15</v>
      </c>
      <c r="H16" s="5" t="str">
        <f>IFERROR(__xludf.DUMMYFUNCTION("GOOGLETRANSLATE(B16, ""en"", ""ar"")"),"هل يشترط أن تكون الأبقار المشاركة في مسابقات القتال في السودان من سلالة معينة؟")</f>
        <v>هل يشترط أن تكون الأبقار المشاركة في مسابقات القتال في السودان من سلالة معينة؟</v>
      </c>
      <c r="I16" s="5" t="str">
        <f>IFERROR(__xludf.DUMMYFUNCTION("GOOGLETRANSLATE(C16, ""en"", ""ar"")"),"أ) نعم؛ ب) لا؛ ج) فقط إذا كان قويًا؛ د) فقط في بعض المسابقات")</f>
        <v>أ) نعم؛ ب) لا؛ ج) فقط إذا كان قويًا؛ د) فقط في بعض المسابقات</v>
      </c>
      <c r="J16" s="5" t="str">
        <f>IFERROR(__xludf.DUMMYFUNCTION("GOOGLETRANSLATE(D16, ""en"", ""ar"")"),"أ) نعم")</f>
        <v>أ) نعم</v>
      </c>
      <c r="K16" s="5" t="str">
        <f>IFERROR(__xludf.DUMMYFUNCTION("GOOGLETRANSLATE(E16, ""en"", ""ar"")"),"يجب أن تكون الأبقار من سلالة معينة للحفاظ على جودة المنافسة.")</f>
        <v>يجب أن تكون الأبقار من سلالة معينة للحفاظ على جودة المنافسة.</v>
      </c>
    </row>
    <row r="17">
      <c r="A17" s="3">
        <v>16.0</v>
      </c>
      <c r="B17" s="4" t="s">
        <v>2140</v>
      </c>
      <c r="C17" s="4" t="s">
        <v>2141</v>
      </c>
      <c r="D17" s="4" t="s">
        <v>2098</v>
      </c>
      <c r="E17" s="4" t="s">
        <v>2142</v>
      </c>
      <c r="G17" s="5" t="str">
        <f>IFERROR(__xludf.DUMMYFUNCTION("GOOGLETRANSLATE(A17, ""en"", ""ar"")"),"16")</f>
        <v>16</v>
      </c>
      <c r="H17" s="5" t="str">
        <f>IFERROR(__xludf.DUMMYFUNCTION("GOOGLETRANSLATE(B17, ""en"", ""ar"")"),"هل يشترط تسجيل الأبقار في السودان رسميا قبل المشاركة في مسابقات القتال؟")</f>
        <v>هل يشترط تسجيل الأبقار في السودان رسميا قبل المشاركة في مسابقات القتال؟</v>
      </c>
      <c r="I17" s="5" t="str">
        <f>IFERROR(__xludf.DUMMYFUNCTION("GOOGLETRANSLATE(C17, ""en"", ""ar"")"),"أ) نعم؛ ب) لا؛ ج) فقط في المسابقات الكبرى؛ د) إذا طلب المنظمون ذلك")</f>
        <v>أ) نعم؛ ب) لا؛ ج) فقط في المسابقات الكبرى؛ د) إذا طلب المنظمون ذلك</v>
      </c>
      <c r="J17" s="5" t="str">
        <f>IFERROR(__xludf.DUMMYFUNCTION("GOOGLETRANSLATE(D17, ""en"", ""ar"")"),"أ) نعم")</f>
        <v>أ) نعم</v>
      </c>
      <c r="K17" s="5" t="str">
        <f>IFERROR(__xludf.DUMMYFUNCTION("GOOGLETRANSLATE(E17, ""en"", ""ar"")"),"يجب تسجيل الأبقار للتأكد من أن كل شيء قانوني ومناسب.")</f>
        <v>يجب تسجيل الأبقار للتأكد من أن كل شيء قانوني ومناسب.</v>
      </c>
    </row>
    <row r="18">
      <c r="A18" s="3">
        <v>17.0</v>
      </c>
      <c r="B18" s="4" t="s">
        <v>2143</v>
      </c>
      <c r="C18" s="4" t="s">
        <v>2144</v>
      </c>
      <c r="D18" s="4" t="s">
        <v>2098</v>
      </c>
      <c r="E18" s="4" t="s">
        <v>2145</v>
      </c>
      <c r="G18" s="5" t="str">
        <f>IFERROR(__xludf.DUMMYFUNCTION("GOOGLETRANSLATE(A18, ""en"", ""ar"")"),"17")</f>
        <v>17</v>
      </c>
      <c r="H18" s="5" t="str">
        <f>IFERROR(__xludf.DUMMYFUNCTION("GOOGLETRANSLATE(B18, ""en"", ""ar"")"),"هل هناك غرامات تفرض على المزارعين في السودان الذين لا يلتزمون بقوانين مصارعة الأبقار المحلية؟")</f>
        <v>هل هناك غرامات تفرض على المزارعين في السودان الذين لا يلتزمون بقوانين مصارعة الأبقار المحلية؟</v>
      </c>
      <c r="I18" s="5" t="str">
        <f>IFERROR(__xludf.DUMMYFUNCTION("GOOGLETRANSLATE(C18, ""en"", ""ar"")"),"أ) نعم؛ ب) لا؛ ج) في بعض الحالات؛ د) يعتمد ذلك على نوع المخالفة")</f>
        <v>أ) نعم؛ ب) لا؛ ج) في بعض الحالات؛ د) يعتمد ذلك على نوع المخالفة</v>
      </c>
      <c r="J18" s="5" t="str">
        <f>IFERROR(__xludf.DUMMYFUNCTION("GOOGLETRANSLATE(D18, ""en"", ""ar"")"),"أ) نعم")</f>
        <v>أ) نعم</v>
      </c>
      <c r="K18" s="5" t="str">
        <f>IFERROR(__xludf.DUMMYFUNCTION("GOOGLETRANSLATE(E18, ""en"", ""ar"")"),"يتم فرض غرامات على المزارعين الذين لا يلتزمون بالقواعد.")</f>
        <v>يتم فرض غرامات على المزارعين الذين لا يلتزمون بالقواعد.</v>
      </c>
    </row>
    <row r="19">
      <c r="A19" s="3">
        <v>18.0</v>
      </c>
      <c r="B19" s="4" t="s">
        <v>2146</v>
      </c>
      <c r="C19" s="4" t="s">
        <v>2147</v>
      </c>
      <c r="D19" s="4" t="s">
        <v>2098</v>
      </c>
      <c r="E19" s="4" t="s">
        <v>2148</v>
      </c>
      <c r="G19" s="5" t="str">
        <f>IFERROR(__xludf.DUMMYFUNCTION("GOOGLETRANSLATE(A19, ""en"", ""ar"")"),"18")</f>
        <v>18</v>
      </c>
      <c r="H19" s="5" t="str">
        <f>IFERROR(__xludf.DUMMYFUNCTION("GOOGLETRANSLATE(B19, ""en"", ""ar"")"),"هل يتوجب على كل متسابق في مسابقة مصارعة الأبقار السودانية التوقيع على عقد مشاركة؟")</f>
        <v>هل يتوجب على كل متسابق في مسابقة مصارعة الأبقار السودانية التوقيع على عقد مشاركة؟</v>
      </c>
      <c r="I19" s="5" t="str">
        <f>IFERROR(__xludf.DUMMYFUNCTION("GOOGLETRANSLATE(C19, ""en"", ""ar"")"),"أ) نعم؛ ب) لا؛ ج) فقط في المسابقات الكبرى؛ د) فقط إذا طلب منظم المسابقة ذلك")</f>
        <v>أ) نعم؛ ب) لا؛ ج) فقط في المسابقات الكبرى؛ د) فقط إذا طلب منظم المسابقة ذلك</v>
      </c>
      <c r="J19" s="5" t="str">
        <f>IFERROR(__xludf.DUMMYFUNCTION("GOOGLETRANSLATE(D19, ""en"", ""ar"")"),"أ) نعم")</f>
        <v>أ) نعم</v>
      </c>
      <c r="K19" s="5" t="str">
        <f>IFERROR(__xludf.DUMMYFUNCTION("GOOGLETRANSLATE(E19, ""en"", ""ar"")"),"يجب على كل متسابق التوقيع على عقد للمشاركة في المسابقة.")</f>
        <v>يجب على كل متسابق التوقيع على عقد للمشاركة في المسابقة.</v>
      </c>
    </row>
    <row r="20">
      <c r="A20" s="3">
        <v>19.0</v>
      </c>
      <c r="B20" s="4" t="s">
        <v>2149</v>
      </c>
      <c r="C20" s="4" t="s">
        <v>2150</v>
      </c>
      <c r="D20" s="4" t="s">
        <v>2151</v>
      </c>
      <c r="E20" s="4" t="s">
        <v>2152</v>
      </c>
      <c r="G20" s="5" t="str">
        <f>IFERROR(__xludf.DUMMYFUNCTION("GOOGLETRANSLATE(A20, ""en"", ""ar"")"),"19")</f>
        <v>19</v>
      </c>
      <c r="H20" s="5" t="str">
        <f>IFERROR(__xludf.DUMMYFUNCTION("GOOGLETRANSLATE(B20, ""en"", ""ar"")"),"هل يجوز مصارعة الأبقار في الأماكن العامة غير المخصصة لذلك في السودان؟")</f>
        <v>هل يجوز مصارعة الأبقار في الأماكن العامة غير المخصصة لذلك في السودان؟</v>
      </c>
      <c r="I20" s="5" t="str">
        <f>IFERROR(__xludf.DUMMYFUNCTION("GOOGLETRANSLATE(C20, ""en"", ""ar"")"),"أ) نعم؛ ب) لا؛ ج) فقط في بعض الأماكن؛ د) فقط في الأماكن المفتوحة")</f>
        <v>أ) نعم؛ ب) لا؛ ج) فقط في بعض الأماكن؛ د) فقط في الأماكن المفتوحة</v>
      </c>
      <c r="J20" s="5" t="str">
        <f>IFERROR(__xludf.DUMMYFUNCTION("GOOGLETRANSLATE(D20, ""en"", ""ar"")"),"ج) في بعض الأماكن فقط")</f>
        <v>ج) في بعض الأماكن فقط</v>
      </c>
      <c r="K20" s="5" t="str">
        <f>IFERROR(__xludf.DUMMYFUNCTION("GOOGLETRANSLATE(E20, ""en"", ""ar"")"),"يجب أن تقام المصارعة في أماكن مخصصة ومعتمدة من قبل الجهات المختصة.")</f>
        <v>يجب أن تقام المصارعة في أماكن مخصصة ومعتمدة من قبل الجهات المختصة.</v>
      </c>
    </row>
    <row r="21">
      <c r="A21" s="3">
        <v>20.0</v>
      </c>
      <c r="B21" s="4" t="s">
        <v>2153</v>
      </c>
      <c r="C21" s="4" t="s">
        <v>2154</v>
      </c>
      <c r="D21" s="4" t="s">
        <v>2098</v>
      </c>
      <c r="E21" s="4" t="s">
        <v>2155</v>
      </c>
      <c r="G21" s="5" t="str">
        <f>IFERROR(__xludf.DUMMYFUNCTION("GOOGLETRANSLATE(A21, ""en"", ""ar"")"),"20")</f>
        <v>20</v>
      </c>
      <c r="H21" s="5" t="str">
        <f>IFERROR(__xludf.DUMMYFUNCTION("GOOGLETRANSLATE(B21, ""en"", ""ar"")"),"هل هناك مدة زمنية محددة لكل جولة من مباريات مصارعة الأبقار في السودان؟")</f>
        <v>هل هناك مدة زمنية محددة لكل جولة من مباريات مصارعة الأبقار في السودان؟</v>
      </c>
      <c r="I21" s="5" t="str">
        <f>IFERROR(__xludf.DUMMYFUNCTION("GOOGLETRANSLATE(C21, ""en"", ""ar"")"),"أ) نعم؛ ب) لا؛ ج) حسب استمرارية المنافسة؛ د) فقط في حالة وجود فائز واضح")</f>
        <v>أ) نعم؛ ب) لا؛ ج) حسب استمرارية المنافسة؛ د) فقط في حالة وجود فائز واضح</v>
      </c>
      <c r="J21" s="5" t="str">
        <f>IFERROR(__xludf.DUMMYFUNCTION("GOOGLETRANSLATE(D21, ""en"", ""ar"")"),"أ) نعم")</f>
        <v>أ) نعم</v>
      </c>
      <c r="K21" s="5" t="str">
        <f>IFERROR(__xludf.DUMMYFUNCTION("GOOGLETRANSLATE(E21, ""en"", ""ar"")"),"يتم تحديد وقت محدد لكل جولة لضمان العدالة بين المشاركين.")</f>
        <v>يتم تحديد وقت محدد لكل جولة لضمان العدالة بين المشاركين.</v>
      </c>
    </row>
    <row r="22">
      <c r="A22" s="3">
        <v>21.0</v>
      </c>
      <c r="B22" s="4" t="s">
        <v>2156</v>
      </c>
      <c r="C22" s="4" t="s">
        <v>2157</v>
      </c>
      <c r="D22" s="4" t="s">
        <v>2158</v>
      </c>
      <c r="E22" s="4" t="s">
        <v>2159</v>
      </c>
      <c r="G22" s="5" t="str">
        <f>IFERROR(__xludf.DUMMYFUNCTION("GOOGLETRANSLATE(A22, ""en"", ""ar"")"),"21")</f>
        <v>21</v>
      </c>
      <c r="H22" s="5" t="str">
        <f>IFERROR(__xludf.DUMMYFUNCTION("GOOGLETRANSLATE(B22, ""en"", ""ar"")"),"هل يجوز تقديم الطعام للأبقار كوسيلة للراحة بين جولات القتال في السودان؟")</f>
        <v>هل يجوز تقديم الطعام للأبقار كوسيلة للراحة بين جولات القتال في السودان؟</v>
      </c>
      <c r="I22" s="5" t="str">
        <f>IFERROR(__xludf.DUMMYFUNCTION("GOOGLETRANSLATE(C22, ""en"", ""ar"")"),"أ) نعم؛ ب) لا؛ ج) فقط في الجولات الطويلة؛ د) حسب نوع المنافسة")</f>
        <v>أ) نعم؛ ب) لا؛ ج) فقط في الجولات الطويلة؛ د) حسب نوع المنافسة</v>
      </c>
      <c r="J22" s="5" t="str">
        <f>IFERROR(__xludf.DUMMYFUNCTION("GOOGLETRANSLATE(D22, ""en"", ""ar"")"),"ج) فقط في الرحلات الطويلة")</f>
        <v>ج) فقط في الرحلات الطويلة</v>
      </c>
      <c r="K22" s="5" t="str">
        <f>IFERROR(__xludf.DUMMYFUNCTION("GOOGLETRANSLATE(E22, ""en"", ""ar"")"),"يُسمح بتناول الطعام والمشروبات كنوع من الراحة أثناء الجولات الطويلة.")</f>
        <v>يُسمح بتناول الطعام والمشروبات كنوع من الراحة أثناء الجولات الطويلة.</v>
      </c>
    </row>
    <row r="23">
      <c r="A23" s="3">
        <v>22.0</v>
      </c>
      <c r="B23" s="4" t="s">
        <v>2160</v>
      </c>
      <c r="C23" s="4" t="s">
        <v>2161</v>
      </c>
      <c r="D23" s="4" t="s">
        <v>2098</v>
      </c>
      <c r="E23" s="4" t="s">
        <v>2162</v>
      </c>
      <c r="G23" s="5" t="str">
        <f>IFERROR(__xludf.DUMMYFUNCTION("GOOGLETRANSLATE(A23, ""en"", ""ar"")"),"22")</f>
        <v>22</v>
      </c>
      <c r="H23" s="5" t="str">
        <f>IFERROR(__xludf.DUMMYFUNCTION("GOOGLETRANSLATE(B23, ""en"", ""ar"")"),"هل هناك حد أدنى محدد للعمر للعمل كمشرف في مسابقة مصارعة الأبقار السودانية؟")</f>
        <v>هل هناك حد أدنى محدد للعمر للعمل كمشرف في مسابقة مصارعة الأبقار السودانية؟</v>
      </c>
      <c r="I23" s="5" t="str">
        <f>IFERROR(__xludf.DUMMYFUNCTION("GOOGLETRANSLATE(C23, ""en"", ""ar"")"),"أ) نعم؛ ب) لا؛ ج) للمشرفين المحترفين فقط؛ د) يعتمد على القوانين المحلية")</f>
        <v>أ) نعم؛ ب) لا؛ ج) للمشرفين المحترفين فقط؛ د) يعتمد على القوانين المحلية</v>
      </c>
      <c r="J23" s="5" t="str">
        <f>IFERROR(__xludf.DUMMYFUNCTION("GOOGLETRANSLATE(D23, ""en"", ""ar"")"),"أ) نعم")</f>
        <v>أ) نعم</v>
      </c>
      <c r="K23" s="5" t="str">
        <f>IFERROR(__xludf.DUMMYFUNCTION("GOOGLETRANSLATE(E23, ""en"", ""ar"")"),"يجب أن يكون المشرف في السن المناسب لضمان المسؤولية.")</f>
        <v>يجب أن يكون المشرف في السن المناسب لضمان المسؤولية.</v>
      </c>
    </row>
    <row r="24">
      <c r="A24" s="3">
        <v>23.0</v>
      </c>
      <c r="B24" s="4" t="s">
        <v>2163</v>
      </c>
      <c r="C24" s="4" t="s">
        <v>2164</v>
      </c>
      <c r="D24" s="4" t="s">
        <v>2098</v>
      </c>
      <c r="E24" s="4" t="s">
        <v>2165</v>
      </c>
      <c r="G24" s="5" t="str">
        <f>IFERROR(__xludf.DUMMYFUNCTION("GOOGLETRANSLATE(A24, ""en"", ""ar"")"),"23")</f>
        <v>23</v>
      </c>
      <c r="H24" s="5" t="str">
        <f>IFERROR(__xludf.DUMMYFUNCTION("GOOGLETRANSLATE(B24, ""en"", ""ar"")"),"هل يجب منح الأبقار في السودان فترات راحة في مناطق خاصة أثناء المسابقات القتالية؟")</f>
        <v>هل يجب منح الأبقار في السودان فترات راحة في مناطق خاصة أثناء المسابقات القتالية؟</v>
      </c>
      <c r="I24" s="5" t="str">
        <f>IFERROR(__xludf.DUMMYFUNCTION("GOOGLETRANSLATE(C24, ""en"", ""ar"")"),"أ) نعم؛ ب) لا؛ ج) فقط أثناء التقييمات الطبية؛ د) في جميع الجولات")</f>
        <v>أ) نعم؛ ب) لا؛ ج) فقط أثناء التقييمات الطبية؛ د) في جميع الجولات</v>
      </c>
      <c r="J24" s="5" t="str">
        <f>IFERROR(__xludf.DUMMYFUNCTION("GOOGLETRANSLATE(D24, ""en"", ""ar"")"),"أ) نعم")</f>
        <v>أ) نعم</v>
      </c>
      <c r="K24" s="5" t="str">
        <f>IFERROR(__xludf.DUMMYFUNCTION("GOOGLETRANSLATE(E24, ""en"", ""ar"")"),"يجب منح الأبقار فترات راحة أثناء المصارعة للتأكد من عدم تعرضها للتوتر.")</f>
        <v>يجب منح الأبقار فترات راحة أثناء المصارعة للتأكد من عدم تعرضها للتوتر.</v>
      </c>
    </row>
    <row r="25">
      <c r="A25" s="3">
        <v>24.0</v>
      </c>
      <c r="B25" s="4" t="s">
        <v>2166</v>
      </c>
      <c r="C25" s="4" t="s">
        <v>2167</v>
      </c>
      <c r="D25" s="4" t="s">
        <v>2102</v>
      </c>
      <c r="E25" s="4" t="s">
        <v>2168</v>
      </c>
      <c r="G25" s="5" t="str">
        <f>IFERROR(__xludf.DUMMYFUNCTION("GOOGLETRANSLATE(A25, ""en"", ""ar"")"),"24")</f>
        <v>24</v>
      </c>
      <c r="H25" s="5" t="str">
        <f>IFERROR(__xludf.DUMMYFUNCTION("GOOGLETRANSLATE(B25, ""en"", ""ar"")"),"هل يُسمح للأبقار الصغيرة وغير الناضجة بالمشاركة في مسابقات القتال الكبرى في السودان؟")</f>
        <v>هل يُسمح للأبقار الصغيرة وغير الناضجة بالمشاركة في مسابقات القتال الكبرى في السودان؟</v>
      </c>
      <c r="I25" s="5" t="str">
        <f>IFERROR(__xludf.DUMMYFUNCTION("GOOGLETRANSLATE(C25, ""en"", ""ar"")"),"أ) نعم؛ ب) لا؛ ج) فقط في المسابقات الخاصة؛ د) إذا كانت قوية بما فيه الكفاية")</f>
        <v>أ) نعم؛ ب) لا؛ ج) فقط في المسابقات الخاصة؛ د) إذا كانت قوية بما فيه الكفاية</v>
      </c>
      <c r="J25" s="5" t="str">
        <f>IFERROR(__xludf.DUMMYFUNCTION("GOOGLETRANSLATE(D25, ""en"", ""ar"")"),"ب) لا")</f>
        <v>ب) لا</v>
      </c>
      <c r="K25" s="5" t="str">
        <f>IFERROR(__xludf.DUMMYFUNCTION("GOOGLETRANSLATE(E25, ""en"", ""ar"")"),"لا يُسمح للأبقار الصغيرة بالمشاركة في المسابقات الكبرى.")</f>
        <v>لا يُسمح للأبقار الصغيرة بالمشاركة في المسابقات الكبرى.</v>
      </c>
    </row>
    <row r="26">
      <c r="A26" s="3">
        <v>25.0</v>
      </c>
      <c r="B26" s="4" t="s">
        <v>2169</v>
      </c>
      <c r="C26" s="4" t="s">
        <v>2170</v>
      </c>
      <c r="D26" s="4" t="s">
        <v>2102</v>
      </c>
      <c r="E26" s="4" t="s">
        <v>2171</v>
      </c>
      <c r="G26" s="5" t="str">
        <f>IFERROR(__xludf.DUMMYFUNCTION("GOOGLETRANSLATE(A26, ""en"", ""ar"")"),"25")</f>
        <v>25</v>
      </c>
      <c r="H26" s="5" t="str">
        <f>IFERROR(__xludf.DUMMYFUNCTION("GOOGLETRANSLATE(B26, ""en"", ""ar"")"),"هل يجوز استخدام المواد الكيميائية لتحسين أداء البقرة في القتال؟")</f>
        <v>هل يجوز استخدام المواد الكيميائية لتحسين أداء البقرة في القتال؟</v>
      </c>
      <c r="I26" s="5" t="str">
        <f>IFERROR(__xludf.DUMMYFUNCTION("GOOGLETRANSLATE(C26, ""en"", ""ar"")"),"أ) نعم؛ ب) لا؛ ج) في بعض الحالات؛ د) فقط إذا كان تحت إشراف طبيب بيطري")</f>
        <v>أ) نعم؛ ب) لا؛ ج) في بعض الحالات؛ د) فقط إذا كان تحت إشراف طبيب بيطري</v>
      </c>
      <c r="J26" s="5" t="str">
        <f>IFERROR(__xludf.DUMMYFUNCTION("GOOGLETRANSLATE(D26, ""en"", ""ar"")"),"ب) لا")</f>
        <v>ب) لا</v>
      </c>
      <c r="K26" s="5" t="str">
        <f>IFERROR(__xludf.DUMMYFUNCTION("GOOGLETRANSLATE(E26, ""en"", ""ar"")"),"يُحظر استخدام المواد الكيميائية المعززة للأداء في المصارعة.")</f>
        <v>يُحظر استخدام المواد الكيميائية المعززة للأداء في المصارعة.</v>
      </c>
    </row>
    <row r="27">
      <c r="A27" s="3">
        <v>26.0</v>
      </c>
      <c r="B27" s="4" t="s">
        <v>2172</v>
      </c>
      <c r="C27" s="4" t="s">
        <v>2173</v>
      </c>
      <c r="D27" s="4" t="s">
        <v>2129</v>
      </c>
      <c r="E27" s="4" t="s">
        <v>2174</v>
      </c>
      <c r="G27" s="5" t="str">
        <f>IFERROR(__xludf.DUMMYFUNCTION("GOOGLETRANSLATE(A27, ""en"", ""ar"")"),"26")</f>
        <v>26</v>
      </c>
      <c r="H27" s="5" t="str">
        <f>IFERROR(__xludf.DUMMYFUNCTION("GOOGLETRANSLATE(B27, ""en"", ""ar"")"),"هل يجوز للمشاركين في مسابقات مصارعة الأبقار السودانية اصطحاب فريق داعم؟")</f>
        <v>هل يجوز للمشاركين في مسابقات مصارعة الأبقار السودانية اصطحاب فريق داعم؟</v>
      </c>
      <c r="I27" s="5" t="str">
        <f>IFERROR(__xludf.DUMMYFUNCTION("GOOGLETRANSLATE(C27, ""en"", ""ar"")"),"أ) نعم؛ ب) لا؛ ج) في بعض الحالات؛ د) فقط إذا كان الفريق محترفًا")</f>
        <v>أ) نعم؛ ب) لا؛ ج) في بعض الحالات؛ د) فقط إذا كان الفريق محترفًا</v>
      </c>
      <c r="J27" s="5" t="str">
        <f>IFERROR(__xludf.DUMMYFUNCTION("GOOGLETRANSLATE(D27, ""en"", ""ar"")"),"ج) في بعض الحالات")</f>
        <v>ج) في بعض الحالات</v>
      </c>
      <c r="K27" s="5" t="str">
        <f>IFERROR(__xludf.DUMMYFUNCTION("GOOGLETRANSLATE(E27, ""en"", ""ar"")"),"يجوز استخدام فريق الدعم وفقًا لقواعد المصارعة.")</f>
        <v>يجوز استخدام فريق الدعم وفقًا لقواعد المصارعة.</v>
      </c>
    </row>
    <row r="28">
      <c r="A28" s="3">
        <v>27.0</v>
      </c>
      <c r="B28" s="4" t="s">
        <v>2175</v>
      </c>
      <c r="C28" s="4" t="s">
        <v>2176</v>
      </c>
      <c r="D28" s="4" t="s">
        <v>2102</v>
      </c>
      <c r="E28" s="4" t="s">
        <v>2177</v>
      </c>
      <c r="G28" s="5" t="str">
        <f>IFERROR(__xludf.DUMMYFUNCTION("GOOGLETRANSLATE(A28, ""en"", ""ar"")"),"27")</f>
        <v>27</v>
      </c>
      <c r="H28" s="5" t="str">
        <f>IFERROR(__xludf.DUMMYFUNCTION("GOOGLETRANSLATE(B28, ""en"", ""ar"")"),"هل يمكن تعديل القواعد المتبعة في منافسات مصارعة الأبقار في السودان بعد بدء الفعاليات؟")</f>
        <v>هل يمكن تعديل القواعد المتبعة في منافسات مصارعة الأبقار في السودان بعد بدء الفعاليات؟</v>
      </c>
      <c r="I28" s="5" t="str">
        <f>IFERROR(__xludf.DUMMYFUNCTION("GOOGLETRANSLATE(C28, ""en"", ""ar"")"),"أ) نعم؛ ب) لا؛ ج) في حالات الطوارئ فقط؛ د) إذا كان هناك اعتراض من جميع المشاركين")</f>
        <v>أ) نعم؛ ب) لا؛ ج) في حالات الطوارئ فقط؛ د) إذا كان هناك اعتراض من جميع المشاركين</v>
      </c>
      <c r="J28" s="5" t="str">
        <f>IFERROR(__xludf.DUMMYFUNCTION("GOOGLETRANSLATE(D28, ""en"", ""ar"")"),"ب) لا")</f>
        <v>ب) لا</v>
      </c>
      <c r="K28" s="5" t="str">
        <f>IFERROR(__xludf.DUMMYFUNCTION("GOOGLETRANSLATE(E28, ""en"", ""ar"")"),"لا يجوز تعديل القواعد بعد بدء المنافسة لتجنب أي ظلم.")</f>
        <v>لا يجوز تعديل القواعد بعد بدء المنافسة لتجنب أي ظلم.</v>
      </c>
    </row>
    <row r="29">
      <c r="A29" s="3">
        <v>28.0</v>
      </c>
      <c r="B29" s="4" t="s">
        <v>2178</v>
      </c>
      <c r="C29" s="4" t="s">
        <v>2179</v>
      </c>
      <c r="D29" s="4" t="s">
        <v>2180</v>
      </c>
      <c r="E29" s="4" t="s">
        <v>2181</v>
      </c>
      <c r="G29" s="5" t="str">
        <f>IFERROR(__xludf.DUMMYFUNCTION("GOOGLETRANSLATE(A29, ""en"", ""ar"")"),"28")</f>
        <v>28</v>
      </c>
      <c r="H29" s="5" t="str">
        <f>IFERROR(__xludf.DUMMYFUNCTION("GOOGLETRANSLATE(B29, ""en"", ""ar"")"),"هل يجوز تغيير مكان إقامة المسابقة المعلن عنه في السودان في بعض الحالات؟")</f>
        <v>هل يجوز تغيير مكان إقامة المسابقة المعلن عنه في السودان في بعض الحالات؟</v>
      </c>
      <c r="I29" s="5" t="str">
        <f>IFERROR(__xludf.DUMMYFUNCTION("GOOGLETRANSLATE(C29, ""en"", ""ar"")"),"أ) نعم؛ ب) لا؛ ج) فقط في بعض الحالات؛ د) فقط إذا كان الموقع غير مناسب")</f>
        <v>أ) نعم؛ ب) لا؛ ج) فقط في بعض الحالات؛ د) فقط إذا كان الموقع غير مناسب</v>
      </c>
      <c r="J29" s="5" t="str">
        <f>IFERROR(__xludf.DUMMYFUNCTION("GOOGLETRANSLATE(D29, ""en"", ""ar"")"),"ج) فقط في بعض الحالات فقط")</f>
        <v>ج) فقط في بعض الحالات فقط</v>
      </c>
      <c r="K29" s="5" t="str">
        <f>IFERROR(__xludf.DUMMYFUNCTION("GOOGLETRANSLATE(E29, ""en"", ""ar"")"),"يمكن تغيير مكان المسابقة إذا كانت الظروف تتطلب ذلك.")</f>
        <v>يمكن تغيير مكان المسابقة إذا كانت الظروف تتطلب ذلك.</v>
      </c>
    </row>
    <row r="30">
      <c r="A30" s="3">
        <v>29.0</v>
      </c>
      <c r="B30" s="4" t="s">
        <v>2182</v>
      </c>
      <c r="C30" s="4" t="s">
        <v>2183</v>
      </c>
      <c r="D30" s="4" t="s">
        <v>2102</v>
      </c>
      <c r="E30" s="4" t="s">
        <v>2184</v>
      </c>
      <c r="G30" s="5" t="str">
        <f>IFERROR(__xludf.DUMMYFUNCTION("GOOGLETRANSLATE(A30, ""en"", ""ar"")"),"29")</f>
        <v>29</v>
      </c>
      <c r="H30" s="5" t="str">
        <f>IFERROR(__xludf.DUMMYFUNCTION("GOOGLETRANSLATE(B30, ""en"", ""ar"")"),"هل يملك الشعب السوداني القدرة على التصويت للفائز في معركة البقر؟")</f>
        <v>هل يملك الشعب السوداني القدرة على التصويت للفائز في معركة البقر؟</v>
      </c>
      <c r="I30" s="5" t="str">
        <f>IFERROR(__xludf.DUMMYFUNCTION("GOOGLETRANSLATE(C30, ""en"", ""ar"")"),"أ) نعم؛ ب) لا؛ ج) فقط في بعض المسابقات؛ د) فقط في المسابقات الكبرى")</f>
        <v>أ) نعم؛ ب) لا؛ ج) فقط في بعض المسابقات؛ د) فقط في المسابقات الكبرى</v>
      </c>
      <c r="J30" s="5" t="str">
        <f>IFERROR(__xludf.DUMMYFUNCTION("GOOGLETRANSLATE(D30, ""en"", ""ar"")"),"ب) لا")</f>
        <v>ب) لا</v>
      </c>
      <c r="K30" s="5" t="str">
        <f>IFERROR(__xludf.DUMMYFUNCTION("GOOGLETRANSLATE(E30, ""en"", ""ar"")"),"يتم تحديد الفائز بناءً على أداء الأبقار، وليس عن طريق تصويت الجمهور.")</f>
        <v>يتم تحديد الفائز بناءً على أداء الأبقار، وليس عن طريق تصويت الجمهور.</v>
      </c>
    </row>
    <row r="31">
      <c r="A31" s="3">
        <v>30.0</v>
      </c>
      <c r="B31" s="4" t="s">
        <v>2185</v>
      </c>
      <c r="C31" s="4" t="s">
        <v>2186</v>
      </c>
      <c r="D31" s="4" t="s">
        <v>2098</v>
      </c>
      <c r="E31" s="4" t="s">
        <v>2187</v>
      </c>
      <c r="G31" s="5" t="str">
        <f>IFERROR(__xludf.DUMMYFUNCTION("GOOGLETRANSLATE(A31, ""en"", ""ar"")"),"30")</f>
        <v>30</v>
      </c>
      <c r="H31" s="5" t="str">
        <f>IFERROR(__xludf.DUMMYFUNCTION("GOOGLETRANSLATE(B31, ""en"", ""ar"")"),"هل تخضع التغطية الإعلامية لمصارعة الأبقار في السودان لأي شكل من أشكال الرقابة على المحتوى؟")</f>
        <v>هل تخضع التغطية الإعلامية لمصارعة الأبقار في السودان لأي شكل من أشكال الرقابة على المحتوى؟</v>
      </c>
      <c r="I31" s="5" t="str">
        <f>IFERROR(__xludf.DUMMYFUNCTION("GOOGLETRANSLATE(C31, ""en"", ""ar"")"),"أ) نعم؛ ب) لا؛ ج) أحيانًا؛ د) فقط في الأحداث الكبرى")</f>
        <v>أ) نعم؛ ب) لا؛ ج) أحيانًا؛ د) فقط في الأحداث الكبرى</v>
      </c>
      <c r="J31" s="5" t="str">
        <f>IFERROR(__xludf.DUMMYFUNCTION("GOOGLETRANSLATE(D31, ""en"", ""ar"")"),"أ) نعم")</f>
        <v>أ) نعم</v>
      </c>
      <c r="K31" s="5" t="str">
        <f>IFERROR(__xludf.DUMMYFUNCTION("GOOGLETRANSLATE(E31, ""en"", ""ar"")"),"تخضع وسائل الإعلام المرتبطة بالمصارعة للرقابة لضمان عدم نشر محتوى غير لائق.")</f>
        <v>تخضع وسائل الإعلام المرتبطة بالمصارعة للرقابة لضمان عدم نشر محتوى غير لائق.</v>
      </c>
    </row>
    <row r="32">
      <c r="A32" s="3">
        <v>31.0</v>
      </c>
      <c r="B32" s="4" t="s">
        <v>2188</v>
      </c>
      <c r="C32" s="4" t="s">
        <v>2189</v>
      </c>
      <c r="D32" s="4" t="s">
        <v>2098</v>
      </c>
      <c r="E32" s="4" t="s">
        <v>2190</v>
      </c>
      <c r="G32" s="5" t="str">
        <f>IFERROR(__xludf.DUMMYFUNCTION("GOOGLETRANSLATE(A32, ""en"", ""ar"")"),"31")</f>
        <v>31</v>
      </c>
      <c r="H32" s="5" t="str">
        <f>IFERROR(__xludf.DUMMYFUNCTION("GOOGLETRANSLATE(B32, ""en"", ""ar"")"),"هل يجب على المتسابقين في السودان تقديم الوثائق الصحية الرسمية لأبقارهم قبل المشاركة في المسابقة؟")</f>
        <v>هل يجب على المتسابقين في السودان تقديم الوثائق الصحية الرسمية لأبقارهم قبل المشاركة في المسابقة؟</v>
      </c>
      <c r="I32" s="5" t="str">
        <f>IFERROR(__xludf.DUMMYFUNCTION("GOOGLETRANSLATE(C32, ""en"", ""ar"")"),"أ) نعم؛ ب) لا؛ ج) في بعض الحالات فقط؛ د) إذا كان المتسابق مبتدئًا")</f>
        <v>أ) نعم؛ ب) لا؛ ج) في بعض الحالات فقط؛ د) إذا كان المتسابق مبتدئًا</v>
      </c>
      <c r="J32" s="5" t="str">
        <f>IFERROR(__xludf.DUMMYFUNCTION("GOOGLETRANSLATE(D32, ""en"", ""ar"")"),"أ) نعم")</f>
        <v>أ) نعم</v>
      </c>
      <c r="K32" s="5" t="str">
        <f>IFERROR(__xludf.DUMMYFUNCTION("GOOGLETRANSLATE(E32, ""en"", ""ar"")"),"يجب تقديم المستندات الصحية للتأكد من صحة الأبقار المشاركة.")</f>
        <v>يجب تقديم المستندات الصحية للتأكد من صحة الأبقار المشاركة.</v>
      </c>
    </row>
    <row r="33">
      <c r="A33" s="3">
        <v>32.0</v>
      </c>
      <c r="B33" s="4" t="s">
        <v>2191</v>
      </c>
      <c r="C33" s="4" t="s">
        <v>2192</v>
      </c>
      <c r="D33" s="4" t="s">
        <v>2102</v>
      </c>
      <c r="E33" s="4" t="s">
        <v>2193</v>
      </c>
      <c r="G33" s="5" t="str">
        <f>IFERROR(__xludf.DUMMYFUNCTION("GOOGLETRANSLATE(A33, ""en"", ""ar"")"),"32")</f>
        <v>32</v>
      </c>
      <c r="H33" s="5" t="str">
        <f>IFERROR(__xludf.DUMMYFUNCTION("GOOGLETRANSLATE(B33, ""en"", ""ar"")"),"هل يجوز تغيير قواعد مسابقة مصارعة الأبقار في السودان أثناء الحدث؟")</f>
        <v>هل يجوز تغيير قواعد مسابقة مصارعة الأبقار في السودان أثناء الحدث؟</v>
      </c>
      <c r="I33" s="5" t="str">
        <f>IFERROR(__xludf.DUMMYFUNCTION("GOOGLETRANSLATE(C33, ""en"", ""ar"")"),"أ) نعم؛ ب) لا؛ ج) إذا طلب الجميع ذلك؛ د) بناءً على قرار الحكم")</f>
        <v>أ) نعم؛ ب) لا؛ ج) إذا طلب الجميع ذلك؛ د) بناءً على قرار الحكم</v>
      </c>
      <c r="J33" s="5" t="str">
        <f>IFERROR(__xludf.DUMMYFUNCTION("GOOGLETRANSLATE(D33, ""en"", ""ar"")"),"ب) لا")</f>
        <v>ب) لا</v>
      </c>
      <c r="K33" s="5" t="str">
        <f>IFERROR(__xludf.DUMMYFUNCTION("GOOGLETRANSLATE(E33, ""en"", ""ar"")"),"يتم إجراء المسابقة وفقًا للقواعد المحددة مسبقًا ولا تخضع للتعديل.")</f>
        <v>يتم إجراء المسابقة وفقًا للقواعد المحددة مسبقًا ولا تخضع للتعديل.</v>
      </c>
    </row>
    <row r="34">
      <c r="A34" s="3">
        <v>33.0</v>
      </c>
      <c r="B34" s="4" t="s">
        <v>2194</v>
      </c>
      <c r="C34" s="4" t="s">
        <v>2195</v>
      </c>
      <c r="D34" s="4" t="s">
        <v>2102</v>
      </c>
      <c r="E34" s="4" t="s">
        <v>2196</v>
      </c>
      <c r="G34" s="5" t="str">
        <f>IFERROR(__xludf.DUMMYFUNCTION("GOOGLETRANSLATE(A34, ""en"", ""ar"")"),"33")</f>
        <v>33</v>
      </c>
      <c r="H34" s="5" t="str">
        <f>IFERROR(__xludf.DUMMYFUNCTION("GOOGLETRANSLATE(B34, ""en"", ""ar"")"),"هل يجوز للمشاركين في مصارعة الأبقار السودانية استخدام تقنيات غير قانونية لمحاولة الفوز بالمباراة؟")</f>
        <v>هل يجوز للمشاركين في مصارعة الأبقار السودانية استخدام تقنيات غير قانونية لمحاولة الفوز بالمباراة؟</v>
      </c>
      <c r="I34" s="5" t="str">
        <f>IFERROR(__xludf.DUMMYFUNCTION("GOOGLETRANSLATE(C34, ""en"", ""ar"")"),"أ) نعم؛ ب) لا؛ ج) إذا لم يتم تنفيذ الحكم؛ د) في بعض الحالات")</f>
        <v>أ) نعم؛ ب) لا؛ ج) إذا لم يتم تنفيذ الحكم؛ د) في بعض الحالات</v>
      </c>
      <c r="J34" s="5" t="str">
        <f>IFERROR(__xludf.DUMMYFUNCTION("GOOGLETRANSLATE(D34, ""en"", ""ar"")"),"ب) لا")</f>
        <v>ب) لا</v>
      </c>
      <c r="K34" s="5" t="str">
        <f>IFERROR(__xludf.DUMMYFUNCTION("GOOGLETRANSLATE(E34, ""en"", ""ar"")"),"إن استخدام تقنيات غير قانونية يعد مخالفًا للقواعد وقد يؤدي إلى استبعاد المتسابق.")</f>
        <v>إن استخدام تقنيات غير قانونية يعد مخالفًا للقواعد وقد يؤدي إلى استبعاد المتسابق.</v>
      </c>
    </row>
    <row r="35">
      <c r="A35" s="3">
        <v>34.0</v>
      </c>
      <c r="B35" s="4" t="s">
        <v>2197</v>
      </c>
      <c r="C35" s="4" t="s">
        <v>2198</v>
      </c>
      <c r="D35" s="4" t="s">
        <v>2102</v>
      </c>
      <c r="E35" s="4" t="s">
        <v>2199</v>
      </c>
      <c r="G35" s="5" t="str">
        <f>IFERROR(__xludf.DUMMYFUNCTION("GOOGLETRANSLATE(A35, ""en"", ""ar"")"),"34")</f>
        <v>34</v>
      </c>
      <c r="H35" s="5" t="str">
        <f>IFERROR(__xludf.DUMMYFUNCTION("GOOGLETRANSLATE(B35, ""en"", ""ar"")"),"هل يُسمح للأبقار التي لديها تاريخ من الإصابات القديمة بالمشاركة في المعارك في السودان؟")</f>
        <v>هل يُسمح للأبقار التي لديها تاريخ من الإصابات القديمة بالمشاركة في المعارك في السودان؟</v>
      </c>
      <c r="I35" s="5" t="str">
        <f>IFERROR(__xludf.DUMMYFUNCTION("GOOGLETRANSLATE(C35, ""en"", ""ar"")"),"أ) نعم؛ ب) لا؛ ج) فقط إذا كانت الإصابة طفيفة؛ د) إذا كان من المؤكد شفاء الإصابة")</f>
        <v>أ) نعم؛ ب) لا؛ ج) فقط إذا كانت الإصابة طفيفة؛ د) إذا كان من المؤكد شفاء الإصابة</v>
      </c>
      <c r="J35" s="5" t="str">
        <f>IFERROR(__xludf.DUMMYFUNCTION("GOOGLETRANSLATE(D35, ""en"", ""ar"")"),"ب) لا")</f>
        <v>ب) لا</v>
      </c>
      <c r="K35" s="5" t="str">
        <f>IFERROR(__xludf.DUMMYFUNCTION("GOOGLETRANSLATE(E35, ""en"", ""ar"")"),"يجب أن تكون الأبقار في صحة جيدة وخالية من أي إصابات قديمة.")</f>
        <v>يجب أن تكون الأبقار في صحة جيدة وخالية من أي إصابات قديمة.</v>
      </c>
    </row>
    <row r="36">
      <c r="A36" s="3">
        <v>35.0</v>
      </c>
      <c r="B36" s="4" t="s">
        <v>2200</v>
      </c>
      <c r="C36" s="4" t="s">
        <v>2201</v>
      </c>
      <c r="D36" s="4" t="s">
        <v>2202</v>
      </c>
      <c r="E36" s="4" t="s">
        <v>2203</v>
      </c>
      <c r="G36" s="5" t="str">
        <f>IFERROR(__xludf.DUMMYFUNCTION("GOOGLETRANSLATE(A36, ""en"", ""ar"")"),"35")</f>
        <v>35</v>
      </c>
      <c r="H36" s="5" t="str">
        <f>IFERROR(__xludf.DUMMYFUNCTION("GOOGLETRANSLATE(B36, ""en"", ""ar"")"),"هل يجوز للمدربين التدخل أثناء منافسات مصارعة الأبقار في السودان؟")</f>
        <v>هل يجوز للمدربين التدخل أثناء منافسات مصارعة الأبقار في السودان؟</v>
      </c>
      <c r="I36" s="5" t="str">
        <f>IFERROR(__xludf.DUMMYFUNCTION("GOOGLETRANSLATE(C36, ""en"", ""ar"")"),"أ) نعم؛ ب) لا؛ ج) في حالات الطوارئ فقط؛ د) في المسابقات الكبرى فقط")</f>
        <v>أ) نعم؛ ب) لا؛ ج) في حالات الطوارئ فقط؛ د) في المسابقات الكبرى فقط</v>
      </c>
      <c r="J36" s="5" t="str">
        <f>IFERROR(__xludf.DUMMYFUNCTION("GOOGLETRANSLATE(D36, ""en"", ""ar"")"),"ج) في حالات الطوارئ فقط")</f>
        <v>ج) في حالات الطوارئ فقط</v>
      </c>
      <c r="K36" s="5" t="str">
        <f>IFERROR(__xludf.DUMMYFUNCTION("GOOGLETRANSLATE(E36, ""en"", ""ar"")"),"لا يُسمح للمدربين بالتدخل إلا في حالات الطوارئ مثل إصابة البقرة.")</f>
        <v>لا يُسمح للمدربين بالتدخل إلا في حالات الطوارئ مثل إصابة البقرة.</v>
      </c>
    </row>
    <row r="37">
      <c r="A37" s="3">
        <v>36.0</v>
      </c>
      <c r="B37" s="4" t="s">
        <v>2204</v>
      </c>
      <c r="C37" s="4" t="s">
        <v>2205</v>
      </c>
      <c r="D37" s="4" t="s">
        <v>2102</v>
      </c>
      <c r="E37" s="4" t="s">
        <v>2206</v>
      </c>
      <c r="G37" s="5" t="str">
        <f>IFERROR(__xludf.DUMMYFUNCTION("GOOGLETRANSLATE(A37, ""en"", ""ar"")"),"36")</f>
        <v>36</v>
      </c>
      <c r="H37" s="5" t="str">
        <f>IFERROR(__xludf.DUMMYFUNCTION("GOOGLETRANSLATE(B37, ""en"", ""ar"")"),"هل يجوز للمشارك أن يستبدل بقرته بأخرى بعد بدء المسابقة في السودان؟")</f>
        <v>هل يجوز للمشارك أن يستبدل بقرته بأخرى بعد بدء المسابقة في السودان؟</v>
      </c>
      <c r="I37" s="5" t="str">
        <f>IFERROR(__xludf.DUMMYFUNCTION("GOOGLETRANSLATE(C37, ""en"", ""ar"")"),"أ) نعم؛ ب) لا؛ ج) فقط في المسابقات التحضيرية؛ د) بناءً على قرار اللجنة المنظمة")</f>
        <v>أ) نعم؛ ب) لا؛ ج) فقط في المسابقات التحضيرية؛ د) بناءً على قرار اللجنة المنظمة</v>
      </c>
      <c r="J37" s="5" t="str">
        <f>IFERROR(__xludf.DUMMYFUNCTION("GOOGLETRANSLATE(D37, ""en"", ""ar"")"),"ب) لا")</f>
        <v>ب) لا</v>
      </c>
      <c r="K37" s="5" t="str">
        <f>IFERROR(__xludf.DUMMYFUNCTION("GOOGLETRANSLATE(E37, ""en"", ""ar"")"),"لا يجوز تغيير الأبقار بعد بدء المنافسة.")</f>
        <v>لا يجوز تغيير الأبقار بعد بدء المنافسة.</v>
      </c>
    </row>
    <row r="38">
      <c r="A38" s="3">
        <v>37.0</v>
      </c>
      <c r="B38" s="4" t="s">
        <v>2207</v>
      </c>
      <c r="C38" s="4" t="s">
        <v>2208</v>
      </c>
      <c r="D38" s="4" t="s">
        <v>2098</v>
      </c>
      <c r="E38" s="4" t="s">
        <v>2209</v>
      </c>
      <c r="G38" s="5" t="str">
        <f>IFERROR(__xludf.DUMMYFUNCTION("GOOGLETRANSLATE(A38, ""en"", ""ar"")"),"37")</f>
        <v>37</v>
      </c>
      <c r="H38" s="5" t="str">
        <f>IFERROR(__xludf.DUMMYFUNCTION("GOOGLETRANSLATE(B38, ""en"", ""ar"")"),"هل يجوز للمتسابقين في السودان إعطاء أبقارهم الطعام بين الجولات كوسيلة للراحة؟")</f>
        <v>هل يجوز للمتسابقين في السودان إعطاء أبقارهم الطعام بين الجولات كوسيلة للراحة؟</v>
      </c>
      <c r="I38" s="5" t="str">
        <f>IFERROR(__xludf.DUMMYFUNCTION("GOOGLETRANSLATE(C38, ""en"", ""ar"")"),"أ) نعم؛ ب) لا؛ ج) فقط في الرحلات الطويلة؛ د) أحيانًا")</f>
        <v>أ) نعم؛ ب) لا؛ ج) فقط في الرحلات الطويلة؛ د) أحيانًا</v>
      </c>
      <c r="J38" s="5" t="str">
        <f>IFERROR(__xludf.DUMMYFUNCTION("GOOGLETRANSLATE(D38, ""en"", ""ar"")"),"أ) نعم")</f>
        <v>أ) نعم</v>
      </c>
      <c r="K38" s="5" t="str">
        <f>IFERROR(__xludf.DUMMYFUNCTION("GOOGLETRANSLATE(E38, ""en"", ""ar"")"),"يمكن للمتنافسين استخدام الطعام للراحة بين الجولات للحفاظ على الطاقة.")</f>
        <v>يمكن للمتنافسين استخدام الطعام للراحة بين الجولات للحفاظ على الطاقة.</v>
      </c>
    </row>
    <row r="39">
      <c r="A39" s="3">
        <v>38.0</v>
      </c>
      <c r="B39" s="4" t="s">
        <v>2210</v>
      </c>
      <c r="C39" s="4" t="s">
        <v>2211</v>
      </c>
      <c r="D39" s="4" t="s">
        <v>2098</v>
      </c>
      <c r="E39" s="4" t="s">
        <v>2212</v>
      </c>
      <c r="G39" s="5" t="str">
        <f>IFERROR(__xludf.DUMMYFUNCTION("GOOGLETRANSLATE(A39, ""en"", ""ar"")"),"38")</f>
        <v>38</v>
      </c>
      <c r="H39" s="5" t="str">
        <f>IFERROR(__xludf.DUMMYFUNCTION("GOOGLETRANSLATE(B39, ""en"", ""ar"")"),"هل يشترط على جميع المتنافسين في مسابقات مصارعة الأبقار السودانية أن يكونوا على دراية بالقوانين المحلية؟")</f>
        <v>هل يشترط على جميع المتنافسين في مسابقات مصارعة الأبقار السودانية أن يكونوا على دراية بالقوانين المحلية؟</v>
      </c>
      <c r="I39" s="5" t="str">
        <f>IFERROR(__xludf.DUMMYFUNCTION("GOOGLETRANSLATE(C39, ""en"", ""ar"")"),"أ) نعم؛ ب) لا؛ ج) المدربون فقط؛ د) إذا كانت المنافسة في منطقة محددة")</f>
        <v>أ) نعم؛ ب) لا؛ ج) المدربون فقط؛ د) إذا كانت المنافسة في منطقة محددة</v>
      </c>
      <c r="J39" s="5" t="str">
        <f>IFERROR(__xludf.DUMMYFUNCTION("GOOGLETRANSLATE(D39, ""en"", ""ar"")"),"أ) نعم")</f>
        <v>أ) نعم</v>
      </c>
      <c r="K39" s="5" t="str">
        <f>IFERROR(__xludf.DUMMYFUNCTION("GOOGLETRANSLATE(E39, ""en"", ""ar"")"),"ومن الضروري أن يكون المتنافسون على دراية كاملة بالقوانين المحلية.")</f>
        <v>ومن الضروري أن يكون المتنافسون على دراية كاملة بالقوانين المحلية.</v>
      </c>
    </row>
    <row r="40">
      <c r="A40" s="3">
        <v>39.0</v>
      </c>
      <c r="B40" s="4" t="s">
        <v>2213</v>
      </c>
      <c r="C40" s="4" t="s">
        <v>2214</v>
      </c>
      <c r="D40" s="4" t="s">
        <v>2102</v>
      </c>
      <c r="E40" s="4" t="s">
        <v>2215</v>
      </c>
      <c r="G40" s="5" t="str">
        <f>IFERROR(__xludf.DUMMYFUNCTION("GOOGLETRANSLATE(A40, ""en"", ""ar"")"),"39")</f>
        <v>39</v>
      </c>
      <c r="H40" s="5" t="str">
        <f>IFERROR(__xludf.DUMMYFUNCTION("GOOGLETRANSLATE(B40, ""en"", ""ar"")"),"هل يجوز للمشاركين في مصارعة الأبقار في السودان استخدام الحبال للسيطرة على الأبقار أثناء المباراة؟")</f>
        <v>هل يجوز للمشاركين في مصارعة الأبقار في السودان استخدام الحبال للسيطرة على الأبقار أثناء المباراة؟</v>
      </c>
      <c r="I40" s="5" t="str">
        <f>IFERROR(__xludf.DUMMYFUNCTION("GOOGLETRANSLATE(C40, ""en"", ""ar"")"),"أ) نعم؛ ب) لا؛ ج) فقط في بعض المسابقات؛ د) فقط في مسابقات التدريب")</f>
        <v>أ) نعم؛ ب) لا؛ ج) فقط في بعض المسابقات؛ د) فقط في مسابقات التدريب</v>
      </c>
      <c r="J40" s="5" t="str">
        <f>IFERROR(__xludf.DUMMYFUNCTION("GOOGLETRANSLATE(D40, ""en"", ""ar"")"),"ب) لا")</f>
        <v>ب) لا</v>
      </c>
      <c r="K40" s="5" t="str">
        <f>IFERROR(__xludf.DUMMYFUNCTION("GOOGLETRANSLATE(E40, ""en"", ""ar"")"),"لا يجوز استعمال الحبال للسيطرة على الأبقار في المصارعة.")</f>
        <v>لا يجوز استعمال الحبال للسيطرة على الأبقار في المصارعة.</v>
      </c>
    </row>
    <row r="41">
      <c r="A41" s="3">
        <v>40.0</v>
      </c>
      <c r="B41" s="4" t="s">
        <v>2216</v>
      </c>
      <c r="C41" s="4" t="s">
        <v>2217</v>
      </c>
      <c r="D41" s="4" t="s">
        <v>2102</v>
      </c>
      <c r="E41" s="4" t="s">
        <v>2218</v>
      </c>
      <c r="G41" s="5" t="str">
        <f>IFERROR(__xludf.DUMMYFUNCTION("GOOGLETRANSLATE(A41, ""en"", ""ar"")"),"40")</f>
        <v>40</v>
      </c>
      <c r="H41" s="5" t="str">
        <f>IFERROR(__xludf.DUMMYFUNCTION("GOOGLETRANSLATE(B41, ""en"", ""ar"")"),"هل يجوز للأبقار في السودان القتال في ظروف بيئية غير مناسبة مثل الحرارة الشديدة أو الأمطار الغزيرة؟")</f>
        <v>هل يجوز للأبقار في السودان القتال في ظروف بيئية غير مناسبة مثل الحرارة الشديدة أو الأمطار الغزيرة؟</v>
      </c>
      <c r="I41" s="5" t="str">
        <f>IFERROR(__xludf.DUMMYFUNCTION("GOOGLETRANSLATE(C41, ""en"", ""ar"")"),"أ) نعم؛ ب) لا؛ ج) في بعض الحالات؛ د) حسب تقدير المسؤولين")</f>
        <v>أ) نعم؛ ب) لا؛ ج) في بعض الحالات؛ د) حسب تقدير المسؤولين</v>
      </c>
      <c r="J41" s="5" t="str">
        <f>IFERROR(__xludf.DUMMYFUNCTION("GOOGLETRANSLATE(D41, ""en"", ""ar"")"),"ب) لا")</f>
        <v>ب) لا</v>
      </c>
      <c r="K41" s="5" t="str">
        <f>IFERROR(__xludf.DUMMYFUNCTION("GOOGLETRANSLATE(E41, ""en"", ""ar"")"),"يجب أن تتم المصارعة في ظروف بيئية آمنة ومناسبة للأبقار.")</f>
        <v>يجب أن تتم المصارعة في ظروف بيئية آمنة ومناسبة للأبقار.</v>
      </c>
    </row>
    <row r="42">
      <c r="A42" s="3">
        <v>41.0</v>
      </c>
      <c r="B42" s="4" t="s">
        <v>2219</v>
      </c>
      <c r="C42" s="4" t="s">
        <v>2220</v>
      </c>
      <c r="D42" s="4" t="s">
        <v>2098</v>
      </c>
      <c r="E42" s="4" t="s">
        <v>2221</v>
      </c>
      <c r="G42" s="5" t="str">
        <f>IFERROR(__xludf.DUMMYFUNCTION("GOOGLETRANSLATE(A42, ""en"", ""ar"")"),"41")</f>
        <v>41</v>
      </c>
      <c r="H42" s="5" t="str">
        <f>IFERROR(__xludf.DUMMYFUNCTION("GOOGLETRANSLATE(B42, ""en"", ""ar"")"),"هل يجب على الأبقار المشاركة في المسابقات بالسودان الخضوع لفحص طبي قبل المباراة؟")</f>
        <v>هل يجب على الأبقار المشاركة في المسابقات بالسودان الخضوع لفحص طبي قبل المباراة؟</v>
      </c>
      <c r="I42" s="5" t="str">
        <f>IFERROR(__xludf.DUMMYFUNCTION("GOOGLETRANSLATE(C42, ""en"", ""ar"")"),"أ) نعم؛ ب) لا؛ ج) فقط في المسابقات الكبرى؛ د) فقط إذا كانت هناك شكوك حول صحة البقرة")</f>
        <v>أ) نعم؛ ب) لا؛ ج) فقط في المسابقات الكبرى؛ د) فقط إذا كانت هناك شكوك حول صحة البقرة</v>
      </c>
      <c r="J42" s="5" t="str">
        <f>IFERROR(__xludf.DUMMYFUNCTION("GOOGLETRANSLATE(D42, ""en"", ""ar"")"),"أ) نعم")</f>
        <v>أ) نعم</v>
      </c>
      <c r="K42" s="5" t="str">
        <f>IFERROR(__xludf.DUMMYFUNCTION("GOOGLETRANSLATE(E42, ""en"", ""ar"")"),"يجب على المشاركين الخضوع لفحص طبي للتأكد من خلوهم من أي مرض.")</f>
        <v>يجب على المشاركين الخضوع لفحص طبي للتأكد من خلوهم من أي مرض.</v>
      </c>
    </row>
    <row r="43">
      <c r="A43" s="3">
        <v>42.0</v>
      </c>
      <c r="B43" s="4" t="s">
        <v>2222</v>
      </c>
      <c r="C43" s="4" t="s">
        <v>2223</v>
      </c>
      <c r="D43" s="4" t="s">
        <v>2224</v>
      </c>
      <c r="E43" s="4" t="s">
        <v>2225</v>
      </c>
      <c r="G43" s="5" t="str">
        <f>IFERROR(__xludf.DUMMYFUNCTION("GOOGLETRANSLATE(A43, ""en"", ""ar"")"),"42")</f>
        <v>42</v>
      </c>
      <c r="H43" s="5" t="str">
        <f>IFERROR(__xludf.DUMMYFUNCTION("GOOGLETRANSLATE(B43, ""en"", ""ar"")"),"هل يحق للفائز في مسابقة مصارعة الأبقار في السودان المشاركة في مسابقة أخرى في نفس اليوم؟")</f>
        <v>هل يحق للفائز في مسابقة مصارعة الأبقار في السودان المشاركة في مسابقة أخرى في نفس اليوم؟</v>
      </c>
      <c r="I43" s="5" t="str">
        <f>IFERROR(__xludf.DUMMYFUNCTION("GOOGLETRANSLATE(C43, ""en"", ""ar"")"),"أ) نعم؛ ب) لا؛ ج) إذا كان في حالة جيدة؛ د) إذا كان هناك وقت كافٍ بين المباريات")</f>
        <v>أ) نعم؛ ب) لا؛ ج) إذا كان في حالة جيدة؛ د) إذا كان هناك وقت كافٍ بين المباريات</v>
      </c>
      <c r="J43" s="5" t="str">
        <f>IFERROR(__xludf.DUMMYFUNCTION("GOOGLETRANSLATE(D43, ""en"", ""ar"")"),"ج) إذا كانت في حالة جيدة")</f>
        <v>ج) إذا كانت في حالة جيدة</v>
      </c>
      <c r="K43" s="5" t="str">
        <f>IFERROR(__xludf.DUMMYFUNCTION("GOOGLETRANSLATE(E43, ""en"", ""ar"")"),"يجوز للمشارك أن يتنافس في مسابقة أخرى إذا كان يتمتع بصحة جيدة.")</f>
        <v>يجوز للمشارك أن يتنافس في مسابقة أخرى إذا كان يتمتع بصحة جيدة.</v>
      </c>
    </row>
    <row r="44">
      <c r="A44" s="3">
        <v>43.0</v>
      </c>
      <c r="B44" s="4" t="s">
        <v>2226</v>
      </c>
      <c r="C44" s="4" t="s">
        <v>2227</v>
      </c>
      <c r="D44" s="4" t="s">
        <v>2102</v>
      </c>
      <c r="E44" s="4" t="s">
        <v>2228</v>
      </c>
      <c r="G44" s="5" t="str">
        <f>IFERROR(__xludf.DUMMYFUNCTION("GOOGLETRANSLATE(A44, ""en"", ""ar"")"),"43")</f>
        <v>43</v>
      </c>
      <c r="H44" s="5" t="str">
        <f>IFERROR(__xludf.DUMMYFUNCTION("GOOGLETRANSLATE(B44, ""en"", ""ar"")"),"هل يُسمح للجمهور بدخول منطقة القتال المخصصة أثناء عرض مصارعة الأبقار في السودان؟")</f>
        <v>هل يُسمح للجمهور بدخول منطقة القتال المخصصة أثناء عرض مصارعة الأبقار في السودان؟</v>
      </c>
      <c r="I44" s="5" t="str">
        <f>IFERROR(__xludf.DUMMYFUNCTION("GOOGLETRANSLATE(C44, ""en"", ""ar"")"),"أ) نعم؛ ب) لا؛ ج) في بعض الحالات؛ د) فقط إذا طلب المتسابقون ذلك")</f>
        <v>أ) نعم؛ ب) لا؛ ج) في بعض الحالات؛ د) فقط إذا طلب المتسابقون ذلك</v>
      </c>
      <c r="J44" s="5" t="str">
        <f>IFERROR(__xludf.DUMMYFUNCTION("GOOGLETRANSLATE(D44, ""en"", ""ar"")"),"ب) لا")</f>
        <v>ب) لا</v>
      </c>
      <c r="K44" s="5" t="str">
        <f>IFERROR(__xludf.DUMMYFUNCTION("GOOGLETRANSLATE(E44, ""en"", ""ar"")"),"يُمنع المتفرجون من دخول منطقة القتال حفاظاً على سلامتهم وسلامة المتنافسين.")</f>
        <v>يُمنع المتفرجون من دخول منطقة القتال حفاظاً على سلامتهم وسلامة المتنافسين.</v>
      </c>
    </row>
    <row r="45">
      <c r="A45" s="3">
        <v>44.0</v>
      </c>
      <c r="B45" s="4" t="s">
        <v>2229</v>
      </c>
      <c r="C45" s="4" t="s">
        <v>2230</v>
      </c>
      <c r="D45" s="4" t="s">
        <v>2098</v>
      </c>
      <c r="E45" s="4" t="s">
        <v>2231</v>
      </c>
      <c r="G45" s="5" t="str">
        <f>IFERROR(__xludf.DUMMYFUNCTION("GOOGLETRANSLATE(A45, ""en"", ""ar"")"),"44")</f>
        <v>44</v>
      </c>
      <c r="H45" s="5" t="str">
        <f>IFERROR(__xludf.DUMMYFUNCTION("GOOGLETRANSLATE(B45, ""en"", ""ar"")"),"هل يجوز للمزارعين في السودان تغيير استراتيجياتهم القتالية أثناء المباراة؟")</f>
        <v>هل يجوز للمزارعين في السودان تغيير استراتيجياتهم القتالية أثناء المباراة؟</v>
      </c>
      <c r="I45" s="5" t="str">
        <f>IFERROR(__xludf.DUMMYFUNCTION("GOOGLETRANSLATE(C45, ""en"", ""ar"")"),"أ) نعم؛ ب) لا؛ ج) فقط بإذن الحكم؛ د) إذا كان التغيير يؤثر على الأداء")</f>
        <v>أ) نعم؛ ب) لا؛ ج) فقط بإذن الحكم؛ د) إذا كان التغيير يؤثر على الأداء</v>
      </c>
      <c r="J45" s="5" t="str">
        <f>IFERROR(__xludf.DUMMYFUNCTION("GOOGLETRANSLATE(D45, ""en"", ""ar"")"),"أ) نعم")</f>
        <v>أ) نعم</v>
      </c>
      <c r="K45" s="5" t="str">
        <f>IFERROR(__xludf.DUMMYFUNCTION("GOOGLETRANSLATE(E45, ""en"", ""ar"")"),"يمكن للمزارعين تعديل استراتيجياتهم أثناء المباراة حسب ما يرونه مناسبًا.")</f>
        <v>يمكن للمزارعين تعديل استراتيجياتهم أثناء المباراة حسب ما يرونه مناسبًا.</v>
      </c>
    </row>
    <row r="46">
      <c r="A46" s="3">
        <v>45.0</v>
      </c>
      <c r="B46" s="4" t="s">
        <v>2232</v>
      </c>
      <c r="C46" s="4" t="s">
        <v>2183</v>
      </c>
      <c r="D46" s="4" t="s">
        <v>2098</v>
      </c>
      <c r="E46" s="4" t="s">
        <v>2233</v>
      </c>
      <c r="G46" s="5" t="str">
        <f>IFERROR(__xludf.DUMMYFUNCTION("GOOGLETRANSLATE(A46, ""en"", ""ar"")"),"45")</f>
        <v>45</v>
      </c>
      <c r="H46" s="5" t="str">
        <f>IFERROR(__xludf.DUMMYFUNCTION("GOOGLETRANSLATE(B46, ""en"", ""ar"")"),"هل من القواعد أن يتم تسجيل جميع الأبقار المشاركة في مسابقات القتال في السودان بشكل رسمي؟")</f>
        <v>هل من القواعد أن يتم تسجيل جميع الأبقار المشاركة في مسابقات القتال في السودان بشكل رسمي؟</v>
      </c>
      <c r="I46" s="5" t="str">
        <f>IFERROR(__xludf.DUMMYFUNCTION("GOOGLETRANSLATE(C46, ""en"", ""ar"")"),"أ) نعم؛ ب) لا؛ ج) فقط في بعض المسابقات؛ د) فقط في المسابقات الكبرى")</f>
        <v>أ) نعم؛ ب) لا؛ ج) فقط في بعض المسابقات؛ د) فقط في المسابقات الكبرى</v>
      </c>
      <c r="J46" s="5" t="str">
        <f>IFERROR(__xludf.DUMMYFUNCTION("GOOGLETRANSLATE(D46, ""en"", ""ar"")"),"أ) نعم")</f>
        <v>أ) نعم</v>
      </c>
      <c r="K46" s="5" t="str">
        <f>IFERROR(__xludf.DUMMYFUNCTION("GOOGLETRANSLATE(E46, ""en"", ""ar"")"),"يجب أن يتم تسجيل الأبقار رسميًا قبل أن تتمكن من المشاركة في المسابقات.")</f>
        <v>يجب أن يتم تسجيل الأبقار رسميًا قبل أن تتمكن من المشاركة في المسابقات.</v>
      </c>
    </row>
    <row r="47">
      <c r="A47" s="3">
        <v>46.0</v>
      </c>
      <c r="B47" s="4" t="s">
        <v>2234</v>
      </c>
      <c r="C47" s="4" t="s">
        <v>2235</v>
      </c>
      <c r="D47" s="4" t="s">
        <v>2102</v>
      </c>
      <c r="E47" s="4" t="s">
        <v>2236</v>
      </c>
      <c r="G47" s="5" t="str">
        <f>IFERROR(__xludf.DUMMYFUNCTION("GOOGLETRANSLATE(A47, ""en"", ""ar"")"),"46")</f>
        <v>46</v>
      </c>
      <c r="H47" s="5" t="str">
        <f>IFERROR(__xludf.DUMMYFUNCTION("GOOGLETRANSLATE(B47, ""en"", ""ar"")"),"هل يسمح للمزارعين في السودان باستخدام المكملات الغذائية لتحسين قدرة أبقارهم على القتال؟")</f>
        <v>هل يسمح للمزارعين في السودان باستخدام المكملات الغذائية لتحسين قدرة أبقارهم على القتال؟</v>
      </c>
      <c r="I47" s="5" t="str">
        <f>IFERROR(__xludf.DUMMYFUNCTION("GOOGLETRANSLATE(C47, ""en"", ""ar"")"),"أ) نعم؛ ب) لا؛ ج) فقط إذا كان تحت إشراف طبيب بيطري؛ د) في بعض الحالات الخاصة")</f>
        <v>أ) نعم؛ ب) لا؛ ج) فقط إذا كان تحت إشراف طبيب بيطري؛ د) في بعض الحالات الخاصة</v>
      </c>
      <c r="J47" s="5" t="str">
        <f>IFERROR(__xludf.DUMMYFUNCTION("GOOGLETRANSLATE(D47, ""en"", ""ar"")"),"ب) لا")</f>
        <v>ب) لا</v>
      </c>
      <c r="K47" s="5" t="str">
        <f>IFERROR(__xludf.DUMMYFUNCTION("GOOGLETRANSLATE(E47, ""en"", ""ar"")"),"لا يجوز استخدام المكملات الغذائية لتحسين الأداء.")</f>
        <v>لا يجوز استخدام المكملات الغذائية لتحسين الأداء.</v>
      </c>
    </row>
    <row r="48">
      <c r="A48" s="3">
        <v>47.0</v>
      </c>
      <c r="B48" s="4" t="s">
        <v>2237</v>
      </c>
      <c r="C48" s="4" t="s">
        <v>2238</v>
      </c>
      <c r="D48" s="4" t="s">
        <v>2102</v>
      </c>
      <c r="E48" s="4" t="s">
        <v>2239</v>
      </c>
      <c r="G48" s="5" t="str">
        <f>IFERROR(__xludf.DUMMYFUNCTION("GOOGLETRANSLATE(A48, ""en"", ""ar"")"),"47")</f>
        <v>47</v>
      </c>
      <c r="H48" s="5" t="str">
        <f>IFERROR(__xludf.DUMMYFUNCTION("GOOGLETRANSLATE(B48, ""en"", ""ar"")"),"هل يجوز للمتنافسين في السودان استخدام أدوات أو معدات خاصة لمساعدة أبقارهم أثناء القتال؟")</f>
        <v>هل يجوز للمتنافسين في السودان استخدام أدوات أو معدات خاصة لمساعدة أبقارهم أثناء القتال؟</v>
      </c>
      <c r="I48" s="5" t="str">
        <f>IFERROR(__xludf.DUMMYFUNCTION("GOOGLETRANSLATE(C48, ""en"", ""ar"")"),"أ) نعم؛ ب) لا؛ ج) فقط في المسابقات التدريبية؛ د) في بعض حالات الطوارئ")</f>
        <v>أ) نعم؛ ب) لا؛ ج) فقط في المسابقات التدريبية؛ د) في بعض حالات الطوارئ</v>
      </c>
      <c r="J48" s="5" t="str">
        <f>IFERROR(__xludf.DUMMYFUNCTION("GOOGLETRANSLATE(D48, ""en"", ""ar"")"),"ب) لا")</f>
        <v>ب) لا</v>
      </c>
      <c r="K48" s="5" t="str">
        <f>IFERROR(__xludf.DUMMYFUNCTION("GOOGLETRANSLATE(E48, ""en"", ""ar"")"),"يتعين على المتسابقين الاعتماد على قدرات الأبقار نفسها دون استخدام معدات إضافية.")</f>
        <v>يتعين على المتسابقين الاعتماد على قدرات الأبقار نفسها دون استخدام معدات إضافية.</v>
      </c>
    </row>
    <row r="49">
      <c r="A49" s="3">
        <v>48.0</v>
      </c>
      <c r="B49" s="4" t="s">
        <v>2240</v>
      </c>
      <c r="C49" s="4" t="s">
        <v>2241</v>
      </c>
      <c r="D49" s="4" t="s">
        <v>2102</v>
      </c>
      <c r="E49" s="4" t="s">
        <v>2242</v>
      </c>
      <c r="G49" s="5" t="str">
        <f>IFERROR(__xludf.DUMMYFUNCTION("GOOGLETRANSLATE(A49, ""en"", ""ar"")"),"48")</f>
        <v>48</v>
      </c>
      <c r="H49" s="5" t="str">
        <f>IFERROR(__xludf.DUMMYFUNCTION("GOOGLETRANSLATE(B49, ""en"", ""ar"")"),"هل يجوز للأبقار التي تعاني من حالة نفسية غير مستقرة المشاركة في مسابقات القتال في السودان؟")</f>
        <v>هل يجوز للأبقار التي تعاني من حالة نفسية غير مستقرة المشاركة في مسابقات القتال في السودان؟</v>
      </c>
      <c r="I49" s="5" t="str">
        <f>IFERROR(__xludf.DUMMYFUNCTION("GOOGLETRANSLATE(C49, ""en"", ""ar"")"),"أ) نعم؛ ب) لا؛ ج) فقط في حالة الصمت التام؛ د) إذا استجابت للتدريب")</f>
        <v>أ) نعم؛ ب) لا؛ ج) فقط في حالة الصمت التام؛ د) إذا استجابت للتدريب</v>
      </c>
      <c r="J49" s="5" t="str">
        <f>IFERROR(__xludf.DUMMYFUNCTION("GOOGLETRANSLATE(D49, ""en"", ""ar"")"),"ب) لا")</f>
        <v>ب) لا</v>
      </c>
      <c r="K49" s="5" t="str">
        <f>IFERROR(__xludf.DUMMYFUNCTION("GOOGLETRANSLATE(E49, ""en"", ""ar"")"),"يجب أن تكون الأبقار في حالة نفسية مستقرة للمشاركة في المصارعة.")</f>
        <v>يجب أن تكون الأبقار في حالة نفسية مستقرة للمشاركة في المصارعة.</v>
      </c>
    </row>
    <row r="50">
      <c r="A50" s="3">
        <v>49.0</v>
      </c>
      <c r="B50" s="4" t="s">
        <v>2243</v>
      </c>
      <c r="C50" s="4" t="s">
        <v>2244</v>
      </c>
      <c r="D50" s="4" t="s">
        <v>2245</v>
      </c>
      <c r="E50" s="4" t="s">
        <v>2246</v>
      </c>
      <c r="G50" s="5" t="str">
        <f>IFERROR(__xludf.DUMMYFUNCTION("GOOGLETRANSLATE(A50, ""en"", ""ar"")"),"49")</f>
        <v>49</v>
      </c>
      <c r="H50" s="5" t="str">
        <f>IFERROR(__xludf.DUMMYFUNCTION("GOOGLETRANSLATE(B50, ""en"", ""ar"")"),"هل يجوز للمزارعين في السودان المشاركة في أكثر من فئة عمرية خلال مسابقة واحدة لمصارعة البقر؟")</f>
        <v>هل يجوز للمزارعين في السودان المشاركة في أكثر من فئة عمرية خلال مسابقة واحدة لمصارعة البقر؟</v>
      </c>
      <c r="I50" s="5" t="str">
        <f>IFERROR(__xludf.DUMMYFUNCTION("GOOGLETRANSLATE(C50, ""en"", ""ar"")"),"أ) نعم؛ ب) لا؛ ج) فقط في حالة الفائزين السابقين؛ د) بناءً على قواعد الفئة العمرية")</f>
        <v>أ) نعم؛ ب) لا؛ ج) فقط في حالة الفائزين السابقين؛ د) بناءً على قواعد الفئة العمرية</v>
      </c>
      <c r="J50" s="5" t="str">
        <f>IFERROR(__xludf.DUMMYFUNCTION("GOOGLETRANSLATE(D50, ""en"", ""ar"")"),"ج) فقط في حالة الفائزين السابقين")</f>
        <v>ج) فقط في حالة الفائزين السابقين</v>
      </c>
      <c r="K50" s="5" t="str">
        <f>IFERROR(__xludf.DUMMYFUNCTION("GOOGLETRANSLATE(E50, ""en"", ""ar"")"),"يمكن للمزارعين المشاركة في فئات عمرية مختلفة إذا سبق لهم الفوز.")</f>
        <v>يمكن للمزارعين المشاركة في فئات عمرية مختلفة إذا سبق لهم الفوز.</v>
      </c>
    </row>
    <row r="51">
      <c r="A51" s="3">
        <v>50.0</v>
      </c>
      <c r="B51" s="4" t="s">
        <v>2247</v>
      </c>
      <c r="C51" s="4" t="s">
        <v>2248</v>
      </c>
      <c r="D51" s="4" t="s">
        <v>2102</v>
      </c>
      <c r="E51" s="4" t="s">
        <v>2249</v>
      </c>
      <c r="G51" s="5" t="str">
        <f>IFERROR(__xludf.DUMMYFUNCTION("GOOGLETRANSLATE(A51, ""en"", ""ar"")"),"50")</f>
        <v>50</v>
      </c>
      <c r="H51" s="5" t="str">
        <f>IFERROR(__xludf.DUMMYFUNCTION("GOOGLETRANSLATE(B51, ""en"", ""ar"")"),"هل يجوز للمزارعين في السودان استخدام أساليب تدريب قاسية على أبقارهم قبل المنافسة؟")</f>
        <v>هل يجوز للمزارعين في السودان استخدام أساليب تدريب قاسية على أبقارهم قبل المنافسة؟</v>
      </c>
      <c r="I51" s="5" t="str">
        <f>IFERROR(__xludf.DUMMYFUNCTION("GOOGLETRANSLATE(C51, ""en"", ""ar"")"),"أ) نعم؛ ب) لا؛ ج) فقط إذا كانت الأبقار قوية؛ د) بناءً على قرار المدرب")</f>
        <v>أ) نعم؛ ب) لا؛ ج) فقط إذا كانت الأبقار قوية؛ د) بناءً على قرار المدرب</v>
      </c>
      <c r="J51" s="5" t="str">
        <f>IFERROR(__xludf.DUMMYFUNCTION("GOOGLETRANSLATE(D51, ""en"", ""ar"")"),"ب) لا")</f>
        <v>ب) لا</v>
      </c>
      <c r="K51" s="5" t="str">
        <f>IFERROR(__xludf.DUMMYFUNCTION("GOOGLETRANSLATE(E51, ""en"", ""ar"")"),"يجب أن تتم عملية التدريب بطريقة إنسانية وآمنة، دون استخدام أساليب قاسية على الأبقار.")</f>
        <v>يجب أن تتم عملية التدريب بطريقة إنسانية وآمنة، دون استخدام أساليب قاسية على الأبقار.</v>
      </c>
    </row>
    <row r="52">
      <c r="A52" s="3">
        <v>51.0</v>
      </c>
      <c r="B52" s="4" t="s">
        <v>2250</v>
      </c>
      <c r="C52" s="4" t="s">
        <v>2251</v>
      </c>
      <c r="D52" s="4" t="s">
        <v>2252</v>
      </c>
      <c r="E52" s="4" t="s">
        <v>2253</v>
      </c>
      <c r="G52" s="5" t="str">
        <f>IFERROR(__xludf.DUMMYFUNCTION("GOOGLETRANSLATE(A52, ""en"", ""ar"")"),"51")</f>
        <v>51</v>
      </c>
      <c r="H52" s="5" t="str">
        <f>IFERROR(__xludf.DUMMYFUNCTION("GOOGLETRANSLATE(B52, ""en"", ""ar"")"),"ما هو البروتوكول الرسمي إذا أظهرت البقرة علامات الضيق الشديد أو الإرهاق أثناء المباراة؟")</f>
        <v>ما هو البروتوكول الرسمي إذا أظهرت البقرة علامات الضيق الشديد أو الإرهاق أثناء المباراة؟</v>
      </c>
      <c r="I52" s="5" t="str">
        <f>IFERROR(__xludf.DUMMYFUNCTION("GOOGLETRANSLATE(C52, ""en"", ""ar"")"),"أ) تستمر المباراة؛ ب) يجب على الحكم إيقاف القتال على الفور؛ ج) يمكن للمالك أن يقرر ما إذا كان سيستمر؛ د) يتم إعطاء راحة لمدة 5 دقائق")</f>
        <v>أ) تستمر المباراة؛ ب) يجب على الحكم إيقاف القتال على الفور؛ ج) يمكن للمالك أن يقرر ما إذا كان سيستمر؛ د) يتم إعطاء راحة لمدة 5 دقائق</v>
      </c>
      <c r="J52" s="5" t="str">
        <f>IFERROR(__xludf.DUMMYFUNCTION("GOOGLETRANSLATE(D52, ""en"", ""ar"")"),"ب) يجب على الحكم إيقاف القتال فورًا")</f>
        <v>ب) يجب على الحكم إيقاف القتال فورًا</v>
      </c>
      <c r="K52" s="5" t="str">
        <f>IFERROR(__xludf.DUMMYFUNCTION("GOOGLETRANSLATE(E52, ""en"", ""ar"")"),"إن رعاية الحيوان لها أهمية قصوى، ويجب على الحكم إيقاف المسابقة إذا تبين أن البقرة لم تعد صالحة للاستمرار.")</f>
        <v>إن رعاية الحيوان لها أهمية قصوى، ويجب على الحكم إيقاف المسابقة إذا تبين أن البقرة لم تعد صالحة للاستمرار.</v>
      </c>
    </row>
    <row r="53">
      <c r="A53" s="3">
        <v>52.0</v>
      </c>
      <c r="B53" s="4" t="s">
        <v>2254</v>
      </c>
      <c r="C53" s="4" t="s">
        <v>2255</v>
      </c>
      <c r="D53" s="4" t="s">
        <v>2256</v>
      </c>
      <c r="E53" s="4" t="s">
        <v>2257</v>
      </c>
      <c r="G53" s="5" t="str">
        <f>IFERROR(__xludf.DUMMYFUNCTION("GOOGLETRANSLATE(A53, ""en"", ""ar"")"),"52")</f>
        <v>52</v>
      </c>
      <c r="H53" s="5" t="str">
        <f>IFERROR(__xludf.DUMMYFUNCTION("GOOGLETRANSLATE(B53, ""en"", ""ar"")"),"هل هناك فئات وزن محددة للأبقار في مسابقات القتال السودانية، مثل الملاكمة؟")</f>
        <v>هل هناك فئات وزن محددة للأبقار في مسابقات القتال السودانية، مثل الملاكمة؟</v>
      </c>
      <c r="I53" s="5" t="str">
        <f>IFERROR(__xludf.DUMMYFUNCTION("GOOGLETRANSLATE(C53, ""en"", ""ar"")"),"أ) نعم، يتم وزن الأبقار ومطابقتها حسب الوزن؛ ب) لا، تتم المطابقة حسب العمر والسلالة فقط؛ ج) فقط في البطولات الوطنية؛ د) نعم، ولكن الفئات واسعة جدًا")</f>
        <v>أ) نعم، يتم وزن الأبقار ومطابقتها حسب الوزن؛ ب) لا، تتم المطابقة حسب العمر والسلالة فقط؛ ج) فقط في البطولات الوطنية؛ د) نعم، ولكن الفئات واسعة جدًا</v>
      </c>
      <c r="J53" s="5" t="str">
        <f>IFERROR(__xludf.DUMMYFUNCTION("GOOGLETRANSLATE(D53, ""en"", ""ar"")"),"ب) لا، تتم المواءمة حسب العمر والسلالة فقط")</f>
        <v>ب) لا، تتم المواءمة حسب العمر والسلالة فقط</v>
      </c>
      <c r="K53" s="5" t="str">
        <f>IFERROR(__xludf.DUMMYFUNCTION("GOOGLETRANSLATE(E53, ""en"", ""ar"")"),"تقليديا، يتم اختيار المقارنات على أساس عمر البقرة وسلالتها وسمعتها، وليس على أساس فئات الوزن الدقيقة.")</f>
        <v>تقليديا، يتم اختيار المقارنات على أساس عمر البقرة وسلالتها وسمعتها، وليس على أساس فئات الوزن الدقيقة.</v>
      </c>
    </row>
    <row r="54">
      <c r="A54" s="3">
        <v>53.0</v>
      </c>
      <c r="B54" s="4" t="s">
        <v>2258</v>
      </c>
      <c r="C54" s="4" t="s">
        <v>2259</v>
      </c>
      <c r="D54" s="4" t="s">
        <v>892</v>
      </c>
      <c r="E54" s="4" t="s">
        <v>2260</v>
      </c>
      <c r="G54" s="5" t="str">
        <f>IFERROR(__xludf.DUMMYFUNCTION("GOOGLETRANSLATE(A54, ""en"", ""ar"")"),"53")</f>
        <v>53</v>
      </c>
      <c r="H54" s="5" t="str">
        <f>IFERROR(__xludf.DUMMYFUNCTION("GOOGLETRANSLATE(B54, ""en"", ""ar"")"),"ما حكم شحذ أو تعديل قرون البقرة قبل القتال؟")</f>
        <v>ما حكم شحذ أو تعديل قرون البقرة قبل القتال؟</v>
      </c>
      <c r="I54" s="5" t="str">
        <f>IFERROR(__xludf.DUMMYFUNCTION("GOOGLETRANSLATE(C54, ""en"", ""ar"")"),"أ) إنها ممارسة شائعة ومقبولة؛ ب) ممنوعة تمامًا؛ ج) يُسمح فقط بتبلد الأطراف؛ د) تتطلب تصريحًا خاصًا")</f>
        <v>أ) إنها ممارسة شائعة ومقبولة؛ ب) ممنوعة تمامًا؛ ج) يُسمح فقط بتبلد الأطراف؛ د) تتطلب تصريحًا خاصًا</v>
      </c>
      <c r="J54" s="5" t="str">
        <f>IFERROR(__xludf.DUMMYFUNCTION("GOOGLETRANSLATE(D54, ""en"", ""ar"")"),"ب) ممنوع منعاً باتاً")</f>
        <v>ب) ممنوع منعاً باتاً</v>
      </c>
      <c r="K54" s="5" t="str">
        <f>IFERROR(__xludf.DUMMYFUNCTION("GOOGLETRANSLATE(E54, ""en"", ""ar"")"),"إن شحذ أو تغيير الحالة الطبيعية للقرون بشكل مصطنع أمر غير قانوني ويعتبر ميزة خطيرة وغير عادلة.")</f>
        <v>إن شحذ أو تغيير الحالة الطبيعية للقرون بشكل مصطنع أمر غير قانوني ويعتبر ميزة خطيرة وغير عادلة.</v>
      </c>
    </row>
    <row r="55">
      <c r="A55" s="3">
        <v>54.0</v>
      </c>
      <c r="B55" s="4" t="s">
        <v>2261</v>
      </c>
      <c r="C55" s="4" t="s">
        <v>2262</v>
      </c>
      <c r="D55" s="4" t="s">
        <v>2263</v>
      </c>
      <c r="E55" s="4" t="s">
        <v>2264</v>
      </c>
      <c r="G55" s="5" t="str">
        <f>IFERROR(__xludf.DUMMYFUNCTION("GOOGLETRANSLATE(A55, ""en"", ""ar"")"),"54")</f>
        <v>54</v>
      </c>
      <c r="H55" s="5" t="str">
        <f>IFERROR(__xludf.DUMMYFUNCTION("GOOGLETRANSLATE(B55, ""en"", ""ar"")"),"إذا هربت البقرة من منطقة القتال ورفضت العودة إلى القتال، ما هي النتيجة الرسمية للمباراة؟")</f>
        <v>إذا هربت البقرة من منطقة القتال ورفضت العودة إلى القتال، ما هي النتيجة الرسمية للمباراة؟</v>
      </c>
      <c r="I55" s="5" t="str">
        <f>IFERROR(__xludf.DUMMYFUNCTION("GOOGLETRANSLATE(C55, ""en"", ""ar"")"),"أ) يتم إعلان المباراة تعادلاً؛ ب) يتم إعلان البقرة الهاربة خاسرة؛ ج) يتم إيقاف المباراة مؤقتًا حتى عودة البقرة؛ د) يتم إعطاء الخصم تحذيرًا")</f>
        <v>أ) يتم إعلان المباراة تعادلاً؛ ب) يتم إعلان البقرة الهاربة خاسرة؛ ج) يتم إيقاف المباراة مؤقتًا حتى عودة البقرة؛ د) يتم إعطاء الخصم تحذيرًا</v>
      </c>
      <c r="J55" s="5" t="str">
        <f>IFERROR(__xludf.DUMMYFUNCTION("GOOGLETRANSLATE(D55, ""en"", ""ar"")"),"ب) البقرة الهاربة تُعلن خاسرة")</f>
        <v>ب) البقرة الهاربة تُعلن خاسرة</v>
      </c>
      <c r="K55" s="5" t="str">
        <f>IFERROR(__xludf.DUMMYFUNCTION("GOOGLETRANSLATE(E55, ""en"", ""ar"")"),"تعتبر البقرة التي تنسحب وتهرب من القتال خاسرة للمباراة.")</f>
        <v>تعتبر البقرة التي تنسحب وتهرب من القتال خاسرة للمباراة.</v>
      </c>
    </row>
    <row r="56">
      <c r="A56" s="3">
        <v>55.0</v>
      </c>
      <c r="B56" s="4" t="s">
        <v>2265</v>
      </c>
      <c r="C56" s="4" t="s">
        <v>2266</v>
      </c>
      <c r="D56" s="4" t="s">
        <v>2267</v>
      </c>
      <c r="E56" s="4" t="s">
        <v>2268</v>
      </c>
      <c r="G56" s="5" t="str">
        <f>IFERROR(__xludf.DUMMYFUNCTION("GOOGLETRANSLATE(A56, ""en"", ""ar"")"),"55")</f>
        <v>55</v>
      </c>
      <c r="H56" s="5" t="str">
        <f>IFERROR(__xludf.DUMMYFUNCTION("GOOGLETRANSLATE(B56, ""en"", ""ar"")"),"هل هناك ضوابط تتعلق بتقديم المياه للأبقار أثناء يوم المنافسة؟")</f>
        <v>هل هناك ضوابط تتعلق بتقديم المياه للأبقار أثناء يوم المنافسة؟</v>
      </c>
      <c r="I56" s="5" t="str">
        <f>IFERROR(__xludf.DUMMYFUNCTION("GOOGLETRANSLATE(C56, ""en"", ""ar"")"),"أ) يتم حجب المياه لجعلهم أكثر عدوانية؛ ب) يجب أن تكون المياه متاحة بحرية في جميع الأوقات؛ ج) فقط بعد المباراة النهائية؛ د) فقط في منطقة شرب مخصصة")</f>
        <v>أ) يتم حجب المياه لجعلهم أكثر عدوانية؛ ب) يجب أن تكون المياه متاحة بحرية في جميع الأوقات؛ ج) فقط بعد المباراة النهائية؛ د) فقط في منطقة شرب مخصصة</v>
      </c>
      <c r="J56" s="5" t="str">
        <f>IFERROR(__xludf.DUMMYFUNCTION("GOOGLETRANSLATE(D56, ""en"", ""ar"")"),"ب) يجب أن تكون المياه متاحة بحرية في جميع الأوقات")</f>
        <v>ب) يجب أن تكون المياه متاحة بحرية في جميع الأوقات</v>
      </c>
      <c r="K56" s="5" t="str">
        <f>IFERROR(__xludf.DUMMYFUNCTION("GOOGLETRANSLATE(E56, ""en"", ""ar"")"),"ولمنع الجفاف وضمان رعاية الحيوان، يجب أن تتاح للأبقار إمكانية الوصول إلى مياه شرب نظيفة.")</f>
        <v>ولمنع الجفاف وضمان رعاية الحيوان، يجب أن تتاح للأبقار إمكانية الوصول إلى مياه شرب نظيفة.</v>
      </c>
    </row>
    <row r="57">
      <c r="A57" s="3">
        <v>56.0</v>
      </c>
      <c r="B57" s="4" t="s">
        <v>2269</v>
      </c>
      <c r="C57" s="4" t="s">
        <v>2270</v>
      </c>
      <c r="D57" s="4" t="s">
        <v>2271</v>
      </c>
      <c r="E57" s="4" t="s">
        <v>2272</v>
      </c>
      <c r="G57" s="5" t="str">
        <f>IFERROR(__xludf.DUMMYFUNCTION("GOOGLETRANSLATE(A57, ""en"", ""ar"")"),"56")</f>
        <v>56</v>
      </c>
      <c r="H57" s="5" t="str">
        <f>IFERROR(__xludf.DUMMYFUNCTION("GOOGLETRANSLATE(B57, ""en"", ""ar"")"),"ما هو الإجراء المتخذ إذا تبين أن صاحب البقرة قد وضع رهانًا على القتال؟")</f>
        <v>ما هو الإجراء المتخذ إذا تبين أن صاحب البقرة قد وضع رهانًا على القتال؟</v>
      </c>
      <c r="I57" s="5" t="str">
        <f>IFERROR(__xludf.DUMMYFUNCTION("GOOGLETRANSLATE(C57, ""en"", ""ar"")"),"أ) لا توجد قاعدة ضد ذلك؛ ب) يتم إصدار تحذير؛ ج) استبعاد البقرة وإيقاف المالك؛ د) يتم إلغاء الرهان")</f>
        <v>أ) لا توجد قاعدة ضد ذلك؛ ب) يتم إصدار تحذير؛ ج) استبعاد البقرة وإيقاف المالك؛ د) يتم إلغاء الرهان</v>
      </c>
      <c r="J57" s="5" t="str">
        <f>IFERROR(__xludf.DUMMYFUNCTION("GOOGLETRANSLATE(D57, ""en"", ""ar"")"),"ج) حرمان البقرة من حقها وإيقاف صاحبها عن العمل")</f>
        <v>ج) حرمان البقرة من حقها وإيقاف صاحبها عن العمل</v>
      </c>
      <c r="K57" s="5" t="str">
        <f>IFERROR(__xludf.DUMMYFUNCTION("GOOGLETRANSLATE(E57, ""en"", ""ar"")"),"للحفاظ على نزاهة الرياضة، يُمنع المالكون والمشرفون على المباريات من المقامرة على مبارياتهم الخاصة.")</f>
        <v>للحفاظ على نزاهة الرياضة، يُمنع المالكون والمشرفون على المباريات من المقامرة على مبارياتهم الخاصة.</v>
      </c>
    </row>
    <row r="58">
      <c r="A58" s="3">
        <v>57.0</v>
      </c>
      <c r="B58" s="4" t="s">
        <v>2273</v>
      </c>
      <c r="C58" s="4" t="s">
        <v>2274</v>
      </c>
      <c r="D58" s="4" t="s">
        <v>2275</v>
      </c>
      <c r="E58" s="4" t="s">
        <v>2276</v>
      </c>
      <c r="G58" s="5" t="str">
        <f>IFERROR(__xludf.DUMMYFUNCTION("GOOGLETRANSLATE(A58, ""en"", ""ar"")"),"57")</f>
        <v>57</v>
      </c>
      <c r="H58" s="5" t="str">
        <f>IFERROR(__xludf.DUMMYFUNCTION("GOOGLETRANSLATE(B58, ""en"", ""ar"")"),"هل من الضروري أن تكون ساحة القتال ذات أرضية ناعمة وغير قابلة للخدش؟")</f>
        <v>هل من الضروري أن تكون ساحة القتال ذات أرضية ناعمة وغير قابلة للخدش؟</v>
      </c>
      <c r="I58" s="5" t="str">
        <f>IFERROR(__xludf.DUMMYFUNCTION("GOOGLETRANSLATE(C58, ""en"", ""ar"")"),"أ) لا، أي سطح مقبول؛ ب) نعم، يجب تحضير الأرض بالرمل أو التربة الناعمة؛ ج) فقط لأحداث البطولة؛ د) يمكن للمالكين اختيار السطح")</f>
        <v>أ) لا، أي سطح مقبول؛ ب) نعم، يجب تحضير الأرض بالرمل أو التربة الناعمة؛ ج) فقط لأحداث البطولة؛ د) يمكن للمالكين اختيار السطح</v>
      </c>
      <c r="J58" s="5" t="str">
        <f>IFERROR(__xludf.DUMMYFUNCTION("GOOGLETRANSLATE(D58, ""en"", ""ar"")"),"ب) نعم يجب تحضير الأرض بالرمل أو التراب الناعم")</f>
        <v>ب) نعم يجب تحضير الأرض بالرمل أو التراب الناعم</v>
      </c>
      <c r="K58" s="5" t="str">
        <f>IFERROR(__xludf.DUMMYFUNCTION("GOOGLETRANSLATE(E58, ""en"", ""ar"")"),"تتطلب سلامة الأبقار وجود سطح يقلل من خطر الإصابة بسبب السقوط أو الانزلاق.")</f>
        <v>تتطلب سلامة الأبقار وجود سطح يقلل من خطر الإصابة بسبب السقوط أو الانزلاق.</v>
      </c>
    </row>
    <row r="59">
      <c r="A59" s="3">
        <v>58.0</v>
      </c>
      <c r="B59" s="4" t="s">
        <v>2277</v>
      </c>
      <c r="C59" s="4" t="s">
        <v>2278</v>
      </c>
      <c r="D59" s="4" t="s">
        <v>2279</v>
      </c>
      <c r="E59" s="4" t="s">
        <v>2280</v>
      </c>
      <c r="G59" s="5" t="str">
        <f>IFERROR(__xludf.DUMMYFUNCTION("GOOGLETRANSLATE(A59, ""en"", ""ar"")"),"58")</f>
        <v>58</v>
      </c>
      <c r="H59" s="5" t="str">
        <f>IFERROR(__xludf.DUMMYFUNCTION("GOOGLETRANSLATE(B59, ""en"", ""ar"")"),"ما هي القاعدة إذا وجد أن البقرة مصابة بمرض جلدي معدٍ أثناء التفتيش قبل القتال؟")</f>
        <v>ما هي القاعدة إذا وجد أن البقرة مصابة بمرض جلدي معدٍ أثناء التفتيش قبل القتال؟</v>
      </c>
      <c r="I59" s="5" t="str">
        <f>IFERROR(__xludf.DUMMYFUNCTION("GOOGLETRANSLATE(C59, ""en"", ""ar"")"),"أ) يمكنها المنافسة إذا كان المرض بسيطًا؛ ب) يتم استبعادها على الفور وعزلها؛ ج) يُسمح لها بالمنافسة ولكن يجب أن تكون الأخيرة؛ د) يتم تغريم المالك ولكن يمكن للبقرة القتال")</f>
        <v>أ) يمكنها المنافسة إذا كان المرض بسيطًا؛ ب) يتم استبعادها على الفور وعزلها؛ ج) يُسمح لها بالمنافسة ولكن يجب أن تكون الأخيرة؛ د) يتم تغريم المالك ولكن يمكن للبقرة القتال</v>
      </c>
      <c r="J59" s="5" t="str">
        <f>IFERROR(__xludf.DUMMYFUNCTION("GOOGLETRANSLATE(D59, ""en"", ""ar"")"),"ب) يتم استبعاده وعزله فورًا")</f>
        <v>ب) يتم استبعاده وعزله فورًا</v>
      </c>
      <c r="K59" s="5" t="str">
        <f>IFERROR(__xludf.DUMMYFUNCTION("GOOGLETRANSLATE(E59, ""en"", ""ar"")"),"ولمنع انتشار الأمراض إلى الحيوانات الأخرى، لا يُسمح لأي بقرة مصابة بحالة معدية بالمشاركة.")</f>
        <v>ولمنع انتشار الأمراض إلى الحيوانات الأخرى، لا يُسمح لأي بقرة مصابة بحالة معدية بالمشاركة.</v>
      </c>
    </row>
    <row r="60">
      <c r="A60" s="3">
        <v>59.0</v>
      </c>
      <c r="B60" s="4" t="s">
        <v>2281</v>
      </c>
      <c r="C60" s="4" t="s">
        <v>2282</v>
      </c>
      <c r="D60" s="4" t="s">
        <v>2283</v>
      </c>
      <c r="E60" s="4" t="s">
        <v>2284</v>
      </c>
      <c r="G60" s="5" t="str">
        <f>IFERROR(__xludf.DUMMYFUNCTION("GOOGLETRANSLATE(A60, ""en"", ""ar"")"),"59")</f>
        <v>59</v>
      </c>
      <c r="H60" s="5" t="str">
        <f>IFERROR(__xludf.DUMMYFUNCTION("GOOGLETRANSLATE(B60, ""en"", ""ar"")"),"هل يمكن الفوز في معركة بـ""الضربة القاضية""، حيث لا تتمكن إحدى البقرات من العودة إلى قدميها؟")</f>
        <v>هل يمكن الفوز في معركة بـ"الضربة القاضية"، حيث لا تتمكن إحدى البقرات من العودة إلى قدميها؟</v>
      </c>
      <c r="I60" s="5" t="str">
        <f>IFERROR(__xludf.DUMMYFUNCTION("GOOGLETRANSLATE(C60, ""en"", ""ar"")"),"أ) نعم، هذه طريقة شائعة للفوز؛ ب) لا، تُحسم المعارك بالاستسلام أو التراجع؛ ج) فقط إذا حدث ذلك خلال الدقيقة الأولى؛ د) تُعتبر الضربة القاضية تعادلاً")</f>
        <v>أ) نعم، هذه طريقة شائعة للفوز؛ ب) لا، تُحسم المعارك بالاستسلام أو التراجع؛ ج) فقط إذا حدث ذلك خلال الدقيقة الأولى؛ د) تُعتبر الضربة القاضية تعادلاً</v>
      </c>
      <c r="J60" s="5" t="str">
        <f>IFERROR(__xludf.DUMMYFUNCTION("GOOGLETRANSLATE(D60, ""en"", ""ar"")"),"أ) نعم، هذه طريقة شائعة للفوز")</f>
        <v>أ) نعم، هذه طريقة شائعة للفوز</v>
      </c>
      <c r="K60" s="5" t="str">
        <f>IFERROR(__xludf.DUMMYFUNCTION("GOOGLETRANSLATE(E60, ""en"", ""ar"")"),"يمكن إعلان فوز واضح إذا تغلبت إحدى البقرتين على الأخرى إلى الحد الذي يجعلها غير قادرة على الاستمرار أو غير راغبة في النهوض.")</f>
        <v>يمكن إعلان فوز واضح إذا تغلبت إحدى البقرتين على الأخرى إلى الحد الذي يجعلها غير قادرة على الاستمرار أو غير راغبة في النهوض.</v>
      </c>
    </row>
    <row r="61">
      <c r="A61" s="3">
        <v>60.0</v>
      </c>
      <c r="B61" s="4" t="s">
        <v>2285</v>
      </c>
      <c r="C61" s="4" t="s">
        <v>2286</v>
      </c>
      <c r="D61" s="4" t="s">
        <v>2287</v>
      </c>
      <c r="E61" s="4" t="s">
        <v>2288</v>
      </c>
      <c r="G61" s="5" t="str">
        <f>IFERROR(__xludf.DUMMYFUNCTION("GOOGLETRANSLATE(A61, ""en"", ""ar"")"),"60")</f>
        <v>60</v>
      </c>
      <c r="H61" s="5" t="str">
        <f>IFERROR(__xludf.DUMMYFUNCTION("GOOGLETRANSLATE(B61, ""en"", ""ar"")"),"هل هناك قواعد محددة بشأن طول قرون البقرة لتكون مؤهلة للمنافسة؟")</f>
        <v>هل هناك قواعد محددة بشأن طول قرون البقرة لتكون مؤهلة للمنافسة؟</v>
      </c>
      <c r="I61" s="5" t="str">
        <f>IFERROR(__xludf.DUMMYFUNCTION("GOOGLETRANSLATE(C61, ""en"", ""ar"")"),"أ) نعم، يجب أن يكون طول القرون أدنى؛ ب) لا، طول القرن ليس عاملاً؛ ج) فقط لسلالات معينة؛ د) نعم، ولكن يتم تحديد الحد الأقصى للطول فقط")</f>
        <v>أ) نعم، يجب أن يكون طول القرون أدنى؛ ب) لا، طول القرن ليس عاملاً؛ ج) فقط لسلالات معينة؛ د) نعم، ولكن يتم تحديد الحد الأقصى للطول فقط</v>
      </c>
      <c r="J61" s="5" t="str">
        <f>IFERROR(__xludf.DUMMYFUNCTION("GOOGLETRANSLATE(D61, ""en"", ""ar"")"),"ب) لا، طول القرن ليس عاملاً")</f>
        <v>ب) لا، طول القرن ليس عاملاً</v>
      </c>
      <c r="K61" s="5" t="str">
        <f>IFERROR(__xludf.DUMMYFUNCTION("GOOGLETRANSLATE(E61, ""en"", ""ar"")"),"على الرغم من أن بعض أشكال القرن قد تكون مفيدة، إلا أنه لا توجد عادةً قواعد رسمية تنظم طول القرن.")</f>
        <v>على الرغم من أن بعض أشكال القرن قد تكون مفيدة، إلا أنه لا توجد عادةً قواعد رسمية تنظم طول القرن.</v>
      </c>
    </row>
    <row r="62">
      <c r="A62" s="3">
        <v>61.0</v>
      </c>
      <c r="B62" s="4" t="s">
        <v>2289</v>
      </c>
      <c r="C62" s="4" t="s">
        <v>2290</v>
      </c>
      <c r="D62" s="4" t="s">
        <v>2291</v>
      </c>
      <c r="E62" s="4" t="s">
        <v>2292</v>
      </c>
      <c r="G62" s="5" t="str">
        <f>IFERROR(__xludf.DUMMYFUNCTION("GOOGLETRANSLATE(A62, ""en"", ""ar"")"),"61")</f>
        <v>61</v>
      </c>
      <c r="H62" s="5" t="str">
        <f>IFERROR(__xludf.DUMMYFUNCTION("GOOGLETRANSLATE(B62, ""en"", ""ar"")"),"ما هو البروتوكول المتبع في حالة البقرة التي تتشابك في سياج أو حاجز أثناء القتال؟")</f>
        <v>ما هو البروتوكول المتبع في حالة البقرة التي تتشابك في سياج أو حاجز أثناء القتال؟</v>
      </c>
      <c r="I62" s="5" t="str">
        <f>IFERROR(__xludf.DUMMYFUNCTION("GOOGLETRANSLATE(C62, ""en"", ""ar"")"),"أ) يستمر القتال؛ ب) يجب على الحكم إيقاف القتال مؤقتًا لتحرير الحيوان بأمان؛ ج) تخسر البقرة المتشابكة تلقائيًا؛ د) يُسمح للمالك بدخول الحلبة للمساعدة")</f>
        <v>أ) يستمر القتال؛ ب) يجب على الحكم إيقاف القتال مؤقتًا لتحرير الحيوان بأمان؛ ج) تخسر البقرة المتشابكة تلقائيًا؛ د) يُسمح للمالك بدخول الحلبة للمساعدة</v>
      </c>
      <c r="J62" s="5" t="str">
        <f>IFERROR(__xludf.DUMMYFUNCTION("GOOGLETRANSLATE(D62, ""en"", ""ar"")"),"ب) يجب على الحكم إيقاف القتال لتحرير الحيوان بأمان")</f>
        <v>ب) يجب على الحكم إيقاف القتال لتحرير الحيوان بأمان</v>
      </c>
      <c r="K62" s="5" t="str">
        <f>IFERROR(__xludf.DUMMYFUNCTION("GOOGLETRANSLATE(E62, ""en"", ""ar"")"),"سلامة الحيوان هي الأولوية القصوى، ويتم إيقاف المباراة لحل أي موقف خطير.")</f>
        <v>سلامة الحيوان هي الأولوية القصوى، ويتم إيقاف المباراة لحل أي موقف خطير.</v>
      </c>
    </row>
    <row r="63">
      <c r="A63" s="3">
        <v>62.0</v>
      </c>
      <c r="B63" s="4" t="s">
        <v>2293</v>
      </c>
      <c r="C63" s="4" t="s">
        <v>2294</v>
      </c>
      <c r="D63" s="4" t="s">
        <v>2295</v>
      </c>
      <c r="E63" s="4" t="s">
        <v>2296</v>
      </c>
      <c r="G63" s="5" t="str">
        <f>IFERROR(__xludf.DUMMYFUNCTION("GOOGLETRANSLATE(A63, ""en"", ""ar"")"),"62")</f>
        <v>62</v>
      </c>
      <c r="H63" s="5" t="str">
        <f>IFERROR(__xludf.DUMMYFUNCTION("GOOGLETRANSLATE(B63, ""en"", ""ar"")"),"هل يجوز لصاحب البقرة استعمال الأصوات العالية (مثل الطبول والأبواق) في حلبة التشجيع؟")</f>
        <v>هل يجوز لصاحب البقرة استعمال الأصوات العالية (مثل الطبول والأبواق) في حلبة التشجيع؟</v>
      </c>
      <c r="I63" s="5" t="str">
        <f>IFERROR(__xludf.DUMMYFUNCTION("GOOGLETRANSLATE(C63, ""en"", ""ar"")"),"أ) نعم، هذا جزء من التقليد؛ ب) لا، يُحظر إصدار أي ضوضاء خارجية؛ ج) فقط إذا وافق الخصم؛ د) فقط في الجولة النهائية")</f>
        <v>أ) نعم، هذا جزء من التقليد؛ ب) لا، يُحظر إصدار أي ضوضاء خارجية؛ ج) فقط إذا وافق الخصم؛ د) فقط في الجولة النهائية</v>
      </c>
      <c r="J63" s="5" t="str">
        <f>IFERROR(__xludf.DUMMYFUNCTION("GOOGLETRANSLATE(D63, ""en"", ""ar"")"),"ب) لا، يُحظر إصدار أي ضوضاء خارجية.")</f>
        <v>ب) لا، يُحظر إصدار أي ضوضاء خارجية.</v>
      </c>
      <c r="K63" s="5" t="str">
        <f>IFERROR(__xludf.DUMMYFUNCTION("GOOGLETRANSLATE(E63, ""en"", ""ar"")"),"ولضمان منافسة عادلة تعتمد على القدرات الطبيعية للحيوانات، فإنه عادة لا يُسمح بإصدار أصوات عالية ومشتتة.")</f>
        <v>ولضمان منافسة عادلة تعتمد على القدرات الطبيعية للحيوانات، فإنه عادة لا يُسمح بإصدار أصوات عالية ومشتتة.</v>
      </c>
    </row>
    <row r="64">
      <c r="A64" s="3">
        <v>63.0</v>
      </c>
      <c r="B64" s="4" t="s">
        <v>2297</v>
      </c>
      <c r="C64" s="4" t="s">
        <v>2298</v>
      </c>
      <c r="D64" s="4" t="s">
        <v>2299</v>
      </c>
      <c r="E64" s="4" t="s">
        <v>2300</v>
      </c>
      <c r="G64" s="5" t="str">
        <f>IFERROR(__xludf.DUMMYFUNCTION("GOOGLETRANSLATE(A64, ""en"", ""ar"")"),"63")</f>
        <v>63</v>
      </c>
      <c r="H64" s="5" t="str">
        <f>IFERROR(__xludf.DUMMYFUNCTION("GOOGLETRANSLATE(B64, ""en"", ""ar"")"),"ما هي النتيجة الرسمية إذا رفضت البقرتان في المباراة التنافس مع بعضهما البعض؟")</f>
        <v>ما هي النتيجة الرسمية إذا رفضت البقرتان في المباراة التنافس مع بعضهما البعض؟</v>
      </c>
      <c r="I64" s="5" t="str">
        <f>IFERROR(__xludf.DUMMYFUNCTION("GOOGLETRANSLATE(C64, ""en"", ""ar"")"),"أ) يتم إعلان البقرة الأكبر حجمًا فائزة؛ ب) يتم إعلان المباراة ""بدون منافسة"" أو تعادل؛ ج) يتم تغريم المالكين؛ د) يصوت الجمهور على الفائز")</f>
        <v>أ) يتم إعلان البقرة الأكبر حجمًا فائزة؛ ب) يتم إعلان المباراة "بدون منافسة" أو تعادل؛ ج) يتم تغريم المالكين؛ د) يصوت الجمهور على الفائز</v>
      </c>
      <c r="J64" s="5" t="str">
        <f>IFERROR(__xludf.DUMMYFUNCTION("GOOGLETRANSLATE(D64, ""en"", ""ar"")"),"ب) يتم إعلان المباراة ""بدون منافسة"" أو التعادل")</f>
        <v>ب) يتم إعلان المباراة "بدون منافسة" أو التعادل</v>
      </c>
      <c r="K64" s="5" t="str">
        <f>IFERROR(__xludf.DUMMYFUNCTION("GOOGLETRANSLATE(E64, ""en"", ""ar"")"),"إذا لم يكن هناك مشاركة، فلن يكون هناك فائز، وعادةً ما يتم إبطال المباراة.")</f>
        <v>إذا لم يكن هناك مشاركة، فلن يكون هناك فائز، وعادةً ما يتم إبطال المباراة.</v>
      </c>
    </row>
    <row r="65">
      <c r="A65" s="3">
        <v>64.0</v>
      </c>
      <c r="B65" s="4" t="s">
        <v>2301</v>
      </c>
      <c r="C65" s="4" t="s">
        <v>2302</v>
      </c>
      <c r="D65" s="4" t="s">
        <v>2303</v>
      </c>
      <c r="E65" s="4" t="s">
        <v>2304</v>
      </c>
      <c r="G65" s="5" t="str">
        <f>IFERROR(__xludf.DUMMYFUNCTION("GOOGLETRANSLATE(A65, ""en"", ""ar"")"),"64")</f>
        <v>64</v>
      </c>
      <c r="H65" s="5" t="str">
        <f>IFERROR(__xludf.DUMMYFUNCTION("GOOGLETRANSLATE(B65, ""en"", ""ar"")"),"هل هناك قواعد تتطلب إجراء فحص بيطري بعد القتال لجميع الأبقار المشاركة؟")</f>
        <v>هل هناك قواعد تتطلب إجراء فحص بيطري بعد القتال لجميع الأبقار المشاركة؟</v>
      </c>
      <c r="I65" s="5" t="str">
        <f>IFERROR(__xludf.DUMMYFUNCTION("GOOGLETRANSLATE(C65, ""en"", ""ar"")"),"أ) لا، تُجرى الفحوصات فقط للأبقار المصابة بشكل واضح؛ ب) نعم، الفحص بعد القتال إلزامي؛ ج) للبقرة الخاسرة فقط؛ د) فقط في أحداث البطولة")</f>
        <v>أ) لا، تُجرى الفحوصات فقط للأبقار المصابة بشكل واضح؛ ب) نعم، الفحص بعد القتال إلزامي؛ ج) للبقرة الخاسرة فقط؛ د) فقط في أحداث البطولة</v>
      </c>
      <c r="J65" s="5" t="str">
        <f>IFERROR(__xludf.DUMMYFUNCTION("GOOGLETRANSLATE(D65, ""en"", ""ar"")"),"ب) نعم، فحص ما بعد القتال إلزامي")</f>
        <v>ب) نعم، فحص ما بعد القتال إلزامي</v>
      </c>
      <c r="K65" s="5" t="str">
        <f>IFERROR(__xludf.DUMMYFUNCTION("GOOGLETRANSLATE(E65, ""en"", ""ar"")"),"ولضمان علاج أي إصابات على الفور، يعد الفحص البيطري بعد المنافسة إجراءً قياسيًا للرعاية.")</f>
        <v>ولضمان علاج أي إصابات على الفور، يعد الفحص البيطري بعد المنافسة إجراءً قياسيًا للرعاية.</v>
      </c>
    </row>
    <row r="66">
      <c r="A66" s="3">
        <v>65.0</v>
      </c>
      <c r="B66" s="4" t="s">
        <v>2305</v>
      </c>
      <c r="C66" s="4" t="s">
        <v>2306</v>
      </c>
      <c r="D66" s="4" t="s">
        <v>2307</v>
      </c>
      <c r="E66" s="4" t="s">
        <v>2308</v>
      </c>
      <c r="G66" s="5" t="str">
        <f>IFERROR(__xludf.DUMMYFUNCTION("GOOGLETRANSLATE(A66, ""en"", ""ar"")"),"65")</f>
        <v>65</v>
      </c>
      <c r="H66" s="5" t="str">
        <f>IFERROR(__xludf.DUMMYFUNCTION("GOOGLETRANSLATE(B66, ""en"", ""ar"")"),"إذا تم استبعاد بقرة بسبب انتهاك القواعد، فهل يحق لمالكها استرداد رسوم الدخول؟")</f>
        <v>إذا تم استبعاد بقرة بسبب انتهاك القواعد، فهل يحق لمالكها استرداد رسوم الدخول؟</v>
      </c>
      <c r="I66" s="5" t="str">
        <f>IFERROR(__xludf.DUMMYFUNCTION("GOOGLETRANSLATE(C66, ""en"", ""ar"")"),"أ) نعم، يتم استرداد المبلغ بالكامل؛ ب) لا، يتم مصادرة رسوم الدخول في حالة الاستبعاد؛ ج) يتم توفير استرداد جزئي؛ د) يحصلون على رصيد للحدث التالي")</f>
        <v>أ) نعم، يتم استرداد المبلغ بالكامل؛ ب) لا، يتم مصادرة رسوم الدخول في حالة الاستبعاد؛ ج) يتم توفير استرداد جزئي؛ د) يحصلون على رصيد للحدث التالي</v>
      </c>
      <c r="J66" s="5" t="str">
        <f>IFERROR(__xludf.DUMMYFUNCTION("GOOGLETRANSLATE(D66, ""en"", ""ar"")"),"ب) لا، سيتم مصادرة رسوم الدخول في حالة الاستبعاد")</f>
        <v>ب) لا، سيتم مصادرة رسوم الدخول في حالة الاستبعاد</v>
      </c>
      <c r="K66" s="5" t="str">
        <f>IFERROR(__xludf.DUMMYFUNCTION("GOOGLETRANSLATE(E66, ""en"", ""ar"")"),"يؤدي الاستبعاد بسبب خرق القواعد إلى خسارة أي رسوم دخول مدفوعة.")</f>
        <v>يؤدي الاستبعاد بسبب خرق القواعد إلى خسارة أي رسوم دخول مدفوعة.</v>
      </c>
    </row>
    <row r="67">
      <c r="A67" s="3">
        <v>66.0</v>
      </c>
      <c r="B67" s="4" t="s">
        <v>2309</v>
      </c>
      <c r="C67" s="4" t="s">
        <v>2310</v>
      </c>
      <c r="D67" s="4" t="s">
        <v>2311</v>
      </c>
      <c r="E67" s="4" t="s">
        <v>2312</v>
      </c>
      <c r="G67" s="5" t="str">
        <f>IFERROR(__xludf.DUMMYFUNCTION("GOOGLETRANSLATE(A67, ""en"", ""ar"")"),"66")</f>
        <v>66</v>
      </c>
      <c r="H67" s="5" t="str">
        <f>IFERROR(__xludf.DUMMYFUNCTION("GOOGLETRANSLATE(B67, ""en"", ""ar"")"),"هل يشترط أن يكون الحكام والقضاة معتمدين رسميا من قبل جهة إدارية؟")</f>
        <v>هل يشترط أن يكون الحكام والقضاة معتمدين رسميا من قبل جهة إدارية؟</v>
      </c>
      <c r="I67" s="5" t="str">
        <f>IFERROR(__xludf.DUMMYFUNCTION("GOOGLETRANSLATE(C67, ""en"", ""ar"")"),"أ) لا، يمكن لأي شخص كبير السن ذي خبرة أن يكون حكمًا؛ ب) نعم، يجب أن يحمل المسؤولون شهادة صالحة؛ ج) فقط للحكم الرئيسي؛ د) فقط للمسابقات الوطنية")</f>
        <v>أ) لا، يمكن لأي شخص كبير السن ذي خبرة أن يكون حكمًا؛ ب) نعم، يجب أن يحمل المسؤولون شهادة صالحة؛ ج) فقط للحكم الرئيسي؛ د) فقط للمسابقات الوطنية</v>
      </c>
      <c r="J67" s="5" t="str">
        <f>IFERROR(__xludf.DUMMYFUNCTION("GOOGLETRANSLATE(D67, ""en"", ""ar"")"),"ب) نعم، يجب أن يحمل المسؤولون شهادة صالحة")</f>
        <v>ب) نعم، يجب أن يحمل المسؤولون شهادة صالحة</v>
      </c>
      <c r="K67" s="5" t="str">
        <f>IFERROR(__xludf.DUMMYFUNCTION("GOOGLETRANSLATE(E67, ""en"", ""ar"")"),"ولضمان تطبيق القواعد بشكل متسق وعادل، تتطلب المسابقات الرسمية وجود حكام معتمدين.")</f>
        <v>ولضمان تطبيق القواعد بشكل متسق وعادل، تتطلب المسابقات الرسمية وجود حكام معتمدين.</v>
      </c>
    </row>
    <row r="68">
      <c r="A68" s="3">
        <v>67.0</v>
      </c>
      <c r="B68" s="4" t="s">
        <v>2313</v>
      </c>
      <c r="C68" s="4" t="s">
        <v>2314</v>
      </c>
      <c r="D68" s="4" t="s">
        <v>2315</v>
      </c>
      <c r="E68" s="4" t="s">
        <v>2316</v>
      </c>
      <c r="G68" s="5" t="str">
        <f>IFERROR(__xludf.DUMMYFUNCTION("GOOGLETRANSLATE(A68, ""en"", ""ar"")"),"67")</f>
        <v>67</v>
      </c>
      <c r="H68" s="5" t="str">
        <f>IFERROR(__xludf.DUMMYFUNCTION("GOOGLETRANSLATE(B68, ""en"", ""ar"")"),"ما هي القاعدة بشأن استخدام العلاجات العشبية التقليدية على البقرة قبل القتال؟")</f>
        <v>ما هي القاعدة بشأن استخدام العلاجات العشبية التقليدية على البقرة قبل القتال؟</v>
      </c>
      <c r="I68" s="5" t="str">
        <f>IFERROR(__xludf.DUMMYFUNCTION("GOOGLETRANSLATE(C68, ""en"", ""ar"")"),"أ) جميع العلاجات محظورة؛ ب) مسموح بها، بشرط ألا تحتوي على مواد محظورة؛ ج) مسموح فقط بالفرك الخارجي؛ د) بوصفة طبية من طبيب بيطري فقط")</f>
        <v>أ) جميع العلاجات محظورة؛ ب) مسموح بها، بشرط ألا تحتوي على مواد محظورة؛ ج) مسموح فقط بالفرك الخارجي؛ د) بوصفة طبية من طبيب بيطري فقط</v>
      </c>
      <c r="J68" s="5" t="str">
        <f>IFERROR(__xludf.DUMMYFUNCTION("GOOGLETRANSLATE(D68, ""en"", ""ar"")"),"ب) مسموح بها بشرط ألا تحتوي على مواد محظورة.")</f>
        <v>ب) مسموح بها بشرط ألا تحتوي على مواد محظورة.</v>
      </c>
      <c r="K68" s="5" t="str">
        <f>IFERROR(__xludf.DUMMYFUNCTION("GOOGLETRANSLATE(E68, ""en"", ""ar"")"),"إن الممارسات التقليدية مسموح بها طالما أنها لا تنطوي على عقاقير محظورة لتعزيز الأداء.")</f>
        <v>إن الممارسات التقليدية مسموح بها طالما أنها لا تنطوي على عقاقير محظورة لتعزيز الأداء.</v>
      </c>
    </row>
    <row r="69">
      <c r="A69" s="3">
        <v>68.0</v>
      </c>
      <c r="B69" s="4" t="s">
        <v>2317</v>
      </c>
      <c r="C69" s="4" t="s">
        <v>2318</v>
      </c>
      <c r="D69" s="4" t="s">
        <v>2319</v>
      </c>
      <c r="E69" s="4" t="s">
        <v>2320</v>
      </c>
      <c r="G69" s="5" t="str">
        <f>IFERROR(__xludf.DUMMYFUNCTION("GOOGLETRANSLATE(A69, ""en"", ""ar"")"),"68")</f>
        <v>68</v>
      </c>
      <c r="H69" s="5" t="str">
        <f>IFERROR(__xludf.DUMMYFUNCTION("GOOGLETRANSLATE(B69, ""en"", ""ar"")"),"إذا فقدت البقرة قرنها أثناء القتال، ما هو القرار الفوري؟")</f>
        <v>إذا فقدت البقرة قرنها أثناء القتال، ما هو القرار الفوري؟</v>
      </c>
      <c r="I69" s="5" t="str">
        <f>IFERROR(__xludf.DUMMYFUNCTION("GOOGLETRANSLATE(C69, ""en"", ""ar"")"),"أ) توقف القتال، وخسرت البقرة المصابة؛ ب) استمر القتال؛ ج) أُعلن عن التعادل في القتال؛ د) تمت معاقبة الخصم على القوة المفرطة")</f>
        <v>أ) توقف القتال، وخسرت البقرة المصابة؛ ب) استمر القتال؛ ج) أُعلن عن التعادل في القتال؛ د) تمت معاقبة الخصم على القوة المفرطة</v>
      </c>
      <c r="J69" s="5" t="str">
        <f>IFERROR(__xludf.DUMMYFUNCTION("GOOGLETRANSLATE(D69, ""en"", ""ar"")"),"أ) توقف القتال، وخسرت البقرة المصابة")</f>
        <v>أ) توقف القتال، وخسرت البقرة المصابة</v>
      </c>
      <c r="K69" s="5" t="str">
        <f>IFERROR(__xludf.DUMMYFUNCTION("GOOGLETRANSLATE(E69, ""en"", ""ar"")"),"إن إصابة كبيرة مثل فقدان القرن تجعل البقرة غير صالحة للاستمرار، ويتم إيقاف القتال من أجل سلامتها.")</f>
        <v>إن إصابة كبيرة مثل فقدان القرن تجعل البقرة غير صالحة للاستمرار، ويتم إيقاف القتال من أجل سلامتها.</v>
      </c>
    </row>
    <row r="70">
      <c r="A70" s="3">
        <v>69.0</v>
      </c>
      <c r="B70" s="4" t="s">
        <v>2321</v>
      </c>
      <c r="C70" s="4" t="s">
        <v>2322</v>
      </c>
      <c r="D70" s="4" t="s">
        <v>2323</v>
      </c>
      <c r="E70" s="4" t="s">
        <v>2324</v>
      </c>
      <c r="G70" s="5" t="str">
        <f>IFERROR(__xludf.DUMMYFUNCTION("GOOGLETRANSLATE(A70, ""en"", ""ar"")"),"69")</f>
        <v>69</v>
      </c>
      <c r="H70" s="5" t="str">
        <f>IFERROR(__xludf.DUMMYFUNCTION("GOOGLETRANSLATE(B70, ""en"", ""ar"")"),"هل هناك قواعد محددة بشأن وضع العلامات أو العلامات على الأبقار من أجل التعريف بها؟")</f>
        <v>هل هناك قواعد محددة بشأن وضع العلامات أو العلامات على الأبقار من أجل التعريف بها؟</v>
      </c>
      <c r="I70" s="5" t="str">
        <f>IFERROR(__xludf.DUMMYFUNCTION("GOOGLETRANSLATE(C70, ""en"", ""ar"")"),"أ) لا، يُسمح بأي نوع من العلامات التجارية؛ ب) نعم، يُسمح فقط بطرق العلامات التجارية الرسمية والإنسانية؛ ج) جميع العلامات التجارية غير قانونية؛ د) لا يمكن استخدام سوى الطلاء المؤقت")</f>
        <v>أ) لا، يُسمح بأي نوع من العلامات التجارية؛ ب) نعم، يُسمح فقط بطرق العلامات التجارية الرسمية والإنسانية؛ ج) جميع العلامات التجارية غير قانونية؛ د) لا يمكن استخدام سوى الطلاء المؤقت</v>
      </c>
      <c r="J70" s="5" t="str">
        <f>IFERROR(__xludf.DUMMYFUNCTION("GOOGLETRANSLATE(D70, ""en"", ""ar"")"),"ب) نعم، يُسمح فقط بالطرق الرسمية والإنسانية للعلامات التجارية")</f>
        <v>ب) نعم، يُسمح فقط بالطرق الرسمية والإنسانية للعلامات التجارية</v>
      </c>
      <c r="K70" s="5" t="str">
        <f>IFERROR(__xludf.DUMMYFUNCTION("GOOGLETRANSLATE(E70, ""en"", ""ar"")"),"وتضمن اللوائح أن يتم تطبيق علامات التعريف بطريقة واضحة ولكن لا تؤذي الحيوان.")</f>
        <v>وتضمن اللوائح أن يتم تطبيق علامات التعريف بطريقة واضحة ولكن لا تؤذي الحيوان.</v>
      </c>
    </row>
    <row r="71">
      <c r="A71" s="3">
        <v>70.0</v>
      </c>
      <c r="B71" s="4" t="s">
        <v>2325</v>
      </c>
      <c r="C71" s="4" t="s">
        <v>2326</v>
      </c>
      <c r="D71" s="4" t="s">
        <v>2327</v>
      </c>
      <c r="E71" s="4" t="s">
        <v>2328</v>
      </c>
      <c r="G71" s="5" t="str">
        <f>IFERROR(__xludf.DUMMYFUNCTION("GOOGLETRANSLATE(A71, ""en"", ""ar"")"),"70")</f>
        <v>70</v>
      </c>
      <c r="H71" s="5" t="str">
        <f>IFERROR(__xludf.DUMMYFUNCTION("GOOGLETRANSLATE(B71, ""en"", ""ar"")"),"ما هو البروتوكول إذا دخل مالك الحلبة شخصيًا للاحتجاج على قرار الحكم أثناء المباراة؟")</f>
        <v>ما هو البروتوكول إذا دخل مالك الحلبة شخصيًا للاحتجاج على قرار الحكم أثناء المباراة؟</v>
      </c>
      <c r="I71" s="5" t="str">
        <f>IFERROR(__xludf.DUMMYFUNCTION("GOOGLETRANSLATE(C71, ""en"", ""ar"")"),"أ) يتم توجيه تحذير إلى المالك؛ ب) يتم استبعاد بقرة المالك على الفور؛ ج) يتوقف الحكم لمناقشة القرار؛ د) يتم مرافقة المالك إلى الخارج، وتستمر المباراة")</f>
        <v>أ) يتم توجيه تحذير إلى المالك؛ ب) يتم استبعاد بقرة المالك على الفور؛ ج) يتوقف الحكم لمناقشة القرار؛ د) يتم مرافقة المالك إلى الخارج، وتستمر المباراة</v>
      </c>
      <c r="J71" s="5" t="str">
        <f>IFERROR(__xludf.DUMMYFUNCTION("GOOGLETRANSLATE(D71, ""en"", ""ar"")"),"ب) يتم استبعاد بقرة المالك على الفور")</f>
        <v>ب) يتم استبعاد بقرة المالك على الفور</v>
      </c>
      <c r="K71" s="5" t="str">
        <f>IFERROR(__xludf.DUMMYFUNCTION("GOOGLETRANSLATE(E71, ""en"", ""ar"")"),"يعد الدخول غير المصرح به إلى الحلبة انتهاكًا كبيرًا يؤدي إلى استبعاد المتسابق المرتبط.")</f>
        <v>يعد الدخول غير المصرح به إلى الحلبة انتهاكًا كبيرًا يؤدي إلى استبعاد المتسابق المرتبط.</v>
      </c>
    </row>
    <row r="72">
      <c r="A72" s="3">
        <v>71.0</v>
      </c>
      <c r="B72" s="4" t="s">
        <v>2329</v>
      </c>
      <c r="C72" s="4" t="s">
        <v>2330</v>
      </c>
      <c r="D72" s="4" t="s">
        <v>2331</v>
      </c>
      <c r="E72" s="4" t="s">
        <v>2332</v>
      </c>
      <c r="G72" s="5" t="str">
        <f>IFERROR(__xludf.DUMMYFUNCTION("GOOGLETRANSLATE(A72, ""en"", ""ar"")"),"71")</f>
        <v>71</v>
      </c>
      <c r="H72" s="5" t="str">
        <f>IFERROR(__xludf.DUMMYFUNCTION("GOOGLETRANSLATE(B72, ""en"", ""ar"")"),"هل يجوز استعمال البقرة الحامل في المباريات القتالية؟")</f>
        <v>هل يجوز استعمال البقرة الحامل في المباريات القتالية؟</v>
      </c>
      <c r="I72" s="5" t="str">
        <f>IFERROR(__xludf.DUMMYFUNCTION("GOOGLETRANSLATE(C72, ""en"", ""ar"")"),"أ) نعم، إذا كان في المراحل المبكرة؛ ب) لا، يُحظر تمامًا مشاركة الأبقار الحوامل في المنافسة؛ ج) فقط إذا وافق الطبيب البيطري على ذلك؛ د) فقط في العروض التوضيحية غير التلامسية")</f>
        <v>أ) نعم، إذا كان في المراحل المبكرة؛ ب) لا، يُحظر تمامًا مشاركة الأبقار الحوامل في المنافسة؛ ج) فقط إذا وافق الطبيب البيطري على ذلك؛ د) فقط في العروض التوضيحية غير التلامسية</v>
      </c>
      <c r="J72" s="5" t="str">
        <f>IFERROR(__xludf.DUMMYFUNCTION("GOOGLETRANSLATE(D72, ""en"", ""ar"")"),"ب) لا، يُمنع منعًا باتًا مشاركة الأبقار الحوامل في المنافسة.")</f>
        <v>ب) لا، يُمنع منعًا باتًا مشاركة الأبقار الحوامل في المنافسة.</v>
      </c>
      <c r="K72" s="5" t="str">
        <f>IFERROR(__xludf.DUMMYFUNCTION("GOOGLETRANSLATE(E72, ""en"", ""ar"")"),"من أجل صحة وسلامة البقرة والعجل الذي لم يولد بعد، يُحظر المشاركة أثناء الحمل.")</f>
        <v>من أجل صحة وسلامة البقرة والعجل الذي لم يولد بعد، يُحظر المشاركة أثناء الحمل.</v>
      </c>
    </row>
    <row r="73">
      <c r="A73" s="3">
        <v>72.0</v>
      </c>
      <c r="B73" s="4" t="s">
        <v>2333</v>
      </c>
      <c r="C73" s="4" t="s">
        <v>2334</v>
      </c>
      <c r="D73" s="4" t="s">
        <v>2335</v>
      </c>
      <c r="E73" s="4" t="s">
        <v>2336</v>
      </c>
      <c r="G73" s="5" t="str">
        <f>IFERROR(__xludf.DUMMYFUNCTION("GOOGLETRANSLATE(A73, ""en"", ""ar"")"),"72")</f>
        <v>72</v>
      </c>
      <c r="H73" s="5" t="str">
        <f>IFERROR(__xludf.DUMMYFUNCTION("GOOGLETRANSLATE(B73, ""en"", ""ar"")"),"ما هي القاعدة إذا تبين أن البقرة المخصصة للقتال قد تم تخديرها؟")</f>
        <v>ما هي القاعدة إذا تبين أن البقرة المخصصة للقتال قد تم تخديرها؟</v>
      </c>
      <c r="I73" s="5" t="str">
        <f>IFERROR(__xludf.DUMMYFUNCTION("GOOGLETRANSLATE(C73, ""en"", ""ar"")"),"أ) يجوز ذلك إذا كانت البقرة عدوانية؛ ب) يتم استبعاد البقرة ويواجه المالك حظرًا؛ ج) يتم دفع غرامة، ويتم تبرئة البقرة؛ د) يتم تأجيل القتال")</f>
        <v>أ) يجوز ذلك إذا كانت البقرة عدوانية؛ ب) يتم استبعاد البقرة ويواجه المالك حظرًا؛ ج) يتم دفع غرامة، ويتم تبرئة البقرة؛ د) يتم تأجيل القتال</v>
      </c>
      <c r="J73" s="5" t="str">
        <f>IFERROR(__xludf.DUMMYFUNCTION("GOOGLETRANSLATE(D73, ""en"", ""ar"")"),"ب) يتم استبعاد البقرة ويواجه مالكها الحظر")</f>
        <v>ب) يتم استبعاد البقرة ويواجه مالكها الحظر</v>
      </c>
      <c r="K73" s="5" t="str">
        <f>IFERROR(__xludf.DUMMYFUNCTION("GOOGLETRANSLATE(E73, ""en"", ""ar"")"),"إن استخدام المهدئات يعد عملاً غير قانوني وانتهاكًا خطيرًا لقواعد رعاية الحيوان والمنافسة.")</f>
        <v>إن استخدام المهدئات يعد عملاً غير قانوني وانتهاكًا خطيرًا لقواعد رعاية الحيوان والمنافسة.</v>
      </c>
    </row>
    <row r="74">
      <c r="A74" s="3">
        <v>73.0</v>
      </c>
      <c r="B74" s="4" t="s">
        <v>2337</v>
      </c>
      <c r="C74" s="4" t="s">
        <v>2338</v>
      </c>
      <c r="D74" s="4" t="s">
        <v>2339</v>
      </c>
      <c r="E74" s="4" t="s">
        <v>2340</v>
      </c>
      <c r="G74" s="5" t="str">
        <f>IFERROR(__xludf.DUMMYFUNCTION("GOOGLETRANSLATE(A74, ""en"", ""ar"")"),"73")</f>
        <v>73</v>
      </c>
      <c r="H74" s="5" t="str">
        <f>IFERROR(__xludf.DUMMYFUNCTION("GOOGLETRANSLATE(B74, ""en"", ""ar"")"),"هل هناك قواعد بشأن الحد الأدنى والحد الأقصى لعدد الجولات في المباراة الواحدة؟")</f>
        <v>هل هناك قواعد بشأن الحد الأدنى والحد الأقصى لعدد الجولات في المباراة الواحدة؟</v>
      </c>
      <c r="I74" s="5" t="str">
        <f>IFERROR(__xludf.DUMMYFUNCTION("GOOGLETRANSLATE(C74, ""en"", ""ar"")"),"أ) لا، يستمر القتال حتى يكون هناك فائز؛ ب) نعم، تقتصر المباراة عادةً على عدد محدد من الجولات؛ ج) يتم تحديد عدد الجولات من قبل المالكين؛ د) يعتمد ذلك على عمر الأبقار")</f>
        <v>أ) لا، يستمر القتال حتى يكون هناك فائز؛ ب) نعم، تقتصر المباراة عادةً على عدد محدد من الجولات؛ ج) يتم تحديد عدد الجولات من قبل المالكين؛ د) يعتمد ذلك على عمر الأبقار</v>
      </c>
      <c r="J74" s="5" t="str">
        <f>IFERROR(__xludf.DUMMYFUNCTION("GOOGLETRANSLATE(D74, ""en"", ""ar"")"),"ب) نعم، عادةً ما تقتصر المباراة على عدد محدد من الجولات")</f>
        <v>ب) نعم، عادةً ما تقتصر المباراة على عدد محدد من الجولات</v>
      </c>
      <c r="K74" s="5" t="str">
        <f>IFERROR(__xludf.DUMMYFUNCTION("GOOGLETRANSLATE(E74, ""en"", ""ar"")"),"ولمنع الإرهاق المفرط، يتم تنظيم المباريات عادة بعدد محدد من الجولات وحد زمني.")</f>
        <v>ولمنع الإرهاق المفرط، يتم تنظيم المباريات عادة بعدد محدد من الجولات وحد زمني.</v>
      </c>
    </row>
    <row r="75">
      <c r="A75" s="3">
        <v>74.0</v>
      </c>
      <c r="B75" s="4" t="s">
        <v>2341</v>
      </c>
      <c r="C75" s="4" t="s">
        <v>2342</v>
      </c>
      <c r="D75" s="4" t="s">
        <v>2343</v>
      </c>
      <c r="E75" s="4" t="s">
        <v>2344</v>
      </c>
      <c r="G75" s="5" t="str">
        <f>IFERROR(__xludf.DUMMYFUNCTION("GOOGLETRANSLATE(A75, ""en"", ""ar"")"),"74")</f>
        <v>74</v>
      </c>
      <c r="H75" s="5" t="str">
        <f>IFERROR(__xludf.DUMMYFUNCTION("GOOGLETRANSLATE(B75, ""en"", ""ar"")"),"ماذا يحدث إذا هاجمت بقرة حكمًا أو مسؤولًا في الحلبة؟")</f>
        <v>ماذا يحدث إذا هاجمت بقرة حكمًا أو مسؤولًا في الحلبة؟</v>
      </c>
      <c r="I75" s="5" t="str">
        <f>IFERROR(__xludf.DUMMYFUNCTION("GOOGLETRANSLATE(C75, ""en"", ""ar"")"),"أ) يتم استبعاد البقرة على الفور وقد يتم حظرها؛ ب) يتم إيقاف المباراة مؤقتًا وإعادة تشغيلها؛ ج) يتم تحذير المالك؛ د) يعتبر حادثًا وتستمر المعركة")</f>
        <v>أ) يتم استبعاد البقرة على الفور وقد يتم حظرها؛ ب) يتم إيقاف المباراة مؤقتًا وإعادة تشغيلها؛ ج) يتم تحذير المالك؛ د) يعتبر حادثًا وتستمر المعركة</v>
      </c>
      <c r="J75" s="5" t="str">
        <f>IFERROR(__xludf.DUMMYFUNCTION("GOOGLETRANSLATE(D75, ""en"", ""ar"")"),"أ) يتم استبعاد البقرة على الفور وقد يتم حظرها")</f>
        <v>أ) يتم استبعاد البقرة على الفور وقد يتم حظرها</v>
      </c>
      <c r="K75" s="5" t="str">
        <f>IFERROR(__xludf.DUMMYFUNCTION("GOOGLETRANSLATE(E75, ""en"", ""ar"")"),"يتم إزالة الحيوان الذي يكون عدوانيًا بشكل خطير تجاه البشر من المنافسة لأسباب تتعلق بالسلامة.")</f>
        <v>يتم إزالة الحيوان الذي يكون عدوانيًا بشكل خطير تجاه البشر من المنافسة لأسباب تتعلق بالسلامة.</v>
      </c>
    </row>
    <row r="76">
      <c r="A76" s="3">
        <v>75.0</v>
      </c>
      <c r="B76" s="4" t="s">
        <v>2345</v>
      </c>
      <c r="C76" s="4" t="s">
        <v>2346</v>
      </c>
      <c r="D76" s="4" t="s">
        <v>2347</v>
      </c>
      <c r="E76" s="4" t="s">
        <v>2348</v>
      </c>
      <c r="G76" s="5" t="str">
        <f>IFERROR(__xludf.DUMMYFUNCTION("GOOGLETRANSLATE(A76, ""en"", ""ar"")"),"75")</f>
        <v>75</v>
      </c>
      <c r="H76" s="5" t="str">
        <f>IFERROR(__xludf.DUMMYFUNCTION("GOOGLETRANSLATE(B76, ""en"", ""ar"")"),"هل هناك ضوابط لنقل الأبقار من وإلى مكان المنافسة؟")</f>
        <v>هل هناك ضوابط لنقل الأبقار من وإلى مكان المنافسة؟</v>
      </c>
      <c r="I76" s="5" t="str">
        <f>IFERROR(__xludf.DUMMYFUNCTION("GOOGLETRANSLATE(C76, ""en"", ""ar"")"),"أ) لا، النقل هو مسؤولية المالك؛ ب) نعم، يجب استيفاء معايير النقل الإنسانية؛ ج) فقط للرحلات التي تزيد عن 100 كم؛ د) فقط للمسابقات الدولية")</f>
        <v>أ) لا، النقل هو مسؤولية المالك؛ ب) نعم، يجب استيفاء معايير النقل الإنسانية؛ ج) فقط للرحلات التي تزيد عن 100 كم؛ د) فقط للمسابقات الدولية</v>
      </c>
      <c r="J76" s="5" t="str">
        <f>IFERROR(__xludf.DUMMYFUNCTION("GOOGLETRANSLATE(D76, ""en"", ""ar"")"),"ب) نعم، يجب الالتزام بمعايير النقل الإنسانية")</f>
        <v>ب) نعم، يجب الالتزام بمعايير النقل الإنسانية</v>
      </c>
      <c r="K76" s="5" t="str">
        <f>IFERROR(__xludf.DUMMYFUNCTION("GOOGLETRANSLATE(E76, ""en"", ""ar"")"),"تمتد قوانين رعاية الحيوان إلى النقل، وتشترط عدم تكديس الأبقار وتوفير التهوية الكافية والراحة لها.")</f>
        <v>تمتد قوانين رعاية الحيوان إلى النقل، وتشترط عدم تكديس الأبقار وتوفير التهوية الكافية والراحة لها.</v>
      </c>
    </row>
    <row r="77">
      <c r="A77" s="3">
        <v>76.0</v>
      </c>
      <c r="B77" s="4" t="s">
        <v>2349</v>
      </c>
      <c r="C77" s="4" t="s">
        <v>2350</v>
      </c>
      <c r="D77" s="4" t="s">
        <v>2351</v>
      </c>
      <c r="E77" s="4" t="s">
        <v>2352</v>
      </c>
      <c r="G77" s="5" t="str">
        <f>IFERROR(__xludf.DUMMYFUNCTION("GOOGLETRANSLATE(A77, ""en"", ""ar"")"),"76")</f>
        <v>76</v>
      </c>
      <c r="H77" s="5" t="str">
        <f>IFERROR(__xludf.DUMMYFUNCTION("GOOGLETRANSLATE(B77, ""en"", ""ar"")"),"إذا وجد بقرة وقد غطت قرونها مادة زلقة فما الحكم؟")</f>
        <v>إذا وجد بقرة وقد غطت قرونها مادة زلقة فما الحكم؟</v>
      </c>
      <c r="I77" s="5" t="str">
        <f>IFERROR(__xludf.DUMMYFUNCTION("GOOGLETRANSLATE(C77, ""en"", ""ar"")"),"أ) يتم توجيه تحذير إلى المالك؛ ب) يجب تنظيف المادة قبل القتال؛ ج) يتم استبعاد البقرة بسبب الغش؛ د) يُسمح للخصم بفعل الشيء نفسه")</f>
        <v>أ) يتم توجيه تحذير إلى المالك؛ ب) يجب تنظيف المادة قبل القتال؛ ج) يتم استبعاد البقرة بسبب الغش؛ د) يُسمح للخصم بفعل الشيء نفسه</v>
      </c>
      <c r="J77" s="5" t="str">
        <f>IFERROR(__xludf.DUMMYFUNCTION("GOOGLETRANSLATE(D77, ""en"", ""ar"")"),"ج) البقرة مستبعدة بسبب الغش")</f>
        <v>ج) البقرة مستبعدة بسبب الغش</v>
      </c>
      <c r="K77" s="5" t="str">
        <f>IFERROR(__xludf.DUMMYFUNCTION("GOOGLETRANSLATE(E77, ""en"", ""ar"")"),"إن وضع مواد غريبة على القرون للحصول على ميزة غير عادلة يعد بمثابة غش ويؤدي إلى الاستبعاد.")</f>
        <v>إن وضع مواد غريبة على القرون للحصول على ميزة غير عادلة يعد بمثابة غش ويؤدي إلى الاستبعاد.</v>
      </c>
    </row>
    <row r="78">
      <c r="A78" s="3">
        <v>77.0</v>
      </c>
      <c r="B78" s="4" t="s">
        <v>2353</v>
      </c>
      <c r="C78" s="4" t="s">
        <v>2354</v>
      </c>
      <c r="D78" s="4" t="s">
        <v>2355</v>
      </c>
      <c r="E78" s="4" t="s">
        <v>2356</v>
      </c>
      <c r="G78" s="5" t="str">
        <f>IFERROR(__xludf.DUMMYFUNCTION("GOOGLETRANSLATE(A78, ""en"", ""ar"")"),"77")</f>
        <v>77</v>
      </c>
      <c r="H78" s="5" t="str">
        <f>IFERROR(__xludf.DUMMYFUNCTION("GOOGLETRANSLATE(B78, ""en"", ""ar"")"),"هل هناك إرشادات محددة لكيفية تحديد الفائز إذا لم يكن هناك تراجع أو استسلام واضح؟")</f>
        <v>هل هناك إرشادات محددة لكيفية تحديد الفائز إذا لم يكن هناك تراجع أو استسلام واضح؟</v>
      </c>
      <c r="I78" s="5" t="str">
        <f>IFERROR(__xludf.DUMMYFUNCTION("GOOGLETRANSLATE(C78, ""en"", ""ar"")"),"أ) البقرة الأكثر عدوانية تفوز؛ ب) القرار متروك للجمهور؛ ج) يسجل الحكام القتال بناءً على النقاط للسيطرة؛ د) تكون المباراة دائمًا متعادلة في هذه الحالة")</f>
        <v>أ) البقرة الأكثر عدوانية تفوز؛ ب) القرار متروك للجمهور؛ ج) يسجل الحكام القتال بناءً على النقاط للسيطرة؛ د) تكون المباراة دائمًا متعادلة في هذه الحالة</v>
      </c>
      <c r="J78" s="5" t="str">
        <f>IFERROR(__xludf.DUMMYFUNCTION("GOOGLETRANSLATE(D78, ""en"", ""ar"")"),"ج) يقوم الحكام بتقييم القتال بناءً على النقاط للسيطرة")</f>
        <v>ج) يقوم الحكام بتقييم القتال بناءً على النقاط للسيطرة</v>
      </c>
      <c r="K78" s="5" t="str">
        <f>IFERROR(__xludf.DUMMYFUNCTION("GOOGLETRANSLATE(E78, ""en"", ""ar"")"),"في المباريات غير الحاسمة، ستقوم لجنة التحكيم بمنح الفوز بناءً على البقرة التي أظهرت المزيد من السيطرة والعدوانية.")</f>
        <v>في المباريات غير الحاسمة، ستقوم لجنة التحكيم بمنح الفوز بناءً على البقرة التي أظهرت المزيد من السيطرة والعدوانية.</v>
      </c>
    </row>
    <row r="79">
      <c r="A79" s="3">
        <v>78.0</v>
      </c>
      <c r="B79" s="4" t="s">
        <v>2357</v>
      </c>
      <c r="C79" s="4" t="s">
        <v>2358</v>
      </c>
      <c r="D79" s="4" t="s">
        <v>2359</v>
      </c>
      <c r="E79" s="4" t="s">
        <v>2360</v>
      </c>
      <c r="G79" s="5" t="str">
        <f>IFERROR(__xludf.DUMMYFUNCTION("GOOGLETRANSLATE(A79, ""en"", ""ar"")"),"78")</f>
        <v>78</v>
      </c>
      <c r="H79" s="5" t="str">
        <f>IFERROR(__xludf.DUMMYFUNCTION("GOOGLETRANSLATE(B79, ""en"", ""ar"")"),"ما هو حكم البقرة المستوردة من بلد آخر للمنافسة؟")</f>
        <v>ما هو حكم البقرة المستوردة من بلد آخر للمنافسة؟</v>
      </c>
      <c r="I79" s="5" t="str">
        <f>IFERROR(__xludf.DUMMYFUNCTION("GOOGLETRANSLATE(C79, ""en"", ""ar"")"),"أ) يمكنها المنافسة على الفور؛ ب) يجب أن تخضع لفترة حجر صحي وفحص صحي؛ ج) لا يُسمح للأبقار المستوردة بالمنافسة؛ د) يمكنها المنافسة فقط في مباريات استعراضية")</f>
        <v>أ) يمكنها المنافسة على الفور؛ ب) يجب أن تخضع لفترة حجر صحي وفحص صحي؛ ج) لا يُسمح للأبقار المستوردة بالمنافسة؛ د) يمكنها المنافسة فقط في مباريات استعراضية</v>
      </c>
      <c r="J79" s="5" t="str">
        <f>IFERROR(__xludf.DUMMYFUNCTION("GOOGLETRANSLATE(D79, ""en"", ""ar"")"),"ب) يجب أن يخضع لفترة حجر صحي وفحص صحي.")</f>
        <v>ب) يجب أن يخضع لفترة حجر صحي وفحص صحي.</v>
      </c>
      <c r="K79" s="5" t="str">
        <f>IFERROR(__xludf.DUMMYFUNCTION("GOOGLETRANSLATE(E79, ""en"", ""ar"")"),"ولمنع دخول الأمراض الأجنبية، تخضع الحيوانات المستوردة لبروتوكولات حجر صحي وصحة صارمة.")</f>
        <v>ولمنع دخول الأمراض الأجنبية، تخضع الحيوانات المستوردة لبروتوكولات حجر صحي وصحة صارمة.</v>
      </c>
    </row>
    <row r="80">
      <c r="A80" s="3">
        <v>79.0</v>
      </c>
      <c r="B80" s="4" t="s">
        <v>2361</v>
      </c>
      <c r="C80" s="4" t="s">
        <v>2362</v>
      </c>
      <c r="D80" s="4" t="s">
        <v>2363</v>
      </c>
      <c r="E80" s="4" t="s">
        <v>2364</v>
      </c>
      <c r="G80" s="5" t="str">
        <f>IFERROR(__xludf.DUMMYFUNCTION("GOOGLETRANSLATE(A80, ""en"", ""ar"")"),"79")</f>
        <v>79</v>
      </c>
      <c r="H80" s="5" t="str">
        <f>IFERROR(__xludf.DUMMYFUNCTION("GOOGLETRANSLATE(B80, ""en"", ""ar"")"),"هل يجوز للراعي أن يستعمل العصا لفصل الأبقار إذا التصقت ببعضها؟")</f>
        <v>هل يجوز للراعي أن يستعمل العصا لفصل الأبقار إذا التصقت ببعضها؟</v>
      </c>
      <c r="I80" s="5" t="str">
        <f>IFERROR(__xludf.DUMMYFUNCTION("GOOGLETRANSLATE(C80, ""en"", ""ar"")"),"أ) نعم، هذا هو الإجراء القياسي؛ ب) لا، يمكن للحكام فقط التدخل؛ ج) فقط إذا وافق كلا المالكين؛ د) لا، يجب أن تنفصل الأبقار من تلقاء نفسها")</f>
        <v>أ) نعم، هذا هو الإجراء القياسي؛ ب) لا، يمكن للحكام فقط التدخل؛ ج) فقط إذا وافق كلا المالكين؛ د) لا، يجب أن تنفصل الأبقار من تلقاء نفسها</v>
      </c>
      <c r="J80" s="5" t="str">
        <f>IFERROR(__xludf.DUMMYFUNCTION("GOOGLETRANSLATE(D80, ""en"", ""ar"")"),"ب) لا، فقط الحكام هم من يستطيعون التدخل")</f>
        <v>ب) لا، فقط الحكام هم من يستطيعون التدخل</v>
      </c>
      <c r="K80" s="5" t="str">
        <f>IFERROR(__xludf.DUMMYFUNCTION("GOOGLETRANSLATE(E80, ""en"", ""ar"")"),"لأسباب تتعلق بالسلامة والنزاهة، لا يُسمح إلا للمسؤولين المعينين بالتدخل جسديًا في القتال.")</f>
        <v>لأسباب تتعلق بالسلامة والنزاهة، لا يُسمح إلا للمسؤولين المعينين بالتدخل جسديًا في القتال.</v>
      </c>
    </row>
    <row r="81">
      <c r="A81" s="3">
        <v>80.0</v>
      </c>
      <c r="B81" s="4" t="s">
        <v>2365</v>
      </c>
      <c r="C81" s="4" t="s">
        <v>2366</v>
      </c>
      <c r="D81" s="4" t="s">
        <v>2367</v>
      </c>
      <c r="E81" s="4" t="s">
        <v>2368</v>
      </c>
      <c r="G81" s="5" t="str">
        <f>IFERROR(__xludf.DUMMYFUNCTION("GOOGLETRANSLATE(A81, ""en"", ""ar"")"),"80")</f>
        <v>80</v>
      </c>
      <c r="H81" s="5" t="str">
        <f>IFERROR(__xludf.DUMMYFUNCTION("GOOGLETRANSLATE(B81, ""en"", ""ar"")"),"ما هي العقوبة التي تقع على مالك البقرة الذي يثبت إدخاله بقرة قاصر في مسابقة؟")</f>
        <v>ما هي العقوبة التي تقع على مالك البقرة الذي يثبت إدخاله بقرة قاصر في مسابقة؟</v>
      </c>
      <c r="I81" s="5" t="str">
        <f>IFERROR(__xludf.DUMMYFUNCTION("GOOGLETRANSLATE(C81, ""en"", ""ar"")"),"أ) يتم تحذير المالك؛ ب) يتم استبعاد البقرة وقد يتم إيقاف المالك؛ ج) يتم نقل البقرة إلى مباراة استعراضية؛ د) لا توجد عقوبة")</f>
        <v>أ) يتم تحذير المالك؛ ب) يتم استبعاد البقرة وقد يتم إيقاف المالك؛ ج) يتم نقل البقرة إلى مباراة استعراضية؛ د) لا توجد عقوبة</v>
      </c>
      <c r="J81" s="5" t="str">
        <f>IFERROR(__xludf.DUMMYFUNCTION("GOOGLETRANSLATE(D81, ""en"", ""ar"")"),"ب) يتم استبعاد البقرة وقد يتم إيقاف صاحبها")</f>
        <v>ب) يتم استبعاد البقرة وقد يتم إيقاف صاحبها</v>
      </c>
      <c r="K81" s="5" t="str">
        <f>IFERROR(__xludf.DUMMYFUNCTION("GOOGLETRANSLATE(E81, ""en"", ""ar"")"),"يعد انتهاك قاعدة الحد الأدنى للسن جريمة خطيرة تؤدي إلى الاستبعاد والإيقاف المحتمل للمالك.")</f>
        <v>يعد انتهاك قاعدة الحد الأدنى للسن جريمة خطيرة تؤدي إلى الاستبعاد والإيقاف المحتمل للمالك.</v>
      </c>
    </row>
    <row r="82">
      <c r="A82" s="3">
        <v>81.0</v>
      </c>
      <c r="B82" s="4" t="s">
        <v>2369</v>
      </c>
      <c r="C82" s="4" t="s">
        <v>2370</v>
      </c>
      <c r="D82" s="4" t="s">
        <v>2371</v>
      </c>
      <c r="E82" s="4" t="s">
        <v>2372</v>
      </c>
      <c r="G82" s="5" t="str">
        <f>IFERROR(__xludf.DUMMYFUNCTION("GOOGLETRANSLATE(A82, ""en"", ""ar"")"),"81")</f>
        <v>81</v>
      </c>
      <c r="H82" s="5" t="str">
        <f>IFERROR(__xludf.DUMMYFUNCTION("GOOGLETRANSLATE(B82, ""en"", ""ar"")"),"ما هو البروتوكول الرسمي إذا أصيب أحد المتفرجين بسبب بقرة هربت من حلبة القتال؟")</f>
        <v>ما هو البروتوكول الرسمي إذا أصيب أحد المتفرجين بسبب بقرة هربت من حلبة القتال؟</v>
      </c>
      <c r="I82" s="5" t="str">
        <f>IFERROR(__xludf.DUMMYFUNCTION("GOOGLETRANSLATE(C82, ""en"", ""ar"")"),"أ) المتفرج مسؤول عن سلامته؛ ب) يتم إيقاف المنافسة، وتقديم المساعدة الطبية؛ ج) يتم القبض على مالك البقرة على الفور؛ د) يستمر الحدث بعد إبعاد المتفرج")</f>
        <v>أ) المتفرج مسؤول عن سلامته؛ ب) يتم إيقاف المنافسة، وتقديم المساعدة الطبية؛ ج) يتم القبض على مالك البقرة على الفور؛ د) يستمر الحدث بعد إبعاد المتفرج</v>
      </c>
      <c r="J82" s="5" t="str">
        <f>IFERROR(__xludf.DUMMYFUNCTION("GOOGLETRANSLATE(D82, ""en"", ""ar"")"),"ب) يتم إيقاف المنافسة وتقديم المساعدة الطبية")</f>
        <v>ب) يتم إيقاف المنافسة وتقديم المساعدة الطبية</v>
      </c>
      <c r="K82" s="5" t="str">
        <f>IFERROR(__xludf.DUMMYFUNCTION("GOOGLETRANSLATE(E82, ""en"", ""ar"")"),"ويقع على عاتق المنظمين واجب الرعاية، وأي إصابة قد يتعرض لها أحد المتفرجين تتطلب التوقف الفوري للحدث لإدارة الموقف.")</f>
        <v>ويقع على عاتق المنظمين واجب الرعاية، وأي إصابة قد يتعرض لها أحد المتفرجين تتطلب التوقف الفوري للحدث لإدارة الموقف.</v>
      </c>
    </row>
    <row r="83">
      <c r="A83" s="3">
        <v>82.0</v>
      </c>
      <c r="B83" s="4" t="s">
        <v>2373</v>
      </c>
      <c r="C83" s="4" t="s">
        <v>2374</v>
      </c>
      <c r="D83" s="4" t="s">
        <v>2375</v>
      </c>
      <c r="E83" s="4" t="s">
        <v>2376</v>
      </c>
      <c r="G83" s="5" t="str">
        <f>IFERROR(__xludf.DUMMYFUNCTION("GOOGLETRANSLATE(A83, ""en"", ""ar"")"),"82")</f>
        <v>82</v>
      </c>
      <c r="H83" s="5" t="str">
        <f>IFERROR(__xludf.DUMMYFUNCTION("GOOGLETRANSLATE(B83, ""en"", ""ar"")"),"هل من الضروري أن يكون مكان إقامة المسابقة محاطًا بسياج مزدوج؟")</f>
        <v>هل من الضروري أن يكون مكان إقامة المسابقة محاطًا بسياج مزدوج؟</v>
      </c>
      <c r="I83" s="5" t="str">
        <f>IFERROR(__xludf.DUMMYFUNCTION("GOOGLETRANSLATE(C83, ""en"", ""ar"")"),"أ) لا، سياج واحد يكفي؛ ب) نعم، من أجل سلامة الجمهور؛ ج) فقط للأحداث البطولية؛ د) يوصى به ولكن ليس إلزاميًا")</f>
        <v>أ) لا، سياج واحد يكفي؛ ب) نعم، من أجل سلامة الجمهور؛ ج) فقط للأحداث البطولية؛ د) يوصى به ولكن ليس إلزاميًا</v>
      </c>
      <c r="J83" s="5" t="str">
        <f>IFERROR(__xludf.DUMMYFUNCTION("GOOGLETRANSLATE(D83, ""en"", ""ar"")"),"ب) نعم من أجل سلامة الجمهور")</f>
        <v>ب) نعم من أجل سلامة الجمهور</v>
      </c>
      <c r="K83" s="5" t="str">
        <f>IFERROR(__xludf.DUMMYFUNCTION("GOOGLETRANSLATE(E83, ""en"", ""ar"")"),"يعد الحاجز ذو السياج المزدوج ميزة أمان رئيسية لحماية المتفرجين في حالة اختراق بقرة للسياج الأولي.")</f>
        <v>يعد الحاجز ذو السياج المزدوج ميزة أمان رئيسية لحماية المتفرجين في حالة اختراق بقرة للسياج الأولي.</v>
      </c>
    </row>
    <row r="84">
      <c r="A84" s="3">
        <v>83.0</v>
      </c>
      <c r="B84" s="4" t="s">
        <v>2377</v>
      </c>
      <c r="C84" s="4" t="s">
        <v>2378</v>
      </c>
      <c r="D84" s="4" t="s">
        <v>2379</v>
      </c>
      <c r="E84" s="4" t="s">
        <v>2380</v>
      </c>
      <c r="G84" s="5" t="str">
        <f>IFERROR(__xludf.DUMMYFUNCTION("GOOGLETRANSLATE(A84, ""en"", ""ar"")"),"83")</f>
        <v>83</v>
      </c>
      <c r="H84" s="5" t="str">
        <f>IFERROR(__xludf.DUMMYFUNCTION("GOOGLETRANSLATE(B84, ""en"", ""ar"")"),"هل يمكن استبعاد البقرة بسبب كونها سلبية للغاية وتتجنب المشاركة باستمرار؟")</f>
        <v>هل يمكن استبعاد البقرة بسبب كونها سلبية للغاية وتتجنب المشاركة باستمرار؟</v>
      </c>
      <c r="I84" s="5" t="str">
        <f>IFERROR(__xludf.DUMMYFUNCTION("GOOGLETRANSLATE(C84, ""en"", ""ar"")"),"أ) لا، هذه استراتيجية دفاعية صالحة؛ ب) نعم، بعد تحذير من الحكم؛ ج) فقط إذا أمر المالك بأن تكون سلبية؛ د) لا، فقط البقرة العدوانية هي التي يتم الحكم عليها")</f>
        <v>أ) لا، هذه استراتيجية دفاعية صالحة؛ ب) نعم، بعد تحذير من الحكم؛ ج) فقط إذا أمر المالك بأن تكون سلبية؛ د) لا، فقط البقرة العدوانية هي التي يتم الحكم عليها</v>
      </c>
      <c r="J84" s="5" t="str">
        <f>IFERROR(__xludf.DUMMYFUNCTION("GOOGLETRANSLATE(D84, ""en"", ""ar"")"),"ب) نعم، بعد تحذير من الحكم.")</f>
        <v>ب) نعم، بعد تحذير من الحكم.</v>
      </c>
      <c r="K84" s="5" t="str">
        <f>IFERROR(__xludf.DUMMYFUNCTION("GOOGLETRANSLATE(E84, ""en"", ""ar"")"),"البقرة التي ترفض القتال يمكن استبعادها لعدم مشاركتها، حيث أن ذلك يقوض غرض المنافسة.")</f>
        <v>البقرة التي ترفض القتال يمكن استبعادها لعدم مشاركتها، حيث أن ذلك يقوض غرض المنافسة.</v>
      </c>
    </row>
    <row r="85">
      <c r="A85" s="3">
        <v>84.0</v>
      </c>
      <c r="B85" s="4" t="s">
        <v>2381</v>
      </c>
      <c r="C85" s="4" t="s">
        <v>2382</v>
      </c>
      <c r="D85" s="4" t="s">
        <v>2383</v>
      </c>
      <c r="E85" s="4" t="s">
        <v>2384</v>
      </c>
      <c r="G85" s="5" t="str">
        <f>IFERROR(__xludf.DUMMYFUNCTION("GOOGLETRANSLATE(A85, ""en"", ""ar"")"),"84")</f>
        <v>84</v>
      </c>
      <c r="H85" s="5" t="str">
        <f>IFERROR(__xludf.DUMMYFUNCTION("GOOGLETRANSLATE(B85, ""en"", ""ar"")"),"هل هناك قواعد تتعلق بالوقت من اليوم الذي يجوز فيه إجراء المعارك، خاصة فيما يتعلق برفاهية الحيوان؟")</f>
        <v>هل هناك قواعد تتعلق بالوقت من اليوم الذي يجوز فيه إجراء المعارك، خاصة فيما يتعلق برفاهية الحيوان؟</v>
      </c>
      <c r="I85" s="5" t="str">
        <f>IFERROR(__xludf.DUMMYFUNCTION("GOOGLETRANSLATE(C85, ""en"", ""ar"")"),"أ) لا، يمكن إقامة المعارك في أي وقت؛ ب) نعم، غالبًا ما يُحظر إقامة المعارك خلال الجزء الأكثر سخونة من اليوم؛ ج) يُسمح فقط بالقتال الليلي؛ د) تُقام المعارك عند الفجر فقط")</f>
        <v>أ) لا، يمكن إقامة المعارك في أي وقت؛ ب) نعم، غالبًا ما يُحظر إقامة المعارك خلال الجزء الأكثر سخونة من اليوم؛ ج) يُسمح فقط بالقتال الليلي؛ د) تُقام المعارك عند الفجر فقط</v>
      </c>
      <c r="J85" s="5" t="str">
        <f>IFERROR(__xludf.DUMMYFUNCTION("GOOGLETRANSLATE(D85, ""en"", ""ar"")"),"ب) نعم، غالبًا ما يُحظر القتال خلال الجزء الأكثر سخونة من اليوم")</f>
        <v>ب) نعم، غالبًا ما يُحظر القتال خلال الجزء الأكثر سخونة من اليوم</v>
      </c>
      <c r="K85" s="5" t="str">
        <f>IFERROR(__xludf.DUMMYFUNCTION("GOOGLETRANSLATE(E85, ""en"", ""ar"")"),"ولمنع ضربة الشمس والإرهاق، تمنع العديد من اللوائح إقامة المسابقات خلال درجات الحرارة القصوى بعد الظهر.")</f>
        <v>ولمنع ضربة الشمس والإرهاق، تمنع العديد من اللوائح إقامة المسابقات خلال درجات الحرارة القصوى بعد الظهر.</v>
      </c>
    </row>
    <row r="86">
      <c r="A86" s="3">
        <v>85.0</v>
      </c>
      <c r="B86" s="4" t="s">
        <v>2385</v>
      </c>
      <c r="C86" s="4" t="s">
        <v>2386</v>
      </c>
      <c r="D86" s="4" t="s">
        <v>2387</v>
      </c>
      <c r="E86" s="4" t="s">
        <v>2388</v>
      </c>
      <c r="G86" s="5" t="str">
        <f>IFERROR(__xludf.DUMMYFUNCTION("GOOGLETRANSLATE(A86, ""en"", ""ar"")"),"85")</f>
        <v>85</v>
      </c>
      <c r="H86" s="5" t="str">
        <f>IFERROR(__xludf.DUMMYFUNCTION("GOOGLETRANSLATE(B86, ""en"", ""ar"")"),"ما هو الإجراء إذا تبين أن وثائق تسجيل البقرة مزورة؟")</f>
        <v>ما هو الإجراء إذا تبين أن وثائق تسجيل البقرة مزورة؟</v>
      </c>
      <c r="I86" s="5" t="str">
        <f>IFERROR(__xludf.DUMMYFUNCTION("GOOGLETRANSLATE(C86, ""en"", ""ar"")"),"أ) يتم تصحيح المستندات في الموقع؛ ب) يتم استبعاد البقرة ويواجه المالك حظرًا طويل الأمد؛ ج) يتم دفع غرامة، ويمكن للبقرة المنافسة؛ د) يتم إعادة فحص البقرة بواسطة طبيب بيطري")</f>
        <v>أ) يتم تصحيح المستندات في الموقع؛ ب) يتم استبعاد البقرة ويواجه المالك حظرًا طويل الأمد؛ ج) يتم دفع غرامة، ويمكن للبقرة المنافسة؛ د) يتم إعادة فحص البقرة بواسطة طبيب بيطري</v>
      </c>
      <c r="J86" s="5" t="str">
        <f>IFERROR(__xludf.DUMMYFUNCTION("GOOGLETRANSLATE(D86, ""en"", ""ar"")"),"ب) يتم استبعاد البقرة ويواجه مالكها حظرًا طويل الأمد")</f>
        <v>ب) يتم استبعاد البقرة ويواجه مالكها حظرًا طويل الأمد</v>
      </c>
      <c r="K86" s="5" t="str">
        <f>IFERROR(__xludf.DUMMYFUNCTION("GOOGLETRANSLATE(E86, ""en"", ""ar"")"),"يعد تزوير الوثائق الرسمية جريمة كبرى تؤدي إلى عقوبات شديدة، بما في ذلك الإيقاف عن ممارسة الرياضة.")</f>
        <v>يعد تزوير الوثائق الرسمية جريمة كبرى تؤدي إلى عقوبات شديدة، بما في ذلك الإيقاف عن ممارسة الرياضة.</v>
      </c>
    </row>
    <row r="87">
      <c r="A87" s="3">
        <v>86.0</v>
      </c>
      <c r="B87" s="4" t="s">
        <v>2389</v>
      </c>
      <c r="C87" s="4" t="s">
        <v>2390</v>
      </c>
      <c r="D87" s="4" t="s">
        <v>2391</v>
      </c>
      <c r="E87" s="4" t="s">
        <v>2392</v>
      </c>
      <c r="G87" s="5" t="str">
        <f>IFERROR(__xludf.DUMMYFUNCTION("GOOGLETRANSLATE(A87, ""en"", ""ar"")"),"86")</f>
        <v>86</v>
      </c>
      <c r="H87" s="5" t="str">
        <f>IFERROR(__xludf.DUMMYFUNCTION("GOOGLETRANSLATE(B87, ""en"", ""ar"")"),"هل يجوز استعمال التلقيح الصناعي لإنتاج الأبقار الصالحة للذبح؟")</f>
        <v>هل يجوز استعمال التلقيح الصناعي لإنتاج الأبقار الصالحة للذبح؟</v>
      </c>
      <c r="I87" s="5" t="str">
        <f>IFERROR(__xludf.DUMMYFUNCTION("GOOGLETRANSLATE(C87, ""en"", ""ar"")"),"أ) لا، التزاوج الطبيعي فقط مسموح به؛ ب) نعم، إنها طريقة تربية شائعة ومقبولة؛ ج) مسموح به ولكن النسل لا يمكنه المنافسة؛ د) فقط لبعض السلالات المعتمدة")</f>
        <v>أ) لا، التزاوج الطبيعي فقط مسموح به؛ ب) نعم، إنها طريقة تربية شائعة ومقبولة؛ ج) مسموح به ولكن النسل لا يمكنه المنافسة؛ د) فقط لبعض السلالات المعتمدة</v>
      </c>
      <c r="J87" s="5" t="str">
        <f>IFERROR(__xludf.DUMMYFUNCTION("GOOGLETRANSLATE(D87, ""en"", ""ar"")"),"ب) نعم، إنها طريقة تربية شائعة ومقبولة.")</f>
        <v>ب) نعم، إنها طريقة تربية شائعة ومقبولة.</v>
      </c>
      <c r="K87" s="5" t="str">
        <f>IFERROR(__xludf.DUMMYFUNCTION("GOOGLETRANSLATE(E87, ""en"", ""ar"")"),"في كثير من الأحيان يتم استخدام تقنيات التربية الحديثة لنشر سلالة الأبقار المقاتلة البطلة.")</f>
        <v>في كثير من الأحيان يتم استخدام تقنيات التربية الحديثة لنشر سلالة الأبقار المقاتلة البطلة.</v>
      </c>
    </row>
    <row r="88">
      <c r="A88" s="3">
        <v>87.0</v>
      </c>
      <c r="B88" s="4" t="s">
        <v>2393</v>
      </c>
      <c r="C88" s="4" t="s">
        <v>2394</v>
      </c>
      <c r="D88" s="4" t="s">
        <v>2395</v>
      </c>
      <c r="E88" s="4" t="s">
        <v>2396</v>
      </c>
      <c r="G88" s="5" t="str">
        <f>IFERROR(__xludf.DUMMYFUNCTION("GOOGLETRANSLATE(A88, ""en"", ""ar"")"),"87")</f>
        <v>87</v>
      </c>
      <c r="H88" s="5" t="str">
        <f>IFERROR(__xludf.DUMMYFUNCTION("GOOGLETRANSLATE(B88, ""en"", ""ar"")"),"ما هي القاعدة إذا وجد أن البقرة مصابة بمرض معد بعد المنافسة؟")</f>
        <v>ما هي القاعدة إذا وجد أن البقرة مصابة بمرض معد بعد المنافسة؟</v>
      </c>
      <c r="I88" s="5" t="str">
        <f>IFERROR(__xludf.DUMMYFUNCTION("GOOGLETRANSLATE(C88, ""en"", ""ar"")"),"أ) لم يتم اتخاذ أي إجراء؛ ب) يتم إخطار المالك بشكل خاص؛ ج) يجب إخطار جميع المشاركين الآخرين واختبار أبقارهم؛ د) يتم إرجاع أموال الجائزة")</f>
        <v>أ) لم يتم اتخاذ أي إجراء؛ ب) يتم إخطار المالك بشكل خاص؛ ج) يجب إخطار جميع المشاركين الآخرين واختبار أبقارهم؛ د) يتم إرجاع أموال الجائزة</v>
      </c>
      <c r="J88" s="5" t="str">
        <f>IFERROR(__xludf.DUMMYFUNCTION("GOOGLETRANSLATE(D88, ""en"", ""ar"")"),"ج) يجب إخطار جميع المشاركين الآخرين واختبار أبقارهم")</f>
        <v>ج) يجب إخطار جميع المشاركين الآخرين واختبار أبقارهم</v>
      </c>
      <c r="K88" s="5" t="str">
        <f>IFERROR(__xludf.DUMMYFUNCTION("GOOGLETRANSLATE(E88, ""en"", ""ar"")"),"في حالة اكتشاف مرض ما بعد المنافسة، يتم وضع بروتوكول للصحة العامة لتتبع تفشي المرض واحتوائه.")</f>
        <v>في حالة اكتشاف مرض ما بعد المنافسة، يتم وضع بروتوكول للصحة العامة لتتبع تفشي المرض واحتوائه.</v>
      </c>
    </row>
    <row r="89">
      <c r="A89" s="3">
        <v>88.0</v>
      </c>
      <c r="B89" s="4" t="s">
        <v>2397</v>
      </c>
      <c r="C89" s="4" t="s">
        <v>2398</v>
      </c>
      <c r="D89" s="4" t="s">
        <v>2399</v>
      </c>
      <c r="E89" s="4" t="s">
        <v>2400</v>
      </c>
      <c r="G89" s="5" t="str">
        <f>IFERROR(__xludf.DUMMYFUNCTION("GOOGLETRANSLATE(A89, ""en"", ""ar"")"),"88")</f>
        <v>88</v>
      </c>
      <c r="H89" s="5" t="str">
        <f>IFERROR(__xludf.DUMMYFUNCTION("GOOGLETRANSLATE(B89, ""en"", ""ar"")"),"هل يمكن إدخال بقرة تم استخدامها سابقًا في العمل الزراعي في مسابقة قتال؟")</f>
        <v>هل يمكن إدخال بقرة تم استخدامها سابقًا في العمل الزراعي في مسابقة قتال؟</v>
      </c>
      <c r="I89" s="5" t="str">
        <f>IFERROR(__xludf.DUMMYFUNCTION("GOOGLETRANSLATE(C89, ""en"", ""ar"")"),"أ) لا، يُسمح فقط بالأبقار التي تم تربيتها خصيصًا؛ ب) نعم، طالما أنها تلبي متطلبات الصحة والعمر؛ ج) فقط في مسابقات مستوى المبتدئين؛ د) فقط إذا تم إيقافها عن العمل لمدة عام واحد على الأقل")</f>
        <v>أ) لا، يُسمح فقط بالأبقار التي تم تربيتها خصيصًا؛ ب) نعم، طالما أنها تلبي متطلبات الصحة والعمر؛ ج) فقط في مسابقات مستوى المبتدئين؛ د) فقط إذا تم إيقافها عن العمل لمدة عام واحد على الأقل</v>
      </c>
      <c r="J89" s="5" t="str">
        <f>IFERROR(__xludf.DUMMYFUNCTION("GOOGLETRANSLATE(D89, ""en"", ""ar"")"),"ب) نعم، بشرط استيفاء الشروط الصحية والعمرية.")</f>
        <v>ب) نعم، بشرط استيفاء الشروط الصحية والعمرية.</v>
      </c>
      <c r="K89" s="5" t="str">
        <f>IFERROR(__xludf.DUMMYFUNCTION("GOOGLETRANSLATE(E89, ""en"", ""ar"")"),"لا توجد قاعدة تمنع أن تكون البقرة ذات خبرة في العمل، بشرط أن تكون صالحة وصحية للمنافسة.")</f>
        <v>لا توجد قاعدة تمنع أن تكون البقرة ذات خبرة في العمل، بشرط أن تكون صالحة وصحية للمنافسة.</v>
      </c>
    </row>
    <row r="90">
      <c r="A90" s="3">
        <v>89.0</v>
      </c>
      <c r="B90" s="4" t="s">
        <v>2401</v>
      </c>
      <c r="C90" s="4" t="s">
        <v>2402</v>
      </c>
      <c r="D90" s="4" t="s">
        <v>2403</v>
      </c>
      <c r="E90" s="4" t="s">
        <v>2404</v>
      </c>
      <c r="G90" s="5" t="str">
        <f>IFERROR(__xludf.DUMMYFUNCTION("GOOGLETRANSLATE(A90, ""en"", ""ar"")"),"89")</f>
        <v>89</v>
      </c>
      <c r="H90" s="5" t="str">
        <f>IFERROR(__xludf.DUMMYFUNCTION("GOOGLETRANSLATE(B90, ""en"", ""ar"")"),"ما هي العقوبة التي تقع على عاتق المدرب الذي يحاول تشتيت انتباه منافسه البقري عن خارج الحلبة؟")</f>
        <v>ما هي العقوبة التي تقع على عاتق المدرب الذي يحاول تشتيت انتباه منافسه البقري عن خارج الحلبة؟</v>
      </c>
      <c r="I90" s="5" t="str">
        <f>IFERROR(__xludf.DUMMYFUNCTION("GOOGLETRANSLATE(C90, ""en"", ""ar"")"),"أ) تحذير شفهي؛ ب) يتم إزالة المدرب، ويتم استبعاد بقرته؛ ج) يتم إيقاف المباراة مؤقتًا؛ د) يمكن للفريق الآخر أن يفعل الشيء نفسه")</f>
        <v>أ) تحذير شفهي؛ ب) يتم إزالة المدرب، ويتم استبعاد بقرته؛ ج) يتم إيقاف المباراة مؤقتًا؛ د) يمكن للفريق الآخر أن يفعل الشيء نفسه</v>
      </c>
      <c r="J90" s="5" t="str">
        <f>IFERROR(__xludf.DUMMYFUNCTION("GOOGLETRANSLATE(D90, ""en"", ""ar"")"),"ب) يتم إزالة المدرب، ويتم استبعاد بقرته")</f>
        <v>ب) يتم إزالة المدرب، ويتم استبعاد بقرته</v>
      </c>
      <c r="K90" s="5" t="str">
        <f>IFERROR(__xludf.DUMMYFUNCTION("GOOGLETRANSLATE(E90, ""en"", ""ar"")"),"يعد التدخل الخارجي انتهاكًا خطيرًا للقواعد ويؤدي إلى استبعاد البقرة المرتبطة.")</f>
        <v>يعد التدخل الخارجي انتهاكًا خطيرًا للقواعد ويؤدي إلى استبعاد البقرة المرتبطة.</v>
      </c>
    </row>
    <row r="91">
      <c r="A91" s="3">
        <v>90.0</v>
      </c>
      <c r="B91" s="4" t="s">
        <v>2405</v>
      </c>
      <c r="C91" s="4" t="s">
        <v>2406</v>
      </c>
      <c r="D91" s="4" t="s">
        <v>2407</v>
      </c>
      <c r="E91" s="4" t="s">
        <v>2408</v>
      </c>
      <c r="G91" s="5" t="str">
        <f>IFERROR(__xludf.DUMMYFUNCTION("GOOGLETRANSLATE(A91, ""en"", ""ar"")"),"90")</f>
        <v>90</v>
      </c>
      <c r="H91" s="5" t="str">
        <f>IFERROR(__xludf.DUMMYFUNCTION("GOOGLETRANSLATE(B91, ""en"", ""ar"")"),"هل هناك أي قواعد تقيد استخدام رموز أو ألوان تقليدية معينة في ملابس الفريق؟")</f>
        <v>هل هناك أي قواعد تقيد استخدام رموز أو ألوان تقليدية معينة في ملابس الفريق؟</v>
      </c>
      <c r="I91" s="5" t="str">
        <f>IFERROR(__xludf.DUMMYFUNCTION("GOOGLETRANSLATE(C91, ""en"", ""ar"")"),"أ) لا، جميع الرموز مسموح بها؛ ب) نعم، الرموز المرتبطة بالجماعات السياسية أو المتطرفة محظورة؛ ج) فقط الرموز التي يوافق عليها شيوخ القرية مسموح بها؛ د) فقط الألوان الوطنية مسموح بها")</f>
        <v>أ) لا، جميع الرموز مسموح بها؛ ب) نعم، الرموز المرتبطة بالجماعات السياسية أو المتطرفة محظورة؛ ج) فقط الرموز التي يوافق عليها شيوخ القرية مسموح بها؛ د) فقط الألوان الوطنية مسموح بها</v>
      </c>
      <c r="J91" s="5" t="str">
        <f>IFERROR(__xludf.DUMMYFUNCTION("GOOGLETRANSLATE(D91, ""en"", ""ar"")"),"ب) نعم، يتم حظر الرموز المرتبطة بالجماعات السياسية أو المتطرفة")</f>
        <v>ب) نعم، يتم حظر الرموز المرتبطة بالجماعات السياسية أو المتطرفة</v>
      </c>
      <c r="K91" s="5" t="str">
        <f>IFERROR(__xludf.DUMMYFUNCTION("GOOGLETRANSLATE(E91, ""en"", ""ar"")"),"ولإبقاء الحدث خاليا من الصراع السياسي، غالبا ما يمنع المنظمون عرض الرموز المثيرة للجدل أو التحريضية.")</f>
        <v>ولإبقاء الحدث خاليا من الصراع السياسي، غالبا ما يمنع المنظمون عرض الرموز المثيرة للجدل أو التحريضية.</v>
      </c>
    </row>
    <row r="92">
      <c r="A92" s="3">
        <v>91.0</v>
      </c>
      <c r="B92" s="4" t="s">
        <v>2409</v>
      </c>
      <c r="C92" s="4" t="s">
        <v>2410</v>
      </c>
      <c r="D92" s="4" t="s">
        <v>2411</v>
      </c>
      <c r="E92" s="4" t="s">
        <v>2412</v>
      </c>
      <c r="G92" s="5" t="str">
        <f>IFERROR(__xludf.DUMMYFUNCTION("GOOGLETRANSLATE(A92, ""en"", ""ar"")"),"91")</f>
        <v>91</v>
      </c>
      <c r="H92" s="5" t="str">
        <f>IFERROR(__xludf.DUMMYFUNCTION("GOOGLETRANSLATE(B92, ""en"", ""ar"")"),"إذا تم الاحتجاج رسميًا على قرار الحكم، فمن الذي يتخذ الحكم النهائي؟")</f>
        <v>إذا تم الاحتجاج رسميًا على قرار الحكم، فمن الذي يتخذ الحكم النهائي؟</v>
      </c>
      <c r="I92" s="5" t="str">
        <f>IFERROR(__xludf.DUMMYFUNCTION("GOOGLETRANSLATE(C92, ""en"", ""ar"")"),"أ) يعيد الحكم نفسه النظر؛ ب) لجنة مستقلة منفصلة من الحكام؛ ج) يؤخذ رأي الجمهور؛ د) يجب أن يتفق المالكان")</f>
        <v>أ) يعيد الحكم نفسه النظر؛ ب) لجنة مستقلة منفصلة من الحكام؛ ج) يؤخذ رأي الجمهور؛ د) يجب أن يتفق المالكان</v>
      </c>
      <c r="J92" s="5" t="str">
        <f>IFERROR(__xludf.DUMMYFUNCTION("GOOGLETRANSLATE(D92, ""en"", ""ar"")"),"ب) لجنة مستقلة منفصلة من القضاة")</f>
        <v>ب) لجنة مستقلة منفصلة من القضاة</v>
      </c>
      <c r="K92" s="5" t="str">
        <f>IFERROR(__xludf.DUMMYFUNCTION("GOOGLETRANSLATE(E92, ""en"", ""ar"")"),"يتم تصعيد الاحتجاج الرسمي إلى لجنة محايدة من كبار المسؤولين الذين يقومون بمراجعة الحادث لاتخاذ قرار نهائي ملزم.")</f>
        <v>يتم تصعيد الاحتجاج الرسمي إلى لجنة محايدة من كبار المسؤولين الذين يقومون بمراجعة الحادث لاتخاذ قرار نهائي ملزم.</v>
      </c>
    </row>
    <row r="93">
      <c r="A93" s="3">
        <v>92.0</v>
      </c>
      <c r="B93" s="4" t="s">
        <v>2413</v>
      </c>
      <c r="C93" s="4" t="s">
        <v>2414</v>
      </c>
      <c r="D93" s="4" t="s">
        <v>2415</v>
      </c>
      <c r="E93" s="4" t="s">
        <v>2416</v>
      </c>
      <c r="G93" s="5" t="str">
        <f>IFERROR(__xludf.DUMMYFUNCTION("GOOGLETRANSLATE(A93, ""en"", ""ar"")"),"92")</f>
        <v>92</v>
      </c>
      <c r="H93" s="5" t="str">
        <f>IFERROR(__xludf.DUMMYFUNCTION("GOOGLETRANSLATE(B93, ""en"", ""ar"")"),"ما حكم البقرة المخدرة لنقلها إلى الحفل؟")</f>
        <v>ما حكم البقرة المخدرة لنقلها إلى الحفل؟</v>
      </c>
      <c r="I93" s="5" t="str">
        <f>IFERROR(__xludf.DUMMYFUNCTION("GOOGLETRANSLATE(C93, ""en"", ""ar"")"),"أ) مسموح به إذا زال مفعول الدواء قبل القتال؛ ب) يجب اختبار البقرة وإعطائها تصريحًا من قبل طبيب بيطري قبل المنافسة؛ ج) جميع المهدئات ممنوعة، حتى للنقل؛ د) يُسمح بجرعة أقل")</f>
        <v>أ) مسموح به إذا زال مفعول الدواء قبل القتال؛ ب) يجب اختبار البقرة وإعطائها تصريحًا من قبل طبيب بيطري قبل المنافسة؛ ج) جميع المهدئات ممنوعة، حتى للنقل؛ د) يُسمح بجرعة أقل</v>
      </c>
      <c r="J93" s="5" t="str">
        <f>IFERROR(__xludf.DUMMYFUNCTION("GOOGLETRANSLATE(D93, ""en"", ""ar"")"),"ب) يجب فحص البقرة وإصدار الموافقة عليها من قبل طبيب بيطري قبل المنافسة")</f>
        <v>ب) يجب فحص البقرة وإصدار الموافقة عليها من قبل طبيب بيطري قبل المنافسة</v>
      </c>
      <c r="K93" s="5" t="str">
        <f>IFERROR(__xludf.DUMMYFUNCTION("GOOGLETRANSLATE(E93, ""en"", ""ar"")"),"إذا تم استخدام المهدئات للنقل، يجب أن تجتاز البقرة فحصًا بيطريًا للتأكد من خروج المادة من نظامها وأنها جاهزة للقتال.")</f>
        <v>إذا تم استخدام المهدئات للنقل، يجب أن تجتاز البقرة فحصًا بيطريًا للتأكد من خروج المادة من نظامها وأنها جاهزة للقتال.</v>
      </c>
    </row>
    <row r="94">
      <c r="A94" s="3">
        <v>93.0</v>
      </c>
      <c r="B94" s="4" t="s">
        <v>2417</v>
      </c>
      <c r="C94" s="4" t="s">
        <v>2418</v>
      </c>
      <c r="D94" s="4" t="s">
        <v>2419</v>
      </c>
      <c r="E94" s="4" t="s">
        <v>2420</v>
      </c>
      <c r="G94" s="5" t="str">
        <f>IFERROR(__xludf.DUMMYFUNCTION("GOOGLETRANSLATE(A94, ""en"", ""ar"")"),"93")</f>
        <v>93</v>
      </c>
      <c r="H94" s="5" t="str">
        <f>IFERROR(__xludf.DUMMYFUNCTION("GOOGLETRANSLATE(B94, ""en"", ""ar"")"),"هل هناك قواعد بشأن الحجم الأدنى لساحة القتال؟")</f>
        <v>هل هناك قواعد بشأن الحجم الأدنى لساحة القتال؟</v>
      </c>
      <c r="I94" s="5" t="str">
        <f>IFERROR(__xludf.DUMMYFUNCTION("GOOGLETRANSLATE(C94, ""en"", ""ar"")"),"أ) لا، أي حجم مقبول؛ ب) نعم، يلزم وجود حجم أدنى للسلامة؛ ج) يتم تحديد الحجم حسب عمر الأبقار؛ د) يقرر الملاك الحجم")</f>
        <v>أ) لا، أي حجم مقبول؛ ب) نعم، يلزم وجود حجم أدنى للسلامة؛ ج) يتم تحديد الحجم حسب عمر الأبقار؛ د) يقرر الملاك الحجم</v>
      </c>
      <c r="J94" s="5" t="str">
        <f>IFERROR(__xludf.DUMMYFUNCTION("GOOGLETRANSLATE(D94, ""en"", ""ar"")"),"ب) نعم، يلزم وجود حجم أدنى للسلامة")</f>
        <v>ب) نعم، يلزم وجود حجم أدنى للسلامة</v>
      </c>
      <c r="K94" s="5" t="str">
        <f>IFERROR(__xludf.DUMMYFUNCTION("GOOGLETRANSLATE(E94, ""en"", ""ar"")"),"تحدد اللوائح الحد الأدنى لحجم الساحة لضمان حصول الأبقار على مساحة كافية للتحرك ومنعها من الاصطدام بالحواجز باستمرار.")</f>
        <v>تحدد اللوائح الحد الأدنى لحجم الساحة لضمان حصول الأبقار على مساحة كافية للتحرك ومنعها من الاصطدام بالحواجز باستمرار.</v>
      </c>
    </row>
    <row r="95">
      <c r="A95" s="3">
        <v>94.0</v>
      </c>
      <c r="B95" s="4" t="s">
        <v>2421</v>
      </c>
      <c r="C95" s="4" t="s">
        <v>2422</v>
      </c>
      <c r="D95" s="4" t="s">
        <v>2423</v>
      </c>
      <c r="E95" s="4" t="s">
        <v>2424</v>
      </c>
      <c r="G95" s="5" t="str">
        <f>IFERROR(__xludf.DUMMYFUNCTION("GOOGLETRANSLATE(A95, ""en"", ""ar"")"),"94")</f>
        <v>94</v>
      </c>
      <c r="H95" s="5" t="str">
        <f>IFERROR(__xludf.DUMMYFUNCTION("GOOGLETRANSLATE(B95, ""en"", ""ar"")"),"ماذا يحدث إذا تبين أن البقرة أعطيت كمية كبيرة من الكافيين قبل القتال؟")</f>
        <v>ماذا يحدث إذا تبين أن البقرة أعطيت كمية كبيرة من الكافيين قبل القتال؟</v>
      </c>
      <c r="I95" s="5" t="str">
        <f>IFERROR(__xludf.DUMMYFUNCTION("GOOGLETRANSLATE(C95, ""en"", ""ar"")"),"أ) مسموح به كمنشط طبيعي؛ ب) يتم استبعاد البقرة بسبب المنشطات؛ ج) يتم تطبيق عقوبة زمنية؛ د) يتم تحذير المالك")</f>
        <v>أ) مسموح به كمنشط طبيعي؛ ب) يتم استبعاد البقرة بسبب المنشطات؛ ج) يتم تطبيق عقوبة زمنية؛ د) يتم تحذير المالك</v>
      </c>
      <c r="J95" s="5" t="str">
        <f>IFERROR(__xludf.DUMMYFUNCTION("GOOGLETRANSLATE(D95, ""en"", ""ar"")"),"ب) البقرة مستبعدة بسبب المنشطات")</f>
        <v>ب) البقرة مستبعدة بسبب المنشطات</v>
      </c>
      <c r="K95" s="5" t="str">
        <f>IFERROR(__xludf.DUMMYFUNCTION("GOOGLETRANSLATE(E95, ""en"", ""ar"")"),"حتى المواد الشائعة مثل الكافيين محظورة إذا تم استخدامها بمستويات مخصصة لتعزيز الأداء بشكل مصطنع.")</f>
        <v>حتى المواد الشائعة مثل الكافيين محظورة إذا تم استخدامها بمستويات مخصصة لتعزيز الأداء بشكل مصطنع.</v>
      </c>
    </row>
    <row r="96">
      <c r="A96" s="3">
        <v>95.0</v>
      </c>
      <c r="B96" s="4" t="s">
        <v>2425</v>
      </c>
      <c r="C96" s="4" t="s">
        <v>2426</v>
      </c>
      <c r="D96" s="4" t="s">
        <v>2427</v>
      </c>
      <c r="E96" s="4" t="s">
        <v>2428</v>
      </c>
      <c r="G96" s="5" t="str">
        <f>IFERROR(__xludf.DUMMYFUNCTION("GOOGLETRANSLATE(A96, ""en"", ""ar"")"),"95")</f>
        <v>95</v>
      </c>
      <c r="H96" s="5" t="str">
        <f>IFERROR(__xludf.DUMMYFUNCTION("GOOGLETRANSLATE(B96, ""en"", ""ar"")"),"هل يمكن لمالك واحد إدخال أبقار متعددة في نفس المسابقة، ولكن في مباريات مختلفة؟")</f>
        <v>هل يمكن لمالك واحد إدخال أبقار متعددة في نفس المسابقة، ولكن في مباريات مختلفة؟</v>
      </c>
      <c r="I96" s="5" t="str">
        <f>IFERROR(__xludf.DUMMYFUNCTION("GOOGLETRANSLATE(C96, ""en"", ""ar"")"),"أ) لا، بقرة واحدة لكل مالك لكل حدث؛ ب) نعم، هذا مسموح به وشائع؛ ج) فقط إذا كانوا في فئات عمرية مختلفة؛ د) فقط في الأحداث غير البطولية")</f>
        <v>أ) لا، بقرة واحدة لكل مالك لكل حدث؛ ب) نعم، هذا مسموح به وشائع؛ ج) فقط إذا كانوا في فئات عمرية مختلفة؛ د) فقط في الأحداث غير البطولية</v>
      </c>
      <c r="J96" s="5" t="str">
        <f>IFERROR(__xludf.DUMMYFUNCTION("GOOGLETRANSLATE(D96, ""en"", ""ar"")"),"ب) نعم، هذا مسموح به وشائع.")</f>
        <v>ب) نعم، هذا مسموح به وشائع.</v>
      </c>
      <c r="K96" s="5" t="str">
        <f>IFERROR(__xludf.DUMMYFUNCTION("GOOGLETRANSLATE(E96, ""en"", ""ar"")"),"يمكن لمالك البقرة إدخال أبقار متعددة مختلفة في بطولة واحدة، طالما أن كل بقرة تتنافس فقط في مباراتها المخصصة.")</f>
        <v>يمكن لمالك البقرة إدخال أبقار متعددة مختلفة في بطولة واحدة، طالما أن كل بقرة تتنافس فقط في مباراتها المخصصة.</v>
      </c>
    </row>
    <row r="97">
      <c r="A97" s="3">
        <v>96.0</v>
      </c>
      <c r="B97" s="4" t="s">
        <v>2429</v>
      </c>
      <c r="C97" s="4" t="s">
        <v>2430</v>
      </c>
      <c r="D97" s="4" t="s">
        <v>2431</v>
      </c>
      <c r="E97" s="4" t="s">
        <v>2432</v>
      </c>
      <c r="G97" s="5" t="str">
        <f>IFERROR(__xludf.DUMMYFUNCTION("GOOGLETRANSLATE(A97, ""en"", ""ar"")"),"96")</f>
        <v>96</v>
      </c>
      <c r="H97" s="5" t="str">
        <f>IFERROR(__xludf.DUMMYFUNCTION("GOOGLETRANSLATE(B97, ""en"", ""ar"")"),"ما هو البروتوكول الرسمي إذا تم اكتشاف سرقة بقرة؟")</f>
        <v>ما هو البروتوكول الرسمي إذا تم اكتشاف سرقة بقرة؟</v>
      </c>
      <c r="I97" s="5" t="str">
        <f>IFERROR(__xludf.DUMMYFUNCTION("GOOGLETRANSLATE(C97, ""en"", ""ar"")"),"أ) يتم إعادتها إلى مالكها الأصلي ويمكنها الاستمرار في المنافسة؛ ب) يتم استبعادها من المنافسة وتقديم تقرير للشرطة؛ ج) يتم تغريم المالك الحالي؛ د) يتم الاحتفاظ بالبقرة بواسطة الاتحاد")</f>
        <v>أ) يتم إعادتها إلى مالكها الأصلي ويمكنها الاستمرار في المنافسة؛ ب) يتم استبعادها من المنافسة وتقديم تقرير للشرطة؛ ج) يتم تغريم المالك الحالي؛ د) يتم الاحتفاظ بالبقرة بواسطة الاتحاد</v>
      </c>
      <c r="J97" s="5" t="str">
        <f>IFERROR(__xludf.DUMMYFUNCTION("GOOGLETRANSLATE(D97, ""en"", ""ar"")"),"ب) يتم استبعاده من المسابقة ويتم تحرير محضر للشرطة")</f>
        <v>ب) يتم استبعاده من المسابقة ويتم تحرير محضر للشرطة</v>
      </c>
      <c r="K97" s="5" t="str">
        <f>IFERROR(__xludf.DUMMYFUNCTION("GOOGLETRANSLATE(E97, ""en"", ""ar"")"),"يتم استبعاد الحيوانات المسروقة على الفور، وتحويل الأمر إلى الجهات المختصة.")</f>
        <v>يتم استبعاد الحيوانات المسروقة على الفور، وتحويل الأمر إلى الجهات المختصة.</v>
      </c>
    </row>
    <row r="98">
      <c r="A98" s="3">
        <v>97.0</v>
      </c>
      <c r="B98" s="4" t="s">
        <v>2433</v>
      </c>
      <c r="C98" s="4" t="s">
        <v>2434</v>
      </c>
      <c r="D98" s="4" t="s">
        <v>2435</v>
      </c>
      <c r="E98" s="4" t="s">
        <v>2436</v>
      </c>
      <c r="G98" s="5" t="str">
        <f>IFERROR(__xludf.DUMMYFUNCTION("GOOGLETRANSLATE(A98, ""en"", ""ar"")"),"97")</f>
        <v>97</v>
      </c>
      <c r="H98" s="5" t="str">
        <f>IFERROR(__xludf.DUMMYFUNCTION("GOOGLETRANSLATE(B98, ""en"", ""ar"")"),"هل هناك قواعد تحدد كيفية توزيع أموال الجائزة داخل الفريق الفائز (المالك، المدرب، إلخ.)؟")</f>
        <v>هل هناك قواعد تحدد كيفية توزيع أموال الجائزة داخل الفريق الفائز (المالك، المدرب، إلخ.)؟</v>
      </c>
      <c r="I98" s="5" t="str">
        <f>IFERROR(__xludf.DUMMYFUNCTION("GOOGLETRANSLATE(C98, ""en"", ""ar"")"),"أ) نعم، الاتحاد هو الذي يحدد التقسيم؛ ب) لا، التوزيع هو اتفاق خاص؛ ج) الفائز يأخذ كل شيء؛ د) يجب أن يذهب 50٪ إلى رعاية البقرة")</f>
        <v>أ) نعم، الاتحاد هو الذي يحدد التقسيم؛ ب) لا، التوزيع هو اتفاق خاص؛ ج) الفائز يأخذ كل شيء؛ د) يجب أن يذهب 50٪ إلى رعاية البقرة</v>
      </c>
      <c r="J98" s="5" t="str">
        <f>IFERROR(__xludf.DUMMYFUNCTION("GOOGLETRANSLATE(D98, ""en"", ""ar"")"),"ب) لا، التوزيع هو اتفاقية خاصة")</f>
        <v>ب) لا، التوزيع هو اتفاقية خاصة</v>
      </c>
      <c r="K98" s="5" t="str">
        <f>IFERROR(__xludf.DUMMYFUNCTION("GOOGLETRANSLATE(E98, ""en"", ""ar"")"),"يتم منح جائزة المال إلى المالك المسجل، ولا ينظم الاتحاد كيفية مشاركته لها مع فريقه.")</f>
        <v>يتم منح جائزة المال إلى المالك المسجل، ولا ينظم الاتحاد كيفية مشاركته لها مع فريقه.</v>
      </c>
    </row>
    <row r="99">
      <c r="A99" s="3">
        <v>98.0</v>
      </c>
      <c r="B99" s="4" t="s">
        <v>2437</v>
      </c>
      <c r="C99" s="4" t="s">
        <v>2438</v>
      </c>
      <c r="D99" s="4" t="s">
        <v>2439</v>
      </c>
      <c r="E99" s="4" t="s">
        <v>2440</v>
      </c>
      <c r="G99" s="5" t="str">
        <f>IFERROR(__xludf.DUMMYFUNCTION("GOOGLETRANSLATE(A99, ""en"", ""ar"")"),"98")</f>
        <v>98</v>
      </c>
      <c r="H99" s="5" t="str">
        <f>IFERROR(__xludf.DUMMYFUNCTION("GOOGLETRANSLATE(B99, ""en"", ""ar"")"),"إذا تم استبعاد البقرة، فهل يمكن لصاحبها استبدالها ببقرة أخرى على الفور؟")</f>
        <v>إذا تم استبعاد البقرة، فهل يمكن لصاحبها استبدالها ببقرة أخرى على الفور؟</v>
      </c>
      <c r="I99" s="5" t="str">
        <f>IFERROR(__xludf.DUMMYFUNCTION("GOOGLETRANSLATE(C99, ""en"", ""ar"")"),"أ) نعم، إذا كانت هناك بقرة أخرى متاحة؛ ب) لا، يتم إلغاء المباراة؛ ج) فقط إذا كان الاستبعاد بسبب مخالفة بسيطة؛ د) فقط في الجولة الأولى")</f>
        <v>أ) نعم، إذا كانت هناك بقرة أخرى متاحة؛ ب) لا، يتم إلغاء المباراة؛ ج) فقط إذا كان الاستبعاد بسبب مخالفة بسيطة؛ د) فقط في الجولة الأولى</v>
      </c>
      <c r="J99" s="5" t="str">
        <f>IFERROR(__xludf.DUMMYFUNCTION("GOOGLETRANSLATE(D99, ""en"", ""ar"")"),"ب) لا، المباراة ملغاة")</f>
        <v>ب) لا، المباراة ملغاة</v>
      </c>
      <c r="K99" s="5" t="str">
        <f>IFERROR(__xludf.DUMMYFUNCTION("GOOGLETRANSLATE(E99, ""en"", ""ar"")"),"يؤدي استبعاد أحد المتنافسين إلى خسارة هذا الفريق، ولا يُسمح بالتبديلات.")</f>
        <v>يؤدي استبعاد أحد المتنافسين إلى خسارة هذا الفريق، ولا يُسمح بالتبديلات.</v>
      </c>
    </row>
    <row r="100">
      <c r="A100" s="3">
        <v>99.0</v>
      </c>
      <c r="B100" s="4" t="s">
        <v>2441</v>
      </c>
      <c r="C100" s="4" t="s">
        <v>2442</v>
      </c>
      <c r="D100" s="4" t="s">
        <v>2443</v>
      </c>
      <c r="E100" s="4" t="s">
        <v>2444</v>
      </c>
      <c r="G100" s="5" t="str">
        <f>IFERROR(__xludf.DUMMYFUNCTION("GOOGLETRANSLATE(A100, ""en"", ""ar"")"),"99")</f>
        <v>99</v>
      </c>
      <c r="H100" s="5" t="str">
        <f>IFERROR(__xludf.DUMMYFUNCTION("GOOGLETRANSLATE(B100, ""en"", ""ar"")"),"ما حكم استخدام التكنولوجيا مثل أجهزة تعقب GPS لتحليل حركة البقرة أثناء التدريب؟")</f>
        <v>ما حكم استخدام التكنولوجيا مثل أجهزة تعقب GPS لتحليل حركة البقرة أثناء التدريب؟</v>
      </c>
      <c r="I100" s="5" t="str">
        <f>IFERROR(__xludf.DUMMYFUNCTION("GOOGLETRANSLATE(C100, ""en"", ""ar"")"),"أ) محظور باعتباره ميزة غير عادلة؛ ب) أداة تدريب مسموح بها وحديثة؛ ج) مخصصة للفرق المحترفة فقط؛ د) يتطلب ترخيصًا خاصًا")</f>
        <v>أ) محظور باعتباره ميزة غير عادلة؛ ب) أداة تدريب مسموح بها وحديثة؛ ج) مخصصة للفرق المحترفة فقط؛ د) يتطلب ترخيصًا خاصًا</v>
      </c>
      <c r="J100" s="5" t="str">
        <f>IFERROR(__xludf.DUMMYFUNCTION("GOOGLETRANSLATE(D100, ""en"", ""ar"")"),"ب) إنها أداة تدريب مسموح بها وحديثة")</f>
        <v>ب) إنها أداة تدريب مسموح بها وحديثة</v>
      </c>
      <c r="K100" s="5" t="str">
        <f>IFERROR(__xludf.DUMMYFUNCTION("GOOGLETRANSLATE(E100, ""en"", ""ar"")"),"يُسمح باستخدام التكنولوجيا لتحليل الأداء في التدريب ويُشجع عليه.")</f>
        <v>يُسمح باستخدام التكنولوجيا لتحليل الأداء في التدريب ويُشجع عليه.</v>
      </c>
    </row>
    <row r="101">
      <c r="A101" s="3">
        <v>100.0</v>
      </c>
      <c r="B101" s="4" t="s">
        <v>2445</v>
      </c>
      <c r="C101" s="4" t="s">
        <v>2446</v>
      </c>
      <c r="D101" s="4" t="s">
        <v>2447</v>
      </c>
      <c r="E101" s="4" t="s">
        <v>2448</v>
      </c>
      <c r="G101" s="5" t="str">
        <f>IFERROR(__xludf.DUMMYFUNCTION("GOOGLETRANSLATE(A101, ""en"", ""ar"")"),"100")</f>
        <v>100</v>
      </c>
      <c r="H101" s="5" t="str">
        <f>IFERROR(__xludf.DUMMYFUNCTION("GOOGLETRANSLATE(B101, ""en"", ""ar"")"),"ما هي العقوبة التي يحصل عليها المتسابق الذي يثبت قيامه برشوة أحد القضاة؟")</f>
        <v>ما هي العقوبة التي يحصل عليها المتسابق الذي يثبت قيامه برشوة أحد القضاة؟</v>
      </c>
      <c r="I101" s="5" t="str">
        <f>IFERROR(__xludf.DUMMYFUNCTION("GOOGLETRANSLATE(C101, ""en"", ""ar"")"),"أ) تحذير؛ ب) غرامة؛ ج) حظر مدى الحياة من ممارسة الرياضة لجميع المشاركين؛ د) يتم إعادة الحكم على المباراة بواسطة حكم مختلف")</f>
        <v>أ) تحذير؛ ب) غرامة؛ ج) حظر مدى الحياة من ممارسة الرياضة لجميع المشاركين؛ د) يتم إعادة الحكم على المباراة بواسطة حكم مختلف</v>
      </c>
      <c r="J101" s="5" t="str">
        <f>IFERROR(__xludf.DUMMYFUNCTION("GOOGLETRANSLATE(D101, ""en"", ""ar"")"),"ج) حظر مدى الحياة من ممارسة الرياضة لجميع المشاركين")</f>
        <v>ج) حظر مدى الحياة من ممارسة الرياضة لجميع المشاركين</v>
      </c>
      <c r="K101" s="5" t="str">
        <f>IFERROR(__xludf.DUMMYFUNCTION("GOOGLETRANSLATE(E101, ""en"", ""ar"")"),"الرشوة والفساد هما أخطر الجرائم ضد نزاهة الرياضة ويتم معاقبتهما بأشد العقوبات.")</f>
        <v>الرشوة والفساد هما أخطر الجرائم ضد نزاهة الرياضة ويتم معاقبتهما بأشد العقوبات.</v>
      </c>
    </row>
    <row r="102">
      <c r="A102" s="3">
        <v>101.0</v>
      </c>
      <c r="B102" s="4" t="s">
        <v>2449</v>
      </c>
      <c r="C102" s="4" t="s">
        <v>2450</v>
      </c>
      <c r="D102" s="4" t="s">
        <v>2451</v>
      </c>
      <c r="E102" s="4" t="s">
        <v>2452</v>
      </c>
      <c r="G102" s="5" t="str">
        <f>IFERROR(__xludf.DUMMYFUNCTION("GOOGLETRANSLATE(A102, ""en"", ""ar"")"),"101")</f>
        <v>101</v>
      </c>
      <c r="H102" s="5" t="str">
        <f>IFERROR(__xludf.DUMMYFUNCTION("GOOGLETRANSLATE(B102, ""en"", ""ar"")"),"إذا وجد أن البقرة تعاني من حالة طبية غير معدية وغير معنية (مثل التهاب المفاصل)، ما هو قرار الطبيب البيطري؟")</f>
        <v>إذا وجد أن البقرة تعاني من حالة طبية غير معدية وغير معنية (مثل التهاب المفاصل)، ما هو قرار الطبيب البيطري؟</v>
      </c>
      <c r="I102" s="5" t="str">
        <f>IFERROR(__xludf.DUMMYFUNCTION("GOOGLETRANSLATE(C102, ""en"", ""ar"")"),"أ) يتم السماح للبقرة بالقتال؛ ب) يتم استبعاد البقرة لأسباب تتعلق بالسلامة؛ ج) يتم تغريم المالك لعدم الإفصاح؛ د) يتم إبلاغ الخصم ويمكنه اختيار قبول القتال")</f>
        <v>أ) يتم السماح للبقرة بالقتال؛ ب) يتم استبعاد البقرة لأسباب تتعلق بالسلامة؛ ج) يتم تغريم المالك لعدم الإفصاح؛ د) يتم إبلاغ الخصم ويمكنه اختيار قبول القتال</v>
      </c>
      <c r="J102" s="5" t="str">
        <f>IFERROR(__xludf.DUMMYFUNCTION("GOOGLETRANSLATE(D102, ""en"", ""ar"")"),"ب) تم استبعاد البقرة لأسباب تتعلق بالسلامة")</f>
        <v>ب) تم استبعاد البقرة لأسباب تتعلق بالسلامة</v>
      </c>
      <c r="K102" s="5" t="str">
        <f>IFERROR(__xludf.DUMMYFUNCTION("GOOGLETRANSLATE(E102, ""en"", ""ar"")"),"حتى الحالات غير المعدية يمكن أن تشكل خطراً على الرعاية الاجتماعية أو تؤثر على الأداء، مما يؤدي إلى الاستبعاد إذا لم يتم الكشف عنها أو الموافقة عليها.")</f>
        <v>حتى الحالات غير المعدية يمكن أن تشكل خطراً على الرعاية الاجتماعية أو تؤثر على الأداء، مما يؤدي إلى الاستبعاد إذا لم يتم الكشف عنها أو الموافقة عليها.</v>
      </c>
    </row>
    <row r="103">
      <c r="A103" s="3">
        <v>102.0</v>
      </c>
      <c r="B103" s="4" t="s">
        <v>2453</v>
      </c>
      <c r="C103" s="4" t="s">
        <v>2454</v>
      </c>
      <c r="D103" s="4" t="s">
        <v>2455</v>
      </c>
      <c r="E103" s="4" t="s">
        <v>2456</v>
      </c>
      <c r="G103" s="5" t="str">
        <f>IFERROR(__xludf.DUMMYFUNCTION("GOOGLETRANSLATE(A103, ""en"", ""ar"")"),"102")</f>
        <v>102</v>
      </c>
      <c r="H103" s="5" t="str">
        <f>IFERROR(__xludf.DUMMYFUNCTION("GOOGLETRANSLATE(B103, ""en"", ""ar"")"),"هل هناك قواعد محددة بشأن المواد وبناء أسوار حلبة القتال؟")</f>
        <v>هل هناك قواعد محددة بشأن المواد وبناء أسوار حلبة القتال؟</v>
      </c>
      <c r="I103" s="5" t="str">
        <f>IFERROR(__xludf.DUMMYFUNCTION("GOOGLETRANSLATE(C103, ""en"", ""ar"")"),"أ) لا، يمكن استخدام أي مادة؛ ب) نعم، يجب أن تكون الأسوار مصنوعة من مواد قوية وغير ضارة؛ ج) يُسمح فقط بالأسوار الخشبية؛ د) تعتمد المادة على راعي الحدث")</f>
        <v>أ) لا، يمكن استخدام أي مادة؛ ب) نعم، يجب أن تكون الأسوار مصنوعة من مواد قوية وغير ضارة؛ ج) يُسمح فقط بالأسوار الخشبية؛ د) تعتمد المادة على راعي الحدث</v>
      </c>
      <c r="J103" s="5" t="str">
        <f>IFERROR(__xludf.DUMMYFUNCTION("GOOGLETRANSLATE(D103, ""en"", ""ar"")"),"ب) نعم، يجب أن تكون الأسوار مصنوعة من مواد قوية وغير ضارة.")</f>
        <v>ب) نعم، يجب أن تكون الأسوار مصنوعة من مواد قوية وغير ضارة.</v>
      </c>
      <c r="K103" s="5" t="str">
        <f>IFERROR(__xludf.DUMMYFUNCTION("GOOGLETRANSLATE(E103, ""en"", ""ar"")"),"تحدد لوائح السلامة المتطلبات اللازمة لبناء الساحة لحماية الحيوانات والمتفرجين على حد سواء.")</f>
        <v>تحدد لوائح السلامة المتطلبات اللازمة لبناء الساحة لحماية الحيوانات والمتفرجين على حد سواء.</v>
      </c>
    </row>
    <row r="104">
      <c r="A104" s="3">
        <v>103.0</v>
      </c>
      <c r="B104" s="4" t="s">
        <v>2457</v>
      </c>
      <c r="C104" s="4" t="s">
        <v>2458</v>
      </c>
      <c r="D104" s="4" t="s">
        <v>2459</v>
      </c>
      <c r="E104" s="4" t="s">
        <v>2460</v>
      </c>
      <c r="G104" s="5" t="str">
        <f>IFERROR(__xludf.DUMMYFUNCTION("GOOGLETRANSLATE(A104, ""en"", ""ar"")"),"103")</f>
        <v>103</v>
      </c>
      <c r="H104" s="5" t="str">
        <f>IFERROR(__xludf.DUMMYFUNCTION("GOOGLETRANSLATE(B104, ""en"", ""ar"")"),"ماذا يحدث إذا تم العثور على عقاقير تؤثر على الأداء في نظام البقرة ولكن المالك يدعي أن ذلك كان عن طريق الخطأ؟")</f>
        <v>ماذا يحدث إذا تم العثور على عقاقير تؤثر على الأداء في نظام البقرة ولكن المالك يدعي أن ذلك كان عن طريق الخطأ؟</v>
      </c>
      <c r="I104" s="5" t="str">
        <f>IFERROR(__xludf.DUMMYFUNCTION("GOOGLETRANSLATE(C104, ""en"", ""ar"")"),"أ) يتم إعفاء المالك؛ ب) يتم تطبيق قاعدة ""المسؤولية الصارمة""، ويتم استبعاد البقرة؛ ج) يتم منح عقوبة أقل؛ د) يتم إعادة اختبار البقرة بعد 24 ساعة")</f>
        <v>أ) يتم إعفاء المالك؛ ب) يتم تطبيق قاعدة "المسؤولية الصارمة"، ويتم استبعاد البقرة؛ ج) يتم منح عقوبة أقل؛ د) يتم إعادة اختبار البقرة بعد 24 ساعة</v>
      </c>
      <c r="J104" s="5" t="str">
        <f>IFERROR(__xludf.DUMMYFUNCTION("GOOGLETRANSLATE(D104, ""en"", ""ar"")"),"ب) تنطبق قاعدة ""المسؤولية الصارمة""، ويتم استبعاد البقرة")</f>
        <v>ب) تنطبق قاعدة "المسؤولية الصارمة"، ويتم استبعاد البقرة</v>
      </c>
      <c r="K104" s="5" t="str">
        <f>IFERROR(__xludf.DUMMYFUNCTION("GOOGLETRANSLATE(E104, ""en"", ""ar"")"),"في حالات المنشطات، يكون المالك هو المسؤول في نهاية المطاف عما يوجد في نظام الحيوان، بغض النظر عن القصد.")</f>
        <v>في حالات المنشطات، يكون المالك هو المسؤول في نهاية المطاف عما يوجد في نظام الحيوان، بغض النظر عن القصد.</v>
      </c>
    </row>
    <row r="105">
      <c r="A105" s="3">
        <v>104.0</v>
      </c>
      <c r="B105" s="4" t="s">
        <v>2461</v>
      </c>
      <c r="C105" s="4" t="s">
        <v>2462</v>
      </c>
      <c r="D105" s="4" t="s">
        <v>2463</v>
      </c>
      <c r="E105" s="4" t="s">
        <v>2464</v>
      </c>
      <c r="G105" s="5" t="str">
        <f>IFERROR(__xludf.DUMMYFUNCTION("GOOGLETRANSLATE(A105, ""en"", ""ar"")"),"104")</f>
        <v>104</v>
      </c>
      <c r="H105" s="5" t="str">
        <f>IFERROR(__xludf.DUMMYFUNCTION("GOOGLETRANSLATE(B105, ""en"", ""ar"")"),"هل يجوز استعمال بقرة مدربة على تقنية الطعم الحي؟")</f>
        <v>هل يجوز استعمال بقرة مدربة على تقنية الطعم الحي؟</v>
      </c>
      <c r="I105" s="5" t="str">
        <f>IFERROR(__xludf.DUMMYFUNCTION("GOOGLETRANSLATE(C105, ""en"", ""ar"")"),"أ) نعم، إنها طريقة تدريب تقليدية؛ ب) لا، إنها ممارسة غير قانونية وقاسية؛ ج) فقط في المناطق النائية غير المنظمة؛ د) فقط بموافقة الحكومة")</f>
        <v>أ) نعم، إنها طريقة تدريب تقليدية؛ ب) لا، إنها ممارسة غير قانونية وقاسية؛ ج) فقط في المناطق النائية غير المنظمة؛ د) فقط بموافقة الحكومة</v>
      </c>
      <c r="J105" s="5" t="str">
        <f>IFERROR(__xludf.DUMMYFUNCTION("GOOGLETRANSLATE(D105, ""en"", ""ar"")"),"ب) لا، إنها ممارسة غير قانونية وقاسية.")</f>
        <v>ب) لا، إنها ممارسة غير قانونية وقاسية.</v>
      </c>
      <c r="K105" s="5" t="str">
        <f>IFERROR(__xludf.DUMMYFUNCTION("GOOGLETRANSLATE(E105, ""en"", ""ar"")"),"يُحظر تمامًا أي شكل من أشكال القسوة على الحيوانات أثناء التدريب ويمكن أن يؤدي إلى الحظر من ممارسة هذه الرياضة.")</f>
        <v>يُحظر تمامًا أي شكل من أشكال القسوة على الحيوانات أثناء التدريب ويمكن أن يؤدي إلى الحظر من ممارسة هذه الرياضة.</v>
      </c>
    </row>
    <row r="106">
      <c r="A106" s="3">
        <v>105.0</v>
      </c>
      <c r="B106" s="4" t="s">
        <v>2465</v>
      </c>
      <c r="C106" s="4" t="s">
        <v>2466</v>
      </c>
      <c r="D106" s="4" t="s">
        <v>2467</v>
      </c>
      <c r="E106" s="4" t="s">
        <v>2468</v>
      </c>
      <c r="G106" s="5" t="str">
        <f>IFERROR(__xludf.DUMMYFUNCTION("GOOGLETRANSLATE(A106, ""en"", ""ar"")"),"105")</f>
        <v>105</v>
      </c>
      <c r="H106" s="5" t="str">
        <f>IFERROR(__xludf.DUMMYFUNCTION("GOOGLETRANSLATE(B106, ""en"", ""ar"")"),"ما هو الإجراء الرسمي إذا تعرض الحكم لإصابة عن طريق الخطأ من قبل بقرة أثناء المباراة؟")</f>
        <v>ما هو الإجراء الرسمي إذا تعرض الحكم لإصابة عن طريق الخطأ من قبل بقرة أثناء المباراة؟</v>
      </c>
      <c r="I106" s="5" t="str">
        <f>IFERROR(__xludf.DUMMYFUNCTION("GOOGLETRANSLATE(C106, ""en"", ""ar"")"),"أ) تستمر المباراة مع حكم بديل؛ ب) يتم استبعاد البقرة على الفور؛ ج) يتم إيقاف المباراة وإعلانها بلا منافسة؛ د) يتم تغريم مالك البقرة")</f>
        <v>أ) تستمر المباراة مع حكم بديل؛ ب) يتم استبعاد البقرة على الفور؛ ج) يتم إيقاف المباراة وإعلانها بلا منافسة؛ د) يتم تغريم مالك البقرة</v>
      </c>
      <c r="J106" s="5" t="str">
        <f>IFERROR(__xludf.DUMMYFUNCTION("GOOGLETRANSLATE(D106, ""en"", ""ar"")"),"أ) تستمر المباراة مع حكم بديل")</f>
        <v>أ) تستمر المباراة مع حكم بديل</v>
      </c>
      <c r="K106" s="5" t="str">
        <f>IFERROR(__xludf.DUMMYFUNCTION("GOOGLETRANSLATE(E106, ""en"", ""ar"")"),"إذا أصيب أحد الحكام، يتم استبداله بمسؤول احتياطي معين، وتستأنف المباراة بمجرد أن يصبح ذلك آمنًا.")</f>
        <v>إذا أصيب أحد الحكام، يتم استبداله بمسؤول احتياطي معين، وتستأنف المباراة بمجرد أن يصبح ذلك آمنًا.</v>
      </c>
    </row>
    <row r="107">
      <c r="A107" s="3">
        <v>106.0</v>
      </c>
      <c r="B107" s="4" t="s">
        <v>2469</v>
      </c>
      <c r="C107" s="4" t="s">
        <v>2470</v>
      </c>
      <c r="D107" s="4" t="s">
        <v>2471</v>
      </c>
      <c r="E107" s="4" t="s">
        <v>2472</v>
      </c>
      <c r="G107" s="5" t="str">
        <f>IFERROR(__xludf.DUMMYFUNCTION("GOOGLETRANSLATE(A107, ""en"", ""ar"")"),"106")</f>
        <v>106</v>
      </c>
      <c r="H107" s="5" t="str">
        <f>IFERROR(__xludf.DUMMYFUNCTION("GOOGLETRANSLATE(B107, ""en"", ""ar"")"),"هل هناك قواعد بشأن العدد الأقصى للمدربين المسموح لهم بالدخول إلى الحلبة مع بقرة قبل القتال؟")</f>
        <v>هل هناك قواعد بشأن العدد الأقصى للمدربين المسموح لهم بالدخول إلى الحلبة مع بقرة قبل القتال؟</v>
      </c>
      <c r="I107" s="5" t="str">
        <f>IFERROR(__xludf.DUMMYFUNCTION("GOOGLETRANSLATE(C107, ""en"", ""ar"")"),"أ) لا، لا يوجد حد أقصى؛ ب) نعم، يُسمح فقط بعدد محدد من المعالجين؛ ج) يعتمد ذلك على حجم البقرة؛ د) يُسمح فقط للمالك")</f>
        <v>أ) لا، لا يوجد حد أقصى؛ ب) نعم، يُسمح فقط بعدد محدد من المعالجين؛ ج) يعتمد ذلك على حجم البقرة؛ د) يُسمح فقط للمالك</v>
      </c>
      <c r="J107" s="5" t="str">
        <f>IFERROR(__xludf.DUMMYFUNCTION("GOOGLETRANSLATE(D107, ""en"", ""ar"")"),"ب) نعم، يُسمح فقط بعدد محدد من المعالجين")</f>
        <v>ب) نعم، يُسمح فقط بعدد محدد من المعالجين</v>
      </c>
      <c r="K107" s="5" t="str">
        <f>IFERROR(__xludf.DUMMYFUNCTION("GOOGLETRANSLATE(E107, ""en"", ""ar"")"),"ولمنع الفوضى وضمان السلامة، فإن عدد الأشخاص الموجودين في الحلبة مع الحيوان محدود للغاية.")</f>
        <v>ولمنع الفوضى وضمان السلامة، فإن عدد الأشخاص الموجودين في الحلبة مع الحيوان محدود للغاية.</v>
      </c>
    </row>
    <row r="108">
      <c r="A108" s="3">
        <v>107.0</v>
      </c>
      <c r="B108" s="4" t="s">
        <v>2473</v>
      </c>
      <c r="C108" s="4" t="s">
        <v>2474</v>
      </c>
      <c r="D108" s="4" t="s">
        <v>2475</v>
      </c>
      <c r="E108" s="4" t="s">
        <v>2476</v>
      </c>
      <c r="G108" s="5" t="str">
        <f>IFERROR(__xludf.DUMMYFUNCTION("GOOGLETRANSLATE(A108, ""en"", ""ar"")"),"107")</f>
        <v>107</v>
      </c>
      <c r="H108" s="5" t="str">
        <f>IFERROR(__xludf.DUMMYFUNCTION("GOOGLETRANSLATE(B108, ""en"", ""ar"")"),"إذا تبين أن البقرة الفائزة أصغر من الحد الأدنى للعمر لفئتها، ما هي النتيجة؟")</f>
        <v>إذا تبين أن البقرة الفائزة أصغر من الحد الأدنى للعمر لفئتها، ما هي النتيجة؟</v>
      </c>
      <c r="I108" s="5" t="str">
        <f>IFERROR(__xludf.DUMMYFUNCTION("GOOGLETRANSLATE(C108, ""en"", ""ar"")"),"أ) يظل الفوز قائمًا، ولكن يتم تحذير المالك؛ ب) يتم استبعاد البقرة وإعادة أموال الجائزة؛ ج) يتم نقل البقرة إلى الفئة الصحيحة بأثر رجعي؛ د) لا توجد عقوبة")</f>
        <v>أ) يظل الفوز قائمًا، ولكن يتم تحذير المالك؛ ب) يتم استبعاد البقرة وإعادة أموال الجائزة؛ ج) يتم نقل البقرة إلى الفئة الصحيحة بأثر رجعي؛ د) لا توجد عقوبة</v>
      </c>
      <c r="J108" s="5" t="str">
        <f>IFERROR(__xludf.DUMMYFUNCTION("GOOGLETRANSLATE(D108, ""en"", ""ar"")"),"ب) يتم استبعاد البقرة وإعادة أموال الجائزة")</f>
        <v>ب) يتم استبعاد البقرة وإعادة أموال الجائزة</v>
      </c>
      <c r="K108" s="5" t="str">
        <f>IFERROR(__xludf.DUMMYFUNCTION("GOOGLETRANSLATE(E108, ""en"", ""ar"")"),"يعد انتهاك قواعد الفئة العمرية أحد أشكال الغش الذي يؤدي إلى الاستبعاد ومصادرة أي مكاسب.")</f>
        <v>يعد انتهاك قواعد الفئة العمرية أحد أشكال الغش الذي يؤدي إلى الاستبعاد ومصادرة أي مكاسب.</v>
      </c>
    </row>
    <row r="109">
      <c r="A109" s="3">
        <v>108.0</v>
      </c>
      <c r="B109" s="4" t="s">
        <v>2477</v>
      </c>
      <c r="C109" s="4" t="s">
        <v>2478</v>
      </c>
      <c r="D109" s="4" t="s">
        <v>2479</v>
      </c>
      <c r="E109" s="4" t="s">
        <v>2480</v>
      </c>
      <c r="G109" s="5" t="str">
        <f>IFERROR(__xludf.DUMMYFUNCTION("GOOGLETRANSLATE(A109, ""en"", ""ar"")"),"108")</f>
        <v>108</v>
      </c>
      <c r="H109" s="5" t="str">
        <f>IFERROR(__xludf.DUMMYFUNCTION("GOOGLETRANSLATE(B109, ""en"", ""ar"")"),"هل يمكن منع البقرة التي لديها تاريخ موثق في الهروب من المعارك من المسابقات المستقبلية؟")</f>
        <v>هل يمكن منع البقرة التي لديها تاريخ موثق في الهروب من المعارك من المسابقات المستقبلية؟</v>
      </c>
      <c r="I109" s="5" t="str">
        <f>IFERROR(__xludf.DUMMYFUNCTION("GOOGLETRANSLATE(C109, ""en"", ""ar"")"),"أ) لا، جميع الأبقار لها الحق في المنافسة؛ ب) نعم، إذا اعتُبر ذلك غير تنافسي؛ ج) فقط إذا حدث ذلك ثلاث مرات متتالية؛ د) فقط إذا وافق المالك")</f>
        <v>أ) لا، جميع الأبقار لها الحق في المنافسة؛ ب) نعم، إذا اعتُبر ذلك غير تنافسي؛ ج) فقط إذا حدث ذلك ثلاث مرات متتالية؛ د) فقط إذا وافق المالك</v>
      </c>
      <c r="J109" s="5" t="str">
        <f>IFERROR(__xludf.DUMMYFUNCTION("GOOGLETRANSLATE(D109, ""en"", ""ar"")"),"ب) نعم، إذا اعتبر أنه غير تنافسي")</f>
        <v>ب) نعم، إذا اعتبر أنه غير تنافسي</v>
      </c>
      <c r="K109" s="5" t="str">
        <f>IFERROR(__xludf.DUMMYFUNCTION("GOOGLETRANSLATE(E109, ""en"", ""ar"")"),"يمكن لمنظمي الحدث رفض دخول الحيوانات التي تفشل باستمرار في المشاركة، لأن ذلك يعطل الحدث ويخيب آمال المتفرجين.")</f>
        <v>يمكن لمنظمي الحدث رفض دخول الحيوانات التي تفشل باستمرار في المشاركة، لأن ذلك يعطل الحدث ويخيب آمال المتفرجين.</v>
      </c>
    </row>
    <row r="110">
      <c r="A110" s="3">
        <v>109.0</v>
      </c>
      <c r="B110" s="4" t="s">
        <v>2481</v>
      </c>
      <c r="C110" s="4" t="s">
        <v>2482</v>
      </c>
      <c r="D110" s="4" t="s">
        <v>2483</v>
      </c>
      <c r="E110" s="4" t="s">
        <v>2484</v>
      </c>
      <c r="G110" s="5" t="str">
        <f>IFERROR(__xludf.DUMMYFUNCTION("GOOGLETRANSLATE(A110, ""en"", ""ar"")"),"109")</f>
        <v>109</v>
      </c>
      <c r="H110" s="5" t="str">
        <f>IFERROR(__xludf.DUMMYFUNCTION("GOOGLETRANSLATE(B110, ""en"", ""ar"")"),"ما هي القاعدة بشأن استخدام طلاء الوجه التقليدي أو علامات الجسم على الأبقار؟")</f>
        <v>ما هي القاعدة بشأن استخدام طلاء الوجه التقليدي أو علامات الجسم على الأبقار؟</v>
      </c>
      <c r="I110" s="5" t="str">
        <f>IFERROR(__xludf.DUMMYFUNCTION("GOOGLETRANSLATE(C110, ""en"", ""ar"")"),"أ) غير مسموح بها؛ ب) مسموح بها إذا كانت غير سامة؛ ج) مسموح بألوان معينة فقط؛ د) فقط للعروض الاحتفالية، وليس القتال الفعلي")</f>
        <v>أ) غير مسموح بها؛ ب) مسموح بها إذا كانت غير سامة؛ ج) مسموح بألوان معينة فقط؛ د) فقط للعروض الاحتفالية، وليس القتال الفعلي</v>
      </c>
      <c r="J110" s="5" t="str">
        <f>IFERROR(__xludf.DUMMYFUNCTION("GOOGLETRANSLATE(D110, ""en"", ""ar"")"),"ب) مسموح بها إذا كانت غير سامة")</f>
        <v>ب) مسموح بها إذا كانت غير سامة</v>
      </c>
      <c r="K110" s="5" t="str">
        <f>IFERROR(__xludf.DUMMYFUNCTION("GOOGLETRANSLATE(E110, ""en"", ""ar"")"),"يُسمح بالعلامات الثقافية، بشرط أن تكون المواد المستخدمة آمنة ولا تسبب تهيجًا أو ضررًا للحيوان.")</f>
        <v>يُسمح بالعلامات الثقافية، بشرط أن تكون المواد المستخدمة آمنة ولا تسبب تهيجًا أو ضررًا للحيوان.</v>
      </c>
    </row>
    <row r="111">
      <c r="A111" s="3">
        <v>110.0</v>
      </c>
      <c r="B111" s="4" t="s">
        <v>2485</v>
      </c>
      <c r="C111" s="4" t="s">
        <v>2486</v>
      </c>
      <c r="D111" s="4" t="s">
        <v>2487</v>
      </c>
      <c r="E111" s="4" t="s">
        <v>2488</v>
      </c>
      <c r="G111" s="5" t="str">
        <f>IFERROR(__xludf.DUMMYFUNCTION("GOOGLETRANSLATE(A111, ""en"", ""ar"")"),"110")</f>
        <v>110</v>
      </c>
      <c r="H111" s="5" t="str">
        <f>IFERROR(__xludf.DUMMYFUNCTION("GOOGLETRANSLATE(B111, ""en"", ""ar"")"),"ما هي عقوبة المالك الذي يتم القبض عليه وهو يحاول رشوة الخصم ليخسر قتالاً؟")</f>
        <v>ما هي عقوبة المالك الذي يتم القبض عليه وهو يحاول رشوة الخصم ليخسر قتالاً؟</v>
      </c>
      <c r="I111" s="5" t="str">
        <f>IFERROR(__xludf.DUMMYFUNCTION("GOOGLETRANSLATE(C111, ""en"", ""ar"")"),"أ) تحذير؛ ب) غرامة؛ ج) حظر مدى الحياة لكلا الطرفين المعنيين؛ د) يتم إعلان المباراة بلا منافسة")</f>
        <v>أ) تحذير؛ ب) غرامة؛ ج) حظر مدى الحياة لكلا الطرفين المعنيين؛ د) يتم إعلان المباراة بلا منافسة</v>
      </c>
      <c r="J111" s="5" t="str">
        <f>IFERROR(__xludf.DUMMYFUNCTION("GOOGLETRANSLATE(D111, ""en"", ""ar"")"),"ج) حظر مدى الحياة لكلا الطرفين المعنيين")</f>
        <v>ج) حظر مدى الحياة لكلا الطرفين المعنيين</v>
      </c>
      <c r="K111" s="5" t="str">
        <f>IFERROR(__xludf.DUMMYFUNCTION("GOOGLETRANSLATE(E111, ""en"", ""ar"")"),"يعد التلاعب بنتائج المباريات جريمة كبرى تقوض نزاهة الرياضة وتؤدي إلى فرض عقوبات شديدة.")</f>
        <v>يعد التلاعب بنتائج المباريات جريمة كبرى تقوض نزاهة الرياضة وتؤدي إلى فرض عقوبات شديدة.</v>
      </c>
    </row>
    <row r="112">
      <c r="A112" s="3">
        <v>111.0</v>
      </c>
      <c r="B112" s="4" t="s">
        <v>2489</v>
      </c>
      <c r="C112" s="4" t="s">
        <v>2490</v>
      </c>
      <c r="D112" s="4" t="s">
        <v>2491</v>
      </c>
      <c r="E112" s="4" t="s">
        <v>2492</v>
      </c>
      <c r="G112" s="5" t="str">
        <f>IFERROR(__xludf.DUMMYFUNCTION("GOOGLETRANSLATE(A112, ""en"", ""ar"")"),"111")</f>
        <v>111</v>
      </c>
      <c r="H112" s="5" t="str">
        <f>IFERROR(__xludf.DUMMYFUNCTION("GOOGLETRANSLATE(B112, ""en"", ""ar"")"),"هل هناك قواعد تتعلق بجينات الأبقار المشاركة، مثل حظر السلالات المهجنة؟")</f>
        <v>هل هناك قواعد تتعلق بجينات الأبقار المشاركة، مثل حظر السلالات المهجنة؟</v>
      </c>
      <c r="I112" s="5" t="str">
        <f>IFERROR(__xludf.DUMMYFUNCTION("GOOGLETRANSLATE(C112, ""en"", ""ar"")"),"أ) لا، يمكن لأي سلالة أو سلالة مختلطة التنافس؛ ب) نعم، يُسمح فقط للماشية المحلية الأصيلة؛ ج) تتنافس السلالات المختلطة في فئة منفصلة؛ د) يعتمد ذلك على قواعد المنافسة المحددة")</f>
        <v>أ) لا، يمكن لأي سلالة أو سلالة مختلطة التنافس؛ ب) نعم، يُسمح فقط للماشية المحلية الأصيلة؛ ج) تتنافس السلالات المختلطة في فئة منفصلة؛ د) يعتمد ذلك على قواعد المنافسة المحددة</v>
      </c>
      <c r="J112" s="5" t="str">
        <f>IFERROR(__xludf.DUMMYFUNCTION("GOOGLETRANSLATE(D112, ""en"", ""ar"")"),"د) يعتمد ذلك على قواعد المسابقة المحددة")</f>
        <v>د) يعتمد ذلك على قواعد المسابقة المحددة</v>
      </c>
      <c r="K112" s="5" t="str">
        <f>IFERROR(__xludf.DUMMYFUNCTION("GOOGLETRANSLATE(E112, ""en"", ""ar"")"),"في حين أن بعض الأحداث مفتوحة، فإن العديد من المسابقات التقليدية لها قواعد تحدد السلالات المؤهلة للحفاظ على التراث المحلي.")</f>
        <v>في حين أن بعض الأحداث مفتوحة، فإن العديد من المسابقات التقليدية لها قواعد تحدد السلالات المؤهلة للحفاظ على التراث المحلي.</v>
      </c>
    </row>
    <row r="113">
      <c r="A113" s="3">
        <v>112.0</v>
      </c>
      <c r="B113" s="4" t="s">
        <v>2493</v>
      </c>
      <c r="C113" s="4" t="s">
        <v>2494</v>
      </c>
      <c r="D113" s="4" t="s">
        <v>2495</v>
      </c>
      <c r="E113" s="4" t="s">
        <v>2496</v>
      </c>
      <c r="G113" s="5" t="str">
        <f>IFERROR(__xludf.DUMMYFUNCTION("GOOGLETRANSLATE(A113, ""en"", ""ar"")"),"112")</f>
        <v>112</v>
      </c>
      <c r="H113" s="5" t="str">
        <f>IFERROR(__xludf.DUMMYFUNCTION("GOOGLETRANSLATE(B113, ""en"", ""ar"")"),"إذا أصيبت بقرة بجرح بسيط أثناء القتال، فهل يستطيع المدرب وضع مسحوق قابض للنزيف أثناء المباراة؟")</f>
        <v>إذا أصيبت بقرة بجرح بسيط أثناء القتال، فهل يستطيع المدرب وضع مسحوق قابض للنزيف أثناء المباراة؟</v>
      </c>
      <c r="I113" s="5" t="str">
        <f>IFERROR(__xludf.DUMMYFUNCTION("GOOGLETRANSLATE(C113, ""en"", ""ar"")"),"أ) نعم، هذا مسموح به؛ ب) لا، جميع أشكال العلاج أثناء المباراة محظورة؛ ج) الطبيب البيطري الرسمي فقط هو من يمكنه إعطاء العلاج؛ د) يجب إيقاف القتال")</f>
        <v>أ) نعم، هذا مسموح به؛ ب) لا، جميع أشكال العلاج أثناء المباراة محظورة؛ ج) الطبيب البيطري الرسمي فقط هو من يمكنه إعطاء العلاج؛ د) يجب إيقاف القتال</v>
      </c>
      <c r="J113" s="5" t="str">
        <f>IFERROR(__xludf.DUMMYFUNCTION("GOOGLETRANSLATE(D113, ""en"", ""ar"")"),"ج) لا يجوز إعطاء العلاج إلا للطبيب البيطري الرسمي")</f>
        <v>ج) لا يجوز إعطاء العلاج إلا للطبيب البيطري الرسمي</v>
      </c>
      <c r="K113" s="5" t="str">
        <f>IFERROR(__xludf.DUMMYFUNCTION("GOOGLETRANSLATE(E113, ""en"", ""ar"")"),"لضمان الرعاية الطبية المناسبة ومنع استخدام المواد غير القانونية، لا يجوز إلا للطبيب البيطري المتواجد في الموقع علاج الحيوان أثناء المنافسة.")</f>
        <v>لضمان الرعاية الطبية المناسبة ومنع استخدام المواد غير القانونية، لا يجوز إلا للطبيب البيطري المتواجد في الموقع علاج الحيوان أثناء المنافسة.</v>
      </c>
    </row>
    <row r="114">
      <c r="A114" s="3">
        <v>113.0</v>
      </c>
      <c r="B114" s="4" t="s">
        <v>2497</v>
      </c>
      <c r="C114" s="4" t="s">
        <v>2498</v>
      </c>
      <c r="D114" s="4" t="s">
        <v>2499</v>
      </c>
      <c r="E114" s="4" t="s">
        <v>2500</v>
      </c>
      <c r="G114" s="5" t="str">
        <f>IFERROR(__xludf.DUMMYFUNCTION("GOOGLETRANSLATE(A114, ""en"", ""ar"")"),"113")</f>
        <v>113</v>
      </c>
      <c r="H114" s="5" t="str">
        <f>IFERROR(__xludf.DUMMYFUNCTION("GOOGLETRANSLATE(B114, ""en"", ""ar"")"),"ما هو الإجراء الرسمي إذا وجد أن القاضي لديه مصلحة مالية في إحدى الأبقار المتنافسة؟")</f>
        <v>ما هو الإجراء الرسمي إذا وجد أن القاضي لديه مصلحة مالية في إحدى الأبقار المتنافسة؟</v>
      </c>
      <c r="I114" s="5" t="str">
        <f>IFERROR(__xludf.DUMMYFUNCTION("GOOGLETRANSLATE(C114, ""en"", ""ar"")"),"أ) يُسمح للحكم بالتحكيم ولكن يجب عليه أن يعلن عن مصلحته؛ ب) يتم إزالة الحكم على الفور واستبداله؛ ج) لا يمكن للحكم سوى تسجيل النقاط في المعارك الأخرى؛ د) لا توجد قاعدة ضد هذا")</f>
        <v>أ) يُسمح للحكم بالتحكيم ولكن يجب عليه أن يعلن عن مصلحته؛ ب) يتم إزالة الحكم على الفور واستبداله؛ ج) لا يمكن للحكم سوى تسجيل النقاط في المعارك الأخرى؛ د) لا توجد قاعدة ضد هذا</v>
      </c>
      <c r="J114" s="5" t="str">
        <f>IFERROR(__xludf.DUMMYFUNCTION("GOOGLETRANSLATE(D114, ""en"", ""ar"")"),"ب) يتم عزل القاضي واستبداله على الفور")</f>
        <v>ب) يتم عزل القاضي واستبداله على الفور</v>
      </c>
      <c r="K114" s="5" t="str">
        <f>IFERROR(__xludf.DUMMYFUNCTION("GOOGLETRANSLATE(E114, ""en"", ""ar"")"),"لتجنب تضارب المصالح وضمان النزاهة، لا يُسمح لأي مسؤول لديه صلة بالمنافس بالتحكيم في تلك المباراة.")</f>
        <v>لتجنب تضارب المصالح وضمان النزاهة، لا يُسمح لأي مسؤول لديه صلة بالمنافس بالتحكيم في تلك المباراة.</v>
      </c>
    </row>
    <row r="115">
      <c r="A115" s="3">
        <v>114.0</v>
      </c>
      <c r="B115" s="4" t="s">
        <v>2501</v>
      </c>
      <c r="C115" s="4" t="s">
        <v>2502</v>
      </c>
      <c r="D115" s="4" t="s">
        <v>2503</v>
      </c>
      <c r="E115" s="4" t="s">
        <v>2504</v>
      </c>
      <c r="G115" s="5" t="str">
        <f>IFERROR(__xludf.DUMMYFUNCTION("GOOGLETRANSLATE(A115, ""en"", ""ar"")"),"114")</f>
        <v>114</v>
      </c>
      <c r="H115" s="5" t="str">
        <f>IFERROR(__xludf.DUMMYFUNCTION("GOOGLETRANSLATE(B115, ""en"", ""ar"")"),"هل هناك قواعد بشأن مقدار الراحة التي يجب أن تحصل عليها البقرة بين أحداث المنافسة المختلفة (على سبيل المثال، بين بطولتين)؟")</f>
        <v>هل هناك قواعد بشأن مقدار الراحة التي يجب أن تحصل عليها البقرة بين أحداث المنافسة المختلفة (على سبيل المثال، بين بطولتين)؟</v>
      </c>
      <c r="I115" s="5" t="str">
        <f>IFERROR(__xludf.DUMMYFUNCTION("GOOGLETRANSLATE(C115, ""en"", ""ar"")"),"أ) لا، الأمر متروك لتقدير المالك؛ ب) نعم، يتم فرض فترة راحة إلزامية؛ ج) فقط للأبقار الصغيرة؛ د) فقط إذا خسرت البقرة مباراتها السابقة")</f>
        <v>أ) لا، الأمر متروك لتقدير المالك؛ ب) نعم، يتم فرض فترة راحة إلزامية؛ ج) فقط للأبقار الصغيرة؛ د) فقط إذا خسرت البقرة مباراتها السابقة</v>
      </c>
      <c r="J115" s="5" t="str">
        <f>IFERROR(__xludf.DUMMYFUNCTION("GOOGLETRANSLATE(D115, ""en"", ""ar"")"),"ب) نعم، يتم فرض فترة راحة إلزامية")</f>
        <v>ب) نعم، يتم فرض فترة راحة إلزامية</v>
      </c>
      <c r="K115" s="5" t="str">
        <f>IFERROR(__xludf.DUMMYFUNCTION("GOOGLETRANSLATE(E115, ""en"", ""ar"")"),"غالبًا ما تحدد لوائح رعاية الحيوان الحد الأدنى لعدد الأيام التي يجب أن تستريح فيها البقرة بين المسابقات الكبرى لمنع الإرهاق والإصابة.")</f>
        <v>غالبًا ما تحدد لوائح رعاية الحيوان الحد الأدنى لعدد الأيام التي يجب أن تستريح فيها البقرة بين المسابقات الكبرى لمنع الإرهاق والإصابة.</v>
      </c>
    </row>
    <row r="116">
      <c r="A116" s="3">
        <v>115.0</v>
      </c>
      <c r="B116" s="4" t="s">
        <v>2505</v>
      </c>
      <c r="C116" s="4" t="s">
        <v>2506</v>
      </c>
      <c r="D116" s="4" t="s">
        <v>2507</v>
      </c>
      <c r="E116" s="4" t="s">
        <v>2508</v>
      </c>
      <c r="G116" s="5" t="str">
        <f>IFERROR(__xludf.DUMMYFUNCTION("GOOGLETRANSLATE(A116, ""en"", ""ar"")"),"115")</f>
        <v>115</v>
      </c>
      <c r="H116" s="5" t="str">
        <f>IFERROR(__xludf.DUMMYFUNCTION("GOOGLETRANSLATE(B116, ""en"", ""ar"")"),"ماذا يحدث إذا تم اكتشاف أن مدرب البقرة يستخدم جهاز تدريب قاسي ومحظور (مثل أداة كهربائية) في الحدث؟")</f>
        <v>ماذا يحدث إذا تم اكتشاف أن مدرب البقرة يستخدم جهاز تدريب قاسي ومحظور (مثل أداة كهربائية) في الحدث؟</v>
      </c>
      <c r="I116" s="5" t="str">
        <f>IFERROR(__xludf.DUMMYFUNCTION("GOOGLETRANSLATE(C116, ""en"", ""ar"")"),"أ) يتم تحذير المُعالج؛ ب) تتم مصادرة الجهاز، ويتم استبعاد البقرة؛ ج) يتم إصدار غرامة؛ د) يتم استبدال المُعالج بشخص آخر")</f>
        <v>أ) يتم تحذير المُعالج؛ ب) تتم مصادرة الجهاز، ويتم استبعاد البقرة؛ ج) يتم إصدار غرامة؛ د) يتم استبدال المُعالج بشخص آخر</v>
      </c>
      <c r="J116" s="5" t="str">
        <f>IFERROR(__xludf.DUMMYFUNCTION("GOOGLETRANSLATE(D116, ""en"", ""ar"")"),"ب) يتم مصادرة الجهاز واستبعاد البقرة")</f>
        <v>ب) يتم مصادرة الجهاز واستبعاد البقرة</v>
      </c>
      <c r="K116" s="5" t="str">
        <f>IFERROR(__xludf.DUMMYFUNCTION("GOOGLETRANSLATE(E116, ""en"", ""ar"")"),"إن استخدام أجهزة التدريب القاسية يعد انتهاكًا كبيرًا لرفاهية الحيوان ويؤدي إلى الاستبعاد الفوري والعقوبات الإضافية.")</f>
        <v>إن استخدام أجهزة التدريب القاسية يعد انتهاكًا كبيرًا لرفاهية الحيوان ويؤدي إلى الاستبعاد الفوري والعقوبات الإضافية.</v>
      </c>
    </row>
    <row r="117">
      <c r="A117" s="3">
        <v>116.0</v>
      </c>
      <c r="B117" s="4" t="s">
        <v>2509</v>
      </c>
      <c r="C117" s="4" t="s">
        <v>2510</v>
      </c>
      <c r="D117" s="4" t="s">
        <v>2511</v>
      </c>
      <c r="E117" s="4" t="s">
        <v>2512</v>
      </c>
      <c r="G117" s="5" t="str">
        <f>IFERROR(__xludf.DUMMYFUNCTION("GOOGLETRANSLATE(A117, ""en"", ""ar"")"),"116")</f>
        <v>116</v>
      </c>
      <c r="H117" s="5" t="str">
        <f>IFERROR(__xludf.DUMMYFUNCTION("GOOGLETRANSLATE(B117, ""en"", ""ar"")"),"هل يمكن لمالك أن يطعن في نتيجة القتال بناءً على تشخيص الطبيب البيطري بعد القتال (على سبيل المثال، العثور على إصابة مخفية لدى الخصم)؟")</f>
        <v>هل يمكن لمالك أن يطعن في نتيجة القتال بناءً على تشخيص الطبيب البيطري بعد القتال (على سبيل المثال، العثور على إصابة مخفية لدى الخصم)؟</v>
      </c>
      <c r="I117" s="5" t="str">
        <f>IFERROR(__xludf.DUMMYFUNCTION("GOOGLETRANSLATE(C117, ""en"", ""ar"")"),"أ) لا، قرار الحكم في الحلبة نهائي؛ ب) نعم، يمكن تقديم احتجاج على هذه الأسس؛ ج) فقط إذا كانت الإصابة تهدد الحياة؛ د) فقط إذا كان المالك طبيبًا بيطريًا")</f>
        <v>أ) لا، قرار الحكم في الحلبة نهائي؛ ب) نعم، يمكن تقديم احتجاج على هذه الأسس؛ ج) فقط إذا كانت الإصابة تهدد الحياة؛ د) فقط إذا كان المالك طبيبًا بيطريًا</v>
      </c>
      <c r="J117" s="5" t="str">
        <f>IFERROR(__xludf.DUMMYFUNCTION("GOOGLETRANSLATE(D117, ""en"", ""ar"")"),"أ) لا، قرار الحكم في الحلبة نهائي.")</f>
        <v>أ) لا، قرار الحكم في الحلبة نهائي.</v>
      </c>
      <c r="K117" s="5" t="str">
        <f>IFERROR(__xludf.DUMMYFUNCTION("GOOGLETRANSLATE(E117, ""en"", ""ar"")"),"إن نتيجة القتال تتحدد بما يحدث في الحلبة، ولا تؤدي النتائج التي تلي القتال عادة إلى تغيير النتيجة.")</f>
        <v>إن نتيجة القتال تتحدد بما يحدث في الحلبة، ولا تؤدي النتائج التي تلي القتال عادة إلى تغيير النتيجة.</v>
      </c>
    </row>
    <row r="118">
      <c r="A118" s="3">
        <v>117.0</v>
      </c>
      <c r="B118" s="4" t="s">
        <v>2513</v>
      </c>
      <c r="C118" s="4" t="s">
        <v>2514</v>
      </c>
      <c r="D118" s="4" t="s">
        <v>2515</v>
      </c>
      <c r="E118" s="4" t="s">
        <v>2516</v>
      </c>
      <c r="G118" s="5" t="str">
        <f>IFERROR(__xludf.DUMMYFUNCTION("GOOGLETRANSLATE(A118, ""en"", ""ar"")"),"117")</f>
        <v>117</v>
      </c>
      <c r="H118" s="5" t="str">
        <f>IFERROR(__xludf.DUMMYFUNCTION("GOOGLETRANSLATE(B118, ""en"", ""ar"")"),"هل هناك قواعد تمنع استخدام التنويم المغناطيسي أو غيره من التقنيات النفسية على الأبقار؟")</f>
        <v>هل هناك قواعد تمنع استخدام التنويم المغناطيسي أو غيره من التقنيات النفسية على الأبقار؟</v>
      </c>
      <c r="I118" s="5" t="str">
        <f>IFERROR(__xludf.DUMMYFUNCTION("GOOGLETRANSLATE(C118, ""en"", ""ar"")"),"أ) لا، جميع الأساليب النفسية مسموح بها؛ ب) نعم، يُعتبر هذا شكلاً من أشكال التلاعب غير القانوني؛ ج) لم يتم تناوله في القواعد؛ د) فقط إذا تم إجراؤه بواسطة متخصص معتمد")</f>
        <v>أ) لا، جميع الأساليب النفسية مسموح بها؛ ب) نعم، يُعتبر هذا شكلاً من أشكال التلاعب غير القانوني؛ ج) لم يتم تناوله في القواعد؛ د) فقط إذا تم إجراؤه بواسطة متخصص معتمد</v>
      </c>
      <c r="J118" s="5" t="str">
        <f>IFERROR(__xludf.DUMMYFUNCTION("GOOGLETRANSLATE(D118, ""en"", ""ar"")"),"ج) لم يتم تناولها في القواعد")</f>
        <v>ج) لم يتم تناولها في القواعد</v>
      </c>
      <c r="K118" s="5" t="str">
        <f>IFERROR(__xludf.DUMMYFUNCTION("GOOGLETRANSLATE(E118, ""en"", ""ar"")"),"في حين يتم تناول المنشطات والتلاعب الجسدي، فإن الأساليب الأكثر غموضًا مثل التنويم المغناطيسي لا يتم ذكرها عمومًا في اللوائح الرسمية.")</f>
        <v>في حين يتم تناول المنشطات والتلاعب الجسدي، فإن الأساليب الأكثر غموضًا مثل التنويم المغناطيسي لا يتم ذكرها عمومًا في اللوائح الرسمية.</v>
      </c>
    </row>
    <row r="119">
      <c r="A119" s="3">
        <v>118.0</v>
      </c>
      <c r="B119" s="4" t="s">
        <v>2517</v>
      </c>
      <c r="C119" s="4" t="s">
        <v>2518</v>
      </c>
      <c r="D119" s="4" t="s">
        <v>2519</v>
      </c>
      <c r="E119" s="4" t="s">
        <v>2520</v>
      </c>
      <c r="G119" s="5" t="str">
        <f>IFERROR(__xludf.DUMMYFUNCTION("GOOGLETRANSLATE(A119, ""en"", ""ar"")"),"118")</f>
        <v>118</v>
      </c>
      <c r="H119" s="5" t="str">
        <f>IFERROR(__xludf.DUMMYFUNCTION("GOOGLETRANSLATE(B119, ""en"", ""ar"")"),"ما هو البروتوكول إذا ماتت بقرة بسبب ضربة شمس في مكان المنافسة؟")</f>
        <v>ما هو البروتوكول إذا ماتت بقرة بسبب ضربة شمس في مكان المنافسة؟</v>
      </c>
      <c r="I119" s="5" t="str">
        <f>IFERROR(__xludf.DUMMYFUNCTION("GOOGLETRANSLATE(C119, ""en"", ""ar"")"),"أ) يعتبر حادثًا مؤسفًا؛ ب) يواجه المالك تحقيقًا بتهمة الإهمال؛ ج) يتم إلغاء الحدث على الفور؛ د) يتم إقامة حفل تكريم للحيوان")</f>
        <v>أ) يعتبر حادثًا مؤسفًا؛ ب) يواجه المالك تحقيقًا بتهمة الإهمال؛ ج) يتم إلغاء الحدث على الفور؛ د) يتم إقامة حفل تكريم للحيوان</v>
      </c>
      <c r="J119" s="5" t="str">
        <f>IFERROR(__xludf.DUMMYFUNCTION("GOOGLETRANSLATE(D119, ""en"", ""ar"")"),"ب) يواجه المالك تحقيقًا بتهمة الإهمال")</f>
        <v>ب) يواجه المالك تحقيقًا بتهمة الإهمال</v>
      </c>
      <c r="K119" s="5" t="str">
        <f>IFERROR(__xludf.DUMMYFUNCTION("GOOGLETRANSLATE(E119, ""en"", ""ar"")"),"إن موت حيوان بسبب حالة يمكن الوقاية منها مثل ضربة الشمس يمكن أن يؤدي إلى إجراء تحقيق رسمي في انتهاكات محتملة لرفاهية الحيوان.")</f>
        <v>إن موت حيوان بسبب حالة يمكن الوقاية منها مثل ضربة الشمس يمكن أن يؤدي إلى إجراء تحقيق رسمي في انتهاكات محتملة لرفاهية الحيوان.</v>
      </c>
    </row>
    <row r="120">
      <c r="A120" s="3">
        <v>119.0</v>
      </c>
      <c r="B120" s="4" t="s">
        <v>2521</v>
      </c>
      <c r="C120" s="4" t="s">
        <v>2522</v>
      </c>
      <c r="D120" s="4" t="s">
        <v>2523</v>
      </c>
      <c r="E120" s="4" t="s">
        <v>2524</v>
      </c>
      <c r="G120" s="5" t="str">
        <f>IFERROR(__xludf.DUMMYFUNCTION("GOOGLETRANSLATE(A120, ""en"", ""ar"")"),"119")</f>
        <v>119</v>
      </c>
      <c r="H120" s="5" t="str">
        <f>IFERROR(__xludf.DUMMYFUNCTION("GOOGLETRANSLATE(B120, ""en"", ""ar"")"),"هل يشترط في ساحة القتال أن تكون هناك منطقة مخصصة وآمنة لإجراء الفحوصات البيطرية؟")</f>
        <v>هل يشترط في ساحة القتال أن تكون هناك منطقة مخصصة وآمنة لإجراء الفحوصات البيطرية؟</v>
      </c>
      <c r="I120" s="5" t="str">
        <f>IFERROR(__xludf.DUMMYFUNCTION("GOOGLETRANSLATE(C120, ""en"", ""ar"")"),"أ) لا، يمكن إجراء الفحوصات في أي مكان؛ ب) نعم، يعد وجود مركز بيطري مناسب أمرًا إلزاميًا؛ ج) فقط للأحداث الدولية الكبيرة؛ د) يوصى بذلك ولكن ليس إلزاميًا")</f>
        <v>أ) لا، يمكن إجراء الفحوصات في أي مكان؛ ب) نعم، يعد وجود مركز بيطري مناسب أمرًا إلزاميًا؛ ج) فقط للأحداث الدولية الكبيرة؛ د) يوصى بذلك ولكن ليس إلزاميًا</v>
      </c>
      <c r="J120" s="5" t="str">
        <f>IFERROR(__xludf.DUMMYFUNCTION("GOOGLETRANSLATE(D120, ""en"", ""ar"")"),"ب) نعم، وجود مركز بيطري مناسب أمر إلزامي")</f>
        <v>ب) نعم، وجود مركز بيطري مناسب أمر إلزامي</v>
      </c>
      <c r="K120" s="5" t="str">
        <f>IFERROR(__xludf.DUMMYFUNCTION("GOOGLETRANSLATE(E120, ""en"", ""ar"")"),"يجب أن تحتوي الأماكن الرسمية على منطقة مخصصة وآمنة ونظيفة حيث يمكن للأطباء البيطريين فحص الحيوانات بشكل صحيح.")</f>
        <v>يجب أن تحتوي الأماكن الرسمية على منطقة مخصصة وآمنة ونظيفة حيث يمكن للأطباء البيطريين فحص الحيوانات بشكل صحيح.</v>
      </c>
    </row>
    <row r="121">
      <c r="A121" s="3">
        <v>120.0</v>
      </c>
      <c r="B121" s="4" t="s">
        <v>2525</v>
      </c>
      <c r="C121" s="4" t="s">
        <v>2526</v>
      </c>
      <c r="D121" s="4" t="s">
        <v>2527</v>
      </c>
      <c r="E121" s="4" t="s">
        <v>2528</v>
      </c>
      <c r="G121" s="5" t="str">
        <f>IFERROR(__xludf.DUMMYFUNCTION("GOOGLETRANSLATE(A121, ""en"", ""ar"")"),"120")</f>
        <v>120</v>
      </c>
      <c r="H121" s="5" t="str">
        <f>IFERROR(__xludf.DUMMYFUNCTION("GOOGLETRANSLATE(B121, ""en"", ""ar"")"),"ما هي العقوبة التي يجب أن يحصل عليها صاحب البقرة الذي يرفض السماح لها بإجراء اختبار المخدرات؟")</f>
        <v>ما هي العقوبة التي يجب أن يحصل عليها صاحب البقرة الذي يرفض السماح لها بإجراء اختبار المخدرات؟</v>
      </c>
      <c r="I121" s="5" t="str">
        <f>IFERROR(__xludf.DUMMYFUNCTION("GOOGLETRANSLATE(C121, ""en"", ""ar"")"),"أ) غرامة؛ ب) نفس الاختبار الإيجابي: الاستبعاد والإيقاف؛ ج) تحذير للرفض الأول؛ د) يتم اختبار البقرة في الحدث التالي بدلاً من ذلك")</f>
        <v>أ) غرامة؛ ب) نفس الاختبار الإيجابي: الاستبعاد والإيقاف؛ ج) تحذير للرفض الأول؛ د) يتم اختبار البقرة في الحدث التالي بدلاً من ذلك</v>
      </c>
      <c r="J121" s="5" t="str">
        <f>IFERROR(__xludf.DUMMYFUNCTION("GOOGLETRANSLATE(D121, ""en"", ""ar"")"),"ب) مثل الاختبار الإيجابي: الاستبعاد والإيقاف")</f>
        <v>ب) مثل الاختبار الإيجابي: الاستبعاد والإيقاف</v>
      </c>
      <c r="K121" s="5" t="str">
        <f>IFERROR(__xludf.DUMMYFUNCTION("GOOGLETRANSLATE(E121, ""en"", ""ar"")"),"ويعتبر رفض الخضوع لاختبار المنشطات بمثابة اعتراف بالذنب ويحمل نفس العقوبات الشديدة التي يفرضها الفشل في الاختبار.")</f>
        <v>ويعتبر رفض الخضوع لاختبار المنشطات بمثابة اعتراف بالذنب ويحمل نفس العقوبات الشديدة التي يفرضها الفشل في الاختبار.</v>
      </c>
    </row>
    <row r="122">
      <c r="A122" s="3">
        <v>121.0</v>
      </c>
      <c r="B122" s="4" t="s">
        <v>2529</v>
      </c>
      <c r="C122" s="4" t="s">
        <v>2530</v>
      </c>
      <c r="D122" s="4" t="s">
        <v>2531</v>
      </c>
      <c r="E122" s="4" t="s">
        <v>2532</v>
      </c>
      <c r="G122" s="5" t="str">
        <f>IFERROR(__xludf.DUMMYFUNCTION("GOOGLETRANSLATE(A122, ""en"", ""ar"")"),"121")</f>
        <v>121</v>
      </c>
      <c r="H122" s="5" t="str">
        <f>IFERROR(__xludf.DUMMYFUNCTION("GOOGLETRANSLATE(B122, ""en"", ""ar"")"),"إذا كان من المعروف أن البقرة ""حاملة"" لعيب وراثي معين، فهل يمكن منعها من المنافسة؟")</f>
        <v>إذا كان من المعروف أن البقرة "حاملة" لعيب وراثي معين، فهل يمكن منعها من المنافسة؟</v>
      </c>
      <c r="I122" s="5" t="str">
        <f>IFERROR(__xludf.DUMMYFUNCTION("GOOGLETRANSLATE(C122, ""en"", ""ar"")"),"أ) لا، ما دامت سليمة؛ ب) نعم، إذا كان العيب يشكل خطراً على الحيوان أو على الآخرين؛ ج) فقط إذا كان العيب ظاهراً؛ د) فقط إذا كان يؤثر على أدائه")</f>
        <v>أ) لا، ما دامت سليمة؛ ب) نعم، إذا كان العيب يشكل خطراً على الحيوان أو على الآخرين؛ ج) فقط إذا كان العيب ظاهراً؛ د) فقط إذا كان يؤثر على أدائه</v>
      </c>
      <c r="J122" s="5" t="str">
        <f>IFERROR(__xludf.DUMMYFUNCTION("GOOGLETRANSLATE(D122, ""en"", ""ar"")"),"ب) نعم إذا كان العيب يشكل خطراً على الحيوان أو على الآخرين.")</f>
        <v>ب) نعم إذا كان العيب يشكل خطراً على الحيوان أو على الآخرين.</v>
      </c>
      <c r="K122" s="5" t="str">
        <f>IFERROR(__xludf.DUMMYFUNCTION("GOOGLETRANSLATE(E122, ""en"", ""ar"")"),"يمكن للاتحاد حظر الحيوانات التي تعاني من حالات وراثية معروفة يمكن أن تعرض رفاهيتها أو سلامتها للخطر أثناء القتال.")</f>
        <v>يمكن للاتحاد حظر الحيوانات التي تعاني من حالات وراثية معروفة يمكن أن تعرض رفاهيتها أو سلامتها للخطر أثناء القتال.</v>
      </c>
    </row>
    <row r="123">
      <c r="A123" s="3">
        <v>122.0</v>
      </c>
      <c r="B123" s="4" t="s">
        <v>2533</v>
      </c>
      <c r="C123" s="4" t="s">
        <v>2534</v>
      </c>
      <c r="D123" s="4" t="s">
        <v>2535</v>
      </c>
      <c r="E123" s="4" t="s">
        <v>2536</v>
      </c>
      <c r="G123" s="5" t="str">
        <f>IFERROR(__xludf.DUMMYFUNCTION("GOOGLETRANSLATE(A123, ""en"", ""ar"")"),"122")</f>
        <v>122</v>
      </c>
      <c r="H123" s="5" t="str">
        <f>IFERROR(__xludf.DUMMYFUNCTION("GOOGLETRANSLATE(B123, ""en"", ""ar"")"),"ما هي القاعدة إذا استخدم المدرب اسم الخصم بطريقة مهينة أثناء التعريفات قبل القتال؟")</f>
        <v>ما هي القاعدة إذا استخدم المدرب اسم الخصم بطريقة مهينة أثناء التعريفات قبل القتال؟</v>
      </c>
      <c r="I123" s="5" t="str">
        <f>IFERROR(__xludf.DUMMYFUNCTION("GOOGLETRANSLATE(C123, ""en"", ""ar"")"),"أ) يعتبر جزءًا من المشهد؛ ب) يتم إعطاء المدرب تحذيرًا رسميًا بسبب السلوك غير الرياضي؛ ج) يتم خصم نقطة قبل بدء القتال؛ د) يتم إخراج المدرب على الفور")</f>
        <v>أ) يعتبر جزءًا من المشهد؛ ب) يتم إعطاء المدرب تحذيرًا رسميًا بسبب السلوك غير الرياضي؛ ج) يتم خصم نقطة قبل بدء القتال؛ د) يتم إخراج المدرب على الفور</v>
      </c>
      <c r="J123" s="5" t="str">
        <f>IFERROR(__xludf.DUMMYFUNCTION("GOOGLETRANSLATE(D123, ""en"", ""ar"")"),"ب) يتم إعطاء المدرب تحذيرًا رسميًا بسبب السلوك غير الرياضي")</f>
        <v>ب) يتم إعطاء المدرب تحذيرًا رسميًا بسبب السلوك غير الرياضي</v>
      </c>
      <c r="K123" s="5" t="str">
        <f>IFERROR(__xludf.DUMMYFUNCTION("GOOGLETRANSLATE(E123, ""en"", ""ar"")"),"يجب أن يكون السلوك المحترم مطلوبًا في جميع الأوقات، والإهانات الشخصية تعد خرقًا لقواعد السلوك.")</f>
        <v>يجب أن يكون السلوك المحترم مطلوبًا في جميع الأوقات، والإهانات الشخصية تعد خرقًا لقواعد السلوك.</v>
      </c>
    </row>
    <row r="124">
      <c r="A124" s="3">
        <v>123.0</v>
      </c>
      <c r="B124" s="4" t="s">
        <v>2537</v>
      </c>
      <c r="C124" s="4" t="s">
        <v>2538</v>
      </c>
      <c r="D124" s="4" t="s">
        <v>2539</v>
      </c>
      <c r="E124" s="4" t="s">
        <v>2540</v>
      </c>
      <c r="G124" s="5" t="str">
        <f>IFERROR(__xludf.DUMMYFUNCTION("GOOGLETRANSLATE(A124, ""en"", ""ar"")"),"123")</f>
        <v>123</v>
      </c>
      <c r="H124" s="5" t="str">
        <f>IFERROR(__xludf.DUMMYFUNCTION("GOOGLETRANSLATE(B124, ""en"", ""ar"")"),"هل هناك قواعد بشأن فارق السن بين البقرتين المتنافستين؟")</f>
        <v>هل هناك قواعد بشأن فارق السن بين البقرتين المتنافستين؟</v>
      </c>
      <c r="I124" s="5" t="str">
        <f>IFERROR(__xludf.DUMMYFUNCTION("GOOGLETRANSLATE(C124, ""en"", ""ar"")"),"أ) لا، يمكن لأي عمر القتال مع أي عمر؛ ب) نعم، يجب أن تكون الأبقار في نفس الفئة العمرية؛ ج) يُسمح بحد أقصى للفارق العمري سنتين؛ د) فقط في مسابقات الشباب")</f>
        <v>أ) لا، يمكن لأي عمر القتال مع أي عمر؛ ب) نعم، يجب أن تكون الأبقار في نفس الفئة العمرية؛ ج) يُسمح بحد أقصى للفارق العمري سنتين؛ د) فقط في مسابقات الشباب</v>
      </c>
      <c r="J124" s="5" t="str">
        <f>IFERROR(__xludf.DUMMYFUNCTION("GOOGLETRANSLATE(D124, ""en"", ""ar"")"),"ب) نعم يجب أن تكون الأبقار في نفس الفئة العمرية")</f>
        <v>ب) نعم يجب أن تكون الأبقار في نفس الفئة العمرية</v>
      </c>
      <c r="K124" s="5" t="str">
        <f>IFERROR(__xludf.DUMMYFUNCTION("GOOGLETRANSLATE(E124, ""en"", ""ar"")"),"ولضمان تنافس عادل وآمن، يتم تقسيم المسابقات إلى فئات عمرية صارمة (على سبيل المثال، الأطفال بعمر سنة واحدة، والأطفال بعمر سنتين).")</f>
        <v>ولضمان تنافس عادل وآمن، يتم تقسيم المسابقات إلى فئات عمرية صارمة (على سبيل المثال، الأطفال بعمر سنة واحدة، والأطفال بعمر سنتين).</v>
      </c>
    </row>
    <row r="125">
      <c r="A125" s="3">
        <v>124.0</v>
      </c>
      <c r="B125" s="4" t="s">
        <v>2541</v>
      </c>
      <c r="C125" s="4" t="s">
        <v>2542</v>
      </c>
      <c r="D125" s="4" t="s">
        <v>2543</v>
      </c>
      <c r="E125" s="4" t="s">
        <v>2544</v>
      </c>
      <c r="G125" s="5" t="str">
        <f>IFERROR(__xludf.DUMMYFUNCTION("GOOGLETRANSLATE(A125, ""en"", ""ar"")"),"124")</f>
        <v>124</v>
      </c>
      <c r="H125" s="5" t="str">
        <f>IFERROR(__xludf.DUMMYFUNCTION("GOOGLETRANSLATE(B125, ""en"", ""ar"")"),"ما هو البروتوكول المتبع في حالة الإبلاغ عن تفشي مرض معدٍ (مثل الحمى القلاعية) في منطقة حدث مخطط له؟")</f>
        <v>ما هو البروتوكول المتبع في حالة الإبلاغ عن تفشي مرض معدٍ (مثل الحمى القلاعية) في منطقة حدث مخطط له؟</v>
      </c>
      <c r="I125" s="5" t="str">
        <f>IFERROR(__xludf.DUMMYFUNCTION("GOOGLETRANSLATE(C125, ""en"", ""ar"")"),"أ) يستمر الحدث كما هو مخطط له؛ ب) يتم تأجيل الحدث أو إلغاؤه على الفور؛ ج) يُسمح فقط للأبقار المحلية بالمنافسة؛ د) يجب تطعيم جميع الأبقار في الموقع")</f>
        <v>أ) يستمر الحدث كما هو مخطط له؛ ب) يتم تأجيل الحدث أو إلغاؤه على الفور؛ ج) يُسمح فقط للأبقار المحلية بالمنافسة؛ د) يجب تطعيم جميع الأبقار في الموقع</v>
      </c>
      <c r="J125" s="5" t="str">
        <f>IFERROR(__xludf.DUMMYFUNCTION("GOOGLETRANSLATE(D125, ""en"", ""ar"")"),"ب) يتم تأجيل الحدث أو إلغاؤه على الفور")</f>
        <v>ب) يتم تأجيل الحدث أو إلغاؤه على الفور</v>
      </c>
      <c r="K125" s="5" t="str">
        <f>IFERROR(__xludf.DUMMYFUNCTION("GOOGLETRANSLATE(E125, ""en"", ""ar"")"),"ولمنع انتشار مرض خطير، أوقفت السلطات البيطرية جميع التجمعات الحيوانية، بما في ذلك معارك الأبقار.")</f>
        <v>ولمنع انتشار مرض خطير، أوقفت السلطات البيطرية جميع التجمعات الحيوانية، بما في ذلك معارك الأبقار.</v>
      </c>
    </row>
    <row r="126">
      <c r="A126" s="3">
        <v>125.0</v>
      </c>
      <c r="B126" s="4" t="s">
        <v>2545</v>
      </c>
      <c r="C126" s="4" t="s">
        <v>2546</v>
      </c>
      <c r="D126" s="4" t="s">
        <v>2547</v>
      </c>
      <c r="E126" s="4" t="s">
        <v>2548</v>
      </c>
      <c r="G126" s="5" t="str">
        <f>IFERROR(__xludf.DUMMYFUNCTION("GOOGLETRANSLATE(A126, ""en"", ""ar"")"),"125")</f>
        <v>125</v>
      </c>
      <c r="H126" s="5" t="str">
        <f>IFERROR(__xludf.DUMMYFUNCTION("GOOGLETRANSLATE(B126, ""en"", ""ar"")"),"هل يجوز للبقرة أن تلبس أي نوع من أدوات الحماية مثل غطاء القرن أو واقي الوجه؟")</f>
        <v>هل يجوز للبقرة أن تلبس أي نوع من أدوات الحماية مثل غطاء القرن أو واقي الوجه؟</v>
      </c>
      <c r="I126" s="5" t="str">
        <f>IFERROR(__xludf.DUMMYFUNCTION("GOOGLETRANSLATE(C126, ""en"", ""ar"")"),"أ) نعم، إذا شعر المالك أن ذلك ضروري؛ ب) لا، جميع أشكال معدات الحماية محظورة؛ ج) يُسمح فقط بأغطية القرن الناعمة؛ د) فقط في جلسات التدريب")</f>
        <v>أ) نعم، إذا شعر المالك أن ذلك ضروري؛ ب) لا، جميع أشكال معدات الحماية محظورة؛ ج) يُسمح فقط بأغطية القرن الناعمة؛ د) فقط في جلسات التدريب</v>
      </c>
      <c r="J126" s="5" t="str">
        <f>IFERROR(__xludf.DUMMYFUNCTION("GOOGLETRANSLATE(D126, ""en"", ""ar"")"),"ب) لا، جميع أشكال معدات الحماية ممنوعة")</f>
        <v>ب) لا، جميع أشكال معدات الحماية ممنوعة</v>
      </c>
      <c r="K126" s="5" t="str">
        <f>IFERROR(__xludf.DUMMYFUNCTION("GOOGLETRANSLATE(E126, ""en"", ""ar"")"),"تعتبر هذه الرياضة اختبارًا للقدرات الطبيعية للحيوانات، ولا يُسمح فيها بالحماية الاصطناعية.")</f>
        <v>تعتبر هذه الرياضة اختبارًا للقدرات الطبيعية للحيوانات، ولا يُسمح فيها بالحماية الاصطناعية.</v>
      </c>
    </row>
    <row r="127">
      <c r="A127" s="3">
        <v>126.0</v>
      </c>
      <c r="B127" s="4" t="s">
        <v>2549</v>
      </c>
      <c r="C127" s="4" t="s">
        <v>2550</v>
      </c>
      <c r="D127" s="4" t="s">
        <v>2551</v>
      </c>
      <c r="E127" s="4" t="s">
        <v>2552</v>
      </c>
      <c r="G127" s="5" t="str">
        <f>IFERROR(__xludf.DUMMYFUNCTION("GOOGLETRANSLATE(A127, ""en"", ""ar"")"),"126")</f>
        <v>126</v>
      </c>
      <c r="H127" s="5" t="str">
        <f>IFERROR(__xludf.DUMMYFUNCTION("GOOGLETRANSLATE(B127, ""en"", ""ar"")"),"ماذا يحدث إذا تم اكتشاف أن البقرة تتغذى على نظام غذائي يحتوي على هرمونات النمو المحظورة؟")</f>
        <v>ماذا يحدث إذا تم اكتشاف أن البقرة تتغذى على نظام غذائي يحتوي على هرمونات النمو المحظورة؟</v>
      </c>
      <c r="I127" s="5" t="str">
        <f>IFERROR(__xludf.DUMMYFUNCTION("GOOGLETRANSLATE(C127, ""en"", ""ar"")"),"أ) يتم نقل البقرة إلى فئة وزن أعلى؛ ب) الاستبعاد وحظر المالك/المدرب؛ ج) إصدار تحذير؛ د) يتم اختبار البقرة مرة أخرى بعد 30 يومًا")</f>
        <v>أ) يتم نقل البقرة إلى فئة وزن أعلى؛ ب) الاستبعاد وحظر المالك/المدرب؛ ج) إصدار تحذير؛ د) يتم اختبار البقرة مرة أخرى بعد 30 يومًا</v>
      </c>
      <c r="J127" s="5" t="str">
        <f>IFERROR(__xludf.DUMMYFUNCTION("GOOGLETRANSLATE(D127, ""en"", ""ar"")"),"ب) الاستبعاد والحظر للمالك/المدرب")</f>
        <v>ب) الاستبعاد والحظر للمالك/المدرب</v>
      </c>
      <c r="K127" s="5" t="str">
        <f>IFERROR(__xludf.DUMMYFUNCTION("GOOGLETRANSLATE(E127, ""en"", ""ar"")"),"يعد استخدام المنشطات الابتنائية أو هرمونات النمو انتهاكًا رئيسيًا لقواعد المنشطات.")</f>
        <v>يعد استخدام المنشطات الابتنائية أو هرمونات النمو انتهاكًا رئيسيًا لقواعد المنشطات.</v>
      </c>
    </row>
    <row r="128">
      <c r="A128" s="3">
        <v>127.0</v>
      </c>
      <c r="B128" s="4" t="s">
        <v>2553</v>
      </c>
      <c r="C128" s="4" t="s">
        <v>2554</v>
      </c>
      <c r="D128" s="4" t="s">
        <v>2555</v>
      </c>
      <c r="E128" s="4" t="s">
        <v>2556</v>
      </c>
      <c r="G128" s="5" t="str">
        <f>IFERROR(__xludf.DUMMYFUNCTION("GOOGLETRANSLATE(A128, ""en"", ""ar"")"),"127")</f>
        <v>127</v>
      </c>
      <c r="H128" s="5" t="str">
        <f>IFERROR(__xludf.DUMMYFUNCTION("GOOGLETRANSLATE(B128, ""en"", ""ar"")"),"هل يمكن لسلطة أعلى، مثل رئيس الاتحاد الرياضي المحلي، إلغاء قرار الحكم؟")</f>
        <v>هل يمكن لسلطة أعلى، مثل رئيس الاتحاد الرياضي المحلي، إلغاء قرار الحكم؟</v>
      </c>
      <c r="I128" s="5" t="str">
        <f>IFERROR(__xludf.DUMMYFUNCTION("GOOGLETRANSLATE(C128, ""en"", ""ar"")"),"أ) لا، قرار الحكم يكون دائمًا نهائيًا؛ ب) نعم، ولكن فقط في حالات سوء تفسير القاعدة بشكل واضح؛ ج) نعم، إذا تم تقديم احتجاج كبير بما يكفي؛ د) فقط إذا اعترف الحكم بارتكاب خطأ")</f>
        <v>أ) لا، قرار الحكم يكون دائمًا نهائيًا؛ ب) نعم، ولكن فقط في حالات سوء تفسير القاعدة بشكل واضح؛ ج) نعم، إذا تم تقديم احتجاج كبير بما يكفي؛ د) فقط إذا اعترف الحكم بارتكاب خطأ</v>
      </c>
      <c r="J128" s="5" t="str">
        <f>IFERROR(__xludf.DUMMYFUNCTION("GOOGLETRANSLATE(D128, ""en"", ""ar"")"),"ب) نعم، ولكن فقط في حالات سوء تفسير القاعدة بشكل واضح.")</f>
        <v>ب) نعم، ولكن فقط في حالات سوء تفسير القاعدة بشكل واضح.</v>
      </c>
      <c r="K128" s="5" t="str">
        <f>IFERROR(__xludf.DUMMYFUNCTION("GOOGLETRANSLATE(E128, ""en"", ""ar"")"),"ورغم أن الأحكام الصادرة على الفور تكون عادة نهائية، فإن القرار يمكن استئنافه وإلغاؤه إذا كان يستند إلى خطأ جوهري في تطبيق القواعد.")</f>
        <v>ورغم أن الأحكام الصادرة على الفور تكون عادة نهائية، فإن القرار يمكن استئنافه وإلغاؤه إذا كان يستند إلى خطأ جوهري في تطبيق القواعد.</v>
      </c>
    </row>
    <row r="129">
      <c r="A129" s="3">
        <v>128.0</v>
      </c>
      <c r="B129" s="4" t="s">
        <v>2333</v>
      </c>
      <c r="C129" s="4" t="s">
        <v>2334</v>
      </c>
      <c r="D129" s="4" t="s">
        <v>2335</v>
      </c>
      <c r="E129" s="4" t="s">
        <v>2336</v>
      </c>
      <c r="G129" s="5" t="str">
        <f>IFERROR(__xludf.DUMMYFUNCTION("GOOGLETRANSLATE(A129, ""en"", ""ar"")"),"128")</f>
        <v>128</v>
      </c>
      <c r="H129" s="5" t="str">
        <f>IFERROR(__xludf.DUMMYFUNCTION("GOOGLETRANSLATE(B129, ""en"", ""ar"")"),"ما هي القاعدة إذا تبين أن البقرة المخصصة للقتال قد تم تخديرها؟")</f>
        <v>ما هي القاعدة إذا تبين أن البقرة المخصصة للقتال قد تم تخديرها؟</v>
      </c>
      <c r="I129" s="5" t="str">
        <f>IFERROR(__xludf.DUMMYFUNCTION("GOOGLETRANSLATE(C129, ""en"", ""ar"")"),"أ) يجوز ذلك إذا كانت البقرة عدوانية؛ ب) يتم استبعاد البقرة ويواجه المالك حظرًا؛ ج) يتم دفع غرامة، ويتم تبرئة البقرة؛ د) يتم تأجيل القتال")</f>
        <v>أ) يجوز ذلك إذا كانت البقرة عدوانية؛ ب) يتم استبعاد البقرة ويواجه المالك حظرًا؛ ج) يتم دفع غرامة، ويتم تبرئة البقرة؛ د) يتم تأجيل القتال</v>
      </c>
      <c r="J129" s="5" t="str">
        <f>IFERROR(__xludf.DUMMYFUNCTION("GOOGLETRANSLATE(D129, ""en"", ""ar"")"),"ب) يتم استبعاد البقرة ويواجه مالكها الحظر")</f>
        <v>ب) يتم استبعاد البقرة ويواجه مالكها الحظر</v>
      </c>
      <c r="K129" s="5" t="str">
        <f>IFERROR(__xludf.DUMMYFUNCTION("GOOGLETRANSLATE(E129, ""en"", ""ar"")"),"إن استخدام المهدئات يعد عملاً غير قانوني وانتهاكًا خطيرًا لقواعد رعاية الحيوان والمنافسة.")</f>
        <v>إن استخدام المهدئات يعد عملاً غير قانوني وانتهاكًا خطيرًا لقواعد رعاية الحيوان والمنافسة.</v>
      </c>
    </row>
    <row r="130">
      <c r="A130" s="3">
        <v>129.0</v>
      </c>
      <c r="B130" s="4" t="s">
        <v>2337</v>
      </c>
      <c r="C130" s="4" t="s">
        <v>2338</v>
      </c>
      <c r="D130" s="4" t="s">
        <v>2339</v>
      </c>
      <c r="E130" s="4" t="s">
        <v>2340</v>
      </c>
      <c r="G130" s="5" t="str">
        <f>IFERROR(__xludf.DUMMYFUNCTION("GOOGLETRANSLATE(A130, ""en"", ""ar"")"),"129")</f>
        <v>129</v>
      </c>
      <c r="H130" s="5" t="str">
        <f>IFERROR(__xludf.DUMMYFUNCTION("GOOGLETRANSLATE(B130, ""en"", ""ar"")"),"هل هناك قواعد بشأن الحد الأدنى والحد الأقصى لعدد الجولات في المباراة الواحدة؟")</f>
        <v>هل هناك قواعد بشأن الحد الأدنى والحد الأقصى لعدد الجولات في المباراة الواحدة؟</v>
      </c>
      <c r="I130" s="5" t="str">
        <f>IFERROR(__xludf.DUMMYFUNCTION("GOOGLETRANSLATE(C130, ""en"", ""ar"")"),"أ) لا، يستمر القتال حتى يكون هناك فائز؛ ب) نعم، تقتصر المباراة عادةً على عدد محدد من الجولات؛ ج) يتم تحديد عدد الجولات من قبل المالكين؛ د) يعتمد ذلك على عمر الأبقار")</f>
        <v>أ) لا، يستمر القتال حتى يكون هناك فائز؛ ب) نعم، تقتصر المباراة عادةً على عدد محدد من الجولات؛ ج) يتم تحديد عدد الجولات من قبل المالكين؛ د) يعتمد ذلك على عمر الأبقار</v>
      </c>
      <c r="J130" s="5" t="str">
        <f>IFERROR(__xludf.DUMMYFUNCTION("GOOGLETRANSLATE(D130, ""en"", ""ar"")"),"ب) نعم، عادةً ما تقتصر المباراة على عدد محدد من الجولات")</f>
        <v>ب) نعم، عادةً ما تقتصر المباراة على عدد محدد من الجولات</v>
      </c>
      <c r="K130" s="5" t="str">
        <f>IFERROR(__xludf.DUMMYFUNCTION("GOOGLETRANSLATE(E130, ""en"", ""ar"")"),"ولمنع الإرهاق المفرط، يتم تنظيم المباريات عادة بعدد محدد من الجولات وحد زمني.")</f>
        <v>ولمنع الإرهاق المفرط، يتم تنظيم المباريات عادة بعدد محدد من الجولات وحد زمني.</v>
      </c>
    </row>
    <row r="131">
      <c r="A131" s="3">
        <v>130.0</v>
      </c>
      <c r="B131" s="4" t="s">
        <v>2341</v>
      </c>
      <c r="C131" s="4" t="s">
        <v>2342</v>
      </c>
      <c r="D131" s="4" t="s">
        <v>2343</v>
      </c>
      <c r="E131" s="4" t="s">
        <v>2344</v>
      </c>
      <c r="G131" s="5" t="str">
        <f>IFERROR(__xludf.DUMMYFUNCTION("GOOGLETRANSLATE(A131, ""en"", ""ar"")"),"130")</f>
        <v>130</v>
      </c>
      <c r="H131" s="5" t="str">
        <f>IFERROR(__xludf.DUMMYFUNCTION("GOOGLETRANSLATE(B131, ""en"", ""ar"")"),"ماذا يحدث إذا هاجمت بقرة حكمًا أو مسؤولًا في الحلبة؟")</f>
        <v>ماذا يحدث إذا هاجمت بقرة حكمًا أو مسؤولًا في الحلبة؟</v>
      </c>
      <c r="I131" s="5" t="str">
        <f>IFERROR(__xludf.DUMMYFUNCTION("GOOGLETRANSLATE(C131, ""en"", ""ar"")"),"أ) يتم استبعاد البقرة على الفور وقد يتم حظرها؛ ب) يتم إيقاف المباراة مؤقتًا وإعادة تشغيلها؛ ج) يتم تحذير المالك؛ د) يعتبر حادثًا وتستمر المعركة")</f>
        <v>أ) يتم استبعاد البقرة على الفور وقد يتم حظرها؛ ب) يتم إيقاف المباراة مؤقتًا وإعادة تشغيلها؛ ج) يتم تحذير المالك؛ د) يعتبر حادثًا وتستمر المعركة</v>
      </c>
      <c r="J131" s="5" t="str">
        <f>IFERROR(__xludf.DUMMYFUNCTION("GOOGLETRANSLATE(D131, ""en"", ""ar"")"),"أ) يتم استبعاد البقرة على الفور وقد يتم حظرها")</f>
        <v>أ) يتم استبعاد البقرة على الفور وقد يتم حظرها</v>
      </c>
      <c r="K131" s="5" t="str">
        <f>IFERROR(__xludf.DUMMYFUNCTION("GOOGLETRANSLATE(E131, ""en"", ""ar"")"),"يتم إزالة الحيوان الذي يكون عدوانيًا بشكل خطير تجاه البشر من المنافسة لأسباب تتعلق بالسلامة.")</f>
        <v>يتم إزالة الحيوان الذي يكون عدوانيًا بشكل خطير تجاه البشر من المنافسة لأسباب تتعلق بالسلامة.</v>
      </c>
    </row>
    <row r="132">
      <c r="A132" s="3">
        <v>131.0</v>
      </c>
      <c r="B132" s="4" t="s">
        <v>2369</v>
      </c>
      <c r="C132" s="4" t="s">
        <v>2370</v>
      </c>
      <c r="D132" s="4" t="s">
        <v>2371</v>
      </c>
      <c r="E132" s="4" t="s">
        <v>2372</v>
      </c>
      <c r="G132" s="5" t="str">
        <f>IFERROR(__xludf.DUMMYFUNCTION("GOOGLETRANSLATE(A132, ""en"", ""ar"")"),"131")</f>
        <v>131</v>
      </c>
      <c r="H132" s="5" t="str">
        <f>IFERROR(__xludf.DUMMYFUNCTION("GOOGLETRANSLATE(B132, ""en"", ""ar"")"),"ما هو البروتوكول الرسمي إذا أصيب أحد المتفرجين بسبب بقرة هربت من حلبة القتال؟")</f>
        <v>ما هو البروتوكول الرسمي إذا أصيب أحد المتفرجين بسبب بقرة هربت من حلبة القتال؟</v>
      </c>
      <c r="I132" s="5" t="str">
        <f>IFERROR(__xludf.DUMMYFUNCTION("GOOGLETRANSLATE(C132, ""en"", ""ar"")"),"أ) المتفرج مسؤول عن سلامته؛ ب) يتم إيقاف المنافسة، وتقديم المساعدة الطبية؛ ج) يتم القبض على مالك البقرة على الفور؛ د) يستمر الحدث بعد إبعاد المتفرج")</f>
        <v>أ) المتفرج مسؤول عن سلامته؛ ب) يتم إيقاف المنافسة، وتقديم المساعدة الطبية؛ ج) يتم القبض على مالك البقرة على الفور؛ د) يستمر الحدث بعد إبعاد المتفرج</v>
      </c>
      <c r="J132" s="5" t="str">
        <f>IFERROR(__xludf.DUMMYFUNCTION("GOOGLETRANSLATE(D132, ""en"", ""ar"")"),"ب) يتم إيقاف المنافسة وتقديم المساعدة الطبية")</f>
        <v>ب) يتم إيقاف المنافسة وتقديم المساعدة الطبية</v>
      </c>
      <c r="K132" s="5" t="str">
        <f>IFERROR(__xludf.DUMMYFUNCTION("GOOGLETRANSLATE(E132, ""en"", ""ar"")"),"ويقع على عاتق المنظمين واجب الرعاية، وأي إصابة قد يتعرض لها أحد المتفرجين تتطلب التوقف الفوري للحدث لإدارة الموقف.")</f>
        <v>ويقع على عاتق المنظمين واجب الرعاية، وأي إصابة قد يتعرض لها أحد المتفرجين تتطلب التوقف الفوري للحدث لإدارة الموقف.</v>
      </c>
    </row>
    <row r="133">
      <c r="A133" s="3">
        <v>132.0</v>
      </c>
      <c r="B133" s="4" t="s">
        <v>2373</v>
      </c>
      <c r="C133" s="4" t="s">
        <v>2374</v>
      </c>
      <c r="D133" s="4" t="s">
        <v>2375</v>
      </c>
      <c r="E133" s="4" t="s">
        <v>2376</v>
      </c>
      <c r="G133" s="5" t="str">
        <f>IFERROR(__xludf.DUMMYFUNCTION("GOOGLETRANSLATE(A133, ""en"", ""ar"")"),"132")</f>
        <v>132</v>
      </c>
      <c r="H133" s="5" t="str">
        <f>IFERROR(__xludf.DUMMYFUNCTION("GOOGLETRANSLATE(B133, ""en"", ""ar"")"),"هل من الضروري أن يكون مكان إقامة المسابقة محاطًا بسياج مزدوج؟")</f>
        <v>هل من الضروري أن يكون مكان إقامة المسابقة محاطًا بسياج مزدوج؟</v>
      </c>
      <c r="I133" s="5" t="str">
        <f>IFERROR(__xludf.DUMMYFUNCTION("GOOGLETRANSLATE(C133, ""en"", ""ar"")"),"أ) لا، سياج واحد يكفي؛ ب) نعم، من أجل سلامة الجمهور؛ ج) فقط للأحداث البطولية؛ د) يوصى به ولكن ليس إلزاميًا")</f>
        <v>أ) لا، سياج واحد يكفي؛ ب) نعم، من أجل سلامة الجمهور؛ ج) فقط للأحداث البطولية؛ د) يوصى به ولكن ليس إلزاميًا</v>
      </c>
      <c r="J133" s="5" t="str">
        <f>IFERROR(__xludf.DUMMYFUNCTION("GOOGLETRANSLATE(D133, ""en"", ""ar"")"),"ب) نعم من أجل سلامة الجمهور")</f>
        <v>ب) نعم من أجل سلامة الجمهور</v>
      </c>
      <c r="K133" s="5" t="str">
        <f>IFERROR(__xludf.DUMMYFUNCTION("GOOGLETRANSLATE(E133, ""en"", ""ar"")"),"يعد الحاجز ذو السياج المزدوج ميزة أمان رئيسية لحماية المتفرجين في حالة اختراق بقرة للسياج الأولي.")</f>
        <v>يعد الحاجز ذو السياج المزدوج ميزة أمان رئيسية لحماية المتفرجين في حالة اختراق بقرة للسياج الأولي.</v>
      </c>
    </row>
    <row r="134">
      <c r="A134" s="3">
        <v>133.0</v>
      </c>
      <c r="B134" s="4" t="s">
        <v>2377</v>
      </c>
      <c r="C134" s="4" t="s">
        <v>2378</v>
      </c>
      <c r="D134" s="4" t="s">
        <v>2379</v>
      </c>
      <c r="E134" s="4" t="s">
        <v>2380</v>
      </c>
      <c r="G134" s="5" t="str">
        <f>IFERROR(__xludf.DUMMYFUNCTION("GOOGLETRANSLATE(A134, ""en"", ""ar"")"),"133")</f>
        <v>133</v>
      </c>
      <c r="H134" s="5" t="str">
        <f>IFERROR(__xludf.DUMMYFUNCTION("GOOGLETRANSLATE(B134, ""en"", ""ar"")"),"هل يمكن استبعاد البقرة بسبب كونها سلبية للغاية وتتجنب المشاركة باستمرار؟")</f>
        <v>هل يمكن استبعاد البقرة بسبب كونها سلبية للغاية وتتجنب المشاركة باستمرار؟</v>
      </c>
      <c r="I134" s="5" t="str">
        <f>IFERROR(__xludf.DUMMYFUNCTION("GOOGLETRANSLATE(C134, ""en"", ""ar"")"),"أ) لا، هذه استراتيجية دفاعية صالحة؛ ب) نعم، بعد تحذير من الحكم؛ ج) فقط إذا أمر المالك بأن تكون سلبية؛ د) لا، فقط البقرة العدوانية هي التي يتم الحكم عليها")</f>
        <v>أ) لا، هذه استراتيجية دفاعية صالحة؛ ب) نعم، بعد تحذير من الحكم؛ ج) فقط إذا أمر المالك بأن تكون سلبية؛ د) لا، فقط البقرة العدوانية هي التي يتم الحكم عليها</v>
      </c>
      <c r="J134" s="5" t="str">
        <f>IFERROR(__xludf.DUMMYFUNCTION("GOOGLETRANSLATE(D134, ""en"", ""ar"")"),"ب) نعم، بعد تحذير من الحكم.")</f>
        <v>ب) نعم، بعد تحذير من الحكم.</v>
      </c>
      <c r="K134" s="5" t="str">
        <f>IFERROR(__xludf.DUMMYFUNCTION("GOOGLETRANSLATE(E134, ""en"", ""ar"")"),"البقرة التي ترفض القتال يمكن استبعادها لعدم مشاركتها، حيث أن ذلك يقوض غرض المنافسة.")</f>
        <v>البقرة التي ترفض القتال يمكن استبعادها لعدم مشاركتها، حيث أن ذلك يقوض غرض المنافسة.</v>
      </c>
    </row>
    <row r="135">
      <c r="A135" s="3">
        <v>134.0</v>
      </c>
      <c r="B135" s="4" t="s">
        <v>2381</v>
      </c>
      <c r="C135" s="4" t="s">
        <v>2382</v>
      </c>
      <c r="D135" s="4" t="s">
        <v>2383</v>
      </c>
      <c r="E135" s="4" t="s">
        <v>2384</v>
      </c>
      <c r="G135" s="5" t="str">
        <f>IFERROR(__xludf.DUMMYFUNCTION("GOOGLETRANSLATE(A135, ""en"", ""ar"")"),"134")</f>
        <v>134</v>
      </c>
      <c r="H135" s="5" t="str">
        <f>IFERROR(__xludf.DUMMYFUNCTION("GOOGLETRANSLATE(B135, ""en"", ""ar"")"),"هل هناك قواعد تتعلق بالوقت من اليوم الذي يجوز فيه إجراء المعارك، خاصة فيما يتعلق برفاهية الحيوان؟")</f>
        <v>هل هناك قواعد تتعلق بالوقت من اليوم الذي يجوز فيه إجراء المعارك، خاصة فيما يتعلق برفاهية الحيوان؟</v>
      </c>
      <c r="I135" s="5" t="str">
        <f>IFERROR(__xludf.DUMMYFUNCTION("GOOGLETRANSLATE(C135, ""en"", ""ar"")"),"أ) لا، يمكن إقامة المعارك في أي وقت؛ ب) نعم، غالبًا ما يُحظر إقامة المعارك خلال الجزء الأكثر سخونة من اليوم؛ ج) يُسمح فقط بالقتال الليلي؛ د) تُقام المعارك عند الفجر فقط")</f>
        <v>أ) لا، يمكن إقامة المعارك في أي وقت؛ ب) نعم، غالبًا ما يُحظر إقامة المعارك خلال الجزء الأكثر سخونة من اليوم؛ ج) يُسمح فقط بالقتال الليلي؛ د) تُقام المعارك عند الفجر فقط</v>
      </c>
      <c r="J135" s="5" t="str">
        <f>IFERROR(__xludf.DUMMYFUNCTION("GOOGLETRANSLATE(D135, ""en"", ""ar"")"),"ب) نعم، غالبًا ما يُحظر القتال خلال الجزء الأكثر سخونة من اليوم")</f>
        <v>ب) نعم، غالبًا ما يُحظر القتال خلال الجزء الأكثر سخونة من اليوم</v>
      </c>
      <c r="K135" s="5" t="str">
        <f>IFERROR(__xludf.DUMMYFUNCTION("GOOGLETRANSLATE(E135, ""en"", ""ar"")"),"ولمنع ضربة الشمس والإرهاق، تمنع العديد من اللوائح إقامة المسابقات خلال درجات الحرارة القصوى بعد الظهر.")</f>
        <v>ولمنع ضربة الشمس والإرهاق، تمنع العديد من اللوائح إقامة المسابقات خلال درجات الحرارة القصوى بعد الظهر.</v>
      </c>
    </row>
    <row r="136">
      <c r="A136" s="3">
        <v>135.0</v>
      </c>
      <c r="B136" s="4" t="s">
        <v>2385</v>
      </c>
      <c r="C136" s="4" t="s">
        <v>2386</v>
      </c>
      <c r="D136" s="4" t="s">
        <v>2387</v>
      </c>
      <c r="E136" s="4" t="s">
        <v>2388</v>
      </c>
      <c r="G136" s="5" t="str">
        <f>IFERROR(__xludf.DUMMYFUNCTION("GOOGLETRANSLATE(A136, ""en"", ""ar"")"),"135")</f>
        <v>135</v>
      </c>
      <c r="H136" s="5" t="str">
        <f>IFERROR(__xludf.DUMMYFUNCTION("GOOGLETRANSLATE(B136, ""en"", ""ar"")"),"ما هو الإجراء إذا تبين أن وثائق تسجيل البقرة مزورة؟")</f>
        <v>ما هو الإجراء إذا تبين أن وثائق تسجيل البقرة مزورة؟</v>
      </c>
      <c r="I136" s="5" t="str">
        <f>IFERROR(__xludf.DUMMYFUNCTION("GOOGLETRANSLATE(C136, ""en"", ""ar"")"),"أ) يتم تصحيح المستندات في الموقع؛ ب) يتم استبعاد البقرة ويواجه المالك حظرًا طويل الأمد؛ ج) يتم دفع غرامة، ويمكن للبقرة المنافسة؛ د) يتم إعادة فحص البقرة بواسطة طبيب بيطري")</f>
        <v>أ) يتم تصحيح المستندات في الموقع؛ ب) يتم استبعاد البقرة ويواجه المالك حظرًا طويل الأمد؛ ج) يتم دفع غرامة، ويمكن للبقرة المنافسة؛ د) يتم إعادة فحص البقرة بواسطة طبيب بيطري</v>
      </c>
      <c r="J136" s="5" t="str">
        <f>IFERROR(__xludf.DUMMYFUNCTION("GOOGLETRANSLATE(D136, ""en"", ""ar"")"),"ب) يتم استبعاد البقرة ويواجه مالكها حظرًا طويل الأمد")</f>
        <v>ب) يتم استبعاد البقرة ويواجه مالكها حظرًا طويل الأمد</v>
      </c>
      <c r="K136" s="5" t="str">
        <f>IFERROR(__xludf.DUMMYFUNCTION("GOOGLETRANSLATE(E136, ""en"", ""ar"")"),"يعد تزوير الوثائق الرسمية جريمة كبرى تؤدي إلى عقوبات شديدة، بما في ذلك الإيقاف عن ممارسة الرياضة.")</f>
        <v>يعد تزوير الوثائق الرسمية جريمة كبرى تؤدي إلى عقوبات شديدة، بما في ذلك الإيقاف عن ممارسة الرياضة.</v>
      </c>
    </row>
    <row r="137">
      <c r="A137" s="3">
        <v>136.0</v>
      </c>
      <c r="B137" s="4" t="s">
        <v>2389</v>
      </c>
      <c r="C137" s="4" t="s">
        <v>2390</v>
      </c>
      <c r="D137" s="4" t="s">
        <v>2391</v>
      </c>
      <c r="E137" s="4" t="s">
        <v>2392</v>
      </c>
      <c r="G137" s="5" t="str">
        <f>IFERROR(__xludf.DUMMYFUNCTION("GOOGLETRANSLATE(A137, ""en"", ""ar"")"),"136")</f>
        <v>136</v>
      </c>
      <c r="H137" s="5" t="str">
        <f>IFERROR(__xludf.DUMMYFUNCTION("GOOGLETRANSLATE(B137, ""en"", ""ar"")"),"هل يجوز استعمال التلقيح الصناعي لإنتاج الأبقار الصالحة للذبح؟")</f>
        <v>هل يجوز استعمال التلقيح الصناعي لإنتاج الأبقار الصالحة للذبح؟</v>
      </c>
      <c r="I137" s="5" t="str">
        <f>IFERROR(__xludf.DUMMYFUNCTION("GOOGLETRANSLATE(C137, ""en"", ""ar"")"),"أ) لا، التزاوج الطبيعي فقط مسموح به؛ ب) نعم، إنها طريقة تربية شائعة ومقبولة؛ ج) مسموح به ولكن النسل لا يمكنه المنافسة؛ د) فقط لبعض السلالات المعتمدة")</f>
        <v>أ) لا، التزاوج الطبيعي فقط مسموح به؛ ب) نعم، إنها طريقة تربية شائعة ومقبولة؛ ج) مسموح به ولكن النسل لا يمكنه المنافسة؛ د) فقط لبعض السلالات المعتمدة</v>
      </c>
      <c r="J137" s="5" t="str">
        <f>IFERROR(__xludf.DUMMYFUNCTION("GOOGLETRANSLATE(D137, ""en"", ""ar"")"),"ب) نعم، إنها طريقة تربية شائعة ومقبولة.")</f>
        <v>ب) نعم، إنها طريقة تربية شائعة ومقبولة.</v>
      </c>
      <c r="K137" s="5" t="str">
        <f>IFERROR(__xludf.DUMMYFUNCTION("GOOGLETRANSLATE(E137, ""en"", ""ar"")"),"في كثير من الأحيان يتم استخدام تقنيات التربية الحديثة لنشر سلالة الأبقار المقاتلة البطلة.")</f>
        <v>في كثير من الأحيان يتم استخدام تقنيات التربية الحديثة لنشر سلالة الأبقار المقاتلة البطلة.</v>
      </c>
    </row>
    <row r="138">
      <c r="A138" s="3">
        <v>137.0</v>
      </c>
      <c r="B138" s="4" t="s">
        <v>2393</v>
      </c>
      <c r="C138" s="4" t="s">
        <v>2394</v>
      </c>
      <c r="D138" s="4" t="s">
        <v>2395</v>
      </c>
      <c r="E138" s="4" t="s">
        <v>2396</v>
      </c>
      <c r="G138" s="5" t="str">
        <f>IFERROR(__xludf.DUMMYFUNCTION("GOOGLETRANSLATE(A138, ""en"", ""ar"")"),"137")</f>
        <v>137</v>
      </c>
      <c r="H138" s="5" t="str">
        <f>IFERROR(__xludf.DUMMYFUNCTION("GOOGLETRANSLATE(B138, ""en"", ""ar"")"),"ما هي القاعدة إذا وجد أن البقرة مصابة بمرض معد بعد المنافسة؟")</f>
        <v>ما هي القاعدة إذا وجد أن البقرة مصابة بمرض معد بعد المنافسة؟</v>
      </c>
      <c r="I138" s="5" t="str">
        <f>IFERROR(__xludf.DUMMYFUNCTION("GOOGLETRANSLATE(C138, ""en"", ""ar"")"),"أ) لم يتم اتخاذ أي إجراء؛ ب) يتم إخطار المالك بشكل خاص؛ ج) يجب إخطار جميع المشاركين الآخرين واختبار أبقارهم؛ د) يتم إرجاع أموال الجائزة")</f>
        <v>أ) لم يتم اتخاذ أي إجراء؛ ب) يتم إخطار المالك بشكل خاص؛ ج) يجب إخطار جميع المشاركين الآخرين واختبار أبقارهم؛ د) يتم إرجاع أموال الجائزة</v>
      </c>
      <c r="J138" s="5" t="str">
        <f>IFERROR(__xludf.DUMMYFUNCTION("GOOGLETRANSLATE(D138, ""en"", ""ar"")"),"ج) يجب إخطار جميع المشاركين الآخرين واختبار أبقارهم")</f>
        <v>ج) يجب إخطار جميع المشاركين الآخرين واختبار أبقارهم</v>
      </c>
      <c r="K138" s="5" t="str">
        <f>IFERROR(__xludf.DUMMYFUNCTION("GOOGLETRANSLATE(E138, ""en"", ""ar"")"),"في حالة اكتشاف مرض ما بعد المنافسة، يتم وضع بروتوكول للصحة العامة لتتبع تفشي المرض واحتوائه.")</f>
        <v>في حالة اكتشاف مرض ما بعد المنافسة، يتم وضع بروتوكول للصحة العامة لتتبع تفشي المرض واحتوائه.</v>
      </c>
    </row>
    <row r="139">
      <c r="A139" s="3">
        <v>138.0</v>
      </c>
      <c r="B139" s="4" t="s">
        <v>2397</v>
      </c>
      <c r="C139" s="4" t="s">
        <v>2398</v>
      </c>
      <c r="D139" s="4" t="s">
        <v>2399</v>
      </c>
      <c r="E139" s="4" t="s">
        <v>2400</v>
      </c>
      <c r="G139" s="5" t="str">
        <f>IFERROR(__xludf.DUMMYFUNCTION("GOOGLETRANSLATE(A139, ""en"", ""ar"")"),"138")</f>
        <v>138</v>
      </c>
      <c r="H139" s="5" t="str">
        <f>IFERROR(__xludf.DUMMYFUNCTION("GOOGLETRANSLATE(B139, ""en"", ""ar"")"),"هل يمكن إدخال بقرة تم استخدامها سابقًا في العمل الزراعي في مسابقة قتال؟")</f>
        <v>هل يمكن إدخال بقرة تم استخدامها سابقًا في العمل الزراعي في مسابقة قتال؟</v>
      </c>
      <c r="I139" s="5" t="str">
        <f>IFERROR(__xludf.DUMMYFUNCTION("GOOGLETRANSLATE(C139, ""en"", ""ar"")"),"أ) لا، يُسمح فقط بالأبقار التي تم تربيتها خصيصًا؛ ب) نعم، طالما أنها تلبي متطلبات الصحة والعمر؛ ج) فقط في مسابقات مستوى المبتدئين؛ د) فقط إذا تم إيقافها عن العمل لمدة عام واحد على الأقل")</f>
        <v>أ) لا، يُسمح فقط بالأبقار التي تم تربيتها خصيصًا؛ ب) نعم، طالما أنها تلبي متطلبات الصحة والعمر؛ ج) فقط في مسابقات مستوى المبتدئين؛ د) فقط إذا تم إيقافها عن العمل لمدة عام واحد على الأقل</v>
      </c>
      <c r="J139" s="5" t="str">
        <f>IFERROR(__xludf.DUMMYFUNCTION("GOOGLETRANSLATE(D139, ""en"", ""ar"")"),"ب) نعم، بشرط استيفاء الشروط الصحية والعمرية.")</f>
        <v>ب) نعم، بشرط استيفاء الشروط الصحية والعمرية.</v>
      </c>
      <c r="K139" s="5" t="str">
        <f>IFERROR(__xludf.DUMMYFUNCTION("GOOGLETRANSLATE(E139, ""en"", ""ar"")"),"لا توجد قاعدة تمنع أن تكون البقرة ذات خبرة في العمل، بشرط أن تكون صالحة وصحية للمنافسة.")</f>
        <v>لا توجد قاعدة تمنع أن تكون البقرة ذات خبرة في العمل، بشرط أن تكون صالحة وصحية للمنافسة.</v>
      </c>
    </row>
    <row r="140">
      <c r="A140" s="3">
        <v>139.0</v>
      </c>
      <c r="B140" s="4" t="s">
        <v>2401</v>
      </c>
      <c r="C140" s="4" t="s">
        <v>2402</v>
      </c>
      <c r="D140" s="4" t="s">
        <v>2403</v>
      </c>
      <c r="E140" s="4" t="s">
        <v>2404</v>
      </c>
      <c r="G140" s="5" t="str">
        <f>IFERROR(__xludf.DUMMYFUNCTION("GOOGLETRANSLATE(A140, ""en"", ""ar"")"),"139")</f>
        <v>139</v>
      </c>
      <c r="H140" s="5" t="str">
        <f>IFERROR(__xludf.DUMMYFUNCTION("GOOGLETRANSLATE(B140, ""en"", ""ar"")"),"ما هي العقوبة التي تقع على عاتق المدرب الذي يحاول تشتيت انتباه منافسه البقري عن خارج الحلبة؟")</f>
        <v>ما هي العقوبة التي تقع على عاتق المدرب الذي يحاول تشتيت انتباه منافسه البقري عن خارج الحلبة؟</v>
      </c>
      <c r="I140" s="5" t="str">
        <f>IFERROR(__xludf.DUMMYFUNCTION("GOOGLETRANSLATE(C140, ""en"", ""ar"")"),"أ) تحذير شفهي؛ ب) يتم إزالة المدرب، ويتم استبعاد بقرته؛ ج) يتم إيقاف المباراة مؤقتًا؛ د) يمكن للفريق الآخر أن يفعل الشيء نفسه")</f>
        <v>أ) تحذير شفهي؛ ب) يتم إزالة المدرب، ويتم استبعاد بقرته؛ ج) يتم إيقاف المباراة مؤقتًا؛ د) يمكن للفريق الآخر أن يفعل الشيء نفسه</v>
      </c>
      <c r="J140" s="5" t="str">
        <f>IFERROR(__xludf.DUMMYFUNCTION("GOOGLETRANSLATE(D140, ""en"", ""ar"")"),"ب) يتم إزالة المدرب، ويتم استبعاد بقرته")</f>
        <v>ب) يتم إزالة المدرب، ويتم استبعاد بقرته</v>
      </c>
      <c r="K140" s="5" t="str">
        <f>IFERROR(__xludf.DUMMYFUNCTION("GOOGLETRANSLATE(E140, ""en"", ""ar"")"),"يعد التدخل الخارجي انتهاكًا خطيرًا للقواعد ويؤدي إلى استبعاد البقرة المرتبطة.")</f>
        <v>يعد التدخل الخارجي انتهاكًا خطيرًا للقواعد ويؤدي إلى استبعاد البقرة المرتبطة.</v>
      </c>
    </row>
    <row r="141">
      <c r="A141" s="3">
        <v>140.0</v>
      </c>
      <c r="B141" s="4" t="s">
        <v>2405</v>
      </c>
      <c r="C141" s="4" t="s">
        <v>2406</v>
      </c>
      <c r="D141" s="4" t="s">
        <v>2407</v>
      </c>
      <c r="E141" s="4" t="s">
        <v>2408</v>
      </c>
      <c r="G141" s="5" t="str">
        <f>IFERROR(__xludf.DUMMYFUNCTION("GOOGLETRANSLATE(A141, ""en"", ""ar"")"),"140")</f>
        <v>140</v>
      </c>
      <c r="H141" s="5" t="str">
        <f>IFERROR(__xludf.DUMMYFUNCTION("GOOGLETRANSLATE(B141, ""en"", ""ar"")"),"هل هناك أي قواعد تقيد استخدام رموز أو ألوان تقليدية معينة في ملابس الفريق؟")</f>
        <v>هل هناك أي قواعد تقيد استخدام رموز أو ألوان تقليدية معينة في ملابس الفريق؟</v>
      </c>
      <c r="I141" s="5" t="str">
        <f>IFERROR(__xludf.DUMMYFUNCTION("GOOGLETRANSLATE(C141, ""en"", ""ar"")"),"أ) لا، جميع الرموز مسموح بها؛ ب) نعم، الرموز المرتبطة بالجماعات السياسية أو المتطرفة محظورة؛ ج) فقط الرموز التي يوافق عليها شيوخ القرية مسموح بها؛ د) فقط الألوان الوطنية مسموح بها")</f>
        <v>أ) لا، جميع الرموز مسموح بها؛ ب) نعم، الرموز المرتبطة بالجماعات السياسية أو المتطرفة محظورة؛ ج) فقط الرموز التي يوافق عليها شيوخ القرية مسموح بها؛ د) فقط الألوان الوطنية مسموح بها</v>
      </c>
      <c r="J141" s="5" t="str">
        <f>IFERROR(__xludf.DUMMYFUNCTION("GOOGLETRANSLATE(D141, ""en"", ""ar"")"),"ب) نعم، يتم حظر الرموز المرتبطة بالجماعات السياسية أو المتطرفة")</f>
        <v>ب) نعم، يتم حظر الرموز المرتبطة بالجماعات السياسية أو المتطرفة</v>
      </c>
      <c r="K141" s="5" t="str">
        <f>IFERROR(__xludf.DUMMYFUNCTION("GOOGLETRANSLATE(E141, ""en"", ""ar"")"),"ولإبقاء الحدث خاليا من الصراع السياسي، غالبا ما يمنع المنظمون عرض الرموز المثيرة للجدل أو التحريضية.")</f>
        <v>ولإبقاء الحدث خاليا من الصراع السياسي، غالبا ما يمنع المنظمون عرض الرموز المثيرة للجدل أو التحريضية.</v>
      </c>
    </row>
    <row r="142">
      <c r="A142" s="3">
        <v>141.0</v>
      </c>
      <c r="B142" s="4" t="s">
        <v>2409</v>
      </c>
      <c r="C142" s="4" t="s">
        <v>2410</v>
      </c>
      <c r="D142" s="4" t="s">
        <v>2411</v>
      </c>
      <c r="E142" s="4" t="s">
        <v>2412</v>
      </c>
      <c r="G142" s="5" t="str">
        <f>IFERROR(__xludf.DUMMYFUNCTION("GOOGLETRANSLATE(A142, ""en"", ""ar"")"),"141")</f>
        <v>141</v>
      </c>
      <c r="H142" s="5" t="str">
        <f>IFERROR(__xludf.DUMMYFUNCTION("GOOGLETRANSLATE(B142, ""en"", ""ar"")"),"إذا تم الاحتجاج رسميًا على قرار الحكم، فمن الذي يتخذ الحكم النهائي؟")</f>
        <v>إذا تم الاحتجاج رسميًا على قرار الحكم، فمن الذي يتخذ الحكم النهائي؟</v>
      </c>
      <c r="I142" s="5" t="str">
        <f>IFERROR(__xludf.DUMMYFUNCTION("GOOGLETRANSLATE(C142, ""en"", ""ar"")"),"أ) يعيد الحكم نفسه النظر؛ ب) لجنة مستقلة منفصلة من الحكام؛ ج) يؤخذ رأي الجمهور؛ د) يجب أن يتفق المالكان")</f>
        <v>أ) يعيد الحكم نفسه النظر؛ ب) لجنة مستقلة منفصلة من الحكام؛ ج) يؤخذ رأي الجمهور؛ د) يجب أن يتفق المالكان</v>
      </c>
      <c r="J142" s="5" t="str">
        <f>IFERROR(__xludf.DUMMYFUNCTION("GOOGLETRANSLATE(D142, ""en"", ""ar"")"),"ب) لجنة مستقلة منفصلة من القضاة")</f>
        <v>ب) لجنة مستقلة منفصلة من القضاة</v>
      </c>
      <c r="K142" s="5" t="str">
        <f>IFERROR(__xludf.DUMMYFUNCTION("GOOGLETRANSLATE(E142, ""en"", ""ar"")"),"يتم تصعيد الاحتجاج الرسمي إلى لجنة محايدة من كبار المسؤولين الذين يقومون بمراجعة الحادث لاتخاذ قرار نهائي ملزم.")</f>
        <v>يتم تصعيد الاحتجاج الرسمي إلى لجنة محايدة من كبار المسؤولين الذين يقومون بمراجعة الحادث لاتخاذ قرار نهائي ملزم.</v>
      </c>
    </row>
    <row r="143">
      <c r="A143" s="3">
        <v>142.0</v>
      </c>
      <c r="B143" s="4" t="s">
        <v>2413</v>
      </c>
      <c r="C143" s="4" t="s">
        <v>2414</v>
      </c>
      <c r="D143" s="4" t="s">
        <v>2415</v>
      </c>
      <c r="E143" s="4" t="s">
        <v>2416</v>
      </c>
      <c r="G143" s="5" t="str">
        <f>IFERROR(__xludf.DUMMYFUNCTION("GOOGLETRANSLATE(A143, ""en"", ""ar"")"),"142")</f>
        <v>142</v>
      </c>
      <c r="H143" s="5" t="str">
        <f>IFERROR(__xludf.DUMMYFUNCTION("GOOGLETRANSLATE(B143, ""en"", ""ar"")"),"ما حكم البقرة المخدرة لنقلها إلى الحفل؟")</f>
        <v>ما حكم البقرة المخدرة لنقلها إلى الحفل؟</v>
      </c>
      <c r="I143" s="5" t="str">
        <f>IFERROR(__xludf.DUMMYFUNCTION("GOOGLETRANSLATE(C143, ""en"", ""ar"")"),"أ) مسموح به إذا زال مفعول الدواء قبل القتال؛ ب) يجب اختبار البقرة وإعطائها تصريحًا من قبل طبيب بيطري قبل المنافسة؛ ج) جميع المهدئات ممنوعة، حتى للنقل؛ د) يُسمح بجرعة أقل")</f>
        <v>أ) مسموح به إذا زال مفعول الدواء قبل القتال؛ ب) يجب اختبار البقرة وإعطائها تصريحًا من قبل طبيب بيطري قبل المنافسة؛ ج) جميع المهدئات ممنوعة، حتى للنقل؛ د) يُسمح بجرعة أقل</v>
      </c>
      <c r="J143" s="5" t="str">
        <f>IFERROR(__xludf.DUMMYFUNCTION("GOOGLETRANSLATE(D143, ""en"", ""ar"")"),"ب) يجب فحص البقرة وإصدار الموافقة عليها من قبل طبيب بيطري قبل المنافسة")</f>
        <v>ب) يجب فحص البقرة وإصدار الموافقة عليها من قبل طبيب بيطري قبل المنافسة</v>
      </c>
      <c r="K143" s="5" t="str">
        <f>IFERROR(__xludf.DUMMYFUNCTION("GOOGLETRANSLATE(E143, ""en"", ""ar"")"),"إذا تم استخدام المهدئات للنقل، يجب أن تجتاز البقرة فحصًا بيطريًا للتأكد من خروج المادة من نظامها وأنها جاهزة للقتال.")</f>
        <v>إذا تم استخدام المهدئات للنقل، يجب أن تجتاز البقرة فحصًا بيطريًا للتأكد من خروج المادة من نظامها وأنها جاهزة للقتال.</v>
      </c>
    </row>
    <row r="144">
      <c r="A144" s="3">
        <v>143.0</v>
      </c>
      <c r="B144" s="4" t="s">
        <v>2417</v>
      </c>
      <c r="C144" s="4" t="s">
        <v>2418</v>
      </c>
      <c r="D144" s="4" t="s">
        <v>2419</v>
      </c>
      <c r="E144" s="4" t="s">
        <v>2420</v>
      </c>
      <c r="G144" s="5" t="str">
        <f>IFERROR(__xludf.DUMMYFUNCTION("GOOGLETRANSLATE(A144, ""en"", ""ar"")"),"143")</f>
        <v>143</v>
      </c>
      <c r="H144" s="5" t="str">
        <f>IFERROR(__xludf.DUMMYFUNCTION("GOOGLETRANSLATE(B144, ""en"", ""ar"")"),"هل هناك قواعد بشأن الحجم الأدنى لساحة القتال؟")</f>
        <v>هل هناك قواعد بشأن الحجم الأدنى لساحة القتال؟</v>
      </c>
      <c r="I144" s="5" t="str">
        <f>IFERROR(__xludf.DUMMYFUNCTION("GOOGLETRANSLATE(C144, ""en"", ""ar"")"),"أ) لا، أي حجم مقبول؛ ب) نعم، يلزم وجود حجم أدنى للسلامة؛ ج) يتم تحديد الحجم حسب عمر الأبقار؛ د) يقرر الملاك الحجم")</f>
        <v>أ) لا، أي حجم مقبول؛ ب) نعم، يلزم وجود حجم أدنى للسلامة؛ ج) يتم تحديد الحجم حسب عمر الأبقار؛ د) يقرر الملاك الحجم</v>
      </c>
      <c r="J144" s="5" t="str">
        <f>IFERROR(__xludf.DUMMYFUNCTION("GOOGLETRANSLATE(D144, ""en"", ""ar"")"),"ب) نعم، يلزم وجود حجم أدنى للسلامة")</f>
        <v>ب) نعم، يلزم وجود حجم أدنى للسلامة</v>
      </c>
      <c r="K144" s="5" t="str">
        <f>IFERROR(__xludf.DUMMYFUNCTION("GOOGLETRANSLATE(E144, ""en"", ""ar"")"),"تحدد اللوائح الحد الأدنى لحجم الساحة لضمان حصول الأبقار على مساحة كافية للتحرك ومنعها من الاصطدام بالحواجز باستمرار.")</f>
        <v>تحدد اللوائح الحد الأدنى لحجم الساحة لضمان حصول الأبقار على مساحة كافية للتحرك ومنعها من الاصطدام بالحواجز باستمرار.</v>
      </c>
    </row>
    <row r="145">
      <c r="A145" s="3">
        <v>144.0</v>
      </c>
      <c r="B145" s="4" t="s">
        <v>2421</v>
      </c>
      <c r="C145" s="4" t="s">
        <v>2422</v>
      </c>
      <c r="D145" s="4" t="s">
        <v>2423</v>
      </c>
      <c r="E145" s="4" t="s">
        <v>2424</v>
      </c>
      <c r="G145" s="5" t="str">
        <f>IFERROR(__xludf.DUMMYFUNCTION("GOOGLETRANSLATE(A145, ""en"", ""ar"")"),"144")</f>
        <v>144</v>
      </c>
      <c r="H145" s="5" t="str">
        <f>IFERROR(__xludf.DUMMYFUNCTION("GOOGLETRANSLATE(B145, ""en"", ""ar"")"),"ماذا يحدث إذا تبين أن البقرة أعطيت كمية كبيرة من الكافيين قبل القتال؟")</f>
        <v>ماذا يحدث إذا تبين أن البقرة أعطيت كمية كبيرة من الكافيين قبل القتال؟</v>
      </c>
      <c r="I145" s="5" t="str">
        <f>IFERROR(__xludf.DUMMYFUNCTION("GOOGLETRANSLATE(C145, ""en"", ""ar"")"),"أ) مسموح به كمنشط طبيعي؛ ب) يتم استبعاد البقرة بسبب المنشطات؛ ج) يتم تطبيق عقوبة زمنية؛ د) يتم تحذير المالك")</f>
        <v>أ) مسموح به كمنشط طبيعي؛ ب) يتم استبعاد البقرة بسبب المنشطات؛ ج) يتم تطبيق عقوبة زمنية؛ د) يتم تحذير المالك</v>
      </c>
      <c r="J145" s="5" t="str">
        <f>IFERROR(__xludf.DUMMYFUNCTION("GOOGLETRANSLATE(D145, ""en"", ""ar"")"),"ب) البقرة مستبعدة بسبب المنشطات")</f>
        <v>ب) البقرة مستبعدة بسبب المنشطات</v>
      </c>
      <c r="K145" s="5" t="str">
        <f>IFERROR(__xludf.DUMMYFUNCTION("GOOGLETRANSLATE(E145, ""en"", ""ar"")"),"حتى المواد الشائعة مثل الكافيين محظورة إذا تم استخدامها بمستويات مخصصة لتعزيز الأداء بشكل مصطنع.")</f>
        <v>حتى المواد الشائعة مثل الكافيين محظورة إذا تم استخدامها بمستويات مخصصة لتعزيز الأداء بشكل مصطنع.</v>
      </c>
    </row>
    <row r="146">
      <c r="A146" s="3">
        <v>145.0</v>
      </c>
      <c r="B146" s="4" t="s">
        <v>2425</v>
      </c>
      <c r="C146" s="4" t="s">
        <v>2426</v>
      </c>
      <c r="D146" s="4" t="s">
        <v>2427</v>
      </c>
      <c r="E146" s="4" t="s">
        <v>2428</v>
      </c>
      <c r="G146" s="5" t="str">
        <f>IFERROR(__xludf.DUMMYFUNCTION("GOOGLETRANSLATE(A146, ""en"", ""ar"")"),"145")</f>
        <v>145</v>
      </c>
      <c r="H146" s="5" t="str">
        <f>IFERROR(__xludf.DUMMYFUNCTION("GOOGLETRANSLATE(B146, ""en"", ""ar"")"),"هل يمكن لمالك واحد إدخال أبقار متعددة في نفس المسابقة، ولكن في مباريات مختلفة؟")</f>
        <v>هل يمكن لمالك واحد إدخال أبقار متعددة في نفس المسابقة، ولكن في مباريات مختلفة؟</v>
      </c>
      <c r="I146" s="5" t="str">
        <f>IFERROR(__xludf.DUMMYFUNCTION("GOOGLETRANSLATE(C146, ""en"", ""ar"")"),"أ) لا، بقرة واحدة لكل مالك لكل حدث؛ ب) نعم، هذا مسموح به وشائع؛ ج) فقط إذا كانوا في فئات عمرية مختلفة؛ د) فقط في الأحداث غير البطولية")</f>
        <v>أ) لا، بقرة واحدة لكل مالك لكل حدث؛ ب) نعم، هذا مسموح به وشائع؛ ج) فقط إذا كانوا في فئات عمرية مختلفة؛ د) فقط في الأحداث غير البطولية</v>
      </c>
      <c r="J146" s="5" t="str">
        <f>IFERROR(__xludf.DUMMYFUNCTION("GOOGLETRANSLATE(D146, ""en"", ""ar"")"),"ب) نعم، هذا مسموح به وشائع.")</f>
        <v>ب) نعم، هذا مسموح به وشائع.</v>
      </c>
      <c r="K146" s="5" t="str">
        <f>IFERROR(__xludf.DUMMYFUNCTION("GOOGLETRANSLATE(E146, ""en"", ""ar"")"),"يمكن لمالك البقرة إدخال أبقار متعددة مختلفة في بطولة واحدة، طالما أن كل بقرة تتنافس فقط في مباراتها المخصصة.")</f>
        <v>يمكن لمالك البقرة إدخال أبقار متعددة مختلفة في بطولة واحدة، طالما أن كل بقرة تتنافس فقط في مباراتها المخصصة.</v>
      </c>
    </row>
    <row r="147">
      <c r="A147" s="3">
        <v>146.0</v>
      </c>
      <c r="B147" s="4" t="s">
        <v>2429</v>
      </c>
      <c r="C147" s="4" t="s">
        <v>2430</v>
      </c>
      <c r="D147" s="4" t="s">
        <v>2431</v>
      </c>
      <c r="E147" s="4" t="s">
        <v>2432</v>
      </c>
      <c r="G147" s="5" t="str">
        <f>IFERROR(__xludf.DUMMYFUNCTION("GOOGLETRANSLATE(A147, ""en"", ""ar"")"),"146")</f>
        <v>146</v>
      </c>
      <c r="H147" s="5" t="str">
        <f>IFERROR(__xludf.DUMMYFUNCTION("GOOGLETRANSLATE(B147, ""en"", ""ar"")"),"ما هو البروتوكول الرسمي إذا تم اكتشاف سرقة بقرة؟")</f>
        <v>ما هو البروتوكول الرسمي إذا تم اكتشاف سرقة بقرة؟</v>
      </c>
      <c r="I147" s="5" t="str">
        <f>IFERROR(__xludf.DUMMYFUNCTION("GOOGLETRANSLATE(C147, ""en"", ""ar"")"),"أ) يتم إعادتها إلى مالكها الأصلي ويمكنها الاستمرار في المنافسة؛ ب) يتم استبعادها من المنافسة وتقديم تقرير للشرطة؛ ج) يتم تغريم المالك الحالي؛ د) يتم الاحتفاظ بالبقرة بواسطة الاتحاد")</f>
        <v>أ) يتم إعادتها إلى مالكها الأصلي ويمكنها الاستمرار في المنافسة؛ ب) يتم استبعادها من المنافسة وتقديم تقرير للشرطة؛ ج) يتم تغريم المالك الحالي؛ د) يتم الاحتفاظ بالبقرة بواسطة الاتحاد</v>
      </c>
      <c r="J147" s="5" t="str">
        <f>IFERROR(__xludf.DUMMYFUNCTION("GOOGLETRANSLATE(D147, ""en"", ""ar"")"),"ب) يتم استبعاده من المسابقة ويتم تحرير محضر للشرطة")</f>
        <v>ب) يتم استبعاده من المسابقة ويتم تحرير محضر للشرطة</v>
      </c>
      <c r="K147" s="5" t="str">
        <f>IFERROR(__xludf.DUMMYFUNCTION("GOOGLETRANSLATE(E147, ""en"", ""ar"")"),"يتم استبعاد الحيوانات المسروقة على الفور، وتحويل الأمر إلى الجهات المختصة.")</f>
        <v>يتم استبعاد الحيوانات المسروقة على الفور، وتحويل الأمر إلى الجهات المختصة.</v>
      </c>
    </row>
    <row r="148">
      <c r="A148" s="3">
        <v>147.0</v>
      </c>
      <c r="B148" s="4" t="s">
        <v>2433</v>
      </c>
      <c r="C148" s="4" t="s">
        <v>2434</v>
      </c>
      <c r="D148" s="4" t="s">
        <v>2435</v>
      </c>
      <c r="E148" s="4" t="s">
        <v>2436</v>
      </c>
      <c r="G148" s="5" t="str">
        <f>IFERROR(__xludf.DUMMYFUNCTION("GOOGLETRANSLATE(A148, ""en"", ""ar"")"),"147")</f>
        <v>147</v>
      </c>
      <c r="H148" s="5" t="str">
        <f>IFERROR(__xludf.DUMMYFUNCTION("GOOGLETRANSLATE(B148, ""en"", ""ar"")"),"هل هناك قواعد تحدد كيفية توزيع أموال الجائزة داخل الفريق الفائز (المالك، المدرب، إلخ.)؟")</f>
        <v>هل هناك قواعد تحدد كيفية توزيع أموال الجائزة داخل الفريق الفائز (المالك، المدرب، إلخ.)؟</v>
      </c>
      <c r="I148" s="5" t="str">
        <f>IFERROR(__xludf.DUMMYFUNCTION("GOOGLETRANSLATE(C148, ""en"", ""ar"")"),"أ) نعم، الاتحاد هو الذي يحدد التقسيم؛ ب) لا، التوزيع هو اتفاق خاص؛ ج) الفائز يأخذ كل شيء؛ د) يجب أن يذهب 50٪ إلى رعاية البقرة")</f>
        <v>أ) نعم، الاتحاد هو الذي يحدد التقسيم؛ ب) لا، التوزيع هو اتفاق خاص؛ ج) الفائز يأخذ كل شيء؛ د) يجب أن يذهب 50٪ إلى رعاية البقرة</v>
      </c>
      <c r="J148" s="5" t="str">
        <f>IFERROR(__xludf.DUMMYFUNCTION("GOOGLETRANSLATE(D148, ""en"", ""ar"")"),"ب) لا، التوزيع هو اتفاقية خاصة")</f>
        <v>ب) لا، التوزيع هو اتفاقية خاصة</v>
      </c>
      <c r="K148" s="5" t="str">
        <f>IFERROR(__xludf.DUMMYFUNCTION("GOOGLETRANSLATE(E148, ""en"", ""ar"")"),"يتم منح جائزة المال إلى المالك المسجل، ولا ينظم الاتحاد كيفية مشاركته لها مع فريقه.")</f>
        <v>يتم منح جائزة المال إلى المالك المسجل، ولا ينظم الاتحاد كيفية مشاركته لها مع فريقه.</v>
      </c>
    </row>
    <row r="149">
      <c r="A149" s="3">
        <v>148.0</v>
      </c>
      <c r="B149" s="4" t="s">
        <v>2437</v>
      </c>
      <c r="C149" s="4" t="s">
        <v>2438</v>
      </c>
      <c r="D149" s="4" t="s">
        <v>2439</v>
      </c>
      <c r="E149" s="4" t="s">
        <v>2440</v>
      </c>
      <c r="G149" s="5" t="str">
        <f>IFERROR(__xludf.DUMMYFUNCTION("GOOGLETRANSLATE(A149, ""en"", ""ar"")"),"148")</f>
        <v>148</v>
      </c>
      <c r="H149" s="5" t="str">
        <f>IFERROR(__xludf.DUMMYFUNCTION("GOOGLETRANSLATE(B149, ""en"", ""ar"")"),"إذا تم استبعاد البقرة، فهل يمكن لصاحبها استبدالها ببقرة أخرى على الفور؟")</f>
        <v>إذا تم استبعاد البقرة، فهل يمكن لصاحبها استبدالها ببقرة أخرى على الفور؟</v>
      </c>
      <c r="I149" s="5" t="str">
        <f>IFERROR(__xludf.DUMMYFUNCTION("GOOGLETRANSLATE(C149, ""en"", ""ar"")"),"أ) نعم، إذا كانت هناك بقرة أخرى متاحة؛ ب) لا، يتم إلغاء المباراة؛ ج) فقط إذا كان الاستبعاد بسبب مخالفة بسيطة؛ د) فقط في الجولة الأولى")</f>
        <v>أ) نعم، إذا كانت هناك بقرة أخرى متاحة؛ ب) لا، يتم إلغاء المباراة؛ ج) فقط إذا كان الاستبعاد بسبب مخالفة بسيطة؛ د) فقط في الجولة الأولى</v>
      </c>
      <c r="J149" s="5" t="str">
        <f>IFERROR(__xludf.DUMMYFUNCTION("GOOGLETRANSLATE(D149, ""en"", ""ar"")"),"ب) لا، المباراة ملغاة")</f>
        <v>ب) لا، المباراة ملغاة</v>
      </c>
      <c r="K149" s="5" t="str">
        <f>IFERROR(__xludf.DUMMYFUNCTION("GOOGLETRANSLATE(E149, ""en"", ""ar"")"),"يؤدي استبعاد أحد المتنافسين إلى خسارة هذا الفريق، ولا يُسمح بالتبديلات.")</f>
        <v>يؤدي استبعاد أحد المتنافسين إلى خسارة هذا الفريق، ولا يُسمح بالتبديلات.</v>
      </c>
    </row>
    <row r="150">
      <c r="A150" s="3">
        <v>149.0</v>
      </c>
      <c r="B150" s="4" t="s">
        <v>2441</v>
      </c>
      <c r="C150" s="4" t="s">
        <v>2442</v>
      </c>
      <c r="D150" s="4" t="s">
        <v>2443</v>
      </c>
      <c r="E150" s="4" t="s">
        <v>2444</v>
      </c>
      <c r="G150" s="5" t="str">
        <f>IFERROR(__xludf.DUMMYFUNCTION("GOOGLETRANSLATE(A150, ""en"", ""ar"")"),"149")</f>
        <v>149</v>
      </c>
      <c r="H150" s="5" t="str">
        <f>IFERROR(__xludf.DUMMYFUNCTION("GOOGLETRANSLATE(B150, ""en"", ""ar"")"),"ما حكم استخدام التكنولوجيا مثل أجهزة تعقب GPS لتحليل حركة البقرة أثناء التدريب؟")</f>
        <v>ما حكم استخدام التكنولوجيا مثل أجهزة تعقب GPS لتحليل حركة البقرة أثناء التدريب؟</v>
      </c>
      <c r="I150" s="5" t="str">
        <f>IFERROR(__xludf.DUMMYFUNCTION("GOOGLETRANSLATE(C150, ""en"", ""ar"")"),"أ) محظور باعتباره ميزة غير عادلة؛ ب) أداة تدريب مسموح بها وحديثة؛ ج) مخصصة للفرق المحترفة فقط؛ د) يتطلب ترخيصًا خاصًا")</f>
        <v>أ) محظور باعتباره ميزة غير عادلة؛ ب) أداة تدريب مسموح بها وحديثة؛ ج) مخصصة للفرق المحترفة فقط؛ د) يتطلب ترخيصًا خاصًا</v>
      </c>
      <c r="J150" s="5" t="str">
        <f>IFERROR(__xludf.DUMMYFUNCTION("GOOGLETRANSLATE(D150, ""en"", ""ar"")"),"ب) إنها أداة تدريب مسموح بها وحديثة")</f>
        <v>ب) إنها أداة تدريب مسموح بها وحديثة</v>
      </c>
      <c r="K150" s="5" t="str">
        <f>IFERROR(__xludf.DUMMYFUNCTION("GOOGLETRANSLATE(E150, ""en"", ""ar"")"),"يُسمح باستخدام التكنولوجيا لتحليل الأداء في التدريب ويُشجع عليه.")</f>
        <v>يُسمح باستخدام التكنولوجيا لتحليل الأداء في التدريب ويُشجع عليه.</v>
      </c>
    </row>
    <row r="151">
      <c r="A151" s="3">
        <v>150.0</v>
      </c>
      <c r="B151" s="4" t="s">
        <v>2445</v>
      </c>
      <c r="C151" s="4" t="s">
        <v>2446</v>
      </c>
      <c r="D151" s="4" t="s">
        <v>2447</v>
      </c>
      <c r="E151" s="4" t="s">
        <v>2448</v>
      </c>
      <c r="G151" s="5" t="str">
        <f>IFERROR(__xludf.DUMMYFUNCTION("GOOGLETRANSLATE(A151, ""en"", ""ar"")"),"150")</f>
        <v>150</v>
      </c>
      <c r="H151" s="5" t="str">
        <f>IFERROR(__xludf.DUMMYFUNCTION("GOOGLETRANSLATE(B151, ""en"", ""ar"")"),"ما هي العقوبة التي يحصل عليها المتسابق الذي يثبت قيامه برشوة أحد القضاة؟")</f>
        <v>ما هي العقوبة التي يحصل عليها المتسابق الذي يثبت قيامه برشوة أحد القضاة؟</v>
      </c>
      <c r="I151" s="5" t="str">
        <f>IFERROR(__xludf.DUMMYFUNCTION("GOOGLETRANSLATE(C151, ""en"", ""ar"")"),"أ) تحذير؛ ب) غرامة؛ ج) حظر مدى الحياة من ممارسة الرياضة لجميع المشاركين؛ د) يتم إعادة الحكم على المباراة بواسطة حكم مختلف")</f>
        <v>أ) تحذير؛ ب) غرامة؛ ج) حظر مدى الحياة من ممارسة الرياضة لجميع المشاركين؛ د) يتم إعادة الحكم على المباراة بواسطة حكم مختلف</v>
      </c>
      <c r="J151" s="5" t="str">
        <f>IFERROR(__xludf.DUMMYFUNCTION("GOOGLETRANSLATE(D151, ""en"", ""ar"")"),"ج) حظر مدى الحياة من ممارسة الرياضة لجميع المشاركين")</f>
        <v>ج) حظر مدى الحياة من ممارسة الرياضة لجميع المشاركين</v>
      </c>
      <c r="K151" s="5" t="str">
        <f>IFERROR(__xludf.DUMMYFUNCTION("GOOGLETRANSLATE(E151, ""en"", ""ar"")"),"الرشوة والفساد هما أخطر الجرائم ضد نزاهة الرياضة ويتم معاقبتهما بأشد العقوبات.")</f>
        <v>الرشوة والفساد هما أخطر الجرائم ضد نزاهة الرياضة ويتم معاقبتهما بأشد العقوبات.</v>
      </c>
    </row>
  </sheetData>
  <drawing r:id="rId1"/>
  <tableParts count="2">
    <tablePart r:id="rId4"/>
    <tablePart r:id="rId5"/>
  </tableParts>
</worksheet>
</file>
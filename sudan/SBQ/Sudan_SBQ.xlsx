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mel_Racing" sheetId="1" r:id="rId4"/>
    <sheet state="visible" name="Nuba_Wrestling" sheetId="2" r:id="rId5"/>
    <sheet state="visible" name="Horse_Racing" sheetId="3" r:id="rId6"/>
    <sheet state="visible" name="Cow_fighting" sheetId="4" r:id="rId7"/>
    <sheet state="visible" name="Nubian_Stick_Fighting" sheetId="5" r:id="rId8"/>
  </sheets>
  <definedNames/>
  <calcPr/>
</workbook>
</file>

<file path=xl/sharedStrings.xml><?xml version="1.0" encoding="utf-8"?>
<sst xmlns="http://schemas.openxmlformats.org/spreadsheetml/2006/main" count="4325" uniqueCount="3626">
  <si>
    <t>Serial Number</t>
  </si>
  <si>
    <t>Question (English)</t>
  </si>
  <si>
    <t>Options (English)</t>
  </si>
  <si>
    <t>Answer (English)</t>
  </si>
  <si>
    <t>Description (English)</t>
  </si>
  <si>
    <t>سؤال</t>
  </si>
  <si>
    <t>خيارات</t>
  </si>
  <si>
    <t>إجابة</t>
  </si>
  <si>
    <t>Description (Arabic)</t>
  </si>
  <si>
    <t>During a camel race, you notice that a rival camel is slowing down. What do you do?</t>
  </si>
  <si>
    <t>a) Increase speed; b) Slow down; c) Talk to the trainer; d) Change the camel</t>
  </si>
  <si>
    <t>a) Increase speed</t>
  </si>
  <si>
    <t>Take the opportunity to win when the rival slows down.</t>
  </si>
  <si>
    <t>أثناء سباق الجمال، لاحظت أن الجمل المنافس يبطئ سرعته. ماذا تفعل؟</t>
  </si>
  <si>
    <t>أ) زيادة السرعة؛ ب) إبطاء السرعة؛ ج) التحدث مع المدرب؛ د) تغيير الجمل</t>
  </si>
  <si>
    <t>أ) زيادة السرعة</t>
  </si>
  <si>
    <t>اغتنم الفرصة للفوز عندما يتباطأ المنافس.</t>
  </si>
  <si>
    <t>The trainer asked you to focus on improving your riding techniques. What do you do?</t>
  </si>
  <si>
    <t>a) Train intensely; b) Continue without change; c) Complain about being tired; d) Ignore the request</t>
  </si>
  <si>
    <t>a) Train intensely</t>
  </si>
  <si>
    <t>Improving techniques enhances performance.</t>
  </si>
  <si>
    <t>طلب منك المدرب التركيز على تحسين تقنيات الركوب. ماذا تفعل؟</t>
  </si>
  <si>
    <t>أ) التدريب بشكل مكثف؛ ب) الاستمرار دون تغيير؛ ج) الشكوى من التعب؛ د) تجاهل الطلب</t>
  </si>
  <si>
    <t>أ) التدريب بشكل مكثف</t>
  </si>
  <si>
    <t>تحسين التقنيات يعزز الأداء.</t>
  </si>
  <si>
    <t>In the middle of the race, the camel is noticed to start losing its strength. What do you do?</t>
  </si>
  <si>
    <t>a) Motivate it with words; b) Increase speed; c) Slow down; d) Hit it to motivate it</t>
  </si>
  <si>
    <t>a) Motivate it with words</t>
  </si>
  <si>
    <t>Positive communication with the camel can boost its morale.</t>
  </si>
  <si>
    <t>في منتصف السباق، يلاحظ أن الجمل بدأ يفقد قوته. ماذا تفعل؟</t>
  </si>
  <si>
    <t>أ) تحفيزه بالكلمات؛ ب) زيادة السرعة؛ ج) إبطاء السرعة؛ د) ضربه لتحفيزه</t>
  </si>
  <si>
    <t>أ) تحفيزه بالكلمات</t>
  </si>
  <si>
    <t>التواصل الإيجابي مع الجمل يمكن أن يرفع من معنوياته.</t>
  </si>
  <si>
    <t>During training, the camel starts behaving unexpectedly. What do you do?</t>
  </si>
  <si>
    <t>a) Stop training; b) Change the training style; c) Be patient and work with the camel; d) Yell at the camel</t>
  </si>
  <si>
    <t>c) Be patient and work with the camel</t>
  </si>
  <si>
    <t>Patience is important to understand the camel and its needs.</t>
  </si>
  <si>
    <t>أثناء التدريب، يبدأ الجمل في التصرف بشكل غير متوقع. ماذا تفعل؟</t>
  </si>
  <si>
    <t>أ) التوقف عن التدريب؛ ب) تغيير أسلوب التدريب؛ ج) التحلي بالصبر والعمل مع الجمل؛ د) الصراخ في الجمل</t>
  </si>
  <si>
    <t>ج) التحلي بالصبر والعمل مع الجمل</t>
  </si>
  <si>
    <t>الصبر مهم لفهم الجمل واحتياجاته.</t>
  </si>
  <si>
    <t>During a camel race, you had a large gap between you and the other competitors. What do you do?</t>
  </si>
  <si>
    <t>a) Speed up more to catch up with them; b) Maintain your speed; c) Fall back to observe the strategy; d) Close your eyes to maintain focus</t>
  </si>
  <si>
    <t>b) Maintain your speed</t>
  </si>
  <si>
    <t>Sticking to your strategy can ultimately lead to victory.</t>
  </si>
  <si>
    <t>أثناء سباق الجمال، كان لديك فجوة كبيرة بينك وبين المتسابقين الآخرين. ماذا تفعل؟</t>
  </si>
  <si>
    <t>أ) تسرع أكثر لللحاق بهم؛ ب) تحافظ على سرعتك؛ ج) تراجع لمراقبة الاستراتيجية؛ د) تغلق عينك لتحافظ على تركيزك</t>
  </si>
  <si>
    <t>ب) تحافظ على سرعتك</t>
  </si>
  <si>
    <t>الحفاظ على استراتيجيتك يمكن أن يؤدي إلى التفوق في النهاية.</t>
  </si>
  <si>
    <t>At the start of the race, you notice that the ground is uneven. What do you do?</t>
  </si>
  <si>
    <t>a) Reduce speed to maintain balance; b) Increase speed; c) Ignore the ground; d) Choose a different path</t>
  </si>
  <si>
    <t>a) Reduce speed to maintain balance</t>
  </si>
  <si>
    <t>Controlling the camel is important to maintain safety.</t>
  </si>
  <si>
    <t>في بداية السباق، لاحظت أن الأرضية غير مستوية. ماذا تفعل؟</t>
  </si>
  <si>
    <t>أ) تقليل السرعة للحفاظ على التوازن؛ ب) زيادة السرعة؛ ج) التغاضي عن الأرضية؛ د) اختيار مسار مختلف</t>
  </si>
  <si>
    <t>أ) تقليل السرعة للحفاظ على التوازن</t>
  </si>
  <si>
    <t>التحكم في الجمل أمر مهم للحفاظ على السلامة.</t>
  </si>
  <si>
    <t>If you are given instructions to increase the camel's speed before reaching the finish line, what do you do?</t>
  </si>
  <si>
    <t>a) Increase speed immediately; b) Be patient; c) Listen to the trainer's instructions; d) Slow down so the camel doesn't get exhausted</t>
  </si>
  <si>
    <t>a) Increase speed immediately</t>
  </si>
  <si>
    <t>Increasing speed in the last moments can be crucial.</t>
  </si>
  <si>
    <t>إذا تم إعطاؤك تعليمات لزيادة سرعة الجمل قبل الوصول إلى خط النهاية، ماذا تفعل؟</t>
  </si>
  <si>
    <t>أ) زيادة السرعة فوراً؛ ب) التحلي بالصبر؛ ج) الاستماع لإرشادات المدرب؛ د) التباطؤ حتى لا يتعرض الجمل للإرهاق</t>
  </si>
  <si>
    <t>أ) زيادة السرعة فوراً</t>
  </si>
  <si>
    <t>زيادة السرعة في اللحظات الأخيرة قد تكون حاسمة.</t>
  </si>
  <si>
    <t>If you lose your balance during the race, what do you do?</t>
  </si>
  <si>
    <t>a) Continue riding bravely; b) Try to adjust your balance quickly; c) Stop the race; d) Talk to the trainer</t>
  </si>
  <si>
    <t>b) Try to adjust your balance quickly</t>
  </si>
  <si>
    <t>The ability to regain balance is important during the race.</t>
  </si>
  <si>
    <t>إذا فقدت توازنك أثناء السباق، ماذا تفعل؟</t>
  </si>
  <si>
    <t>أ) الاستمرار في الركوب بشجاعة؛ ب) محاولة تعديل التوازن بسرعة؛ ج) التوقف عن السباق؛ د) التحدث مع المدرب</t>
  </si>
  <si>
    <t>ب) محاولة تعديل التوازن بسرعة</t>
  </si>
  <si>
    <t>القدرة على استعادة التوازن مهمة أثناء السباق.</t>
  </si>
  <si>
    <t>If the camel starts to slow down due to hot weather, what do you do?</t>
  </si>
  <si>
    <t>a) Try to increase its speed by force; b) Slow it down to conserve its energy; c) Motivate it with words; d) Take the camel out of the race</t>
  </si>
  <si>
    <t>b) Slow it down to conserve its energy</t>
  </si>
  <si>
    <t>Taking care of the camel is important to ensure its good performance in hot weather.</t>
  </si>
  <si>
    <t>إذا بدأ الجمل في التباطؤ بسبب الطقس الحار، ماذا تفعل؟</t>
  </si>
  <si>
    <t>أ) محاولة زيادة سرعته بالقوة؛ ب) إبطاء سرعته للحفاظ على طاقته؛ ج) تحفيزه بالكلمات؛ د) إخراج الجمل من السباق</t>
  </si>
  <si>
    <t>ب) إبطاء سرعته للحفاظ على طاقته</t>
  </si>
  <si>
    <t>الاعتناء بالجمل مهم لضمان أدائه الجيد في الطقس الحار.</t>
  </si>
  <si>
    <t>If you are tasked with leading the team in the race, what do you do?</t>
  </si>
  <si>
    <t>a) Lead the team with enthusiasm; b) Talk to each competitor about their strategies; c) Ignore others; d) Sit in the back</t>
  </si>
  <si>
    <t>a) Lead the team with enthusiasm</t>
  </si>
  <si>
    <t>Positive leadership enhances team performance.</t>
  </si>
  <si>
    <t>إذا تم تكليفك بقيادة الفريق في السباق، ماذا تفعل؟</t>
  </si>
  <si>
    <t>أ) قيادة الفريق بحماس؛ ب) التحدث مع كل متسابق عن استراتيجياته؛ ج) تجاهل الآخرين؛ د) الجلوس في الخلف</t>
  </si>
  <si>
    <t>أ) قيادة الفريق بحماس</t>
  </si>
  <si>
    <t>القيادة الإيجابية تعزز من أداء الفريق.</t>
  </si>
  <si>
    <t>If you notice that one of the competitors is riding the camel incorrectly, what do you do?</t>
  </si>
  <si>
    <t>a) Guide him indirectly; b) Ignore him; c) Question his style in front of everyone; d) Talk to him after the race</t>
  </si>
  <si>
    <t>a) Guide him indirectly</t>
  </si>
  <si>
    <t>Helping colleagues increases the chances of success.</t>
  </si>
  <si>
    <t>إذا لاحظت أن أحد المتسابقين يقود الجمل بشكل غير صحيح، ماذا تفعل؟</t>
  </si>
  <si>
    <t>أ) إرشاده بشكل غير مباشر؛ ب) تجاهله؛ ج) التشكيك في أسلوبه أمام الجميع؛ د) التحدث معه بعد السباق</t>
  </si>
  <si>
    <t>أ) إرشاده بشكل غير مباشر</t>
  </si>
  <si>
    <t>مساعدة الزملاء تزيد من فرص النجاح.</t>
  </si>
  <si>
    <t>If the camel feels stressed before the race, what do you do?</t>
  </si>
  <si>
    <t>a) Talk to it calmly; b) Hit it to motivate it; c) Hide your anxiety from it; d) Allow it to rest more</t>
  </si>
  <si>
    <t>a) Talk to it calmly</t>
  </si>
  <si>
    <t>The camel's psychological stability helps it perform well.</t>
  </si>
  <si>
    <t>إذا شعر الجمل بالتوتر قبل السباق، ماذا تفعل؟</t>
  </si>
  <si>
    <t>أ) التحدث معه بهدوء؛ ب) ضربه لتحفيزه؛ ج) إخفاء القلق عنه؛ د) السماح له بالراحة بشكل أكبر</t>
  </si>
  <si>
    <t>أ) التحدث معه بهدوء</t>
  </si>
  <si>
    <t>الاستقرار النفسي للجمل يساعده في الأداء الجيد.</t>
  </si>
  <si>
    <t>If you have difficulty coordinating the camel's movement with yours, what do you do?</t>
  </si>
  <si>
    <t>a) Train more; b) Ignore the matter; c) Change the camel; d) Complain to the trainer</t>
  </si>
  <si>
    <t>a) Train more</t>
  </si>
  <si>
    <t>Coordination between you and the camel enhances the speed and efficiency of the performance.</t>
  </si>
  <si>
    <t>إذا واجهت صعوبة في تنسيق حركة الجمل معك، ماذا تفعل؟</t>
  </si>
  <si>
    <t>أ) تدريب أكثر؛ ب) تجاهل الأمر؛ ج) تغيير الجمل؛ د) الشكوى للمدرب</t>
  </si>
  <si>
    <t>أ) تدريب أكثر</t>
  </si>
  <si>
    <t>التنسيق بينك وبين الجمل يعزز من سرعة وكفاءة الأداء.</t>
  </si>
  <si>
    <t>If you have a chance to speed up the camel in the last stage of the race, what do you do?</t>
  </si>
  <si>
    <t>a) Speed up the camel immediately; b) Increase speed gradually; c) Slow down to avoid pressure on it; d) Follow the same pace</t>
  </si>
  <si>
    <t>b) Increase speed gradually</t>
  </si>
  <si>
    <t>Increasing speed gradually helps in maintaining the camel's ability.</t>
  </si>
  <si>
    <t>إذا كانت لديك فرصة لتسريع الجمل في المرحلة الأخيرة من السباق، ماذا تفعل؟</t>
  </si>
  <si>
    <t>أ) تسريع الجمل على الفور؛ ب) زيادة السرعة تدريجياً؛ ج) الإبطاء لتجنب الضغط عليه؛ د) اتباع نفس الوتيرة</t>
  </si>
  <si>
    <t>ب) زيادة السرعة تدريجياً</t>
  </si>
  <si>
    <t>زيادة السرعة تدريجياً تساهم في الحفاظ على قدرة الجمل.</t>
  </si>
  <si>
    <t>If you notice that the camel has a minor injury during the race, what do you do?</t>
  </si>
  <si>
    <t>a) Stop the race immediately; b) Consult a veterinarian; c) Hide the injury; d) Ignore the injury and continue</t>
  </si>
  <si>
    <t>b) Consult a veterinarian</t>
  </si>
  <si>
    <t>Maintaining the camel's health is essential.</t>
  </si>
  <si>
    <t>إذا لاحظت أن الجمل يعاني من إصابة بسيطة أثناء السباق، ماذا تفعل؟</t>
  </si>
  <si>
    <t>أ) إيقاف السباق فوراً؛ ب) استشارة الطبيب البيطري؛ ج) إخفاء الإصابة؛ د) تجاهل الإصابة والاستمرار</t>
  </si>
  <si>
    <t>ب) استشارة الطبيب البيطري</t>
  </si>
  <si>
    <t>الحفاظ على صحة الجمل أمر أساسي.</t>
  </si>
  <si>
    <t>If there is intense competition at the start of the race, what do you do?</t>
  </si>
  <si>
    <t>a) Run with all your strength from the beginning; b) Maintain a constant speed; c) Rest for a while; d) Stay away from the competition</t>
  </si>
  <si>
    <t>b) Maintain a constant speed</t>
  </si>
  <si>
    <t>Speed control is better in the long run.</t>
  </si>
  <si>
    <t>إذا كانت هناك منافسة شديدة في بداية السباق، ماذا تفعل؟</t>
  </si>
  <si>
    <t>أ) الركض بكل قوتك منذ البداية؛ ب) الحفاظ على سرعة ثابتة؛ ج) الاستراحة قليلاً؛ د) الابتعاد عن المنافسة</t>
  </si>
  <si>
    <t>ب) الحفاظ على سرعة ثابتة</t>
  </si>
  <si>
    <t>التحكم في السرعة أفضل على المدى الطويل.</t>
  </si>
  <si>
    <t>If you notice that the camel has difficulty breathing during the race, what do you do?</t>
  </si>
  <si>
    <t>a) Stop the race; b) Talk to the camel to motivate it; c) Lower the speed to give it rest; d) Ignore the situation and continue</t>
  </si>
  <si>
    <t>c) Lower the speed to give it rest</t>
  </si>
  <si>
    <t>Good breathing is necessary for the race.</t>
  </si>
  <si>
    <t>إذا لاحظت أن الجمل يواجه صعوبة في التنفس أثناء السباق، ماذا تفعل؟</t>
  </si>
  <si>
    <t>أ) إيقاف السباق؛ ب) التحدث مع الجمل لتحفيزه؛ ج) خفض السرعة لإعطائه راحة؛ د) تجاهل الوضع والمواصلة</t>
  </si>
  <si>
    <t>ج) خفض السرعة لإعطائه راحة</t>
  </si>
  <si>
    <t>التنفس الجيد ضروري للسباق.</t>
  </si>
  <si>
    <t>If you are at an advanced stage of the race and the camel becomes tired, what do you do?</t>
  </si>
  <si>
    <t>a) Push the camel to continue running; b) Slow down so the camel does not collapse; c) Change the camel; d) Withdraw from the race</t>
  </si>
  <si>
    <t>b) Slow down so the camel does not collapse</t>
  </si>
  <si>
    <t>Rest is important for the camel to ensure it does not get exhausted.</t>
  </si>
  <si>
    <t>إذا كنت في مرحلة متقدمة من السباق وأصبح الجمل متعباً، ماذا تفعل؟</t>
  </si>
  <si>
    <t>أ) دفع الجمل لمواصلة الجري؛ ب) إبطاء السرعة حتى لا ينهار الجمل؛ ج) تغيير الجمل؛ د) الخروج من السباق</t>
  </si>
  <si>
    <t>ب) إبطاء السرعة حتى لا ينهار الجمل</t>
  </si>
  <si>
    <t>الراحة المهمة للجمل تضمن عدم إجهاده.</t>
  </si>
  <si>
    <t>If the camel refuses to comply with your orders in the race, what do you do?</t>
  </si>
  <si>
    <t>a) Use a harsh method; b) Be patient and calm; c) Stop the race; d) Change the camel</t>
  </si>
  <si>
    <t>b) Be patient and calm</t>
  </si>
  <si>
    <t>Dealing with the camel patiently can improve its response.</t>
  </si>
  <si>
    <t>إذا كان الجمل يرفض الامتثال لأوامرك في السباق، ماذا تفعل؟</t>
  </si>
  <si>
    <t>أ) استخدام أسلوب قاسي؛ ب) التحلي بالصبر والهدوء؛ ج) التوقف عن السباق؛ د) تغيير الجمل</t>
  </si>
  <si>
    <t>ب) التحلي بالصبر والهدوء</t>
  </si>
  <si>
    <t>التعامل مع الجمل بصبر يمكن أن يحسن استجابته.</t>
  </si>
  <si>
    <t>During an extremely hot race, you notice that the camel shows signs of heat stress. What do you do?</t>
  </si>
  <si>
    <t>a) Stop the race and provide it with water and shade; b) Continue the race quickly to reduce time; c) Ask for medical help immediately; d) Change the path to avoid the sun</t>
  </si>
  <si>
    <t>a) Stop the race and provide it with water and shade</t>
  </si>
  <si>
    <t>Heat stress can be very dangerous for the camel, and it needs hydration and shade to return to its normal state.</t>
  </si>
  <si>
    <t>أثناء سباق شديد الحرارة، لاحظت أن الجمل يظهر علامات الإجهاد الحراري. ماذا تفعل؟</t>
  </si>
  <si>
    <t>أ) توقف السباق وتوفر له الماء والظل؛ ب) تستمر في السباق بسرعة لتقليل الوقت؛ ج) تطلب المساعدة الطبية فورًا؛ د) تغير المسار لتجنب الشمس</t>
  </si>
  <si>
    <t>أ) توقف السباق وتوفر له الماء والظل</t>
  </si>
  <si>
    <t>الإجهاد الحراري يمكن أن يكون خطرًا جدًا على الجمل، ويحتاج إلى ترطيب وظل للعودة إلى حالته الطبيعية.</t>
  </si>
  <si>
    <t>If you are ahead in the race but see that the camel is not responding to orders, what do you do?</t>
  </si>
  <si>
    <t>a) Call the trainer for help; b) Try to ride the camel differently; c) Stop the race; d) Replace the camel</t>
  </si>
  <si>
    <t>b) Try to ride the camel differently</t>
  </si>
  <si>
    <t>Adapting to the camel can help overcome problems.</t>
  </si>
  <si>
    <t>إذا كنت متقدماً في السباق ولكنك ترى أن الجمل لا يستجيب للأوامر، ماذا تفعل؟</t>
  </si>
  <si>
    <t>أ) استدعاء المدرب للمساعدة؛ ب) محاولتك قيادة الجمل بشكل مختلف؛ ج) التوقف عن السباق؛ د) استبدال الجمل</t>
  </si>
  <si>
    <t>ب) محاولتك قيادة الجمل بشكل مختلف</t>
  </si>
  <si>
    <t>التكيف مع الجمل يمكن أن يساعد في تجاوز المشكلات.</t>
  </si>
  <si>
    <t>If there is a sudden change in the path during the race, what do you do?</t>
  </si>
  <si>
    <t>a) Stick to the new path quickly; b) Try to return to the original path; c) Slow down to check the road; d) Continue as is</t>
  </si>
  <si>
    <t>a) Stick to the new path quickly</t>
  </si>
  <si>
    <t>Adapting to rapid changes in the path is crucial.</t>
  </si>
  <si>
    <t>إذا كان هناك تغيير مفاجئ في المسار أثناء السباق، ماذا تفعل؟</t>
  </si>
  <si>
    <t>أ) الالتزام بالمسار الجديد بسرعة؛ ب) محاولة العودة للمسار الأصلي؛ ج) التباطؤ للتحقق من الطريق؛ د) الاستمرار كما هو</t>
  </si>
  <si>
    <t>أ) الالتزام بالمسار الجديد بسرعة</t>
  </si>
  <si>
    <t>التكيف مع التغييرات السريعة في المسار يعد حاسماً.</t>
  </si>
  <si>
    <t>During training, you notice that the camel constantly stops due to fatigue. What do you do?</t>
  </si>
  <si>
    <t>a) Give it longer rest periods; b) Increase the intensity of training to strengthen its endurance; c) Ignore the problem and continue training; d) Ask for a medical check-up for the camel</t>
  </si>
  <si>
    <t>a) Give it longer rest periods</t>
  </si>
  <si>
    <t>Fatigue during training requires adjusting the schedule to give the camel enough time to recover and maintain its health.</t>
  </si>
  <si>
    <t>أثناء التدريب، لاحظت أن الجمل يتوقف باستمرار بسبب الإرهاق. ماذا تفعل؟</t>
  </si>
  <si>
    <t>أ) تمنحه فترات راحة أطول؛ ب) تزيد من حدة التدريب لتقوية تحمله؛ ج) تتجاهل المشكلة وتستمر في التدريب؛ د) تطلب فحصًا طبيًا للجمل</t>
  </si>
  <si>
    <t>أ) تمنحه فترات راحة أطول</t>
  </si>
  <si>
    <t>الإرهاق أثناء التدريب يتطلب تعديل الجدول لمنح الجمل الوقت الكافي للتعافي والحفاظ على صحته.</t>
  </si>
  <si>
    <t>If the camel refuses to interact with you before the race, what do you do?</t>
  </si>
  <si>
    <t>a) Try to build a relationship with it during training; b) Ignore the problem; c) Ask for a replacement camel; d) Complain to the trainer</t>
  </si>
  <si>
    <t>a) Try to build a relationship with it during training</t>
  </si>
  <si>
    <t>Understanding the camel enhances coordination between you.</t>
  </si>
  <si>
    <t>إذا كان الجمل يرفض التفاعل معك قبل السباق، ماذا تفعل؟</t>
  </si>
  <si>
    <t>أ) محاولة بناء علاقة معه خلال التدريب؛ ب) تجاهل المشكلة؛ ج) طلب استبدال الجمل؛ د) الشكوى للمدرب</t>
  </si>
  <si>
    <t>أ) محاولة بناء علاقة معه خلال التدريب</t>
  </si>
  <si>
    <t>فهم الجمل يعزز التنسيق بينكما.</t>
  </si>
  <si>
    <t>If you feel that you are consuming energy quickly during the race, what do you do?</t>
  </si>
  <si>
    <t>a) Increase speed to finish faster; b) Maintain a constant speed; c) Stop for a while; d) Use an assistant</t>
  </si>
  <si>
    <t>Maintaining a balance between energy and speed is crucial.</t>
  </si>
  <si>
    <t>إذا شعرت بأنك تستهلك طاقتك بسرعة أثناء السباق، ماذا تفعل؟</t>
  </si>
  <si>
    <t>أ) زيادة السرعة للإنهاء أسرع؛ ب) الحفاظ على سرعة ثابتة؛ ج) التوقف لبعض الوقت؛ د) الاستعانة بمساعد</t>
  </si>
  <si>
    <t>الحفاظ على التوازن بين الطاقة والسرعة أمر حاسم.</t>
  </si>
  <si>
    <t>If the heat is very high during the race, what do you do?</t>
  </si>
  <si>
    <t>a) Motivate the camel to continue; b) Slow down to conserve the camel; c) Withdraw from the race; d) Cancel the race</t>
  </si>
  <si>
    <t>b) Slow down to conserve the camel</t>
  </si>
  <si>
    <t>Slowing down reduces the camel's stress in hot conditions.</t>
  </si>
  <si>
    <t>إذا كانت الحرارة مرتفعة جدًا أثناء السباق، ماذا تفعل؟</t>
  </si>
  <si>
    <t>أ) تحفيز الجمل للاستمرار؛ ب) إبطاء السرعة للحفاظ على الجمل؛ ج) الخروج من السباق؛ د) إلغاء السباق</t>
  </si>
  <si>
    <t>ب) إبطاء السرعة للحفاظ على الجمل</t>
  </si>
  <si>
    <t>إبطاء السرعة يقلل من إجهاد الجمل في الظروف الحارة.</t>
  </si>
  <si>
    <t>If the sand affects the camel's speed, what do you do?</t>
  </si>
  <si>
    <t>a) Increase speed to overtake competitors; b) Be patient and run slowly; c) Change the path completely; d) Stop for a moment</t>
  </si>
  <si>
    <t>b) Be patient and run slowly</t>
  </si>
  <si>
    <t>Dealing with environmental conditions helps in success.</t>
  </si>
  <si>
    <t>إذا كانت الرمال تؤثر على سرعة الجمل، ماذا تفعل؟</t>
  </si>
  <si>
    <t>أ) زيادة السرعة لتجاوز المنافسين؛ ب) التحلي بالصبر والركض ببطء؛ ج) تغيير المسار تماماً؛ د) التوقف للحظات</t>
  </si>
  <si>
    <t>ب) التحلي بالصبر والركض ببطء</t>
  </si>
  <si>
    <t>التعامل مع الظروف البيئية يساعد في النجاح.</t>
  </si>
  <si>
    <t>If you discover that the camel has started running in the wrong direction, what do you do?</t>
  </si>
  <si>
    <t>a) Guide it strongly toward the correct path; b) Use quick signals to guide it; c) Ignore the problem; d) Replace the camel</t>
  </si>
  <si>
    <t>b) Use quick signals to guide it</t>
  </si>
  <si>
    <t>Precise control of the camel is important.</t>
  </si>
  <si>
    <t>إذا اكتشفت أن الجمل بدأ يركض في الاتجاه الخاطئ، ماذا تفعل؟</t>
  </si>
  <si>
    <t>أ) التوجيه بقوة نحو المسار الصحيح؛ ب) استخدام إشارات سريعة لتوجيهه؛ ج) تجاهل المشكلة؛ د) استبدال الجمل</t>
  </si>
  <si>
    <t>ب) استخدام إشارات سريعة لتوجيهه</t>
  </si>
  <si>
    <t>التحكم الدقيق في الجمل أمر مهم.</t>
  </si>
  <si>
    <t>If a group of camels is racing in front of you, what do you do?</t>
  </si>
  <si>
    <t>a) Try to overtake them quickly; b) Try to maintain your speed; c) Act cautiously and don't rush; d) Withdraw from the race</t>
  </si>
  <si>
    <t>c) Act cautiously and don't rush</t>
  </si>
  <si>
    <t>Rushing can lead to losing balance or losing the camel.</t>
  </si>
  <si>
    <t>إذا كانت هناك مجموعة من الجمال تتسابق أمامك، ماذا تفعل؟</t>
  </si>
  <si>
    <t>أ) محاولة تجاوزهم بشكل سريع؛ ب) محاولة الحفاظ على سرعتك؛ ج) التصرف بحذر وعدم التسرع؛ د) الخروج من السباق</t>
  </si>
  <si>
    <t>ج) التصرف بحذر وعدم التسرع</t>
  </si>
  <si>
    <t>التسرع قد يؤدي إلى فقدان التوازن أو فقدان الجمل.</t>
  </si>
  <si>
    <t>If the camel has difficulty overcoming obstacles during the race, what do you do?</t>
  </si>
  <si>
    <t>a) Help it with quick movements; b) Consult the trainer; c) Retreat and avoid the obstacle; d) Maintain momentum</t>
  </si>
  <si>
    <t>a) Help it with quick movements</t>
  </si>
  <si>
    <t>Guiding the camel through obstacles enhances the chances of success.</t>
  </si>
  <si>
    <t>إذا كان الجمل يواجه صعوبة في اجتياز العقبات أثناء السباقماذا تفعل؟</t>
  </si>
  <si>
    <t>أ) مساعدته بحركات سريعة؛ ب) استشارة المدرب؛ ج) التراجع وتجنب العقبة؛ د) الحفاظ على الزخم</t>
  </si>
  <si>
    <t>أ) مساعدته بحركات سريعة</t>
  </si>
  <si>
    <t>توجيه الجمل خلال العقبات يعزز من فرص النجاح.</t>
  </si>
  <si>
    <t>During the race, you find that the camel has difficulty staying on the path. What do you do?</t>
  </si>
  <si>
    <t>a) Guide it gently to return to the path; b) Increase speed to overcome the problem; c) Stop and wait for a moment; d) Fall back</t>
  </si>
  <si>
    <t>a) Guide it gently to return to the path</t>
  </si>
  <si>
    <t>Precise guidance helps the camel stay on the correct path.</t>
  </si>
  <si>
    <t>أثناء السباق، تجد أن الجمل يواجه صعوبة في البقاء على المسار. ماذا تفعل؟</t>
  </si>
  <si>
    <t>أ) توجيهه بلطف للعودة إلى المسار؛ ب) زيادة السرعة لتجاوز المشكلة؛ ج) توقف وانتظر لحظة؛ د) تراجع إلى الخلف</t>
  </si>
  <si>
    <t>أ) توجيهه بلطف للعودة إلى المسار</t>
  </si>
  <si>
    <t>التوجيه الدقيق يساعد الجمل على البقاء على المسار الصحيح.</t>
  </si>
  <si>
    <t>If there is a chance to overtake a rival camel in the last stage of the race, what do you do?</t>
  </si>
  <si>
    <t>a) Speed up and overtake it; b) Maintain your speed without change; c) Avoid the competitor and stay at the back of the race; d) Plan to overtake the rival camel later</t>
  </si>
  <si>
    <t>a) Speed up and overtake it</t>
  </si>
  <si>
    <t>The last moments in the race are crucial for achieving progress.</t>
  </si>
  <si>
    <t>إذا كانت هناك فرصة لتجاوز الجمل المنافس في آخر مرحلة من السباق، ماذا تفعل؟</t>
  </si>
  <si>
    <t>أ) تسرع وتفوق عليه؛ ب) تحافظ على سرعتك دون تغيير؛ ج) تتجنب المنافس وتظل في مؤخرة السباق؛ د) تخطط لتجاوز الجمل المنافس بعد قليل</t>
  </si>
  <si>
    <t>أ) تسرع وتفوق عليه</t>
  </si>
  <si>
    <t>اللحظات الأخيرة في السباق حاسمة لتحقيق التقدم.</t>
  </si>
  <si>
    <t>If the camel starts wandering in different directions during the race, what do you do?</t>
  </si>
  <si>
    <t>a) Stay calm and return it to the correct path; b) Stop the race; c) Give it strict orders to focus; d) Let it decide the path</t>
  </si>
  <si>
    <t>a) Stay calm and return it to the correct path</t>
  </si>
  <si>
    <t>Patience and proper guidance return the camel to the correct path.</t>
  </si>
  <si>
    <t>إذا بدأ الجمل في التجول في اتجاهات مختلفة خلال السباق، ماذا تفعل؟</t>
  </si>
  <si>
    <t>أ) تحافظ على هدوئك وتعيده إلى المسار الصحيح؛ ب) توقف عن السباق؛ ج) تعطيه أوامر شديدة للتركيز؛ د) تتركه يقرر الطريق</t>
  </si>
  <si>
    <t>أ) تحافظ على هدوئك وتعيده إلى المسار الصحيح</t>
  </si>
  <si>
    <t>التحلي بالصبر والتوجيه المناسب يعيد الجمل إلى المسار الصحيح.</t>
  </si>
  <si>
    <t>If you feel extremely exhausted during the race, what do you do?</t>
  </si>
  <si>
    <t>a) Continue the race despite the exhaustion; b) Stop and take a short break; c) Reduce speed for rest; d) Increase speed to finish the race quickly</t>
  </si>
  <si>
    <t>b) Stop and take a short break</t>
  </si>
  <si>
    <t>A short break can restore energy and enhance performance.</t>
  </si>
  <si>
    <t>إذا كنت تشعر بالإرهاق الشديد أثناء السباق، ماذا تفعل؟</t>
  </si>
  <si>
    <t>أ) الاستمرار في السباق رغم الإرهاق؛ ب) التوقف وأخذ استراحة قصيرة؛ ج) تقليل السرعة للراحة؛ د) زيادة السرعة لانهاء السباق سريعاً</t>
  </si>
  <si>
    <t>ب) التوقف وأخذ استراحة قصيرة</t>
  </si>
  <si>
    <t>الراحة القصيرة يمكن أن تعيد النشاط وتعزز الأداء.</t>
  </si>
  <si>
    <t>If the weather is windy during the race, what do you do?</t>
  </si>
  <si>
    <t>a) Slow down to avoid affecting balance; b) Try to overcome the wind by increasing speed; c) Try to change the path away from the wind; d) Ignore the wind and continue as usual</t>
  </si>
  <si>
    <t>a) Slow down to avoid affecting balance</t>
  </si>
  <si>
    <t>Strong winds can affect the camel's stability.</t>
  </si>
  <si>
    <t>إذا كان الجو عاصفاً خلال السباق، ماذا تفعل؟</t>
  </si>
  <si>
    <t>أ) الإبطاء لتجنب التأثير على التوازن؛ ب) محاولة التغلب على الرياح بزيادة السرعة؛ ج) محاولة تغيير المسار بعيداً عن الرياح؛ د) تجاهل الرياح والمواصلة كالمعتاد</t>
  </si>
  <si>
    <t>أ) الإبطاء لتجنب التأثير على التوازن</t>
  </si>
  <si>
    <t>الرياح القوية قد تؤثر على استقرار الجمل.</t>
  </si>
  <si>
    <t>If you notice that the camel has been injured during the race, what do you do?</t>
  </si>
  <si>
    <t>a) Stop immediately and give the camel rest; b) Continue the race normally; c) Talk to the trainer to help you; d) Try to manipulate the camel to speed up</t>
  </si>
  <si>
    <t>a) Stop immediately and give the camel rest</t>
  </si>
  <si>
    <t>Safety comes first, and the camel's health must be confirmed.</t>
  </si>
  <si>
    <t>إذا لاحظت أن الجمل قد أصيب أثناء السباق، ماذا تفعل؟</t>
  </si>
  <si>
    <t>أ) التوقف فوراً وإعطاء الجمل الراحة؛ ب) الاستمرار في السباق بشكل طبيعي؛ ج) التحدث مع المدرب لمساعدتك؛ د) محاولة التلاعب بالجمل للإسراع</t>
  </si>
  <si>
    <t>أ) التوقف فوراً وإعطاء الجمل الراحة</t>
  </si>
  <si>
    <t>السلامة تأتي أولاً، ويجب تأكيد صحة الجمل.</t>
  </si>
  <si>
    <t>If you need to increase the camel's speed in the race, how do you start?</t>
  </si>
  <si>
    <t>a) Start with a gradual increase in speed; b) Start with a fast increase; c) Speed up immediately to overtake everyone; d) Maintain the same speed</t>
  </si>
  <si>
    <t>a) Start with a gradual increase in speed</t>
  </si>
  <si>
    <t>Increasing speed gradually helps to avoid exhaustion.</t>
  </si>
  <si>
    <t>إذا كنت بحاجة لزيادة سرعة الجمل في السباق، كيف تبدأ؟</t>
  </si>
  <si>
    <t>أ) تبدأ بزيادة تدريجية في السرعة؛ ب) تبدأ بزيادة سريعة؛ ج) تسرع فوراً لتجاوز الجميع؛ د) تحافظ على السرعة نفسها</t>
  </si>
  <si>
    <t>أ) تبدأ بزيادة تدريجية في السرعة</t>
  </si>
  <si>
    <t>زيادة السرعة تدريجياً تساهم في تجنب الإرهاق.</t>
  </si>
  <si>
    <t>If the camel is experiencing stress or anxiety before the race, what do you do?</t>
  </si>
  <si>
    <t>a) Calm it with reassuring words; b) Put pressure on it to get ready quickly; c) Ignore the stress; d) Wait for the camel to feel comfortable</t>
  </si>
  <si>
    <t>a) Calm it with reassuring words</t>
  </si>
  <si>
    <t>Positive communication helps calm the camel.</t>
  </si>
  <si>
    <t>إذا كان الجمل يعاني من التوتر أو القلق قبل السباق، ماذا تفعل؟</t>
  </si>
  <si>
    <t>أ) تهدئته بالكلمات المطمئنة؛ ب) الضغط عليه للاستعداد بسرعة؛ ج) تجاهل التوتر؛ د) انتظار الجمل ليشعر بالراحة</t>
  </si>
  <si>
    <t>أ) تهدئته بالكلمات المطمئنة</t>
  </si>
  <si>
    <t>التواصل الإيجابي يساهم في تهدئة الجمل.</t>
  </si>
  <si>
    <t>If you feel that the camel is not in good condition during the race, what do you do?</t>
  </si>
  <si>
    <t>a) Slow down and watch the camel closely; b) Increase speed to finish the race quickly; c) Continue at the same speed; d) Stop and consult the trainer</t>
  </si>
  <si>
    <t>a) Slow down and watch the camel closely</t>
  </si>
  <si>
    <t>Paying attention to the camel's condition may help avoid injuries.</t>
  </si>
  <si>
    <t>إذا شعرت أن الجمل ليس في حالته الجيدة خلال السباق، ماذا تفعل؟</t>
  </si>
  <si>
    <t>أ) تبطئ السرعة وتراقب الجمل عن كثب؛ ب) زيادة السرعة لإتمام السباق بسرعة؛ ج) الاستمرار بنفس السرعة؛ د) التوقف واستشارة المدرب</t>
  </si>
  <si>
    <t>أ) تبطئ السرعة وتراقب الجمل عن كثب</t>
  </si>
  <si>
    <t>الاهتمام بحالة الجمل قد يساعد في تجنب الإصابات.</t>
  </si>
  <si>
    <t>If you are ahead in the race but the camel starts to get tired, what do you do?</t>
  </si>
  <si>
    <t>a) Reduce speed to conserve its energy; b) Slow down significantly; c) Increase speed to avoid competitors slowing down; d) Do nothing and continue the race</t>
  </si>
  <si>
    <t>a) Reduce speed to conserve its energy</t>
  </si>
  <si>
    <t>Conserving the camel's energy can help maintain its speed.</t>
  </si>
  <si>
    <t>إذا كنت متقدماً في السباق ولكن الجمل يبدأ في التعب، ماذا تفعل؟</t>
  </si>
  <si>
    <t>أ) تقلل السرعة للحفاظ على طاقته؛ ب) تبطئ إلى حد كبير؛ ج) تزيد من السرعة لتفادي تباطؤ المنافسين؛ د) لا تفعل شيئاً وتستمر في السباق</t>
  </si>
  <si>
    <t>أ) تقلل السرعة للحفاظ على طاقته</t>
  </si>
  <si>
    <t>توفير طاقة الجمل يمكن أن يساعد في الحفاظ على سرعته.</t>
  </si>
  <si>
    <t>If the camel makes unusual sounds during the race, what do you do?</t>
  </si>
  <si>
    <t>a) Stop immediately; b) Continue and focus on the race; c) Communicate with the camel and determine the cause of the problem; d) Call a veterinarian during the race</t>
  </si>
  <si>
    <t>c) Communicate with the camel and determine the cause of the problem</t>
  </si>
  <si>
    <t>Paying attention to any sound changes may indicate a health problem.</t>
  </si>
  <si>
    <t>إذا كان الجمل يصدر أصوات غير معتادة أثناء السباق، ماذا تفعل؟</t>
  </si>
  <si>
    <t>أ) التوقف على الفور؛ ب) الاستمرار والتركيز على السباق؛ ج) التواصل مع الجمل وتحديد سبب المشكلة؛ د) الاستعانة بطبيب بيطري أثناء السباق</t>
  </si>
  <si>
    <t>ج) التواصل مع الجمل وتحديد سبب المشكلة</t>
  </si>
  <si>
    <t>الاهتمام بأي تغييرات صوتية قد يعكس مشكلة صحية.</t>
  </si>
  <si>
    <t>If there is a bright light at the end of the race, what do you do?</t>
  </si>
  <si>
    <t>a) Maintain focus and do not look at it; b) Look directly at the light; c) Stop temporarily to refocus; d) Increase speed to get closer to the light</t>
  </si>
  <si>
    <t>a) Maintain focus and do not look at it</t>
  </si>
  <si>
    <t>Visual distraction can affect your performance.</t>
  </si>
  <si>
    <t>إذا كان هناك ضوء ساطع في نهاية السباق، ماذا تفعل؟</t>
  </si>
  <si>
    <t>أ) الحفاظ على التركيز وعدم النظر إليه؛ ب) النظر مباشرة إلى الضوء؛ ج) التوقف مؤقتاً لإعادة التركيز؛ د) زيادة السرعة للاقتراب من الضوء</t>
  </si>
  <si>
    <t>أ) الحفاظ على التركيز وعدم النظر إليه</t>
  </si>
  <si>
    <t>التشويش البصري قد يؤثر على أدائك.</t>
  </si>
  <si>
    <t>If the camel refuses to run at the start of the race, what do you do?</t>
  </si>
  <si>
    <t>a) Be patient and give the camel time to start; b) Try to push it to run; c) Stop the race completely; d) Talk to the trainer to find out the reason for the problem</t>
  </si>
  <si>
    <t>a) Be patient and give the camel time to start</t>
  </si>
  <si>
    <t>Flexibility and patience help overcome problems.</t>
  </si>
  <si>
    <t>إذا كان الجمل يرفض الركض في بداية السباق، ماذا تفعل؟</t>
  </si>
  <si>
    <t>أ) التحلي بالصبر وإعطاء الجمل الوقت ليبدأ؛ ب) محاولة دفعه للركض؛ ج) إيقاف السباق بشكل كامل؛ د) التحدث مع المدرب للبحث عن سبب المشكلة</t>
  </si>
  <si>
    <t>أ) التحلي بالصبر وإعطاء الجمل الوقت ليبدأ</t>
  </si>
  <si>
    <t>المرونة والتحلي بالصبر تساعد في التغلب على المشكلات.</t>
  </si>
  <si>
    <t>If the camel does not adhere to the required speed, what do you do?</t>
  </si>
  <si>
    <t>a) Increase speed to reduce the gap; b) Slow down and monitor it; c) Try to force it to speed up; d) Stop the race</t>
  </si>
  <si>
    <t>a) Increase speed to reduce the gap</t>
  </si>
  <si>
    <t>Trying to catch up with competitors requires a calculated increase in speed.</t>
  </si>
  <si>
    <t>إذا كان الجمل لا يلتزم بالسرعة المطلوبة، ماذا تفعل؟</t>
  </si>
  <si>
    <t>أ) زيادة السرعة للحد من الفجوة؛ ب) إبطاء السرعة ومراقبته؛ ج) محاولة إجباره على السرعة؛ د) إيقاف السباق</t>
  </si>
  <si>
    <t>أ) زيادة السرعة للحد من الفجوة</t>
  </si>
  <si>
    <t>محاولة اللحاق بالمنافسين يتطلب زيادة السرعة بشكل محسوب.</t>
  </si>
  <si>
    <t>If the camel has difficulty maintaining its balance during a race in windy weather, what do you do?</t>
  </si>
  <si>
    <t>a) Slow down to ensure safety; b) Speed up to pass the storm quickly; c) Stop the race temporarily until the wind calms down; d) Ask for help from the support team</t>
  </si>
  <si>
    <t>a) Slow down to ensure safety</t>
  </si>
  <si>
    <t>Windy weather can cause the camel to lose its balance, and slowing down helps maintain its safety during the race.</t>
  </si>
  <si>
    <t>أثناء سباق في طقس عاصف، لاحظت أن الجمل يجد صعوبة في الحفاظ على توازنه. ماذا تفعل؟</t>
  </si>
  <si>
    <t>أ) تبطئ لضمان الأمان؛ ب) تسرع لتجاوز العاصفة بسرعة؛ ج) توقف السباق مؤقتًا حتى تهدأ الرياح؛ د) تطلب مساعدة من فريق الدعم</t>
  </si>
  <si>
    <t>أ) تبطئ لضمان الأمان</t>
  </si>
  <si>
    <t>الطقس العاصف يمكن أن يسبب فقدان التوازن للجمل، والإبطاء يساعد في الحفاظ على سلامته أثناء السباق.</t>
  </si>
  <si>
    <t>If there is a large gap between you and the rest of the competitors at the start of the race, what do you do?</t>
  </si>
  <si>
    <t>a) Slow down to avoid early exhaustion; b) Speed up to gain an advantage over them; c) Monitor the race and maintain your speed; d) Do nothing, and continue as is</t>
  </si>
  <si>
    <t>c) Monitor the race and maintain your speed</t>
  </si>
  <si>
    <t>Sticking to your strategy helps in controlling the race.</t>
  </si>
  <si>
    <t>إذا كانت هناك فجوة كبيرة بينك وبين باقي المتسابقين في بداية السباق، ماذا تفعل؟</t>
  </si>
  <si>
    <t>أ) تبطئ لتجنب الإرهاق المبكر؛ ب) تسرع لتحقق التفوق عليهم؛ ج) تراقب السباق وتحافظ على سرعتك؛ د) لا تفعل شيئاً، وتستمر كما هو</t>
  </si>
  <si>
    <t>ج) تراقب السباق وتحافظ على سرعتك</t>
  </si>
  <si>
    <t>الحفاظ على استراتيجيتك يساعد في السيطرة على السباق.</t>
  </si>
  <si>
    <t>If you notice that one of the competitors is using an unfair tactic, what do you do?</t>
  </si>
  <si>
    <t>a) Complain to the trainer or organizers; b) Continue the race without paying attention; c) Withdraw from the race; d) Meet the competitor after the race to discuss the matter</t>
  </si>
  <si>
    <t>a) Complain to the trainer or organizers</t>
  </si>
  <si>
    <t>Acting fairly in the race enhances its integrity.</t>
  </si>
  <si>
    <t>إذا لاحظت أن أحد المتسابقين يستخدم تكتيكاً غير شريف، ماذا تفعل؟</t>
  </si>
  <si>
    <t>أ) الشكوى للمدرب أو المنظمين؛ ب) مواصلة السباق بدون الاهتمام؛ ج) الانسحاب من السباق؛ د) مقابلة المتسابق بعد السباق لمناقشة الأمر</t>
  </si>
  <si>
    <t>أ) الشكوى للمدرب أو المنظمين</t>
  </si>
  <si>
    <t>التصرف بإنصاف في السباق يعزز من نزاهته.</t>
  </si>
  <si>
    <t>If the sun starts to appear and the weather becomes hot, what do you do?</t>
  </si>
  <si>
    <t>a) Reduce speed to conserve the camel's energy; b) Increase speed to finish the race quickly; c) Continue at the same pace; d) Stop and wait in the shade</t>
  </si>
  <si>
    <t>a) Reduce speed to conserve the camel's energy</t>
  </si>
  <si>
    <t>Heat affects the camel's performance and its ability to continue.</t>
  </si>
  <si>
    <t>إذا بدأت الشمس في الظهور والجو أصبح حاراً، ماذا تفعل؟</t>
  </si>
  <si>
    <t>أ) تقليل السرعة للحفاظ على طاقة الجمل؛ ب) زيادة السرعة لإنهاء السباق بسرعة؛ ج) الاستمرار بنفس الوتيرة؛ د) التوقف والانتظار في الظل</t>
  </si>
  <si>
    <t>أ) تقليل السرعة للحفاظ على طاقة الجمل</t>
  </si>
  <si>
    <t>الحرارة تؤثر على أداء الجمل وقدرته على الاستمرار.</t>
  </si>
  <si>
    <t>If the camel is suffering from exhaustion during the race, what do you do?</t>
  </si>
  <si>
    <t>a) Motivate it with words and continue; b) Slow down and allow it to rest; c) Force it to continue; d) Replace the camel</t>
  </si>
  <si>
    <t>b) Slow down and allow it to rest</t>
  </si>
  <si>
    <t>Rest and attention to the camel contribute to improving its performance.</t>
  </si>
  <si>
    <t>إذا كان الجمل يعاني من الإرهاق أثناء السباق، ماذا تفعل؟</t>
  </si>
  <si>
    <t>أ) تحفزه بالكلمات وتستمر؛ ب) تبطئ السرعة وتسمح له بالراحة؛ ج) تجبره على الاستمرار؛ د) استبدال الجمل</t>
  </si>
  <si>
    <t>ب) تبطئ السرعة وتسمح له بالراحة</t>
  </si>
  <si>
    <t>الراحة والاهتمام بالجمل تساهم في تحسين أدائه.</t>
  </si>
  <si>
    <t>If you are in the final stage of the race and the camel has difficulty breathing, what do you do?</t>
  </si>
  <si>
    <t>a) Increase speed to overtake others; b) Slow down to allow it to breathe; c) Stop the race immediately; d) Continue the race without change</t>
  </si>
  <si>
    <t>b) Slow down to allow it to breathe</t>
  </si>
  <si>
    <t>Proper breathing helps the camel regain its strength.</t>
  </si>
  <si>
    <t>إذا كنت في مرحلة نهائية من السباق والجمل يواجه صعوبة في التنفس، ماذا تفعل؟</t>
  </si>
  <si>
    <t>أ) زيادة السرعة لتجاوز الآخرين؛ ب) الإبطاء للسماح له بالتنفس؛ ج) إيقاف السباق على الفور؛ د) مواصلة السباق دون تغيير</t>
  </si>
  <si>
    <t>ب) الإبطاء للسماح له بالتنفس</t>
  </si>
  <si>
    <t>التنفس السليم يساعد الجمل على استعادة قوته.</t>
  </si>
  <si>
    <t>If the camel behaves aggressively during the race, what do you do?</t>
  </si>
  <si>
    <t>a) Slow down to avoid problems; b) Continue the race with strength; c) Stop and stay at the back; d) Contact the trainer to analyze the situation</t>
  </si>
  <si>
    <t>a) Slow down to avoid problems</t>
  </si>
  <si>
    <t>Safety first, and acting cautiously enhances success.</t>
  </si>
  <si>
    <t>إذا كان الجمل يتصرف بعدوانية أثناء السباق، ماذا تفعل؟</t>
  </si>
  <si>
    <t>أ) تبطئ لتجنب المشاكل؛ ب) تستمر في السباق بقوة؛ ج) توقف وابقَ في الخلف؛ د) تواصل مع المدرب لتحليل الوضع</t>
  </si>
  <si>
    <t>أ) تبطئ لتجنب المشاكل</t>
  </si>
  <si>
    <t>السلامة أولاً، والتصرف بحذر يعزز النجاح.</t>
  </si>
  <si>
    <t>If you find that the camel is falling behind in the race, what do you do?</t>
  </si>
  <si>
    <t>a) Increase speed to motivate it; b) Slow down and give it a chance to rest; c) Use another competitor for help; d) Switch to another camel</t>
  </si>
  <si>
    <t>a) Increase speed to motivate it</t>
  </si>
  <si>
    <t>Increasing speed may motivate the camel to increase performance.</t>
  </si>
  <si>
    <t>إذا وجدت أن الجمل يتأخر في السباق، ماذا تفعل؟</t>
  </si>
  <si>
    <t>أ) تزيد من السرعة لتحفيزه؛ ب) تبطئ وتمنحه فرصة للراحة؛ ج) تستعين بمتسابق آخر للمساعدة؛ د) تنتقل للجمل آخر</t>
  </si>
  <si>
    <t>أ) تزيد من السرعة لتحفيزه</t>
  </si>
  <si>
    <t>زيادة السرعة قد تحفز الجمل على زيادة الأداء.</t>
  </si>
  <si>
    <t>If you feel that the camel is in good condition, but the terrain changes, what do you do?</t>
  </si>
  <si>
    <t>a) Closely monitor the changes and adapt to them; b) Increase speed to overcome the terrain; c) Slow down without reason; d) Continue as is</t>
  </si>
  <si>
    <t>a) Closely monitor the changes and adapt to them</t>
  </si>
  <si>
    <t>Flexibility in dealing with new terrain ensures success.</t>
  </si>
  <si>
    <t>إذا شعرت أن الجمل في حالة جيدة، لكن التضاريس تتغير، ماذا تفعل؟</t>
  </si>
  <si>
    <t>أ) تراقب عن كثب التغييرات وتتكيف معها؛ ب) تزيد السرعة لتجاوز التضاريس؛ ج) تبطئ دون سبب؛ د) تستمر كما هو</t>
  </si>
  <si>
    <t>أ) تراقب عن كثب التغييرات وتتكيف معها</t>
  </si>
  <si>
    <t>المرونة في التعامل مع التضاريس الجديدة تضمن النجاح.</t>
  </si>
  <si>
    <t>If there is a water hazard near the path, what do you do?</t>
  </si>
  <si>
    <t>a) Increase speed to pass the water quickly; b) Avoid the water and change the path; c) Slow down to maintain the camel's balance; d) Stop to assess the situation</t>
  </si>
  <si>
    <t>b) Avoid the water and change the path</t>
  </si>
  <si>
    <t>Staying away from water obstacles maintains the camel's stability.</t>
  </si>
  <si>
    <t>إذا كانت هناك خطر مائي قريب من المسار، ماذا تفعل؟</t>
  </si>
  <si>
    <t>أ) تزيد السرعة لتجاوز المياه بسرعة؛ ب) تتجنب الماء وتغير المسار؛ ج) تبطئ للحفاظ على توازن الجمل؛ د) تقف لتقييم الوضع</t>
  </si>
  <si>
    <t>ب) تتجنب الماء وتغير المسار</t>
  </si>
  <si>
    <t>الابتعاد عن العوائق المائية يحافظ على استقرار الجمل.</t>
  </si>
  <si>
    <t>If the race requires jumping, and the camel has difficulty jumping, what do you do?</t>
  </si>
  <si>
    <t>a) Help the camel maintain its balance; b) Force it to jump by force; c) Stop and re-arrange the camels; d) Withdraw from the race</t>
  </si>
  <si>
    <t>a) Help the camel maintain its balance</t>
  </si>
  <si>
    <t>Helping to overcome obstacles improves performance.</t>
  </si>
  <si>
    <t>إذا كان السباق يتطلب قفزاً، والجمل يواجه صعوبة في القفز، ماذا تفعل؟</t>
  </si>
  <si>
    <t>أ) مساعدة الجمل في الحفاظ على توازنه؛ ب) اجبره على القفز بالقوة؛ ج) تتوقف وتعيد ترتيب الجمل؛ د) تخرج من السباق</t>
  </si>
  <si>
    <t>أ) مساعدة الجمل في الحفاظ على توازنه</t>
  </si>
  <si>
    <t>المساعدة في تجاوز العقبات يحسن الأداء.</t>
  </si>
  <si>
    <t>If the remaining distance in the race is very short and the camel starts to slow down, what do you do?</t>
  </si>
  <si>
    <t>a) Increase speed as much as possible; b) Continue at the same speed to conserve energy; c) Calm the camel and re-motivate it; d) Give up and withdraw from the race</t>
  </si>
  <si>
    <t>a) Increase speed as much as possible</t>
  </si>
  <si>
    <t>Short races require a speed increase to achieve victory.</t>
  </si>
  <si>
    <t>إذا كانت المسافة المتبقية في السباق قصيرة جدًا والجمل بدأ يبطئ، ماذا تفعل؟</t>
  </si>
  <si>
    <t>أ) زيادة السرعة بأقصى ما يمكن؛ ب) استمر في نفس السرعة للحفاظ على الطاقة؛ ج) تهدئ الجمل وتعيد تحفيزه؛ د) تستسلم وتخرج من السباق</t>
  </si>
  <si>
    <t>أ) زيادة السرعة بأقصى ما يمكن</t>
  </si>
  <si>
    <t>السباقات القصيرة تتطلب زيادة السرعة لتحقيق الفوز.</t>
  </si>
  <si>
    <t>If you feel that the camel starts to over-move during the race, what do you do?</t>
  </si>
  <si>
    <t>a) Reduce speed to help it stabilize; b) Motivate it for more speed; c) Continue the race at the same pace; d) Stop and start again</t>
  </si>
  <si>
    <t>a) Reduce speed to help it stabilize</t>
  </si>
  <si>
    <t>Reducing speed helps the camel avoid exhaustion.</t>
  </si>
  <si>
    <t>إذا شعرت أن الجمل بدأ يبالغ في الحركة خلال السباق، ماذا تفعل؟</t>
  </si>
  <si>
    <t>أ) تقلل السرعة لتساعده على الاستقرار؛ ب) تحفزه للمزيد من السرعة؛ ج) تتابع السباق بنفس الوتيرة؛ د) توقف وابدأ من جديد</t>
  </si>
  <si>
    <t>أ) تقلل السرعة لتساعده على الاستقرار</t>
  </si>
  <si>
    <t>التقليل من السرعة يساعد الجمل على تجنب الإرهاق.</t>
  </si>
  <si>
    <t>If a sandstorm approaches during the race, what do you do?</t>
  </si>
  <si>
    <t>a) Slow down to reduce the impact; b) Continue at a greater speed to pass the storm; c) Look for shelter and stop temporarily; d) Change the path completely</t>
  </si>
  <si>
    <t>a) Slow down to reduce the impact</t>
  </si>
  <si>
    <t>A sandstorm can affect the camel's vision and stability.</t>
  </si>
  <si>
    <t>إذا كانت هناك عاصفة رملية تقترب خلال السباق، ماذا تفعل؟</t>
  </si>
  <si>
    <t>أ) الإبطاء لتقليل التأثير؛ ب) الاستمرار بسرعة أكبر لتجاوز العاصفة؛ ج) البحث عن مأوى والتوقف مؤقتاً؛ د) تغيير المسار بالكامل</t>
  </si>
  <si>
    <t>أ) الإبطاء لتقليل التأثير</t>
  </si>
  <si>
    <t>العاصفة الرملية قد تؤثر على رؤية الجمل واستقراره.</t>
  </si>
  <si>
    <t>During a long desert race, you notice that the camel starts to get tired and slow down significantly. What do you do?</t>
  </si>
  <si>
    <t>a) Give it a short break and provide it with water; b) Put pressure on it to increase its speed; c) Replace it with another camel if possible; d) End the race immediately</t>
  </si>
  <si>
    <t>a) Give it a short break and provide it with water</t>
  </si>
  <si>
    <t>Long races require careful management of the camel's energy, and short breaks help it regain its activity and ensure its safety.</t>
  </si>
  <si>
    <t>أثناء سباق صحراوي طويل، لاحظت أن الجمل بدأ يتعب ويتباطأ بشكل ملحوظ. ماذا تفعل؟</t>
  </si>
  <si>
    <t>أ) تمنحه استراحة قصيرة وتوفر له الماء؛ ب) تضغط عليه لزيادة سرعته؛ ج) تستبدله بجمل آخر إذا أمكن؛ د) تنهي السباق فورًا</t>
  </si>
  <si>
    <t>أ) تمنحه استراحة قصيرة وتوفر له الماء</t>
  </si>
  <si>
    <t>السباقات الطويلة تتطلب إدارة طاقة الجمل بعناية، والاستراحات القصيرة تساعده على استعادة نشاطه وضمان سلامته.</t>
  </si>
  <si>
    <t>If you are in a competition with another camel in an advanced stage of the race, what do you do?</t>
  </si>
  <si>
    <t>a) Increase speed to overtake the rival camel; b) Slow down to avoid exhaustion; c) Maintain the same speed without change; d) Start adjusting your path</t>
  </si>
  <si>
    <t>a) Increase speed to overtake the rival camel</t>
  </si>
  <si>
    <t>Competing for first place requires a speed increase at crucial moments.</t>
  </si>
  <si>
    <t>إذا كنت في منافسة مع جمل آخر في مرحلة متقدمة من السباق، ماذا تفعل؟</t>
  </si>
  <si>
    <t>أ) تزيد من السرعة لتجاوز الجمل المنافس؛ ب) تبطئ لتجنب الإرهاق؛ ج) تحافظ على نفس السرعة دون تغيير؛ د) تبدأ في تعديل مسارك</t>
  </si>
  <si>
    <t>أ) تزيد من السرعة لتجاوز الجمل المنافس</t>
  </si>
  <si>
    <t>التنافس على المركز الأول يتطلب زيادة السرعة في اللحظات الحاسمة.</t>
  </si>
  <si>
    <t>If the camel starts running slowly at the start of the race, what do you do?</t>
  </si>
  <si>
    <t>a) Motivate it with words and increase its speed; b) Let it rest for a short period; c) Continue running at the same speed; d) Change the path to look for the best way to increase speed</t>
  </si>
  <si>
    <t>a) Motivate it with words and increase its speed</t>
  </si>
  <si>
    <t>Early motivation helps the camel improve its performance.</t>
  </si>
  <si>
    <t>إذا بدأ الجمل يركض ببطء في بداية السباق، ماذا تفعل؟</t>
  </si>
  <si>
    <t>أ) تحفزه بالكلمات وتزيد من سرعته؛ ب) تتركه يرتاح لفترة قصيرة؛ ج) تستمر في الركض بنفس السرعة؛ د) تغير المسار للبحث عن أفضل طريقة لزيادة السرعة</t>
  </si>
  <si>
    <t>أ) تحفزه بالكلمات وتزيد من سرعته</t>
  </si>
  <si>
    <t>التحفيز المبكر يساعد الجمل على تحسين أدائه.</t>
  </si>
  <si>
    <t>If the camel starts ignoring your signals during the race, what do you do?</t>
  </si>
  <si>
    <t>a) Increase the rigidity of your signals; b) Slow down and return it to the correct path; c) Increase speed to take first place; d) Use an assistant to guide the camel</t>
  </si>
  <si>
    <t>b) Slow down and return it to the correct path</t>
  </si>
  <si>
    <t>Controlling the camel requires calm and effective intervention.</t>
  </si>
  <si>
    <t>إذا بدأ الجمل يتجاهل إشاراتك أثناء السباق، ماذا تفعل؟</t>
  </si>
  <si>
    <t>أ) تزيد من صلابة إشاراتك؛ ب) تبطئ السرعة وتعيده إلى المسار الصحيح؛ ج) تزيد من السرعة لاحتلال المركز الأول؛ د) تستعين بمساعد لقيادة الجمل</t>
  </si>
  <si>
    <t>ب) تبطئ السرعة وتعيده إلى المسار الصحيح</t>
  </si>
  <si>
    <t>التحكم في الجمل يتطلب التدخل الهادئ والفعال.</t>
  </si>
  <si>
    <t>If the distance is very long, and you feel exhausted, what do you do?</t>
  </si>
  <si>
    <t>a) Increase speed to try to make up for the lost time; b) Slow down to conserve energy for later stages; c) Stop for a long break; d) Withdraw from the race</t>
  </si>
  <si>
    <t>b) Slow down to conserve energy for later stages</t>
  </si>
  <si>
    <t>Wise energy management ensures better long-term performance.</t>
  </si>
  <si>
    <t>إذا كانت المسافة طويلة جداً، وكنت تشعر بالإرهاق، ماذا تفعل؟</t>
  </si>
  <si>
    <t>أ) تزيد من السرعة لمحاولة التغطية على الوقت المفقود؛ ب) تبطئ للحفاظ على الطاقة لمراحل لاحقة؛ ج) توقف لأخذ استراحة كبيرة؛ د) تنسحب من السباق</t>
  </si>
  <si>
    <t>ب) تبطئ للحفاظ على الطاقة لمراحل لاحقة</t>
  </si>
  <si>
    <t>الإدارة الحكيمة للطاقة تضمن أداءً أفضل على المدى الطويل.</t>
  </si>
  <si>
    <t>During a race on rocky ground, you notice that the camel has difficulty moving. What do you do?</t>
  </si>
  <si>
    <t>a) Slow down to reduce pressure on the hooves; b) Increase speed to pass the area quickly; c) Change the path to avoid the rocks; d) Stop the race temporarily</t>
  </si>
  <si>
    <t>a) Slow down to reduce pressure on the hooves</t>
  </si>
  <si>
    <t>Rocky ground can cause injuries to the hooves, and slowing down reduces the risk of stress and injury.</t>
  </si>
  <si>
    <t>أثناء سباق على أرض صخرية، لاحظت أن الجمل يواجه صعوبة في التحرك. ماذا تفعل؟</t>
  </si>
  <si>
    <t>أ) تبطئ لتقليل الضغط على الحوافر؛ ب) تزيد السرعة لتجاوز المنطقة سريعًا؛ ج) تغير المسار لتجنب الصخور؛ د) توقف السباق مؤقتًا</t>
  </si>
  <si>
    <t>أ) تبطئ لتقليل الضغط على الحوافر</t>
  </si>
  <si>
    <t>الأرض الصخرية قد تسبب إصابات في الحوافر، والتباطؤ يقلل من خطر الإجهاد والإصابة.</t>
  </si>
  <si>
    <t>If the camel feels afraid when seeing another animal nearby, what do you do?</t>
  </si>
  <si>
    <t>a) Calm it with your voice and reassure it; b) Speed up to get it away from the animal; c) Change the path to avoid the animal; d) Stop the race</t>
  </si>
  <si>
    <t>a) Calm it with your voice and reassure it</t>
  </si>
  <si>
    <t>Vocal calming helps the camel overcome fear and focus on the race.</t>
  </si>
  <si>
    <t>إذا كان الجمل يشعر بالخوف عند رؤية حيوان آخر قريب، ماذا تفعل؟</t>
  </si>
  <si>
    <t>أ) تهدئه بصوتك وتطمئنه؛ ب) تسرع لإبعاده عن الحيوان؛ ج) تغير المسار لتجنب الحيوان؛ د) توقف السباق</t>
  </si>
  <si>
    <t>أ) تهدئه بصوتك وتطمئنه</t>
  </si>
  <si>
    <t>التهدئة الصوتية تساعد الجمل على التغلب على الخوف والتركيز على السباق.</t>
  </si>
  <si>
    <t>During a fast race, you notice that the camel is breathing unnaturally quickly. What do you do?</t>
  </si>
  <si>
    <t>a) Slow down immediately to relieve stress; b) Continue at the same speed to finish the race quickly; c) Ask for medical help immediately; d) End the race</t>
  </si>
  <si>
    <t>a) Slow down immediately to relieve stress</t>
  </si>
  <si>
    <t>Unnatural rapid breathing may be a sign of excessive stress and should be handled with caution.</t>
  </si>
  <si>
    <t>أثناء سباق سريع، لاحظت أن الجمل يتنفس بسرعة غير طبيعية. ماذا تفعل؟</t>
  </si>
  <si>
    <t>أ) تبطئ فورًا لتخفيف الإجهاد؛ ب) تستمر بنفس السرعة لإنهاء السباق سريعًا؛ ج) تطلب مساعدة طبية فورًا؛ د) تنهي السباق</t>
  </si>
  <si>
    <t>أ) تبطئ فورًا لتخفيف الإجهاد</t>
  </si>
  <si>
    <t>زيادة التنفس بشكل غير طبيعي قد تكون علامة على إجهاد مفرط ويجب التعامل معها بحذر.</t>
  </si>
  <si>
    <t>If the camel seems hesitant when crossing a shallow water area, what do you do?</t>
  </si>
  <si>
    <t>a) Guide it gently and give it enough time; b) Put pressure on it to cross quickly; c) Change the path to avoid the water; d) Ask for help from the team</t>
  </si>
  <si>
    <t>a) Guide it gently and give it enough time</t>
  </si>
  <si>
    <t>Hesitation when crossing water can be overcome with patience and positive guidance.</t>
  </si>
  <si>
    <t>إذا كان الجمل يبدو مترددًا عند عبور منطقة مائية ضحلة، ماذا تفعل؟</t>
  </si>
  <si>
    <t>أ) توجهه بلطف وتمنحه الوقت الكافي؛ ب) تضغط عليه للعبور بسرعة؛ ج) تغير المسار لتجنب الماء؛ د) تطلب مساعدة الفريق</t>
  </si>
  <si>
    <t>أ) توجهه بلطف وتمنحه الوقت الكافي</t>
  </si>
  <si>
    <t>التردد عند عبور الماء يمكن التغلب عليه بالصبر والتوجيه الإيجابي.</t>
  </si>
  <si>
    <t>During a race against strong competitors, you notice that the camel seems stressed. What do you do?</t>
  </si>
  <si>
    <t>a) Calm it with your voice and provide it with a short break; b) Increase speed to enhance the competition; c) Ask your team to provide moral support; d) Stop the race</t>
  </si>
  <si>
    <t>a) Calm it with your voice and provide it with a short break</t>
  </si>
  <si>
    <t>Stress affects performance, and calming helps the camel refocus.</t>
  </si>
  <si>
    <t>أثناء سباق ضد منافسين أقوياء، لاحظت أن الجمل يبدو متوترًا. ماذا تفعل؟</t>
  </si>
  <si>
    <t>أ) تهدئه بصوتك وتوفر له استراحة قصيرة؛ ب) تزيد السرعة لتعزيز المنافسة؛ ج) تطلب من فريقك تقديم دعم معنوي؛ د) توقف السباق</t>
  </si>
  <si>
    <t>أ) تهدئه بصوتك وتوفر له استراحة قصيرة</t>
  </si>
  <si>
    <t>التوتر يؤثر على الأداء، والتهدئة تساعد الجمل على التركيز مجددًا.</t>
  </si>
  <si>
    <t>During training, you notice that the camel ignores orders. What do you do?</t>
  </si>
  <si>
    <t>a) Stop to re-train it to respond to orders; b) Increase pressure to make it follow orders; c) Ask for help from a professional trainer; d) Continue training despite its ignoring</t>
  </si>
  <si>
    <t>a) Stop to re-train it to respond to orders</t>
  </si>
  <si>
    <t>Re-training enhances discipline and ensures the camel responds correctly.</t>
  </si>
  <si>
    <t>أثناء التدريب، لاحظت أن الجمل يتجاهل الأوامر. ماذا تفعل؟</t>
  </si>
  <si>
    <t>أ) تتوقف لإعادة تدريبه على الاستجابة للأوامر؛ ب) تزيد الضغط لجعله يتبع الأوامر؛ ج) تطلب المساعدة من مدرب محترف؛ د) تستمر في التدريب رغم تجاهله</t>
  </si>
  <si>
    <t>أ) تتوقف لإعادة تدريبه على الاستجابة للأوامر</t>
  </si>
  <si>
    <t>إعادة التدريب تعزز الانضباط وتضمن استجابة الجمل بشكل صحيح.</t>
  </si>
  <si>
    <t>During a long race, you feel that the camel needs more energy. What do you do?</t>
  </si>
  <si>
    <t>a) Provide it with a light meal and water during the break; b) Speed up to finish the race as quickly as possible; c) Ask for help from the team to provide additional support; d) Stop the race</t>
  </si>
  <si>
    <t>a) Provide it with a light meal and water during the break</t>
  </si>
  <si>
    <t>Proper nutrition during the race helps the camel regain energy and maintain its performance.</t>
  </si>
  <si>
    <t>أثناء سباق طويل، شعرت بأن الجمل بحاجة إلى مزيد من الطاقة. ماذا تفعل؟</t>
  </si>
  <si>
    <t>أ) توفر له طعامًا خفيفًا وماءً أثناء الاستراحة؛ ب) تسرع لإنهاء السباق بأسرع وقت؛ ج) تطلب مساعدة الفريق لتقديم دعم إضافي؛ د) توقف السباق</t>
  </si>
  <si>
    <t>أ) توفر له طعامًا خفيفًا وماءً أثناء الاستراحة</t>
  </si>
  <si>
    <t>التغذية المناسبة أثناء السباق تساعد على استعادة طاقة الجمل والحفاظ على أدائه.</t>
  </si>
  <si>
    <t>If the camel encounters a sudden sandstorm, what do you do?</t>
  </si>
  <si>
    <t>a) Stop the race and protect the camel with a blanket; b) Speed up to pass the storm; c) Change the path to avoid the storm; d) Ask your team to provide support</t>
  </si>
  <si>
    <t>a) Stop the race and protect the camel with a blanket</t>
  </si>
  <si>
    <t>A sandstorm can affect the camel's health and vision, and protection is essential to ensure its safety.</t>
  </si>
  <si>
    <t>إذا واجه الجمل عاصفة رملية مفاجئة، ماذا تفعل؟</t>
  </si>
  <si>
    <t>أ) توقف السباق وتحمي الجمل بغطاء؛ ب) تسرع لتجاوز العاصفة؛ ج) تغير المسار لتجنب العاصفة؛ د) تطلب من فريقك تقديم الدعم</t>
  </si>
  <si>
    <t>أ) توقف السباق وتحمي الجمل بغطاء</t>
  </si>
  <si>
    <t>العواصف الرملية قد تؤثر على صحة الجمل ورؤيته، والحماية ضرورية لضمان سلامته.</t>
  </si>
  <si>
    <t>If you notice that the camel has a minor joint inflammation, what do you do?</t>
  </si>
  <si>
    <t>a) Stop the race and call a veterinarian; b) Speed up to finish the race quickly; c) Change the camel with another camel if possible; d) Continue while monitoring its condition</t>
  </si>
  <si>
    <t>a) Stop the race and call a veterinarian</t>
  </si>
  <si>
    <t>Joint inflammations need immediate treatment to avoid the problem worsening.</t>
  </si>
  <si>
    <t>إذا لاحظت أن الجمل يعاني من التهاب بسيط في المفاصل، ماذا تفعل؟</t>
  </si>
  <si>
    <t>أ) توقف السباق وتستدعي طبيبًا بيطريًا؛ ب) تسرع لإنهاء السباق بسرعة؛ ج) تغير الجمل بجمل آخر إذا أمكن؛ د) تستمر مع مراقبة حالته</t>
  </si>
  <si>
    <t>أ) توقف السباق وتستدعي طبيبًا بيطريًا</t>
  </si>
  <si>
    <t>التهابات المفاصل تحتاج إلى علاج فوري لتجنب تفاقم المشكلة.</t>
  </si>
  <si>
    <t>During the race, the camel stumbled and fell to the ground. What do you do?</t>
  </si>
  <si>
    <t>a) Stop the race immediately and check its condition; b) Ask the team to help it stand up; c) End the race; d) Try to push it to stand up quickly</t>
  </si>
  <si>
    <t>a) Stop the race immediately and check its condition</t>
  </si>
  <si>
    <t>Falling can cause serious injuries, and an immediate check-up ensures the camel's safety.</t>
  </si>
  <si>
    <t>أثناء السباق، تعثّر الجمل وسقط على الأرض. ماذا تفعل؟</t>
  </si>
  <si>
    <t>أ) توقف السباق فورًا وتفحص حالته؛ ب) تطلب من الفريق مساعدته على الوقوف؛ ج) تنهي السباق؛ د) تحاول دفعه للوقوف بسرعة</t>
  </si>
  <si>
    <t>أ) توقف السباق فورًا وتفحص حالته</t>
  </si>
  <si>
    <t>السقوط قد يسبب إصابات خطيرة، والفحص الفوري يضمن سلامة الجمل.</t>
  </si>
  <si>
    <t>If the camel seems exhausted near the finish line, what do you do?</t>
  </si>
  <si>
    <t>a) Slow down to reduce pressure on it; b) Motivate it to reach the end; c) Continue at the same speed without change; d) Ask the team to support it morally</t>
  </si>
  <si>
    <t>b) Motivate it to reach the end</t>
  </si>
  <si>
    <t>Positive motivation can help the camel make an extra effort to reach the goal.</t>
  </si>
  <si>
    <t>إذا كان الجمل يبدو منهكًا عند اقتراب خط النهاية، ماذا تفعل؟</t>
  </si>
  <si>
    <t>أ) تبطئ لتقليل الضغط عليه؛ ب) تحفزه للوصول للنهاية؛ ج) تستمر بنفس السرعة دون تغيير؛ د) تطلب من الفريق دعمه معنويًا</t>
  </si>
  <si>
    <t>ب) تحفزه للوصول للنهاية</t>
  </si>
  <si>
    <t>التحفيز الإيجابي يمكن أن يساعد الجمل على بذل جهد إضافي للوصول إلى الهدف.</t>
  </si>
  <si>
    <t>If you encounter a technical problem with the racing equipment during the race, what do you do?</t>
  </si>
  <si>
    <t>a) Stop to fix the equipment immediately; b) Continue cautiously while monitoring the situation; c) Ask for help from the support team; d) End the race</t>
  </si>
  <si>
    <t>c) Ask for help from the support team</t>
  </si>
  <si>
    <t>Technical problems need expert intervention to ensure the race continues safely.</t>
  </si>
  <si>
    <t>إذا واجهت مشكلة تقنية في معدات السباق أثناء السباق، ماذا تفعل؟</t>
  </si>
  <si>
    <t>أ) تتوقف لإصلاح المعدات فورًا؛ ب) تستمر بحذر مع مراقبة الوضع؛ ج) تطلب المساعدة من فريق الدعم؛ د) تنهي السباق</t>
  </si>
  <si>
    <t>ج) تطلب المساعدة من فريق الدعم</t>
  </si>
  <si>
    <t>المشكلات التقنية تحتاج إلى تدخل متخصص لضمان استمرار السباق بأمان.</t>
  </si>
  <si>
    <t>If the camel suddenly refuses to continue moving, what do you do?</t>
  </si>
  <si>
    <t>a) Give it a short break; b) Use gentle motivating methods; c) Ask for help from companions; d) Change the camel</t>
  </si>
  <si>
    <t>b) Use gentle motivating methods</t>
  </si>
  <si>
    <t>The camel needs positive motivation to overcome its refusal.</t>
  </si>
  <si>
    <t>إذا كان الجمل يرفض الاستمرار في الحركة فجأة، ماذا تفعل؟</t>
  </si>
  <si>
    <t>أ) تمنحه استراحة قصيرة؛ ب) تستخدم وسائل تحفيز لطيفة؛ ج) تطلب مساعدة من المرافقين؛ د) تغير الجمل</t>
  </si>
  <si>
    <t>ب) تستخدم وسائل تحفيز لطيفة</t>
  </si>
  <si>
    <t>الجمل يحتاج إلى تحفيز إيجابي للتغلب على رفضه.</t>
  </si>
  <si>
    <t>During a night race, you notice the camel's poor vision, what do you do?</t>
  </si>
  <si>
    <t>a) Slow down to ensure safety; b) Use additional lights; c) Ask for help to guide the camel; d) End the race</t>
  </si>
  <si>
    <t>b) Use additional lights</t>
  </si>
  <si>
    <t>Poor night vision needs assistance to ensure the race continues safely.</t>
  </si>
  <si>
    <t>أثناء سباق ليلي، لاحظت ضعف رؤية الجمل، ماذا تفعل؟</t>
  </si>
  <si>
    <t>أ) تبطئ لضمان الأمان؛ ب) تستخدم أضواء إضافية؛ ج) تطلب المساعدة لتوجيه الجمل؛ د) تنهي السباق</t>
  </si>
  <si>
    <t>ب) تستخدم أضواء إضافية</t>
  </si>
  <si>
    <t>الرؤية الليلية الضعيفة تحتاج إلى وسائل مساعدة لضمان استمرار السباق بأمان.</t>
  </si>
  <si>
    <t>If the camel is suffering from dehydration during the race, what do you do?</t>
  </si>
  <si>
    <t>a) Stop the race to provide water; b) Speed up to finish the race; c) Slow down to reduce stress; d) Ask for medical support for the camel</t>
  </si>
  <si>
    <t>a) Stop the race to provide water</t>
  </si>
  <si>
    <t>Dehydration can lead to serious health problems for the camel and must be treated immediately.</t>
  </si>
  <si>
    <t>إذا كان الجمل يعاني من جفاف أثناء السباق، ماذا تفعل؟</t>
  </si>
  <si>
    <t>أ) توقف السباق لتوفير الماء؛ ب) تسرع لإنهاء السباق؛ ج) تبطئ لتقليل الإجهاد؛ د) تطلب الدعم الطبي للجمل</t>
  </si>
  <si>
    <t>أ) توقف السباق لتوفير الماء</t>
  </si>
  <si>
    <t>الجفاف قد يؤدي إلى مشكلات صحية خطيرة للجمل ويجب علاجه فورًا.</t>
  </si>
  <si>
    <t>If the race path contains slippery slopes, what do you do?</t>
  </si>
  <si>
    <t>a) Slow down to improve control; b) Speed up to reduce time on the slope; c) Ask to change the path; d) Use assistive tools to stabilize the camel</t>
  </si>
  <si>
    <t>a) Slow down to improve control</t>
  </si>
  <si>
    <t>Slippery slopes require caution to ensure the camel's safety.</t>
  </si>
  <si>
    <t>إذا كان مسار السباق يحتوي على منحدرات زلقة، ماذا تفعل؟</t>
  </si>
  <si>
    <t>أ) تبطئ لتحسين السيطرة؛ ب) تسرع لتقليل الوقت على المنحدر؛ ج) تطلب تغيير المسار؛ د) تستخدم أدوات مساعدة لتثبيت الجمل</t>
  </si>
  <si>
    <t>أ) تبطئ لتحسين السيطرة</t>
  </si>
  <si>
    <t>المنحدرات الزلقة تتطلب حذرًا لضمان سلامة الجمل.</t>
  </si>
  <si>
    <t>If the camel starts to move randomly, what do you do?</t>
  </si>
  <si>
    <t>a) Calm it with your voice and control it gently; b) Increase speed to correct its movement; c) Ask an assistant to control it; d) Change the camel</t>
  </si>
  <si>
    <t>a) Calm it with your voice and control it gently</t>
  </si>
  <si>
    <t>Calm control helps to regain the camel's focus.</t>
  </si>
  <si>
    <t>إذا بدأ الجمل في التحرك بعشوائية، ماذا تفعل؟</t>
  </si>
  <si>
    <t>أ) تهدئه بصوتك وتحكمه بلطف؛ ب) تزيد السرعة لتصحيح حركته؛ ج) تطلب من مساعد التحكم فيه؛ د) تغير الجمل بجمل آخر</t>
  </si>
  <si>
    <t>أ) تهدئه بصوتك وتحكمه بلطف</t>
  </si>
  <si>
    <t>التحكم الهادئ يساعد على استعادة تركيز الجمل.</t>
  </si>
  <si>
    <t>If you discover that the camel has a minor injury during the race, what do you do?</t>
  </si>
  <si>
    <t>a) Stop the race and provide first aid; b) Continue the race slowly; c) Call for medical help; d) Change the camel</t>
  </si>
  <si>
    <t>a) Stop the race and provide first aid</t>
  </si>
  <si>
    <t>Injuries need to be treated immediately to prevent them from worsening.</t>
  </si>
  <si>
    <t>إذا اكتشفت أن الجمل يعاني من إصابة طفيفة أثناء السباق، ماذا تفعل؟</t>
  </si>
  <si>
    <t>أ) توقف السباق وتقدم الإسعافات الأولية؛ ب) تواصل السباق ببطء؛ ج) تستدعي مساعدة طبية؛ د) تغير الجمل</t>
  </si>
  <si>
    <t>أ) توقف السباق وتقدم الإسعافات الأولية</t>
  </si>
  <si>
    <t>الإصابات تحتاج إلى معالجة فورية لتجنب تفاقمها.</t>
  </si>
  <si>
    <t>If the camel feels anxious during the race due to nearby competitors, what do you do?</t>
  </si>
  <si>
    <t>a) Give it calming signals; b) Speed up to pass it and overcome the anxiety; c) Slow down to provide more space; d) Ask the organizers to move the competitors away</t>
  </si>
  <si>
    <t>a) Give it calming signals</t>
  </si>
  <si>
    <t>Calming the camel helps improve its focus and performance.</t>
  </si>
  <si>
    <t>إذا كان الجمل يشعر بالقلق أثناء السباق بسبب وجود منافسين قريبين، ماذا تفعل؟</t>
  </si>
  <si>
    <t>أ) تمنحه إشارات تهدئة؛ ب) تسرع لتجاوزه القلق؛ ج) تبطئ لتوفير مساحة أكبر؛ د) تطلب من المنظمين إبعاد المنافسين</t>
  </si>
  <si>
    <t>أ) تمنحه إشارات تهدئة</t>
  </si>
  <si>
    <t>تهدئة الجمل تساعد على تحسين تركيزه وأدائه.</t>
  </si>
  <si>
    <t>If you find that the camel refuses to drink water during the race, what do you do?</t>
  </si>
  <si>
    <t>a) Try to offer water in another way; b) Speed up to reduce race time; c) Ignore the problem and continue; d) End the race</t>
  </si>
  <si>
    <t>a) Try to offer water in another way</t>
  </si>
  <si>
    <t>Refusing to drink water may indicate a problem that needs to be addressed.</t>
  </si>
  <si>
    <t>إذا وجدت أن الجمل يرفض شرب الماء أثناء السباق، ماذا تفعل؟</t>
  </si>
  <si>
    <t>أ) تحاول تقديم الماء بطريقة أخرى؛ ب) تسرع لتقليل وقت السباق؛ ج) تتجاهل المشكلة وتستمر؛ د) تنهي السباق</t>
  </si>
  <si>
    <t>أ) تحاول تقديم الماء بطريقة أخرى</t>
  </si>
  <si>
    <t>رفض شرب الماء قد يشير إلى مشكلة تحتاج إلى معالجة.</t>
  </si>
  <si>
    <t>If the camel is affected by strong winds during the race, what do you do?</t>
  </si>
  <si>
    <t>a) Slow down to avoid excessive pressure on it; b) Increase speed to face the wind; c) Change the path to avoid the wind; d) Ask for help from the organizers</t>
  </si>
  <si>
    <t>a) Slow down to avoid excessive pressure on it</t>
  </si>
  <si>
    <t>Strong winds affect the camel's balance and performance.</t>
  </si>
  <si>
    <t>إذا كان الجمل يعاني من تأثير الرياح الشديدة أثناء السباق، ماذا تفعل؟</t>
  </si>
  <si>
    <t>أ) تبطئ لتجنب الضغط الزائد عليه؛ ب) تزيد السرعة لمواجهة الرياح؛ ج) تغير المسار لتجنب الرياح؛ د) تطلب مساعدة من المنظمين</t>
  </si>
  <si>
    <t>أ) تبطئ لتجنب الضغط الزائد عليه</t>
  </si>
  <si>
    <t>الرياح الشديدة تؤثر على توازن الجمل وأدائه.</t>
  </si>
  <si>
    <t>If you notice that the camel stops upon seeing a sudden barrier, what do you do?</t>
  </si>
  <si>
    <t>a) Calm it and try to guide it around the barrier; b) Increase speed to pass it quickly; c) Ask for help to move the barrier; d) Stop the race</t>
  </si>
  <si>
    <t>a) Calm it and try to guide it around the barrier</t>
  </si>
  <si>
    <t>Gentle guidance helps overcome sudden obstacles.</t>
  </si>
  <si>
    <t>إذا لاحظت أن الجمل يتوقف عند رؤية حاجز مفاجئ، ماذا تفعل؟</t>
  </si>
  <si>
    <t>أ) تهدئه وتحاول توجيهه حول الحاجز؛ ب) تزيد السرعة لتجاوزه سريعًا؛ ج) تطلب المساعدة لتحريك الحاجز؛ د) توقف السباق</t>
  </si>
  <si>
    <t>أ) تهدئه وتحاول توجيهه حول الحاجز</t>
  </si>
  <si>
    <t>التوجيه اللطيف يساعد على التغلب على العقبات المفاجئة.</t>
  </si>
  <si>
    <t>If the camel seems tired in the middle of the race, what do you do?</t>
  </si>
  <si>
    <t>a) Slow down to give it a short rest; b) Speed up to finish the race quickly; c) Ask the team to support it; d) End the race</t>
  </si>
  <si>
    <t>a) Slow down to give it a short rest</t>
  </si>
  <si>
    <t>Exhaustion needs to be managed to maintain the camel's safety.</t>
  </si>
  <si>
    <t>إذا كان الجمل يبدو مرهقًا في نصف السباق، ماذا تفعل؟</t>
  </si>
  <si>
    <t>أ) تبطئ لمنحه استراحة قصيرة؛ ب) تسرع لإنهاء السباق بسرعة؛ ج) تطلب مساعدة الفريق لدعمه؛ د) تنهي السباق</t>
  </si>
  <si>
    <t>أ) تبطئ لمنحه استراحة قصيرة</t>
  </si>
  <si>
    <t>الإرهاق يحتاج إلى معالجة للحفاظ على سلامة الجمل.</t>
  </si>
  <si>
    <t>If you notice changes in the camel's breathing during the race, what do you do?</t>
  </si>
  <si>
    <t>a) Slow down and monitor its condition; b) Speed up to reduce the race duration; c) Ask for medical support; d) Change the path</t>
  </si>
  <si>
    <t>a) Slow down and monitor its condition</t>
  </si>
  <si>
    <t>Changes in breathing may indicate a health problem.</t>
  </si>
  <si>
    <t>إذا لاحظت تغيرات في تنفس الجمل أثناء السباق، ماذا تفعل؟</t>
  </si>
  <si>
    <t>أ) تبطئ وتراقب حالته؛ ب) تسرع لتقليل مدة السباق؛ ج) تطلب الدعم الطبي؛ د) تغير المسار</t>
  </si>
  <si>
    <t>أ) تبطئ وتراقب حالته</t>
  </si>
  <si>
    <t>التغيرات في التنفس قد تشير إلى مشكلة صحية.</t>
  </si>
  <si>
    <t>If the camel has difficulty climbing a steep hill, what do you do?</t>
  </si>
  <si>
    <t>a) Slow down to help it advance gradually; b) Ask for help to push the camel; c) Change the path to avoid the hill; d) Stop the race</t>
  </si>
  <si>
    <t>a) Slow down to help it advance gradually</t>
  </si>
  <si>
    <t>Steep hills require reducing effort to achieve progress.</t>
  </si>
  <si>
    <t>إذا كان الجمل يواجه صعوبة في صعود تل حاد، ماذا تفعل؟</t>
  </si>
  <si>
    <t>أ) تبطئ لمساعدته على التقدم تدريجيًا؛ ب) تطلب المساعدة لدفع الجمل؛ ج) تغير المسار لتجنب التل؛ د) توقف السباق</t>
  </si>
  <si>
    <t>أ) تبطئ لمساعدته على التقدم تدريجيًا</t>
  </si>
  <si>
    <t>التلال الحادة تحتاج إلى تخفيف الجهد لتحقيق التقدم.</t>
  </si>
  <si>
    <t>If the camel shows hesitation in following the path, what do you do?</t>
  </si>
  <si>
    <t>a) Guide it with patience and encouragement; b) Increase speed to overcome the hesitation; c) Ask for help to refocus it; d) End the race</t>
  </si>
  <si>
    <t>a) Guide it with patience and encouragement</t>
  </si>
  <si>
    <t>Hesitation can be overcome with encouragement and guidance.</t>
  </si>
  <si>
    <t>إذا كان الجمل يظهر ترددًا في متابعة المسار، ماذا تفعل؟</t>
  </si>
  <si>
    <t>أ) توجهه بصبر وتشجيع؛ ب) تزيد السرعة لتجاوز التردد؛ ج) تطلب المساعدة لإعادة تركيزه؛ د) تنهي السباق</t>
  </si>
  <si>
    <t>أ) توجهه بصبر وتشجيع</t>
  </si>
  <si>
    <t>التردد يمكن التغلب عليه بالتشجيع والتوجيه.</t>
  </si>
  <si>
    <t>If you encounter traffic at the beginning of the race, what do you do?</t>
  </si>
  <si>
    <t>a) Slow down to avoid collision; b) Increase speed to pass the traffic; c) Change the path to avoid the traffic; d) Wait until the road opens up</t>
  </si>
  <si>
    <t>a) Slow down to avoid collision</t>
  </si>
  <si>
    <t>Traffic requires caution to avoid accidents.</t>
  </si>
  <si>
    <t>إذا واجهت ازدحامًا في بداية السباق، ماذا تفعل؟</t>
  </si>
  <si>
    <t>أ) تبطئ لتجنب الاصطدام؛ ب) تزيد السرعة لتجاوز الازدحام؛ ج) تغير المسار لتفادي الازدحام؛ د) تنتظر حتى ينفتح الطريق</t>
  </si>
  <si>
    <t>أ) تبطئ لتجنب الاصطدام</t>
  </si>
  <si>
    <t>الازدحام يتطلب الحذر لتجنب الحوادث.</t>
  </si>
  <si>
    <t>If the camel starts showing symptoms of cold during the race, what do you do?</t>
  </si>
  <si>
    <t>a) Stop the race and cover it with a blanket; b) Speed up to finish the race; c) Change the path to avoid the wind; d) Ask for medical help</t>
  </si>
  <si>
    <t>a) Stop the race and cover it with a blanket</t>
  </si>
  <si>
    <t>The cold affects the camel's health and needs immediate care.</t>
  </si>
  <si>
    <t>إذا بدأ الجمل يعاني من أعراض البرد أثناء السباق، ماذا تفعل؟</t>
  </si>
  <si>
    <t>أ) توقف السباق وتغطيه ببطانية؛ ب) تسرع لإنهاء السباق؛ ج) تغير المسار لتجنب الرياح؛ د) تطلب مساعدة طبية</t>
  </si>
  <si>
    <t>أ) توقف السباق وتغطيه ببطانية</t>
  </si>
  <si>
    <t>البرد يؤثر على صحة الجمل ويحتاج إلى عناية فورية.</t>
  </si>
  <si>
    <t>If you discover that the camel is consuming excessive energy at the beginning of the race, what do you do?</t>
  </si>
  <si>
    <t>a) Slow down to manage it better; b) Speed up to take advantage of its energy; c) Ask the team for advice; d) End the race</t>
  </si>
  <si>
    <t>a) Slow down to manage it better</t>
  </si>
  <si>
    <t>Energy management helps maintain performance throughout the race.</t>
  </si>
  <si>
    <t>إذا اكتشفت أن الجمل يستهلك طاقة زائدة في بداية السباق، ماذا تفعل؟</t>
  </si>
  <si>
    <t>أ) تبطئ لإدارته بشكل أفضل؛ ب) تسرع للاستفادة من طاقته؛ ج) تطلب من الفريق تقديم نصائح؛ د) تنهي السباق</t>
  </si>
  <si>
    <t>أ) تبطئ لإدارته بشكل أفضل</t>
  </si>
  <si>
    <t>إدارة الطاقة تساعد على الحفاظ على الأداء طوال السباق.</t>
  </si>
  <si>
    <t>If the camel refuses to move at the starting line, what do you do?</t>
  </si>
  <si>
    <t>a) Give it time to adapt to the environment; b) Use signals to motivate it; c) Ask to replace it with another camel; d) Stop the race</t>
  </si>
  <si>
    <t>b) Use signals to motivate it</t>
  </si>
  <si>
    <t>The camel needs positive guidance to move.</t>
  </si>
  <si>
    <t>إذا كان الجمل يرفض التحرك عند خط البداية، ماذا تفعل؟</t>
  </si>
  <si>
    <t>أ) تمنحه الوقت ليتكيف مع البيئة؛ ب) تستخدم إشارات لتحفيزه؛ ج) تطلب استبداله بجمل آخر؛ د) توقف السباق</t>
  </si>
  <si>
    <t>ب) تستخدم إشارات لتحفيزه</t>
  </si>
  <si>
    <t>الجمل يحتاج إلى توجيه إيجابي للتحرك.</t>
  </si>
  <si>
    <t>If the camel starts making unfamiliar sounds during the race, what do you do?</t>
  </si>
  <si>
    <t>a) Monitor its condition to determine the cause; b) Increase speed to ignore the sounds; c) Ask for help to check its condition; d) End the race</t>
  </si>
  <si>
    <t>a) Monitor its condition to determine the cause</t>
  </si>
  <si>
    <t>Unfamiliar sounds may be a sign of stress or a health problem.</t>
  </si>
  <si>
    <t>إذا بدأ الجمل يصدر أصواتًا غير مألوفة أثناء السباق، ماذا تفعل؟</t>
  </si>
  <si>
    <t>أ) تراقب حالته لتحديد السبب؛ ب) تزيد السرعة لتجاهل الأصوات؛ ج) تطلب المساعدة لتفقد حالته؛ د) تنهي السباق</t>
  </si>
  <si>
    <t>أ) تراقب حالته لتحديد السبب</t>
  </si>
  <si>
    <t>الأصوات غير المألوفة قد تكون علامة على إجهاد أو مشكلة صحية.</t>
  </si>
  <si>
    <t>If the camel is suffering from severe thirst in the middle of the race, what do you do?</t>
  </si>
  <si>
    <t>a) Stop the race to provide water immediately; b) Speed up to finish the race; c) Ask the team to provide water; d) Change the path</t>
  </si>
  <si>
    <t>a) Stop the race to provide water immediately</t>
  </si>
  <si>
    <t>Severe thirst can affect the camel's health and performance.</t>
  </si>
  <si>
    <t>إذا كان الجمل يعاني من العطش الشديد في منتصف السباق، ماذا تفعل؟</t>
  </si>
  <si>
    <t>أ) توقف السباق لتقديم الماء فورًا؛ ب) تسرع لإنهاء السباق؛ ج) تطلب مساعدة الفريق لتقديم الماء؛ د) تغير المسار</t>
  </si>
  <si>
    <t>أ) توقف السباق لتقديم الماء فورًا</t>
  </si>
  <si>
    <t>العطش الشديد يمكن أن يؤثر على صحة وأداء الجمل.</t>
  </si>
  <si>
    <t>If the ground is slippery due to rain, what do you do?</t>
  </si>
  <si>
    <t>a) Slow down to improve balance; b) Speed up to reduce the time on the slippery ground; c) Ask to change the path; d) End the race</t>
  </si>
  <si>
    <t>a) Slow down to improve balance</t>
  </si>
  <si>
    <t>Slippery ground requires caution to avoid falling.</t>
  </si>
  <si>
    <t>إذا كانت الأرضية زلقة بسبب الأمطار، ماذا تفعل؟</t>
  </si>
  <si>
    <t>أ) تبطئ لتحسين التوازن؛ ب) تسرع لتقليل الوقت على الأرضية الزلقة؛ ج) تطلب تغيير المسار؛ د) تنهي السباق</t>
  </si>
  <si>
    <t>أ) تبطئ لتحسين التوازن</t>
  </si>
  <si>
    <t>الأرضية الزلقة تتطلب الحذر لتجنب السقوط.</t>
  </si>
  <si>
    <t>If the camel has difficulty communicating with you during the race, what do you do?</t>
  </si>
  <si>
    <t>a) Try to reconnect with clear signals; b) Increase speed to overcome the difficulty; c) Ask for help to improve communication; d) End the race</t>
  </si>
  <si>
    <t>a) Try to reconnect with clear signals</t>
  </si>
  <si>
    <t>Good communication is important for guiding the camel effectively.</t>
  </si>
  <si>
    <t>إذا كان الجمل يواجه صعوبة في التواصل معك أثناء السباق، ماذا تفعل؟</t>
  </si>
  <si>
    <t>أ) تحاول إعادة الاتصال بإشارات واضحة؛ ب) تزيد السرعة لتجاوزه الصعوبة؛ ج) تطلب المساعدة لتحسين التواصل؛ د) تنهي السباق</t>
  </si>
  <si>
    <t>أ) تحاول إعادة الاتصال بإشارات واضحة</t>
  </si>
  <si>
    <t>التواصل الجيد مهم لتوجيه الجمل بفعالية.</t>
  </si>
  <si>
    <t>If the camel shows signs of fear due to loud noises, what do you do?</t>
  </si>
  <si>
    <t>a) Calm it and try to remove the source; b) Speed up to pass the area; c) Change the path; d) Ask the organizers to intervene</t>
  </si>
  <si>
    <t>a) Calm it and try to remove the source</t>
  </si>
  <si>
    <t>Fear can be overcome by calming and removing the cause.</t>
  </si>
  <si>
    <t>إذا كان الجمل يظهر علامات الخوف بسبب أصوات عالية، ماذا تفعل؟</t>
  </si>
  <si>
    <t>أ) تهدئه وتحاول إزالة المصدر؛ ب) تسرع لتجاوز المنطقة؛ ج) تغير المسار؛ د) تطلب من المنظمين التدخل</t>
  </si>
  <si>
    <t>أ) تهدئه وتحاول إزالة المصدر</t>
  </si>
  <si>
    <t>الخوف يمكن التغلب عليه بالتهدئة وإزالة المؤثر.</t>
  </si>
  <si>
    <t>If you notice that the camel has an excessive load during the race, what do you do?</t>
  </si>
  <si>
    <t>a) Immediately lighten the load; b) Continue the race cautiously; c) Ask the team to help it; d) Stop the race</t>
  </si>
  <si>
    <t>a) Immediately lighten the load</t>
  </si>
  <si>
    <t>An excessive load affects the camel's performance and health.</t>
  </si>
  <si>
    <t>إذا لاحظت أن الجمل يعاني من حمل زائد أثناء السباق، ماذا تفعل؟</t>
  </si>
  <si>
    <t>أ) تخفف الحمل فورًا؛ ب) تستمر في السباق بحذر؛ ج) تطلب من الفريق مساعدته؛ د) توقف السباق</t>
  </si>
  <si>
    <t>أ) تخفف الحمل فورًا</t>
  </si>
  <si>
    <t>الحمل الزائد يؤثر على الأداء وصحة الجمل.</t>
  </si>
  <si>
    <t>What is the ideal way to manage a camel's speed when approaching a long, flat stretch of track?</t>
  </si>
  <si>
    <t>a) Increase speed to the maximum to gain a lead; b) Maintain a steady, fast pace to conserve energy for a final sprint; c) Slow down to rest the camel before the final sprint; d) Stop and let the camel rest for a few minutes</t>
  </si>
  <si>
    <t>b) Maintain a steady, fast pace to conserve energy for a final sprint</t>
  </si>
  <si>
    <t>A consistent pace on a long, flat stretch is the most efficient way to maintain a strong position without exhausting the camel.</t>
  </si>
  <si>
    <t>ما هي أفضل طريقة لإدارة سرعة الجمل عند الاقتراب من جزء طويل ومستوٍ من المسار؟</t>
  </si>
  <si>
    <t>أ) زيادة السرعة إلى أقصى حد للحصول على الصدارة؛ ب) الحفاظ على وتيرة ثابتة وسريعة للحفاظ على الطاقة لدفعة نهائية؛ ج) الإبطاء لإراحة الجمل قبل الدفعة النهائية؛ د) التوقف وترك الجمل يستريح لبضع دقائق</t>
  </si>
  <si>
    <t>ب) الحفاظ على وتيرة ثابتة وسريعة للحفاظ على الطاقة لدفعة نهائية</t>
  </si>
  <si>
    <t>الوتيرة الثابتة على امتداد طويل ومستوٍ هي الطريقة الأكثر كفاءة للحفاظ على موقع قوي دون إرهاق الجمل.</t>
  </si>
  <si>
    <t>If the track is made of packed sand, how should you adjust your riding style?</t>
  </si>
  <si>
    <t>a) Loosen the reins and let the camel run freely; b) Maintain a tight grip to ensure the camel doesn't slip; c) Use smooth, even movements to avoid startling the camel; d) Encourage the camel to kick up sand to distract competitors</t>
  </si>
  <si>
    <t>c) Use smooth, even movements to avoid startling the camel</t>
  </si>
  <si>
    <t>Packed sand is a stable surface, and a calm, consistent riding style helps the camel maintain its rhythm.</t>
  </si>
  <si>
    <t>إذا كان المسار مصنوعًا من الرمل المضغوط، كيف يجب أن تعدل أسلوب ركوبك؟</t>
  </si>
  <si>
    <t>أ) إرخاء اللجام وترك الجمل يركض بحرية؛ ب) الحفاظ على قبضة محكمة لضمان عدم انزلاق الجمل؛ ج) استخدام حركات سلسة ومتساوية لتجنب إفزاع الجمل؛ د) تشجيع الجمل على ركل الرمل لتشتيت انتباه المنافسين</t>
  </si>
  <si>
    <t>ج) استخدام حركات سلسة ومتساوية لتجنب إفزاع الجمل</t>
  </si>
  <si>
    <t>الرمل المضغوط سطح مستقر، وأسلوب الركوب الهادئ والمتسق يساعد الجمل على الحفاظ على إيقاعه.</t>
  </si>
  <si>
    <t>What is the best way to respond if your camel begins to run in circles?</t>
  </si>
  <si>
    <t>a) Pull hard on the reins to force it straight; b) Discard your weight and let it correct itself; c) Use gentle, firm directional cues to guide it back on track; d) Stop the race and wait for a vet to check the camel</t>
  </si>
  <si>
    <t>c) Use gentle, firm directional cues to guide it back on track</t>
  </si>
  <si>
    <t>A camel running in circles may be disoriented. Gentle and firm commands are key to safely guiding it back on the correct path.</t>
  </si>
  <si>
    <t>ما هي أفضل طريقة للاستجابة إذا بدأ جملك يركض في دوائر؟</t>
  </si>
  <si>
    <t>أ) سحب اللجام بقوة لجعله مستقيمًا؛ ب) التخلي عن وزنك وتركه يصحح نفسه؛ ج) استخدام إشارات اتجاهية لطيفة وحازمة لتوجيهه مرة أخرى إلى المسار؛ د) إيقاف السباق والانتظار حتى يفحص الطبيب البيطري الجمل</t>
  </si>
  <si>
    <t>ج) استخدام إشارات اتجاهية لطيفة وحازمة لتوجيهه مرة أخرى إلى المسار</t>
  </si>
  <si>
    <t>قد يكون الجمل الذي يركض في دوائر مرتبكًا. الأوامر اللطيفة والحازمة هي المفتاح لتوجيهه بأمان إلى المسار الصحيح.</t>
  </si>
  <si>
    <t>If your camel appears to be sweating excessively, what should be your primary concern?</t>
  </si>
  <si>
    <t>a) Dehydration; b) Exhaustion; c) Heat stress; d) All of the above</t>
  </si>
  <si>
    <t>d) All of the above</t>
  </si>
  <si>
    <t>Excessive sweating in camels can be a sign of multiple issues, including dehydration, exhaustion, and heat stress, all of which require immediate attention.</t>
  </si>
  <si>
    <t>إذا بدا أن جملك يتعرق بشكل مفرط، ما هو قلقك الأساسي؟</t>
  </si>
  <si>
    <t>أ) الجفاف؛ ب) الإرهاق؛ ج) الإجهاد الحراري؛ د) كل ما سبق</t>
  </si>
  <si>
    <t>د) كل ما سبق</t>
  </si>
  <si>
    <t>التعرق المفرط في الجمال يمكن أن يكون علامة على مشاكل متعددة، بما في ذلك الجفاف والإرهاق والإجهاد الحراري، وكلها تتطلب اهتمامًا فوريًا.</t>
  </si>
  <si>
    <t>What is the best strategy if you're in the middle of a race and an unexpected small hole appears in the track?</t>
  </si>
  <si>
    <t>a) Try to jump over the hole; b) Veer to the side to avoid it; c) Slow down and go over it carefully; d) Ignore it and hope the camel doesn't notice</t>
  </si>
  <si>
    <t>b) Veer to the side to avoid it</t>
  </si>
  <si>
    <t>Avoiding a hole is the safest option to prevent injury to the camel and a fall for the rider.</t>
  </si>
  <si>
    <t>ما هي أفضل استراتيجية إذا كنت في منتصف السباق وظهرت حفرة صغيرة غير متوقعة في المسار؟</t>
  </si>
  <si>
    <t>أ) محاولة القفز فوق الحفرة؛ ب) الانحراف إلى الجانب لتجنبها؛ ج) الإبطاء والعبور فوقها بحذر؛ د) تجاهلها وتأمل ألا يلاحظها الجمل</t>
  </si>
  <si>
    <t>ب) الانحراف إلى الجانب لتجنبها</t>
  </si>
  <si>
    <t>تجنب الحفرة هو الخيار الأكثر أمانًا لمنع إصابة الجمل وسقوط المتسابق.</t>
  </si>
  <si>
    <t>If your camel starts making a hacking or coughing sound, what is the best immediate action?</t>
  </si>
  <si>
    <t>a) Push it to go faster to get it over with; b) Stop and have it checked by a vet; c) Ignore the sound as it's likely a minor irritation; d) Give it water to help it clear its throat</t>
  </si>
  <si>
    <t>b) Stop and have it checked by a vet</t>
  </si>
  <si>
    <t>A persistent hacking or coughing sound can be a sign of a serious respiratory issue. It's crucial to stop and seek immediate medical help.</t>
  </si>
  <si>
    <t>إذا بدأ جملك يصدر صوت سعال أو سعال، ما هو أفضل إجراء فوري؟</t>
  </si>
  <si>
    <t>أ) دفعه للذهاب بشكل أسرع لإنهاء الأمر؛ ب) التوقف وفحصه بواسطة طبيب بيطري؛ ج) تجاهل الصوت لأنه من المحتمل أن يكون تهيجًا بسيطًا؛ د) إعطاؤه الماء لمساعدته على تنظيف حلقه</t>
  </si>
  <si>
    <t>ب) التوقف وفحصه بواسطة طبيب بيطري</t>
  </si>
  <si>
    <t>يمكن أن يكون صوت السعال أو السعال المستمر علامة على مشكلة خطيرة في الجهاز التنفسي. من الضروري التوقف وطلب المساعدة الطبية الفورية.</t>
  </si>
  <si>
    <t>What should you do if your camel starts to get nervous due to the shadows of the crowd?</t>
  </si>
  <si>
    <t>a) Yell at the crowd to be quiet; b) Speed up to pass the area quickly; c) Maintain a calm presence and focus its attention forward; d) Try to block its view of the crowd</t>
  </si>
  <si>
    <t>c) Maintain a calm presence and focus its attention forward</t>
  </si>
  <si>
    <t>A calm rider can help the camel overcome its nervousness and maintain focus on the race.</t>
  </si>
  <si>
    <t>ماذا يجب أن تفعل إذا بدأ جملك بالتوتر بسبب ظلال الجمهور؟</t>
  </si>
  <si>
    <t>أ) الصراخ على الجمهور ليصمتوا؛ ب) زيادة السرعة لتجاوز المنطقة بسرعة؛ ج) الحفاظ على وجود هادئ وتركيز انتباهه إلى الأمام؛ د) محاولة حجب رؤيته للجمهور</t>
  </si>
  <si>
    <t>ج) الحفاظ على وجود هادئ وتركيز انتباهه إلى الأمام</t>
  </si>
  <si>
    <t>يمكن للمتسابق الهادئ أن يساعد الجمل على التغلب على توتره والحفاظ على تركيزه في السباق.</t>
  </si>
  <si>
    <t>If you are riding in a group and your camel begins to stumble, what is the best way to handle it?</t>
  </si>
  <si>
    <t>a) Pull on the reins to force it to recover; b) Stop immediately to check for an injury; c) Try to go around the other camels to avoid a collision; d) Both b and c</t>
  </si>
  <si>
    <t>d) Both b and c</t>
  </si>
  <si>
    <t>Stumbling can indicate an injury. Stopping to check and veering away from the group to avoid a collision are the safest actions.</t>
  </si>
  <si>
    <t>إذا كنت تركب في مجموعة وبدأ جملك يتعثر، ما هي أفضل طريقة للتعامل مع الأمر؟</t>
  </si>
  <si>
    <t>أ) سحب اللجام لجعله يتعافى بقوة؛ ب) التوقف فورًا لفحص الإصابة؛ ج) محاولة الالتفاف حول الجمال الأخرى لتجنب الاصطدام؛ د) كلاهما (ب) و (ج)</t>
  </si>
  <si>
    <t>د) كلاهما (ب) و (ج)</t>
  </si>
  <si>
    <t>التعثر يمكن أن يشير إلى إصابة. التوقف للفحص والانحراف بعيدًا عن المجموعة لتجنب الاصطدام هما الإجراءان الأكثر أمانًا.</t>
  </si>
  <si>
    <t>What is the best way to manage a camel's energy in a race with multiple steep inclines?</t>
  </si>
  <si>
    <t>a) Go full speed on the flat parts and slow down on the inclines; b) Maintain a constant, slow pace throughout the entire race; c) Sprint up the inclines to get them over with quickly; d) Use a strong, steady pace on the flats and a slower, rhythmic pace on the inclines</t>
  </si>
  <si>
    <t>d) Use a strong, steady pace on the flats and a slower, rhythmic pace on the inclines</t>
  </si>
  <si>
    <t>This strategy is the most efficient. It allows the camel to conserve energy on the challenging parts while maximizing speed on the easier terrain.</t>
  </si>
  <si>
    <t>ما هي أفضل طريقة لإدارة طاقة الجمل في سباق به عدة منحدرات حادة؟</t>
  </si>
  <si>
    <t>أ) الذهاب بأقصى سرعة في الأجزاء المسطحة والإبطاء في المنحدرات؛ ب) الحفاظ على وتيرة ثابتة وبطيئة طوال السباق؛ ج) الركض السريع في المنحدرات لإنهاءها بسرعة؛ د) استخدام وتيرة قوية وثابتة في الأجزاء المسطحة ووتيرة أبطأ وإيقاعية في المنحدرات</t>
  </si>
  <si>
    <t>د) استخدام وتيرة قوية وثابتة في الأجزاء المسطحة ووتيرة أبطأ وإيقاعية في المنحدرات</t>
  </si>
  <si>
    <t>هذه الاستراتيجية هي الأكثر كفاءة. إنها تسمح للجمل بالحفاظ على الطاقة في الأجزاء الصعبة مع زيادة السرعة في التضاريس الأسهل.</t>
  </si>
  <si>
    <t>If your camel suddenly shows signs of being scared, what is your first response?</t>
  </si>
  <si>
    <t>a) Yell at it to calm down; b) Stop the race and get off; c) Calm it with a soft voice and reassuring posture; d) Try to find out what scared it</t>
  </si>
  <si>
    <t>c) Calm it with a soft voice and reassuring posture</t>
  </si>
  <si>
    <t>A calm and reassuring presence is the most effective way to help a frightened camel regain its composure.</t>
  </si>
  <si>
    <t>إذا أظهر جملك فجأة علامات الخوف، ما هي أول استجابة لك؟</t>
  </si>
  <si>
    <t>أ) الصراخ عليه ليهدأ؛ ب) إيقاف السباق والنزول؛ ج) تهدئته بصوت ناعم ووضعية مطمئنة؛ د) محاولة معرفة ما الذي أخافه</t>
  </si>
  <si>
    <t>ج) تهدئته بصوت ناعم ووضعية مطمئنة</t>
  </si>
  <si>
    <t>الوجود الهادئ والمطمئن هو الطريقة الأكثر فعالية لمساعدة الجمل الخائف على استعادة رباطة جأشه.</t>
  </si>
  <si>
    <t>If your camel starts refusing to make a tight turn, what do you do?</t>
  </si>
  <si>
    <t>a) Force it to turn by pulling hard; b) Guide it into a wider turn; c) Stop the race and wait for it to turn; d) Try to physically push it into the turn</t>
  </si>
  <si>
    <t>b) Guide it into a wider turn</t>
  </si>
  <si>
    <t>Forcing a tight turn on a hesitant camel can cause it to fall. A wider turn is a safer, more effective solution.</t>
  </si>
  <si>
    <t>إذا بدأ جملك يرفض القيام بمنعطف حاد، ماذا تفعل؟</t>
  </si>
  <si>
    <t>أ) إجباره على الانعطاف بالسحب بقوة؛ ب) توجيهه إلى منعطف أوسع؛ ج) إيقاف السباق والانتظار حتى ينعطف؛ د) محاولة دفعه جسديًا إلى المنعطف</t>
  </si>
  <si>
    <t>ب) توجيهه إلى منعطف أوسع</t>
  </si>
  <si>
    <t>إجبار الجمل على منعطف حاد قد يتسبب في سقوطه. المنعطف الأوسع هو حل أكثر أمانًا وفعالية.</t>
  </si>
  <si>
    <t>If you are in the lead and your camel begins to run in an arc, what is the proper correction?</t>
  </si>
  <si>
    <t>a) Pull the inner rein to straighten it; b) Pull both reins equally to stop it; c) Lean forward and encourage it to go straight; d) Get off the camel and run alongside it</t>
  </si>
  <si>
    <t>a) Pull the inner rein to straighten it</t>
  </si>
  <si>
    <t>A gentle pull on the inner rein guides the camel back onto a straight path.</t>
  </si>
  <si>
    <t>إذا كنت في الصدارة وبدأ جملك يركض بشكل منحني، ما هو التصحيح المناسب؟</t>
  </si>
  <si>
    <t>أ) سحب اللجام الداخلي لجعله مستقيمًا؛ ب) سحب كلا اللجامين بالتساوي لإيقافه؛ ج) الميل إلى الأمام وتشجيعه على الذهاب بشكل مستقيم؛ د) النزول من على الجمل والركض بجانبه</t>
  </si>
  <si>
    <t>أ) سحب اللجام الداخلي لجعله مستقيمًا</t>
  </si>
  <si>
    <t>السحب اللطيف على اللجام الداخلي يوجه الجمل مرة أخرى إلى المسار المستقيم.</t>
  </si>
  <si>
    <t>What should you do if a competitor's camel collides with yours?</t>
  </si>
  <si>
    <t>a) Yell at the other rider and try to get revenge; b) Continue the race and hope for the best; c) Assess your camel for injury and if it's safe to continue; d) Stop the race and demand a disqualification</t>
  </si>
  <si>
    <t>c) Assess your camel for injury and if it's safe to continue</t>
  </si>
  <si>
    <t>Safety is the top priority. You must check your camel for any injuries before deciding to continue the race.</t>
  </si>
  <si>
    <t>ماذا يجب أن تفعل إذا اصطدم جمل منافس بجملك؟</t>
  </si>
  <si>
    <t>أ) الصراخ على المتسابق الآخر ومحاولة الانتقام؛ ب) مواصلة السباق وتأمل في الأفضل؛ ج) تقييم إصابة جملك وما إذا كان من الآمن الاستمرار؛ د) إيقاف السباق والمطالبة بالاستبعاد</t>
  </si>
  <si>
    <t>ج) تقييم إصابة جملك وما إذا كان من الآمن الاستمرار</t>
  </si>
  <si>
    <t>السلامة هي الأولوية القصوى. يجب عليك فحص جملك بحثًا عن أي إصابات قبل أن تقرر مواصلة السباق.</t>
  </si>
  <si>
    <t>What is the best way to handle a camel that has a persistent, annoying fly on its head?</t>
  </si>
  <si>
    <t>a) Swat the fly away with your hand; b) Use a gentle voice to distract the camel; c) Pull on the reins to make it stop; d) Ignore it and hope it goes away</t>
  </si>
  <si>
    <t>b) Use a gentle voice to distract the camel</t>
  </si>
  <si>
    <t>A gentle voice can distract the camel from the fly and keep it focused on the race without causing stress.</t>
  </si>
  <si>
    <t>ما هي أفضل طريقة للتعامل مع جمل لديه ذبابة مزعجة ومستمرة على رأسه؟</t>
  </si>
  <si>
    <t>أ) إبعاد الذبابة بيدك؛ ب) استخدام صوت لطيف لتشتيت الجمل؛ ج) سحب اللجام لجعله يتوقف؛ د) تجاهلها وتأمل أن تذهب</t>
  </si>
  <si>
    <t>ب) استخدام صوت لطيف لتشتيت الجمل</t>
  </si>
  <si>
    <t>الصوت اللطيف يمكن أن يشتت انتباه الجمل عن الذبابة ويبقيه مركزًا على السباق دون التسبب في توتر.</t>
  </si>
  <si>
    <t>If the weather suddenly turns very cold during a race, what is your main concern for the camel?</t>
  </si>
  <si>
    <t>a) Dehydration; b) Overheating; c) Hypothermia; d) Exhaustion</t>
  </si>
  <si>
    <t>c) Hypothermia</t>
  </si>
  <si>
    <t>Camels are adapted to heat, but a sudden drop in temperature can pose a risk of hypothermia, which is a serious condition.</t>
  </si>
  <si>
    <t>إذا أصبح الطقس فجأة باردًا جدًا أثناء السباق، فما هو قلقك الرئيسي بشأن الجمل؟</t>
  </si>
  <si>
    <t>أ) الجفاف؛ ب) ارتفاع درجة الحرارة؛ ج) انخفاض حرارة الجسم؛ د) الإرهاق</t>
  </si>
  <si>
    <t>ج) انخفاض حرارة الجسم</t>
  </si>
  <si>
    <t>الجمال تتكيف مع الحرارة، ولكن الانخفاض المفاجئ في درجة الحرارة يمكن أن يشكل خطر انخفاض حرارة الجسم، وهي حالة خطيرة.</t>
  </si>
  <si>
    <t>What should you do if you notice a competitor's camel is being mistreated by its rider?</t>
  </si>
  <si>
    <t>a) Ignore it and focus on your race; b) Yell at the rider to stop; c) Report the incident to the race officials immediately; d) Try to rescue the camel</t>
  </si>
  <si>
    <t>c) Report the incident to the race officials immediately</t>
  </si>
  <si>
    <t>Reporting animal mistreatment is the correct and ethical action to ensure the camel's welfare.</t>
  </si>
  <si>
    <t>ماذا يجب أن تفعل إذا لاحظت أن جمل منافس يتعرض لسوء المعاملة من قبل متسابقه؟</t>
  </si>
  <si>
    <t>أ) تجاهله والتركيز على سباقك؛ ب) الصراخ على المتسابق ليتوقف؛ ج) الإبلاغ عن الحادث للمسؤولين عن السباق على الفور؛ د) محاولة إنقاذ الجمل</t>
  </si>
  <si>
    <t>ج) الإبلاغ عن الحادث للمسؤولين عن السباق على الفور</t>
  </si>
  <si>
    <t>الإبلاغ عن سوء معاملة الحيوانات هو الإجراء الصحيح والأخلاقي لضمان رفاهية الجمل.</t>
  </si>
  <si>
    <t>What is the most effective way to cross a small, shallow stream during a race?</t>
  </si>
  <si>
    <t>a) Sprint across to reduce time in the water; b) Slow to a walk and maintain a steady pace; c) Get off the camel and walk across; d) Stop and let the camel swim</t>
  </si>
  <si>
    <t>b) Slow to a walk and maintain a steady pace</t>
  </si>
  <si>
    <t>Slowing to a walk is the safest way to ensure the camel doesn't slip on wet ground and maintains its footing.</t>
  </si>
  <si>
    <t>ما هي الطريقة الأكثر فعالية لعبور مجرى مائي صغير وضحل أثناء السباق؟</t>
  </si>
  <si>
    <t>أ) الركض السريع عبره لتقليل الوقت في الماء؛ ب) الإبطاء إلى المشي والحفاظ على وتيرة ثابتة؛ ج) النزول من على الجمل والمشي عبره؛ د) التوقف وترك الجمل يسبح</t>
  </si>
  <si>
    <t>ب) الإبطاء إلى المشي والحفاظ على وتيرة ثابتة</t>
  </si>
  <si>
    <t>الإبطاء إلى المشي هو الطريقة الأكثر أمانًا لضمان عدم انزلاق الجمل على الأرض المبتلة والحفاظ على ثباته.</t>
  </si>
  <si>
    <t>If your camel starts to get a cramp in its leg, what is the best course of action?</t>
  </si>
  <si>
    <t>a) Rub its leg to help with the cramp; b) Continue the race and hope the cramp goes away; c) Immediately stop and dismount to check for injury; d) Push it to move faster to work through the cramp</t>
  </si>
  <si>
    <t>c) Immediately stop and dismount to check for injury</t>
  </si>
  <si>
    <t>A cramp can be a sign of a muscle strain or more serious injury. Stopping is necessary to assess the situation.</t>
  </si>
  <si>
    <t>إذا بدأ جملك يعاني من تشنج في ساقه، ما هو أفضل إجراء تتخذه؟</t>
  </si>
  <si>
    <t>أ) فرك ساقه للمساعدة في التشنج؛ ب) مواصلة السباق وتأمل أن يزول التشنج؛ ج) التوقف فورًا والنزول من الجمل لفحص الإصابة؛ د) دفعه للتحرك بشكل أسرع للتغلب على التشنج</t>
  </si>
  <si>
    <t>ج) التوقف فورًا والنزول من الجمل لفحص الإصابة</t>
  </si>
  <si>
    <t>يمكن أن يكون التشنج علامة على إجهاد عضلي أو إصابة أكثر خطورة. التوقف ضروري لتقييم الوضع.</t>
  </si>
  <si>
    <t>What is the best way to handle a camel that is trying to eat grass from the side of the track?</t>
  </si>
  <si>
    <t>a) Let it eat for a few seconds to calm it down; b) Gently pull the reins to guide it back to the track; c) Yell at the camel to stop eating; d) Discard your weight to make the camel lighter</t>
  </si>
  <si>
    <t>b) Gently pull the reins to guide it back to the track</t>
  </si>
  <si>
    <t>Gentle correction is the best way to get a camel to focus on the race without creating a conflict.</t>
  </si>
  <si>
    <t>ما هي أفضل طريقة للتعامل مع جمل يحاول أكل العشب من جانب المسار؟</t>
  </si>
  <si>
    <t>أ) تركه يأكل لبضع ثوان لتهدئته؛ ب) سحب اللجام بلطف لتوجيهه مرة أخرى إلى المسار؛ ج) الصراخ على الجمل ليتوقف عن الأكل؛ د) التخلص من وزنك لتخفيف الحمل على الجمل</t>
  </si>
  <si>
    <t>ب) سحب اللجام بلطف لتوجيهه مرة أخرى إلى المسار</t>
  </si>
  <si>
    <t>التصحيح اللطيف هو أفضل طريقة لجعل الجمل يركز على السباق دون خلق صراع.</t>
  </si>
  <si>
    <t>If your camel becomes spooked by a sudden noise from the crowd, what is the best way to react?</t>
  </si>
  <si>
    <t>a) Slap the camel to get it back on track; b) Try to soothe it with your voice and posture; c) Immediately stop the race to calm it down; d) Run faster to escape the noise</t>
  </si>
  <si>
    <t>b) Try to soothe it with your voice and posture</t>
  </si>
  <si>
    <t>A spooked camel needs a calm, reassuring presence to regain its composure and focus.</t>
  </si>
  <si>
    <t>إذا فزع جملك من صوت مفاجئ من الجمهور، ما هي أفضل طريقة للتفاعل؟</t>
  </si>
  <si>
    <t>أ) صفع الجمل لإعادته إلى المسار؛ ب) محاولة تهدئته بصوتك ووضعية جسمك؛ ج) التوقف فورًا عن السباق لتهدئته؛ د) الركض بشكل أسرع للهروب من الضوضاء</t>
  </si>
  <si>
    <t>ب) محاولة تهدئته بصوتك ووضعية جسمك</t>
  </si>
  <si>
    <t>الجمل المفزوع يحتاج إلى وجود هادئ ومطمئن لاستعادة رباطة جأشه وتركيزه.</t>
  </si>
  <si>
    <t>What should you do if your camel starts making a strange, gurgling noise?</t>
  </si>
  <si>
    <t>a) Immediately stop and call for a vet; b) Speed up to finish the race; c) Ignore it as a normal camel noise; d) Give it some water to help it clear its throat</t>
  </si>
  <si>
    <t>a) Immediately stop and call for a vet</t>
  </si>
  <si>
    <t>Strange internal noises can indicate a serious health issue. Stopping the race is the safest option.</t>
  </si>
  <si>
    <t>ماذا يجب أن تفعل إذا بدأ جملك يصدر صوت غرغرة غريبًا؟</t>
  </si>
  <si>
    <t>أ) التوقف فورًا وطلب طبيب بيطري؛ ب) زيادة السرعة لإنهاء السباق؛ ج) تجاهله باعتباره صوتًا طبيعيًا للجمل؛ د) إعطاؤه بعض الماء لمساعدته على تنظيف حلقه</t>
  </si>
  <si>
    <t>أ) التوقف فورًا وطلب طبيب بيطري</t>
  </si>
  <si>
    <t>يمكن أن تشير الأصوات الداخلية الغريبة</t>
  </si>
  <si>
    <t>Question No.</t>
  </si>
  <si>
    <t>Description</t>
  </si>
  <si>
    <t>Question</t>
  </si>
  <si>
    <t>Option</t>
  </si>
  <si>
    <t>Answer</t>
  </si>
  <si>
    <t>أثناء مباراة نوبة، لاحظت أن خصمك متعب. ماذا تفعل؟</t>
  </si>
  <si>
    <t>أ) زيادة الضغط؛ ب) التباطؤ؛ ج) الدفاع لكسب الوقت؛ د) مغادرة الحلبة</t>
  </si>
  <si>
    <t>أ) زيادة الضغط</t>
  </si>
  <si>
    <t>الاستفادة من تعب الخصم يمكن أن تؤدي إلى الفوز.</t>
  </si>
  <si>
    <t>طلب منك المدرب قيادة الإحماء قبل المباراة. ماذا تفعل؟</t>
  </si>
  <si>
    <t>أ) قيادة بحماس؛ ب) الشكوى من التعب؛ ج) تجاهل الطلب؛ د) طلب من زميل آخر القيادة</t>
  </si>
  <si>
    <t>أ) قيادة بحماس</t>
  </si>
  <si>
    <t>قيادة الفريق تظهر التزامك وتلهم زملائك.</t>
  </si>
  <si>
    <t>أثناء التدريب، تلاحظ أنك ترتكب أخطاء في التقنية. ماذا تفعل؟</t>
  </si>
  <si>
    <t>أ) التدريب أكثر؛ ب) لوم الأرضية؛ ج) تجاهل الأخطاء؛ د) التوقف عن التدريب</t>
  </si>
  <si>
    <t>أ) التدريب أكثر</t>
  </si>
  <si>
    <t>العمل على الأساسيات يحسن أدائك.</t>
  </si>
  <si>
    <t>زميلك لا يتبع دوره أثناء المباراة. ماذا تفعل؟</t>
  </si>
  <si>
    <t>أ) إرشاده بصبر؛ ب) الشكوى بصوت عالٍ؛ ج) تجاهله؛ د) طلب استبداله</t>
  </si>
  <si>
    <t>أ) إرشاده بصبر</t>
  </si>
  <si>
    <t>تنظيم الفريق مهم لتحقيق النجاح.</t>
  </si>
  <si>
    <t>تشعر بالتوتر قبل مباراة نوبة هامة. كيف تتعامل معها؟</t>
  </si>
  <si>
    <t>أ) التأمل؛ ب) تجنب المباراة؛ ج) الشكوى؛ د) لوم الآخرين</t>
  </si>
  <si>
    <t>أ) التأمل</t>
  </si>
  <si>
    <t>تهدئة الأعصاب تساعد على التركيز والأداء الأفضل.</t>
  </si>
  <si>
    <t>تلاحظ أن دفاع خصمك ضعيف. ماذا تفعل؟</t>
  </si>
  <si>
    <t>أ) استغلاله بسرعة؛ ب) الانتظار حتى يتعافى؛ ج) تجنب الهجوم؛ د) الدفاع فقط</t>
  </si>
  <si>
    <t>أ) استغلاله بسرعة</t>
  </si>
  <si>
    <t>الاستفادة من الفرص تؤدي إلى نتائج أفضل.</t>
  </si>
  <si>
    <t>زميلك يواجه صعوبة في حركة تتقنها جيدًا. ماذا تفعل؟</t>
  </si>
  <si>
    <t>أ) تعليمه؛ ب) السخرية منه؛ ج) تجاهل صعوبة الحركة؛ د) إخبار المدرب</t>
  </si>
  <si>
    <t>أ) تعليمه</t>
  </si>
  <si>
    <t>مشاركة المعرفة تقوي الفريق ككل.</t>
  </si>
  <si>
    <t>أصبت أثناء التدريب. ماذا تفعل؟</t>
  </si>
  <si>
    <t>أ) إبلاغ المدرب؛ ب) الاستمرار في التدريب؛ ج) تجاهل الإصابة؛ د) لوم الآخرين</t>
  </si>
  <si>
    <t>أ) إبلاغ المدرب</t>
  </si>
  <si>
    <t>التعامل مع الإصابات يمنع الأضرار طويلة الأجل.</t>
  </si>
  <si>
    <t>طلب منك المدرب القيام بمهمة إضافية. ماذا تفعل؟</t>
  </si>
  <si>
    <t>أ) التطوع بسرور؛ ب) البقاء صامتًا؛ ج) الرفض؛ د) تجاهل الطلب</t>
  </si>
  <si>
    <t>أ) التطوع بسرور</t>
  </si>
  <si>
    <t>إظهار المبادرة يبني الثقة مع المدرب.</t>
  </si>
  <si>
    <t>خسرت مباراة ضد خصم أضعف. ماذا تفعل؟</t>
  </si>
  <si>
    <t>أ) تحليل الأخطاء؛ ب) لوم الآخرين؛ ج) التوقف عن التدريب؛ د) تجنب المباريات</t>
  </si>
  <si>
    <t>أ) تحليل الأخطاء</t>
  </si>
  <si>
    <t>التعلم من الهزائم يقودك للتحسن.</t>
  </si>
  <si>
    <t>تشعر بالتعب أثناء التدريب. كيف تتعامل مع ذلك؟</t>
  </si>
  <si>
    <t>أ) أخذ راحة قصيرة؛ ب) التوقف عن التدريب؛ ج) الشكوى بصوت عالٍ؛ د) الاستمرار دون راحة</t>
  </si>
  <si>
    <t>أ) أخذ راحة قصيرة</t>
  </si>
  <si>
    <t>فترات الراحة القصيرة تساعد في استعادة الطاقة ومنع الإرهاق.</t>
  </si>
  <si>
    <t>مدربك ينتقد أدائك خلال المباراة. ما رد فعلك؟</t>
  </si>
  <si>
    <t>أ) القبول والتحسين؛ ب) الجدال؛ ج) تجاهل الملاحظات؛ د) التوقف عن الاستماع</t>
  </si>
  <si>
    <t>أ) القبول والتحسين</t>
  </si>
  <si>
    <t>التعليقات البناءة تساعدك على النمو كمصارع.</t>
  </si>
  <si>
    <t>زميلك يتهمك ظلماً بخطأ في المباراة. ماذا تفعل؟</t>
  </si>
  <si>
    <t>أ) مناقشة الأمر بهدوء؛ ب) الجدال بصوت عالٍ؛ ج) تجاهله؛ د) الشكوى للمدرب</t>
  </si>
  <si>
    <t>أ) مناقشة الأمر بهدوء</t>
  </si>
  <si>
    <t>حل النزاعات بهدوء يحافظ على انسجام الفريق.</t>
  </si>
  <si>
    <t>طلب منك التدريب مع مبتدئ. كيف تتعامل مع التدريب؟</t>
  </si>
  <si>
    <t>أ) مساعدته على التعلم؛ ب) هزيمته بسرعة؛ ج) الرفض؛ د) عدم بذل جهد</t>
  </si>
  <si>
    <t>أ) مساعدته على التعلم</t>
  </si>
  <si>
    <t>دعم المبتدئين يقوي مجتمع المصارعة.</t>
  </si>
  <si>
    <t>عندك بطولة هامة غدًا لكنك تشعر بعدم الاستعداد. ماذا تفعل؟</t>
  </si>
  <si>
    <t>أ) مراجعة الحركات الأساسية؛ ب) إلغاء المشاركة؛ ج) الشكوى للمدرب؛ د) تجنب التفكير في الأمر</t>
  </si>
  <si>
    <t>أ) مراجعة الحركات الأساسية</t>
  </si>
  <si>
    <t>الاستعداد يبني الثقة قبل المباراة.</t>
  </si>
  <si>
    <t>خصمك أقوى منك. كيف تتعامل مع المباراة؟</t>
  </si>
  <si>
    <t>أ) التركيز على الاستراتيجية؛ ب) الاستسلام؛ ج) Matching قوتهم؛ د) تجنب المباراة</t>
  </si>
  <si>
    <t>أ) التركيز على الاستراتيجية</t>
  </si>
  <si>
    <t>التقنيات الذكية يمكنها مواجهة القوة البدنية.</t>
  </si>
  <si>
    <t>زميلك يطلب مساعدتك خلال لحظة حاسمة في المباراة. ماذا تفعل؟</t>
  </si>
  <si>
    <t>أ) تقديم المساعدة؛ ب) تجاهله؛ ج) انتقاده؛ د) التركيز على مهمتك فقط</t>
  </si>
  <si>
    <t>أ) تقديم المساعدة</t>
  </si>
  <si>
    <t>العمل الجماعي يؤدي إلى النجاح الجماعي.</t>
  </si>
  <si>
    <t>تم اختيارك لتمثيل الفريق في حدث عام. كيف تستعد؟</t>
  </si>
  <si>
    <t>أ) تمثيل الفريق بفخر؛ ب) رفض المشاركة؛ ج) تجنب الحدث؛ د) الشكوى</t>
  </si>
  <si>
    <t>أ) تمثيل الفريق بفخر</t>
  </si>
  <si>
    <t>تمثيل الفريق يعزز سمعة الفريق.</t>
  </si>
  <si>
    <t>خصمك يهزأ منك أثناء المباراة. كيف ترد؟</t>
  </si>
  <si>
    <t>أ) الحفاظ على التركيز؛ ب) الرد عليه؛ ج) فقدان الأعصاب؛ د) تجنب الخصم</t>
  </si>
  <si>
    <t>أ) الحفاظ على التركيز</t>
  </si>
  <si>
    <t>القوة العقلية أساسية في المصارعة التنافسية.</t>
  </si>
  <si>
    <t>تم اختيارك قائدًا للفريق. كيف تقود؟</t>
  </si>
  <si>
    <t>أ) إلهام زملائك؛ ب) القواعد الصارمة؛ ج) تجاهل المسؤوليات؛ د) رفض الدور</t>
  </si>
  <si>
    <t>أ) إلهام زملائك</t>
  </si>
  <si>
    <t>القيادة الجيدة تحفز الفريق وتوجهه بشكل فعال.</t>
  </si>
  <si>
    <t>أخطأت وتسبب ذلك في خسارة الفريق للمباراة. كيف تتعامل مع ذلك؟</t>
  </si>
  <si>
    <t>أ) تحمل المسؤولية؛ ب) لوم الآخرين؛ ج) تجاهل الأمر؛ د) تجنب الزملاء</t>
  </si>
  <si>
    <t>أ) تحمل المسؤولية</t>
  </si>
  <si>
    <t>الاعتراف بالأخطاء يعزز الاحترام بين الزملاء.</t>
  </si>
  <si>
    <t>تدربت لفترة طويلة لكنك لم ترى تحسنًا. ماذا تفعل؟</t>
  </si>
  <si>
    <t>أ) استشارة المدرب؛ ب) التوقف عن التدريب؛ ج) الشكوى؛ د) تجنب المباريات</t>
  </si>
  <si>
    <t>أ) استشارة المدرب</t>
  </si>
  <si>
    <t>الإرشاد يساعد على تحديد مجالات التحسين.</t>
  </si>
  <si>
    <t>خصمك أقوى، لكنك تلاحظ ضعفه. ماذا تفعل؟</t>
  </si>
  <si>
    <t>أ) استغلال الضعف؛ ب) تجنب الهجوم؛ ج) التركيز على الدفاع؛ د) تجاهل الضعف</t>
  </si>
  <si>
    <t>أ) استغلال الضعف</t>
  </si>
  <si>
    <t>استغلال الفرص يساعد على توازن المباراة.</t>
  </si>
  <si>
    <t>زميلك غالبًا ما يتغيب عن التدريب. ماذا تفعل؟</t>
  </si>
  <si>
    <t>أ) تشجيعه على الحضور؛ ب) إبلاغ المدرب؛ ج) تجاهله؛ د) الشكوى</t>
  </si>
  <si>
    <t>أ) تشجيعه على الحضور</t>
  </si>
  <si>
    <t>التشجيع الإيجابي يعزز الروح الجماعية.</t>
  </si>
  <si>
    <t>تم دعوتك للمشاركة في معسكر مصارعة دولي. ماذا تفعل؟</t>
  </si>
  <si>
    <t>أ) قبول الدعوة بحماس؛ ب) الرفض؛ ج) التردد؛ د) الشكوى من السفر</t>
  </si>
  <si>
    <t>أ) قبول الدعوة بحماس</t>
  </si>
  <si>
    <t>التعرض الدولي يوسع مهاراتك.</t>
  </si>
  <si>
    <t>فريقك يخسر بطولة حاسمة. كيف تتعامل مع ذلك؟</t>
  </si>
  <si>
    <t>أ) تحليل النقاط الضعيفة؛ ب) لوم المدرب؛ ج) تجاهل الخسارة؛ د) التوقف عن المصارعة</t>
  </si>
  <si>
    <t>أ) تحليل النقاط الضعيفة</t>
  </si>
  <si>
    <t>الخسارة فرصة للتعلم والنمو.</t>
  </si>
  <si>
    <t>تشعر بالتعب لكن لديك آخر جلسة تدريب. ماذا تفعل؟</t>
  </si>
  <si>
    <t>أ) استكمال التدريب بحذر؛ ب) تجنب التدريب؛ ج) المبالغة في التدريب؛ د) الشكوى</t>
  </si>
  <si>
    <t>أ) استكمال التدريب بحذر</t>
  </si>
  <si>
    <t>الجهد المستمر يحسن التحمل والمهارات.</t>
  </si>
  <si>
    <t>تلاحظ أن المعدات غير آمنة أثناء التدريب. ماذا تفعل؟</t>
  </si>
  <si>
    <t>أ) إبلاغ المدرب فورًا؛ ب) تجاهلها؛ ج) استخدامها بحذر؛ د) لوم الآخرين</t>
  </si>
  <si>
    <t>أ) إبلاغ المدرب فورًا</t>
  </si>
  <si>
    <t>السلامة أساسية في التدريب لضمان النجاح طويل الأمد.</t>
  </si>
  <si>
    <t>تم دعوتك لعرض المصارعة في مدرسة. كيف تستعد؟</t>
  </si>
  <si>
    <t>أ) تخطيط عرض واضح؛ ب) تجنب الحدث؛ ج) تقديم عرض معقد؛ د) تجاهل التفاصيل</t>
  </si>
  <si>
    <t>أ) تخطيط عرض واضح</t>
  </si>
  <si>
    <t>العروض الجذابة تلهم المصارعين المستقبليين.</t>
  </si>
  <si>
    <t>أثناء التمرين، شعرت بإجهاد عضلي. ماذا تفعل؟</t>
  </si>
  <si>
    <t>أ) أخذ استراحة قصيرة؛ ب) الاستمرار في التمرين بقوة؛ ج) تناول مسكنات؛ د) التوقف عن التدريب</t>
  </si>
  <si>
    <t>أ) أخذ استراحة قصيرة</t>
  </si>
  <si>
    <t>أخذ استراحة يساعد في منع الإصابات.</t>
  </si>
  <si>
    <t>أنت قائد الفريق والجو مشحون قبل المباراة. كيف تهدئ الفريق؟</t>
  </si>
  <si>
    <t>أ) التحدث بإيجابية؛ ب) الشكوى؛ ج) الابتعاد عن المجموعة؛ د) التحدث عن المخاوف</t>
  </si>
  <si>
    <t>أ) التحدث بإيجابية</t>
  </si>
  <si>
    <t>القيادة الجيدة تبني الثقة في الفريق.</t>
  </si>
  <si>
    <t>أنت على وشك المشاركة في مباراة مصارعة حاسمة. ماذا تفعل؟</t>
  </si>
  <si>
    <t>أ) التركيز على الخطة؛ ب) القلق المستمر؛ ج) تضييع الوقت؛ د) انتظار انتهاء المباراة</t>
  </si>
  <si>
    <t>أ) التركيز على الخطة</t>
  </si>
  <si>
    <t>التركيز على الاستراتيجية يعزز الأداء.</t>
  </si>
  <si>
    <t>أثناء تدريب نوبة، لاحظت أن زميلًا آخر ليس في أفضل حالاته. ماذا تفعل؟</t>
  </si>
  <si>
    <t>أ) مساعدته على تحسين الأداء؛ ب) تجاهله؛ ج) الشكوى منه؛ د) طلب من المدرب استبداله</t>
  </si>
  <si>
    <t>أ) مساعدته على تحسين الأداء</t>
  </si>
  <si>
    <t>العمل الجماعي يقوي الفريق بأكمله.</t>
  </si>
  <si>
    <t>شعرت بالقلق من مواجهة خصم أقوى منك. كيف تتعامل مع ذلك؟</t>
  </si>
  <si>
    <t>أ) التركيز على نقاط قوتك؛ ب) الاستسلام قبل المباراة؛ ج) تجنب المواجهة؛ د) القلق طوال الوقت</t>
  </si>
  <si>
    <t>أ) التركيز على نقاط قوتك</t>
  </si>
  <si>
    <t>الثقة بالنفس تساعدك على الفوز.</t>
  </si>
  <si>
    <t>أثناء مباراة نوبة، خصمك يقوم بحركات غير متوقعة. ماذا تفعل؟</t>
  </si>
  <si>
    <t>أ) التكيف مع الحركات؛ ب) الوقوع في فخ الحركات غير المتوقعة؛ ج) التوقف عن التفكير؛ د) الاستسلام</t>
  </si>
  <si>
    <t>أ) التكيف مع الحركات</t>
  </si>
  <si>
    <t>المرونة ضرورية لمواجهة تحديات الخصم.</t>
  </si>
  <si>
    <t>كان لديك فرصة للفوز، ولكن خصمك قام بهجوم مفاجئ. كيف تتعامل؟</t>
  </si>
  <si>
    <t>أ) الصمود ومحاولة العودة للسيطرة؛ ب) الاستسلام؛ ج) الخوف من الهجوم؛ د) الركض للخلف</t>
  </si>
  <si>
    <t>أ) الصمود ومحاولة العودة للسيطرة</t>
  </si>
  <si>
    <t>الصمود يعزز القوة العقلية.</t>
  </si>
  <si>
    <t>أنت تواجه خصمًا سريعًا في نوبة. ماذا تفعل؟</t>
  </si>
  <si>
    <t>أ) التركيز على الدفاع والتوقيت؛ ب) الهجوم العشوائي؛ ج) الاستسلام؛ د) تجنب القتال</t>
  </si>
  <si>
    <t>أ) التركيز على الدفاع والتوقيت</t>
  </si>
  <si>
    <t>التركيز على التحركات الدقيقة يمنحك ميزة.</t>
  </si>
  <si>
    <t>أثناء التمرين، تتعرض للإرهاق. كيف تتعامل؟</t>
  </si>
  <si>
    <t>أ) الراحة والاستراحة القصيرة؛ ب) الاستمرار في التمرين؛ ج) عدم إخبار المدرب؛ د) اللجوء إلى الأدوية</t>
  </si>
  <si>
    <t>أ) الراحة والاستراحة القصيرة</t>
  </si>
  <si>
    <t>الراحة تساعد في تجديد النشاط.</t>
  </si>
  <si>
    <t>زميلك يعاني من ضغط نفسي قبل مباراة هامة. ماذا تفعل؟</t>
  </si>
  <si>
    <t>أ) تشجيعه وتقديم الدعم؛ ب) تجاهله؛ ج) السخرية منه؛ د) إخبار المدرب</t>
  </si>
  <si>
    <t>أ) تشجيعه وتقديم الدعم</t>
  </si>
  <si>
    <t>الدعم النفسي يعزز الأداء بشكل كبير.</t>
  </si>
  <si>
    <t>أنت في وضع دفاعي خلال مباراة نوبة. ماذا تفعل؟</t>
  </si>
  <si>
    <t>أ) محاولة الهجوم في اللحظة المناسبة؛ ب) التراجع والانتظار؛ ج) الهروب؛ د) فقدان التركيز</t>
  </si>
  <si>
    <t>أ) محاولة الهجوم في اللحظة المناسبة</t>
  </si>
  <si>
    <t>التحول من الدفاع إلى الهجوم يعزز فرص الفوز.</t>
  </si>
  <si>
    <t>أنت قائد الفريق وتشعر أن أحد اللاعبين يحتاج إلى تحسين في مهاراته. ماذا تفعل؟</t>
  </si>
  <si>
    <t>أ) العمل مع اللاعب لتحسين مهاراته؛ ب) تجاهله؛ ج) لومه علنًا؛ د) عدم الاهتمام</t>
  </si>
  <si>
    <t>أ) العمل مع اللاعب لتحسين مهاراته</t>
  </si>
  <si>
    <t>مساعدة الزملاء في تحسين مهاراتهم تقوي الفريق.</t>
  </si>
  <si>
    <t>أثناء التدريب، يتم انتقادك من المدرب. كيف تتصرف؟</t>
  </si>
  <si>
    <t>أ) الاستماع والنقد البناء؛ ب) الغضب والتجاهل؛ ج) الشكوى للآخرين؛ د) الهروب</t>
  </si>
  <si>
    <t>أ) الاستماع والنقد البناء</t>
  </si>
  <si>
    <t>التطور يحتاج إلى الاستماع للنقد البناء والعمل عليه.</t>
  </si>
  <si>
    <t>تحتاج إلى تعزيز لياقتك البدنية. كيف تبدأ؟</t>
  </si>
  <si>
    <t>أ) التمرين المنتظم؛ ب) الراحة الزائدة؛ ج) عدم التدريب بشكل مكثف؛ د) تناول المكملات فقط</t>
  </si>
  <si>
    <t>أ) التمرين المنتظم</t>
  </si>
  <si>
    <t>اللياقة البدنية تعزز أداءك في المباريات.</t>
  </si>
  <si>
    <t>أنت تواجه خصمًا يستخدم حركات غير قانونية. ماذا تفعل؟</t>
  </si>
  <si>
    <t>أ) إبلاغ الحكم؛ ب) تجاهل الحركات غير القانونية؛ ج) استخدام نفس الحركات؛ د) الانسحاب</t>
  </si>
  <si>
    <t>أ) إبلاغ الحكم</t>
  </si>
  <si>
    <t>الحفاظ على نزاهة اللعبة يتطلب التعامل مع الحركات غير القانونية.</t>
  </si>
  <si>
    <t>التدريب على المهارات الأساسية يصبح مملًا. كيف تتعامل؟</t>
  </si>
  <si>
    <t>أ) الحفاظ على الحافز والتركيز؛ ب) ترك التدريب؛ ج) الشكوى؛ د) التجنب</t>
  </si>
  <si>
    <t>أ) الحفاظ على الحافز والتركيز</t>
  </si>
  <si>
    <t>التدريب المستمر على الأساسيات يحسن الأداء.</t>
  </si>
  <si>
    <t>تحتاج لتحسين استراتيجياتك في نوبة. كيف تبدأ؟</t>
  </si>
  <si>
    <t>أ) مراجعة الأخطاء السابقة؛ ب) تجاهل الاستراتيجيات؛ ج) القتال بدون خطة؛ د) الاسترخاء</t>
  </si>
  <si>
    <t>أ) مراجعة الأخطاء السابقة</t>
  </si>
  <si>
    <t>الاستراتيجيات المدروسة تجعل الأداء أكثر فاعلية.</t>
  </si>
  <si>
    <t>زميلك يواجه صعوبة في الحفاظ على تركيزه خلال التدريب. ماذا تفعل؟</t>
  </si>
  <si>
    <t>أ) مساعدته على البقاء مركزًا؛ ب) السخرية منه؛ ج) تجاهله؛ د) مطالبة المدرب بمعاقبته</t>
  </si>
  <si>
    <t>أ) مساعدته على البقاء مركزًا</t>
  </si>
  <si>
    <t>التركيز هو مفتاح الأداء الجيد.</t>
  </si>
  <si>
    <t>تحتاج إلى تعزيز قوة عضلاتك. كيف تفعل ذلك؟</t>
  </si>
  <si>
    <t>أ) التدريب على القوة بانتظام؛ ب) الراحة الزائدة؛ ج) عدم الاهتمام بالقوة؛ د) الاعتماد فقط على الأساليب الذهنية</t>
  </si>
  <si>
    <t>أ) التدريب على القوة بانتظام</t>
  </si>
  <si>
    <t>تقوية العضلات تعزز الأداء البدني في المصارعة.</t>
  </si>
  <si>
    <t>أنت تشعر بالحيرة حول اتخاذ خطوة معينة في المباراة. ماذا تفعل؟</t>
  </si>
  <si>
    <t>أ) تقييم الوضع بحذر؛ ب) اتخاذ قرار سريع وعشوائي؛ ج) تجنب اتخاذ قرار؛ د) طلب المساعدة فورًا</t>
  </si>
  <si>
    <t>أ) تقييم الوضع بحذر</t>
  </si>
  <si>
    <t>اتخاذ قرارات محسوبة يساعد على تجنب الأخطاء.</t>
  </si>
  <si>
    <t>زميلك دائمًا يكون متأخرًا عن التمرين. ماذا تفعل؟</t>
  </si>
  <si>
    <t>أ) تشجيعه على الالتزام بالوقت؛ ب) تجاهله؛ ج) الإبلاغ عنه للمدرب؛ د) الشكوى،</t>
  </si>
  <si>
    <t>أ) تشجيعه على الالتزام بالوقت</t>
  </si>
  <si>
    <t>الانضباط الزمني يعزز أداء الفريق ككل.</t>
  </si>
  <si>
    <t>أنت تشعر بالإرهاق بعد عدة مباريات. كيف تتعامل؟</t>
  </si>
  <si>
    <t>أ) استراحة كاملة؛ ب) الاستمرار في اللعب بدون توقف؛ ج) الاعتماد على المكملات الغذائية؛ د) تجاهل التعب</t>
  </si>
  <si>
    <t>أ) استراحة كاملة</t>
  </si>
  <si>
    <t>الراحة المناسبة تحافظ على صحتك وأدائك في المباريات.</t>
  </si>
  <si>
    <t>أنت تواجه خصمًا يستخدم أسلوبًا جديدًا. كيف تتعامل؟</t>
  </si>
  <si>
    <t>أ) مراقبة وتكييف أسلوبك؛ ب) الهجوم العشوائي؛ ج) الاستسلام؛ د) الشكوى للمدرب</t>
  </si>
  <si>
    <t>أ) مراقبة وتكييف أسلوبك</t>
  </si>
  <si>
    <t>القدرة على التكيف تجعل خصمك أقل تهديدًا.</t>
  </si>
  <si>
    <t>أنت بحاجة لتحسين سرعة رد فعلك. كيف تبدأ؟</t>
  </si>
  <si>
    <t>أ) التدريب على التوقيت والسرعة؛ ب) التباطؤ أثناء التدريب؛ ج) تجاهل السرعة؛ د) التركيز على القوة فقط</t>
  </si>
  <si>
    <t>أ) التدريب على التوقيت والسرعة</t>
  </si>
  <si>
    <t>السرعة تسهم في التفوق على الخصم.</t>
  </si>
  <si>
    <t>تواجه خصمًا أكثر خبرة. كيف تتصرف؟</t>
  </si>
  <si>
    <t>أ) استخدام تقنيات جديدة؛ ب) تجنب المواجهة المباشرة؛ ج) التركيز على الدفاع فقط؛ د) الاستسلام</t>
  </si>
  <si>
    <t>أ) استخدام تقنيات جديدة</t>
  </si>
  <si>
    <t>التعلم من الخبرات يخلق فرصًا جديدة للفوز.</t>
  </si>
  <si>
    <t>تم اختيارك لمباراة مهمة في بطولة دولية. ماذا تفعل؟</t>
  </si>
  <si>
    <t>أ) الاستعداد بدقة؛ ب) القلق؛ ج) تجاهل التحدي؛ د) الانسحاب</t>
  </si>
  <si>
    <t>أ) الاستعداد بدقة</t>
  </si>
  <si>
    <t>التحضير الدقيق يعزز الأداء في البطولات الكبرى.</t>
  </si>
  <si>
    <t>أنت تشعر بالتعب بعد التدريبات المكثفة. ماذا تفعل؟</t>
  </si>
  <si>
    <t>أ) الراحة الفعالة؛ ب) تجاهل الراحة؛ ج) الضغط على نفسك؛ د) الشكوى</t>
  </si>
  <si>
    <t>أ) الراحة الفعالة</t>
  </si>
  <si>
    <t>الراحة تجعل الجسم قادرًا على التعافي والتحسين.</t>
  </si>
  <si>
    <t>أثناء التمرين، هناك مشاكل في التنسيق بينك وبين زميلك. ماذا تفعل؟</t>
  </si>
  <si>
    <t>أ) تحسين التواصل بينكما؛ ب) تجاهل المشكلة؛ ج) اتهام زميلك؛ د) التوقف عن التعاون</t>
  </si>
  <si>
    <t>أ) تحسين التواصل بينكما</t>
  </si>
  <si>
    <t>التنسيق الجيد يؤدي إلى نجاح الفريق.</t>
  </si>
  <si>
    <t>أنت تواجه تحديًا كبيرًا في الحفاظ على توازن الجسم. ماذا تفعل؟</t>
  </si>
  <si>
    <t>أ) التدريب على تحسين التوازن؛ ب) تجاهل المشكلة؛ ج) تجنب الحركات الصعبة؛ د) لوم المدرب</t>
  </si>
  <si>
    <t>أ) التدريب على تحسين التوازن</t>
  </si>
  <si>
    <t>التوازن أساسي في المصارعة لتحقيق الأداء الأفضل.</t>
  </si>
  <si>
    <t>زميلك يحقق تحسنًا كبيرًا. ماذا تفعل؟</t>
  </si>
  <si>
    <t>أ) تشجيعه على الاستمرار؛ ب) السخرية منه؛ ج) تجاهله؛ د) عدم الاهتمام</t>
  </si>
  <si>
    <t>أ) تشجيعه على الاستمرار</t>
  </si>
  <si>
    <t>دعم التقدم يعزز الفريق ككل.</t>
  </si>
  <si>
    <t>أنت في حاجة لتحسين مهاراتك الدفاعية. ماذا تفعل؟</t>
  </si>
  <si>
    <t>أ) التدريب على الدفاع بانتظام؛ ب) تجاهل الدفاع؛ ج) الهجوم بدون خطة دفاعية؛ د) الاستسلام</t>
  </si>
  <si>
    <t>أ) التدريب على الدفاع بانتظام</t>
  </si>
  <si>
    <t>تحسين مهارات الدفاع يعزز قوتك في المباراة.</t>
  </si>
  <si>
    <t>شعرت بالتعب الشديد قبل مباراة حاسمة. ماذا تفعل؟</t>
  </si>
  <si>
    <t>أ) الراحة الجيدة والتهدئة النفسية؛ ب) الاستمرار في النشاط البدني؛ ج) قضاء وقت طويل في التفكير السلبي؛ د) إلغاء المباراة</t>
  </si>
  <si>
    <t>أ) الراحة الجيدة والتهدئة النفسية</t>
  </si>
  <si>
    <t>الراحة قبل المباراة تساعد في الاستعداد بشكل أفضل.</t>
  </si>
  <si>
    <t>أنت في منافسة مع خصم قوي جدًا. كيف تقترب من المباراة؟</t>
  </si>
  <si>
    <t>أ) التخطيط لإستراتيجية مع التركيز على نقاط الضعف؛ ب) الهجوم المباشر؛ ج) تجنب المواجهة المباشرة؛ د) عدم التفكير في الاستراتيجية</t>
  </si>
  <si>
    <t>أ) التخطيط لإستراتيجية مع التركيز على نقاط الضعف</t>
  </si>
  <si>
    <t>التخطيط الجيد يمكن أن يغير مجرى المنافسة.</t>
  </si>
  <si>
    <t>عند بدء التمرين، شعرت ببعض الألم في العضلات. ماذا تفعل؟</t>
  </si>
  <si>
    <t>أ) إيقاف التمرين وطلب المساعدة؛ ب) تجاهل الألم ومواصلة التمرين؛ ج) استخدام الأدوية فقط؛ د) الاستمرار بنفس الوتيرة</t>
  </si>
  <si>
    <t>أ) إيقاف التمرين وطلب المساعدة</t>
  </si>
  <si>
    <t>توقف عن التدريب عند الإحساس بالألم لتجنب الإصابات.</t>
  </si>
  <si>
    <t>أنت في موقف صعب أثناء المباراة. كيف تتصرف؟</t>
  </si>
  <si>
    <t>أ) المحافظة على هدوئك والتركيز على الحلول؛ ب) الاستسلام بسرعة؛ ج) التوتر الشديد؛ د) اللجوء إلى أساليب غير قانونية</t>
  </si>
  <si>
    <t>أ) المحافظة على هدوئك والتركيز على الحلول</t>
  </si>
  <si>
    <t>التفكير العقلاني يساعدك في اتخاذ القرارات الصحيحة.</t>
  </si>
  <si>
    <t>عند التدريب، تشعر أن فريقك غير منظم. ماذا تفعل؟</t>
  </si>
  <si>
    <t>أ) محاولة تنظيم الفريق بطريقة أفضل؛ ب) التغاضي عن التنظيم؛ ج) لوم اللاعبين الآخرين؛ د) إخبار المدرب بالتحسينات</t>
  </si>
  <si>
    <t>أ) محاولة تنظيم الفريق بطريقة أفضل</t>
  </si>
  <si>
    <t>التنظيم الجيد يساهم في النجاح الجماعي.</t>
  </si>
  <si>
    <t>شعرت أنك غير مستعد للمباراة القادمة. كيف تتصرف؟</t>
  </si>
  <si>
    <t>أ) التركيز على التحضير والتخطيط؛ ب) القلق المستمر؛ ج) إلغاء المباراة؛ د) إخبار المدرب عن القلق</t>
  </si>
  <si>
    <t>أ) التركيز على التحضير والتخطيط</t>
  </si>
  <si>
    <t>التحضير الجيد يزيد من فرص الفوز.</t>
  </si>
  <si>
    <t>أنت لا توافق على إستراتيجية الفريق في المباراة. ماذا تفعل؟</t>
  </si>
  <si>
    <t>أ) التحدث مع المدرب والتوصل إلى توافق؛ ب) رفض التعاون؛ ج) تنفيذ الاستراتيجية بطريقة غير فعالة؛ د) التمرد على الاستراتيجية</t>
  </si>
  <si>
    <t>أ) التحدث مع المدرب والتوصل إلى توافق</t>
  </si>
  <si>
    <t>التعاون مع المدرب يحقق أفضل النتائج.</t>
  </si>
  <si>
    <t>أنت تشعر بالإحباط بسبب الأخطاء المتكررة. ماذا تفعل؟</t>
  </si>
  <si>
    <t>أ) العمل على تحسين المهارات؛ ب) التوقف عن التدريب؛ ج) لوم المدرب؛ د) البحث عن أعذار</t>
  </si>
  <si>
    <t>أ) العمل على تحسين المهارات</t>
  </si>
  <si>
    <t>التحسين المستمر هو السبيل لتقوية الأداء.</t>
  </si>
  <si>
    <t>زميلك يعاني من فقدان التركيز في المباراة. كيف تساعده؟</t>
  </si>
  <si>
    <t>أ) تقديم الدعم النفسي وتحفيزه؛ ب) تجاهله؛ ج) السخرية منه؛ د) إخبار المدرب بإلغاءه</t>
  </si>
  <si>
    <t>أ) تقديم الدعم النفسي وتحفيزه</t>
  </si>
  <si>
    <t>الدعم المعنوي يحسن الأداء الجماعي.</t>
  </si>
  <si>
    <t>أنت تشعر بالحاجة لتعزيز مهاراتك في الهجوم. كيف تبدأ؟</t>
  </si>
  <si>
    <t>أ) التدريب المكثف على تقنيات الهجوم؛ ب) تجاهل تحسين الهجوم؛ ج) الاعتماد على الدفاع فقط؛ د) الانتظار حتى تحسين الدفاع</t>
  </si>
  <si>
    <t>أ) التدريب المكثف على تقنيات الهجوم</t>
  </si>
  <si>
    <t>تعزيز مهارات الهجوم يمنحك فرصًا أكبر للفوز.</t>
  </si>
  <si>
    <t>أنت تشعر أن هناك تعارضات في الفريق. كيف تتعامل؟</t>
  </si>
  <si>
    <t>أ) التحدث بصراحة لحل المشكلة؛ ب) تجاهل المشكلة؛ ج) الدخول في مشادات؛ د) التفكير في الانسحاب</t>
  </si>
  <si>
    <t>أ) التحدث بصراحة لحل المشكلة</t>
  </si>
  <si>
    <t>التواصل الفعّال يحل معظم الخلافات.</t>
  </si>
  <si>
    <t>أنت في تحدي مع خصم أسرع منك. ماذا تفعل؟</t>
  </si>
  <si>
    <t>أ) تحسين التوقيت والتركيز؛ ب) التخلي عن المحاولة؛ ج) محاولة تقليده؛ د) الاستسلام،</t>
  </si>
  <si>
    <t>أ) تحسين التوقيت والتركيز</t>
  </si>
  <si>
    <t>التوقيت الجيد يجعل السرعة أقل أهمية.</t>
  </si>
  <si>
    <t>مباراة حاسمة قادمة، وأنت غير متأكد من مستوى لياقتك. ماذا تفعل؟</t>
  </si>
  <si>
    <t>أ) زيادة تدريبات اللياقة؛ ب) التراخي والتوقف عن التدريب؛ ج) الإصرار على اللعب رغم التعب؛ د) عدم الاستعداد</t>
  </si>
  <si>
    <t>أ) زيادة تدريبات اللياقة</t>
  </si>
  <si>
    <t>الاستعداد البدني الجيد يساعد في مواجهة التحديات.</t>
  </si>
  <si>
    <t>زميلك يحاول تعلم حركة جديدة. كيف تساعده؟</t>
  </si>
  <si>
    <t>أ) تقديم توجيه إيجابي ومساعدته؛ ب) تجاهله؛ ج) السخرية منه؛ د) انتظار أن يتعلمها بمفرده</t>
  </si>
  <si>
    <t>أ) تقديم توجيه إيجابي ومساعدته</t>
  </si>
  <si>
    <t>التوجيه المناسب يعزز التعاون بين الفريق.</t>
  </si>
  <si>
    <t>أنت في وضع دفاعي غير مريح. ماذا تفعل؟</t>
  </si>
  <si>
    <t>أ) تحسين التوازن والتحكم في الوضع؛ ب) الهروب من الموقف؛ ج) الاستسلام؛ د) رفع يديك للاستسلام</t>
  </si>
  <si>
    <t>أ) تحسين التوازن والتحكم في الوضع</t>
  </si>
  <si>
    <t>التحكم الجيد في الدفاع يزيد من فرص التحول إلى الهجوم.</t>
  </si>
  <si>
    <t>فريقك يعاني من نقص في الروح المعنوية. ماذا تفعل؟</t>
  </si>
  <si>
    <t>أ) رفع معنويات الفريق عبر التشجيع والتحفيز؛ ب) تجاهل الموقف؛ ج) لوم الفريق؛ د) الانسحاب</t>
  </si>
  <si>
    <t>أ) رفع معنويات الفريق عبر التشجيع والتحفيز</t>
  </si>
  <si>
    <t>الحفاظ على الروح المعنوية يعزز التعاون.</t>
  </si>
  <si>
    <t>أنت على وشك مواجهة خصم جديد في البطولة. ماذا تفعل؟</t>
  </si>
  <si>
    <t>أ) دراسة خصمك وتحليل أسلوبه؛ ب) القلق من الخصم؛ ج) التجاهل التام للخصم؛ د) الانسحاب</t>
  </si>
  <si>
    <t>أ) دراسة خصمك وتحليل أسلوبه</t>
  </si>
  <si>
    <t>الفهم الجيد للخصم يمكن أن يحسن استراتيجيتك.</t>
  </si>
  <si>
    <t>أنت تشعر أن فريقك ليس لديه خطة محكمة للمباراة القادمة. ماذا تفعل؟</t>
  </si>
  <si>
    <t>أ) المساعدة في وضع خطة محكمة؛ ب) الانسحاب؛ ج) إخبار المدرب عن خطأ الخطة؛ د) عدم الاهتمام</t>
  </si>
  <si>
    <t>أ) المساعدة في وضع خطة محكمة</t>
  </si>
  <si>
    <t>التخطيط الجيد يحسن الأداء الجماعي.</t>
  </si>
  <si>
    <t>زميلك يعاني من مشكلة في التواصل أثناء المباريات. ماذا تفعل؟</t>
  </si>
  <si>
    <t>أ) تشجيعه على تحسين التواصل مع الفريق؛ ب) تجاهله؛ ج) اللجوء إلى المدرب لوقفه؛ د) إهمال الموضوع</t>
  </si>
  <si>
    <t>أ) تشجيعه على تحسين التواصل مع الفريق</t>
  </si>
  <si>
    <t>التواصل الفعّال يعزز تنسيق الفريق.</t>
  </si>
  <si>
    <t>أنت في موقف صعب بسبب نقص مهاراتك في التوازن. ماذا تفعل؟</t>
  </si>
  <si>
    <t>أ) تدريب التوازن بانتظام؛ ب) إهمال التوازن؛ ج) الاعتماد على الحركات العشوائية؛ د) الاستسلام</t>
  </si>
  <si>
    <t>أ) تدريب التوازن بانتظام</t>
  </si>
  <si>
    <t>التحسين المستمر للتوازن يزيد من قوتك الجسدية.</t>
  </si>
  <si>
    <t>أنت في وضع محرج بسبب خطأ ارتكبته أمام الجمهور. كيف تتصرف؟</t>
  </si>
  <si>
    <t>أ) التركيز على تحسين أدائك في المستقبل؛ ب) الاستسلام؛ ج) القلق الشديد؛ د) محاولة الهروب</t>
  </si>
  <si>
    <t>أ) التركيز على تحسين أدائك في المستقبل</t>
  </si>
  <si>
    <t>التعلم من الأخطاء يعزز قدراتك.</t>
  </si>
  <si>
    <t>أنت في التدريب ولا تجد الدافع للاستمرار. ماذا تفعل؟</t>
  </si>
  <si>
    <t>أ) التحدث مع المدرب لتحفيز نفسك؛ ب) الاستسلام والتوقف عن التدريب؛ ج) إهدار الوقت في التفكير السلبي؛ د) التوقف مؤقتًا</t>
  </si>
  <si>
    <t>أ) التحدث مع المدرب لتحفيز نفسك</t>
  </si>
  <si>
    <t>التشجيع الداخلي من المدرب يعزز الحافز.</t>
  </si>
  <si>
    <t>شعرت أنك بحاجة للمزيد من التحسين في قوة عضلاتك. ماذا تفعل؟</t>
  </si>
  <si>
    <t>أ) الالتحاق بتدريبات إضافية لزيادة القوة؛ ب) التوقف عن التدريب؛ ج) الإصرار على أداء الأساسيات فقط؛ د) تجاهل التدريب على القوة</t>
  </si>
  <si>
    <t>أ) الالتحاق بتدريبات إضافية لزيادة القوة</t>
  </si>
  <si>
    <t>تعزيز القوة العضلية يساعد في تحسين الأداء العام.</t>
  </si>
  <si>
    <t>أنت في وضع دفاعي، ولكن الخصم يقترب بسرعة. ماذا تفعل؟</t>
  </si>
  <si>
    <t>أ) الحفاظ على التركيز وتحسين الدفاع؛ ب) الاستسلام؛ ج) الهجوم العشوائي؛ د) الركض للخلف</t>
  </si>
  <si>
    <t>أ) الحفاظ على التركيز وتحسين الدفاع</t>
  </si>
  <si>
    <t>التركيز على الدفاع يقلل من تهديد الخصم.</t>
  </si>
  <si>
    <t>أنت تفكر في ترك الفريق بسبب التوتر المستمر. ماذا تفعل؟</t>
  </si>
  <si>
    <t>أ) التحدث مع المدرب عن مشاعرك؛ ب) ترك الفريق دون حديث؛ ج) زيادة الضغط على نفسك؛ د) الاستسلام</t>
  </si>
  <si>
    <t>أ) التحدث مع المدرب عن مشاعرك</t>
  </si>
  <si>
    <t>التواصل مع المدرب يمكن أن يساعد في حل المشكلة.</t>
  </si>
  <si>
    <t>أنت لا تحب طريقة تدريب الفريق. ماذا تفعل؟</t>
  </si>
  <si>
    <t>أ) التحدث مع المدرب عن رأيك؛ ب) الاستسلام والتوقف عن التدريب؛ ج) التدريب منفردًا؛ د) تجاهل الموقف</t>
  </si>
  <si>
    <t>أ) التحدث مع المدرب عن رأيك</t>
  </si>
  <si>
    <t>التواصل مع المدرب يمكن أن يحسن أسلوب التدريب.</t>
  </si>
  <si>
    <t>أنت تشعر بتحدي كبير بسبب خصم قوي. ماذا تفعل؟</t>
  </si>
  <si>
    <t>أ) تعزيز استراتيجيتك وتحسين أدائك؛ ب) الاستسلام مبكرًا؛ ج) الإصرار على الخسارة؛ د) إلغاء المباراة</t>
  </si>
  <si>
    <t>أ) تعزيز استراتيجيتك وتحسين أدائك</t>
  </si>
  <si>
    <t>التحديات تعزز من قدراتك.</t>
  </si>
  <si>
    <t>أنت تفكر في تطوير تقنيات جديدة للمباراة. ماذا تفعل؟</t>
  </si>
  <si>
    <t>أ) تعلم تقنيات جديدة أثناء التدريب؛ ب) الاعتماد على تقنيات قديمة فقط؛ ج) تجاهل أي تقنيات جديدة؛ د) قضاء الوقت في أنشطة غير متعلقة بالمصارعة</t>
  </si>
  <si>
    <t>أ) تعلم تقنيات جديدة أثناء التدريب</t>
  </si>
  <si>
    <t>الاستمرار في تطوير المهارات يعزز الأداء.</t>
  </si>
  <si>
    <t>أنت في مباراة وأنت غير مرتاح عقليًا. ماذا تفعل؟</t>
  </si>
  <si>
    <t>أ) التركيز على التقنيات فقط، لتجنب القلق؛ ب) الاستسلام؛ ج) التركيز على الأخطاء السابقة؛ د) الانسحاب</t>
  </si>
  <si>
    <t>أ) التركيز على التقنيات فقط، لتجنب القلق</t>
  </si>
  <si>
    <t>التركيز على الجوانب التقنية يساعد في تخطي الضغط النفسي.</t>
  </si>
  <si>
    <t>أنت تواجه خصمًا يستخدم تقنيات غير تقليدية. ماذا تفعل؟</t>
  </si>
  <si>
    <t>أ) دراسة أسلوبه وتعديل استراتيجيتك؛ ب) التجاهل ومحاولة تقليده؛ ج) الاستسلام؛ د) رفض المواجهة</t>
  </si>
  <si>
    <t>أ) دراسة أسلوبه وتعديل استراتيجيتك</t>
  </si>
  <si>
    <t>فهم أسلوب الخصم يمكن أن يساعد في تحضير دفاعات فعّالة.</t>
  </si>
  <si>
    <t>أنت تشعر بقلق كبير قبل مباراة هامة. ماذا تفعل؟</t>
  </si>
  <si>
    <t>أ) التنفس العميق والتركيز؛ ب) القلق المستمر؛ ج) الانسحاب من المباراة؛ د) التوقف عن التدريب</t>
  </si>
  <si>
    <t>أ) التنفس العميق والتركيز</t>
  </si>
  <si>
    <t>الاسترخاء يساعد في تقليل القلق وتحسين الأداء.</t>
  </si>
  <si>
    <t>أنت تفكر في تحسين تقنيات التسلق لديك. ماذا تفعل؟</t>
  </si>
  <si>
    <t>أ) التدريب بشكل مكثف على تقنيات التسلق؛ ب) الاعتماد على الحركات الأساسية فقط؛ ج) تجنب التدريب على التسلق؛ د) تركيز كل الوقت على الهجوم</t>
  </si>
  <si>
    <t>أ) التدريب بشكل مكثف على تقنيات التسلق</t>
  </si>
  <si>
    <t>تحسين تقنيات التسلق يزيد من كفاءتك أثناء المباراة.</t>
  </si>
  <si>
    <t>زميلك يعاني من إصابة بسيطة. ماذا تفعل؟</t>
  </si>
  <si>
    <t>أ) مساعدته والحرص على عدم تفاقم الإصابة؛ ب) تجاهله؛ ج) إخبار المدرب بأنه لا يستطيع اللعب؛ د) الهجوم عليه، معتقدًا أنه سيبقى ضعيفًا</t>
  </si>
  <si>
    <t>أ) مساعدته والحرص على عدم تفاقم الإصابة</t>
  </si>
  <si>
    <t>الرعاية السليمة تساعد في الحفاظ على صحة الفريق.</t>
  </si>
  <si>
    <t>أنت غير متأكد من قوتك البدنية في المنافسة القادمة. ماذا تفعل؟</t>
  </si>
  <si>
    <t>أ) تحسين اللياقة البدنية من خلال التدريب المستمر؛ ب) الراحة المفرطة؛ ج) إلغاء المباراة؛ د) القبول بالفشل</t>
  </si>
  <si>
    <t>أ) تحسين اللياقة البدنية من خلال التدريب المستمر</t>
  </si>
  <si>
    <t>الاستعداد البدني الجيد يساعد في الأداء الأفضل.</t>
  </si>
  <si>
    <t>شعرت بأنك تفتقر إلى القوة العقلية في المباريات. ماذا تفعل؟</t>
  </si>
  <si>
    <t>أ) تطوير القوة العقلية من خلال التحفيز والتدريب العقلي؛ ب) الاستسلام للمشاعر السلبية؛ ج) تجاهل التدريب العقلي؛ د) عدم مواجهة التحديات</t>
  </si>
  <si>
    <t>أ) تطوير القوة العقلية من خلال التحفيز والتدريب العقلي</t>
  </si>
  <si>
    <t>القوة العقلية تساعد في الحفاظ على الأداء الجيد تحت الضغط.</t>
  </si>
  <si>
    <t>أنت تواجه صعوبة في الحفاظ على توازنك أثناء المنافسة. ماذا تفعل؟</t>
  </si>
  <si>
    <t>أ) التدريب على التوازن بشكل منتظم؛ ب) تجاهل مشكلة التوازن؛ ج) تجنب الحركات الصعبة؛ د) لوم المدرب</t>
  </si>
  <si>
    <t>أ) التدريب على التوازن بشكل منتظم</t>
  </si>
  <si>
    <t>التوازن الجيد يسهم في تحسين الأداء بشكل عام.</t>
  </si>
  <si>
    <t>عند بداية التمرين، كنت متعبًا من اليوم السابق. ماذا تفعل؟</t>
  </si>
  <si>
    <t>أ) الراحة لفترة قصيرة ثم بدء التمرين تدريجيًا؛ ب) التوقف عن التدريب تمامًا؛ ج) إخبار المدرب عن تعبك؛ د) عدم الاهتمام</t>
  </si>
  <si>
    <t>أ) الراحة لفترة قصيرة ثم بدء التمرين تدريجيًا</t>
  </si>
  <si>
    <t>التوازن بين الراحة والتمرين يزيد من فعالية الأداء.</t>
  </si>
  <si>
    <t>أنت ترى أن مدربك غير راضٍ عن أدائك. ماذا تفعل؟</t>
  </si>
  <si>
    <t>أ) التحدث مع المدرب لتحسين الأداء؛ ب) تجاهل ملاحظاته؛ ج) الانسحاب من التدريب؛ د) الدفاع عن نفسك بلا فائدة</t>
  </si>
  <si>
    <t>أ) التحدث مع المدرب لتحسين الأداء</t>
  </si>
  <si>
    <t>التعاون مع المدرب يساهم في تحسين الأداء.</t>
  </si>
  <si>
    <t>أنت تعاني من إصابة طفيفة. كيف تتعامل معها؟</t>
  </si>
  <si>
    <t>أ) الراحة والتعافي قبل العودة للمباراة؛ ب) اللعب رغم الإصابة؛ ج) تجاهل الإصابة؛ د) إخبار المدرب بالانسحاب</t>
  </si>
  <si>
    <t>أ) الراحة والتعافي قبل العودة للمباراة</t>
  </si>
  <si>
    <t>الراحة السليمة تسرع من عملية التعافي.</t>
  </si>
  <si>
    <t>أنت تشعر أن تنسيق فريقك غير جيد. ماذا تفعل؟</t>
  </si>
  <si>
    <t>أ) محاولة تحسين التنسيق من خلال التمرين الجماعي؛ ب) تجاهل التنسيق؛ ج) لوم الفريق؛ د) إخبار المدرب عن ذلك</t>
  </si>
  <si>
    <t>أ) محاولة تحسين التنسيق من خلال التمرين الجماعي</t>
  </si>
  <si>
    <t>التنسيق الجيد يعزز الأداء الجماعي.</t>
  </si>
  <si>
    <t>أنت تلعب في فريق ولكنك تواجه مشكلة في التواصل مع زملائك. ماذا تفعل؟</t>
  </si>
  <si>
    <t>أ) محاولة تحسين التواصل من خلال التدريب والملاحظات؛ ب) تجنب التفاعل مع الفريق؛ ج) تجاهل التواصل؛ د) لوم الفريق</t>
  </si>
  <si>
    <t>أ) محاولة تحسين التواصل من خلال التدريب والملاحظات</t>
  </si>
  <si>
    <t>التواصل الفعّال يجعل الفريق أكثر انسجامًا.</t>
  </si>
  <si>
    <t>أنت تواجه صعوبة في تحفيز نفسك خلال التدريبات. ماذا تفعل؟</t>
  </si>
  <si>
    <t>أ) تحديد أهداف صغيرة ومكافأة نفسك؛ ب) الاستسلام للتعب؛ ج) تجاهل التدريبات؛ د) تخطي التدريب</t>
  </si>
  <si>
    <t>أ) تحديد أهداف صغيرة ومكافأة نفسك</t>
  </si>
  <si>
    <t>تحفيز النفس يساعد في الاستمرار وتحقيق التقدم.</t>
  </si>
  <si>
    <t>أنت تشعر أن الفريق غير متعاون. ماذا تفعل؟</t>
  </si>
  <si>
    <t>أ) العمل على تحسين روح الفريق من خلال التواصل؛ ب) الانتقاد اللاذع للفريق؛ ج) الابتعاد عن الفريق؛ د) التوقف عن التدريب</t>
  </si>
  <si>
    <t>أ) العمل على تحسين روح الفريق من خلال التواصل</t>
  </si>
  <si>
    <t>العمل الجماعي يعزز من قوة الفريق.</t>
  </si>
  <si>
    <t>أنت تجد صعوبة في التأقلم مع بيئة التدريب. ماذا تفعل؟</t>
  </si>
  <si>
    <t>أ) التحدث مع المدرب لتحسين البيئة التدريبية؛ ب) الاستسلام والتوقف عن التدريب؛ ج) تجاهل المشاكل البيئية؛ د) التفكير في ترك الفريق</t>
  </si>
  <si>
    <t>أ) التحدث مع المدرب لتحسين البيئة التدريبية</t>
  </si>
  <si>
    <t>تحسين بيئة التدريب يزيد من الإنتاجية.</t>
  </si>
  <si>
    <t>أنت في منافسة مع خصم يتفوق عليك جسديًا. ماذا تفعل؟</t>
  </si>
  <si>
    <t>أ) استخدام الإستراتيجيات التكتيكية للتعويض عن الفرق في القوة البدنية؛ ب) الاستسلام؛ ج) الهجوم العشوائي؛ د) محاولة تقليده،</t>
  </si>
  <si>
    <t>أ) استخدام الإستراتيجيات التكتيكية للتعويض عن الفرق في القوة البدنية</t>
  </si>
  <si>
    <t>استراتيجية جيدة يمكن أن تساعد في التغلب على فارق القوة البدنية.</t>
  </si>
  <si>
    <t>أنت في حاجة لتحسين مهاراتك في المصارعة الأرضية. ماذا تفعل؟</t>
  </si>
  <si>
    <t>أ) التمرين بشكل مكثف على تقنيات المصارعة الأرضية؛ ب) تجاهل المصارعة الأرضية؛ ج) الاعتماد على الهجوم فقط؛ د) الهروب من الوضع الأرضي</t>
  </si>
  <si>
    <t>أ) التمرين بشكل مكثف على تقنيات المصارعة الأرضية</t>
  </si>
  <si>
    <t>تحسين المهارات الأرضية يعطيك ميزة إضافية.</t>
  </si>
  <si>
    <t>أنت تواجه مشكلة في إدارة الوقت أثناء التمرين. ماذا تفعل؟</t>
  </si>
  <si>
    <t>أ) التخطيط للتمرين مسبقًا لضمان الاستفادة القصوى؛ ب) تجاهل وقت التمرين؛ ج) عدم الاهتمام بالتوقيت؛ د) التوقف عن التدريب</t>
  </si>
  <si>
    <t>أ) التخطيط للتمرين مسبقًا لضمان الاستفادة القصوى</t>
  </si>
  <si>
    <t>إدارة الوقت بشكل جيد يساعد في تحسين الكفاءة.</t>
  </si>
  <si>
    <t>أنت تشعر بأنك تتأخر عن باقي الفريق في التقدم. ماذا تفعل؟</t>
  </si>
  <si>
    <t>أ) العمل على تحسين مهاراتك والتركيز على تطورك الشخصي؛ ب) الاستسلام والتوقف عن العمل؛ ج) مقارنة نفسك بشكل سلبي مع الآخرين؛ د) التركيز على الآخرين فقط</t>
  </si>
  <si>
    <t>أ) العمل على تحسين مهاراتك والتركيز على تطورك الشخصي</t>
  </si>
  <si>
    <t>التحسين الذاتي يساهم في تقدم الفريق ككل.</t>
  </si>
  <si>
    <t>أنت في المباراة ولا تشعر بالثقة في قدراتك. ماذا تفعل؟</t>
  </si>
  <si>
    <t>أ) زيادة الثقة بنفسك من خلال التركيز على نقاط قوتك؛ ب) الاستسلام للشكوك؛ ج) التفكير في الماضي السلبي؛ د) الهروب من الموقف</t>
  </si>
  <si>
    <t>أ) زيادة الثقة بنفسك من خلال التركيز على نقاط قوتك</t>
  </si>
  <si>
    <t>الثقة بالنفس تؤدي إلى أداء أفضل في المباريات.</t>
  </si>
  <si>
    <t>أنت تشعر بأنك لا تستطيع مجاراة سرعة الخصم. ماذا تفعل؟</t>
  </si>
  <si>
    <t>أ) تحسين التوقيت والتكتيك للتعويض عن الفرق في السرعة؛ ب) الاستسلام؛ ج) تقليد خصمك؛ د) تجاهل المنافسة</t>
  </si>
  <si>
    <t>أ) تحسين التوقيت والتكتيك للتعويض عن الفرق في السرعة</t>
  </si>
  <si>
    <t>تحسين التوقيت يساعد في التغلب على الفروق في السرعة.</t>
  </si>
  <si>
    <t>أنت في فريق وفي حاجة إلى التركيز على تحسين الوعي التكتيكي. ماذا تفعل؟</t>
  </si>
  <si>
    <t>أ) التدرب على التكتيكات المختلفة مع الفريق؛ ب) تجاهل التكتيك؛ ج) التدريب فقط على القوة البدنية؛ د) عدم التفكير في التكتيك</t>
  </si>
  <si>
    <t>أ) التدرب على التكتيكات المختلفة مع الفريق</t>
  </si>
  <si>
    <t>التكتيك الجيد يعطي الفريق ميزات استراتيجية.</t>
  </si>
  <si>
    <t>أنت تشعر أنك تحت ضغط نفسي قبل المباراة. ماذا تفعل؟</t>
  </si>
  <si>
    <t>أ) التركيز على التنفس والتركيز العقلي؛ ب) الاستسلام للضغط؛ ج) تجنب اللعب تمامًا؛ د) إهمال الضغط</t>
  </si>
  <si>
    <t>أ) التركيز على التنفس والتركيز العقلي</t>
  </si>
  <si>
    <t>التقنيات النفسية تساعد في الحفاظ على الأداء تحت الضغط.</t>
  </si>
  <si>
    <t>أنت تشعر أنك بدأت تفقد لياقتك البدنية. ماذا تفعل؟</t>
  </si>
  <si>
    <t>أ) تحسين اللياقة البدنية من خلال التدريبات المناسبة؛ ب) التوقف عن التدريب؛ ج) إهمال التمرين؛ د) الاعتماد على القوة فقط</t>
  </si>
  <si>
    <t>أ) تحسين اللياقة البدنية من خلال التدريبات المناسبة</t>
  </si>
  <si>
    <t>اللياقة البدنية الجيدة تعزز الأداء على المدى الطويل.</t>
  </si>
  <si>
    <t>أنت تواجه صعوبة في قراءة أسلوب خصمك. ماذا تفعل؟</t>
  </si>
  <si>
    <t>أ) مراقبة أسلوبه بشكل دقيق وتحليل نقاط ضعفه؛ ب) الاستسلام؛ ج) التفاعل بعشوائية؛ د) إهمال مراقبته</t>
  </si>
  <si>
    <t>أ) مراقبة أسلوبه بشكل دقيق وتحليل نقاط ضعفه</t>
  </si>
  <si>
    <t>تحليل أسلوب الخصم يساعد في التصرف بطريقة فعّالة.</t>
  </si>
  <si>
    <t>أنت تواجه خصمًا قويًا جدًا في بداية المباراة. ماذا تفعل؟</t>
  </si>
  <si>
    <t>أ) الحفاظ على هدوئك والتركيز على إستراتيجيتك؛ ب) الاستسلام للضغط؛ ج) الهجوم بدون تفكير؛ د) تأجيل المباراة</t>
  </si>
  <si>
    <t>أ) الحفاظ على هدوئك والتركيز على إستراتيجيتك</t>
  </si>
  <si>
    <t>التزام الاستراتيجية يساعد في التغلب على خصم قوي.</t>
  </si>
  <si>
    <t>أنت تشعر بالتعب في منتصف التمرين. ماذا تفعل؟</t>
  </si>
  <si>
    <t>أ) أخذ استراحة قصيرة ثم العودة للتدريب؛ ب) التوقف تمامًا؛ ج) تجاهل التعب؛ د) الانسحاب من التدريب</t>
  </si>
  <si>
    <t>أ) أخذ استراحة قصيرة ثم العودة للتدريب</t>
  </si>
  <si>
    <t>التوازن بين الراحة والتمرين يساعد في تجنب الإرهاق.</t>
  </si>
  <si>
    <t>أنت تواجه صعوبة في التركيز خلال المباراة. ماذا تفعل؟</t>
  </si>
  <si>
    <t>أ) التركيز على التنفس وهدوء العقل؛ ب) التفكير في الأخطاء الماضية؛ ج) الاستسلام للأفكار السلبية؛ د) إهمال المباراة</t>
  </si>
  <si>
    <t>أ) التركيز على التنفس وهدوء العقل</t>
  </si>
  <si>
    <t>الهدوء يساعد في استعادة التركيز والأداء الجيد.</t>
  </si>
  <si>
    <t>أنت تشعر بعدم الاستعداد الكامل للمباراة. ماذا تفعل؟</t>
  </si>
  <si>
    <t>أ) التركيز على تقنياتك القوية؛ ب) إلغاء المباراة؛ ج) التحدث مع المدرب لتحسين استعدادك؛ د) عدم المشاركة</t>
  </si>
  <si>
    <t>أ) التركيز على تقنياتك القوية</t>
  </si>
  <si>
    <t>الاستفادة من نقاط قوتك يعزز ثقتك بنفسك.</t>
  </si>
  <si>
    <t>أنت تواجه خصمًا يغير استراتيجيته بسرعة. ماذا تفعل؟</t>
  </si>
  <si>
    <t>أ) التكيف بسرعة مع التغييرات وتعديل استراتيجيتك؛ ب) الاستسلام؛ ج) تجاهل التغييرات؛ د) محاولة التنبؤ بما سيفعله</t>
  </si>
  <si>
    <t>أ) التكيف بسرعة مع التغييرات وتعديل استراتيجيتك</t>
  </si>
  <si>
    <t>المرونة في الاستراتيجية تساعد في مواجهة التغييرات السريعة.</t>
  </si>
  <si>
    <t>أنت تواجه مشكلة في التنسيق مع زملائك في الفريق. ماذا تفعل؟</t>
  </si>
  <si>
    <t>أ) التواصل بشكل أفضل مع الفريق أثناء التمرين؛ ب) تجاهل المشكلة؛ ج) التركيز على مهاراتك فقط؛ د) انتقاد الزملاء علنًا</t>
  </si>
  <si>
    <t>أ) التواصل بشكل أفضل مع الفريق أثناء التمرين</t>
  </si>
  <si>
    <t>التواصل الفعّال يعزز التنسيق ويؤدي إلى نتائج أفضل.</t>
  </si>
  <si>
    <t>أنت تشعر أن زميلك في الفريق لا يقدم أقصى جهد. ماذا تفعل؟</t>
  </si>
  <si>
    <t>أ) تشجيعه وتحفيزه؛ ب) لومه أمام الفريق؛ ج) تجاهله؛ د) التوقف عن التدريب معه</t>
  </si>
  <si>
    <t>أ) تشجيعه وتحفيزه</t>
  </si>
  <si>
    <t>التحفيز يساعد في زيادة الحافز وتحقيق النجاح الجماعي.</t>
  </si>
  <si>
    <t>أنت لا تجد الراحة في بيئة التدريب الحالية. ماذا تفعل؟</t>
  </si>
  <si>
    <t>أ) التحدث مع المدرب أو المسؤول لتحسين البيئة التدريبية؛ ب) الاستسلام للمشاعر السلبية؛ ج) تغيير الفريق؛ د) تجنب التدريب</t>
  </si>
  <si>
    <t>أ) التحدث مع المدرب أو المسؤول لتحسين البيئة التدريبية</t>
  </si>
  <si>
    <t>تحسين البيئة يعزز من الأداء العام.</t>
  </si>
  <si>
    <t>أنت في منتصف المباراة وتكتشف أنك نسيّت خطة المباراة. ماذا تفعل؟</t>
  </si>
  <si>
    <t>أ) العودة إلى الأساسيات والتركيز على المهارات الأساسية؛ ب) الاستسلام للتوتر؛ ج) التفكير في الفشل؛ د) الهجوم العشوائي</t>
  </si>
  <si>
    <t>أ) العودة إلى الأساسيات والتركيز على المهارات الأساسية</t>
  </si>
  <si>
    <t>العودة للأساسيات يساعد في استعادة التركيز والفعالية.</t>
  </si>
  <si>
    <t>أنت تتعرض لضغط شديد في المباريات الهامة. ماذا تفعل؟</t>
  </si>
  <si>
    <t>أ) استخدام تقنيات التنفس العميق للحد من التوتر؛ ب) الاستسلام للضغط؛ ج) زيادة الضغوط على نفسك؛ د) إهمال المباراة</t>
  </si>
  <si>
    <t>أ) استخدام تقنيات التنفس العميق للحد من التوتر</t>
  </si>
  <si>
    <t>التنفس العميق يساعد في تقليل الضغط العقلي.</t>
  </si>
  <si>
    <t>أنت في منافسة مع خصم يستخدم أسلوبًا هجوميًا قويًا. ماذا تفعل؟</t>
  </si>
  <si>
    <t>أ) تعزيز دفاعاتك وتغيير استراتيجيتك؛ ب) الاستسلام للهجوم المستمر؛ ج) محاولة مهاجمته دون استراتيجية واضحة؛ د) الانتظار حتى يرتكب خطأ</t>
  </si>
  <si>
    <t>أ) تعزيز دفاعاتك وتغيير استراتيجيتك</t>
  </si>
  <si>
    <t>التكيف مع أسلوب الخصم يساعد في تفادي الهجمات.</t>
  </si>
  <si>
    <t>أنت غير راضٍ عن مستواك الفني في التمرين. ماذا تفعل؟</t>
  </si>
  <si>
    <t>أ) العمل على تحسين مهاراتك بالتدريب المستمر؛ ب) تجاهل مشاكلك الفنية؛ ج) الاعتماد على الحلول السريعة؛ د) التوقف عن التدريب</t>
  </si>
  <si>
    <t>أ) العمل على تحسين مهاراتك بالتدريب المستمر</t>
  </si>
  <si>
    <t>التطوير المستمر يساعد في تحسين المستوى الفني.</t>
  </si>
  <si>
    <t>أنت تواجه صعوبة في تنفيذ تقنيات معينة في المصارعة. ماذا تفعل؟</t>
  </si>
  <si>
    <t>أ) ممارسة هذه التقنيات بشكل أكبر مع المدرب؛ ب) تجاهل التقنيات الصعبة؛ ج) تجنب تنفيذ هذه التقنيات في المباريات؛ د) الاعتماد على تقنيات أخرى</t>
  </si>
  <si>
    <t>أ) ممارسة هذه التقنيات بشكل أكبر مع المدرب</t>
  </si>
  <si>
    <t>الممارسة المتكررة تقوي المهارات وتزيد من الكفاءة.</t>
  </si>
  <si>
    <t>أنت في وسط المباراة وتشعر بالإرهاق. ماذا تفعل؟</t>
  </si>
  <si>
    <t>أ) استخدام تقنيات التحفيز الذاتي لتجاوز التعب؛ ب) الاستسلام للإرهاق؛ ج) التوقف عن اللعب؛ د) الاستمرار بدون استراتيجية</t>
  </si>
  <si>
    <t>أ) استخدام تقنيات التحفيز الذاتي لتجاوز التعب</t>
  </si>
  <si>
    <t>التحفيز الذاتي يساعد في استعادة الطاقة والتركيز.</t>
  </si>
  <si>
    <t>أنت لا تشعر بالراحة بسبب التوتر قبل المنافسة. ماذا تفعل؟</t>
  </si>
  <si>
    <t>أ) القيام بالتمارين التحضيرية لتقليل التوتر؛ ب) تجاهل مشاعر التوتر؛ ج) الاستسلام للتوتر؛ د) التفكير في الفشل</t>
  </si>
  <si>
    <t>أ) القيام بالتمارين التحضيرية لتقليل التوتر</t>
  </si>
  <si>
    <t>التحضير الذهني يساعد في تقليل القلق والتوتر قبل المباريات.</t>
  </si>
  <si>
    <t>أنت تواجه خصمًا يتفوق عليك في القوة البدنية. ماذا تفعل؟</t>
  </si>
  <si>
    <t>أ) تعديل استراتيجيتك لتركز على تقنيات ومهارات أخرى؛ ب) الاستسلام للقوة البدنية؛ ج) محاولة تقليده؛ د) تجنب المواجهة</t>
  </si>
  <si>
    <t>أ) تعديل استراتيجيتك لتركز على تقنيات ومهارات أخرى</t>
  </si>
  <si>
    <t>التكيف مع أسلوب الخصم يساعد في تجاوز التفوق البدني.</t>
  </si>
  <si>
    <t>أنت تشعر أن الأداء البدني للفريق ضعيف. ماذا تفعل؟</t>
  </si>
  <si>
    <t>أ) العمل مع الفريق على تحسين اللياقة البدنية؛ ب) تجاهل الوضع البدني؛ ج) التركيز على الهجوم فقط؛ د) إلغاء التدريب</t>
  </si>
  <si>
    <t>أ) العمل مع الفريق على تحسين اللياقة البدنية</t>
  </si>
  <si>
    <t>التحسين البدني يعزز من الأداء الجماعي.</t>
  </si>
  <si>
    <t>أنت لا تشعر بالحافز للتمرين اليوم. ماذا تفعل؟</t>
  </si>
  <si>
    <t>أ) تحديد أهداف صغيرة لتحقيقها في التمرين؛ ب) التوقف عن التدريب؛ ج) إلغاء التمرين تمامًا؛ د) تجاهل الحافز</t>
  </si>
  <si>
    <t>أ) تحديد أهداف صغيرة لتحقيقها في التمرين</t>
  </si>
  <si>
    <t>الأهداف الصغيرة تساعد في زيادة التحفيز والاستمرار.</t>
  </si>
  <si>
    <t>أنت تشعر أنك تفتقر إلى الثقة أثناء المنافسة. ماذا تفعل؟</t>
  </si>
  <si>
    <t>أ) التركيز على مهاراتك وتقنياتك لتعزيز الثقة؛ ب) الاستسلام للشعور بعدم الثقة؛ ج) تفكير سلبي في القدرات؛ د) الانسحاب من المباراة</t>
  </si>
  <si>
    <t>أ) التركيز على مهاراتك وتقنياتك لتعزيز الثقة</t>
  </si>
  <si>
    <t>الثقة بالنفس تساعد في الأداء الأفضل في المباريات.</t>
  </si>
  <si>
    <t>أنت تواجه مشكلة في الحفاظ على تركيزك أثناء التدريب. ماذا تفعل؟</t>
  </si>
  <si>
    <t>أ) التحدث مع المدرب عن طرق لتحسين التركيز؛ ب) تجاهل المشكلة؛ ج) قضاء الوقت في التفكير في أمور غير متعلقة بالتدريب؛ د) الاستسلام،</t>
  </si>
  <si>
    <t>أ) التحدث مع المدرب عن طرق لتحسين التركيز</t>
  </si>
  <si>
    <t>التواصل مع المدرب يساعد في إيجاد حلول لتحسين الأداء.</t>
  </si>
  <si>
    <t>أنت تجد صعوبة في التكيف مع تغيرات المنافسة. ماذا تفعل؟</t>
  </si>
  <si>
    <t>أ) تعلم كيفية التكيف مع التغيرات بسرعة خلال التدريب؛ ب) الاستسلام للتغيير؛ ج) تجاهل التغيرات؛ د) الهجوم العشوائي</t>
  </si>
  <si>
    <t>أ) تعلم كيفية التكيف مع التغيرات بسرعة خلال التدريب</t>
  </si>
  <si>
    <t>التكيف مع التغيرات يساعد في الحفاظ على الأداء الجيد.</t>
  </si>
  <si>
    <t>أنت تشعر بأن خصمك يحاول استغلال نقاط ضعفك. ماذا تفعل؟</t>
  </si>
  <si>
    <t>أ) تعزيز دفاعاتك ومراقبة تحركاته عن كثب؛ ب) الاستسلام لضغط الخصم؛ ج) الهجوم بكل قوة؛ د) تجاهل تحركات الخصم</t>
  </si>
  <si>
    <t>أ) تعزيز دفاعاتك ومراقبة تحركاته عن كثب</t>
  </si>
  <si>
    <t>مراقبة الخصم يساعد في تجنب استغلال نقاط الضعف.</t>
  </si>
  <si>
    <t>أنت تلاحظ أن الفريق يعاني من قلة التنسيق. ماذا تفعل؟</t>
  </si>
  <si>
    <t>أ) توجيه اللاعبين بشكل مستمر والعمل على تحسين التنسيق؛ ب) تجاهل التنسيق والاهتمام بالأداء الفردي؛ ج) التوقف عن التدريب؛ د) انتظار تدخل المدرب</t>
  </si>
  <si>
    <t>أ) توجيه اللاعبين بشكل مستمر والعمل على تحسين التنسيق</t>
  </si>
  <si>
    <t>تحسين التنسيق الجماعي يعزز أداء الفريق.</t>
  </si>
  <si>
    <t>أنت تشعر بالإحباط بعد أداء سيء في المباراة. ماذا تفعل؟</t>
  </si>
  <si>
    <t>أ) تحليل أدائك واكتشاف الأخطاء لتحسينها؛ ب) الانسحاب من الفريق؛ ج) الانتقاد الذاتي المستمر؛ د) تجاهل الأخطاء تمامًا</t>
  </si>
  <si>
    <t>أ) تحليل أدائك واكتشاف الأخطاء لتحسينها</t>
  </si>
  <si>
    <t>التحليل الذاتي يساعد في تعلم الدروس وتحسين الأداء.</t>
  </si>
  <si>
    <t>أنت تلاحظ أن خصمك يستخدم تقنيات غير رياضية. ماذا تفعل؟</t>
  </si>
  <si>
    <t>أ) التمسك بالروح الرياضية والتفوق عليه بالأساليب المشروعة؛ ب) استخدام تقنيات مشابهة له؛ ج) التوقف عن اللعب؛ د) طلب التدخل من الحكم</t>
  </si>
  <si>
    <t>أ) التمسك بالروح الرياضية والتفوق عليه بالأساليب المشروعة</t>
  </si>
  <si>
    <t>الروح الرياضية أساسية للحفاظ على النزاهة في المنافسة.</t>
  </si>
  <si>
    <t>أنت في مباراة حاسمة والشعور بالتوتر يزداد. ماذا تفعل؟</t>
  </si>
  <si>
    <t>أ) الاستمرار في التركيز على مهمتك والتغلب على التوتر؛ ب) الاستسلام للتوتر؛ ج) زيادة الضغط على نفسك؛ د) التفكير في الهزيمة</t>
  </si>
  <si>
    <t>أ) الاستمرار في التركيز على مهمتك والتغلب على التوتر</t>
  </si>
  <si>
    <t>التغلب على التوتر يعزز من أدائك في المباريات الهامة.</t>
  </si>
  <si>
    <t>أنت في وضعية صعبة داخل المباراة. ماذا تفعل؟</t>
  </si>
  <si>
    <t>أ) الحفاظ على هدوئك والتفكير في أفضل خيار متاح؛ ب) الهجوم العشوائي؛ ج) الاستسلام لليأس؛ د) انتظار أن يقوم الفريق بحل المشكلة</t>
  </si>
  <si>
    <t>أ) الحفاظ على هدوئك والتفكير في أفضل خيار متاح</t>
  </si>
  <si>
    <t>الهدوء يساعد في اتخاذ القرارات الصائبة.</t>
  </si>
  <si>
    <t>أنت تشعر بأن الفريق يعتمد بشكل زائد على شخص واحد. ماذا تفعل؟</t>
  </si>
  <si>
    <t>أ) تحفيز الفريق للعمل معًا وتعزيز التعاون؛ ب) تجاهل الوضع؛ ج) الاعتماد على الشخص الآخر أيضًا؛ د) التحدث بسوء عن اللاعب</t>
  </si>
  <si>
    <t>أ) تحفيز الفريق للعمل معًا وتعزيز التعاون</t>
  </si>
  <si>
    <t>التعاون الجماعي يعزز الأداء الجماعي.</t>
  </si>
  <si>
    <t>أنت تواجه خصمًا يتفوق عليك في الخبرة. ماذا تفعل؟</t>
  </si>
  <si>
    <t>أ) التعلم من أسلوبه واستخدام مهاراتك الخاصة في مواجهة تحدياته؛ ب) الاستسلام له؛ ج) تقليده في جميع تحركاته؛ د) الاعتماد على القوة البدنية فقط</t>
  </si>
  <si>
    <t>أ) التعلم من أسلوبه واستخدام مهاراتك الخاصة في مواجهة تحدياته</t>
  </si>
  <si>
    <t>التعلم من الخبرة يساهم في تحسين الأداء.</t>
  </si>
  <si>
    <t>أنت غير راضٍ عن خطة التدريب الحالية. ماذا تفعل؟</t>
  </si>
  <si>
    <t>أ) مناقشة المدرب لتحسين الخطة وتوجيه الجهود بشكل أفضل؛ ب) تجاهل الوضع والامتناع عن التدريب؛ ج) اتخاذ القرار بالانفراد بالتمرين؛ د) المغادرة</t>
  </si>
  <si>
    <t>أ) مناقشة المدرب لتحسين الخطة وتوجيه الجهود بشكل أفضل</t>
  </si>
  <si>
    <t>التعاون مع المدرب يساهم في تحسين الخطة التدريبية.</t>
  </si>
  <si>
    <t>أنت تجد صعوبة في العمل مع المدرب الجديد. ماذا تفعل؟</t>
  </si>
  <si>
    <t>أ) محاولة التكيف مع أسلوبه والعمل على تعزيز العلاقة؛ ب) الانتقاد المستمر لأسلوبه؛ ج) تجاهله تمامًا؛ د) الابتعاد عن التمرين معه</t>
  </si>
  <si>
    <t>أ) محاولة التكيف مع أسلوبه والعمل على تعزيز العلاقة</t>
  </si>
  <si>
    <t>التعاون مع المدرب يساعد في تحسين الأداء.</t>
  </si>
  <si>
    <t>أنت في موقف حاسم في المباراة وتحتاج للثقة. ماذا تفعل؟</t>
  </si>
  <si>
    <t>أ) تذكير نفسك بنقاط قوتك وإمكاناتك؛ ب) التركيز على الأخطاء السابقة؛ ج) الشعور بالخوف من الفشل؛ د) الاستسلام للضغط</t>
  </si>
  <si>
    <t>أ) تذكير نفسك بنقاط قوتك وإمكاناتك</t>
  </si>
  <si>
    <t>الثقة بالنفس تساهم في اتخاذ قرارات أفضل تحت الضغط.</t>
  </si>
  <si>
    <t>أنت في منافسة قوية وتحتاج إلى تحديث استراتيجيتك. ماذا تفعل؟</t>
  </si>
  <si>
    <t>أ) تقييم الوضع وتعديل الاستراتيجية بناءً على المعطيات الحالية؛ ب) التمسك بالاستراتيجية الأصلية دون تغيير؛ ج) التوقف عن المحاولة؛ د) الهجوم المباشر دون تفكير</t>
  </si>
  <si>
    <t>أ) تقييم الوضع وتعديل الاستراتيجية بناءً على المعطيات الحالية</t>
  </si>
  <si>
    <t>التكيف مع المواقف الجديدة يساعد في تحسين الأداء.</t>
  </si>
  <si>
    <t>أنت تواجه منافسًا قويًا جدًا. كيف تواجه التحدي؟</t>
  </si>
  <si>
    <t>أ) الاستمرار في العمل على تحسين تقنياتك وأسلوبك الشخصي؛ ب) الاستسلام لتميز خصمك؛ ج) تقليده في كل خطوة؛ د) عدم المشاركة في المباراة</t>
  </si>
  <si>
    <t>أ) الاستمرار في العمل على تحسين تقنياتك وأسلوبك الشخصي</t>
  </si>
  <si>
    <t>التحسين المستمر يساعد في مواجهة التحديات.</t>
  </si>
  <si>
    <t>أنت في تدريب طويل وتحتاج للراحة. ماذا تفعل؟</t>
  </si>
  <si>
    <t>أ) أخذ استراحة قصيرة ثم العودة للتدريب؛ ب) التوقف عن التدريب تمامًا؛ ج) إلغاء التدريب؛ د) الاستمرار في التدريب رغم التعب</t>
  </si>
  <si>
    <t>الاستراحة القصيرة تساعد في استعادة الطاقة وتحسين الأداء.</t>
  </si>
  <si>
    <t>Serial number</t>
  </si>
  <si>
    <t>أثناء سباق الخيل في السودان، حصانك يبطئ بشكل مفاجئ. ماذا تفعل؟</t>
  </si>
  <si>
    <t>أ) تحفيز الحصان؛ ب) تغيير الاتجاه؛ ج) التوقف؛ د) اتباع الحصان الآخر</t>
  </si>
  <si>
    <t>أ) تحفيز الحصان</t>
  </si>
  <si>
    <t>التحفيز يمكن أن يساعد الحصان على استعادة سرعته.</t>
  </si>
  <si>
    <t>في سباق خيل رئيسي، تتنافس مع فرسان آخرين. كيف تحافظ على تركيزك؟</t>
  </si>
  <si>
    <t>أ) مراقبة الحصان الآخر؛ ب) التركيز على المسار؛ ج) القلق بشأن المنافسة؛ د) تغيير السرعة باستمرار</t>
  </si>
  <si>
    <t>ب) التركيز على المسار</t>
  </si>
  <si>
    <t>الحفاظ على تركيزك في المسار يضمن أداء أفضل.</t>
  </si>
  <si>
    <t>أثناء التدريب، يواجه حصانك صعوبة في القفز على الحواجز. ماذا تفعل؟</t>
  </si>
  <si>
    <t>أ) تدريب أكثر؛ ب) تغيير المدرب؛ ج) تجاهل المشكلة؛ د) طلب مساعدة من مدرب آخر</t>
  </si>
  <si>
    <t>التدريب الإضافي يساعد في تحسين أداء الحصان.</t>
  </si>
  <si>
    <t>أثناء السباق، تلاحظ أن الحصان بدأ يتعب. ماذا تفعل؟</t>
  </si>
  <si>
    <t>أ) زيادة السرعة؛ ب) محاولة الراحة أثناء السباق؛ ج) الحفاظ على السرعة الحالية؛ د) تشجيع الحصان للمزيد من الدفع</t>
  </si>
  <si>
    <t>د) تشجيع الحصان للمزيد من الدفع</t>
  </si>
  <si>
    <t>تحفيز الحصان عندما يتعب قد يساعده على تقديم أفضل أداء.</t>
  </si>
  <si>
    <t>قبل السباق، يشعر حصانك بالتوتر. كيف تجهزه؟</t>
  </si>
  <si>
    <t>أ) تحفيزه بأطعمة مفضلة؛ ب) تدريبات التنفس؛ ج) تركه للراحة التامة؛ د) إعطاؤه دواء للاسترخاء</t>
  </si>
  <si>
    <t>ب) تدريبات التنفس</t>
  </si>
  <si>
    <t>التنفس الجيد يساعد على تهدئة الحصان وزيادة تركيزه.</t>
  </si>
  <si>
    <t>خلال سباق، يتعرض حصانك للتزاحم. ماذا تفعل؟</t>
  </si>
  <si>
    <t>أ) محاولة تجاوز المنافسين؛ ب) البقاء في الخلف؛ ج) التراجع قليلاً للحصول على مساحة؛ د) التوقف تمامًا</t>
  </si>
  <si>
    <t>ج) التراجع قليلاً للحصول على مساحة</t>
  </si>
  <si>
    <t>تجنب التزاحم يوفر لحصانك الفرصة لتقديم أداء أفضل.</t>
  </si>
  <si>
    <t>إذا كان السباق يتضمن منعطفات حادة، ماذا يجب أن تفعل؟</t>
  </si>
  <si>
    <t>أ) تسريع عند المنعطفات؛ ب) التباطؤ قليلًا عند المنعطفات؛ ج) السير مباشرة دون تغيير في السرعة؛ د) تقليل المسافة عند المنعطفات</t>
  </si>
  <si>
    <t>ب) التباطؤ قليلًا عند المنعطفات</t>
  </si>
  <si>
    <t>تقليل السرعة يساعد في اجتياز المنعطفات بأمان وفعالية.</t>
  </si>
  <si>
    <t>أثناء السباق، يصعب عليك ملاحظة الحصان الذي أمامك. ماذا تفعل؟</t>
  </si>
  <si>
    <t>أ) التركيز على حصانك فقط؛ ب) محاولة التجاوز؛ ج) مراقبة الفرص القادمة للتجاوز؛ د) التوقف مؤقتًا</t>
  </si>
  <si>
    <t>ج) مراقبة الفرص القادمة للتجاوز</t>
  </si>
  <si>
    <t>التركيز على لحظات التجاوز المناسبة يعزز فرصك في الفوز.</t>
  </si>
  <si>
    <t>أثناء التدريب، حصانك يصاب بإجهاد عضلي. ماذا تفعل؟</t>
  </si>
  <si>
    <t>أ) الراحة التامة؛ ب) العلاج بالأدوية؛ ج) إيقاف التدريب مؤقتًا؛ د) متابعة التدريب بشكل طبيعي</t>
  </si>
  <si>
    <t>ج) إيقاف التدريب مؤقتًا</t>
  </si>
  <si>
    <t>إعطاء الحصان الراحة بعد الإجهاد العضلي يساعد في تجنب الإصابات.</t>
  </si>
  <si>
    <t>إذا كنت تتسابق في سباق طويل، ما الذي يجب أن تركز عليه؟</t>
  </si>
  <si>
    <t>أ) سرعة الانطلاق؛ ب) توزيع الطاقة بالتساوي خلال السباق؛ ج) الحواجز فقط؛ د) تجاهل المنافسين</t>
  </si>
  <si>
    <t>ب) توزيع الطاقة بالتساوي خلال السباق</t>
  </si>
  <si>
    <t>التحكم في الطاقة يمنع الإرهاق ويضمن أقصى أداء.</t>
  </si>
  <si>
    <t>أثناء السباق، يواجه حصانك صعوبة في التنقل على الأرض الزلقة. ماذا تفعل؟</t>
  </si>
  <si>
    <t>أ) زيادة السرعة؛ ب) التركيز على التوازن؛ ج) تخفيف الضغط على الحصان؛ د) التوقف نهائيًا</t>
  </si>
  <si>
    <t>ب) التركيز على التوازن</t>
  </si>
  <si>
    <t>التوازن أفضل من السرعة على الأراضي الزلقة.</t>
  </si>
  <si>
    <t>إذا كان منافسك يتقدم كثيرًا في السباق، ماذا يجب أن تفعل؟</t>
  </si>
  <si>
    <t>أ) البقاء على المسار المحدد؛ ب) محاولة تجاوز المنافس بسرعة؛ ج) مراقبة الحصان وتقليل السرعة؛ د) البقاء هادئًا وعدم الهلع</t>
  </si>
  <si>
    <t>ب) محاولة تجاوز المنافس بسرعة</t>
  </si>
  <si>
    <t>السباقات تحتاج إلى استراتيجيات لتجاوز المنافسين في الوقت المناسب.</t>
  </si>
  <si>
    <t>في السباق، يتغير الطقس فجأة إلى عاصف. ماذا تفعل؟</t>
  </si>
  <si>
    <t>أ) زيادة السرعة؛ ب) محاولة البقاء في المسار؛ ج) التوقف عن السباق؛ د) التقليل من السرعة للحفاظ على التركيز</t>
  </si>
  <si>
    <t>د) التقليل من السرعة للحفاظ على التركيز</t>
  </si>
  <si>
    <t>الطقس العاصف يتطلب تقليل السرعة للتأكد من السيطرة.</t>
  </si>
  <si>
    <t>عند بداية السباق، حصانك يتأخر عن بقية الفرسان. ماذا تفعل؟</t>
  </si>
  <si>
    <t>أ) تغيير الاتجاه؛ ب) تحسين سرعته بشكل تدريجي؛ ج) التوقف؛ د) الذهاب لأقصى سرعة فورًا</t>
  </si>
  <si>
    <t>ب) تحسين سرعته بشكل تدريجي</t>
  </si>
  <si>
    <t>التحسين التدريجي يقلل من إرهاق الحصان ويزيد من فرصه في اللحاق.</t>
  </si>
  <si>
    <t>إذا كنت في سباق مع فرسان آخرين في ظروف صعبة، ماذا تفعل؟</t>
  </si>
  <si>
    <t>أ) البقاء في مؤخرة الحلبة؛ ب) تسريع إلى المقدمة بسرعة؛ ج) الموازنة بين السرعة والتحكم؛ د) استخدام استراتيجية الدفاع</t>
  </si>
  <si>
    <t>ج) الموازنة بين السرعة والتحكم</t>
  </si>
  <si>
    <t>موازنة السرعة مع التحكم تحسن من أداء الحصان في السباق.</t>
  </si>
  <si>
    <t>أثناء السباق، يمر حصانك بجانب جمهور صاخب. كيف يتعامل مع هذا؟</t>
  </si>
  <si>
    <t>أ) تحفيزه بشكل أكبر؛ ب) محاولة تهدئته؛ ج) الاستمرار في السباق دون تغيير؛ د) التوقف للراحة</t>
  </si>
  <si>
    <t>ب) محاولة تهدئته</t>
  </si>
  <si>
    <t>الضوضاء قد تؤثر على تركيز الحصان، لذا التهدئة مهمة.</t>
  </si>
  <si>
    <t>عند اقترابك من نهاية السباق، حصانك يبدو أنه يعاني من التعب. ماذا تفعل؟</t>
  </si>
  <si>
    <t>أ) تحفيزه للمزيد من الدفع؛ ب) تقليل السرعة بشكل كامل؛ ج) الاستمرار بنفس السرعة؛ د) التوقف وتجنب المخاطر</t>
  </si>
  <si>
    <t>أ) تحفيزه للمزيد من الدفع</t>
  </si>
  <si>
    <t>التحفيز في اللحظات الأخيرة قد يؤدي إلى تحسين الأداء.</t>
  </si>
  <si>
    <t>أثناء تدريب الحصان، تجد أن الحصان غير متحمس للمشاركة. ماذا تفعل؟</t>
  </si>
  <si>
    <t>أ) زيادة التمارين البدنية؛ ب) تغيير أسلوب التدريب؛ ج) الراحة التامة؛ د) التحفيز بالمكافآت</t>
  </si>
  <si>
    <t>ب) تغيير أسلوب التدريب</t>
  </si>
  <si>
    <t>تغيير الأسلوب قد يثير اهتمام الحصان ويزيد من نشاطه.</t>
  </si>
  <si>
    <t>إذا كانت الحلبة بها عوائق طبيعية مثل الحفر، ماذا تفعل؟</t>
  </si>
  <si>
    <t>أ) محاولة القفز فوقها؛ ب) التركيز على الحفاظ على التوازن؛ ج) تجنب العوائق بأي شكل؛ د) القفز بأقصى سرعة</t>
  </si>
  <si>
    <t>ب) التركيز على الحفاظ على التوازن</t>
  </si>
  <si>
    <t>التوازن أساسي عند التعامل مع العوائق الطبيعية.</t>
  </si>
  <si>
    <t>أثناء السباق، تعرضت للحجب من حصان آخر. ماذا تفعل؟</t>
  </si>
  <si>
    <t>أ) الاستمرار في السباق؛ ب) التحلي بالصبر والانتظار للفرصة المناسبة؛ ج) المحاولة لاجتيازه فورًا؛ د) إيقاف السباق</t>
  </si>
  <si>
    <t>ب) التحلي بالصبر والانتظار للفرصة المناسبة</t>
  </si>
  <si>
    <t>انتظار اللحظة المثالية للتجاوز هو استراتيجية فعالة.</t>
  </si>
  <si>
    <t>إذا تم تغيير مسار السباق فجأة، كيف تتصرف؟</t>
  </si>
  <si>
    <t>أ) تغيير السرعة للتكيف مع المسار الجديد؛ ب) التوقف تمامًا للراحة؛ ج) البقاء على السرعة الحالية؛ د) اتباع الحصان الآخر دون تفكير</t>
  </si>
  <si>
    <t>أ) تغيير السرعة للتكيف مع المسار الجديد</t>
  </si>
  <si>
    <t>القدرة على التكيف مع التغييرات مهمة لضمان الأداء الجيد.</t>
  </si>
  <si>
    <t>قبل السباق، حصانك يبدو في حالة بدنية ممتازة، ماذا يجب أن تفعل؟</t>
  </si>
  <si>
    <t>أ) زيادة الضغط عليه؛ ب) الحفاظ على حالته البدنية؛ ج) إعطاؤه راحة إضافية؛ د) تغييره لأسلوب تدريب جديد</t>
  </si>
  <si>
    <t>ب) الحفاظ على حالته البدنية</t>
  </si>
  <si>
    <t>إذا كان الحصان في حالة جيدة، يجب الحفاظ على هذه الحالة بدلاً من تغييرها.</t>
  </si>
  <si>
    <t>إذا كنت تراقب الخيل المنافس في السباق، ماذا يجب أن تركز عليه؟</t>
  </si>
  <si>
    <t>أ) سرعة الانطلاق فقط؛ ب) تغيرات في الاتجاه؛ ج) أسلوب الركوب والتحكم؛ د) استراتيجية منافسك</t>
  </si>
  <si>
    <t>ج) أسلوب الركوب والتحكم</t>
  </si>
  <si>
    <t>مراقبة أسلوب المنافس يساعدك على اتخاذ قرارات أكثر فاعلية في السباق.</t>
  </si>
  <si>
    <t>إذا كان السباق في ظروف جوية شديدة الحرارة، ماذا تفعل؟</t>
  </si>
  <si>
    <t>أ) تبريد الحصان بعد كل جولة؛ ب) زيادة السرعة لتقليل وقت السباق؛ ج) الراحة التامة؛ د) تجنب المشاركة في السباق</t>
  </si>
  <si>
    <t>أ) تبريد الحصان بعد كل جولة</t>
  </si>
  <si>
    <t>التبريد يمنع الإرهاق ويقلل من مخاطر الإصابة في الطقس الحار.</t>
  </si>
  <si>
    <t>إذا شعرت أن حصانك يفتقد التركيز في السباق، ماذا تفعل؟</t>
  </si>
  <si>
    <t>أ) زيادة التحفيز؛ ب) تقليل السرعة؛ ج) البقاء على نفس الوتيرة؛ د) التحلي بالصبر</t>
  </si>
  <si>
    <t>أ) زيادة التحفيز</t>
  </si>
  <si>
    <t>زيادة التحفيز قد تساعد في تحسين تركيز الحصان.</t>
  </si>
  <si>
    <t>إذا كنت في السباق ومنافسك يقترب منك بسرعة، ماذا تفعل؟</t>
  </si>
  <si>
    <t>أ) زيادة السرعة؛ ب) تغيير الاتجاه؛ ج) التقليل من السرعة؛ د) محاولة البقاء على نفس المسار</t>
  </si>
  <si>
    <t>زيادة السرعة تضمن الحفاظ على المسافة بينك وبين المنافس.</t>
  </si>
  <si>
    <t>أثناء السباق، الحصان غير مستجيب للمساعدة. ماذا تفعل؟</t>
  </si>
  <si>
    <t>أ) تحفيزه بشكل أكبر؛ ب) متابعة السباق دون تغيير؛ ج) محاولة التوقف للتحقق من حالته؛ د) طلب المساعدة الفورية</t>
  </si>
  <si>
    <t>ج) محاولة التوقف للتحقق من حالته</t>
  </si>
  <si>
    <t>التحقق من حالة الحصان قد يكون ضروريًا لضمان سلامته.</t>
  </si>
  <si>
    <t>إذا كنت في سباق طويل جدًا، ماذا يجب أن تتذكر؟</t>
  </si>
  <si>
    <t>أ) سرعة البداية؛ ب) الحفاظ على وتيرة متوازنة طوال السباق؛ ج) التركيز على الحواجز فقط؛ د) النظر في المنافسين فقط</t>
  </si>
  <si>
    <t>ب) الحفاظ على وتيرة متوازنة طوال السباق</t>
  </si>
  <si>
    <t>التحكم في الوتيرة يعزز من قدرتك على إنهاء السباق بنجاح.</t>
  </si>
  <si>
    <t>إذا كان السباق يتضمن عقبات غير مرئية، ماذا تفعل؟</t>
  </si>
  <si>
    <t>أ) التحلي بالحذر واليقظة؛ ب) زيادة السرعة لتجاوزها سريعًا؛ ج) التوقف لتجنب الإصابات؛ د) إيقاف السباق فورًا</t>
  </si>
  <si>
    <t>أ) التحلي بالحذر واليقظة</t>
  </si>
  <si>
    <t>البقاء حذرًا يساعد في تجنب العقبات غير المتوقعة.</t>
  </si>
  <si>
    <t>إذا كانت الحلبة رطبة بسبب المطر، ماذا يجب أن تفعله؟</t>
  </si>
  <si>
    <t>أ) السير على مهل؛ ب) التأكد من التحكم الجيد؛ ج) التركيز على السرعة القصوى؛ د) تجنب المشاركة</t>
  </si>
  <si>
    <t>ب) التأكد من التحكم الجيد</t>
  </si>
  <si>
    <t>التحكم الجيد أمر أساسي على الأرض الرطبة لضمان الأداء الآمن.</t>
  </si>
  <si>
    <t>أثناء التدريب، حصانك يبدو غير قادر على متابعة التعليمات. ماذا تفعل؟</t>
  </si>
  <si>
    <t>أ) تغيير أسلوب التدريب؛ ب) تجاهل المشكلة؛ ج) معاقبة الحصان؛ د) طلب مساعدة خبير</t>
  </si>
  <si>
    <t>أ) تغيير أسلوب التدريب</t>
  </si>
  <si>
    <t>تغيير الأسلوب قد يساعد الحصان على الفهم والتجاوب بشكل أفضل.</t>
  </si>
  <si>
    <t>خلال السباق، تتفاجأ بعقبة لم تكن موجودة في التدريبات. كيف تتعامل معها؟</t>
  </si>
  <si>
    <t>أ) القفز فوقها بسرعة؛ ب) التحلي بالهدوء والمرور بحذر؛ ج) التوقف تمامًا؛ د) طلب المساعدة</t>
  </si>
  <si>
    <t>ب) التحلي بالهدوء والمرور بحذر</t>
  </si>
  <si>
    <t>الهدوء يساعدك على اتخاذ قرار مناسب للتغلب على العقبة.</t>
  </si>
  <si>
    <t>إذا تأخر السباق عن موعده بشكل كبير، كيف تحافظ على جاهزية الحصان؟</t>
  </si>
  <si>
    <t>أ) إبقاؤه مسترخياً؛ ب) استمراره في الركض الخفيف؛ ج) تجاهل الوضع؛ د) إعطاؤه أطعمة إضافية</t>
  </si>
  <si>
    <t>ب) استمراره في الركض الخفيف</t>
  </si>
  <si>
    <t>الركض الخفيف يمنع الحصان من فقدان استعداده البدني.</t>
  </si>
  <si>
    <t>أثناء السباق، تجد أن المنافسين يحاصرونك في المنتصف. ماذا تفعل؟</t>
  </si>
  <si>
    <t>أ) التباطؤ للحصول على مساحة؛ ب) محاولة اختراق الحصار؛ ج) البقاء في موقعك؛ د) التوقف تمامًا</t>
  </si>
  <si>
    <t>أ) التباطؤ للحصول على مساحة</t>
  </si>
  <si>
    <t>التراجع قليلاً يمكن أن يمنحك مجالاً للتجاوز لاحقاً.</t>
  </si>
  <si>
    <t>إذا انزلق الحصان على الأرض المبتلة أثناء السباق، ما هو رد فعلك؟</t>
  </si>
  <si>
    <t>أ) تحفيزه للوقوف سريعًا؛ ب) التوقف تمامًا؛ ج) الاستمرار وكأن شيئًا لم يحدث؛ د) طلب المساعدة الفورية</t>
  </si>
  <si>
    <t>أ) تحفيزه للوقوف سريعًا</t>
  </si>
  <si>
    <t>تشجيع الحصان على الوقوف بسرعة يساهم في استكمال السباق.</t>
  </si>
  <si>
    <t>خلال السباق، تفقد السيطرة على الحصان. ماذا تفعل؟</t>
  </si>
  <si>
    <t>أ) محاولة تهدئته؛ ب) القفز من على ظهره؛ ج) الضغط عليه للاستمرار؛ د) إيقاف السباق</t>
  </si>
  <si>
    <t>أ) محاولة تهدئته</t>
  </si>
  <si>
    <t>تهدئة الحصان يعيد السيطرة ويقلل من المخاطر.</t>
  </si>
  <si>
    <t>إذا كان حصانك يرفض القفز أثناء التدريب، كيف تتصرف؟</t>
  </si>
  <si>
    <t>أ) إجباره على القفز؛ ب) العودة لتدريبات القفز الأساسية؛ ج) تجاهل المشكلة؛ د) استبدال الحصان</t>
  </si>
  <si>
    <t>ب) العودة لتدريبات القفز الأساسية</t>
  </si>
  <si>
    <t>العمل على الأساسيات يساعد في تحسين أداء الحصان.</t>
  </si>
  <si>
    <t>أثناء السباق، تتلقى تحذيراً بشأن أسلوب الركوب الخاص بك. كيف ترد؟</t>
  </si>
  <si>
    <t>أ) تجاهل التحذير؛ ب) تعديل أسلوبك فوراً؛ ج) مناقشة الحكام أثناء السباق؛ د) الانسحاب</t>
  </si>
  <si>
    <t>ب) تعديل أسلوبك فوراً</t>
  </si>
  <si>
    <t>التكيف مع الملاحظات يزيد من فرصك في النجاح.</t>
  </si>
  <si>
    <t>إذا تعرض الحصان للإجهاد الحراري أثناء السباق، ماذا تفعل؟</t>
  </si>
  <si>
    <t>أ) التوقف وتقديم الإسعافات؛ ب) إجباره على الاستمرار؛ ج) تقليل سرعته تدريجياً؛ د) تجاهل الإجهاد</t>
  </si>
  <si>
    <t>أ) التوقف وتقديم الإسعافات</t>
  </si>
  <si>
    <t>سلامة الحصان يجب أن تكون الأولوية.</t>
  </si>
  <si>
    <t>في سباق سريع، تجد أن حصانك متأخر في السرعة. ماذا تفعل؟</t>
  </si>
  <si>
    <t>أ) تحفيزه لزيادة السرعة؛ ب) تقليل السرعة أكثر؛ ج) استبداله بحصان آخر؛ د) التوقف</t>
  </si>
  <si>
    <t>أ) تحفيزه لزيادة السرعة</t>
  </si>
  <si>
    <t>تشجيع الحصان يمكن أن يحفزه لتحسين الأداء.</t>
  </si>
  <si>
    <t>قبل بداية السباق، تكتشف أن تجهيزات الحصان غير مناسبة. ماذا تفعل؟</t>
  </si>
  <si>
    <t>أ) تعديل التجهيزات فوراً؛ ب) تجاهل المشكلة؛ ج) الإبلاغ عن الأمر للمنظمين؛ د) الانسحاب من السباق</t>
  </si>
  <si>
    <t>أ) تعديل التجهيزات فوراً</t>
  </si>
  <si>
    <t>التجهيزات المناسبة أساسية لضمان الأداء الجيد للحصان.</t>
  </si>
  <si>
    <t>خلال التدريب، يظهر الحصان علامات الخوف من المياه. ماذا تفعل؟</t>
  </si>
  <si>
    <t>أ) تعريضه للمياه تدريجياً؛ ب) إجباره على المواجهة فوراً؛ ج) تغيير الحلبة؛ د) تجاهل المشكلة</t>
  </si>
  <si>
    <t>أ) تعريضه للمياه تدريجياً</t>
  </si>
  <si>
    <t>التدريب التدريجي يساعد الحصان على التغلب على خوفه.</t>
  </si>
  <si>
    <t>إذا شعرت بأن المدرب لا يقدم الدعم الكافي، ماذا تفعل؟</t>
  </si>
  <si>
    <t>أ) طلب مدرب آخر؛ ب) العمل بمفردك؛ ج) مناقشة الأمر معه؛ د) تجاهل المشكلة</t>
  </si>
  <si>
    <t>ج) مناقشة الأمر معه</t>
  </si>
  <si>
    <t>التواصل مع المدرب يمكن أن يؤدي إلى تحسين التدريب.</t>
  </si>
  <si>
    <t>إذا كان الحصان يبدو مصابًا قبل السباق، ما هو قرارك؟</t>
  </si>
  <si>
    <t>أ) استشارة الطبيب البيطري؛ ب) المشاركة في السباق رغم ذلك؛ ج) تبديله بحصان آخر؛ د) تجاهل الأمر</t>
  </si>
  <si>
    <t>أ) استشارة الطبيب البيطري</t>
  </si>
  <si>
    <t>سلامة الحصان لها الأولوية في أي سباق.</t>
  </si>
  <si>
    <t>إذا كان الحصان بطيئًا في بداية السباق، ماذا تفعل؟</t>
  </si>
  <si>
    <t>أ) زيادة التحفيز تدريجياً؛ ب) الضغط عليه للركض أسرع؛ ج) البقاء بنفس السرعة؛ د) تغيير التكتيك</t>
  </si>
  <si>
    <t>أ) زيادة التحفيز تدريجياً</t>
  </si>
  <si>
    <t>التحفيز التدريجي يمنع إرهاق الحصان ويحسن الأداء.</t>
  </si>
  <si>
    <t>في سباق متعدد الحواجز، يتردد الحصان عند كل حاجز. ماذا تفعل؟</t>
  </si>
  <si>
    <t>أ) تهدئته قبل الحاجز؛ ب) الضغط عليه للقفز فوراً؛ ج) استبدال الحصان؛ د) الانسحاب</t>
  </si>
  <si>
    <t>أ) تهدئته قبل الحاجز</t>
  </si>
  <si>
    <t>تهدئة الحصان تعزز ثقته في القفز.</t>
  </si>
  <si>
    <t>إذا لاحظت أن حوافر الحصان ليست بحالة جيدة، ماذا تفعل؟</t>
  </si>
  <si>
    <t>أ) استشارة الطبيب البيطري؛ ب) تجاهل الأمر؛ ج) تأجيل السباق؛ د) استبدال الحصان</t>
  </si>
  <si>
    <t>الحفاظ على صحة الحوافر ضروري لأداء الحصان.</t>
  </si>
  <si>
    <t>خلال السباق، يبدأ المطر بالهطول بغزارة. كيف تتصرف؟</t>
  </si>
  <si>
    <t>أ) التخفيف من السرعة؛ ب) محاولة الإسراع للخروج سريعًا؛ ج) تجاهل الطقس؛ د) طلب إيقاف السباق</t>
  </si>
  <si>
    <t>أ) التخفيف من السرعة</t>
  </si>
  <si>
    <t>تقليل السرعة يساعد في السيطرة على الحصان في الظروف الصعبة.</t>
  </si>
  <si>
    <t>أثناء السباق، تواجه رياح قوية. ماذا تفعل؟</t>
  </si>
  <si>
    <t>أ) الانحناء لتقليل مقاومة الرياح؛ ب) زيادة السرعة؛ ج) الاستمرار بنفس الأسلوب؛ د) التوقف</t>
  </si>
  <si>
    <t>أ) الانحناء لتقليل مقاومة الرياح</t>
  </si>
  <si>
    <t>الانحناء يقلل من التأثير السلبي للرياح على السرعة.</t>
  </si>
  <si>
    <t>إذا تعرضت معدات الحصان للتلف أثناء السباق، ماذا تفعل؟</t>
  </si>
  <si>
    <t>أ) متابعة السباق بحذر؛ ب) التوقف لإصلاحها؛ ج) طلب المساعدة؛ د) تجاهل المشكلة</t>
  </si>
  <si>
    <t>ب) التوقف لإصلاحها</t>
  </si>
  <si>
    <t>الإصلاح السريع يضمن سلامة الحصان واستمرار السباق.</t>
  </si>
  <si>
    <t>إذا كان حصانك يرفض تناول الطعام قبل السباق، كيف تتعامل مع ذلك؟</t>
  </si>
  <si>
    <t>أ) إعطاؤه طعامًا مفضلاً؛ ب) تجاهل الأمر؛ ج) محاولة إطعامه بالقوة؛ د) استشارة طبيب بيطري</t>
  </si>
  <si>
    <t>أ) إعطاؤه طعامًا مفضلاً</t>
  </si>
  <si>
    <t>إعطاء الحصان طعامًا مألوفًا يساعد في تخفيف التوتر.</t>
  </si>
  <si>
    <t>إذا تعرض الحصان لتوتر شديد أثناء السفر للسباق، ماذا تفعل؟</t>
  </si>
  <si>
    <t>أ) الراحة التامة فور الوصول؛ ب) إجباره على التدريب فورًا؛ ج) تجاهل التوتر؛ د) استشارة مختص</t>
  </si>
  <si>
    <t>أ) الراحة التامة فور الوصول</t>
  </si>
  <si>
    <t>الراحة بعد السفر ضرورية لتجنب الإجهاد.</t>
  </si>
  <si>
    <t>إذا لاحظت تغيرًا مفاجئًا في سلوك الحصان أثناء السباق، ماذا تفعل؟</t>
  </si>
  <si>
    <t>أ) مراقبته بعناية؛ ب) زيادة السرعة؛ ج) التوقف فورًا؛ د) تجاهل الأمر</t>
  </si>
  <si>
    <t>أ) مراقبته بعناية</t>
  </si>
  <si>
    <t>المراقبة تتيح لك اتخاذ قرارات صحيحة بناءً على حالته.</t>
  </si>
  <si>
    <t>إذا كنت في سباق نهائي ومنافسيك قريبون جدًا، ماذا تفعل؟</t>
  </si>
  <si>
    <t>أ) زيادة التحفيز على الفور؛ ب) تغيير السرعة باستمرار؛ ج) مراقبة الفرص المناسبة؛ د) التراجع مؤقتاً</t>
  </si>
  <si>
    <t>أ) زيادة التحفيز على الفور</t>
  </si>
  <si>
    <t>التحفيز في اللحظات الحاسمة يرفع من فرص الفوز.</t>
  </si>
  <si>
    <t>في سباق ليلي، تجد أن الرؤية غير واضحة. كيف تتصرف؟</t>
  </si>
  <si>
    <t>أ) تخفيف السرعة للحذر؛ ب) محاولة الإسراع؛ ج) متابعة الحصان الأمامي؛ د) الانسحاب</t>
  </si>
  <si>
    <t>أ) تخفيف السرعة للحذر</t>
  </si>
  <si>
    <t>السرعة المخففة تقلل من</t>
  </si>
  <si>
    <t>إذا كان الحصان لا يتعاون أثناء السباق، ماذا تفعل؟</t>
  </si>
  <si>
    <t>أ) تحفيزه بشكل أكبر؛ ب) تغيير أسلوب الركوب؛ ج) التوقف عن السباق؛ د) اللوم عليه</t>
  </si>
  <si>
    <t>ب) تغيير أسلوب الركوب</t>
  </si>
  <si>
    <t>تغيير أسلوب الركوب قد يساعد في إعادة التواصل مع الحصان.</t>
  </si>
  <si>
    <t>إذا كنت تشعر أن حصانك يعاني من إجهاد عضلي، كيف تتعامل؟</t>
  </si>
  <si>
    <t>أ) تخفيف سرعته تدريجيًا؛ ب) الضغط عليه للاستمرار؛ ج) التوقف التام؛ د) زيادة السرعة لتنشيطه</t>
  </si>
  <si>
    <t>أ) تخفيف سرعته تدريجيًا</t>
  </si>
  <si>
    <t>تقليل السرعة يساهم في تقليل الضغط على عضلات الحصان.</t>
  </si>
  <si>
    <t>إذا لاحظت أن الحصان يتباطأ تدريجياً في السباق، ماذا تفعل؟</t>
  </si>
  <si>
    <t>أ) زيادة التحفيز؛ ب) طلب استراحة قصيرة؛ ج) تقليل السرعة؛ د) زيادة السرعة بشكل مفاجئ</t>
  </si>
  <si>
    <t>التحفيز قد يساعد الحصان على استعادة نشاطه.</t>
  </si>
  <si>
    <t>إذا كنت في سباق حاد مع منافس، كيف تحافظ على تركيزك؟</t>
  </si>
  <si>
    <t>أ) الحفاظ على الهدوء؛ ب) متابعة المنافس فقط؛ ج) التقليل من السرعة؛ د) التفكير في الفوز فقط</t>
  </si>
  <si>
    <t>أ) الحفاظ على الهدوء</t>
  </si>
  <si>
    <t>الهدوء يساعد في اتخاذ قرارات استراتيجية خلال السباق.</t>
  </si>
  <si>
    <t>إذا شعرت بأن الحلبة غير مناسبة للسباق، ماذا تفعل؟</t>
  </si>
  <si>
    <t>أ) الإبطاء لتجنب المخاطر؛ ب) الانسحاب فورًا؛ ج) الاستمرار في السباق بحذر؛ د) التوقف للإبلاغ عن المشكلة</t>
  </si>
  <si>
    <t>أ) الإبطاء لتجنب المخاطر</t>
  </si>
  <si>
    <t>الحذر في ظروف غير مناسبة يقلل من فرصة الإصابات.</t>
  </si>
  <si>
    <t>إذا كان الحصان يظهر علامات على القلق قبل السباق، كيف تتصرف؟</t>
  </si>
  <si>
    <t>أ) تهدئته بالتحفيز الهادئ؛ ب) تجاهل القلق؛ ج) الضغط عليه ليكون أكثر نشاطًا؛ د) استبداله بحصان آخر</t>
  </si>
  <si>
    <t>أ) تهدئته بالتحفيز الهادئ</t>
  </si>
  <si>
    <t>التحفيز الهادئ يساعد الحصان على التغلب على القلق.</t>
  </si>
  <si>
    <t>خلال السباق، حصانك يتراجع عن الحواجز، ماذا تفعل؟</t>
  </si>
  <si>
    <t>أ) تعزيز التحفيز لتجاوز الحواجز؛ ب) تقليل السرعة لتفادي القفز؛ ج) الضغط عليه لتجاوز الحاجز بالقوة؛ د) الاستسلام والتوقف</t>
  </si>
  <si>
    <t>أ) تعزيز التحفيز لتجاوز الحواجز</t>
  </si>
  <si>
    <t>تشجيع الحصان يمكن أن يعزز ثقته في القفز.</t>
  </si>
  <si>
    <t>إذا كان الحصان يشعر بالحرارة أثناء السباق، ماذا تفعل؟</t>
  </si>
  <si>
    <t>أ) التوقف لأخذ استراحة قصيرة؛ ب) التكيف مع السرعة؛ ج) زيادة التحفيز؛ د) تقليل السرعة تدريجياً</t>
  </si>
  <si>
    <t>أ) التوقف لأخذ استراحة قصيرة</t>
  </si>
  <si>
    <t>راحة قصيرة تساعد الحصان على تخفيف الإجهاد الحراري.</t>
  </si>
  <si>
    <t>إذا كان منافسك يتلاعب بسرعة في السباق، كيف تستجيب؟</t>
  </si>
  <si>
    <t>أ) تعديل السرعة باستمرار لمواكبة المنافس؛ ب) تجاهل المنافس والتركيز على أدائك الخاص؛ ج) محاولة السباق بسرعة أكبر؛ د) تقليل السرعة،ب) تجاهل المنافس والتركيز على أدائك الخاص</t>
  </si>
  <si>
    <t>التركيز على الأداء الشخصي يساعدك في التفوق.</t>
  </si>
  <si>
    <t>أثناء السباق، تعرضت لضغط من المنافسين. ماذا تفعل؟,</t>
  </si>
  <si>
    <t>أثناء السباق، تعرضت لضغط من المنافسين. ماذا تفعل؟</t>
  </si>
  <si>
    <t>أ) زيادة السرعة لتجاوزهم؛ ب) التحلي بالصبر والمراقبة؛ ج) التوقف لتجنب الحوادث؛ د) الانسحاب من السباق</t>
  </si>
  <si>
    <t>ب) التحلي بالصبر والمراقبة</t>
  </si>
  <si>
    <t>الصبر يسمح لك بإيجاد فرص أفضل لتجاوز المنافسين.</t>
  </si>
  <si>
    <t>إذا شعرت أن الحصان بدأ يفقد طاقته في منتصف السباق، ماذا تفعل؟</t>
  </si>
  <si>
    <t>أ) التحفيز والضغط عليه للاستمرار؛ ب) تقليل السرعة للمحافظة على الطاقة؛ ج) التوقف عن السباق؛ د) طلب المساعدة الفورية</t>
  </si>
  <si>
    <t>ب) تقليل السرعة للمحافظة على الطاقة</t>
  </si>
  <si>
    <t>تخفيف السرعة يساعد في الحفاظ على قدرة الحصان على إتمام السباق.</t>
  </si>
  <si>
    <t>إذا لاحظت أن الحصان غير مريح على الحلبة، كيف تتعامل؟</t>
  </si>
  <si>
    <t>أ) تغيير المسار قليلاً لإيجاد أرضية أفضل؛ ب) التوقف فورًا؛ ج) زيادة السرعة لتجاوز المنطقة الصعبة؛ د) التراجع من السباق،أ) تغيير المسار قليلاً لإيجاد أرضية أفضل</t>
  </si>
  <si>
    <t>تغيير المسار يساعد في تحسين الراحة والأداء.</t>
  </si>
  <si>
    <t>إذا كنت في السباق وتشعر أن الحواجز غير آمنة، ماذا تفعل؟</t>
  </si>
  <si>
    <t>أ) تقليل السرعة والتعامل بحذر مع الحواجز؛ ب) القفز بكل قوة لتجاوزها بسرعة؛ ج) تجاهل الخطر؛ د) طلب إيقاف السباق،أ) تقليل السرعة والتعامل بحذر مع الحواجز</t>
  </si>
  <si>
    <t>الحذر عند القفز يقلل من المخاطر.</t>
  </si>
  <si>
    <t>إذا تعرضت لسقوط أثناء السباق، ماذا يجب أن تفعل؟,</t>
  </si>
  <si>
    <t>إذا تعرضت لسقوط أثناء السباق، ماذا يجب أن تفعل؟</t>
  </si>
  <si>
    <t>أ) التحقق من حالتك الصحية فورًا؛ ب) الاستمرار في السباق مهما كان الألم؛ ج) طلب المساعدة الفورية؛ د) التوقف عن السباق فورًا،أ) التحقق من حالتك الصحية فورًا</t>
  </si>
  <si>
    <t>التحقق من سلامتك أولاً يمنع من تفاقم الإصابات.</t>
  </si>
  <si>
    <t>إذا كانت الأرض زلقة بسبب المطر، ماذا تفعل؟</t>
  </si>
  <si>
    <t>أ) تقليل السرعة بشكل تدريجي؛ ب) عدم التغيير في السرعة؛ ج) محاولة القفز بشكل أسرع؛ د) التوقف عن السباق،أ) تقليل السرعة بشكل تدريجي</t>
  </si>
  <si>
    <t>التقليل من السرعة يمنع السقوط والحفاظ على التوازن.</t>
  </si>
  <si>
    <t>إذا كان الحصان يتصرف بعدوانية، كيف تتعامل؟</t>
  </si>
  <si>
    <t>أ) تهدئته تدريجياً؛ ب) الضغط عليه للتعاون؛ ج) تجاهل المشكلة؛ د) استبداله،أ) تهدئته تدريجياً</t>
  </si>
  <si>
    <t>التعامل الهادئ يساعد في تقليل العدوانية.</t>
  </si>
  <si>
    <t>إذا كانت الحلبة بها حواجز صعبة، ماذا تفعل؟</t>
  </si>
  <si>
    <t>أ) تدريب الحصان على هذه الحواجز قبل السباق؛ ب) تخطي الحواجز فورًا أثناء السباق؛ ج) تقليل السرعة حول الحواجز؛ د) التوقف عن السباق،أ) تدريب الحصان على هذه الحواجز قبل السباق</t>
  </si>
  <si>
    <t>التدريب المسبق يعزز القدرة على التعامل مع الحواجز.</t>
  </si>
  <si>
    <t>إذا كان الحصان يشعر بالإرهاق بسبب كثرة السباقات، ماذا تفعل؟</t>
  </si>
  <si>
    <t>أ) إعطاؤه استراحة طويلة قبل السباق القادم؛ ب) تجاهل الإرهاق وبدء السباق؛ ج) زيادة التدريب؛ د) خفض المشاركة في السباقات لفترة،أ) إعطاؤه استراحة طويلة قبل السباق القادم</t>
  </si>
  <si>
    <t>الراحة مهمة لإعادة نشاط الحصان.</t>
  </si>
  <si>
    <t>إذا لاحظت أن الحصان يعاني من إجهاد نفسي قبل السباق، ماذا تفعل؟</t>
  </si>
  <si>
    <t>أ) تهدئته وتقديم الوقت له للاسترخاء؛ ب) إجباره على التدريب؛ ج) تجاهل الإجهاد النفسي؛ د) إعطاؤه بعض المكملات الغذائية،أ) تهدئته وتقديم الوقت له للاسترخاء</t>
  </si>
  <si>
    <t>إعطاء الحصان وقتًا للاسترخاء يساعد في تقليل التوتر.</t>
  </si>
  <si>
    <t>إذا لاحظت أن المنافسين يقتربون منك بسرعة أثناء السباق، ماذا تفعل؟</t>
  </si>
  <si>
    <t>أ) زيادة السرعة بشكل مفاجئ؛ ب) التحفيز لزيادة الأداء؛ ج) البقاء في نفس السرعة؛ د) التراجع لتوفير الطاقة،ب) التحفيز لزيادة الأداء</t>
  </si>
  <si>
    <t>التحفيز يساعد في الحفاظ على المسافة بينك وبين المنافسين.</t>
  </si>
  <si>
    <t>ذا كانت درجة الحرارة مرتفعة أثناء السباق، ماذا يجب أن تفعله؟</t>
  </si>
  <si>
    <t>إذا كانت درجة الحرارة مرتفعة أثناء السباق، ماذا يجب أن تفعله؟</t>
  </si>
  <si>
    <t>أ) إعطاء الحصان بعض الماء؛ ب) استمر في السباق بأقصى سرعة؛ ج) توقف فورًا؛ د) ركض بوتيرة بطيئة،أ) إعطاء الحصان بعض الماء</t>
  </si>
  <si>
    <t>الماء ضروري للحفاظ على قدرة الحصان على التحمل في الطقس الحار.</t>
  </si>
  <si>
    <t>إذا كنت في بداية السباق والمنافسين يبدؤون بسرعة، ماذا تفعل؟</t>
  </si>
  <si>
    <t>أ) الحفاظ على وتيرة ثابتة؛ ب) التسابق بسرعة أكبر؛ ج) التباطؤ للحفاظ على الطاقة؛ د) محاولة التغيير المفاجئ في الاتجاه،أ) الحفاظ على وتيرة ثابتة</t>
  </si>
  <si>
    <t>الحفاظ على الوتيرة يساعد في الأداء المستدام.</t>
  </si>
  <si>
    <t>إذا كان الحصان يتأخر عن موعده للانطلاق، كيف تتصرف؟</t>
  </si>
  <si>
    <t>أ) الضغط عليه للإسراع؛ ب) إعطاؤه فرصة للتهدئة أولاً؛ ج) تجاهل التأخير؛ د) تأجيل السباق،ب) إعطاؤه فرصة للتهدئة أولاً</t>
  </si>
  <si>
    <t>منح الحصان وقتًا للاسترخاء يساعد على تحسين أدائه.</t>
  </si>
  <si>
    <t>إذا كنت في سباق طويل، ماذا تفعل لتجنب الإصابة بالإرهاق؟,</t>
  </si>
  <si>
    <t>إذا كنت في سباق طويل، ماذا تفعل لتجنب الإصابة بالإرهاق؟</t>
  </si>
  <si>
    <t>أ) الحفاظ على وتيرة متوازنة؛ ب) الإسراع في منتصف السباق؛ ج) تقليل السرعة بشكل مستمر؛ د) التوقف للراحة عدة مرات،أ) الحفاظ على وتيرة متوازنة</t>
  </si>
  <si>
    <t>وتيرة متوازنة تمنع التعب الزائد.</t>
  </si>
  <si>
    <t>إذا كان الحصان يظهر علامات الإجهاد العقلي، كيف تتعامل؟</t>
  </si>
  <si>
    <t>أ) تهدئته بلطف؛ ب) تجاهل الأعراض؛ ج) الضغط عليه ليبقى نشيطًا؛ د) استبداله بحصان آخر،أ) تهدئته بلطف</t>
  </si>
  <si>
    <t>تهدئة الحصان يساعد على تقليل التوتر العقلي.</t>
  </si>
  <si>
    <t>إذا لاحظت أن الحصان يعاني من صعوبة في التنفس أثناء السباق، ماذا تفعل؟</t>
  </si>
  <si>
    <t>أ) تقليل السرعة؛ ب) استبداله بحصان آخر؛ ج) الاستمرار في السباق؛ د) التوقف فورًا</t>
  </si>
  <si>
    <t>أ) تقليل السرعة,تقليل السرعة يساعد في تخفيف الضغط على الجهاز التنفسي للحصان.</t>
  </si>
  <si>
    <t>إذا كنت تشعر أن الحصان لا يتجاوب مع إشاراتك أثناء السباق، ماذا تفعل؟</t>
  </si>
  <si>
    <t>أ) تغيير أسلوب القيادة؛ ب) الضغط عليه بشكل أكبر؛ ج) تخفيف السرعة؛ د) التوقف عن السباق</t>
  </si>
  <si>
    <t>أ) تغيير أسلوب القيادة,قد يساعد تغيير أسلوب القيادة في تحسين التفاعل مع الحصان.</t>
  </si>
  <si>
    <t>إذا كانت المسافة بينك وبين المنافسين ضيقة جدًا في السباق، ماذا تفعل؟</t>
  </si>
  <si>
    <t>أ) زيادة السرعة للتفوق عليهم؛ ب) الحفاظ على السرعة نفسها؛ ج) التباطؤ لتجنب المخاطر؛ د) محاولة تغيير المسار</t>
  </si>
  <si>
    <t>أ) زيادة السرعة للتفوق عليهم,زيادة السرعة قد يساعد في تجاوز المنافسين.</t>
  </si>
  <si>
    <t>إذا لاحظت أن الحصان يعاني من صعوبة في الحفاظ على توازنه، ماذا تفعل؟</t>
  </si>
  <si>
    <t>أ) تقليل السرعة وتركه يرتاح قليلاً؛ ب) زيادة السرعة لتسريع الحركة؛ ج) الاستمرار بالضغط عليه للسرعة؛ د) استبداله بحصان آخر</t>
  </si>
  <si>
    <t>أ) تقليل السرعة وتركه يرتاح قليلاً,إعطاء الحصان بعض الوقت للراحة يساعده على استعادة توازنه.</t>
  </si>
  <si>
    <t>إذا تعرض الحصان لنزيف خفيف أثناء السباق، ماذا تفعل؟</t>
  </si>
  <si>
    <t>أ) التوقف فورًا لتقديم الإسعافات الأولية؛ ب) الاستمرار في السباق وتجاهل النزيف؛ ج) تقليل السرعة فقط؛ د) طلب مساعدة الفريق الطبي</t>
  </si>
  <si>
    <t>أ) التوقف فورًا لتقديم الإسعافات الأولية,الإسعافات الأولية الفورية قد تمنع تفاقم النزيف.</t>
  </si>
  <si>
    <t>إذا كانت الحلبة تحتوي على أرضية غير متساوية، ماذا تفعل؟</t>
  </si>
  <si>
    <t>أ) تعديل السرعة حسب الوضع؛ ب) تقليل السرعة بشكل تدريجي؛ ج) محاولة التغلب على الأرضية الصعبة بسرعة؛ د) الانسحاب من السباق</t>
  </si>
  <si>
    <t>أ) تعديل السرعة حسب الوضع,التعديل في السرعة قد يساعد على تجنب الإصابات على الأرضية غير المتساوية.</t>
  </si>
  <si>
    <t>إذا كنت على وشك دخول منعطف حاد في السباق، ماذا تفعل؟</t>
  </si>
  <si>
    <t>أ) تقليل السرعة لضمان الاستدارة بشكل آمن؛ ب) زيادة السرعة للتفوق على الآخرين؛ ج) الحفاظ على السرعة نفسها؛ د) التوقف لتغيير الاتجاه</t>
  </si>
  <si>
    <t>أ) تقليل السرعة لضمان الاستدارة بشكل آمن,التقليل من السرعة يساعد في تجنب فقدان التوازن في المنعطف.</t>
  </si>
  <si>
    <t>إذا شعرت بتوتر شديد قبل السباق، كيف تتعامل؟</t>
  </si>
  <si>
    <t>أ) التنفس العميق وتهدئة الأعصاب؛ ب) الانسحاب من السباق؛ ج) التركيز على المنافسين فقط؛ د) تذكير نفسك بالضغط النفسي</t>
  </si>
  <si>
    <t>أ) التنفس العميق وتهدئة الأعصاب,التهدئة تساعد في تركيزك على السباق وتحسين أدائك.</t>
  </si>
  <si>
    <t>إذا لاحظت أن الحصان يعاني من صعوبة في التغلب على الحواجز، ماذا تفعل؟</t>
  </si>
  <si>
    <t>أ) تقليل السرعة والتحكم في الحصان أكثر؛ ب) القفز بسرعة أكبر؛ ج) الضغط عليه للزيادة في السرعة؛ د) تغيير المسار على الفور</t>
  </si>
  <si>
    <t>أ) تقليل السرعة والتحكم في الحصان أكثر,التقليل من السرعة يساعد الحصان على تجاوز الحواجز بشكل آمن.</t>
  </si>
  <si>
    <t>إذا شعرت بأنك لست في أفضل حالتك الصحية أثناء السباق، ماذا تفعل؟</t>
  </si>
  <si>
    <t>أ) تقليل الجهد وعدم الضغط على نفسك؛ ب) الاستمرار في السباق مهما كانت حالتك؛ ج) الانسحاب من السباق وتقديم الاعتذار؛ د) زيادة الجهد رغم شعورك بالإرهاق</t>
  </si>
  <si>
    <t>أ) تقليل الجهد وعدم الضغط على نفسك,الراحة والاعتناء بنفسك يساعدان على تجنب تدهور حالتك الصحية.</t>
  </si>
  <si>
    <t>إذا كان الحصان يواجه صعوبة في الحفاظ على سرعته، ماذا تفعل؟</t>
  </si>
  <si>
    <t>أ) إعطاؤه استراحة قصيرة لتجديد طاقته؛ ب) الضغط عليه للاستمرار في السرعة؛ ج) تقليل السرعة بشكل مفاجئ؛ د) استبداله بحصان آخر</t>
  </si>
  <si>
    <t>أ) إعطاؤه استراحة قصيرة لتجديد طاقته,الراحة قصيرة تساعد على استعادة طاقة الحصان.</t>
  </si>
  <si>
    <t>إذا شعرت أن الحصان بدأ يفقد تركيزه، ماذا تفعل؟</t>
  </si>
  <si>
    <t>أ) إعادة التركيز على الهدف وتحفيزه؛ ب) تقليل السرعة لتجنب الأخطاء؛ ج) تجاهل المشكلة؛ د) التوقف فورًا</t>
  </si>
  <si>
    <t>أ) إعادة التركيز على الهدف وتحفيزه,التركيز على الهدف يساعد الحصان على استعادة تركيزه.</t>
  </si>
  <si>
    <t>إذا لاحظت أن الحلبة أصبحت زلقة بسبب المطر، ماذا تفعل؟</t>
  </si>
  <si>
    <t>أ) تقليل السرعة واتخاذ الحذر؛ ب) مواصلة السباق بنفس السرعة؛ ج) زيادة السرعة لتجاوز الوضع؛ د) الانسحاب من السباق</t>
  </si>
  <si>
    <t>أ) تقليل السرعة واتخاذ الحذر,تقليل السرعة يساعد في تجنب الانزلاق والتعرض للإصابات.</t>
  </si>
  <si>
    <t>إذا كان هناك منافس قريب منك في السباق، ماذا تفعل؟</t>
  </si>
  <si>
    <t>أ) زيادة السرعة لتجاوز المنافس؛ ب) التحلي بالصبر والتركيز على المسار؛ ج) محاولة الإبطاء لتفادي المنافس؛ د) تغيير المسار فجأة</t>
  </si>
  <si>
    <t>أ) زيادة السرعة لتجاوز المنافس,زيادة السرعة يمكن أن تساعد في التفوق على المنافس.</t>
  </si>
  <si>
    <t>إذا شعرت أن الحصان ليس في أفضل حالاته قبل السباق، ماذا تفعل؟</t>
  </si>
  <si>
    <t>أ) تقديم الراحة له قبل السباق؛ ب) الضغط عليه ليبذل المزيد من الجهد؛ ج) الاستمرار في السباق بدون تغيير؛ د) استبداله بحصان آخر</t>
  </si>
  <si>
    <t>أ) تقديم الراحة له قبل السباق,إعطاء الراحة للحصان يساعده على الاستعداد بشكل أفضل.</t>
  </si>
  <si>
    <t>إذا كان الحصان يعاني من ألم طفيف في الأرجل، ماذا تفعل؟</t>
  </si>
  <si>
    <t>أ) إعطاؤه استراحة قصيرة وتهدئته؛ ب) تجاهل الألم والاستمرار؛ ج) زيادة السرعة للتغلب على الألم؛ د) تقليل السرعة للمحافظة على الراحة</t>
  </si>
  <si>
    <t>أ) إعطاؤه استراحة قصيرة وتهدئته,الراحة والتخفيف من الألم يساعدان في منع تفاقم الحالة.</t>
  </si>
  <si>
    <t>إذا كان الحصان يشعر بالإجهاد النفسي قبل السباق، ماذا تفعل؟</t>
  </si>
  <si>
    <t>أ) تهدئته بشكل لطيف؛ ب) زيادة التحفيز؛ ج) تجاهل الإجهاد النفسي؛ د) استبداله بحصان آخر</t>
  </si>
  <si>
    <t>أ) تهدئته بشكل لطيف,التهدئة تساعد في تقليل التوتر النفسي وتحسين الأداء.</t>
  </si>
  <si>
    <t>إذا كنت في السباق وشعرت أن الحواجز قاسية جدًا، ماذا تفعل؟</t>
  </si>
  <si>
    <t>أ) التحلي بالحذر وتقليل السرعة حول الحواجز؛ ب) القفز فوق الحواجز بقوة؛ ج) الاستمرار بدون تغيير؛ د) الانسحاب من السباق</t>
  </si>
  <si>
    <t>أ) التحلي بالحذر وتقليل السرعة حول الحواجز,تقليل السرعة حول الحواجز يساعد في تجنب السقوط.</t>
  </si>
  <si>
    <t>إذا كنت متأخرًا في السباق وفقدت الأمل في الفوز، ماذا تفعل؟</t>
  </si>
  <si>
    <t>أ) الحفاظ على الإصرار والمثابرة حتى النهاية؛ ب) الاستسلام والتوقف؛ ج) التفكير في الفوز فقط؛ د) تخفيف الجهد للمحافظة على الراحة</t>
  </si>
  <si>
    <t>أ) الحفاظ على الإصرار والمثابرة حتى النهاية,المثابرة يمكن أن تؤدي إلى نتائج مفاجئة.</t>
  </si>
  <si>
    <t>ذا كنت على وشك الفوز في السباق ولكن الحصان بدأ في التباطؤ، ماذا تفعل؟</t>
  </si>
  <si>
    <t>إذا كنت على وشك الفوز في السباق ولكن الحصان بدأ في التباطؤ، ماذا تفعل؟</t>
  </si>
  <si>
    <t>أ) زيادة التحفيز ليحافظ على سرعته؛ ب) تقليل السرعة لتفادي الإرهاق؛ ج) القفز على الحواجز بقوة أكبر؛ د) التحلي بالصبر وعدم الضغط عليه</t>
  </si>
  <si>
    <t>أ) زيادة التحفيز ليحافظ على سرعته,التحفيز يساعد الحصان في الحفاظ على سرعته وتحقيق الفوز.</t>
  </si>
  <si>
    <t>إذا كنت تشعر بتعب شديد في السباق، ماذا يجب أن تفعل؟</t>
  </si>
  <si>
    <t>أثناء السباق، تلاحظ أن حافر حصانك بدأ يصدر صوتاً غريباً. ماذا تفعل؟</t>
  </si>
  <si>
    <t>أ) تتجاهل الصوت وتستمر في السباق؛ ب) تبطئ من سرعة الحصان لتفحص مصدر الصوت بعد السباق؛ ج) تواصل السباق ولكن تولي اهتمامًا أكبر لخطوات الحصان؛ د) تتوقف فوراً وتنسحب من السباق لتفحص الحصان.</t>
  </si>
  <si>
    <t>تتوقف فوراً وتنسحب من السباق لتفحص الحصان.</t>
  </si>
  <si>
    <t>أي صوت غير طبيعي من الحافر قد يشير إلى إصابة خطيرة أو مشكلة في الحذاء، والاستمرار في السباق قد يفاقم الإصابة. الأولوية هي سلامة الحصان.</t>
  </si>
  <si>
    <t>إذا كان السباق يتضمن مسارًا جبليًا وعرًا، ماذا يجب أن تفعل؟</t>
  </si>
  <si>
    <t>أ) تزيد من سرعة الحصان لتجاوز المنحدرات بسرعة؛ ب) تحافظ على سرعة ثابتة وتبطئ عند المنعطفات الحادة؛ ج) تقلل من السرعة وتستخدم ركوبًا أكثر حذرًا وثباتًا؛ د) تترك الحصان يتخذ قراراته في المسار الصعب.</t>
  </si>
  <si>
    <t>تقلل من السرعة وتستخدم ركوبًا أكثر حذرًا وثباتًا.</t>
  </si>
  <si>
    <t>المسارات الجبلية تتطلب حذرًا شديدًا لتقليل خطر الانزلاق أو التعثر. يجب تقليل السرعة وزيادة الثبات للسيطرة الكاملة على الحصان.</t>
  </si>
  <si>
    <t>قبل السباق، تكتشف أن حصانك لديه جرح بسيط. ما هو قرارك؟</t>
  </si>
  <si>
    <t>أ) تستمر في السباق ما لم يكن الجرح ينزف بشدة؛ ب) تنظف الجرح وتغطيه بضمادة وتشارك في السباق؛ ج) تستشير الطبيب البيطري فورًا وتطلب تقييمًا لحالة الحصان؛ د) تتجاهل الجرح وتأمل ألا يتفاقم أثناء السباق.</t>
  </si>
  <si>
    <t>تستشير الطبيب البيطري فورًا وتطلب تقييمًا لحالة الحصان.</t>
  </si>
  <si>
    <t>حتى الجروح البسيطة يمكن أن تتفاقم تحت الضغط وتؤثر على أداء الحصان وسلامته. يجب دائمًا استشارة طبيب بيطري قبل اتخاذ أي قرار.</t>
  </si>
  <si>
    <t>خلال السباق، تتعرض خوذتك أو نظاراتك للتلف. كيف تتصرف؟</t>
  </si>
  <si>
    <t>أ) تتجاهل المشكلة وتستمر في السباق؛ ب) تبطئ من سرعة الحصان وتصلح الخوذة أو النظارات؛ ج) تطلب المساعدة من الحكام وتنسحب من السباق؛ د) تواصل السباق ولكن بحذر شديد بسبب الرؤية المحدودة أو نقص الحماية.</t>
  </si>
  <si>
    <t>تواصل السباق ولكن بحذر شديد بسبب الرؤية المحدودة أو نقص الحماية.</t>
  </si>
  <si>
    <t>بينما قد تكون هناك مخاطر، الانسحاب ليس الخيار الأول ما لم تكن الرؤية منعدمة. يجب الاستمرار بحذر لتجنب التسبب في حادث.</t>
  </si>
  <si>
    <t>إذا كنت في سباق يمر عبر نهر أو مياه ضحلة، كيف تتعامل مع ذلك؟</t>
  </si>
  <si>
    <t>أ) تزيد من السرعة لتجاوز المياه بسرعة؛ ب) تبطئ من سرعة الحصان وتجعله يدخل الماء بخطى ثابتة؛ ج) تجعل الحصان يقفز فوق المياه؛ د) تتوقف قبل المياه وتنتظر أن يمر المنافسون أولاً.</t>
  </si>
  <si>
    <t>تبطئ من سرعة الحصان وتجعله يدخل الماء بخطى ثابتة.</t>
  </si>
  <si>
    <t>دخول المياه بسرعة قد يسبب انزلاق الحصان أو إصابته. يجب إبطاء السرعة والسماح للحصان بالدخول بحذر وثبات.</t>
  </si>
  <si>
    <t>أثناء التدريب، يرفض الحصان أخذ المنعطفات. ماذا تفعل؟</t>
  </si>
  <si>
    <t>أ) تستخدم القوة لإجباره على الانعطاف؛ ب) تتجاهل الأمر وتدربه على مسار مستقيم؛ ج) تعود إلى التدريبات الأساسية على المنعطفات وتستخدم إشارات واضحة وثابتة؛ د) تستبدل الحصان بآخر أكثر طاعة.</t>
  </si>
  <si>
    <t>تعود إلى التدريبات الأساسية على المنعطفات وتستخدم إشارات واضحة وثابتة.</t>
  </si>
  <si>
    <t>رفض الانعطاف يشير إلى نقص في التدريب أو مشكلة في التواصل. الحل هو العودة للأساسيات وتعزيز الإشارات.</t>
  </si>
  <si>
    <t>في سباق السرعة، تجد أن الحصان يميل إلى الانحراف عن المسار المستقيم. ماذا تفعل؟</t>
  </si>
  <si>
    <t>أ) تستخدم اللجام بقوة لإعادته للمسار؛ ب) تسمح له بالانحراف طالما أنه لا يتدخل مع الآخرين؛ ج) تعدل وضعية جلوسك وتستخدم ساقيك واللجام لتوجيهه بلطف وثبات؛ د) تنسحب من السباق لأن الحصان غير منضبط.</t>
  </si>
  <si>
    <t>تعدل وضعية جلوسك وتستخدم ساقيك واللجام لتوجيهه بلطف وثبات.</t>
  </si>
  <si>
    <t>الانحراف قد يكون بسبب وضعية الفارس أو نقص في التدريب. يجب استخدام إشارات ثابتة وتصحيحية من خلال الجسم واللجام.</t>
  </si>
  <si>
    <t>إذا لاحظت أن الحصان يميل إلى العض أو الركل أثناء التدريب، كيف تتعامل؟</t>
  </si>
  <si>
    <t>أ) تعاقب الحصان جسديًا لإيقافه؛ ب) تتجاهل السلوك وتأمل أن يتوقف؛ ج) تستشير مدربًا محترفًا لفهم سبب السلوك وتصحيحه؛ د) تترك الحصان في الإسطبل حتى يهدأ.</t>
  </si>
  <si>
    <t>تستشير مدربًا محترفًا لفهم سبب السلوك وتصحيحه.</t>
  </si>
  <si>
    <t>السلوك العدواني قد يكون نتيجة لألم أو خوف أو نقص في التدريب. يجب فهم السبب من خلال خبير لتصحيح المشكلة.</t>
  </si>
  <si>
    <t>أثناء السباق، تفقد القدرة على التواصل مع مدربك. ماذا تفعل؟</t>
  </si>
  <si>
    <t>أ) تنسحب من السباق لأنك لا تستطيع الحصول على التوجيه؛ ب) تعتمد على تدريبك السابق وخبرتك الشخصية؛ ج) تحاول استخدام إشارات أخرى للتواصل مع المدرب؛ د) تطلب من الفرسان الآخرين المساعدة.</t>
  </si>
  <si>
    <t>تعتمد على تدريبك السابق وخبرتك الشخصية.</t>
  </si>
  <si>
    <t>في غياب التواصل، يجب على الفارس الاعتماد على الغرائز والتدريب الذي تلقاه. الثقة بالنفس والخبرة هي المفتاح.</t>
  </si>
  <si>
    <t>إذا كان الحصان يرفض الدخول إلى قفص الانطلاق قبل السباق، كيف تتصرف؟</t>
  </si>
  <si>
    <t>أ) تستخدم القوة لإجباره على الدخول؛ ب) تتجنب الصراع وتنسحب من السباق؛ ج) تعمل ببطء وهدوء وتستخدم تقنيات التدريب الإيجابي لتشجيعه؛ د) تطلب من شخص آخر أن يجرب الدخول به.</t>
  </si>
  <si>
    <t>تعمل ببطء وهدوء وتستخدم تقنيات التدريب الإيجابي لتشجيعه.</t>
  </si>
  <si>
    <t>رفض الدخول يشير إلى التوتر أو الخوف. استخدام الصبر والهدوء والتقنيات الإيجابية يساعد على بناء الثقة.</t>
  </si>
  <si>
    <t>خلال سباق الموانع، الحصان يقفز فوق المانع ببطء شديد. كيف تحفزه؟</t>
  </si>
  <si>
    <t>أ) تستخدم السوط بقوة لإجباره على التسريع؛ ب) تحاول تجاوز المانع بطريقة مختلفة؛ ج) تستخدم صوتًا واضحًا وإشارات الجسم لتحفيزه؛ د) تتجاهل السرعة وتفكر في المانع التالي.</t>
  </si>
  <si>
    <t>تستخدم صوتًا واضحًا وإشارات الجسم لتحفيزه.</t>
  </si>
  <si>
    <t>التحفيز الإيجابي هو الأسلوب الأفضل. استخدام الإشارات الصوتية والجسمية يساعد الحصان على فهم ما هو مطلوب منه.</t>
  </si>
  <si>
    <t>إذا كان السباق في منطقة معروفة بوجود الحيوانات البرية. ماذا تفعل؟</t>
  </si>
  <si>
    <t>أ) تزيد من سرعة الحصان لتجاوز المنطقة بسرعة؛ ب) تتوقف وتنتظر حتى تتأكد من خلو المسار؛ ج) تحافظ على اليقظة وتكون مستعدًا لرد فعل الحصان على أي مفاجأة؛ د) تنسحب من السباق لأن هناك خطرًا.</t>
  </si>
  <si>
    <t>تحافظ على اليقظة وتكون مستعدًا لرد فعل الحصان على أي مفاجأة.</t>
  </si>
  <si>
    <t>اليقظة هي أهم شيء. يجب أن تكون مستعدًا لرد فعل الحصان وتوجيهه بعيدًا عن أي خطر محتمل.</t>
  </si>
  <si>
    <t>أثناء السباق، يشتت انتباه الحصان بسبب ضوء ساطع. كيف تحافظ على تركيزه؟</t>
  </si>
  <si>
    <t>أ) تحاول تغطية عيني الحصان بيديك؛ ب) تستخدم صوتًا هادئًا ولجامًا ثابتًا لتوجيهه؛ ج) تزيد من السرعة لتجاوز مصدر الضوء بسرعة؛ د) تنسحب من السباق لأن الحصان فقد تركيزه.</t>
  </si>
  <si>
    <t>تستخدم صوتًا هادئًا ولجامًا ثابتًا لتوجيهه.</t>
  </si>
  <si>
    <t>يجب أن يكون الفارس مصدرًا للثقة للحصان. استخدام صوت هادئ ولجام ثابت يساعد على إعادة تركيز الحصان.</t>
  </si>
  <si>
    <t>إذا شعرت أن سرج الحصان غير مستقر أثناء السباق، كيف تتعامل مع الموقف؟</t>
  </si>
  <si>
    <t>أ) تستمر في السباق وتتجاهل المشكلة؛ ب) تحاول تعديل السرج أثناء الركوب؛ ج) تبطئ من سرعة الحصان وتثبت السرج قدر الإمكان؛ د) تنسحب من السباق لأن السرج غير آمن.</t>
  </si>
  <si>
    <t>تبطئ من سرعة الحصان وتثبت السرج قدر الإمكان.</t>
  </si>
  <si>
    <t>السرج غير المستقر يمكن أن يؤثر على توازن الفارس والحصان. يجب إبطاء السرعة لتجنب السقوط.</t>
  </si>
  <si>
    <t>قبل السباق، تشعر أن الحصان لم يأخذ قسطًا كافيًا من الراحة. ماذا تفعل؟</t>
  </si>
  <si>
    <t>أ) تدعه يشارك في السباق وتراقبه عن كثب؛ ب) تزيد من فترة الإحماء لتعويضه عن نقص الراحة؛ ج) تطلب تأجيل السباق أو تنسحب منه؛ د) تعطيه منشطات لزيادة طاقته.</t>
  </si>
  <si>
    <t>تطلب تأجيل السباق أو تنسحب منه.</t>
  </si>
  <si>
    <t>إرهاق الحصان قد يؤدي إلى إصابات خطيرة. الأولوية هي سلامة الحصان.</t>
  </si>
  <si>
    <t>في سباق التتابع، يتباطأ حصانك قبل تسليم الشارة. ماذا تفعل؟</t>
  </si>
  <si>
    <t>أ) تستخدم السوط لإجباره على التسريع؛ ب) تحفزه بصوتك ولجامك وتستمر في توجيهه؛ ج) تلقي الشارة مبكرًا لتجنب فقدان الوقت؛ د) تنسحب من السباق لأنك فقدت الوقت.</t>
  </si>
  <si>
    <t>تحفزه بصوتك ولجامك وتستمر في توجيهه.</t>
  </si>
  <si>
    <t>يجب على الفارس أن يحفز الحصان ويقوده نحو خط التسليم. التواصل المستمر هو المفتاح.</t>
  </si>
  <si>
    <t>إذا كان الحصان يميل إلى السير بخطى متغيرة بدلاً من الثبات. كيف تعدل ذلك؟</t>
  </si>
  <si>
    <t>أ) تسمح له بالتحرك بخطواته الخاصة؛ ب) تستخدم السوط لتصحيح خطواته؛ ج) تعود إلى التدريب على الإيقاع الثابت وتستخدم إشارات متكررة؛ د) تتجاهل الإيقاع وتركز على السرعة.</t>
  </si>
  <si>
    <t>تعود إلى التدريب على الإيقاع الثابت وتستخدم إشارات متكررة.</t>
  </si>
  <si>
    <t>الحصان يحتاج إلى إيقاع ثابت في السباق. التدريب على الإيقاع والخطوات يساعد على تحسين أدائه.</t>
  </si>
  <si>
    <t>أثناء السباق، تلاحظ أن هناك حصانًا آخرًا يتعرض لإصابة. كيف تتصرف؟</t>
  </si>
  <si>
    <t>أ) تستمر في السباق ولا تلتفت إلى الحصان المصاب؛ ب) تبطئ من سرعتك لتجنب التسبب في المزيد من الضرر؛ ج) تنسحب من السباق لتساعد الفارس المصاب؛ د) تصرخ على الفارس الآخر ليخرج من المسار.</t>
  </si>
  <si>
    <t>تبطئ من سرعتك لتجنب التسبب في المزيد من الضرر.</t>
  </si>
  <si>
    <t>يجب على الفارس أن يتخذ إجراءات لتقليل المخاطر على الحصان المصاب والفارس. إبطاء السرعة هو الإجراء الآمن.</t>
  </si>
  <si>
    <t>إذا كانت الحلبة تحتوي على حواجز ذات ارتفاعات مختلفة، ماذا تفعل؟</t>
  </si>
  <si>
    <t>أ) تحاول القفز على كل حاجز بنفس السرعة؛ ب) تزيد من السرعة قبل الحواجز العالية وتبطئ قبل المنخفضة؛ ج) تعدل من سرعة الحصان وزاوية القفز لكل حاجز؛ د) تسمح للحصان باتخاذ قراراته الخاصة بشأن القفز.</t>
  </si>
  <si>
    <t>تعدل من سرعة الحصان وزاوية القفز لكل حاجز.</t>
  </si>
  <si>
    <t>كل حاجز يتطلب تقنية مختلفة. يجب على الفارس أن يوجه الحصان ويعدل سرعته وزاوية القفز لضمان الأمان والفعالية.</t>
  </si>
  <si>
    <t>أثناء التدريب، يبدو أن الحصان يتجاهل الإشارات الصوتية. كيف تتصرف؟</t>
  </si>
  <si>
    <t>أ) تتوقف عن استخدام الإشارات الصوتية؛ ب) تزيد من صوتك لتصبح أعلى؛ ج) تعود إلى التدريب الأساسي وتستخدم إشارات جسدية مع صوتية؛ د) تستخدم أداة أخرى لجذب انتباهه.</t>
  </si>
  <si>
    <t>تعود إلى التدريب الأساسي وتستخدم إشارات جسدية مع صوتية.</t>
  </si>
  <si>
    <t>تجاهل الإشارات قد يكون بسبب الإرهاق أو نقص التركيز. يجب الجمع بين الإشارات الصوتية والجسدية لتعزيز التواصل.</t>
  </si>
  <si>
    <t>إذا كنت في سباق جماعي ووجدت أنك محاصر بين فرسان آخرين، ماذا تفعل؟</t>
  </si>
  <si>
    <t>أ) تستخدم القوة للخروج من الحصار؛ ب) تتباطأ وتنتظر فرصة للتجاوز؛ ج) تحاول فتح فجوة بين الحصانين لتمرير حصانك؛ د) تستمر في السباق بنفس السرعة وتنتظر حدوث خطأ من الآخرين.</t>
  </si>
  <si>
    <t>تحاول فتح فجوة بين الحصانين لتمرير حصانك.</t>
  </si>
  <si>
    <t>الحصار خطير. يجب على الفارس البحث عن فرصة للخروج من الموقف. البحث عن فجوة هو الحل الآمن.</t>
  </si>
  <si>
    <t>قبل السباق، تكتشف أنك لم تتناول الطعام بشكل كافٍ. كيف تحافظ على طاقتك؟</t>
  </si>
  <si>
    <t>أ) تأخذ مشروبات طاقة قبل السباق؛ ب) تحاول تناول وجبة سريعة قبل بداية السباق؛ ج) تركز على الماء وتعتمد على تدريبك البدني؛ د) تطلب تأجيل السباق حتى تتناول الطعام.</t>
  </si>
  <si>
    <t>تركز على الماء وتعتمد على تدريبك البدني.</t>
  </si>
  <si>
    <t>تناول وجبة كبيرة قبل السباق قد يسبب عسر هضم. الاعتماد على الترطيب واللياقة البدنية هو الحل الأمثل.</t>
  </si>
  <si>
    <t>أثناء السباق، تلاحظ وجود حجر أو جسم غريب على المسار. ماذا تفعل؟</t>
  </si>
  <si>
    <t>أ) تتجاهل الجسم وتستمر في السباق؛ ب) تحاول تجاوز الجسم من خلال الانعطاف؛ ج) تصرخ للفرسان الآخرين لتحذيرهم؛ د) تبطئ من سرعة الحصان وتتجاوز الجسم بحذر.</t>
  </si>
  <si>
    <t>تبطئ من سرعة الحصان وتتجاوز الجسم بحذر.</t>
  </si>
  <si>
    <t>الأجسام الغريبة على المسار قد تسبب إصابات. يجب إبطاء السرعة وتجاوزها بحذر.</t>
  </si>
  <si>
    <t>إذا كان السباق يتضمن القفز على حواجز مائية، ماذا يجب أن تفعل؟</t>
  </si>
  <si>
    <t>أ) تزيد من السرعة قبل الحاجز المائي؛ ب) تبطئ من السرعة وتجعل الحصان يقفز فوق الحاجز؛ ج) تسمح للحصان بالركض عبر الماء؛ د) تطلب من المنظمين إزالة الحاجز المائي.</t>
  </si>
  <si>
    <t>تبطئ من السرعة وتجعل الحصان يقفز فوق الحاجز.</t>
  </si>
  <si>
    <t>يجب على الفارس أن يوجه الحصان للقفز فوق الحاجز المائي لتقليل خطر الانزلاق.</t>
  </si>
  <si>
    <t>عند نهاية السباق، يبدو أن الحصان يتجاهل إشارات التوقف. ماذا تفعل؟</t>
  </si>
  <si>
    <t>أ) تستمر في الركض حتى يتوقف الحصان من تلقاء نفسه؛ ب) تستخدم السوط لإجباره على التوقف؛ ج) تستخدم اللجام بقوة وبشكل ثابت لإجباره على التوقف؛ د) تعود إلى التدريب على إشارات التوقف بعد السباق.</t>
  </si>
  <si>
    <t>تستخدم اللجام بقوة وبشكل ثابت لإجباره على التوقف.</t>
  </si>
  <si>
    <t>الحصان يحتاج إلى إشارات قوية وواضحة للتوقف، خاصة بعد السباق. استخدام اللجام بذكاء يساعد على إيقافه دون إيذاءه.</t>
  </si>
  <si>
    <t>إذا كان الحصان يميل إلى الاندفاع بسرعة كبيرة في بداية السباق، كيف تسيطر عليه؟</t>
  </si>
  <si>
    <t>أ) تسمح له بالاندفاع حتى يتعب؛ ب) تستخدم اللجام بقوة لإبطائه؛ ج) تعمل على تهدئته بإشارات هادئة وتعدل من وضعية جلوسك؛ د) تطلب من المدرب أن يضع عليه معدات إضافية.</t>
  </si>
  <si>
    <t>تعمل على تهدئته بإشارات هادئة وتعدل من وضعية جلوسك.</t>
  </si>
  <si>
    <t>الاندفاع يمكن أن يستنفذ طاقة الحصان. يجب على الفارس أن يكون هادئاً ويستخدم إشارات الجسم واللجام للتحكم في السرعة.</t>
  </si>
  <si>
    <t>أثناء السباق، تلاحظ أن حبل اللجام أصبح مرتخيًا. ماذا تفعل؟</t>
  </si>
  <si>
    <t>أ) تتجاهل الأمر وتستمر في السباق؛ ب) تبطئ من سرعة الحصان وتعدل من اللجام؛ ج) تصرخ على مساعديك لتنبيههم؛ د) تستخدم ذراعيك لتعويض ارتخاء اللجام.</t>
  </si>
  <si>
    <t>تبطئ من سرعة الحصان وتعدل من اللجام.</t>
  </si>
  <si>
    <t>اللجام المرتخي يمكن أن يسبب فقدان السيطرة. يجب إبطاء السرعة لتعديله بأمان.</t>
  </si>
  <si>
    <t>إذا كانت الحلبة تحتوي على تلال ومرتفعات، ماذا يجب أن تفعل؟</t>
  </si>
  <si>
    <t>أ) تزيد من السرعة عند صعود التلال؛ ب) تبطئ من السرعة عند صعود التلال وتسرع عند النزول؛ ج) تحافظ على سرعة ثابتة طوال الوقت؛ د) تسمح للحصان بالتحكم في سرعته.</t>
  </si>
  <si>
    <t>تبطئ من السرعة عند صعود التلال وتسرع عند النزول.</t>
  </si>
  <si>
    <t>إبطاء السرعة عند الصعود يمنع إجهاد الحصان، وزيادتها عند النزول يساعد على الاستفادة من الجاذبية.</t>
  </si>
  <si>
    <t>خلال التدريب، يرفض الحصان التواصل البصري معك. كيف تبني الثقة؟</t>
  </si>
  <si>
    <t>أ) تستمر في التدريب وتتجاهل سلوكه؛ ب) تنظر إليه بقوة لإجباره على التواصل؛ ج) تستخدم تقنيات تدريب إيجابية وتركز على التواصل غير اللفظي؛ د) تتوقف عن التدريب وتتركه بمفرده.</t>
  </si>
  <si>
    <t>تستخدم تقنيات تدريب إيجابية وتركز على التواصل غير اللفظي.</t>
  </si>
  <si>
    <t>الثقة تبنى بالصبر والتدريب الإيجابي. التواصل غير اللفظي هو أساس علاقة الفارس بالحصان.</t>
  </si>
  <si>
    <t>إذا تعرضت لإصابة طفيفة أثناء السباق ولكنك تستطيع الاستمرار، ما هو قرارك؟</t>
  </si>
  <si>
    <t>أ) تستمر في السباق وتتجاهل الألم؛ ب) تنسحب من السباق لتلقي العلاج؛ ج) تستمر في السباق وتراقب حالتك الصحية عن كثب؛ د) تطلب من طبيب أن يقدم لك المساعدة أثناء السباق.</t>
  </si>
  <si>
    <t>تستمر في السباق وتراقب حالتك الصحية عن كثب.</t>
  </si>
  <si>
    <t>بينما يجب أن تكون السلامة أولوية، قد لا تتطلب الإصابة الطفيفة الانسحاب. يجب الاستمرار بحذر ومراقبة الحالة.</t>
  </si>
  <si>
    <t>أثناء السباق، يشتت انتباهك صوت مفاجئ من الجمهور. كيف تحافظ على تركيزك؟</t>
  </si>
  <si>
    <t>أ) تنظر إلى مصدر الصوت لتفهمه؛ ب) تتجاهل الصوت وتركز على الحصان والمسار؛ ج) تطلب من المنظمين إسكات الجمهور؛ د) تصرخ على الجمهور ليتوقفوا.</t>
  </si>
  <si>
    <t>تتجاهل الصوت وتركز على الحصان والمسار.</t>
  </si>
  <si>
    <t>يجب على الفارس أن يظل مركزًا على السباق. تجاهل العوامل الخارجية هو جزء من الانضباط الذهني.</t>
  </si>
  <si>
    <t>إذا كان السباق يتضمن مسارًا في الغابة أو بين الأشجار. كيف تتصرف؟</t>
  </si>
  <si>
    <t>أ) تزيد من السرعة لتجاوز المسار بسرعة؛ ب) تبطئ من السرعة وتكون حذرًا من الفروع أو الجذور؛ ج) تعتمد على الحصان ليتجاوز العقبات؛ د) تصرخ على الحصان لتحذيره من الأشجار.</t>
  </si>
  <si>
    <t>تبطئ من السرعة وتكون حذرًا من الفروع أو الجذور.</t>
  </si>
  <si>
    <t>المسارات الضيقة تتطلب حذرًا شديدًا. يجب إبطاء السرعة لضمان سلامة الفارس والحصان.</t>
  </si>
  <si>
    <t>قبل السباق، يبدو أن الحصان يعاني من فقدان الشهية. كيف تتعامل مع ذلك؟</t>
  </si>
  <si>
    <t>أ) تجبره على تناول الطعام؛ ب) تستشير الطبيب البيطري لفحص سبب فقدان الشهية؛ ج) تطلب من المدرب أن يغير نوع الطعام؛ د) تتجاهل الأمر وتأمل أن يأكل بعد السباق.</t>
  </si>
  <si>
    <t>تستشير الطبيب البيطري لفحص سبب فقدان الشهية.</t>
  </si>
  <si>
    <t>فقدان الشهية قد يكون علامة على مرض أو إجهاد نفسي. يجب دائمًا استشارة طبيب بيطري قبل السباق.</t>
  </si>
  <si>
    <t>إذا كان الحصان يميل إلى القفز بشكل مائل بدلاً من مستقيم. كيف تصحح ذلك؟</t>
  </si>
  <si>
    <t>أ) تستخدم اللجام لتصحيح قفزته؛ ب) تسمح له بالقفز كما يريد؛ ج) تعود إلى التدريب الأساسي على القفز وتستخدم إشارات واضحة وثابتة؛ د) تطلب من المدرب أن يرفع الحواجز.</t>
  </si>
  <si>
    <t>تعود إلى التدريب الأساسي على القفز وتستخدم إشارات واضحة وثابتة.</t>
  </si>
  <si>
    <t>القفز المائل يمكن أن يسبب إصابات. الحل هو العودة للتدريب على تقنيات القفز الصحيحة.</t>
  </si>
  <si>
    <t>أثناء السباق، تشعر أن الحصان بدأ يفقد توازنه على المنحدرات. ماذا تفعل؟</t>
  </si>
  <si>
    <t>أ) تزيد من سرعتك لتجاوز المنحدر بسرعة؛ ب) تستخدم اللجام بقوة لإجباره على الثبات؛ ج) تركز على وضعية جلوسك وتستخدم ساقيك واللجام للحفاظ على التوازن؛ د) تنسحب من السباق لأن المسار خطير.</t>
  </si>
  <si>
    <t>تركز على وضعية جلوسك وتستخدم ساقيك واللجام للحفاظ على التوازن.</t>
  </si>
  <si>
    <t>يجب على الفارس أن يكون هو مركز الثبات للحصان. استخدام وضعية الجلوس المناسبة واللجام والساقين يساعد على الحفاظ على التوازن.</t>
  </si>
  <si>
    <t>إذا كنت في سباق ليلي وكان هناك ضباب كثيف. كيف تتعامل مع الرؤية المحدودة؟</t>
  </si>
  <si>
    <t>أ) تزيد من السرعة لتجاوز الضباب بسرعة؛ ب) تبطئ من السرعة وتعتمد على إشارات الحصان والمنافسين؛ ج) تصرخ على الآخرين لتحذيرهم؛ د) تنسحب من السباق بسبب خطر الرؤية.</t>
  </si>
  <si>
    <t>تبطئ من السرعة وتعتمد على إشارات الحصان والمنافسين.</t>
  </si>
  <si>
    <t>الرؤية المحدودة تتطلب حذرًا شديدًا. يجب إبطاء السرعة والاعتماد على الحصان ليتجاوز المسار بأمان.</t>
  </si>
  <si>
    <t>خلال السباق، تتعرض للرش من طين أو ماء بسبب حصان آخر. كيف تحافظ على رؤيتك؟</t>
  </si>
  <si>
    <t>أ) تستمر في السباق ولا تفعل شيئاً؛ ب) تحاول تنظيف نظارتك أو عينيك أثناء الركوب؛ ج) تبطئ من سرعتك وتنتظر حتى تتجاوزك الأحصنة الأخرى؛ د) تطلب من الحصان أن يزيد من سرعته.</t>
  </si>
  <si>
    <t>تحاول تنظيف نظارتك أو عينيك أثناء الركوب.</t>
  </si>
  <si>
    <t>الحفاظ على الرؤية أمر حاسم. يجب على الفارس أن يحاول تنظيف نظارته أو عينيه بسرعة.</t>
  </si>
  <si>
    <t>إذا كان الحصان يبدو خائفاً من الظلال على المسار، كيف تطمئنه؟</t>
  </si>
  <si>
    <t>أ) تزيد من السرعة لتجاوز الظل؛ ب) تستخدم اللجام بقوة لتخويفه؛ ج) تستخدم صوتًا هادئًا وتعدل من وضعية جلوسك لتهدئته؛ د) تتوقف قبل الظل وتنتظر حتى يذهب.</t>
  </si>
  <si>
    <t>تستخدم صوتًا هادئًا وتعدل من وضعية جلوسك لتهدئته.</t>
  </si>
  <si>
    <t>الخوف من الظل شائع. يجب على الفارس أن يظل هادئًا ويستخدم صوته ووضعيته لتهدئة الحصان.</t>
  </si>
  <si>
    <t>قبل السباق، تلاحظ أن أحد الفرسان الآخرين يمارس أسلوبًا عدوانيًا. كيف تستجيب؟</t>
  </si>
  <si>
    <t>أ) تمارس نفس الأسلوب العدواني؛ ب) تطلب من الحكام إيقاف الفارس؛ ج) تحافظ على هدوئك وتتجنب الاتصال المباشر معه؛ د) تنسحب من السباق لتجنب الصراع.</t>
  </si>
  <si>
    <t>تحافظ على هدوئك وتتجنب الاتصال المباشر معه.</t>
  </si>
  <si>
    <t>يجب على الفارس المحافظة على السلامة وتجنب الصراع. تجنب الاتصال المباشر والتركيز على سباقك هو الخيار الأفضل.</t>
  </si>
  <si>
    <t>إذا كانت الحلبة تحتوي على منعطفات متتالية قصيرة، ماذا تفعل؟</t>
  </si>
  <si>
    <t>أ) تسرع في المنعطفات لتكسب الوقت؛ ب) تبطئ من سرعتك وتأخذ المنعطفات بحذر؛ ج) تحافظ على سرعة ثابتة في كل المنعطفات؛ د) تترك الحصان يتخذ قراراته في المنعطفات.</t>
  </si>
  <si>
    <t>تبطئ من سرعتك وتأخذ المنعطفات بحذر.</t>
  </si>
  <si>
    <t>المنعطفات القصيرة تتطلب مهارة عالية. يجب إبطاء السرعة لتجنب الانزلاق أو فقدان التوازن.</t>
  </si>
  <si>
    <t>خلال التدريب، يبدو أن الحصان يميل إلى العودة إلى الإسطبل. كيف تحفزه على الاستمرار؟</t>
  </si>
  <si>
    <t>أ) تستخدم السوط لإجباره على الاستمرار؛ ب) تتوقف عن التدريب وتعود إلى الإسطبل؛ ج) تستخدم تقنيات تدريب إيجابية ومكافآت لتشجيعه؛ د) تتركه في الإسطبل لبعض الوقت ثم تعود.</t>
  </si>
  <si>
    <t>تستخدم تقنيات تدريب إيجابية ومكافآت لتشجيعه.</t>
  </si>
  <si>
    <t>الرغبة في العودة للإسطبل قد تكون علامة على الإرهاق. التحفيز الإيجابي هو الحل الأفضل.</t>
  </si>
  <si>
    <t>أثناء السباق، تلاحظ أن هناك خطأ في المسار الذي تسير عليه. كيف تتصرف؟</t>
  </si>
  <si>
    <t>أ) تستمر في السباق وتتجاهل الخطأ؛ ب) تتوقف وتعود لتصحيح المسار؛ ج) تبطئ من سرعتك وتعدل من اتجاهك بحذر؛ د) تصرخ على الحكام لتنبيههم.</t>
  </si>
  <si>
    <t>تبطئ من سرعتك وتعدل من اتجاهك بحذر.</t>
  </si>
  <si>
    <t>يجب على الفارس أن يصحح المسار بأسرع وقت ممكن وبأمان. إبطاء السرعة يسمح بالتعديل دون التسبب في حادث.</t>
  </si>
  <si>
    <t>إذا كان الحصان يميل إلى التباطؤ عندما يرى منافسًا يسبقه. كيف تحفزه؟</t>
  </si>
  <si>
    <t>أ) تستخدم السوط لإجباره على التسريع؛ ب) تتركه يتباطأ وتستمر في السباق؛ ج) تستخدم صوتًا واضحًا وإشارات الجسم لتحفيزه وتغيير تركيزه؛ د) تطلب من منافسك أن يتباطأ أيضًا.</t>
  </si>
  <si>
    <t>تستخدم صوتًا واضحًا وإشارات الجسم لتحفيزه وتغيير تركيزه.</t>
  </si>
  <si>
    <t>التباطؤ قد يكون علامة على فقدان الثقة. التحفيز الإيجابي هو الأسلوب الأفضل.</t>
  </si>
  <si>
    <t>إذا كان هناك تغيير مفاجئ في إيقاع السباق بسبب المنافسين، كيف تتكيف؟</t>
  </si>
  <si>
    <t>أ) تلتزم بإيقاعك المخطط له؛ ب) تحاول تقليد إيقاع المنافسين؛ ج) تعدل من إيقاعك بناءً على إيقاع السباق الجديد وتوقيتك؛ د) تنسحب من السباق لأن الإيقاع تغير.</t>
  </si>
  <si>
    <t>تعدل من إيقاعك بناءً على إيقاع السباق الجديد وتوقيتك.</t>
  </si>
  <si>
    <t>يجب على الفارس أن يكون مرنًا وقادرًا على التكيف مع الظروف المتغيرة.</t>
  </si>
  <si>
    <t>description</t>
  </si>
  <si>
    <t>Questions</t>
  </si>
  <si>
    <t>Options</t>
  </si>
  <si>
    <t>answer</t>
  </si>
  <si>
    <t>Column 5</t>
  </si>
  <si>
    <t>Column 6</t>
  </si>
  <si>
    <t>أثناء مواجهة قتال البقر، لاحظت أن البقرة تظهر علامات العدوانية. ماذا تفعل؟</t>
  </si>
  <si>
    <t>أ) تبقي مسافة آمنة وتحاول تهدئتها؛ ب) تقترب منها وتكمل المعركة؛ ج) تتراجع بسرعة؛ د) تطلب المساعدة من الفريق</t>
  </si>
  <si>
    <t>أ) تبقي مسافة آمنة وتحاول تهدئتها</t>
  </si>
  <si>
    <t>من المهم الحفاظ على الأمان والتعامل مع العدوان بحذر لتجنب الإصابات.</t>
  </si>
  <si>
    <t>إذا كانت البقرة ترفض الدخول إلى الحلبة، ماذا تفعل؟</t>
  </si>
  <si>
    <t>أ) تحاول جذبها بهدوء داخل الحلبة؛ ب) تضغط عليها لدخولها بالقوة؛ ج) تطلب من الفريق مساعدتها؛ د) تترك الحلبة وتنسحب</t>
  </si>
  <si>
    <t>أ) تحاول جذبها بهدوء داخل الحلبة</t>
  </si>
  <si>
    <t>التعامل برفق مع البقرة يعزز استجابتها ويدخلها الحلبة بأمان.</t>
  </si>
  <si>
    <t>أثناء قتال البقر، لاحظت أن البقرة بدأت في إظهار علامات التعب الشديد. ماذا تفعل؟</t>
  </si>
  <si>
    <t>أ) تبطئ وتمنحها فترة راحة قصيرة؛ ب) تستمر في القتال بحذر؛ ج) تطلب من الحكم إنهاء المعركة؛ د) تطلب فحصًا طبيًا فوريًا</t>
  </si>
  <si>
    <t>أ) تبطئ وتمنحها فترة راحة قصيرة</t>
  </si>
  <si>
    <t>الراحة القصيرة تساعد البقرة على استعادة قوتها وتحسن الأداء بشكل آمن.</t>
  </si>
  <si>
    <t>إذا كانت البقرة تحاول الهروب من الحلبة، ماذا تفعل؟</t>
  </si>
  <si>
    <t>أ) تحاول إيقافها بهدوء وقيادتها للخارج؛ ب) تطلب مساعدة من الفريق لإيقافها؛ ج) تطلب تدخل الحكم فورًا؛ د) تترك الحلبة وتنسحب</t>
  </si>
  <si>
    <t>أ) تحاول إيقافها بهدوء وقيادتها للخارج</t>
  </si>
  <si>
    <t>التوجيه الهادئ يساعد في التحكم في البقرة دون التسبب في إجهاد أو قلق لها.</t>
  </si>
  <si>
    <t>إذا كان هناك إشارات لوجود إصابة في ساق البقرة أثناء القتال، ماذا تفعل؟</t>
  </si>
  <si>
    <t>أ) تطلب المساعدة الطبية فورًا؛ ب) تستمر في المعركة برغم الإصابة؛ ج) تطلب إيقاف القتال حتى يتم تقييم الحالة؛ د) تواصل القتال مع محاولة تخفيف الضغط على الساق</t>
  </si>
  <si>
    <t>أ) تطلب المساعدة الطبية فورًا</t>
  </si>
  <si>
    <t>الإصابة قد تتفاقم إذا لم تتم معالجتها بشكل مناسب، مما يعرض البقرة لخطر أكبر.</t>
  </si>
  <si>
    <t>أثناء المعركة، لاحظت أن البقرة تظهر علامات من الخوف بسبب الضوضاء في الحلبة. ماذا تفعل؟</t>
  </si>
  <si>
    <t>أ) تهدئها بصوتك وتحاول أن تبقيها هادئة؛ ب) تترك الحلبة وتنسحب؛ ج) تطلب من المنظمين تقليل الضوضاء؛ د) تضغط عليها للاستمرار في المعركة</t>
  </si>
  <si>
    <t>أ) تهدئها بصوتك وتحاول أن تبقيها هادئة</t>
  </si>
  <si>
    <t>التهدئة الصوتية تساعد على تقليل التوتر والخوف لدى البقرة.</t>
  </si>
  <si>
    <t>إذا كانت البقرة في حالة صحية غير جيدة قبل المعركة، ماذا تفعل؟</t>
  </si>
  <si>
    <t>أ) تأجل المعركة إلى وقت لاحق؛ ب) تطلب فحصًا طبيًا للبقرة قبل البدء؛ ج) تستمر في القتال رغم حالتها؛ د) تستبدل البقرة بأخرى، إذا كانت ممكنة</t>
  </si>
  <si>
    <t>ب) تطلب فحصًا طبيًا للبقرة قبل البدء</t>
  </si>
  <si>
    <t>التأكد من الحالة الصحية للبقرة أمر أساسي للحفاظ على سلامتها أثناء المعركة.</t>
  </si>
  <si>
    <t>إذا كنت في مواجهة مع منافس قوي جدًا، ماذا تفعل؟</t>
  </si>
  <si>
    <t>أ) تركز على استراتيجيات دفاعية لتهدئة الوضع؛ ب) تضغط عليه بقوة للفوز؛ ج) تحاول إرباكه باستخدام أساليب غير متوقعة؛ د) تطلب مساعدة من الفريق</t>
  </si>
  <si>
    <t>أ) تركز على استراتيجيات دفاعية لتهدئة الوضع</t>
  </si>
  <si>
    <t>التفكير الاستراتيجي يساعد في تقليل الخطر وزيادة الفرص.</t>
  </si>
  <si>
    <t>إذا كانت البقرة تتعرض لهجوم قوي من منافس آخر، ماذا تفعل؟</t>
  </si>
  <si>
    <t>أ) تحاول أن تدخل وتحمي البقرة؛ ب) تترك البقرة تواصل القتال كما هي؛ ج) تطلب تدخل الحكم فورًا؛ د) تستمر في القتال بحذر</t>
  </si>
  <si>
    <t>أ) تحاول أن تدخل وتحمي البقرة</t>
  </si>
  <si>
    <t>الحماية مهمة لضمان سلامة البقرة ومنعها من التعرض للإصابات.</t>
  </si>
  <si>
    <t>أثناء القتال، لاحظت أن البقرة تظهر علامات إجهاد شديد. ماذا تفعل؟</t>
  </si>
  <si>
    <t>أ) تمنحها فترة راحة قصيرة وتساعدها على استعادة طاقتها؛ ب) تستمر في القتال لتقليل الوقت؛ ج) تطلب من الفريق إيقاف المعركة فورًا؛ د) تحاول تغيير أسلوب القتال</t>
  </si>
  <si>
    <t>أ) تمنحها فترة راحة قصيرة وتساعدها على استعادة طاقتها</t>
  </si>
  <si>
    <t>الإجهاد الزائد يؤثر على أداء البقرة، ومنحها فترة راحة يساعدها في العودة للأداء الجيد.</t>
  </si>
  <si>
    <t>إذا كانت البقرة تظهر علامات قلق بسبب وجود منافس آخر بالقرب منها، ماذا تفعل؟</t>
  </si>
  <si>
    <t>أ) تهدئها وتبقيها مركزة على المعركة؛ ب) تطلب مساعدة من الفريق لإبعاد المنافس؛ ج) تضغط عليها للاستمرار في المعركة؛ د) تطلب من الحكم التدخل</t>
  </si>
  <si>
    <t>أ) تهدئها وتبقيها مركزة على المعركة</t>
  </si>
  <si>
    <t>التوتر يؤثر على تركيز البقرة، والتهدئة تساهم في تقليل القلق.</t>
  </si>
  <si>
    <t>إذا تعرضت البقرة لصدمة بسبب سقوطها، ماذا تفعل؟</t>
  </si>
  <si>
    <t>أ) تطلب المساعدة الطبية فورًا؛ ب) تحاول إجبارها على النهوض بسرعة؛ ج) تتأكد من عدم وجود إصابات وتستأنف القتال؛ د) تطلب فحصًا طبيًا قبل مواصلة المعركة</t>
  </si>
  <si>
    <t>السقوط قد يسبب إصابات خطيرة، ويجب فحص البقرة فورًا لضمان سلامتها.</t>
  </si>
  <si>
    <t>إذا كانت البقرة تظهر علامات قلة الاهتمام أثناء المعركة، ماذا تفعل؟</t>
  </si>
  <si>
    <t>أ) تحاول تحفيزها بطرق مختلفة؛ ب) تتوقف وتستريح قليلاً؛ ج) تطلب تدخل المدرب لتحسين تركيزها؛ د) تستمر في المعركة وتنتظر أن تتحسن الأمور</t>
  </si>
  <si>
    <t>أ) تحاول تحفيزها بطرق مختلفة</t>
  </si>
  <si>
    <t>التحفيز يمكن أن يساعد البقرة على العودة إلى أدائها الطبيعي ويزيد من حماسها.</t>
  </si>
  <si>
    <t>إذا كانت البقرة لا تتبع الأوامر بشكل صحيح أثناء المعركة، ماذا تفعل؟</t>
  </si>
  <si>
    <t>أ) تعيد تدريبها في جلسات فردية؛ ب) تضغط عليها للاستجابة؛ ج) تطلب المساعدة من المدرب لتحسين الأداء؛ د) تستمر في المعركة بشكل عشوائي</t>
  </si>
  <si>
    <t>أ) تعيد تدريبها في جلسات فردية</t>
  </si>
  <si>
    <t>إعادة التدريب على الأوامر يعزز الأداء ويساعد البقرة على التركيز.</t>
  </si>
  <si>
    <t>إذا لاحظت أن البقرة تواجه صعوبة في التكيف مع ظروف الحلبة، ماذا تفعل؟</t>
  </si>
  <si>
    <t>أ) تحاول تغيير المسار لتجنب الصعوبات؛ ب) تضغط عليها لتتكيف مع الظروف؛ ج) تطلب من الفريق تعديل الحلبة؛ د) تهدئها وتتيح لها وقتًا للتأقلم</t>
  </si>
  <si>
    <t>د) تهدئها وتتيح لها وقتًا للتأقلم</t>
  </si>
  <si>
    <t>التأقلم مع الظروف يتطلب الصبر والمساعدة لضمان سلامة البقرة وتحقيق الأداء الجيد.</t>
  </si>
  <si>
    <t>إذا كانت البقرة تصدر أصواتًا غير طبيعية أثناء المعركة، ماذا تفعل؟</t>
  </si>
  <si>
    <t>أ) توقف المعركة وتستدعي الطبيب البيطري؛ ب) تستمر في المعركة مع مراقبة الوضع؛ ج) تطلب تدخل المدرب؛ د) تطلب من الفريق تقديم الدعم</t>
  </si>
  <si>
    <t>أ) توقف المعركة وتستدعي الطبيب البيطري</t>
  </si>
  <si>
    <t>الأصوات غير الطبيعية قد تكون علامة على وجود مشكلة صحية تحتاج إلى فحص فوري.</t>
  </si>
  <si>
    <t>إذا تعرضت البقرة لصدمة من حيوان آخر في الحلبة، ماذا تفعل؟</t>
  </si>
  <si>
    <t>أ) تحاول تهدئة البقرة وتفحص حالتها الصحية؛ ب) تطلب من الحكم إيقاف المعركة فورًا؛ ج) تستمر في القتال لتقليل الوقت؛ د) تطلب المساعدة الطبية مباشرة</t>
  </si>
  <si>
    <t>أ) تحاول تهدئة البقرة وتفحص حالتها الصحية</t>
  </si>
  <si>
    <t>التأكد من حالة البقرة الصحية بعد الصدمة ضروري لتحديد إذا كانت بحاجة إلى العلاج أو الاستراحة.</t>
  </si>
  <si>
    <t>إذا كانت البقرة تتصرف بشكل غير معتاد قبل القتال، ماذا تفعل؟</t>
  </si>
  <si>
    <t>أ) تطلب من الطبيب البيطري فحصها قبل البدء؛ ب) تضغط عليها للبدء في القتال؛ ج) تطلب من الفريق التأكد من تجهيزاتها بشكل جيد؛ د) تتجاهل الأعراض وتبدأ القتال</t>
  </si>
  <si>
    <t>أ) تطلب من الطبيب البيطري فحصها قبل البدء</t>
  </si>
  <si>
    <t>الصحة الجيدة ضرورية للقتال، والفحص الطبي يضمن أن البقرة جاهزة للمشاركة.</t>
  </si>
  <si>
    <t>إذا لاحظت أن البقرة تتعرض للتعب الشديد بعد قتال طويل، ماذا تفعل؟</t>
  </si>
  <si>
    <t>أ) تمنحها فترة راحة وتوفر لها الماء والطعام؛ ب) تستمر في القتال لإنهاء المعركة؛ ج) تطلب المساعدة الطبية فورًا؛ د) تطلب فحصًا للتأكد من حالتها الصحية</t>
  </si>
  <si>
    <t>أ) تمنحها فترة راحة وتوفر لها الماء والطعام</t>
  </si>
  <si>
    <t>التعب يحتاج إلى وقت للتعافي، وتقديم الرعاية السليمة يعزز صحة البقرة وأدائها.</t>
  </si>
  <si>
    <t>إذا كانت البقرة تواجه صعوبة في التنفس بعد القتال، ماذا تفعل؟</t>
  </si>
  <si>
    <t>أ) تطلب المساعدة الطبية فورًا لفحص التنفس؛ ب) تستمر في المعركة رغم صعوبة التنفس؛ ج) تبقى هادئًا وتراقب حالتها عن كثب؛ د) تترك المعركة وتنسحب</t>
  </si>
  <si>
    <t>أ) تطلب المساعدة الطبية فورًا لفحص التنفس</t>
  </si>
  <si>
    <t>مشاكل التنفس تتطلب تقييمًا طبيًا فوريًا لتحديد السبب واتخاذ الإجراءات المناسبة.</t>
  </si>
  <si>
    <t>إذا كانت البقرة تظهر علامات العدوانية تجاه منافس آخر، ماذا تفعل؟</t>
  </si>
  <si>
    <t>أ) تحاول تهدئتها بهدوء؛ ب) تسرع لتفادي الهجوم؛ ج) تدفع المنافس بعيدًا؛ د) تتجاهل الموقف وتستمر</t>
  </si>
  <si>
    <t>أ) تحاول تهدئتها بهدوء</t>
  </si>
  <si>
    <t>التهدئة الهادئة تساهم في تقليل العدوانية والحفاظ على سلامة الجميع.</t>
  </si>
  <si>
    <t>إذا كانت البقرة تتصرف بشكل غير عادي أثناء دخولها الحلبة، ماذا تفعل؟</t>
  </si>
  <si>
    <t>أ) تطلب فحصًا طبيًا سريعًا؛ ب) تطلب تدخل المدرب لتوجيهها؛ ج) تستمر في الدخول مع محاولة السيطرة عليها؛ د) تغير المسار فورًا</t>
  </si>
  <si>
    <t>أ) تطلب فحصًا طبيًا سريعًا</t>
  </si>
  <si>
    <t>التصرفات غير العادية قد تشير إلى مشكلة صحية تحتاج إلى فحص فوري.</t>
  </si>
  <si>
    <t>إذا كان هناك تأخير في بدء المعركة بسبب مشكلة في المعدات، ماذا تفعل؟</t>
  </si>
  <si>
    <t>أ) تبقى هادئًا وتنتظر أن يتم حل المشكلة؛ ب) تطلب إنهاء المعركة؛ ج) تغير الحلبة فورًا؛ د) تضغط على الفريق لتسريع الحل</t>
  </si>
  <si>
    <t>أ) تبقى هادئًا وتنتظر أن يتم حل المشكلة</t>
  </si>
  <si>
    <t>البقاء هادئًا في مثل هذه الحالات يساهم في الحفاظ على التوازن والتركيز.</t>
  </si>
  <si>
    <t>إذا كانت البقرة غير قادرة على متابعة المعركة بسبب تعب شديد، ماذا تفعل؟</t>
  </si>
  <si>
    <t>أ) تمنحها فترة راحة وتمنعها من استكمال المعركة؛ ب) تضغط عليها للاستمرار؛ ج) تطلب من المدرب تقييم حالتها؛ د) تطلب مساعدة طبية على الفور</t>
  </si>
  <si>
    <t>أ) تمنحها فترة راحة وتمنعها من استكمال المعركة</t>
  </si>
  <si>
    <t>تقديم الراحة يساعد في تجنب الإصابات والتأكد من سلامة البقرة.</t>
  </si>
  <si>
    <t>أثناء المعركة، هل يمكنك مساعدة البقرة على تجنب الضربة القادمة؟</t>
  </si>
  <si>
    <t>أ) تحاول إيقاف الضربة باستخدام أسلوب الدفاع؛ ب) تتراجع وتنتظر الفرصة المناسبة للهجوم؛ ج) تطلب من الفريق التدخل؛ د) تستمر في القتال بدون تغيير</t>
  </si>
  <si>
    <t>أ) تحاول إيقاف الضربة باستخدام أسلوب الدفاع</t>
  </si>
  <si>
    <t>دفاع مناسب يساعد في تجنب الإصابات ويزيد فرص النجاح.</t>
  </si>
  <si>
    <t>أ) تأجيل المعركة إلى وقت لاحق حتى تصبح البقرة أفضل؛ ب) تطلب فحصًا طبيًا فورًا؛ ج) تضغط على البقرة للمشاركة بأي حال؛ د) تستبدل البقرة، إذا كانت ممكنة</t>
  </si>
  <si>
    <t>ب) تطلب فحصًا طبيًا فورًا</t>
  </si>
  <si>
    <t>الفحص الطبي يساعد في التأكد من قدرة البقرة على المشاركة بأمان.</t>
  </si>
  <si>
    <t>إذا كان منافسك يستخدم أسلوبًا غير رياضي في القتال، ماذا تفعل؟</t>
  </si>
  <si>
    <t>أ) تطلب تدخل الحكم فورًا؛ ب) تستمر في القتال دون تغيير؛ ج) تستخدم أسلوبك الخاص لتفادي هذه التكتيكات؛ د) تتوقف وتغادر الحلبة</t>
  </si>
  <si>
    <t>أ) تطلب تدخل الحكم فورًا</t>
  </si>
  <si>
    <t>التأكد من احترام قواعد اللعبة يحافظ على نزاهة القتال وأمان المشاركين.</t>
  </si>
  <si>
    <t>أثناء المعركة، إذا كانت البقرة تظهر علامات من الإرهاق، ماذا تفعل؟</t>
  </si>
  <si>
    <t>أ) تأخذ استراحة وتمنحها الماء والطعام؛ ب) تضغط عليها للاستمرار في المعركة؛ ج) تطلب مساعدة طبية على الفور؛ د) تطلب من الفريق مساعدتها، ثم تكمل القتال</t>
  </si>
  <si>
    <t>أ) تأخذ استراحة وتمنحها الماء والطعام</t>
  </si>
  <si>
    <t>إراحة البقرة واستعادتها للطاقة يساعد في الحفاظ على قدرتها على التنافس.</t>
  </si>
  <si>
    <t>إذا كانت البقرة تتعرض لضغط نفسي شديد خلال المعركة، ماذا تفعل؟</t>
  </si>
  <si>
    <t>أ) تهدئها وتحاول أن تبقيها مركزة؛ ب) تزيد الضغط عليها للاستمرار؛ ج) تطلب من الفريق تقديم الدعم المعنوي؛ د) تنهي المعركة</t>
  </si>
  <si>
    <t>أ) تهدئها وتحاول أن تبقيها مركزة</t>
  </si>
  <si>
    <t>التهدئة النفسية تساهم في زيادة تركيز البقرة وتقليل تأثير التوتر.</t>
  </si>
  <si>
    <t>إذا كنت تلاحظ أن البقرة تتعرض لإصابة طفيفة أثناء المعركة، ماذا تفعل؟</t>
  </si>
  <si>
    <t>أ) تطلب المساعدة الطبية لفحص الإصابة؛ ب) تستمر في المعركة مع محاولة تجنب المنطقة المصابة؛ ج) تطلب إيقاف المعركة فورًا؛ د) تطلب من الفريق تدعيم المنطقة المصابة</t>
  </si>
  <si>
    <t>أ) تطلب المساعدة الطبية لفحص الإصابة</t>
  </si>
  <si>
    <t>التعامل مع الإصابات الطفيفة فورًا يساعد في منع تفاقم الحالة.</t>
  </si>
  <si>
    <t>إذا كانت البقرة تظهر علامات قلق بسبب وجود حشود كبيرة حول الحلبة، ماذا تفعل؟</t>
  </si>
  <si>
    <t>أ) تهدئها وتحاول تقليل التوتر؛ ب) تسرع في إنهاء المعركة؛ ج) تغير الحلبة لتجنب الحشود؛ د) تطلب إيقاف المعركة</t>
  </si>
  <si>
    <t>أ) تهدئها وتحاول تقليل التوتر</t>
  </si>
  <si>
    <t>التهدئة تساهم في إبقاء البقرة تحت السيطرة والتركيز على المعركة.</t>
  </si>
  <si>
    <t>إذا كانت البقرة تواجه صعوبة في التحرك بسبب الأرضية الزلقة، ماذا تفعل؟</t>
  </si>
  <si>
    <t>أ) تغير المسار لتجنب المنطقة الزلقة؛ ب) تبطئ لتقليل الخطر على البقرة؛ ج) تطلب من فريقك تعديل الحلبة؛ د) تطلب إيقاف المعركة</t>
  </si>
  <si>
    <t>ب) تبطئ لتقليل الخطر على البقرة</t>
  </si>
  <si>
    <t>التباطؤ يساعد في تقليل احتمالية السقوط أو الإصابة على الأرض الزلقة.</t>
  </si>
  <si>
    <t>إذا لاحظت أن البقرة بدأت تتصرف بشكل عدواني تجاهك، ماذا تفعل؟</t>
  </si>
  <si>
    <t>أ) تحاول تهدئتها بهدوء وتبقي مسافة آمنة؛ ب) تسرع وتغادر الحلبة فورًا؛ ج) تطلب من الفريق مساعدتها؛ د) تزيد من التفاعل لتشتيتها</t>
  </si>
  <si>
    <t>أ) تحاول تهدئتها بهدوء وتبقي مسافة آمنة</t>
  </si>
  <si>
    <t>التعامل بهدوء يقلل من التصرفات العدوانية ويضمن السلامة.</t>
  </si>
  <si>
    <t>إذا كنت تشعر بالضغط النفسي أثناء المعركة، ماذا تفعل؟</t>
  </si>
  <si>
    <t>أ) تهدئ نفسك وتحاول التركيز على أداء البقرة؛ ب) تتوقف وتطلب من الفريق التدخل؛ ج) تضغط على نفسك للاستمرار في القتال؛ د) تغير استراتيجيتك بشكل مفاجئ</t>
  </si>
  <si>
    <t>أ) تهدئ نفسك وتحاول التركيز على أداء البقرة</t>
  </si>
  <si>
    <t>التركيز يساعد في الحفاظ على الهدوء واتخاذ القرارات الصحيحة.</t>
  </si>
  <si>
    <t>إذا كانت البقرة ترفض الاستجابة لك بعد عدة محاولات، ماذا تفعل؟</t>
  </si>
  <si>
    <t>أ) تطلب من المدرب تقديم نصائح جديدة؛ ب) تضغط عليها للاستجابة؛ ج) تغير طريقة تدريبها تمامًا؛ د) تستمر وتنتظر تحسن الوضع</t>
  </si>
  <si>
    <t>أ) تطلب من المدرب تقديم نصائح جديدة</t>
  </si>
  <si>
    <t>الاستفادة من نصائح المدرب تساعد في تحديد الأساليب الأكثر فاعلية.</t>
  </si>
  <si>
    <t>إذا كانت البقرة تظهر علامات عدوانية قبل بدء المعركة، ماذا تفعل؟</t>
  </si>
  <si>
    <t>أ) تهدئها وتحاول تهديد المنافس لإبعادها عنه؛ ب) تضغط عليها للقتال مباشرة؛ ج) تطلب إيقاف المعركة فورًا؛ د) تطلب من الفريق مساعدتها، ثم تبدأ</t>
  </si>
  <si>
    <t>أ) تهدئها وتحاول تهديد المنافس لإبعادها عنه</t>
  </si>
  <si>
    <t>تهدئة البقرة والقيام بتوجيه الأمور بشكل استراتيجي يحسن فرص النجاح.</t>
  </si>
  <si>
    <t>إذا كانت البقرة تبدو متعبة بشكل ملحوظ أثناء المعركة، ماذا تفعل؟</t>
  </si>
  <si>
    <t>أ) تمنحها استراحة وتوفر لها الماء والطعام؛ ب) تطلب من الفريق مساعدتها لإتمام المعركة؛ ج) تستمر في المعركة بسرعة؛ د) تطلب المساعدة الطبية فورًا</t>
  </si>
  <si>
    <t>أ) تمنحها استراحة وتوفر لها الماء والطعام</t>
  </si>
  <si>
    <t>الراحة المناسبة تجعل البقرة تستعيد قوتها وتكمل المعركة بأداء أفضل.</t>
  </si>
  <si>
    <t>إذا كانت البقرة تظهر علامات خوف واضحة من الأصوات العالية، ماذا تفعل؟</t>
  </si>
  <si>
    <t>أ) تحاول تهدئتها وتحميها من الضوضاء؛ ب) تضغط عليها للقتال؛ ج) تطلب من الفريق تقليل الضوضاء؛ د) تتوقف عن المعركة</t>
  </si>
  <si>
    <t>أ) تحاول تهدئتها وتحميها من الضوضاء</t>
  </si>
  <si>
    <t>التهدئة والتقليل من الضوضاء يساعدان البقرة على الشعور بالأمان والتركيز.</t>
  </si>
  <si>
    <t>إذا كان المنافس يستخدم أساليب عدوانية ضدك أثناء المعركة، ماذا تفعل؟</t>
  </si>
  <si>
    <t>أ) تطلب تدخل الحكم فورًا؛ ب) تستمر في المعركة باستخدام أسلوبك الخاص؛ ج) تبطئ لتجنب المزيد من الأضرار؛ د) تطلب من الفريق تقديم دعم إضافي</t>
  </si>
  <si>
    <t>التأكد من تطبيق القواعد يحافظ على نزاهة المعركة ويحمي الجميع.</t>
  </si>
  <si>
    <t>إذا كانت البقرة تواجه صعوبة في التكيف مع بيئة الحلبة، ماذا تفعل؟</t>
  </si>
  <si>
    <t>أ) تمنحها الوقت للتأقلم مع البيئة؛ ب) تضغط عليها للاستجابة بشكل أسرع؛ ج) تطلب من الفريق تعديل البيئة الخارجية؛ د) تتجاهل الموقف وتستمر في المعركة</t>
  </si>
  <si>
    <t>أ) تمنحها الوقت للتأقلم مع البيئة</t>
  </si>
  <si>
    <t>التأقلم مع البيئة يعد خطوة هامة لتحسين أداء البقرة وضمان سلامتها.</t>
  </si>
  <si>
    <t>إذا كانت البقرة تظهر علامات من الإرهاق في منتصف المعركة، ماذا تفعل؟</t>
  </si>
  <si>
    <t>أ) تطلب استراحة فورية وتمنحها بعض الماء؛ ب) تضغط عليها للاستمرار؛ ج) تطلب من الفريق التبديل؛ د) تستمر في المعركة دون تغيير</t>
  </si>
  <si>
    <t>أ) تطلب استراحة فورية وتمنحها بعض الماء</t>
  </si>
  <si>
    <t>إراحة البقرة يساعد على استعادة طاقتها وتقليل خطر الإصابة.</t>
  </si>
  <si>
    <t>إذا لاحظت أن البقرة قد أصيبت بجروح طفيفة أثناء المعركة، ماذا تفعل؟</t>
  </si>
  <si>
    <t>أ) تطلب المساعدة الطبية لفحص الإصابة؛ ب) تستمر في المعركة بحذر؛ ج) تهدئ البقرة وتراقب حالتها عن كثب؛ د) تطلب إيقاف المعركة فورًا</t>
  </si>
  <si>
    <t>التعامل مع الإصابات فورًا يمنع تفاقم الحالة ويضمن سلامة البقرة.</t>
  </si>
  <si>
    <t>إذا كانت البقرة تظهر علامات قلق شديد قبل بداية المعركة، ماذا تفعل؟</t>
  </si>
  <si>
    <t>أ) تحاول تهدئتها وتهديء من توترها؛ ب) تضغط عليها للمشاركة فورًا؛ ج) تطلب من المدرب التدخل؛ د) تتجاهل القلق وتبدأ المعركة</t>
  </si>
  <si>
    <t>أ) تحاول تهدئتها وتهديء من توترها</t>
  </si>
  <si>
    <t>التهدئة تساعد في تحسين أداء البقرة وتقليل تأثير القلق على المعركة.</t>
  </si>
  <si>
    <t>إذا كان منافسك في المعركة يبدو متعبًا جدًا، ماذا تفعل؟</t>
  </si>
  <si>
    <t>أ) تضغط عليه للاستفادة من حالته؛ ب) تواصل معركتك بهدوء دون تعجل؛ ج) تتوقف وتتركه يرتاح؛ د) تطلب إنهاء المعركة</t>
  </si>
  <si>
    <t>ب) تواصل معركتك بهدوء دون تعجل</t>
  </si>
  <si>
    <t>الحفاظ على الهدوء والانتظار يساعد في إنهاء المعركة بأمان وفعالية.</t>
  </si>
  <si>
    <t>إذا كانت البقرة تواجه صعوبة في التنفس أثناء المعركة، ماذا تفعل؟</t>
  </si>
  <si>
    <t>أ) تطلب المساعدة الطبية فورًا لفحص التنفس؛ ب) تستمر في القتال وتنتظر تحسن الوضع؛ ج) تمنحها بعض الراحة وتوقف المعركة مؤقتًا؛ د) تغادر الحلبة فورًا</t>
  </si>
  <si>
    <t>مشاكل التنفس تتطلب تدخلاً طبيًا فورًا لتجنب تفاقم الوضع.</t>
  </si>
  <si>
    <t>إذا كان هناك تأخير في المعركة بسبب مشكلة في المعدات، ماذا تفعل؟</t>
  </si>
  <si>
    <t>أ) تبقى هادئًا وتنتظر إصلاح المشكلة؛ ب) تطلب إنهاء المعركة؛ ج) تترك الحلبة وتغادر؛ د) تطلب من الفريق تسريع الإصلاح، لكن تظل هادئًا</t>
  </si>
  <si>
    <t>أ) تبقى هادئًا وتنتظر إصلاح المشكلة</t>
  </si>
  <si>
    <t>الهدوء يساعد في الحفاظ على التركيز والإيجابية أثناء انتظار الحل.</t>
  </si>
  <si>
    <t>إذا كانت البقرة تبدو متعبة ولكنها لا تظهر إصابات واضحة، ماذا تفعل؟</t>
  </si>
  <si>
    <t>أ) تمنحها استراحة قصيرة وتجعلها تستعيد طاقتها؛ ب) تضغط عليها للاستمرار؛ ج) تطلب فحصًا طبيًا للتأكد من حالتها؛ د) تترك المعركة وتنسحب</t>
  </si>
  <si>
    <t>أ) تمنحها استراحة قصيرة وتجعلها تستعيد طاقتها</t>
  </si>
  <si>
    <t>الراحة البسيطة يمكن أن تساعد في تحسين أدائها وتفادي الإرهاق المفرط.</t>
  </si>
  <si>
    <t>إذا كانت البقرة تتصرف بشكل عدواني جدًا نحو الآخرين في الحلبة، ماذا تفعل؟</t>
  </si>
  <si>
    <t>أ) تهدئها وتحاول منع العدوانية باستخدام أسلوب تحكم هادئ؛ ب) تتركها وشأنها لتستمر؛ ج) تطلب تدخل الحكم فورًا؛ د) تزيد من العدوانية لضمان الفوز</t>
  </si>
  <si>
    <t>أ) تهدئها وتحاول منع العدوانية باستخدام أسلوب تحكم هادئ</t>
  </si>
  <si>
    <t>التحكم في العدوانية يساعد في الحفاظ على أمان الجميع في الحلبة.</t>
  </si>
  <si>
    <t>إذا لاحظت أن البقرة لديها إصابة كبيرة بعد المعركة، ماذا تفعل؟</t>
  </si>
  <si>
    <t>أ) تطلب المساعدة الطبية فورًا لتقديم العلاج؛ ب) تستمر في القتال رغم الإصابة؛ ج) تنتظر لتحسن حالتها قبل اتخاذ إجراء؛ د) تطلب إيقاف المعركة فورًا</t>
  </si>
  <si>
    <t>أ) تطلب المساعدة الطبية فورًا لتقديم العلاج</t>
  </si>
  <si>
    <t>الإصابات الكبيرة تتطلب تدخلاً طبيًا عاجلًا لتجنب تفاقم الوضع.</t>
  </si>
  <si>
    <t>إذا كان المنافس يستخدم أساليب غير قانونية في المعركة، ماذا تفعل؟</t>
  </si>
  <si>
    <t>أ) تطلب من الحكم التدخل فورًا لاتخاذ الإجراءات اللازمة؛ ب) تستمر في المعركة بدون اعتراض؛ ج) تتجنب الاتصال الجسدي مع المنافس؛ د) تغير استراتيجيتك لمحاربة الأساليب غير القانونية</t>
  </si>
  <si>
    <t>أ) تطلب من الحكم التدخل فورًا لاتخاذ الإجراءات اللازمة</t>
  </si>
  <si>
    <t>التأكد من تطبيق القواعد يساعد في الحفاظ على نزاهة المعركة.</t>
  </si>
  <si>
    <t>إذا كانت البقرة تظهر علامات ألم واضحة بعد المعركة، ماذا تفعل؟</t>
  </si>
  <si>
    <t>أ) تطلب المساعدة الطبية على الفور؛ ب) تستمر في المعركة؛ ج) تهدئ البقرة وتراقب حالتها عن كثب؛ د) تمنحها بعض الوقت للراحة قبل تقييم حالتها</t>
  </si>
  <si>
    <t>أ) تطلب المساعدة الطبية على الفور</t>
  </si>
  <si>
    <t>العلاج الطبي الفوري يساهم في تشخيص الإصابة بشكل صحيح ويوفر العلاج المناسب.</t>
  </si>
  <si>
    <t>إذا كان الجو حارًا جدًا أثناء المعركة، ماذا تفعل؟</t>
  </si>
  <si>
    <t>أ) توفر للبقرة الراحة والماء بشكل دوري؛ ب) تستمر في المعركة دون تقديم مساعدة للبقرة؛ ج) تنهي المعركة فورًا لتجنب الإرهاق؛ د) تطلب من الفريق مساعدتها بشكل أكبر</t>
  </si>
  <si>
    <t>أ) توفر للبقرة الراحة والماء بشكل دوري</t>
  </si>
  <si>
    <t>الراحة والتبريد المناسب للبقرة يساعد في الحفاظ على أدائها وسلامتها.</t>
  </si>
  <si>
    <t>إذا كانت البقرة تظهر علامات من الإرهاق الشديد بعد المعركة، ماذا تفعل؟</t>
  </si>
  <si>
    <t>أ) تمنحها فترة راحة وتقديم رعاية طبية؛ ب) تستمر في العمل معها لتحسين لياقتها؛ ج) تهدد بالانسحاب إذا لم تتحسن؛ د) تطلب من الفريق زيادة الجهد</t>
  </si>
  <si>
    <t>أ) تمنحها فترة راحة وتقديم رعاية طبية</t>
  </si>
  <si>
    <t>الراحة والرعاية الطبية تساهم في استعادة صحة البقرة وتحسين أدائها.</t>
  </si>
  <si>
    <t>إذا كانت البقرة تقاوم التعاون معك قبل المعركة، ماذا تفعل؟</t>
  </si>
  <si>
    <t>أ) تحاول تهدئتها بلطف والتواصل معها؛ ب) تضغط عليها للمشاركة فورًا؛ ج) تطلب تدخل المدرب لمعالجة الموقف؛ د) تستمر في محاولاتك دون تغيير</t>
  </si>
  <si>
    <t>أ) تحاول تهدئتها بلطف والتواصل معها</t>
  </si>
  <si>
    <t>التواصل الجيد يساعد في تحسين علاقة البقرة مع المدرب وتحقيق تعاون أفضل.</t>
  </si>
  <si>
    <t>إذا كانت البقرة تبدو متوترة بسبب وجود حشود كبيرة، ماذا تفعل؟</t>
  </si>
  <si>
    <t>أ) تهدئها وتحاول تقليل التوتر؛ ب) تطلب من الحشود الابتعاد؛ ج) تطلب تغيير المكان للمشاركة في المعركة؛ د) تتجاهل الموقف وتستمر</t>
  </si>
  <si>
    <t>تهدئة البقرة يساعد في تركيزها وتحسين أدائها.</t>
  </si>
  <si>
    <t>إذا كانت البقرة تظهر علامات من العصبية قبل المعركة، ماذا تفعل؟</t>
  </si>
  <si>
    <t>أ) تهدئها وتمنحها وقتًا للتكيف مع المكان؛ ب) تضغط عليها للاستجابة بسرعة؛ ج) تطلب من المدرب إعطاء تعليمات إضافية؛ د) تستمر في المعركة دون تغيير</t>
  </si>
  <si>
    <t>أ) تهدئها وتمنحها وقتًا للتكيف مع المكان</t>
  </si>
  <si>
    <t>التهدئة يساعد على إزالة التوتر وتحسين القدرة على التركيز أثناء المعركة.</t>
  </si>
  <si>
    <t>إذا كانت البقرة تواجه صعوبة في التنفس بعد المعركة، ماذا تفعل؟</t>
  </si>
  <si>
    <t>أ) تطلب المساعدة الطبية على الفور؛ ب) تستمر في الراحة والتعافي فقط؛ ج) تقدم المزيد من الطعام والماء للبقرة؛ د) تهمل الأعراض وتنتظر لتتحسن</t>
  </si>
  <si>
    <t>مشاكل التنفس تتطلب اهتمامًا فوريًا من مختص لتجنب مضاعفات صحية.</t>
  </si>
  <si>
    <t>إذا كانت البقرة تواجه صعوبة في التكيف مع منافس أقوى، ماذا تفعل؟</t>
  </si>
  <si>
    <t>أ) تغير استراتيجيتك لموازنة القوة؛ ب) تواصل بنفس الأسلوب الذي بدأته؛ ج) تطلب تدخل المدرب لتوجيهها؛ د) تهدد بالانسحاب</t>
  </si>
  <si>
    <t>أ) تغير استراتيجيتك لموازنة القوة</t>
  </si>
  <si>
    <t>التكيف مع الأسلوب القتالي للمنافس يساعد في تحسين فرص الفوز.</t>
  </si>
  <si>
    <t>إذا كانت البقرة تتعرض لهجوم عنيف من المنافس، ماذا تفعل؟</t>
  </si>
  <si>
    <t>أ) تحاول إيقاف الهجوم باستخدام تقنيات الدفاع؛ ب) تهدد بالانسحاب فورًا؛ ج) تزيد من سرعتها لمحاولة الهجوم؛ د) تستمر في القتال دون تغيير</t>
  </si>
  <si>
    <t>أ) تحاول إيقاف الهجوم باستخدام تقنيات الدفاع</t>
  </si>
  <si>
    <t>تقنيات الدفاع الجيدة تحسن من فرص البقرة في النجاة والفوز.</t>
  </si>
  <si>
    <t>إذا كنت تشعر بالإرهاق خلال المعركة، ماذا تفعل؟</t>
  </si>
  <si>
    <t>أ) تهدئ نفسك وتحاول التركيز على البقرة؛ ب) تطلب من الفريق مساعدتك مباشرة؛ ج) تستمر في المعركة دون تغيير؛ د) تنهي المعركة مبكرًا</t>
  </si>
  <si>
    <t>أ) تهدئ نفسك وتحاول التركيز على البقرة</t>
  </si>
  <si>
    <t>التركيز يساعد في الحفاظ على الهدوء واتخاذ القرارات السليمة.</t>
  </si>
  <si>
    <t>إذا كانت البقرة تظهر علامات عصبية قبل المعركة، ماذا تفعل؟</t>
  </si>
  <si>
    <t>أ) تهدئها وتمنحها بعض الوقت للاسترخاء؛ ب) تضغط عليها للاستعداد فورًا؛ ج) تطلب التدخل الطبي؛ د) تطلب من الفريق مساعدتها</t>
  </si>
  <si>
    <t>أ) تهدئها وتمنحها بعض الوقت للاسترخاء</t>
  </si>
  <si>
    <t>الراحة النفسية للبقرة قبل المعركة قد تساعد في تقليل العصبية وتحسين الأداء.</t>
  </si>
  <si>
    <t>إذا كانت البقرة تواجه صعوبة في التفاعل مع المنافس بسبب ضعف النظر، ماذا تفعل؟</t>
  </si>
  <si>
    <t>أ) تطلب إيقاف المعركة فورًا لفحص البقرة؛ ب) تستخدم تقنيات أخرى لمحاولة تفادي المواجهة المباشرة؛ ج) تستمر في المعركة دون تغيير؛ د) تطلب تغيير البقرة، إذا كان ذلك ممكنًا</t>
  </si>
  <si>
    <t>أ) تطلب إيقاف المعركة فورًا لفحص البقرة</t>
  </si>
  <si>
    <t>الاهتمام بالصحة الجسدية للبقرة أمر أساسي، وعند وجود مشاكل في النظر يجب معالجتها بسرعة.</t>
  </si>
  <si>
    <t>إذا كانت البقرة غير راغبة في الدخول إلى الساحة بعد التدريب، ماذا تفعل؟</t>
  </si>
  <si>
    <t>أ) تحاول تهدئتها بالكلام والراحة؛ ب) تضغط عليها لدخول الساحة؛ ج) تتجاهل المشكلة وتستمر في المحاولة؛ د) تطلب من المدرب التدخل</t>
  </si>
  <si>
    <t>أ) تحاول تهدئتها بالكلام والراحة</t>
  </si>
  <si>
    <t>التواصل الهادئ مع البقرة يمكن أن يساعد في تخفيف قلقها وتحفيزها على المشاركة.</t>
  </si>
  <si>
    <t>إذا كان المنافس في المعركة يقوم بإساءة التصرف، ماذا تفعل؟</t>
  </si>
  <si>
    <t>أ) تطلب تدخل الحكم على الفور لوقف التصرفات غير القانونية؛ ب) تتجاهل التصرف وتواصل المعركة؛ ج) تهاجم المنافس ردًا على التصرف؛ د) تطلب من الفريق التعامل مع الموقف</t>
  </si>
  <si>
    <t>أ) تطلب تدخل الحكم على الفور لوقف التصرفات غير القانونية</t>
  </si>
  <si>
    <t>التأكد من تطبيق القواعد يحفظ نزاهة المعركة ويحمي سلامة المشاركين.</t>
  </si>
  <si>
    <t>إذا كنت تشعر أنك فقدت تركيزك أثناء المعركة، ماذا تفعل؟</t>
  </si>
  <si>
    <t>أ) تأخذ لحظة لتعديل استراتيجيتك واستعادة هدوئك؛ ب) تطلب من الفريق مساعدتك فورًا؛ ج) تستمر بنفس الأسلوب وتنتظر تحسن الوضع؛ د) تتوقف عن القتال فورًا</t>
  </si>
  <si>
    <t>أ) تأخذ لحظة لتعديل استراتيجيتك واستعادة هدوئك</t>
  </si>
  <si>
    <t>التركيز على استراتيجية جديدة يمكن أن يساعد في تحسين أدائك في المعركة.</t>
  </si>
  <si>
    <t>إذا لاحظت أن البقرة تظهر علامات من التعب الشديد في منتصف المعركة، ماذا تفعل؟</t>
  </si>
  <si>
    <t>أ) تطلب استراحة قصيرة للبقرة؛ ب) تستمر في المعركة وتضغط عليها للاستمرار؛ ج) تطلب من الحكم إنهاء المعركة فورًا؛ د) تطلب التدخل الطبي على الفور</t>
  </si>
  <si>
    <t>أ) تطلب استراحة قصيرة للبقرة</t>
  </si>
  <si>
    <t>إعطاء البقرة وقتًا للراحة يمكن أن يساعد في تجنب الإرهاق المفرط وحمايتها من الإصابات.</t>
  </si>
  <si>
    <t>إذا كانت البقرة تتعرض للإهانة من المنافسين أثناء المعركة، ماذا تفعل؟</t>
  </si>
  <si>
    <t>أ) تحافظ على هدوئك وتواصل المعركة؛ ب) تهاجم المنافسين ردًا على الإهانة؛ ج) تطلب من الحكم التدخل فورًا؛ د) تهدد بانسحاب البقرة</t>
  </si>
  <si>
    <t>أ) تحافظ على هدوئك وتواصل المعركة</t>
  </si>
  <si>
    <t>الهدوء والانضباط يساعدان في ضمان عدم تأثير الإهانات على أدائك أو سلامتك.</t>
  </si>
  <si>
    <t>إذا كان المنافس يستخدم تقنيات غير قانونية ضدك، ماذا تفعل؟</t>
  </si>
  <si>
    <t>أ) تطلب من الحكم اتخاذ إجراء ضد المنافس؛ ب) تستمر في المعركة بنفس الأسلوب؛ ج) تزيد من العدوانية ردًا على ذلك؛ د) تطلب إنهاء المعركة على الفور</t>
  </si>
  <si>
    <t>أ) تطلب من الحكم اتخاذ إجراء ضد المنافس</t>
  </si>
  <si>
    <t>التأكد من تطبيق القواعد يساعد في ضمان المنافسة النزيهة ويعزز الأمان.</t>
  </si>
  <si>
    <t>إذا كنت في موقف حرج في المعركة مع المنافس، ماذا تفعل؟</t>
  </si>
  <si>
    <t>أ) تعيد تقييم استراتيجيتك وتبحث عن نقاط ضعف في المنافس؛ ب) تستمر في الهجوم بأقصى قوة؛ ج) تطلب من الفريق مساعدتك على الفور؛ د) تهدد بالانسحاب</t>
  </si>
  <si>
    <t>أ) تعيد تقييم استراتيجيتك وتبحث عن نقاط ضعف في المنافس</t>
  </si>
  <si>
    <t>التفكير الاستراتيجي يساعد على إيجاد فرص جديدة للفوز حتى في المواقف الصعبة.</t>
  </si>
  <si>
    <t>أ) تطلب من الفريق تأمين ماء وراحة للبقرة؛ ب) تستمر في المعركة دون تغيير؛ ج) تطلب من الحكم إنهاء المعركة مبكرًا؛ د) تبذل جهدًا أكبر لتحسين الأداء رغم الطقس</t>
  </si>
  <si>
    <t>أ) تطلب من الفريق تأمين ماء وراحة للبقرة</t>
  </si>
  <si>
    <t>الراحة والتبريد يساعدان في تقليل تأثير الحرارة على البقرة وتحسين أدائها.</t>
  </si>
  <si>
    <t>إذا كانت البقرة تظهر علامات من القلق الشديد قبل المعركة، ماذا تفعل؟</t>
  </si>
  <si>
    <t>أ) تحاول تهدئتها وتمنحها بعض الوقت للاسترخاء؛ ب) تضغط عليها للمشاركة فورًا؛ ج) تطلب من المدرب التدخل لإعطائها تعليمات إضافية؛ د) تطلب تأجيل المعركة، إذا كان ذلك ممكنًا</t>
  </si>
  <si>
    <t>أ) تحاول تهدئتها وتمنحها بعض الوقت للاسترخاء</t>
  </si>
  <si>
    <t>التعامل مع القلق يساعد في تقليل التوتر ويساهم في أداء أفضل أثناء المعركة.</t>
  </si>
  <si>
    <t>إذا كانت البقرة تعرضت لإصابة بسيطة في أقدامها أثناء المعركة، ماذا تفعل؟</t>
  </si>
  <si>
    <t>أ) تطلب المساعدة الطبية لفحص الإصابة؛ ب) تستمر في المعركة بحذر؛ ج) تطلب إيقاف المعركة فورًا لتجنب تفاقم الإصابة؛ د) تطلب من البقرة الاستمرار رغم الألم</t>
  </si>
  <si>
    <t>الاهتمام بالإصابات مهما كانت بسيطة يساعد في منع التدهور ويضمن سلامة البقرة.</t>
  </si>
  <si>
    <t>إذا كانت البقرة لا تظهر أي استجابة لإشاراتك أثناء المعركة، ماذا تفعل؟</t>
  </si>
  <si>
    <t>أ) تحاول توجيهها مرة أخرى باستخدام إشارات مختلفة؛ ب) تتجاهل المشكلة وتستمر كما هي؛ ج) تطلب تدخل المدرب لتوجيه البقرة؛ د) تطلب إيقاف المعركة، إذا كانت البقرة في خطر</t>
  </si>
  <si>
    <t>أ) تحاول توجيهها مرة أخرى باستخدام إشارات مختلفة</t>
  </si>
  <si>
    <t>التواصل الفعّال مع البقرة يساعد في تحسين استجابتها وتوجيهها بشكل أفضل.</t>
  </si>
  <si>
    <t>إذا كانت المعركة مستمرة لفترة طويلة، ماذا تفعل؟</t>
  </si>
  <si>
    <t>أ) تستمر في معركة نفس المستوى مع الحفاظ على الهدوء؛ ب) تطلب من الفريق تقديم مساعدة إضافية؛ ج) تطلب استراحة للبقرة للحفاظ على قوتها؛ د) تطلب إنهاء المعركة بشكل مبكر</t>
  </si>
  <si>
    <t>أ) تستمر في معركة نفس المستوى مع الحفاظ على الهدوء</t>
  </si>
  <si>
    <t>الهدوء يمكن أن يساعد في الحفاظ على طاقة البقرة وتحقيق الفوز.</t>
  </si>
  <si>
    <t>إذا كان المنافس يتبع أسلوبًا سريعًا جدًا في الهجوم، ماذا تفعل؟</t>
  </si>
  <si>
    <t>أ) تراقب نقاط ضعفه وتحاول استغلالها؛ ب) تتجنب الهجوم وتلعب في الدفاع فقط؛ ج) تهاجم بحذر لتقليل الخطورة؛ د) تطلب تغيير استراتيجيتك بالكامل</t>
  </si>
  <si>
    <t>أ) تراقب نقاط ضعفه وتحاول استغلالها</t>
  </si>
  <si>
    <t>البحث عن نقاط الضعف يمكن أن يوفر فرصًا للهجوم الفعال ويساعد في الفوز.</t>
  </si>
  <si>
    <t>إذا كانت البقرة تظهر علامات من الخوف الشديد أثناء المعركة، ماذا تفعل؟</t>
  </si>
  <si>
    <t>أ) تحاول تهدئتها وتمنحها فترة راحة؛ ب) تضغط عليها للاستمرار في القتال؛ ج) تطلب تدخل المدرب لتقديم توجيه للبقرة؛ د) تطلب إيقاف المعركة فورًا</t>
  </si>
  <si>
    <t>أ) تحاول تهدئتها وتمنحها فترة راحة</t>
  </si>
  <si>
    <t>التهدئة تساعد في تقليل القلق والخوف وتعزز من أداء البقرة.</t>
  </si>
  <si>
    <t>إذا كانت البقرة تتصرف بشكل عدواني تجاهك أثناء التدريب، ماذا تفعل؟</t>
  </si>
  <si>
    <t>أ) تبقى هادئًا وتحاول إعادة تأهيل سلوكها؛ ب) تهاجمها ردًا على العدوان؛ ج) تطلب تدخل المدرب للتعامل مع السلوك العدواني؛ د) تغادر الحلبة فورًا</t>
  </si>
  <si>
    <t>أ) تبقى هادئًا وتحاول إعادة تأهيل سلوكها</t>
  </si>
  <si>
    <t>التعامل بحذر مع العدوانية يعزز من قدرة البقرة على التكيف مع بيئة التدريب.</t>
  </si>
  <si>
    <t>إذا واجهت منافسًا يظهر مهارات غير متوقعة، ماذا تفعل؟</t>
  </si>
  <si>
    <t>أ) تراقب عن كثب وتغير استراتيجيتك وفقًا لذلك؛ ب) تستمر في محاولاتك السابقة دون تغيير؛ ج) تطلب من المدرب التدخل لتوجيهك؛ د) تغادر الحلبة</t>
  </si>
  <si>
    <t>أ) تراقب عن كثب وتغير استراتيجيتك وفقًا لذلك</t>
  </si>
  <si>
    <t>التكيف مع أسلوب المنافس يعزز من فرص النجاح ويحسن الأداء.</t>
  </si>
  <si>
    <t>إذا كانت البقرة ترفض التعاون معك في بداية المعركة، ماذا تفعل؟</t>
  </si>
  <si>
    <t>أ) تحاول تهدئتها بلطف والتحدث إليها برفق؛ ب) تضغط عليها لتبدأ المعركة فورًا؛ ج) تطلب مساعدة المدرب لتوجيه البقرة؛ د) تستمر في المحاولة مع تغيير الأساليب</t>
  </si>
  <si>
    <t>أ) تحاول تهدئتها بلطف والتحدث إليها برفق</t>
  </si>
  <si>
    <t>التعامل برفق مع البقرة يساعد على تخفيف التوتر وجعلها أكثر استعدادًا للمشاركة.</t>
  </si>
  <si>
    <t>إذا كانت البقرة تظهر علامات من الإرهاق الشديد خلال المعركة، ماذا تفعل؟</t>
  </si>
  <si>
    <t>أ) تطلب من الفريق التدخل وتقديم الراحة للبقرة؛ ب) تضغط على البقرة للاستمرار في المعركة؛ ج) تطلب من الحكم إنهاء المعركة فورًا؛ د) تستمر في المعركة حتى النهاية</t>
  </si>
  <si>
    <t>أ) تطلب من الفريق التدخل وتقديم الراحة للبقرة</t>
  </si>
  <si>
    <t>الراحة الفورية تساعد في الحفاظ على صحة البقرة ومنع الإرهاق المفرط.</t>
  </si>
  <si>
    <t>إذا كان المنافس يستخدم أسلوبًا دفاعيًا بشكل مستمر، ماذا تفعل؟</t>
  </si>
  <si>
    <t>أ) تحاول تغيير استراتيجيتك للهجوم بشكل مفاجئ؛ ب) تستمر في أسلوب الهجوم المعتاد؛ ج) تطلب من المدرب تغيير الأسلوب؛ د) تلتزم بالدفاع فقط</t>
  </si>
  <si>
    <t>أ) تحاول تغيير استراتيجيتك للهجوم بشكل مفاجئ</t>
  </si>
  <si>
    <t>الابتكار في أسلوب الهجوم يمكن أن يساعد في كسر دفاع المنافس وتحقيق الفوز.</t>
  </si>
  <si>
    <t>إذا كانت البقرة تظهر علامات من العدوانية غير المعتادة قبل المعركة، ماذا تفعل؟</t>
  </si>
  <si>
    <t>أ) تحاول تهدئتها باستخدام أساليب غير عنيفة؛ ب) تتركها تفعل ما تشاء حتى تبدأ المعركة؛ ج) تطلب تدخل المدرب على الفور؛ د) تضغط على البقرة للاستعداد للمعركة</t>
  </si>
  <si>
    <t>أ) تحاول تهدئتها باستخدام أساليب غير عنيفة</t>
  </si>
  <si>
    <t>التهدئة المبكرة تساعد في تجنب المشاكل أثناء المعركة وتحسن الأداء.</t>
  </si>
  <si>
    <t>إذا كانت البقرة تعاني من إصابة في الساق أثناء المعركة، ماذا تفعل؟</t>
  </si>
  <si>
    <t>أ) تطلب من الفريق التدخل وتقديم العلاج فورًا؛ ب) تطلب من الحكم إيقاف المعركة بسبب الإصابة؛ ج) تستمر في المعركة وتضغط على البقرة للاستمرار؛ د) تطلب منها الاستراحة على الفور</t>
  </si>
  <si>
    <t>أ) تطلب من الفريق التدخل وتقديم العلاج فورًا</t>
  </si>
  <si>
    <t>الاعتناء بالصحة الجسدية للبقرة مهم لمنع تفاقم الإصابات وحمايتها.</t>
  </si>
  <si>
    <t>إذا كانت البقرة لا تتعاون أثناء التدريب بسبب التوتر، ماذا تفعل؟</t>
  </si>
  <si>
    <t>أ) تهدئها باستخدام أساليب تدريجية؛ ب) تضغط عليها لإتمام التمرين بسرعة؛ ج) تطلب من المدرب تغيير أسلوب التدريب؛ د) توقف التدريب على الفور</t>
  </si>
  <si>
    <t>أ) تهدئها باستخدام أساليب تدريجية</t>
  </si>
  <si>
    <t>تقنيات التهدئة تساعد في تقليل التوتر وتحسن استجابة البقرة.</t>
  </si>
  <si>
    <t>إذا كانت المعركة قد طالت لفترة طويلة وتبدأ البقرة في إظهار علامات التعب، ماذا تفعل؟</t>
  </si>
  <si>
    <t>أ) تطلب استراحة للبقرة لإعادة شحن طاقتها؛ ب) تستمر في المعركة حتى النهاية؛ ج) تطلب من الفريق مساعدتها في الحفاظ على قوتها؛ د) تطلب من الحكم إيقاف المعركة، إذا كان ذلك مسموحًا</t>
  </si>
  <si>
    <t>أ) تطلب استراحة للبقرة لإعادة شحن طاقتها</t>
  </si>
  <si>
    <t>الراحة المؤقتة تساعد في تجنب الإرهاق المفرط وتحافظ على قدرة البقرة في المعركة.</t>
  </si>
  <si>
    <t>إذا كان المنافس يستخدم تقنيات سريعة جدًا في الهجوم، ماذا تفعل؟</t>
  </si>
  <si>
    <t>أ) تحاول السيطرة على المعركة باستخدام أسلوب دفاعي؛ ب) تلتزم بالهجوم المباشر؛ ج) تطلب مساعدة المدرب لتوجيه استراتيجيتك؛ د) تغير أسلوب المعركة تمامًا</t>
  </si>
  <si>
    <t>أ) تحاول السيطرة على المعركة باستخدام أسلوب دفاعي</t>
  </si>
  <si>
    <t>استخدام أسلوب دفاعي يمكن أن يساعد في تقليل الهجمات السريعة ومنحك فرصة للتحكم في المعركة.</t>
  </si>
  <si>
    <t>إذا كانت البقرة ترفض دخول الساحة بعد التدريب المكثف، ماذا تفعل؟</t>
  </si>
  <si>
    <t>أ) تحاول تهدئتها بكلمات لطيفة ومطمئنة؛ ب) تضغط عليها لتدخل الساحة فورًا؛ ج) تطلب من المدرب تغيير التدريب؛ د) تترك البقرة تأخذ وقتها لإعادة التركيز</t>
  </si>
  <si>
    <t>أ) تحاول تهدئتها بكلمات لطيفة ومطمئنة</t>
  </si>
  <si>
    <t>الهدوء يساعد في تقليل التوتر ويدفع البقرة للمشاركة بنشاط أكبر.</t>
  </si>
  <si>
    <t>إذا كانت البقرة لا تستجيب لإشاراتك أثناء المعركة، ماذا تفعل؟</t>
  </si>
  <si>
    <t>أ) تغير إشاراتك وتوجهها بشكل مختلف؛ ب) تضغط عليها للاستجابة للأوامر؛ ج) تطلب مساعدة المدرب لتوجيهها؛ د) تتجاهل المشكلة وتستمر في المعركة</t>
  </si>
  <si>
    <t>أ) تغير إشاراتك وتوجهها بشكل مختلف</t>
  </si>
  <si>
    <t>التواصل الفعّال مع البقرة يساهم في تحسين استجابتها للأوامر.</t>
  </si>
  <si>
    <t>إذا كان المنافس يتبع أسلوبًا غريبًا في الهجوم، ماذا تفعل؟</t>
  </si>
  <si>
    <t>أ) تراقب عن كثب وتحاول فهم أسلوبه بشكل أفضل؛ ب) تستمر في أسلوبك المعتاد؛ ج) تطلب من المدرب إرشادك حول كيفية التعامل مع أسلوبه؛ د) تتجنب الهجوم تمامًا</t>
  </si>
  <si>
    <t>أ) تراقب عن كثب وتحاول فهم أسلوبه بشكل أفضل</t>
  </si>
  <si>
    <t>تحليل أسلوب المنافس يوفر لك فرصًا أفضل للتكيف معه وتحقيق التفوق.</t>
  </si>
  <si>
    <t>إذا كنت تشعر بأن البقرة تبدأ في الانزعاج أثناء المعركة، ماذا تفعل؟</t>
  </si>
  <si>
    <t>أ) تحاول تهدئتها بشكل فوري باستخدام إشارات مطمئنة؛ ب) تواصل الهجوم حتى النهاية؛ ج) تطلب تدخل الفريق لإراحة البقرة؛ د) تطلب من الحكم إنهاء المعركة، إذا لزم الأمر</t>
  </si>
  <si>
    <t>أ) تحاول تهدئتها بشكل فوري باستخدام إشارات مطمئنة</t>
  </si>
  <si>
    <t>التهدئة الفورية يمكن أن تساعد في منع البقرة من الشعور بالتوتر الزائد وتحسن أدائها.</t>
  </si>
  <si>
    <t>إذا كانت البقرة تتصرف بشكل عدواني تجاهك أثناء المعركة، ماذا تفعل؟</t>
  </si>
  <si>
    <t>أ) تحافظ على هدوئك وتحاول إعادة توجيه سلوكها؛ ب) تهاجمها رداً على العدوان؛ ج) تطلب من المدرب التدخل لإعادة تدريبها؛ د) تطلب وقف المعركة، إذا لزم الأمر</t>
  </si>
  <si>
    <t>أ) تحافظ على هدوئك وتحاول إعادة توجيه سلوكها</t>
  </si>
  <si>
    <t>التحلي بالصبر والتعامل مع العدوانية بذكاء يساعد في تقليل التوتر ويعيد التحكم في المعركة.</t>
  </si>
  <si>
    <t>إذا شعرت أن البقرة لا تتعاون أثناء التدريب، ماذا تفعل؟</t>
  </si>
  <si>
    <t>أ) تحاول تغيير أسلوب التدريب لجعلها أكثر راحة؛ ب) تضغط عليها لإتمام التدريب بسرعة؛ ج) تطلب مساعدة المدرب؛ د) توقف التدريب تمامًا</t>
  </si>
  <si>
    <t>أ) تحاول تغيير أسلوب التدريب لجعلها أكثر راحة</t>
  </si>
  <si>
    <t>تعديل أسلوب التدريب يساعد في جعل البقرة أكثر استجابة ويساهم في تعزيز التعاون.</t>
  </si>
  <si>
    <t>إذا كانت البقرة تظهر علامات توتر واضحة قبل المعركة، ماذا تفعل؟</t>
  </si>
  <si>
    <t>أ) تحاول تهدئتها باستخدام أساليب التنفس العميق؛ ب) تضغط عليها للمشاركة في المعركة فورًا؛ ج) تطلب من المدرب تدعيم البقرة بمزيد من التدريب؛ د) تطلب تأجيل المعركة إلى وقت لاحق</t>
  </si>
  <si>
    <t>أ) تحاول تهدئتها باستخدام أساليب التنفس العميق</t>
  </si>
  <si>
    <t>تقنيات التنفس تساعد في تهدئة الأعصاب وتحسين التركيز قبل المعركة.</t>
  </si>
  <si>
    <t>إذا كانت البقرة تواجه صعوبة في التنقل بسبب إصابة في قدمها، ماذا تفعل؟</t>
  </si>
  <si>
    <t>أ) تطلب من الفريق فحص البقرة فورًا وإعطائها العلاج المناسب؛ ب) تضغط على البقرة للاستمرار في المعركة؛ ج) تطلب من الحكم إيقاف المعركة بسبب الإصابة؛ د) تستمر في المعركة على الرغم من الإصابات</t>
  </si>
  <si>
    <t>أ) تطلب من الفريق فحص البقرة فورًا وإعطائها العلاج المناسب</t>
  </si>
  <si>
    <t>العناية بالصحة أمر ضروري لحماية البقرة من الإصابات الخطيرة وتعزيز قدرتها على التحمل.</t>
  </si>
  <si>
    <t>إذا كانت البقرة تتصرف بشكل غير متوقع أثناء المعركة، ماذا تفعل؟</t>
  </si>
  <si>
    <t>أ) تحاول تهدئتها وإعادة توجيه سلوكها؛ ب) تتركها تتصرف بحرية؛ ج) تطلب من المدرب التدخل لتعديل سلوكها؛ د) تطلب إيقاف المعركة فورًا</t>
  </si>
  <si>
    <t>أ) تحاول تهدئتها وإعادة توجيه سلوكها</t>
  </si>
  <si>
    <t>التحكم في سلوك البقرة مهم لضمان معركة منظمة وناجحة.</t>
  </si>
  <si>
    <t>إذا كان المنافس يبدأ في استخدام أسلوب الهجوم بشكل مفاجئ، ماذا تفعل؟</t>
  </si>
  <si>
    <t>أ) تحاول التكيف مع أسلوبه والاستجابة بسرعة؛ ب) تلتزم بالأسلوب الدفاعي؛ ج) تطلب من المدرب توجيهك حول كيفية التعامل مع الأسلوب المفاجئ؛ د) تتجنب الهجوم وتنتظر فرصًا أخرى</t>
  </si>
  <si>
    <t>أ) تحاول التكيف مع أسلوبه والاستجابة بسرعة</t>
  </si>
  <si>
    <t>التكيف مع الأساليب المفاجئة يزيد من فرصك في تحجيم تأثير الهجوم ويحسن من أدائك.</t>
  </si>
  <si>
    <t>إذا كنت تشعر أن البقرة بدأت في التراجع أثناء المعركة، ماذا تفعل؟</t>
  </si>
  <si>
    <t>أ) تحاول تشجيعها وتعزيز ثقتها بنفسها؛ ب) تستمر في الهجوم حتى النهاية؛ ج) تطلب من الفريق التدخل على الفور؛ د) تطلب من الحكم إيقاف المعركة، إذا لزم الأمر</t>
  </si>
  <si>
    <t>أ) تحاول تشجيعها وتعزيز ثقتها بنفسها</t>
  </si>
  <si>
    <t>تعزيز ثقة البقرة يمكن أن يساعد في رفع روحها المعنوية واستعادة قوتها في المعركة.</t>
  </si>
  <si>
    <t>إذا كانت البقرة تظهر تراجعًا في الأداء أثناء المعركة، ماذا تفعل؟</t>
  </si>
  <si>
    <t>أ) تحاول تغيير استراتيجيتك لتعزيز أداء البقرة؛ ب) تطلب من المدرب توجيهك حول كيفية تحسين أدائها؛ ج) تطلب من الفريق مساعدتها لاستعادة قوتها؛ د) تستمر في المعركة كما هي</t>
  </si>
  <si>
    <t>أ) تحاول تغيير استراتيجيتك لتعزيز أداء البقرة</t>
  </si>
  <si>
    <t>التعديل الاستراتيجي يساعد في إعادة البقرة إلى أدائها الأفضل وتحسين فرص الفوز.</t>
  </si>
  <si>
    <t>إذا كانت البقرة تتعرض للضغط من المنافس في المعركة، ماذا تفعل؟</t>
  </si>
  <si>
    <t>أ) تحاول إدارة الضغط والتحكم في المعركة باستخدام أسلوب الدفاع؛ ب) تضغط على البقرة لتستمر في الهجوم؛ ج) تطلب من المدرب تغيير الخطة على الفور؛ د) تتراجع إلى وضع الدفاع</t>
  </si>
  <si>
    <t>أ) تحاول إدارة الضغط والتحكم في المعركة باستخدام أسلوب الدفاع</t>
  </si>
  <si>
    <t>إدارة الضغط بشكل جيد تساعد في الحفاظ على توازن المعركة.</t>
  </si>
  <si>
    <t>إذا كان المنافس يبدأ في استخدام أساليب مشروعة وغير مشروعة في المعركة، ماذا تفعل؟</t>
  </si>
  <si>
    <t>أ) تطلب من الحكم التدخل لضمان اللعب النظيف؛ ب) ترد بأساليب مشروعة فقط؛ ج) تتبع أسلوبه تمامًا؛ د) تتجنب المعركة</t>
  </si>
  <si>
    <t>أ) تطلب من الحكم التدخل لضمان اللعب النظيف</t>
  </si>
  <si>
    <t>الالتزام بالقواعد والحفاظ على اللعب النظيف يحميك من المخاطر القانونية ويحافظ على سلامتك.</t>
  </si>
  <si>
    <t>إذا لاحظت أن البقرة تبدو منهكة للغاية بسبب نقص الماء قبل المعركة، ما هو الإجراء الأفضل؟</t>
  </si>
  <si>
    <t>أ. إعطاؤها كمية كبيرة من الماء فورًا. ب. تأجيل المعركة وإعطاؤها الماء على فترات. ج. إجبارها على شرب مشروبات غازية لتنشيطها. د. تركها على حالها لأن التعب جزء من القتال.</t>
  </si>
  <si>
    <t>ب. تأجيل المعركة وإعطاؤها الماء على فترات.</t>
  </si>
  <si>
    <t>إعطاء كمية كبيرة من الماء دفعة واحدة قد يسبب صدمة للجهاز الهضمي للبقرة. الأفضل هو إعطاؤها كميات قليلة على فترات متباعدة لمنع الجفاف وتأمين سلامتها.</t>
  </si>
  <si>
    <t>أثناء المعركة، لاحظت أن المنافس يوجه ضربات متكررة على نفس الجزء من جسم بقرتك. ماذا تفعل؟</t>
  </si>
  <si>
    <t>أ. أطلب إيقاف القتال وأحتج على الحكم. ب. أصرخ على المنافس ليتوقف عن أسلوبه غير العادل. ج. أغير زاوية القتال باستمرار لأحمي البقرة من الضربات المتكررة. د. أواصل القتال على أمل أن يغير المنافس استراتيجيته.</t>
  </si>
  <si>
    <t>ج. أغير زاوية القتال باستمرار لأحمي البقرة من الضربات المتكررة.</t>
  </si>
  <si>
    <t>يجب على المربي أن يكون استراتيجيًا أثناء القتال. تغيير الزاوية يشتت هجمات الخصم ويقلل من الضرر الواقع على منطقة معينة من جسم البقرة، مما يحميها من الإصابات الخطيرة.</t>
  </si>
  <si>
    <t>إذا كانت بقرتك تظهر علامات فرط في الثقة بالنفس وتتجاهل الخصم، ماذا تفعل؟</t>
  </si>
  <si>
    <t>أ. أتركها على طبيعتها لأن الثقة أمر جيد. ب. أصرخ عليها لأعطيها الأوامر. ج. أقدم لها مكافأة سريعة لتشجيعها على الانتباه. د. أحاول جذب انتباهها بهدوء نحو المنافس لتجنب المفاجأة.</t>
  </si>
  <si>
    <t>د. أحاول جذب انتباهها بهدوء نحو المنافس لتجنب المفاجأة.</t>
  </si>
  <si>
    <t>فرط الثقة قد يؤدي إلى فقدان التركيز وتعريض البقرة لضربة غير متوقعة. يجب على المربي إعادة تركيزها بهدوء وبدون عنف.</t>
  </si>
  <si>
    <t>إذا كانت البقرة تبدو متوترة بشكل ملحوظ بسبب تأخر بدء المعركة، ماذا تفعل؟</t>
  </si>
  <si>
    <t>أ. أتركها لتتعامل مع التوتر بنفسها. ب. أذهب لأشكو للحكم عن التأخير. ج. أحاول تهدئتها عن طريق التحدث إليها بلطف أو تقديم وجبة خفيفة. د. أتركها في مكان منعزل حتى يهدأ توترها.</t>
  </si>
  <si>
    <t>ج. أحاول تهدئتها عن طريق التحدث إليها بلطف أو تقديم وجبة خفيفة.</t>
  </si>
  <si>
    <t>التوتر قبل المعركة قد يؤثر سلبًا على الأداء. أفضل طريقة هي تهدئة البقرة وإبقائها هادئة وتجنب أي تصرف قد يزيد من توترها.</t>
  </si>
  <si>
    <t>بعد المعركة، لاحظت أن البقرة لديها إصابة طفيفة في منطقة الرأس. ما هو الإجراء الأفضل؟</t>
  </si>
  <si>
    <t>أ. أتركها على حالها وأفترض أنها ستشفى بنفسها. ب. أنظف الجرح بماء بارد وأراقبها. ج. أنقلها على الفور إلى أقرب عيادة بيطرية لفحصها. د. أستخدم ضمادة فقط دون تنظيف الجرح.</t>
  </si>
  <si>
    <t>ج. أنقلها على الفور إلى أقرب عيادة بيطرية لفحصها.</t>
  </si>
  <si>
    <t>الإصابات في منطقة الرأس قد تكون خطيرة حتى لو بدت طفيفة. يجب أخذ البقرة إلى طبيب بيطري للتأكد من عدم وجود أي إصابات داخلية.</t>
  </si>
  <si>
    <t>كيف تتصرف إذا كانت البقرة ترفض شرب الماء بعد القتال، مما قد يؤدي إلى الجفاف؟</t>
  </si>
  <si>
    <t>أ. أتركها لبعض الوقت على أمل أن تشرب لاحقًا. ب. أجبرها على الشرب باستخدام وعاء. ج. أقدم لها وجبات خفيفة مالحة لزيادة رغبتها في الشرب. د. أقدم لها ماءً دافئًا أو سائلًا محلى قليلًا لتشجيعها على الشرب.</t>
  </si>
  <si>
    <t>د. أقدم لها ماءً دافئًا أو سائلًا محلى قليلًا لتشجيعها على الشرب.</t>
  </si>
  <si>
    <t>بعد المعركة، قد تكون البقرة منهكة ومرتبكة. قد لا ترغب في شرب الماء البارد، بينما يمكن أن يكون الماء الدافئ أو المحلى قليلًا أكثر جاذبية.</t>
  </si>
  <si>
    <t>إذا لاحظت أن البقرة تظهر علامات إجهاد جسدي بسبب ارتفاع درجة حرارة الجو، ماذا تفعل؟</t>
  </si>
  <si>
    <t>أ. أستمر في القتال وأتوقع أن تتعود على الجو. ب. أطلب وقف القتال فورًا. ج. أغير مكانها إلى منطقة مظللة وأقدم لها ماءً باردًا للشرب. د. أستخدم المروحة لتبريدها أثناء القتال.</t>
  </si>
  <si>
    <t>ج. أغير مكانها إلى منطقة مظللة وأقدم لها ماءً باردًا للشرب.</t>
  </si>
  <si>
    <t>الإجهاد الحراري خطير جدًا على الحيوانات. يجب حماية البقرة من الحرارة المفرطة عن طريق توفير الظل والماء.</t>
  </si>
  <si>
    <t>إذا كان المنافس يتبع أسلوبًا دفاعيًا بحتًا مما يمنع البقرة من تحقيق أي تقدم، ماذا تفعل؟</t>
  </si>
  <si>
    <t>أ. أطلب من الحكم التدخل لإجبار المنافس على الهجوم. ب. أحاول استفزاز البقرة للهجوم بشكل عشوائي. ج. أغير استراتيجيتي لأستخدم أساليب هجومية مبتكرة. د. أواصل القتال بنفس الأسلوب على أمل أن يغير المنافس خطته.</t>
  </si>
  <si>
    <t>ج. أغير استراتيجيتي لأستخدم أساليب هجومية مبتكرة.</t>
  </si>
  <si>
    <t>يجب على المربي أن يكون قادرًا على التكيف. تغيير استراتيجية القتال هو أفضل طريقة لإرباك الخصم الدفاعي وتحقيق التقدم.</t>
  </si>
  <si>
    <t>إذا كانت البقرة تظهر علامات خوف من المنافس بسبب حجمه الهائل، ماذا تفعل؟</t>
  </si>
  <si>
    <t>أ. أطلب من الحكم استبدال الخصم. ب. أصرخ على البقرة لتظهر الشجاعة. ج. أستخدم إشارات جسدية وكلمات تشجيعية لزيادة ثقتها بنفسها. د. أتركها تهرب من الحلبة.</t>
  </si>
  <si>
    <t>ج. أستخدم إشارات جسدية وكلمات تشجيعية لزيادة ثقتها بنفسها.</t>
  </si>
  <si>
    <t>يجب على المربي أن يكون مصدر الأمان والثقة للبقرة. تشجيعها يساعدها على التغلب على خوفها والتركيز على القتال.</t>
  </si>
  <si>
    <t>إذا كانت البقرة لا تتبع أوامرك بسبب ضعف في السمع، ماذا تفعل؟</t>
  </si>
  <si>
    <t>أ. أستخدم إشارات صوتية أقوى. ب. أعتمد كليًا على الإشارات الجسدية. ج. أطلب إيقاف القتال. د. أتركها على طبيعتها.</t>
  </si>
  <si>
    <t>ب. أعتمد كليًا على الإشارات الجسدية.</t>
  </si>
  <si>
    <t>إذا كانت البقرة تعاني من ضعف في السمع، فإن الأوامر الصوتية لن تكون فعالة. يجب على المربي أن يعتمد على الإشارات الجسدية التي تدربت عليها البقرة.</t>
  </si>
  <si>
    <t>إذا كانت البقرة تتصرف بعدوانية تجاهك أثناء التدريب بسبب التعب، ماذا تفعل؟</t>
  </si>
  <si>
    <t>أ. أواصل التدريب وأجبرها على الاستمرار. ب. أطلب المساعدة من مدرب آخر. ج. أوقف التدريب فورًا وأعطيها قسطًا من الراحة. د. أستخدم العقاب لمنع السلوك العدواني.</t>
  </si>
  <si>
    <t>ج. أوقف التدريب فورًا وأعطيها قسطًا من الراحة.</t>
  </si>
  <si>
    <t>السلوك العدواني قد يكون علامة على الإرهاق الشديد أو الإجهاد. إعطاؤها الراحة هو الخيار الأفضل لتجنب الإصابة والحفاظ على العلاقة الجيدة بينكما.</t>
  </si>
  <si>
    <t>إذا كانت البقرة تظهر علامات إرهاق جسدي واضح في منتصف المعركة، ماذا تفعل؟</t>
  </si>
  <si>
    <t>أ. أستمر في القتال وأشجعها. ب. أطلب إيقاف القتال لتقييم حالتها. ج. أحاول تغيير أسلوب القتال لتقليل الجهد. د. أستخدم الماء البارد لتنشيطها.</t>
  </si>
  <si>
    <t>ب. أطلب إيقاف القتال لتقييم حالتها.</t>
  </si>
  <si>
    <t>الإرهاق في منتصف المعركة يستدعي تدخلًا فوريًا. قد يؤدي الاستمرار في القتال إلى إصابات خطيرة. يجب إيقاف القتال وتقييم حالتها قبل اتخاذ أي قرار.</t>
  </si>
  <si>
    <t>إذا كانت البقرة تظهر علامات قلق بسبب وجود منافس آخر في الحلبة، ماذا تفعل؟</t>
  </si>
  <si>
    <t>أ. أطلب من الحكم إزالة المنافس. ب. أستخدم طرق التهدئة مثل التحدث بهدوء. ج. أتركها وحدها لتهدأ. د. أصرخ عليها لتتجاهل المنافس.</t>
  </si>
  <si>
    <t>ب. أستخدم طرق التهدئة مثل التحدث بهدوء.</t>
  </si>
  <si>
    <t>وجود منافس آخر قد يثير القلق في البقرة. التحدث إليها بهدوء يمكن أن يساعدها على الهدوء والتركيز.</t>
  </si>
  <si>
    <t>إذا تعرضت البقرة لإصابة طفيفة في حوافرها أثناء المعركة، ماذا تفعل؟</t>
  </si>
  <si>
    <t>أ. أستمر في القتال على أمل أن تكون الإصابة سطحية. ب. أطلب إيقاف القتال لفحص الحافر. ج. أستخدم مسكنات الألم لإكمال المعركة. د. أضغط على الحافر لإيقاف النزيف.</t>
  </si>
  <si>
    <t>ب. أطلب إيقاف القتال لفحص الحافر.</t>
  </si>
  <si>
    <t>الإصابات في الحوافر قد تكون خطيرة وتؤثر على حركة البقرة. يجب إيقاف القتال لفحصها وتجنب أي ضرر إضافي.</t>
  </si>
  <si>
    <t>إذا كانت البقرة ترفض دخول الحلبة، ماذا تفعل؟</t>
  </si>
  <si>
    <t>أ. أجبرها على الدخول بالقوة. ب. أتركها على حالها. ج. أستخدم التهدئة والمكافآت لتشجيعها على الدخول. د. أتخلى عن المعركة.</t>
  </si>
  <si>
    <t>ج. أستخدم التهدئة والمكافآت لتشجيعها على الدخول.</t>
  </si>
  <si>
    <t>رفض الدخول قد يكون علامة على الخوف أو التوتر. استخدام القوة قد يزيد من ذلك. أفضل طريقة هي استخدام طرق إيجابية لتشجيعها.</t>
  </si>
  <si>
    <t>إذا كان المنافس يستخدم أسلوبًا غير قانوني في القتال، ماذا تفعل؟</t>
  </si>
  <si>
    <t>أ. أواجه المنافس وأهاجمه. ب. أستمر في القتال وأتوقع أن يتدخل الحكم. ج. أقدم شكوى رسمية للحكم وأطلب إيقاف المعركة. د. أرد بالمثل وأستخدم أساليب غير قانونية أيضًا.</t>
  </si>
  <si>
    <t>ج. أقدم شكوى رسمية للحكم وأطلب إيقاف المعركة.</t>
  </si>
  <si>
    <t>أ. أطلب من الحشود أن تبتعد. ب. أصرخ على الحشود لتصمت. ج. أستخدم تقنيات التهدئة وأغطي عينيها للحظات. د. أواصل القتال وأتجاهل الحشود.</t>
  </si>
  <si>
    <t>ج. أستخدم تقنيات التهدئة وأغطي عينيها للحظات.</t>
  </si>
  <si>
    <t>التوتر الناتج عن الحشود يمكن أن يشتت البقرة. تغطية عينيها للحظات يمكن أن يساعدها على الهدوء والتركيز.</t>
  </si>
  <si>
    <t>إذا كانت البقرة تظهر علامات من التعب الشديد بعد قتال طويل، ماذا تفعل؟</t>
  </si>
  <si>
    <t>أ. أتركها لتستريح بنفسها. ب. أقدم لها ماءً ومكملات غذائية فورًا. ج. أجبرها على التحرك لمنع تصلب العضلات. د. أطلب من الحكم تقييم حالتها.</t>
  </si>
  <si>
    <t>ب. أقدم لها ماءً ومكملات غذائية فورًا.</t>
  </si>
  <si>
    <t>بعد المعركة، تحتاج البقرة إلى استعادة طاقتها. تقديم الماء والمكملات الغذائية يساعد على استعادة السوائل والمعادن المفقودة.</t>
  </si>
  <si>
    <t>أ. أستخدم إشارات أكثر قوة. ب. أطلب المساعدة من شخص آخر. ج. أوقف القتال وأراجع أساليب التدريب. د. أغير أسلوب القتال.</t>
  </si>
  <si>
    <t>ج. أوقف القتال وأراجع أساليب التدريب.</t>
  </si>
  <si>
    <t>عدم الاستجابة قد يكون علامة على ضعف التدريب أو مشكلة في التواصل. يجب إيقاف القتال ومراجعة الأسباب.</t>
  </si>
  <si>
    <t>إذا كانت البقرة تظهر علامات خوف من الأصوات العالية، ماذا تفعل؟</t>
  </si>
  <si>
    <t>أ. أستمر في القتال. ب. أحاول تغطية أذنيها. ج. أطلب إيقاف القتال. د. أستخدم تقنيات التهدئة وأبعدها عن مصدر الصوت.</t>
  </si>
  <si>
    <t>د. أستخدم تقنيات التهدئة وأبعدها عن مصدر الصوت.</t>
  </si>
  <si>
    <t>الأصوات العالية يمكن أن تسبب الخوف والتوتر. يجب تهدئة البقرة وإبعادها عن مصدر الضوضاء.</t>
  </si>
  <si>
    <t>إذا كانت البقرة تتصرف بعدوانية تجاهك أثناء المعركة، ماذا تفعل؟</t>
  </si>
  <si>
    <t>أ. أضربها لإخضاعها. ب. أصرخ عليها. ج. أطلب المساعدة من حكم الساحة وأحاول تهدئتها. د. أتركها على حالها.</t>
  </si>
  <si>
    <t>ج. أطلب المساعدة من حكم الساحة وأحاول تهدئتها.</t>
  </si>
  <si>
    <t>السلوك العدواني تجاه المربي خطير جدًا. يجب إبلاغ الحكم وتهدئة البقرة لتجنب الإصابة.</t>
  </si>
  <si>
    <t>أ. أواصل القتال. ب. أطلب إيقاف القتال لتقييم حالتها. ج. أقدم لها الماء البارد. د. أجبرها على التحرك لمنع الاختناق.</t>
  </si>
  <si>
    <t>صعوبة التنفس قد تكون علامة على مشكلة صحية خطيرة. يجب إيقاف القتال فورًا لتقييم حالتها.</t>
  </si>
  <si>
    <t>إذا كانت البقرة تظهر تراجعًا في الأداء بسبب التعب، ماذا تفعل؟</t>
  </si>
  <si>
    <t>أ. أضغط عليها لتستمر. ب. أقدم لها وجبة خفيفة. ج. أوقف القتال لتجنب الإصابة. د. أواصل القتال وأتوقع أن تستعيد طاقتها.</t>
  </si>
  <si>
    <t>ج. أوقف القتال لتجنب الإصابة.</t>
  </si>
  <si>
    <t>التراجع في الأداء بسبب التعب قد يؤدي إلى إصابة خطيرة. الأفضل هو إيقاف القتال لسلامتها.</t>
  </si>
  <si>
    <t>أ. أستمر في القتال وأتوقع أن تتعود. ب. أحاول تغيير أسلوب القتال. ج. أطلب إيقاف القتال لتجنب إصابتها. د. أضغط عليها لتقاتل بقوة.</t>
  </si>
  <si>
    <t>ج. أطلب إيقاف القتال لتجنب إصابتها.</t>
  </si>
  <si>
    <t>عندما يكون الفرق في القوة كبيرًا، يمكن أن يؤدي ذلك إلى إصابة خطيرة للبقرة الأضعف. الأفضل هو إيقاف القتال.</t>
  </si>
  <si>
    <t>إذا كان المنافس يستخدم تقنيات غير قانونية في القتال، ماذا تفعل؟</t>
  </si>
  <si>
    <t>أ. أرد بالمثل. ب. أقدم شكوى رسمية للحكم. ج. أصرخ على المنافس. د. أواصل القتال.</t>
  </si>
  <si>
    <t>ب. أقدم شكوى رسمية للحكم.</t>
  </si>
  <si>
    <t>يجب الالتزام بالقواعد. تقديم شكوى رسمية للحكم هو الإجراء الصحيح.</t>
  </si>
  <si>
    <t>إذا كانت البقرة تظهر علامات قلق شديد قبل المعركة، ماذا تفعل؟</t>
  </si>
  <si>
    <t>أ. أتركها على حالها. ب. أستخدم طرق التهدئة. ج. أقدم لها وجبة كبيرة. د. أطلب تأجيل المعركة.</t>
  </si>
  <si>
    <t>ب. أستخدم طرق التهدئة.</t>
  </si>
  <si>
    <t>التوتر قبل المعركة قد يؤثر على الأداء. يجب تهدئة البقرة لتبدأ المعركة بذهن صافٍ.</t>
  </si>
  <si>
    <t>أ. أضغط عليها لتستمر. ب. أطلب إيقاف القتال. ج. أغير أسلوب القتال لتقليل الجهد. د. أستمر في القتال.</t>
  </si>
  <si>
    <t>ج. أغير أسلوب القتال لتقليل الجهد.</t>
  </si>
  <si>
    <t>التراجع في الأداء قد يكون علامة على التعب. تغيير الأسلوب قد يساعدها على استعادة طاقتها.</t>
  </si>
  <si>
    <t>أ. أضغط عليها لمقاومة الضغط. ب. أقدم لها مساحة للتحرك والهروب من الضغط. ج. أطلب إيقاف القتال. د. أستخدم طرق التهدئة.</t>
  </si>
  <si>
    <t>ب. أقدم لها مساحة للتحرك والهروب من الضغط.</t>
  </si>
  <si>
    <t>يجب على المربي مساعدة البقرة على تجنب الضغط. توفير مساحة للتحرك يساعدها على استعادة السيطرة.</t>
  </si>
  <si>
    <t>أ. أتركها لتستريح. ب. أقدم لها مسكنات الألم. ج. أطلب المساعدة البيطرية فورًا. د. أضع كمادة باردة على المنطقة المؤلمة.</t>
  </si>
  <si>
    <t>ج. أطلب المساعدة البيطرية فورًا.</t>
  </si>
  <si>
    <t>الألم بعد المعركة قد يكون علامة على إصابة خطيرة. يجب استشارة طبيب بيطري لتقييم حالتها.</t>
  </si>
  <si>
    <t>أ. أواصل القتال. ب. أقدم لها الماء البارد. ج. أوقف القتال وأطلب فترة راحة. د. أستخدم المروحة لتبريدها.</t>
  </si>
  <si>
    <t>ج. أوقف القتال وأطلب فترة راحة.</t>
  </si>
  <si>
    <t>الحرارة المفرطة قد تسبب الإجهاد الحراري. يجب إيقاف القتال لتوفير الراحة للبقرة.</t>
  </si>
  <si>
    <t>أ. أتركها على حالها. ب. أقدم لها ماءً ومكملات غذائية. ج. أجبرها على التحرك. د. أتركها في مكان منعزل.</t>
  </si>
  <si>
    <t>ب. أقدم لها ماءً ومكملات غذائية.</t>
  </si>
  <si>
    <t>الإرهاق الشديد يتطلب تدخلًا فوريًا. الماء والمكملات الغذائية يساعدان على استعادة الطاقة.</t>
  </si>
  <si>
    <t>أ. أجبرها على التعاون. ب. أتركها وشأنها. ج. أستخدم طرق التهدئة. د. أطلب تأجيل المعركة.</t>
  </si>
  <si>
    <t>ج. أستخدم طرق التهدئة.</t>
  </si>
  <si>
    <t>مقاومة التعاون قد تكون علامة على التوتر. يجب تهدئة البقرة لتبدأ المعركة بذهن صافٍ.</t>
  </si>
  <si>
    <t>أ. أطلب من الحشود أن تبتعد. ب. أصرخ على الحشود. ج. أستخدم تقنيات التهدئة. د. أواصل القتال.</t>
  </si>
  <si>
    <t>ج. أستخدم تقنيات التهدئة.</t>
  </si>
  <si>
    <t>التوتر الناتج عن الحشود يمكن أن يؤثر على الأداء. يجب تهدئة البقرة.</t>
  </si>
  <si>
    <t>أ. أتركها على حالها. ب. أقدم لها مكافأة. ج. أستخدم طرق التهدئة. د. أطلب تأجيل المعركة.</t>
  </si>
  <si>
    <t>العصبية قبل المعركة قد تؤثر على الأداء. يجب تهدئة البقرة.</t>
  </si>
  <si>
    <t>أ. أتركها لتستريح. ب. أقدم لها الماء. ج. أطلب المساعدة البيطرية فورًا. د. أجبرها على التحرك.</t>
  </si>
  <si>
    <t>صعوبة التنفس قد تكون علامة على مشكلة خطيرة. يجب استشارة طبيب بيطري.</t>
  </si>
  <si>
    <t>أ. أستمر في القتال. ب. أطلب إيقاف القتال. ج. أغير أسلوب القتال. د. أطلب من الحكم التدخل.</t>
  </si>
  <si>
    <t>ب. أطلب إيقاف القتال.</t>
  </si>
  <si>
    <t>عندما يكون الفرق في القوة كبيرًا، يمكن أن يؤدي ذلك إلى إصابة خطيرة. الأفضل هو إيقاف القتال.</t>
  </si>
  <si>
    <t>أ. أواصل القتال. ب. أطلب إيقاف القتال. ج. أقدم لها مساحة للهروب. د. أصرخ على المنافس.</t>
  </si>
  <si>
    <t>الهجوم العنيف قد يسبب إصابات خطيرة. يجب إيقاف القتال لسلامة البقرة.</t>
  </si>
  <si>
    <t>أ. أستمر في القتال. ب. أطلب فترة راحة قصيرة. ج. أعتمد على البقرة. د. أترك المعركة.</t>
  </si>
  <si>
    <t>ب. أطلب فترة راحة قصيرة.</t>
  </si>
  <si>
    <t>الإرهاق يمكن أن يؤثر على قدرتك على اتخاذ القرارات. طلب فترة راحة يساعد على استعادة التركيز.</t>
  </si>
  <si>
    <t>أ. أستمر في القتال. ب. أغير أسلوب القتال. ج. أطلب إيقاف القتال. د. أستخدم إشارات صوتية قوية.</t>
  </si>
  <si>
    <t>ج. أطلب إيقاف القتال.</t>
  </si>
  <si>
    <t>ضعف النظر قد يعرض البقرة للخطر. يجب إيقاف القتال لسلامتها.</t>
  </si>
  <si>
    <t>أ. أرد بالمثل. ب. أقدم شكوى رسمية للحكم. ج. أصرخ عليه. د. أواصل القتال.</t>
  </si>
  <si>
    <t>أ. أستمر في القتال. ب. أطلب فترة راحة. ج. أعتمد على البقرة. د. أترك المعركة.</t>
  </si>
  <si>
    <t>ب. أطلب فترة راحة.</t>
  </si>
  <si>
    <t>فقدان التركيز يمكن أن يؤثر على أدائك. طلب فترة راحة يساعد على استعادة التركيز.</t>
  </si>
  <si>
    <t>أ. أرد بالمثل. ب. أقدم شكوى رسمية للحكم. ج. أصرخ على المنافسين. د. أواصل القتال.</t>
  </si>
  <si>
    <t>أ. أضغط على البقرة للهجوم. ب. أطلب إيقاف القتال. ج. أغير أسلوب القتال. د. أواصل القتال.</t>
  </si>
  <si>
    <t>ج. أغير أسلوب القتال.</t>
  </si>
  <si>
    <t>في المواقف الحرجة، يجب تغيير الأسلوب لإيجاد حل.</t>
  </si>
  <si>
    <t>إذا كانت البقرة تظهر علامات من التوتر قبل المعركة، ماذا تفعل؟</t>
  </si>
  <si>
    <t>التوتر قبل المعركة قد يؤثر على الأداء. يجب تهدئة البقرة.</t>
  </si>
  <si>
    <t>Image</t>
  </si>
  <si>
    <t>Correct Answer</t>
  </si>
  <si>
    <t>nubian_stick_fighting_23.jpg</t>
  </si>
  <si>
    <t>This form of stick fighting, performed in front of an ancient temple, is a traditional martial art from what country?</t>
  </si>
  <si>
    <t>A) Sudan, B) Ethiopia, C) Nigeria, D) Egypt</t>
  </si>
  <si>
    <t>D) Egypt</t>
  </si>
  <si>
    <t>This is Tahtib, an ancient Egyptian martial art. The background appears to be the Karnak or Luxor Temple complex, confirming the Egyptian setting.</t>
  </si>
  <si>
    <t>What is the traditional long robe worn by the practitioner called?</t>
  </si>
  <si>
    <t>A) A toga, B) A kimono, C) A galabeya, D) A kilt</t>
  </si>
  <si>
    <t>C) A galabeya</t>
  </si>
  <si>
    <t>The galabeya is a traditional, ankle-length robe common in Egypt and Sudan.</t>
  </si>
  <si>
    <t>The long wooden staff used in this martial art is known as an...</t>
  </si>
  <si>
    <t>A) Assegai, B) Asa, C) Eku, D) Bo</t>
  </si>
  <si>
    <t>B) Asa</t>
  </si>
  <si>
    <t>In Tahtib, the staff is traditionally called an "asa."</t>
  </si>
  <si>
    <t>The man's dynamic pose is part of a...</t>
  </si>
  <si>
    <t>A) Ritualistic dance and martial art, B) Modern theatrical performance, C) Religious ceremony, D) A warm-up exercise only</t>
  </si>
  <si>
    <t>A) Ritualistic dance and martial art</t>
  </si>
  <si>
    <t>Tahtib is both a combat form and a dance, often accompanied by music, blending martial skill with artistic expression.</t>
  </si>
  <si>
    <t>What are the people sitting in the background doing?</t>
  </si>
  <si>
    <t>A) They are participating in the fight, B) They are watching the performance or match, C) They are selling souvenirs, D) They are waiting for a bus</t>
  </si>
  <si>
    <t>B) They are watching the performance or match</t>
  </si>
  <si>
    <t>They are spectators, some of whom are also holding staffs, suggesting they are fellow practitioners.</t>
  </si>
  <si>
    <t>The white head covering worn by the man is a type of...</t>
  </si>
  <si>
    <t>A) Helmet, B) Turban, C) Baseball cap, D) Crown</t>
  </si>
  <si>
    <t>B) A turban</t>
  </si>
  <si>
    <t>He is wearing a traditional turban, a common form of headwear in the region.</t>
  </si>
  <si>
    <t>The origins of Tahtib can be traced back to...</t>
  </si>
  <si>
    <t>A) The 20th century, B) The Roman Empire, C) Ancient Egypt, with reliefs found in tombs, D) Medieval Europe</t>
  </si>
  <si>
    <t>C) Ancient Egypt, with reliefs found in tombs</t>
  </si>
  <si>
    <t>Depictions of stick fighting similar to Tahtib are found on the walls of ancient Egyptian tombs dating back thousands of years.</t>
  </si>
  <si>
    <t>This performance is taking place in a...</t>
  </si>
  <si>
    <t>A) Grassy field, B) Paved public square or courtyard, C) Sandy desert, D) Forest clearing</t>
  </si>
  <si>
    <t>B) A paved public square or courtyard</t>
  </si>
  <si>
    <t>The ground is made of large, flat paving stones, typical of the area in front of a major historical site.</t>
  </si>
  <si>
    <t>What is the man on the far right doing?</t>
  </si>
  <si>
    <t>A) He is participating in the fight, B) He is filming or taking a photo of the event, C) He is sleeping, D) He is playing a musical instrument</t>
  </si>
  <si>
    <t>B) He is filming or taking a photo of the event</t>
  </si>
  <si>
    <t>He is holding up a device, likely a camera or mobile phone, to capture the performance.</t>
  </si>
  <si>
    <t>Tahtib is recognized by UNESCO as...</t>
  </si>
  <si>
    <t>A) The world's most dangerous sport, B) An Intangible Cultural Heritage of Humanity, C) An Olympic sport, D) A form of meditation</t>
  </si>
  <si>
    <t>B) An Intangible Cultural Heritage of Humanity</t>
  </si>
  <si>
    <t>In 2016, UNESCO officially recognized Tahtib for its cultural significance and historical value.</t>
  </si>
  <si>
    <t>nubian_stick_fighting_18.jpg</t>
  </si>
  <si>
    <t>What iconic landmark is visible in the background of this image?</t>
  </si>
  <si>
    <t>A) The Eiffel Tower, B) The Colosseum, C) The Great Pyramid of Giza, D) The Taj Mahal</t>
  </si>
  <si>
    <t>C) The Great Pyramid of Giza</t>
  </si>
  <si>
    <t>The unmistakable shape of one of the Giza pyramids is visible in the hazy background, placing this scene in Egypt. 🇪🇬</t>
  </si>
  <si>
    <t>The two men are practicing a form of stick fighting called...</t>
  </si>
  <si>
    <t>A) Nuba Wrestling, B) Zulu Stick Fighting, C) Tahtib, D) Capoeira</t>
  </si>
  <si>
    <t>C) Tahtib</t>
  </si>
  <si>
    <t>This is the traditional Egyptian stick fighting martial art.</t>
  </si>
  <si>
    <t>What is the purpose of the red sashes worn by the men?</t>
  </si>
  <si>
    <t>A) They are purely decorative, B) They can be part of a traditional uniform and signify rank or affiliation, C) They are used to hold weapons, D) They are a form of first-aid bandage</t>
  </si>
  <si>
    <t>B) They can be part of a traditional uniform and signify rank or affiliation</t>
  </si>
  <si>
    <t>In many martial arts, belts or sashes are used to denote skill level or simply as part of the traditional costume.</t>
  </si>
  <si>
    <t>The long wooden weapon they are using is called an...</t>
  </si>
  <si>
    <t>A) Escrima stick, B) Jo, C) Asa, D) Quarterstaff</t>
  </si>
  <si>
    <t>C) Asa</t>
  </si>
  <si>
    <t>The long staff used in Tahtib is known as an asa.</t>
  </si>
  <si>
    <t>This image shows...</t>
  </si>
  <si>
    <t>A) An ancient, historical battle, B) A modern practice session of a traditional martial art, C) A scene from a movie, D) A reenactment for tourists</t>
  </si>
  <si>
    <t>B) A modern practice session of a traditional martial art</t>
  </si>
  <si>
    <t>The men are in modern athletic clothing, practicing the ancient art on a modern rooftop, showing its continued relevance.</t>
  </si>
  <si>
    <t>The man on the right is holding his staff in what kind of grip?</t>
  </si>
  <si>
    <t>A) A one-handed grip at the very end, B) A two-handed grip in the center, C) A one-handed grip in the middle, D) He is not holding it</t>
  </si>
  <si>
    <t>C) A one-handed grip in the middle</t>
  </si>
  <si>
    <t>This grip allows for quick, fluid movements, blocks, and strikes.</t>
  </si>
  <si>
    <t>The setting for this practice session is a...</t>
  </si>
  <si>
    <t>A) Desert, B) Public park, C) Rooftop, D) Formal arena</t>
  </si>
  <si>
    <t>C) A rooftop</t>
  </si>
  <si>
    <t>They are on a paved rooftop, with a low wall, overlooking the surrounding area.</t>
  </si>
  <si>
    <t>The man on the left is in a posture that suggests he is...</t>
  </si>
  <si>
    <t>A) About to strike from above, B) Defending against a high strike, C) Resting, D) Surrendering</t>
  </si>
  <si>
    <t>A) About to strike from above</t>
  </si>
  <si>
    <t>He is holding the staff high, preparing to bring it down in a powerful overhead strike.</t>
  </si>
  <si>
    <t>The friendly but focused expressions on the men's faces indicate this is a...</t>
  </si>
  <si>
    <t>A) Fight to the death, B) A sparring or training session, C) A heated argument, D) A dance performance</t>
  </si>
  <si>
    <t>B) A sparring or training session</t>
  </si>
  <si>
    <t>They are practicing their techniques with a partner, not engaged in a real, life-or-death battle.</t>
  </si>
  <si>
    <t>This image demonstrates that traditional martial arts like Tahtib are...</t>
  </si>
  <si>
    <t>A) No longer practiced, B) Only practiced in their original, ancient form, C) Kept alive by modern practitioners, D) A forgotten part of history</t>
  </si>
  <si>
    <t>C) Kept alive by modern practitioners</t>
  </si>
  <si>
    <t>People continue to train and preserve these ancient arts in the modern world.</t>
  </si>
  <si>
    <t>nubian_stick_fighting_4.jpg</t>
  </si>
  <si>
    <t>This image shows a form of stick fighting traditional to what region of Africa?</t>
  </si>
  <si>
    <t>A) North Africa (e.g., Egypt), B) West Africa (e.g., Nigeria), C) Southern Africa (e.g., South Africa, Zululand), D) East Africa (e.g., Ethiopia)</t>
  </si>
  <si>
    <t>C) Southern Africa (e.g., South Africa, Zululand)</t>
  </si>
  <si>
    <t>The attire, including the animal skin loincloths (umutsha) and the small shield, is characteristic of Zulu and related Nguni peoples.</t>
  </si>
  <si>
    <t>What is the small shield held by the fighter on the right called?</t>
  </si>
  <si>
    <t>A) A buckler, B) An ihawu, C) A scutum, D) A targe</t>
  </si>
  <si>
    <t>B) An ihawu</t>
  </si>
  <si>
    <t>This is the traditional small shield used in Nguni stick fighting, used for deflecting blows.</t>
  </si>
  <si>
    <t>In addition to the long fighting stick (induku), what other item is the fighter on the right holding?</t>
  </si>
  <si>
    <t>A) A smaller stick for blocking (isikhwili), B) A spear, C) A knife, D) A rope</t>
  </si>
  <si>
    <t>A) A smaller stick for blocking (isikhwili)</t>
  </si>
  <si>
    <t>Fighters traditionally use a longer stick for attacking and a shorter, thicker stick for defense.</t>
  </si>
  <si>
    <t>The background shows traditional homes with a distinct shape. These are...</t>
  </si>
  <si>
    <t>A) Modern brick houses, B) Thatched-roof huts in a kraal or homestead, C) Tents, D) Log cabins</t>
  </si>
  <si>
    <t>B) Thatched-roof huts in a kraal or homestead</t>
  </si>
  <si>
    <t>The beehive-shaped huts and the wooden fence are typical of a traditional Zulu homestead.</t>
  </si>
  <si>
    <t>This form of stick fighting was traditionally a way for young men to...</t>
  </si>
  <si>
    <t>A) Settle legal disputes, B) Prove their manhood and gain respect, C) Hunt for food, D) Entertain foreign visitors</t>
  </si>
  <si>
    <t>B) To prove their manhood and gain respect</t>
  </si>
  <si>
    <t>Stick fighting was a rite of passage, a way to display courage, skill, and strength, which was important for attracting brides and earning status.</t>
  </si>
  <si>
    <t>The fighters' stance is...</t>
  </si>
  <si>
    <t>A) Upright and stiff, B) Low, wide, and dynamic, C) Seated on the ground, D) Relaxed and casual</t>
  </si>
  <si>
    <t>B) Low, wide, and dynamic</t>
  </si>
  <si>
    <t>Their low center of gravity provides stability and allows for explosive movements.</t>
  </si>
  <si>
    <t>The fighters are wearing traditional garments made from...</t>
  </si>
  <si>
    <t>A) Woven cloth, B) Animal skins and furs, C) Modern synthetic fabrics, D) Metal armor</t>
  </si>
  <si>
    <t>B) Animal skins and furs</t>
  </si>
  <si>
    <t>Their attire is made from the hides of animals, reflecting the cultural context.</t>
  </si>
  <si>
    <t>This type of fighting is often described as...</t>
  </si>
  <si>
    <t>A) A "martial dance", B) A slow-paced ritual, C) A non-contact sport, D) A modern invention</t>
  </si>
  <si>
    <t>A) A "martial dance"</t>
  </si>
  <si>
    <t>Like many stick fighting traditions, it is highly rhythmic and involves intricate footwork, making it resemble a dance.</t>
  </si>
  <si>
    <t>The fighters are competing...</t>
  </si>
  <si>
    <t>A) With heavy boots, B) Barefoot, C) With modern athletic shoes, D) With sandals</t>
  </si>
  <si>
    <t>B) Barefoot</t>
  </si>
  <si>
    <t>Competing barefoot allows for better connection to the ground and agility.</t>
  </si>
  <si>
    <t>This image captures a...</t>
  </si>
  <si>
    <t>A) Modern, state-sponsored sporting event, B) A timeless, cultural tradition, C) A scene from a movie, D) A military training exercise</t>
  </si>
  <si>
    <t>B) A timeless, cultural tradition</t>
  </si>
  <si>
    <t>The photo depicts an authentic cultural practice in its traditional setting.</t>
  </si>
  <si>
    <t>nubian_stick_fighting_2.jpg</t>
  </si>
  <si>
    <t>This powerful black-and-white image does not show stick fighting, but rather what other Sudanese martial art?</t>
  </si>
  <si>
    <t>A) Tahtib, B) Nuba wrestling, C) Kickboxing, D) Archery</t>
  </si>
  <si>
    <t>B) Nuba wrestling</t>
  </si>
  <si>
    <t>This is a classic historical image of Nuba wrestling, a grappling art focused on throwing the opponent.</t>
  </si>
  <si>
    <t>What is the main action happening in the center of the image?</t>
  </si>
  <si>
    <t>A) Two fighters are striking each other with sticks, B) A wrestler is executing a powerful, acrobatic throw, C) The competitors are shaking hands, D) A ritual dance is being performed</t>
  </si>
  <si>
    <t>B) A wrestler is executing a powerful, acrobatic throw</t>
  </si>
  <si>
    <t>One wrestler has lifted his opponent completely off the ground and is in the process of throwing him upside down.</t>
  </si>
  <si>
    <t>The black-and-white format and traditional attire suggest this photo is...</t>
  </si>
  <si>
    <t>A) A recent photo with a filter, B) A historical document of the sport, C) A staged photo for a magazine, D) A still from a modern movie</t>
  </si>
  <si>
    <t>B) A historical document of the sport</t>
  </si>
  <si>
    <t>This is a famous photo from the mid-20th century, capturing the raw energy of traditional Nuba wrestling.</t>
  </si>
  <si>
    <t>The people surrounding the wrestlers are...</t>
  </si>
  <si>
    <t>A) Other wrestlers and community members, B) The police, trying to stop the fight, C) Tourists, D) Rival teams in modern uniforms</t>
  </si>
  <si>
    <t>A) Other wrestlers and community members</t>
  </si>
  <si>
    <t>The match is an intense community event, with everyone closely involved in the action.</t>
  </si>
  <si>
    <t>What is the goal of the throw being performed?</t>
  </si>
  <si>
    <t>A) To land the opponent on his feet, B) To make the opponent's back touch the ground, C) To throw the opponent out of the circle, D) To hold the opponent in the air as long as possible</t>
  </si>
  <si>
    <t>B) To make the opponent's back touch the ground</t>
  </si>
  <si>
    <t>A win in Nuba wrestling is achieved by making any part of the opponent's back touch the earth.</t>
  </si>
  <si>
    <t>The wrestler being thrown is wearing...</t>
  </si>
  <si>
    <t>A) Modern athletic shorts, B) A traditional, patterned loincloth and decorations, C) Heavy leather pants, D) Nothing</t>
  </si>
  <si>
    <t>B) A traditional, patterned loincloth and decorations</t>
  </si>
  <si>
    <t>His attire is traditional, including what appears to be vegetation tucked into his waistband.</t>
  </si>
  <si>
    <t>This image highlights the __________ of Nuba wrestling.</t>
  </si>
  <si>
    <t>A) slow, methodical nature, B) lack of physical contact, C) extreme athleticism and dynamism, D) use of weapons</t>
  </si>
  <si>
    <t>C) extreme athleticism and dynamism</t>
  </si>
  <si>
    <t>The acrobatic, high-amplitude throw showcases the incredible strength and skill of the competitors.</t>
  </si>
  <si>
    <t>The photo is taken from what kind of angle?</t>
  </si>
  <si>
    <t>A) A high angle, looking down, B) A low angle, looking up, C) From very far away, D) From behind the crowd</t>
  </si>
  <si>
    <t>B) A low angle, looking up</t>
  </si>
  <si>
    <t>The low perspective makes the action seem even more powerful and heroic.</t>
  </si>
  <si>
    <t>The lack of a formal ring or barriers shows this is a...</t>
  </si>
  <si>
    <t>A) Modern championship match, B) Traditional, village-style match, C) Private practice session, D) An illegal, unsanctioned fight</t>
  </si>
  <si>
    <t>B) A traditional, village-style match</t>
  </si>
  <si>
    <t>The community itself forms the arena for the competition.</t>
  </si>
  <si>
    <t>The high contrast of the black-and-white image serves to...</t>
  </si>
  <si>
    <t>A) Obscure the details of the action, B) Emphasize the muscularity of the wrestlers and the raw energy of the moment, C) Make the scene look calm and peaceful, D) Show that the event is happening at night</t>
  </si>
  <si>
    <t>B) To emphasize the muscularity of the wrestlers and the raw energy of the moment</t>
  </si>
  <si>
    <t>The stark contrast between light and shadow adds to the drama and power of the photograph.</t>
  </si>
  <si>
    <t>nubian_stick_fighting_11.jpg</t>
  </si>
  <si>
    <t>This form of stick fighting is traditional to warrior cultures in what region of Africa?</t>
  </si>
  <si>
    <t>A) North Africa, B) West Africa, C) Southern Africa, D) East Africa (e.g., Kenya, Tanzania)</t>
  </si>
  <si>
    <t>D) East Africa (e.g., Kenya, Tanzania)</t>
  </si>
  <si>
    <t>The attire, particularly the red checkered cloth (shuka), is strongly associated with the Maasai and related peoples of East Africa.</t>
  </si>
  <si>
    <t>What is the man on the left wearing?</t>
  </si>
  <si>
    <t>A) A business suit, B) A traditional red checkered cloth known as a shuka, C) A heavy winter coat, D) A wrestler's uniform</t>
  </si>
  <si>
    <t>B) A traditional red checkered cloth known as a shuka</t>
  </si>
  <si>
    <t>This is the iconic garment of the Maasai people.</t>
  </si>
  <si>
    <t>What are the fighters using as weapons?</t>
  </si>
  <si>
    <t>A) Long spears, B) Swords, C) Long, thin wooden staffs or sticks, D) Bows and arrows</t>
  </si>
  <si>
    <t>C) Long, thin wooden staffs or sticks</t>
  </si>
  <si>
    <t>They are engaged in a duel using traditional fighting sticks.</t>
  </si>
  <si>
    <t>What is the setting for this confrontation?</t>
  </si>
  <si>
    <t>A) A modern city, B) A dense jungle, C) An open, arid savanna with acacia trees, D) A beach</t>
  </si>
  <si>
    <t>C) An open, arid savanna with acacia trees</t>
  </si>
  <si>
    <t>The dry ground and characteristic flat-topped acacia trees are hallmarks of the East African savanna.</t>
  </si>
  <si>
    <t>This type of stick fighting was traditionally used for...</t>
  </si>
  <si>
    <t>A) Settling disputes and as a rite of passage for young warriors, B) Herding cattle only, C) A form of entertainment for tourists, D) A religious ceremony</t>
  </si>
  <si>
    <t>A) To settle disputes and as a rite of passage for young warriors</t>
  </si>
  <si>
    <t>For peoples like the Maasai, skill in stick fighting was a crucial part of a young man's training as a warrior (moran).</t>
  </si>
  <si>
    <t>What does the dynamic posture of both fighters show?</t>
  </si>
  <si>
    <t>A) They are tired and about to rest, B) They are engaged in an athletic and fast-paced fight, C) They are performing a slow, formal dance, D) They are posing for a photograph</t>
  </si>
  <si>
    <t>B) They are engaged in an athletic and fast-paced fight</t>
  </si>
  <si>
    <t>Their bodies are in full motion, indicating a dynamic exchange of blows and parries.</t>
  </si>
  <si>
    <t>The fighter on the left is in the process of...</t>
  </si>
  <si>
    <t>A) Dodging or leaning away from a blow, B) Delivering a high strike, C) Standing still, D) Falling over</t>
  </si>
  <si>
    <t>A) Dodging or leaning away from a blow</t>
  </si>
  <si>
    <t>He is leaning back while simultaneously using his sticks to block an incoming attack.</t>
  </si>
  <si>
    <t>This image captures a martial art that is deeply connected to a...</t>
  </si>
  <si>
    <t>A) Modern, urban lifestyle, B) A seafaring culture, C) A pastoralist, warrior culture, D) An industrial, factory-based economy</t>
  </si>
  <si>
    <t>C) A pastoralist, warrior culture</t>
  </si>
  <si>
    <t>The Maasai and related groups are traditionally semi-nomadic cattle herders, and the warrior class was responsible for protecting the herds and the community.</t>
  </si>
  <si>
    <t>The fighter on the right is...</t>
  </si>
  <si>
    <t>A) Surrendering, B) In a powerful offensive posture, delivering a strike from above, C) Looking away from the fight, D) Using a shield</t>
  </si>
  <si>
    <t>B) In a powerful offensive posture, delivering a strike from above</t>
  </si>
  <si>
    <t>He has his stick raised high, bringing it down in an attack.</t>
  </si>
  <si>
    <t>The dust being kicked up by their feet signifies...</t>
  </si>
  <si>
    <t>A) The ground is wet, B) The intensity and speed of their movement, C) It is extremely windy, D) The fight is not real</t>
  </si>
  <si>
    <t>B) The intensity and speed of their movement</t>
  </si>
  <si>
    <t>Their rapid footwork on the dry ground is kicking up a trail of dust.</t>
  </si>
  <si>
    <t>nubian_stick_fighting_5.jpg</t>
  </si>
  <si>
    <t>This historical image shows a chaotic scene. What martial art is being practiced?</t>
  </si>
  <si>
    <t>A) Stick Fighting, B) Nuba Wrestling, C) Archery, D) A form of boxing</t>
  </si>
  <si>
    <t>B) Nuba Wrestling</t>
  </si>
  <si>
    <t>This is another historical photo of Nuba wrestling. The central figures are grappling, not using sticks, and are surrounded by officials or elders.</t>
  </si>
  <si>
    <t>What is the central action of the two main figures?</t>
  </si>
  <si>
    <t>A) They are striking each other with spears, B) They are locked in a grapple, C) They are performing a dance with sticks, D) They are shaking hands</t>
  </si>
  <si>
    <t>B) They are locked in a grapple</t>
  </si>
  <si>
    <t>The two wrestlers in the center are engaged in a close-contact wrestling hold.</t>
  </si>
  <si>
    <t>What is the most prominent feature of the wrestlers' attire?</t>
  </si>
  <si>
    <t>A) They are wearing modern athletic gear, B) They are wearing highly ceremonial and ritualistic adornments, C) They are wearing heavy armor, D) They are wearing simple loincloths</t>
  </si>
  <si>
    <t>B) They are wearing highly ceremonial and ritualistic adornments</t>
  </si>
  <si>
    <t>They are decorated with feathers, beads, and other items, indicating this is a very important ceremonial match.</t>
  </si>
  <si>
    <t>What does the motion blur in the image signify?</t>
  </si>
  <si>
    <t>A) The camera was of poor quality, B) The intense, chaotic, and rapid movement of the event, C) The event was taking place in slow motion, D) The photographer was far away</t>
  </si>
  <si>
    <t>B) The intense, chaotic, and rapid movement of the event</t>
  </si>
  <si>
    <t>The blur captures the frenetic energy of both the wrestlers and the people surrounding them.</t>
  </si>
  <si>
    <t>The men surrounding the wrestlers appear to be...</t>
  </si>
  <si>
    <t>A) Rival wrestlers trying to interfere, B) Officials or elders, some carrying fly-whisks, overseeing the ritual, C) Spectators who have rushed the ring, D) The police</t>
  </si>
  <si>
    <t>B) Officials or elders, some carrying fly-whisks, overseeing the ritual</t>
  </si>
  <si>
    <t>In traditional matches, elders play a key role in officiating and ensuring the rituals are observed correctly.</t>
  </si>
  <si>
    <t>The atmosphere of the scene is...</t>
  </si>
  <si>
    <t>A) Calm and peaceful, B) Intense, chaotic, and spiritual, C) Sad and mournful, D) Staged and orderly</t>
  </si>
  <si>
    <t>B) Intense, chaotic, and spiritual</t>
  </si>
  <si>
    <t>This is not just a sport but a powerful cultural and spiritual event, full of raw energy.</t>
  </si>
  <si>
    <t>The photo is in black and white, which suggests it is...</t>
  </si>
  <si>
    <t>A) A modern photo with a filter, B) A historical document of a traditional ceremony, C) A still from a movie, D) A nighttime photo</t>
  </si>
  <si>
    <t>B) A historical document of a traditional ceremony</t>
  </si>
  <si>
    <t>This image is a valuable ethnographic record of Nuba wrestling in its full ceremonial context from the mid-20th century.</t>
  </si>
  <si>
    <t>This image emphasizes that Nuba wrestling is not just a sport, but also a...</t>
  </si>
  <si>
    <t>A) Form of commerce, B) A complex ritual, C) A way to settle legal disputes, D) A modern invention</t>
  </si>
  <si>
    <t>B) A complex ritual</t>
  </si>
  <si>
    <t>The elaborate costumes and the presence of elders performing actions show that there is a deep layer of ritual and ceremony involved.</t>
  </si>
  <si>
    <t>The items worn on the wrestlers' ankles are...</t>
  </si>
  <si>
    <t>A) Modern athletic braces, B) Decorative anklets with feathers or fur, C) Weights for training, D) Electronic tracking devices</t>
  </si>
  <si>
    <t>B) Decorative anklets with feathers or fur</t>
  </si>
  <si>
    <t>These are part of the traditional ceremonial costume for the match.</t>
  </si>
  <si>
    <t>The hazy, dusty air adds to the image's...</t>
  </si>
  <si>
    <t>A) Sense of order and cleanliness, B) Modern aesthetic, C) Timeless and otherworldly feeling, D) Feeling of being indoors</t>
  </si>
  <si>
    <t>C) A timeless and otherworldly feeling</t>
  </si>
  <si>
    <t>The atmospheric haze contributes to the powerful, almost mythical quality of the scene.</t>
  </si>
  <si>
    <t>nubian_stick_fighting_7.jpg</t>
  </si>
  <si>
    <t>This historical black-and-white photograph shows what Sudanese martial art?</t>
  </si>
  <si>
    <t>A) Tahtib, B) Nuba Wrestling, C) Stick Fighting, D) A form of boxing</t>
  </si>
  <si>
    <t>The four men in the center are grappling and in wrestling stances, not using sticks. This is another classic photo of Nuba wrestling.</t>
  </si>
  <si>
    <t>How many active participants are in the center of the ring?</t>
  </si>
  <si>
    <t>A) One, B) Two, C) Three, D) Four</t>
  </si>
  <si>
    <t>D) Four</t>
  </si>
  <si>
    <t>There appear to be two pairs of wrestlers engaged simultaneously in the same ring.</t>
  </si>
  <si>
    <t>What is the setting for this event?</t>
  </si>
  <si>
    <t>A) A modern stadium with a fence, B) A traditional village clearing surrounded by the community, C) An indoor gymnasium, D) A dense forest</t>
  </si>
  <si>
    <t>B) A traditional village clearing surrounded by the community</t>
  </si>
  <si>
    <t>The spectators are crowded around an open patch of ground, with traditional huts in the background, signifying a community event.</t>
  </si>
  <si>
    <t>What kind of attire are the wrestlers wearing?</t>
  </si>
  <si>
    <t>A) Heavy robes, B) Modern athletic uniforms, C) Simple shorts or loincloths, some with leg decorations, D) Nothing at all</t>
  </si>
  <si>
    <t>C) Simple shorts or loincloths, some with leg decorations</t>
  </si>
  <si>
    <t>Their clothing is minimal and practical for wrestling, with some wearing traditional leg bands.</t>
  </si>
  <si>
    <t>The two wrestlers on the left are...</t>
  </si>
  <si>
    <t>A) Shaking hands, B) In a low, powerful grapple, C) Performing a dance, D) Resting</t>
  </si>
  <si>
    <t>B) In a low, powerful grapple</t>
  </si>
  <si>
    <t>They are bent over and locked in a clinch, each trying to throw the other.</t>
  </si>
  <si>
    <t>What does the large, dense crowd signify?</t>
  </si>
  <si>
    <t>A) The sport is not very popular, B) The wrestling match is a major social event for the community, C) The people are waiting for a different event to start, D) The photo is of a marketplace, not a wrestling match</t>
  </si>
  <si>
    <t>B) The wrestling match is a major social event for the community</t>
  </si>
  <si>
    <t>The turnout of the entire community shows the central importance of wrestling in their social lives.</t>
  </si>
  <si>
    <t>The two men on the right are in what phase of the match?</t>
  </si>
  <si>
    <t>A) They have just finished their match, B) They are locked in a high grapple, C) They are in the initial, pre-engagement phase, D) One is congratulating the other on a victory</t>
  </si>
  <si>
    <t>C) They are in the initial, pre-engagement phase</t>
  </si>
  <si>
    <t>They are holding hands/wrists, a common starting point in many forms of traditional wrestling, from which they will try to gain a better hold.</t>
  </si>
  <si>
    <t>This image captures...</t>
  </si>
  <si>
    <t>A) A single, decisive moment, B) A broad view of a community-wide event with multiple things happening at once, C) A quiet, posed portrait, D) The commercial aspect of the sport</t>
  </si>
  <si>
    <t>B) A broad view of a community-wide event with multiple things happening at once</t>
  </si>
  <si>
    <t>The photograph shows multiple matches and the entire surrounding community, giving a sense of the event as a whole.</t>
  </si>
  <si>
    <t>The lack of a referee in the immediate vicinity of the wrestlers suggests...</t>
  </si>
  <si>
    <t>A) The rules are not important, B) The matches may be officiated by elders in the crowd or are self-regulated, C) The referee is on a break, D) It is a fight with no rules</t>
  </si>
  <si>
    <t>B) The matches may be officiated by elders in the crowd or are self-regulated</t>
  </si>
  <si>
    <t>In traditional village matches, the officiating is often less formal than in modern arenas.</t>
  </si>
  <si>
    <t>This photograph is a valuable historical document of...</t>
  </si>
  <si>
    <t>A) The modernization of Sudan, B) The cultural life of the Nuba people, C) The agricultural practices of the region, D) The political system of Sudan in the 20th century</t>
  </si>
  <si>
    <t>B) The cultural life of the Nuba people</t>
  </si>
  <si>
    <t>It provides a powerful glimpse into a sporting and social tradition that is central to Nuba identity.</t>
  </si>
  <si>
    <t>nubian_stick_fighting_21.jpg</t>
  </si>
  <si>
    <t>The man in the foreground is practicing what martial art?</t>
  </si>
  <si>
    <t>A) Nuba Wrestling, B) Zulu Stick Fighting, C) Egyptian Tahtib, D) Capoeira</t>
  </si>
  <si>
    <t>C) Egyptian Tahtib</t>
  </si>
  <si>
    <t>His attire (galabeya, turban) and the long staff (asa), combined with the ancient temple in the background, are all hallmarks of Tahtib.</t>
  </si>
  <si>
    <t>What is the man's posture?</t>
  </si>
  <si>
    <t>A) He is standing still and resting, B) He is in a dynamic, dance-like stance, holding the stick high, C) He is sitting on the ground, D) He is bowing to the audience</t>
  </si>
  <si>
    <t>B) He is in a dynamic, dance-like stance, holding the stick high</t>
  </si>
  <si>
    <t>This pose is both a preparatory martial stance and an expressive, dance-like movement.</t>
  </si>
  <si>
    <t>What is the background of this scene?</t>
  </si>
  <si>
    <t>A) The Giza Pyramids, B) A modern city, C) The ancient temples at Luxor or Karnak, D) A desert oasis</t>
  </si>
  <si>
    <t>C) The ancient temples at Luxor or Karnak</t>
  </si>
  <si>
    <t>The carved stone walls and columns are part of the famous ancient temple complexes in Upper Egypt.</t>
  </si>
  <si>
    <t>What are the people in the background doing?</t>
  </si>
  <si>
    <t>A) They are sleeping, B) They are watching the practitioner, C) They are farming, D) They are running away</t>
  </si>
  <si>
    <t>B) They are watching the practitioner</t>
  </si>
  <si>
    <t>A group of local people and tourists are observing the demonstration.</t>
  </si>
  <si>
    <t>The long staff, or "asa," is typically made of...</t>
  </si>
  <si>
    <t>A) Metal, B) Plastic, C) Rattan or bamboo, D) Glass</t>
  </si>
  <si>
    <t>C) Rattan or bamboo</t>
  </si>
  <si>
    <t>The staffs are made from strong but flexible wood that can withstand the impact of striking another staff.</t>
  </si>
  <si>
    <t>Tahtib is often performed to the accompaniment of...</t>
  </si>
  <si>
    <t>A) Silence, B) Recorded pop music, C) Traditional live music, D) The sound of the wind</t>
  </si>
  <si>
    <t>C) Traditional live music</t>
  </si>
  <si>
    <t>Performances are traditionally accompanied by musicians playing instruments like the mizmar (oboe) and drums.</t>
  </si>
  <si>
    <t>The practitioner's clothing, the galabeya, is well-suited for...</t>
  </si>
  <si>
    <t>A) A cold, snowy climate, B) A hot climate, as it is loose and allows air to circulate, C) Swimming, D) Modern athletic competition</t>
  </si>
  <si>
    <t>B) A hot climate, as it is loose and allows air to circulate</t>
  </si>
  <si>
    <t>The loose-fitting traditional robe is practical for the Egyptian climate.</t>
  </si>
  <si>
    <t>This event appears to be a...</t>
  </si>
  <si>
    <t>A) A secret training session, B) A violent street fight, C) A public performance or demonstration, D) A religious service</t>
  </si>
  <si>
    <t>C) A public performance or demonstration</t>
  </si>
  <si>
    <t>The presence of a seated audience and casual onlookers suggests this is a planned public display.</t>
  </si>
  <si>
    <t>The art of Tahtib evolved from...</t>
  </si>
  <si>
    <t>A) Ancient military training, B) A form of folk dance, C) A farmer's tool for herding animals, D) All of the above</t>
  </si>
  <si>
    <t>D) All of the above</t>
  </si>
  <si>
    <t>Tahtib has roots in all these areas; it was an ancient combat skill, it is performed as a dance, and the staff is a versatile tool.</t>
  </si>
  <si>
    <t>The practitioner's intense focus shows that Tahtib requires...</t>
  </si>
  <si>
    <t>A) Very little skill, B) Only physical strength, C) A high degree of concentration and skill, D) A loud voice</t>
  </si>
  <si>
    <t>C) A high degree of concentration and skill</t>
  </si>
  <si>
    <t>Despite its dance-like qualities, it is a true martial art that demands focus, precision, and control.</t>
  </si>
  <si>
    <t>nubian_stick_fighting_28.jpg</t>
  </si>
  <si>
    <t>The martial art being practiced here, with two men in robes fighting with long staffs, is called...</t>
  </si>
  <si>
    <t>A) Nuba Wrestling, B) Fencing, C) Tahtib, D) Kendo</t>
  </si>
  <si>
    <t>This is a nighttime demonstration of the Egyptian stick-fighting art, Tahtib.</t>
  </si>
  <si>
    <t>A) A formal, modern sports arena, B) An informal, outdoor community gathering at night, C) A private, indoor training hall, D) A desert encampment</t>
  </si>
  <si>
    <t>B) An informal, outdoor community gathering at night</t>
  </si>
  <si>
    <t>The event is taking place at night, with the local community gathered around to watch.</t>
  </si>
  <si>
    <t>How is the scene lit?</t>
  </si>
  <si>
    <t>A) By the full moon, B) By a bonfire, C) By simple, artificial lighting, D) It is not lit; the photo used a flash</t>
  </si>
  <si>
    <t>C) By simple, artificial lighting</t>
  </si>
  <si>
    <t>The lighting is harsh and direct, likely from a single bulb or a simple floodlight, as indicated by the bright flash on some spectators.</t>
  </si>
  <si>
    <t>What are the two fighters wearing?</t>
  </si>
  <si>
    <t>A) Modern athletic clothing, B) Traditional, long robes (galabeyas), C) Heavy armor, D) Animal skins</t>
  </si>
  <si>
    <t>B) Traditional, long robes (galabeyas)</t>
  </si>
  <si>
    <t>They are both dressed in the traditional Egyptian galabeya, one dark and one blue.</t>
  </si>
  <si>
    <t>What is the crowd in the background doing?</t>
  </si>
  <si>
    <t>A) They are participating in the fight, B) They are all leaving, C) They are standing in a circle, closely watching the match, D) They are sleeping</t>
  </si>
  <si>
    <t>C) They are standing in a circle, closely watching the match</t>
  </si>
  <si>
    <t>A large group of men from the community has formed a ring to watch the two fighters.</t>
  </si>
  <si>
    <t>The postures of the two fighters are...</t>
  </si>
  <si>
    <t>A) Stiff and stationary, B) Dynamic and in motion, C) Relaxed and casual, D) Identical to each other</t>
  </si>
  <si>
    <t>B) Dynamic and in motion</t>
  </si>
  <si>
    <t>Both men are in athletic stances, actively engaged in a fast-paced exchange.</t>
  </si>
  <si>
    <t>The man in the white turban has his back partially to the camera. He is...</t>
  </si>
  <si>
    <t>A) On the offensive, attacking the man in blue, B) On the defensive, blocking a strike from the man in blue, C) Just a spectator, D) The referee</t>
  </si>
  <si>
    <t>B) On the defensive, blocking a strike from the man in blue</t>
  </si>
  <si>
    <t>His stick is positioned to parry the horizontal strike coming from his opponent.</t>
  </si>
  <si>
    <t>This image shows that Tahtib is an important part of...</t>
  </si>
  <si>
    <t>A) Modern military training, B) Social life and entertainment in Egyptian communities, C) The school curriculum in Egypt, D) The Olympic Games</t>
  </si>
  <si>
    <t>B) Social life and entertainment in Egyptian communities</t>
  </si>
  <si>
    <t>Events like this are a common form of entertainment and cultural expression at weddings, festivals, and other social gatherings.</t>
  </si>
  <si>
    <t>The simple setting suggests this is a...</t>
  </si>
  <si>
    <t>A) High-stakes international tournament, B) A grassroots, local event, C) A performance for tourists, D) A historical reenactment</t>
  </si>
  <si>
    <t>B) A grassroots, local event</t>
  </si>
  <si>
    <t>The informal setting and local crowd indicate a genuine community event, not a large commercial production.</t>
  </si>
  <si>
    <t>The blurred motion of the fighter in black suggests...</t>
  </si>
  <si>
    <t>A) He is moving very quickly, B) He is standing perfectly still, C) The photo is of poor quality, D) He is a ghost</t>
  </si>
  <si>
    <t>A) He is moving very quickly</t>
  </si>
  <si>
    <t>The motion blur is caused by his rapid movement during the camera's exposure, which adds to the dynamism of the scene.</t>
  </si>
  <si>
    <t>nubian_stick_fighting_15.jpg</t>
  </si>
  <si>
    <t>This historical image depicts what traditional Sudanese martial art?</t>
  </si>
  <si>
    <t>A) Stick Fighting, B) Nuba Wrestling, C) Archery, D) A form of fencing</t>
  </si>
  <si>
    <t>This photo shows a grappling contest, characteristic of Nuba wrestling, not stick fighting, although a spear is present.</t>
  </si>
  <si>
    <t>What is the central action of the two men in the middle?</t>
  </si>
  <si>
    <t>A) They are fighting with the long spear, B) They are locked in a low, powerful wrestling grapple, C) They are performing a ceremonial dance, D) They are shaking hands</t>
  </si>
  <si>
    <t>B) They are locked in a low, powerful wrestling grapple</t>
  </si>
  <si>
    <t>They are bent over and engaged in a close-contact wrestling hold, which is the core of the sport.</t>
  </si>
  <si>
    <t>Who is the man on the right, dressed in elaborate ceremonial attire?</t>
  </si>
  <si>
    <t>A) He is the next wrestler to compete, B) He is a spectator, C) He is likely an official, champion, or ritual leader, D) He is the loser of the previous match</t>
  </si>
  <si>
    <t>C) He is likely an official, champion, or ritual leader</t>
  </si>
  <si>
    <t>His ornate headdress and clothing set him apart from the competitors, suggesting he has a special, high-status role in the proceedings.</t>
  </si>
  <si>
    <t>The man on the left is holding a long spear. What is its likely purpose?</t>
  </si>
  <si>
    <t>A) It is the primary weapon for the fight, B) It is a symbolic or ritualistic object, possibly a prize or a marker, C) It is a tool for farming that he forgot to put down, D) He is using it to separate the wrestlers</t>
  </si>
  <si>
    <t>B) It is a symbolic or ritualistic object, possibly a prize or a marker</t>
  </si>
  <si>
    <t>While Nuba culture has a history of spear fighting (furusiyya), in this wrestling context, the spear is likely ceremonial.</t>
  </si>
  <si>
    <t>The black-and-white format and rural setting suggest...</t>
  </si>
  <si>
    <t>A) A modern event in a major city, B) A historical documentation of a traditional village festival, C) A staged movie scene, D) A practice session in a gym</t>
  </si>
  <si>
    <t>B) A historical documentation of a traditional village festival</t>
  </si>
  <si>
    <t>This is a vintage photo capturing the sport in its authentic, traditional cultural setting.</t>
  </si>
  <si>
    <t>The wrestlers' attire consists of...</t>
  </si>
  <si>
    <t>A) Modern shorts and shirts, B) Simple, traditional loincloths and wraps, C) Heavy armor, D) Nothing at all</t>
  </si>
  <si>
    <t>B) Simple, traditional loincloths and wraps</t>
  </si>
  <si>
    <t>Their clothing is minimal, practical for wrestling, and traditional in style.</t>
  </si>
  <si>
    <t>The man in the center who is bent over is in a vulnerable position, suggesting...</t>
  </si>
  <si>
    <t>A) He is winning the match, B) He is about to be thrown by his opponent, C) He is taking a rest, D) He is the referee</t>
  </si>
  <si>
    <t>B) He is about to be thrown by his opponent</t>
  </si>
  <si>
    <t>His opponent has a dominant grip and is in a position to execute a takedown.</t>
  </si>
  <si>
    <t>This photo highlights the connection between Nuba wrestling and...</t>
  </si>
  <si>
    <t>A) Modern technology, B) The broader warrior culture and its rituals, C) Agricultural seasons, D) International sports committees</t>
  </si>
  <si>
    <t>B) The broader warrior culture and its rituals</t>
  </si>
  <si>
    <t>The presence of spears and ceremonial figures shows that wrestling is part of a larger complex of warrior traditions and social rituals.</t>
  </si>
  <si>
    <t>The crowd in the background is...</t>
  </si>
  <si>
    <t>A) Seated in a grandstand, B) Gathered closely around the competitors, C) Not paying attention, D) Very small</t>
  </si>
  <si>
    <t>B) Gathered closely around the competitors</t>
  </si>
  <si>
    <t>The entire community forms the ring, creating an intense and participatory atmosphere.</t>
  </si>
  <si>
    <t>The main goal for the wrestler on the left is to...</t>
  </si>
  <si>
    <t>A) Force his opponent to the ground onto his back, B) Take the spear from the other man, C) Push his opponent out of the circle, D) Hold the grapple for as long as possible</t>
  </si>
  <si>
    <t>A) To force his opponent to the ground onto his back</t>
  </si>
  <si>
    <t>Despite the ritual objects, the objective of the wrestling match remains to achieve a successful throw.</t>
  </si>
  <si>
    <t>nubian_stick_fighting_91.jpg</t>
  </si>
  <si>
    <t>The man in the foreground is performing a traditional stick-fighting dance known as Tahtib, which is from what country?</t>
  </si>
  <si>
    <t>A) Sudan, B) Ethiopia, C) Egypt, D) Nigeria</t>
  </si>
  <si>
    <t>C) Egypt</t>
  </si>
  <si>
    <t>Tahtib is a traditional Egyptian martial art and dance, often performed at festivals and cultural events. The background architecture is also typically Egyptian.</t>
  </si>
  <si>
    <t>What is the traditional long robe the man is wearing called?</t>
  </si>
  <si>
    <t>A) A galabeya, B) A kilt, C) A toga, D) A kimono</t>
  </si>
  <si>
    <t>A) A galabeya</t>
  </si>
  <si>
    <t>The galabeya is a loose, ankle-length robe worn by men in Egypt and surrounding regions.</t>
  </si>
  <si>
    <t>What is the primary purpose of this event?</t>
  </si>
  <si>
    <t>A) A real, violent street fight, B) A public performance or cultural demonstration, C) A military training exercise, D) A religious ceremony</t>
  </si>
  <si>
    <t>B) A public performance or cultural demonstration</t>
  </si>
  <si>
    <t>The presence of a seated audience and the performative stance of the man indicate a cultural display, not actual combat.</t>
  </si>
  <si>
    <t>The long wooden staff used in this art form is called an...</t>
  </si>
  <si>
    <t>A) Asa, B) Induku, C) Bo staff, D) Eku</t>
  </si>
  <si>
    <t>A) Asa</t>
  </si>
  <si>
    <t>The traditional name for the 4-foot-long staff used in Tahtib is the asa.</t>
  </si>
  <si>
    <t>What is the man in the light grey robe on the right doing?</t>
  </si>
  <si>
    <t>A) He is the next competitor, B) He is a spectator watching the performance, C) He is a judge, D) He is playing music</t>
  </si>
  <si>
    <t>B) He is a spectator watching the performance</t>
  </si>
  <si>
    <t>Like the others seated and standing, he is part of the audience observing the practitioner.</t>
  </si>
  <si>
    <t>The practitioner's white head covering is a type of...</t>
  </si>
  <si>
    <t>A) Helmet, B) Crown, C) Turban, D) Baseball cap</t>
  </si>
  <si>
    <t>C) Turban</t>
  </si>
  <si>
    <t>The elegantly wrapped cloth on his head is a traditional turban.</t>
  </si>
  <si>
    <t>The man's focused expression and dynamic posture show that Tahtib requires...</t>
  </si>
  <si>
    <t>A) Little to no skill, B) A high degree of skill, focus, and showmanship, C) Only strength, D) Only speed</t>
  </si>
  <si>
    <t>B) A high degree of skill, focus, and showmanship</t>
  </si>
  <si>
    <t>Tahtib is a true martial art that combines athletic prowess with artistic expression.</t>
  </si>
  <si>
    <t>Where is this performance taking place?</t>
  </si>
  <si>
    <t>A) In a desert, B) In a modern indoor arena, C) In a paved courtyard in front of a historic building, D) In a forest</t>
  </si>
  <si>
    <t>C) In a paved courtyard in front of a historic building</t>
  </si>
  <si>
    <t>The venue is a large, open, paved area, typical for public performances in Egyptian cities like Luxor.</t>
  </si>
  <si>
    <t>The men sitting in the background are...</t>
  </si>
  <si>
    <t>A) Waiting for their turn to perform, B) The judges for the event, C) A group of musicians, D) All of the above are possible</t>
  </si>
  <si>
    <t>D) All of the above are possible</t>
  </si>
  <si>
    <t>In a Tahtib performance, the other participants (musicians, fellow dancers) often sit and watch until it is their turn.</t>
  </si>
  <si>
    <t>A) The Roman Empire, B) Ancient Egypt, C) Medieval Europe, D) 19th Century Japan</t>
  </si>
  <si>
    <t>B) Ancient Egypt</t>
  </si>
  <si>
    <t>Reliefs from ancient Egyptian tombs dating back thousands of years depict soldiers and athletes practicing stick fighting in a style very similar to modern Tahtib.</t>
  </si>
  <si>
    <t>nubian_stick_fighting_89.jpg</t>
  </si>
  <si>
    <t>What does this black-and-white image show?</t>
  </si>
  <si>
    <t>A) A modern photograph of a wrestling match, B) An ancient Egyptian tomb painting, C) A Greek pottery fragment, D) A medieval manuscript illumination</t>
  </si>
  <si>
    <t>B) An ancient Egyptian tomb painting</t>
  </si>
  <si>
    <t>This is a photograph of a painted relief from an ancient Egyptian tomb, showing a troop of soldiers.</t>
  </si>
  <si>
    <t>The soldiers depicted in this painting are believed to be...</t>
  </si>
  <si>
    <t>A) Roman Legionaries, B) Greek Hoplites, C) Nubian mercenaries, D) Persian Immortals</t>
  </si>
  <si>
    <t>C) Nubian mercenaries</t>
  </si>
  <si>
    <t>The soldiers' dark skin, hairstyles, and their role as elite fighters are characteristic of how Nubians were depicted serving in the Egyptian army.</t>
  </si>
  <si>
    <t>The region of Nubia was located to the __________ of ancient Egypt.</t>
  </si>
  <si>
    <t>A) North, B) South, C) East, D) West</t>
  </si>
  <si>
    <t>B) South</t>
  </si>
  <si>
    <t>Nubia is the historical region along the Nile, south of Egypt, in what is now northern Sudan.</t>
  </si>
  <si>
    <t>What are the soldiers carrying?</t>
  </si>
  <si>
    <t>A) Farming tools, B) Fishing nets, C) Spears or fighting sticks, D) Musical instruments</t>
  </si>
  <si>
    <t>C) Spears or fighting sticks</t>
  </si>
  <si>
    <t>They are armed for combat, each carrying a long staff or spear.</t>
  </si>
  <si>
    <t>What are the soldiers wearing?</t>
  </si>
  <si>
    <t>A) Full metal armor, B) Heavy fur coats, C) Simple loincloths, some with animal tails, D) Nothing</t>
  </si>
  <si>
    <t>C) Simple loincloths, some with animal tails</t>
  </si>
  <si>
    <t>They are wearing the simple kilts or loincloths that were standard military attire. The tails attached could signify rank or be a ritualistic adornment.</t>
  </si>
  <si>
    <t>This artifact is important because it provides historical evidence of...</t>
  </si>
  <si>
    <t>A) The diet of ancient Egyptians, B) The role of Nubians in the Egyptian military, C) The invention of writing, D) Ancient Egyptian farming techniques</t>
  </si>
  <si>
    <t>B) The role of Nubians in the Egyptian military</t>
  </si>
  <si>
    <t>Art like this is a primary source that tells historians about the composition and appearance of the pharaoh's armies.</t>
  </si>
  <si>
    <t>The style of the painting, with all figures in profile and moving in unison, is characteristic of...</t>
  </si>
  <si>
    <t>A) Modern abstract art, B) Ancient Egyptian art, C) Renaissance art, D) Cave paintings</t>
  </si>
  <si>
    <t>B) Ancient Egyptian art</t>
  </si>
  <si>
    <t>This stylized, rhythmic depiction of figures is a hallmark of Egyptian artistic conventions.</t>
  </si>
  <si>
    <t>The soldiers appear to be...</t>
  </si>
  <si>
    <t>A) Standing still for a portrait, B) Marching or advancing in a disciplined formation, C) Fleeing from a battle, D) Building a pyramid</t>
  </si>
  <si>
    <t>B) Marching or advancing in a disciplined formation</t>
  </si>
  <si>
    <t>Their synchronized posture and movement suggest a military unit on the move.</t>
  </si>
  <si>
    <t>The small scene in the box in the upper right appears to show...</t>
  </si>
  <si>
    <t>A) A map of the battlefield, B) Two figures wrestling, C) A message in hieroglyphs, D) A depiction of the pharaoh</t>
  </si>
  <si>
    <t>B) Two figures wrestling</t>
  </si>
  <si>
    <t>This small detail shows another popular martial art or sport from the same period.</t>
  </si>
  <si>
    <t>Nubian soldiers were especially prized in the Egyptian army for their skills as...</t>
  </si>
  <si>
    <t>A) Charioteers, B) Sailors, C) Archers, D) Medics</t>
  </si>
  <si>
    <t>C) Archers</t>
  </si>
  <si>
    <t>Nubians were world-renowned for their skill with the bow and arrow, forming the elite archery corps for the pharaohs.</t>
  </si>
  <si>
    <t>nubian_stick_fighting_93.jpg</t>
  </si>
  <si>
    <t>This is a portrait of a young man from a pastoralist group in what region of Africa?</t>
  </si>
  <si>
    <t>A) North Africa (the Sahara), B) Southern Africa, C) West Africa, D) East Africa's Rift Valley (e.g., Ethiopia, Kenya, South Sudan)</t>
  </si>
  <si>
    <t>D) East Africa's Rift Valley (e.g., Ethiopia, Kenya, South Sudan)</t>
  </si>
  <si>
    <t>The young man's appearance and the savanna background are characteristic of peoples like the Suri, Mursi, or Turkana.</t>
  </si>
  <si>
    <t>What is the primary purpose of the long staff he is holding?</t>
  </si>
  <si>
    <t>A) It is a musical instrument, B) It is used for herding livestock and for self-defense, C) It is a symbol of royalty, D) It is used for fishing</t>
  </si>
  <si>
    <t>B) It is used for herding livestock and for self-defense</t>
  </si>
  <si>
    <t>For pastoralist peoples who live with their herds of cattle, a staff is an essential tool for guiding the animals and for protection.</t>
  </si>
  <si>
    <t>What is he wearing around his neck?</t>
  </si>
  <si>
    <t>A) A modern necktie, B) A scarf to protect from the cold, C) Traditional beaded necklaces, D) A heavy metal chain</t>
  </si>
  <si>
    <t>C) Traditional beaded necklaces</t>
  </si>
  <si>
    <t>The colorful beaded jewelry is a common and important form of cultural expression and personal adornment in this region.</t>
  </si>
  <si>
    <t>The landscape in the background is a...</t>
  </si>
  <si>
    <t>A) Dense tropical rainforest, B) Sandy beach, C) Grassy, hilly savanna, D) Snowy mountain peak</t>
  </si>
  <si>
    <t>C) A grassy, hilly savanna</t>
  </si>
  <si>
    <t>The dry grasses and rolling hills are typical of the East African savanna environment.</t>
  </si>
  <si>
    <t>What kind of lifestyle do pastoralist groups lead?</t>
  </si>
  <si>
    <t>A) A sedentary life in large cities, B) A life centered around farming crops, C) A semi-nomadic life centered around herding livestock, D) A life based on fishing and sea trade</t>
  </si>
  <si>
    <t>C) A semi-nomadic life centered around herding livestock</t>
  </si>
  <si>
    <t>Pastoralists move with their herds of cattle, goats, or sheep to find grazing and water.</t>
  </si>
  <si>
    <t>The man's lean and athletic physique is a result of...</t>
  </si>
  <si>
    <t>A) A diet high in processed foods, B) A physically demanding, active lifestyle, C) A sedentary office job, D) Living in a cold climate</t>
  </si>
  <si>
    <t>B) A physically demanding, active lifestyle</t>
  </si>
  <si>
    <t>A life of walking long distances and managing livestock results in a naturally lean and strong body.</t>
  </si>
  <si>
    <t>The cloth wrapped around his waist is his...</t>
  </si>
  <si>
    <t>A) Main item of clothing, B) A blanket for sleeping, C) A towel for bathing, D) A form of currency</t>
  </si>
  <si>
    <t>A) His main item of clothing</t>
  </si>
  <si>
    <t>In the warm climate, a simple wrapped cloth is often the primary or only garment worn.</t>
  </si>
  <si>
    <t>This photograph is a...</t>
  </si>
  <si>
    <t>A) Candid action shot of a fight, B) A posed portrait, C) A photo of a large festival, D) A historical painting</t>
  </si>
  <si>
    <t>B) A posed portrait</t>
  </si>
  <si>
    <t>The young man is standing calmly and looking directly at the camera, indicating he is posing for the photographer.</t>
  </si>
  <si>
    <t>The staff is a symbol of what?</t>
  </si>
  <si>
    <t>A) Peace and non-violence, B) A man's role as a herder and protector, C) A connection to the modern world, D) Great wealth</t>
  </si>
  <si>
    <t>B) A man's role as a herder and protector</t>
  </si>
  <si>
    <t>Carrying a staff is a sign of a man's responsibilities and his readiness to defend his herd and his community.</t>
  </si>
  <si>
    <t>The focus of the image is on the...</t>
  </si>
  <si>
    <t>A) The beauty of the landscape, B) The individual person and his cultural identity, C) The herd of cattle in the background, D) The photographer's skill</t>
  </si>
  <si>
    <t>B) The individual person and his cultural identity</t>
  </si>
  <si>
    <t>It's a powerful portrait that captures the dignity and unique cultural style of the young man.</t>
  </si>
  <si>
    <t>nubian_stick_fighting_97.jpg</t>
  </si>
  <si>
    <t>This image shows a public performance of what traditional art form?</t>
  </si>
  <si>
    <t>A) Nuba Wrestling, B) Egyptian Tahtib, C) A modern play, D) A political protest</t>
  </si>
  <si>
    <t>B) Egyptian Tahtib</t>
  </si>
  <si>
    <t>The men are dressed in traditional Egyptian galabeyas and are engaged in a ritual stick-fighting dance.</t>
  </si>
  <si>
    <t>What is the role of the men in the background?</t>
  </si>
  <si>
    <t>A) They are waiting to fight next, B) They are providing a live musical accompaniment, C) They are the judges, D) They are security guards</t>
  </si>
  <si>
    <t>B) They are providing a live musical accompaniment</t>
  </si>
  <si>
    <t>A traditional Tahtib performance is always accompanied by live music, played here by a small ensemble with drums and wind instruments.</t>
  </si>
  <si>
    <t>What are the two main performers doing?</t>
  </si>
  <si>
    <t>A) They are engaged in a real, violent fight, B) They are arguing over the rules, C) They are performing a synchronized, dance-like duel, D) They are posing for a photograph</t>
  </si>
  <si>
    <t>C) They are performing a synchronized, dance-like duel</t>
  </si>
  <si>
    <t>Their movements are rhythmic and coordinated, part of the traditional dance form of Tahtib.</t>
  </si>
  <si>
    <t>The setting is most likely...</t>
  </si>
  <si>
    <t>A) A remote village, B) A public square or courtyard in an Egyptian city, C) The middle of the desert, D) An indoor theater</t>
  </si>
  <si>
    <t>B) A public square or courtyard in an Egyptian city</t>
  </si>
  <si>
    <t>The stone block wall and paved ground are typical of historic urban areas in Egypt.</t>
  </si>
  <si>
    <t>What is the long wooden weapon they use called?</t>
  </si>
  <si>
    <t>A) A spear, B) An asa, C) A sword, D) A club</t>
  </si>
  <si>
    <t>B) An asa</t>
  </si>
  <si>
    <t>The performers are wearing traditional robes (galabeyas) and...</t>
  </si>
  <si>
    <t>A) Helmets, B) Turbans and patterned scarves, C) Cowboy hats, D) Baseball caps</t>
  </si>
  <si>
    <t>B) Turbans and patterned scarves</t>
  </si>
  <si>
    <t>They are wearing traditional white turbans and have decorative scarves draped over their shoulders.</t>
  </si>
  <si>
    <t>This event appears to be...</t>
  </si>
  <si>
    <t>A) A private ceremony, B) A spontaneous street brawl, C) A well-rehearsed public performance, D) A military drill</t>
  </si>
  <si>
    <t>C) A well-rehearsed public performance</t>
  </si>
  <si>
    <t>The presence of musicians and a coordinated "fight" choreography indicate a planned performance for an audience.</t>
  </si>
  <si>
    <t>The origin of Tahtib dates back thousands of years and is rooted in...</t>
  </si>
  <si>
    <t>A) Ancient Egyptian military training, B) A form of folk dance, C) A ritual for herding animals, D) Both A and B</t>
  </si>
  <si>
    <t>D) Both A and B</t>
  </si>
  <si>
    <t>Tahtib has dual origins as both a practical martial art for soldiers and a form of celebratory folk dance.</t>
  </si>
  <si>
    <t>The man on the right has his staff raised high, likely in the middle of a...</t>
  </si>
  <si>
    <t>A) A defensive block, B) A spinning flourish or a strike, C) A gesture of surrender, D) A bow to the audience</t>
  </si>
  <si>
    <t>B) A spinning flourish or a strike</t>
  </si>
  <si>
    <t>This dynamic pose is part of the dance, representing an attack.</t>
  </si>
  <si>
    <t>The performance is a celebration of...</t>
  </si>
  <si>
    <t>A) A historical battle, B) The harvest season, C) Egyptian culture and heritage, D) A modern holiday</t>
  </si>
  <si>
    <t>C) Egyptian culture and heritage</t>
  </si>
  <si>
    <t>Tahtib is a living tradition and an important part of Egypt's intangible cultural heritage.</t>
  </si>
  <si>
    <t>nubian_stick_fighting_99.jpg</t>
  </si>
  <si>
    <t>A) With heavy boots, B) Barefoot or with simple sandals, C) With modern athletic shoes, D) With metal-plated boots</t>
  </si>
  <si>
    <t>B) Barefoot or with simple sandals</t>
  </si>
  <si>
    <t>Competing with minimal footwear allows for better connection to the ground and agility.</t>
  </si>
  <si>
    <t>nubian_stick_fighting_30.jpg</t>
  </si>
  <si>
    <t>What are these figures?</t>
  </si>
  <si>
    <t>A) Modern plastic toys, B) Ancient Egyptian wooden models, C) Life-sized statues, D) Chess pieces</t>
  </si>
  <si>
    <t>B) Ancient Egyptian wooden models</t>
  </si>
  <si>
    <t>These are ancient funerary models of Nubian soldiers, discovered in the tomb of Mesehti, a local governor from the Middle Kingdom (circa 2000 BCE).</t>
  </si>
  <si>
    <t>What was the purpose of placing models like these in an ancient Egyptian tomb?</t>
  </si>
  <si>
    <t>A) They were children's toys, B) They were meant to serve and protect the deceased in the afterlife, C) They were used for military planning, D) They were musical instruments</t>
  </si>
  <si>
    <t>B) They were meant to serve and protect the deceased in the afterlife</t>
  </si>
  <si>
    <t>The Egyptians believed that models of servants, soldiers, and property would magically become real for the tomb owner to use in the afterlife.</t>
  </si>
  <si>
    <t>The soldiers depicted are believed to be from Nubia, which is the region...</t>
  </si>
  <si>
    <t>A) To the north of Egypt, B) To the south of Egypt, C) To the east of Egypt, D) To the west of Egypt</t>
  </si>
  <si>
    <t>B) To the south of Egypt</t>
  </si>
  <si>
    <t>Nubia is the historical region along the Nile river, located in what is today northern Sudan and southern Egypt.</t>
  </si>
  <si>
    <t>What weapons are these soldiers carrying?</t>
  </si>
  <si>
    <t>A) Swords and shields, B) Bows and arrows, C) Spears and shields, D) They are unarmed</t>
  </si>
  <si>
    <t>C) Spears and shields</t>
  </si>
  <si>
    <t>The models are equipped as infantrymen, each carrying a tall spear and a shield.</t>
  </si>
  <si>
    <t>The different skin tones of the soldiers in the original model likely represented...</t>
  </si>
  <si>
    <t>A) Different ranks, B) Soldiers from different regions (e.g., Egyptian and Nubian), C) The age of the soldiers, D) A random artistic choice</t>
  </si>
  <si>
    <t>B) Soldiers from different regions (e.g., Egyptian and Nubian)</t>
  </si>
  <si>
    <t>The original models showed soldiers with both Egyptian and darker Nubian skin tones, reflecting the diverse nature of the Egyptian army.</t>
  </si>
  <si>
    <t>These models are an important historical source because they...</t>
  </si>
  <si>
    <t>A) Provide detailed information on ancient military equipment and formations, B) Are the only art ever found in an Egyptian tomb, C) Contain a secret map to treasure, D) Are made of solid gold</t>
  </si>
  <si>
    <t>A) They provide detailed information on ancient military equipment and formations</t>
  </si>
  <si>
    <t>They are like a 3D snapshot, showing archaeologists exactly what the shields, spears, and attire of the time looked like.</t>
  </si>
  <si>
    <t>A) Heavy metal armor, B) Simple, patterned loincloths, C) Long, flowing robes, D) Nothing</t>
  </si>
  <si>
    <t>B) Simple, patterned loincloths</t>
  </si>
  <si>
    <t>They are dressed in the simple kilts or loincloths that were standard military attire in the hot climate.</t>
  </si>
  <si>
    <t>The soldiers are arranged in a...</t>
  </si>
  <si>
    <t>A) A random, chaotic group, B) A single-file line, C) A disciplined, rectangular formation, D) A circular defensive position</t>
  </si>
  <si>
    <t>C) A disciplined, rectangular formation</t>
  </si>
  <si>
    <t>They are arrayed in ranks and files, showing the organized nature of the ancient Egyptian army.</t>
  </si>
  <si>
    <t>Where were these models found?</t>
  </si>
  <si>
    <t>A) At the bottom of the Nile River, B) In a hidden chamber within a pyramid, C) In a tomb near Asyut, Egypt, D) In a museum storage room in London</t>
  </si>
  <si>
    <t>C) In a tomb near Asyut, Egypt</t>
  </si>
  <si>
    <t>They were discovered by French archaeologists in the tomb of Mesehti in 1894.</t>
  </si>
  <si>
    <t>These soldiers served as what for the Egyptian pharaohs?</t>
  </si>
  <si>
    <t>A) Farmers, B) Priests, C) Mercenaries and elite soldiers, D) Royal advisors</t>
  </si>
  <si>
    <t>C) Mercenaries and elite soldiers</t>
  </si>
  <si>
    <t>Nubians were highly prized as skilled and loyal soldiers, particularly as archers, and frequently served in the Egyptian army.</t>
  </si>
  <si>
    <t>nubian_stick_fighting_38.jpg</t>
  </si>
  <si>
    <t>What is this image?</t>
  </si>
  <si>
    <t>A) A modern photograph with a vintage filter, B) A piece of ancient Egyptian art on papyrus or a tomb wall, C) A child's drawing, D) A medieval European tapestry</t>
  </si>
  <si>
    <t>B) A piece of ancient Egyptian art on papyrus or a tomb wall</t>
  </si>
  <si>
    <t>This is a reproduction of a painting done in the classic style of ancient Egypt.</t>
  </si>
  <si>
    <t>What activity is being depicted?</t>
  </si>
  <si>
    <t>A) Farming, B) A religious ceremony, C) Stick fighting, D) Dancing</t>
  </si>
  <si>
    <t>C) Stick fighting</t>
  </si>
  <si>
    <t>The three figures are in dynamic poses, holding sticks and engaging in combat.</t>
  </si>
  <si>
    <t>The style of the figures, with heads and legs in profile but torsos facing forward, is a key characteristic of...</t>
  </si>
  <si>
    <t>A) Renaissance art, B) Ancient Egyptian art, C) Impressionist art, D) Modern abstract art</t>
  </si>
  <si>
    <t>This composite view, showing each body part from its most recognizable angle, is a defining feature of Egyptian two-dimensional art.</t>
  </si>
  <si>
    <t>What are the vertical lines of symbols in the background?</t>
  </si>
  <si>
    <t>A) A decorative pattern, B) The artist's signature, C) Hieroglyphic writing, D) A secret code</t>
  </si>
  <si>
    <t>C) Hieroglyphic writing</t>
  </si>
  <si>
    <t>This is the ancient Egyptian system of writing.</t>
  </si>
  <si>
    <t>This type of art shows that stick fighting in this region is...</t>
  </si>
  <si>
    <t>A) A very new sport, invented in the 20th century, B) An ancient practice with thousands of years of history, C) A sport that was not very popular, D) A combat style that was never used in the military</t>
  </si>
  <si>
    <t>B) An ancient practice with thousands of years of history</t>
  </si>
  <si>
    <t>Reliefs and paintings from ancient tombs show that stick fighting was a popular sport and form of military training thousands of years ago.</t>
  </si>
  <si>
    <t>The sticks the men are using have what feature at the tip?</t>
  </si>
  <si>
    <t>A) They are sharpened to a point, B) They have a protective covering or knob, C) They have feathers attached, D) They are on fire</t>
  </si>
  <si>
    <t>B) They have a protective covering or knob</t>
  </si>
  <si>
    <t>The sticks often had a padded or protected tip, indicating this was a sport or training exercise, not a fight to the death.</t>
  </si>
  <si>
    <t>What are the men wearing on their lower bodies?</t>
  </si>
  <si>
    <t>A) Long trousers, B) Animal skins, C) Simple loincloths or kilts, D) Nothing</t>
  </si>
  <si>
    <t>C) Simple loincloths or kilts</t>
  </si>
  <si>
    <t>They are wearing the simple wrapped kilts that were common attire for laborers and soldiers in ancient Egypt.</t>
  </si>
  <si>
    <t>The modern Egyptian martial art of Tahtib is considered a direct descendant of...</t>
  </si>
  <si>
    <t>A) The practices shown in this ancient artwork, B) Roman gladiator combat, C) Japanese samurai techniques, D) Modern Olympic fencing</t>
  </si>
  <si>
    <t>A) The practices shown in this ancient artwork</t>
  </si>
  <si>
    <t>Tahtib is believed to have evolved directly from the military training and sporting contests depicted in these ancient reliefs and paintings.</t>
  </si>
  <si>
    <t>The different skin tones of the figures could represent...</t>
  </si>
  <si>
    <t>A) Different teams, B) People from different regions, like Egyptians and Nubians, C) Different ages, D) A random artistic choice</t>
  </si>
  <si>
    <t>B) People from different regions, like Egyptians and Nubians</t>
  </si>
  <si>
    <t>Egyptian art often used different color conventions to depict people from different ethnic backgrounds.</t>
  </si>
  <si>
    <t>The stances of the figures are...</t>
  </si>
  <si>
    <t>A) Static and posed, B) Dynamic and full of action, C) Seated and relaxed, D) Unbalanced and clumsy</t>
  </si>
  <si>
    <t>B) Dynamic and full of action</t>
  </si>
  <si>
    <t>The artist has successfully captured the energy and movement of the combat.</t>
  </si>
  <si>
    <t>nubian_stick_fighting_74.jpg</t>
  </si>
  <si>
    <t>The martial art shown, a form of stick fighting dance, is known as...</t>
  </si>
  <si>
    <t>A) Nuba Wrestling, B) Tahtib, C) Capoeira, D) Kendo</t>
  </si>
  <si>
    <t>B) Tahtib</t>
  </si>
  <si>
    <t>This is a performance of Tahtib, the traditional Egyptian stick fighting art.</t>
  </si>
  <si>
    <t>What is the location of this performance?</t>
  </si>
  <si>
    <t>A) In a modern sports stadium, B) In front of an ancient Egyptian temple complex, likely Luxor, C) In the open desert, D) Inside a museum</t>
  </si>
  <si>
    <t>B) In front of an ancient Egyptian temple complex, likely Luxor</t>
  </si>
  <si>
    <t>The distinctive columns and architecture in the background are those of the Luxor Temple in Egypt.</t>
  </si>
  <si>
    <t>What are the performers wearing?</t>
  </si>
  <si>
    <t>A) Modern athletic wear, B) Traditional, long robes called galabeyas and turbans, C) Animal skins, D) Military uniforms</t>
  </si>
  <si>
    <t>B) Traditional, long robes called galabeyas and turbans</t>
  </si>
  <si>
    <t>This is the traditional attire for men in this region, and it is worn during Tahtib performances.</t>
  </si>
  <si>
    <t>The movements in Tahtib are often described as being like a...</t>
  </si>
  <si>
    <t>A) A slow-motion fight, B) A chaotic brawl, C) A graceful but powerful dance, D) A military drill</t>
  </si>
  <si>
    <t>C) A graceful but powerful dance</t>
  </si>
  <si>
    <t>Tahtib is a martial art, but its performance is highly rhythmic and dance-like, often accompanied by music.</t>
  </si>
  <si>
    <t>What is the man in the brown robe doing?</t>
  </si>
  <si>
    <t>A) He is surrendering, B) He is in a dynamic, lunging stance, C) He is standing still, D) He is falling over</t>
  </si>
  <si>
    <t>B) He is in a dynamic, lunging stance</t>
  </si>
  <si>
    <t>His body is in motion, leaning into a move, showcasing the athleticism of the art form.</t>
  </si>
  <si>
    <t>The long wooden staff used in Tahtib is called an...</t>
  </si>
  <si>
    <t>A) Asa, B) Induku, C) Bo, D) Shinai</t>
  </si>
  <si>
    <t>The specific term for the Tahtib staff is asa.</t>
  </si>
  <si>
    <t>The event appears to be a...</t>
  </si>
  <si>
    <t>A) A secret, private lesson, B) A real, violent street fight, C) A public performance for a local audience and tourists, D) A religious ceremony</t>
  </si>
  <si>
    <t>C) A public performance for a local audience and tourists</t>
  </si>
  <si>
    <t>The setting in front of a major landmark with a mixed crowd of onlookers suggests a public demonstration.</t>
  </si>
  <si>
    <t>The man in the blue robe is positioned to...</t>
  </si>
  <si>
    <t>A) Attack with a high strike, B) Block the attack from the man in brown, C) Run away, D) Greet his opponent</t>
  </si>
  <si>
    <t>B) To block the attack from the man in brown</t>
  </si>
  <si>
    <t>He is holding his staff defensively to parry the spinning move of his opponent.</t>
  </si>
  <si>
    <t>This art form has been recognized by UNESCO for its...</t>
  </si>
  <si>
    <t>A) Danger and violence, B) Modern popularity, C) Cultural significance and heritage, D) Use in movies</t>
  </si>
  <si>
    <t>C) Cultural significance and heritage</t>
  </si>
  <si>
    <t>Tahtib is on UNESCO's list of Intangible Cultural Heritage of Humanity.</t>
  </si>
  <si>
    <t>The origins of this practice date back to...</t>
  </si>
  <si>
    <t>A) Ancient Egypt, B) The Ottoman Empire, C) The 19th century, D) The Roman era</t>
  </si>
  <si>
    <t>A) Ancient Egypt</t>
  </si>
  <si>
    <t>Reliefs in tombs from the Old Kingdom (over 4,500 years ago) show soldiers training with staffs in a similar manner.</t>
  </si>
  <si>
    <t>nubian_stick_fighting_52.jpg</t>
  </si>
  <si>
    <t>This image shows a competition of what traditional Sudanese sport?</t>
  </si>
  <si>
    <t>A) Stick Fighting, B) Nuba Wrestling, C) Camel Racing, D) Archery</t>
  </si>
  <si>
    <t>This is a grappling match between two men, which is characteristic of Nuba wrestling, not stick fighting.</t>
  </si>
  <si>
    <t>What is the primary objective for the competitors?</t>
  </si>
  <si>
    <t>A) To punch the opponent, B) To throw the opponent so their back touches the ground, C) To force the opponent out of the ring, D) To hold the opponent in a submission</t>
  </si>
  <si>
    <t>B) To throw the opponent so their back touches the ground</t>
  </si>
  <si>
    <t>A win is achieved by executing a successful throw or takedown.</t>
  </si>
  <si>
    <t>What is the role of the man in the bright yellow shirt standing behind the wrestlers?</t>
  </si>
  <si>
    <t>A) He is a spectator, B) He is the referee, C) He is a coach giving advice, D) He is the next competitor</t>
  </si>
  <si>
    <t>B) He is the referee</t>
  </si>
  <si>
    <t>He is the official inside the ring, closely observing the action to ensure fair play and to declare a winner.</t>
  </si>
  <si>
    <t>What kind of modern athletic gear are the wrestlers wearing?</t>
  </si>
  <si>
    <t>A) Heavy armor, B) Traditional loincloths, C) Colorful shorts and knee pads, D) They are wearing no clothing</t>
  </si>
  <si>
    <t>C) Colorful shorts and knee pads</t>
  </si>
  <si>
    <t>The wrestlers have blended modern sportswear, like the purple basketball shorts and green/yellow jersey, with the traditional sport.</t>
  </si>
  <si>
    <t>What is the competition surface?</t>
  </si>
  <si>
    <t>A) A grassy field, B) A hard, wooden floor, C) A sand pit, D) A concrete slab</t>
  </si>
  <si>
    <t>C) A sand pit</t>
  </si>
  <si>
    <t>The soft sand provides a safe surface for the wrestlers to land on after being thrown.</t>
  </si>
  <si>
    <t>What does the large crowd in the background signify?</t>
  </si>
  <si>
    <t>A) The sport is not very popular, B) The sport is a major community event, C) The crowd is waiting for a different event, D) The photo was taken at a marketplace</t>
  </si>
  <si>
    <t>B) The sport is a major community event</t>
  </si>
  <si>
    <t>The large and engaged crowd shows that Nuba wrestling is a very popular and important social gathering.</t>
  </si>
  <si>
    <t>The wrestler in the green shirt is in the process of...</t>
  </si>
  <si>
    <t>A) Escaping a hold, B) Trying to lift his opponent, C) Shaking hands, D) Taking a break</t>
  </si>
  <si>
    <t>B) Trying to lift his opponent</t>
  </si>
  <si>
    <t>He has his arms wrapped around his opponent's waist in a powerful grip, preparing for a lift and throw.</t>
  </si>
  <si>
    <t>The wrestler in the purple shorts is trying to defend by...</t>
  </si>
  <si>
    <t>A) Pushing his opponent's head down, B) Sprawling and keeping a low center of gravity, C) Both A and B, D) He is not defending</t>
  </si>
  <si>
    <t>C) Both A and B</t>
  </si>
  <si>
    <t>He is trying to break his opponent's posture by pushing on the head while keeping his own hips low to make it harder to be lifted.</t>
  </si>
  <si>
    <t>The physical condition of the athletes demonstrates that Nuba wrestling requires...</t>
  </si>
  <si>
    <t>A) Little to no training, B) Only speed, C) Immense strength and skill, D) A specific body type</t>
  </si>
  <si>
    <t>C) Immense strength and skill</t>
  </si>
  <si>
    <t>The wrestlers are powerful athletes who have trained extensively to develop the strength and technique needed to compete.</t>
  </si>
  <si>
    <t>This image shows the __________ of Nuba wrestling.</t>
  </si>
  <si>
    <t>A) historical, ceremonial form, B) modern, competitive form, C) decline in popularity, D) secret, hidden side</t>
  </si>
  <si>
    <t>B) modern, competitive form</t>
  </si>
  <si>
    <t>The presence of a referee, modern clothing, and a large organized crowd are all hallmarks of the sport as it is practiced today.</t>
  </si>
  <si>
    <t>nubian_stick_fighting_85.jpg</t>
  </si>
  <si>
    <t>This style of ritual stick fighting, known as Donga, is a tradition of the Suri and Surma people from what country?</t>
  </si>
  <si>
    <t>A) Sudan, B) Egypt, C) South Africa, D) Ethiopia</t>
  </si>
  <si>
    <t>D) Ethiopia</t>
  </si>
  <si>
    <t>Donga is a famous and highly ritualized stick fighting ceremony practiced by the Suri people in the Omo Valley of southern Ethiopia.</t>
  </si>
  <si>
    <t>What is the primary purpose of a Donga tournament?</t>
  </si>
  <si>
    <t>A) To settle legal disputes, B) For young men to prove their masculinity and win a wife, C) To train soldiers for the national army, D) To entertain tourists</t>
  </si>
  <si>
    <t>B) For young men to prove their masculinity and win a wife</t>
  </si>
  <si>
    <t>It is a rite of passage where men compete for prestige and the attention of the women of the tribe, with champions often being chosen as husbands.</t>
  </si>
  <si>
    <t>What is the attire of the fighters?</t>
  </si>
  <si>
    <t>A) They wear heavy, padded armor, B) They wear very little clothing, and sometimes use decorative body paint, C) They wear modern athletic uniforms, D) They wear traditional robes and turbans</t>
  </si>
  <si>
    <t>B) They wear very little clothing, and sometimes use decorative body paint</t>
  </si>
  <si>
    <t>Fighters compete with minimal clothing to show off their physique and the decorative scars and paint that are part of their culture.</t>
  </si>
  <si>
    <t>What are the fighters' weapons?</t>
  </si>
  <si>
    <t>A) Swords and shields, B) Bows and arrows, C) Long wooden poles or staffs (donga), D) Padded training sticks</t>
  </si>
  <si>
    <t>C) Long wooden poles or staffs (donga)</t>
  </si>
  <si>
    <t>The sport is named after the long, heavy wooden staff that is used.</t>
  </si>
  <si>
    <t>What is the setting for this fight?</t>
  </si>
  <si>
    <t>A) A modern, fenced arena, B) A grassy field in a savanna environment, C) A dense jungle, D) A sandy beach</t>
  </si>
  <si>
    <t>B) A grassy field in a savanna environment</t>
  </si>
  <si>
    <t>The dry earth and acacia trees are characteristic of the East African savanna.</t>
  </si>
  <si>
    <t>What does the fighter on the left have wrapped around his torso?</t>
  </si>
  <si>
    <t>A) A protective vest, B) A decorative cloth or sash, C) A life jacket, D) Ropes for climbing</t>
  </si>
  <si>
    <t>B) A decorative cloth or sash</t>
  </si>
  <si>
    <t>His simple attire is accented by a dark cloth and beaded jewelry.</t>
  </si>
  <si>
    <t>The dynamic stances of the fighters show that this is a...</t>
  </si>
  <si>
    <t>A) Slow, ceremonial dance, B) Fast-paced and aggressive contest, C) A posed photograph, D) A non-contact sport</t>
  </si>
  <si>
    <t>B) A fast-paced and aggressive contest</t>
  </si>
  <si>
    <t>Their athletic postures indicate they are actively engaged in a duel that requires speed, strength, and courage.</t>
  </si>
  <si>
    <t>Is Donga a safe sport?</t>
  </si>
  <si>
    <t>A) Yes, it is completely safe with no risk of injury, B) No, it is a violent and dangerous ritual where serious injuries and even death can occur, C) It is a non-contact sport, D) The sticks are padded and soft</t>
  </si>
  <si>
    <t>B) No, it is a violent and dangerous ritual where serious injuries and even death can occur</t>
  </si>
  <si>
    <t>Donga is a true test of a warrior's endurance and ability to withstand pain, and it carries significant physical risk.</t>
  </si>
  <si>
    <t>What is the fighter on the right doing?</t>
  </si>
  <si>
    <t>A) He is defending against a strike, B) He is raising his stick to deliver an overhead blow, C) He is surrendering, D) He is resting</t>
  </si>
  <si>
    <t>B) He is raising his stick to deliver an overhead blow</t>
  </si>
  <si>
    <t>His stick is held high, in the classic offensive position to bring it down on his opponent.</t>
  </si>
  <si>
    <t>The dust being kicked up by their feet is a sign of their...</t>
  </si>
  <si>
    <t>A) Slow, shuffling movements, B) Rapid, athletic footwork, C) The ground being wet, D) The end of the fight</t>
  </si>
  <si>
    <t>B) Their rapid, athletic footwork</t>
  </si>
  <si>
    <t>The fighters are constantly moving, and their quick steps on the dry ground create a cloud of dust.</t>
  </si>
  <si>
    <t>nubian_stick_fighting_73.jpg</t>
  </si>
  <si>
    <t>This close-up captures a moment in a stick fighting tradition from the Omo Valley in which country?</t>
  </si>
  <si>
    <t>A) Sudan, B) Egypt, C) Ethiopia, D) Nigeria</t>
  </si>
  <si>
    <t>C) Ethiopia</t>
  </si>
  <si>
    <t>This is the Donga stick fighting of the Suri people, a famous tradition from southern Ethiopia.</t>
  </si>
  <si>
    <t>What are the two fighters in the foreground doing?</t>
  </si>
  <si>
    <t>A) They are shaking hands, B) They are locked in combat, using their sticks for offense and defense, C) They are resting, D) They are performing a dance</t>
  </si>
  <si>
    <t>B) They are locked in combat, using their sticks for offense and defense</t>
  </si>
  <si>
    <t>Their sticks are crossed as one fighter attacks and the other blocks, capturing a critical moment of the duel.</t>
  </si>
  <si>
    <t>What is the primary goal in a Donga fight?</t>
  </si>
  <si>
    <t>A) To knock the other fighter unconscious, B) To score points by touching the opponent, C) To make the other fighter surrender, D) All of the above are possibilities</t>
  </si>
  <si>
    <t>A) To knock the other fighter unconscious</t>
  </si>
  <si>
    <t>The goal is to demonstrate one's strength and endurance by hitting the opponent until they are knocked out or give up. It is a very aggressive and dangerous sport.</t>
  </si>
  <si>
    <t>What is the role of the people in the background?</t>
  </si>
  <si>
    <t>A) They are rival fighters, B) They are spectators and members of the community, C) They are referees and judges, D) They are merchants selling goods</t>
  </si>
  <si>
    <t>B) They are spectators and members of the community</t>
  </si>
  <si>
    <t>The community gathers to watch the fights, which are a major social and cultural event.</t>
  </si>
  <si>
    <t>The attire of the fighters is...</t>
  </si>
  <si>
    <t>A) Heavy and protective, B) Minimalistic, C) Modern and athletic, D) Formal and ceremonial</t>
  </si>
  <si>
    <t>B) Minimalistic</t>
  </si>
  <si>
    <t>Fighters wear little to no clothing on their upper bodies.</t>
  </si>
  <si>
    <t>The fighter on the left is in what posture?</t>
  </si>
  <si>
    <t>A) An offensive posture, lunging forward, B) A defensive posture, blocking a strike, C) A neutral, standing posture, D) A celebratory posture</t>
  </si>
  <si>
    <t>B) A defensive posture, blocking a strike</t>
  </si>
  <si>
    <t>He is using his staff to parry the downward blow from his opponent.</t>
  </si>
  <si>
    <t>The fighter on the right is in the process of...</t>
  </si>
  <si>
    <t>A) Defending himself, B) Delivering a powerful downward strike, C) Running away, D) Surrendering</t>
  </si>
  <si>
    <t>B) Delivering a powerful downward strike</t>
  </si>
  <si>
    <t>His arms are raised and his body is coiled to bring his stick down with maximum force.</t>
  </si>
  <si>
    <t>This type of ritual combat is often a...</t>
  </si>
  <si>
    <t>A) Way for old men to settle disputes, B) A rite of passage for young men, C) A sport for women only, D) A recent invention for tourism</t>
  </si>
  <si>
    <t>B) A rite of passage for young men</t>
  </si>
  <si>
    <t>Donga is a key part of the transition from boyhood to manhood, a way for young men to prove their courage and worth as warriors.</t>
  </si>
  <si>
    <t>The setting is a...</t>
  </si>
  <si>
    <t>A) Sandy desert, B) Grassy savanna with sparse trees, C) Dense rainforest, D) Modern stadium</t>
  </si>
  <si>
    <t>B) A grassy savanna with sparse trees</t>
  </si>
  <si>
    <t>The dry grass and acacia trees are typical of the East African savanna environment.</t>
  </si>
  <si>
    <t>The intense facial expressions of the fighters show...</t>
  </si>
  <si>
    <t>A) The playful nature of the game, B) Their focus, aggression, and determination, C) Their boredom with the fight, D) Their confusion about the rules</t>
  </si>
  <si>
    <t>B) Their focus, aggression, and determination</t>
  </si>
  <si>
    <t>Their faces reveal the seriousness and intensity of this high-stakes traditional combat.</t>
  </si>
  <si>
    <t>nubian_stick_fighting_80.jpg</t>
  </si>
  <si>
    <t>This historical photograph shows a warrior from what East African ethnic group?</t>
  </si>
  <si>
    <t>A) Zulu, B) Maasai, C) Nuba, D) Beja</t>
  </si>
  <si>
    <t>D) Beja</t>
  </si>
  <si>
    <t>This is a well-known 19th-century photograph of a Beja warrior, famous for their distinctive "fuzzy-wuzzy" hairstyle and martial prowess.</t>
  </si>
  <si>
    <t>The Beja people are traditionally nomads who inhabit the desert region between...</t>
  </si>
  <si>
    <t>A) The Nile River and the Red Sea, B) The Atlantic Ocean and the Sahara, C) The Congo River and the Great Rift Valley, D) The Mediterranean Sea and the Alps</t>
  </si>
  <si>
    <t>A) The Nile River and the Red Sea</t>
  </si>
  <si>
    <t>The traditional homeland of the Beja is the Eastern Desert, located in modern-day southeastern Egypt, eastern Sudan, and Eritrea.</t>
  </si>
  <si>
    <t>What is the man's most prominent and famous feature?</t>
  </si>
  <si>
    <t>A) His clothing, B) His large, wide hairstyle, C) His height, D) His shoes</t>
  </si>
  <si>
    <t>B) His large, wide hairstyle</t>
  </si>
  <si>
    <t>The Beja warriors were famously nicknamed "Fuzzy-Wuzzies" by British colonial troops because of their unique and voluminous hair, which they treated with butter or fat.</t>
  </si>
  <si>
    <t>What is the man holding in his right hand?</t>
  </si>
  <si>
    <t>A) A rifle, B) A traditional sword, C) A farming tool, D) A musical instrument</t>
  </si>
  <si>
    <t>B) A traditional sword</t>
  </si>
  <si>
    <t>He is holding a type of straight, double-edged sword known as a kaskara.</t>
  </si>
  <si>
    <t>What is wrapped around his body?</t>
  </si>
  <si>
    <t>A) A heavy wool coat, B) A simple cotton loincloth, C) A length of draped cloth, D) Animal skins</t>
  </si>
  <si>
    <t>C) A length of draped cloth</t>
  </si>
  <si>
    <t>He is wearing traditional draped garments.</t>
  </si>
  <si>
    <t>The necklaces and charms he is wearing are likely...</t>
  </si>
  <si>
    <t>A) Modern fashion accessories, B) Amulets for spiritual protection, C) A form of currency, D) A gift from a tourist</t>
  </si>
  <si>
    <t>B) Amulets for spiritual protection</t>
  </si>
  <si>
    <t>It was common for warriors to wear amulets containing verses from the Quran or other items believed to offer protection in battle.</t>
  </si>
  <si>
    <t>The man's lean, tough physique is a result of a lifestyle adapted to...</t>
  </si>
  <si>
    <t>A) A cold, arctic environment, B) A harsh, arid desert environment, C) An urban, sedentary environment, D) A dense, jungle environment</t>
  </si>
  <si>
    <t>B) A harsh, arid desert environment</t>
  </si>
  <si>
    <t>The Beja are famously resilient people, adapted to the extreme challenges of living in the desert.</t>
  </si>
  <si>
    <t>What was the reputation of Beja warriors among outside forces like the British Empire?</t>
  </si>
  <si>
    <t>A) They were known for being peaceful and timid, B) They were renowned for their ferocity and fighting skill, C) They were known for being easily defeated, D) They had no reputation as fighters</t>
  </si>
  <si>
    <t>B) They were renowned for their ferocity and fighting skill</t>
  </si>
  <si>
    <t>The Beja fiercely resisted colonial rule and earned a reputation among British soldiers as exceptionally brave and formidable warriors.</t>
  </si>
  <si>
    <t>This photograph is a valuable...</t>
  </si>
  <si>
    <t>A) Modern tourist snapshot, B) Ethnographic and historical document, C) Fashion photograph, D) Still from a Hollywood movie</t>
  </si>
  <si>
    <t>B) An ethnographic and historical document</t>
  </si>
  <si>
    <t>It is an important historical record of the appearance and culture of the Beja people in the 19th or early 20th century.</t>
  </si>
  <si>
    <t>The man's direct and confident gaze at the camera projects a sense of...</t>
  </si>
  <si>
    <t>A) Fear and submission, B) Pride and strength, C) Confusion and curiosity, D) Sadness and despair</t>
  </si>
  <si>
    <t>B) Pride and strength</t>
  </si>
  <si>
    <t>His posture and direct gaze are not those of a defeated subject, but of a proud and self-assured individual.</t>
  </si>
  <si>
    <t>nubian_stick_fighting_64.jpg</t>
  </si>
  <si>
    <t>This photo, likely taken by Leni Riefenstahl in the 1960s, shows a man and children from what ethnic group?</t>
  </si>
  <si>
    <t>C) Nuba</t>
  </si>
  <si>
    <t>This is a famous photograph of the Nuba peoples of the Kordofan region in Sudan.</t>
  </si>
  <si>
    <t>What is the tall man's likely status within the community?</t>
  </si>
  <si>
    <t>A) He is a young, inexperienced boy, B) He is a respected elder or champion, C) He is an outsider visiting the village, D) He is a merchant selling sticks</t>
  </si>
  <si>
    <t>B) He is a respected elder or champion</t>
  </si>
  <si>
    <t>His impressive height and physique, along with the way the children gather around him, suggest he is a figure of high status, possibly a wrestling champion.</t>
  </si>
  <si>
    <t>What are the man and some of the children holding?</t>
  </si>
  <si>
    <t>A) Farming tools, B) Musical instruments, C) Long, thin staffs or sticks, D) Torches</t>
  </si>
  <si>
    <t>C) Long, thin staffs or sticks</t>
  </si>
  <si>
    <t>They are holding staffs, which can be used for walking, herding, or for stick fighting rituals.</t>
  </si>
  <si>
    <t>The structures in the background are...</t>
  </si>
  <si>
    <t>A) Modern brick houses, B) Tents, C) Traditional Nuba huts made of mud and thatch, D) Large stone temples</t>
  </si>
  <si>
    <t>C) Traditional Nuba huts made of mud and thatch</t>
  </si>
  <si>
    <t>These are the typical dwellings found in a traditional Nuba village.</t>
  </si>
  <si>
    <t>What is notable about the attire of the people in the photo?</t>
  </si>
  <si>
    <t>A) They are wearing heavy winter coats, B) They are wearing modern, Western-style clothing, C) They are wearing very little or no clothing, D) They are wearing elaborate, colorful robes</t>
  </si>
  <si>
    <t>C) They are wearing very little or no clothing</t>
  </si>
  <si>
    <t>In their traditional context, many Nuba people wore minimal clothing, often decorating their bodies with paint, scarification, or oils instead.</t>
  </si>
  <si>
    <t>The oil applied to the people's skin serves to...</t>
  </si>
  <si>
    <t>A) Protect the skin from the sun and insects, B) Highlight their muscle definition, C) Hold ritual paints or powders, D) All of the above</t>
  </si>
  <si>
    <t>Oiling the skin has multiple purposes: it protects from the harsh environment, has aesthetic value in making the body shine, and can be a base for ceremonial decoration.</t>
  </si>
  <si>
    <t>This image highlights the importance of what in Nuba culture?</t>
  </si>
  <si>
    <t>A) Isolation from the rest of the community, B) The passing of traditions from one generation to the next, C) A written, scholarly tradition, D) A rejection of all physical activity</t>
  </si>
  <si>
    <t>B) The passing of traditions from one generation to the next</t>
  </si>
  <si>
    <t>The scene of an elder or champion surrounded by young boys is a powerful image of teaching and cultural transmission.</t>
  </si>
  <si>
    <t>The tall man's physique is a testament to the cultural importance of...</t>
  </si>
  <si>
    <t>A) A sedentary lifestyle, B) Physical strength and athleticism, C) A diet rich in processed foods, D) Intellectual pursuits over physical ones</t>
  </si>
  <si>
    <t>B) Physical strength and athleticism</t>
  </si>
  <si>
    <t>Athletic prowess, especially in wrestling, was historically a central measure of a man's worth and status in Nuba society.</t>
  </si>
  <si>
    <t>This photograph is famous for its...</t>
  </si>
  <si>
    <t>A) Depiction of modern warfare, B) Use of vibrant colors, C) Powerful and artistic depiction of a traditional culture, D) Undersea setting</t>
  </si>
  <si>
    <t>C) Powerful and artistic depiction of a traditional culture</t>
  </si>
  <si>
    <t>Riefenstahl's Nuba photographs are world-famous (and controversial) for their striking, aestheticized portrayal of the Nuba people.</t>
  </si>
  <si>
    <t>The scene represents a...</t>
  </si>
  <si>
    <t>A) Moment of intense conflict, B) A quiet, everyday moment in village life, C) A formal religious ceremony, D) A political meeting</t>
  </si>
  <si>
    <t>B) A quiet, everyday moment in village life</t>
  </si>
  <si>
    <t>Despite the grand appearance of the man, this is an intimate snapshot of daily social life and inter-generational learning.</t>
  </si>
  <si>
    <t>nubian_stick_fighting_83.jpg</t>
  </si>
  <si>
    <t>What is the most prominent feature of this man's appearance?</t>
  </si>
  <si>
    <t>A) His modern clothing, B) His ceremonial body paint, C) His unusual hairstyle, D) His height</t>
  </si>
  <si>
    <t>B) His ceremonial body paint</t>
  </si>
  <si>
    <t>His torso and arms are decorated with striking white patterns, including stars and stripes.</t>
  </si>
  <si>
    <t>This style of body painting is a famous tradition of what people?</t>
  </si>
  <si>
    <t>A) The Zulu of South Africa, B) The Maasai of Kenya, C) The Nuba of Sudan, D) The Beja of the Eastern Desert</t>
  </si>
  <si>
    <t>C) The Nuba of Sudan</t>
  </si>
  <si>
    <t>The Nuba peoples are renowned for their artistic and symbolic tradition of body painting.</t>
  </si>
  <si>
    <t>What is the purpose of this type of body decoration?</t>
  </si>
  <si>
    <t>A) It is a form of camouflage for hunting, B) It is purely for sun protection, C) It is ceremonial and can signify status, age-grade, or participation in a ritual, D) It is a permanent tattoo</t>
  </si>
  <si>
    <t>C) It is ceremonial and can signify status, age-grade, or participation in a ritual</t>
  </si>
  <si>
    <t>Body painting is a complex social language, used to express identity and celebrate important life events and ceremonies.</t>
  </si>
  <si>
    <t>What is the man holding in his hand?</t>
  </si>
  <si>
    <t>A) A spear, B) A rifle, C) A short stick or club, D) A flower</t>
  </si>
  <si>
    <t>C) A short stick or club</t>
  </si>
  <si>
    <t>He is holding a simple wooden stick or staff.</t>
  </si>
  <si>
    <t>What is he wearing on his head and around his neck?</t>
  </si>
  <si>
    <t>A) A modern hat and tie, B) Traditional jewelry, including a headband and necklaces, C) A metal helmet, D) A crown of leaves</t>
  </si>
  <si>
    <t>B) Traditional jewelry, including a beaded headband and necklaces</t>
  </si>
  <si>
    <t>His adornments are part of his traditional ceremonial attire.</t>
  </si>
  <si>
    <t>The buildings in the background are...</t>
  </si>
  <si>
    <t>A) Modern skyscrapers, B) Traditional mud-brick huts with thatched roofs, C) Ancient stone temples, D) Large tents</t>
  </si>
  <si>
    <t>B) Traditional mud-brick huts with thatched roofs</t>
  </si>
  <si>
    <t>These are the typical dwellings of a Nuba village.</t>
  </si>
  <si>
    <t>The man is also wearing a...</t>
  </si>
  <si>
    <t>A) Nose ring, B) Pair of glasses, C) Watch, D) Hearing aid</t>
  </si>
  <si>
    <t>A) A nose ring</t>
  </si>
  <si>
    <t>A ring is visible in his right nostril, another common form of personal adornment.</t>
  </si>
  <si>
    <t>This image is a...</t>
  </si>
  <si>
    <t>A) Candid shot of a wrestling match, B) A posed portrait, C) A photo of a farmer at work, D) A picture of a political leader giving a speech</t>
  </si>
  <si>
    <t>The man is looking directly at the camera in a confident pose, indicating this is a portrait, not a candid shot of an action.</t>
  </si>
  <si>
    <t>The colorful, striped cloth around his waist is...</t>
  </si>
  <si>
    <t>A) A modern athletic garment, B) A traditional loincloth, C) A towel, D) A flag</t>
  </si>
  <si>
    <t>B) A traditional loincloth</t>
  </si>
  <si>
    <t>This is a common piece of traditional male attire in the region.</t>
  </si>
  <si>
    <t>This photograph captures the importance of what in Nuba culture?</t>
  </si>
  <si>
    <t>A) Modern fashion, B) Written language, C) Artistic expression and personal adornment, D) Agriculture</t>
  </si>
  <si>
    <t>C) Artistic expression and personal adornment</t>
  </si>
  <si>
    <t>The intricate paint and jewelry show a culture that places a high value on aesthetics and the body as a canvas for art.</t>
  </si>
  <si>
    <t>nubian_stick_fighting_46.jpg</t>
  </si>
  <si>
    <t>The event depicted is a public performance of what?</t>
  </si>
  <si>
    <t>A) Nuba Wrestling, B) A modern rock concert, C) Egyptian Tahtib (stick fighting) with live music, D) A political rally</t>
  </si>
  <si>
    <t>C) Egyptian Tahtib (stick fighting) with live music</t>
  </si>
  <si>
    <t>The men with staffs are performing Tahtib, accompanied by a band of traditional musicians.</t>
  </si>
  <si>
    <t>What is the setting for this performance?</t>
  </si>
  <si>
    <t>A) An indoor concert hall, B) An outdoor stage in front of the Luxor Temple in Egypt, C) A remote desert location, D) A public park in a modern city</t>
  </si>
  <si>
    <t>B) An outdoor stage in front of the Luxor Temple in Egypt</t>
  </si>
  <si>
    <t>The massive, ancient columns of the Luxor Temple are clearly visible in the background.</t>
  </si>
  <si>
    <t>What are the men on the right side of the stage doing?</t>
  </si>
  <si>
    <t>A) They are wrestling, B) They are watching the performance, C) They are playing musical instruments, D) They are selling merchandise</t>
  </si>
  <si>
    <t>C) They are playing musical instruments</t>
  </si>
  <si>
    <t>They form a traditional Egyptian musical ensemble, with instruments like a mizmar (oboe) and drums, to accompany the Tahtib dance.</t>
  </si>
  <si>
    <t>What are the two men on the left engaged in?</t>
  </si>
  <si>
    <t>A) A real, violent fight, B) A choreographed, dance-like duel with staffs, C) A heated argument, D) A friendly conversation</t>
  </si>
  <si>
    <t>B) A choreographed, dance-like duel with staffs</t>
  </si>
  <si>
    <t>They are performing the rhythmic, dance-like movements of Tahtib, not trying to actually injure each other.</t>
  </si>
  <si>
    <t>A) Modern athletic wear, B) Traditional galabeya robes and turbans, C) Animal skin costumes, D) Military uniforms</t>
  </si>
  <si>
    <t>B) Traditional galabeya robes and turbans</t>
  </si>
  <si>
    <t>All the performers, both dancers and musicians, are dressed in traditional Egyptian attire.</t>
  </si>
  <si>
    <t>The staff used in Tahtib is called an...</t>
  </si>
  <si>
    <t>The long wooden staff for Tahtib is known as an asa.</t>
  </si>
  <si>
    <t>This event is a clear example of...</t>
  </si>
  <si>
    <t>A) A historical battle, B) A living cultural tradition being performed for an audience, C) A spontaneous street fight, D) A secret ritual</t>
  </si>
  <si>
    <t>B) A living cultural tradition being performed for an audience</t>
  </si>
  <si>
    <t>This is a public performance that showcases and preserves a traditional art form.</t>
  </si>
  <si>
    <t>What does the presence of microphones and speakers indicate?</t>
  </si>
  <si>
    <t>A) The event is silent, B) The event is a modern one, using amplification for the music, C) The event is a press conference, D) The photo is from the 19th century</t>
  </si>
  <si>
    <t>B) The event is a modern one, using amplification for the music</t>
  </si>
  <si>
    <t>The use of modern sound equipment shows the blend of tradition with modern performance technology.</t>
  </si>
  <si>
    <t>The movements of the two fighters are...</t>
  </si>
  <si>
    <t>A) Clumsy and unbalanced, B) Synchronized and rhythmic, C) Slow and cautious, D) Aggressive and chaotic</t>
  </si>
  <si>
    <t>B) Synchronized and rhythmic</t>
  </si>
  <si>
    <t>Their poses are mirrored and dynamic, highlighting the dance-like quality of the martial art.</t>
  </si>
  <si>
    <t>The overall event is a...</t>
  </si>
  <si>
    <t>A) Somber funeral procession, B) A lively cultural performance, C) A serious athletic competition, D) A political protest</t>
  </si>
  <si>
    <t>B) A lively cultural performance</t>
  </si>
  <si>
    <t>The combination of music, dance, and martial arts creates a festive and entertaining cultural spectacle.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</si>
</sst>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b/>
      <sz val="11.0"/>
      <color rgb="FFFFFFFF"/>
      <name val="Calibri"/>
    </font>
    <font>
      <color theme="1"/>
      <name val="Arial"/>
    </font>
    <font>
      <sz val="11.0"/>
      <color theme="1"/>
      <name val="Calibri"/>
    </font>
  </fonts>
  <fills count="7">
    <fill>
      <patternFill patternType="none"/>
    </fill>
    <fill>
      <patternFill patternType="lightGray"/>
    </fill>
    <fill>
      <patternFill patternType="solid">
        <fgColor rgb="FF70AD47"/>
        <bgColor rgb="FF70AD47"/>
      </patternFill>
    </fill>
    <fill>
      <patternFill patternType="solid">
        <fgColor rgb="FFE2EFDA"/>
        <bgColor rgb="FFE2EFDA"/>
      </patternFill>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4">
    <border/>
    <border>
      <left style="thin">
        <color rgb="FFA9D08E"/>
      </left>
      <top style="thin">
        <color rgb="FFA9D08E"/>
      </top>
      <bottom style="thin">
        <color rgb="FFA9D08E"/>
      </bottom>
    </border>
    <border>
      <top style="thin">
        <color rgb="FFA9D08E"/>
      </top>
      <bottom style="thin">
        <color rgb="FFA9D08E"/>
      </bottom>
    </border>
    <border>
      <right style="thin">
        <color rgb="FFA9D08E"/>
      </right>
      <top style="thin">
        <color rgb="FFA9D08E"/>
      </top>
      <bottom style="thin">
        <color rgb="FFA9D08E"/>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vertical="bottom"/>
    </xf>
    <xf borderId="2" fillId="2" fontId="2" numFmtId="0" xfId="0" applyAlignment="1" applyBorder="1" applyFont="1">
      <alignment readingOrder="0" vertical="bottom"/>
    </xf>
    <xf borderId="3" fillId="2" fontId="2" numFmtId="0" xfId="0" applyAlignment="1" applyBorder="1" applyFont="1">
      <alignment vertical="bottom"/>
    </xf>
    <xf borderId="0" fillId="0" fontId="3" numFmtId="0" xfId="0" applyAlignment="1" applyFont="1">
      <alignment vertical="bottom"/>
    </xf>
    <xf borderId="2" fillId="2" fontId="2" numFmtId="0" xfId="0" applyAlignment="1" applyBorder="1" applyFont="1">
      <alignment vertical="bottom"/>
    </xf>
    <xf borderId="2" fillId="2" fontId="2" numFmtId="0" xfId="0" applyAlignment="1" applyBorder="1" applyFont="1">
      <alignment readingOrder="0" vertical="bottom"/>
    </xf>
    <xf borderId="1" fillId="3" fontId="4" numFmtId="0" xfId="0" applyAlignment="1" applyBorder="1" applyFill="1" applyFont="1">
      <alignment horizontal="right" vertical="bottom"/>
    </xf>
    <xf borderId="2" fillId="3" fontId="4" numFmtId="0" xfId="0" applyAlignment="1" applyBorder="1" applyFont="1">
      <alignment horizontal="right" vertical="bottom"/>
    </xf>
    <xf borderId="3" fillId="3" fontId="4" numFmtId="0" xfId="0" applyAlignment="1" applyBorder="1" applyFont="1">
      <alignment horizontal="right" vertical="bottom"/>
    </xf>
    <xf borderId="1" fillId="0" fontId="4" numFmtId="0" xfId="0" applyAlignment="1" applyBorder="1" applyFont="1">
      <alignment horizontal="right" vertical="bottom"/>
    </xf>
    <xf borderId="2" fillId="0" fontId="4" numFmtId="0" xfId="0" applyAlignment="1" applyBorder="1" applyFont="1">
      <alignment horizontal="right" vertical="bottom"/>
    </xf>
    <xf borderId="3" fillId="0" fontId="4" numFmtId="0" xfId="0" applyAlignment="1" applyBorder="1" applyFont="1">
      <alignment horizontal="right" vertical="bottom"/>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3" xfId="0" applyAlignment="1" applyFont="1" applyNumberFormat="1">
      <alignment horizontal="left" readingOrder="0" shrinkToFit="0" vertical="center" wrapText="0"/>
    </xf>
    <xf borderId="0" fillId="0" fontId="1" numFmtId="3" xfId="0" applyAlignment="1" applyFont="1" applyNumberFormat="1">
      <alignment shrinkToFit="0" vertical="center" wrapText="0"/>
    </xf>
    <xf borderId="0" fillId="4" fontId="3" numFmtId="0" xfId="0" applyAlignment="1" applyFill="1" applyFont="1">
      <alignment vertical="bottom"/>
    </xf>
    <xf borderId="0" fillId="4" fontId="3" numFmtId="0" xfId="0" applyAlignment="1" applyFont="1">
      <alignment readingOrder="0" vertical="bottom"/>
    </xf>
    <xf borderId="0" fillId="5" fontId="3" numFmtId="0" xfId="0" applyAlignment="1" applyFill="1" applyFont="1">
      <alignment vertical="bottom"/>
    </xf>
    <xf borderId="0" fillId="6" fontId="3" numFmtId="0" xfId="0" applyAlignment="1" applyFill="1" applyFont="1">
      <alignment vertical="bottom"/>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9">
    <tableStyle count="4" pivot="0" name="Camel_Racing-style">
      <tableStyleElement dxfId="1" type="headerRow"/>
      <tableStyleElement dxfId="2" type="firstRowStripe"/>
      <tableStyleElement dxfId="3" type="secondRowStripe"/>
      <tableStyleElement dxfId="4" size="0" type="wholeTable"/>
    </tableStyle>
    <tableStyle count="4" pivot="0" name="Camel_Racing-style 2">
      <tableStyleElement dxfId="1" type="headerRow"/>
      <tableStyleElement dxfId="2" type="firstRowStripe"/>
      <tableStyleElement dxfId="3" type="secondRowStripe"/>
      <tableStyleElement dxfId="4" size="0" type="wholeTable"/>
    </tableStyle>
    <tableStyle count="4" pivot="0" name="Horse_Racing-style">
      <tableStyleElement dxfId="1" type="headerRow"/>
      <tableStyleElement dxfId="2" type="firstRowStripe"/>
      <tableStyleElement dxfId="3" type="secondRowStripe"/>
      <tableStyleElement dxfId="4" size="0" type="wholeTable"/>
    </tableStyle>
    <tableStyle count="4" pivot="0" name="Horse_Racing-style 2">
      <tableStyleElement dxfId="1" type="headerRow"/>
      <tableStyleElement dxfId="2" type="firstRowStripe"/>
      <tableStyleElement dxfId="3" type="secondRowStripe"/>
      <tableStyleElement dxfId="4" size="0" type="wholeTable"/>
    </tableStyle>
    <tableStyle count="4" pivot="0" name="Cow_fighting-style">
      <tableStyleElement dxfId="1" type="headerRow"/>
      <tableStyleElement dxfId="2" type="firstRowStripe"/>
      <tableStyleElement dxfId="3" type="secondRowStripe"/>
      <tableStyleElement dxfId="4" size="0" type="wholeTable"/>
    </tableStyle>
    <tableStyle count="4" pivot="0" name="Cow_fighting-style 2">
      <tableStyleElement dxfId="1" type="headerRow"/>
      <tableStyleElement dxfId="2" type="firstRowStripe"/>
      <tableStyleElement dxfId="3" type="secondRowStripe"/>
      <tableStyleElement dxfId="4" size="0" type="wholeTable"/>
    </tableStyle>
    <tableStyle count="4" pivot="0" name="Nubian_Stick_Fighting-style">
      <tableStyleElement dxfId="1" type="headerRow"/>
      <tableStyleElement dxfId="2" type="firstRowStripe"/>
      <tableStyleElement dxfId="3" type="secondRowStripe"/>
      <tableStyleElement dxfId="4" size="0" type="wholeTable"/>
    </tableStyle>
    <tableStyle count="3" pivot="0" name="Nubian_Stick_Fighting-style 2">
      <tableStyleElement dxfId="1" type="headerRow"/>
      <tableStyleElement dxfId="2" type="firstRowStripe"/>
      <tableStyleElement dxfId="3" type="secondRowStripe"/>
    </tableStyle>
    <tableStyle count="2" pivot="0" name="Nubian_Stick_Fighting-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22" displayName="Table1" name="Table1" id="1">
  <tableColumns count="5">
    <tableColumn name="Serial Number" id="1"/>
    <tableColumn name="Question (English)" id="2"/>
    <tableColumn name="Options (English)" id="3"/>
    <tableColumn name="Answer (English)" id="4"/>
    <tableColumn name="Description (English)" id="5"/>
  </tableColumns>
  <tableStyleInfo name="Camel_Racing-style" showColumnStripes="0" showFirstColumn="1" showLastColumn="1" showRowStripes="1"/>
</table>
</file>

<file path=xl/tables/table2.xml><?xml version="1.0" encoding="utf-8"?>
<table xmlns="http://schemas.openxmlformats.org/spreadsheetml/2006/main" ref="O1:R122" displayName="Table2" name="Table2" id="2">
  <tableColumns count="4">
    <tableColumn name="سؤال" id="1"/>
    <tableColumn name="خيارات" id="2"/>
    <tableColumn name="إجابة" id="3"/>
    <tableColumn name="Description (Arabic)" id="4"/>
  </tableColumns>
  <tableStyleInfo name="Camel_Racing-style 2" showColumnStripes="0" showFirstColumn="1" showLastColumn="1" showRowStripes="1"/>
</table>
</file>

<file path=xl/tables/table3.xml><?xml version="1.0" encoding="utf-8"?>
<table xmlns="http://schemas.openxmlformats.org/spreadsheetml/2006/main" ref="A1:E145" displayName="Table3" name="Table3" id="3">
  <tableColumns count="5">
    <tableColumn name="Serial number" id="1"/>
    <tableColumn name="سؤال" id="2"/>
    <tableColumn name="خيارات" id="3"/>
    <tableColumn name="إجابة" id="4"/>
    <tableColumn name="Description" id="5"/>
  </tableColumns>
  <tableStyleInfo name="Horse_Racing-style" showColumnStripes="0" showFirstColumn="1" showLastColumn="1" showRowStripes="1"/>
</table>
</file>

<file path=xl/tables/table4.xml><?xml version="1.0" encoding="utf-8"?>
<table xmlns="http://schemas.openxmlformats.org/spreadsheetml/2006/main" ref="I1:L145" displayName="Table4" name="Table4" id="4">
  <tableColumns count="4">
    <tableColumn name="Question" id="1"/>
    <tableColumn name="Option" id="2"/>
    <tableColumn name="Answer" id="3"/>
    <tableColumn name="Description" id="4"/>
  </tableColumns>
  <tableStyleInfo name="Horse_Racing-style 2" showColumnStripes="0" showFirstColumn="1" showLastColumn="1" showRowStripes="1"/>
</table>
</file>

<file path=xl/tables/table5.xml><?xml version="1.0" encoding="utf-8"?>
<table xmlns="http://schemas.openxmlformats.org/spreadsheetml/2006/main" ref="A1:E145" displayName="Table5" name="Table5" id="5">
  <tableColumns count="5">
    <tableColumn name="Serial number" id="1"/>
    <tableColumn name="سؤال" id="2"/>
    <tableColumn name="خيارات" id="3"/>
    <tableColumn name="إجابة" id="4"/>
    <tableColumn name="description" id="5"/>
  </tableColumns>
  <tableStyleInfo name="Cow_fighting-style" showColumnStripes="0" showFirstColumn="1" showLastColumn="1" showRowStripes="1"/>
</table>
</file>

<file path=xl/tables/table6.xml><?xml version="1.0" encoding="utf-8"?>
<table xmlns="http://schemas.openxmlformats.org/spreadsheetml/2006/main" ref="G1:L145" displayName="Table6" name="Table6" id="6">
  <tableColumns count="6">
    <tableColumn name="Questions" id="1"/>
    <tableColumn name="Options" id="2"/>
    <tableColumn name="answer" id="3"/>
    <tableColumn name="Description" id="4"/>
    <tableColumn name="Column 5" id="5"/>
    <tableColumn name="Column 6" id="6"/>
  </tableColumns>
  <tableStyleInfo name="Cow_fighting-style 2" showColumnStripes="0" showFirstColumn="1" showLastColumn="1" showRowStripes="1"/>
</table>
</file>

<file path=xl/tables/table7.xml><?xml version="1.0" encoding="utf-8"?>
<table xmlns="http://schemas.openxmlformats.org/spreadsheetml/2006/main" ref="A1:E261" displayName="Table7" name="Table7" id="7">
  <tableColumns count="5">
    <tableColumn name="Image" id="1"/>
    <tableColumn name="Question" id="2"/>
    <tableColumn name="Options" id="3"/>
    <tableColumn name="Correct Answer" id="4"/>
    <tableColumn name="Description" id="5"/>
  </tableColumns>
  <tableStyleInfo name="Nubian_Stick_Fighting-style" showColumnStripes="0" showFirstColumn="1" showLastColumn="1" showRowStripes="1"/>
</table>
</file>

<file path=xl/tables/table8.xml><?xml version="1.0" encoding="utf-8"?>
<table xmlns="http://schemas.openxmlformats.org/spreadsheetml/2006/main" headerRowCount="0" ref="H1:L1" displayName="Table_1" name="Table_1" id="8">
  <tableColumns count="5">
    <tableColumn name="Column1" id="1"/>
    <tableColumn name="Column2" id="2"/>
    <tableColumn name="Column3" id="3"/>
    <tableColumn name="Column4" id="4"/>
    <tableColumn name="Column5" id="5"/>
  </tableColumns>
  <tableStyleInfo name="Nubian_Stick_Fighting-style 2"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H2:H261" displayName="Table_2" name="Table_2" id="9">
  <tableColumns count="1">
    <tableColumn name="Column1" id="1"/>
  </tableColumns>
  <tableStyleInfo name="Nubian_Stick_Fighting-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5" Type="http://schemas.openxmlformats.org/officeDocument/2006/relationships/table" Target="../tables/table7.xml"/><Relationship Id="rId6" Type="http://schemas.openxmlformats.org/officeDocument/2006/relationships/table" Target="../tables/table8.xml"/><Relationship Id="rId7"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3" width="37.63"/>
    <col customWidth="1" min="4" max="4" width="35.63"/>
    <col customWidth="1" min="5" max="5" width="37.63"/>
    <col customWidth="1" min="15" max="16" width="37.63"/>
    <col customWidth="1" min="17" max="17" width="22.13"/>
    <col customWidth="1" min="18" max="18" width="34.38"/>
  </cols>
  <sheetData>
    <row r="1">
      <c r="A1" s="1" t="s">
        <v>0</v>
      </c>
      <c r="B1" s="1" t="s">
        <v>1</v>
      </c>
      <c r="C1" s="1" t="s">
        <v>2</v>
      </c>
      <c r="D1" s="1" t="s">
        <v>3</v>
      </c>
      <c r="E1" s="1" t="s">
        <v>4</v>
      </c>
      <c r="O1" s="2" t="s">
        <v>5</v>
      </c>
      <c r="P1" s="2" t="s">
        <v>6</v>
      </c>
      <c r="Q1" s="2" t="s">
        <v>7</v>
      </c>
      <c r="R1" s="1" t="s">
        <v>8</v>
      </c>
    </row>
    <row r="2">
      <c r="A2" s="3">
        <v>1.0</v>
      </c>
      <c r="B2" s="4" t="s">
        <v>9</v>
      </c>
      <c r="C2" s="4" t="s">
        <v>10</v>
      </c>
      <c r="D2" s="4" t="s">
        <v>11</v>
      </c>
      <c r="E2" s="4" t="s">
        <v>12</v>
      </c>
      <c r="O2" s="5" t="s">
        <v>13</v>
      </c>
      <c r="P2" s="5" t="s">
        <v>14</v>
      </c>
      <c r="Q2" s="5" t="s">
        <v>15</v>
      </c>
      <c r="R2" s="5" t="s">
        <v>16</v>
      </c>
    </row>
    <row r="3">
      <c r="A3" s="3">
        <v>2.0</v>
      </c>
      <c r="B3" s="4" t="s">
        <v>17</v>
      </c>
      <c r="C3" s="4" t="s">
        <v>18</v>
      </c>
      <c r="D3" s="4" t="s">
        <v>19</v>
      </c>
      <c r="E3" s="4" t="s">
        <v>20</v>
      </c>
      <c r="O3" s="5" t="s">
        <v>21</v>
      </c>
      <c r="P3" s="5" t="s">
        <v>22</v>
      </c>
      <c r="Q3" s="5" t="s">
        <v>23</v>
      </c>
      <c r="R3" s="5" t="s">
        <v>24</v>
      </c>
    </row>
    <row r="4">
      <c r="A4" s="3">
        <v>3.0</v>
      </c>
      <c r="B4" s="4" t="s">
        <v>25</v>
      </c>
      <c r="C4" s="4" t="s">
        <v>26</v>
      </c>
      <c r="D4" s="4" t="s">
        <v>27</v>
      </c>
      <c r="E4" s="4" t="s">
        <v>28</v>
      </c>
      <c r="O4" s="5" t="s">
        <v>29</v>
      </c>
      <c r="P4" s="5" t="s">
        <v>30</v>
      </c>
      <c r="Q4" s="5" t="s">
        <v>31</v>
      </c>
      <c r="R4" s="5" t="s">
        <v>32</v>
      </c>
    </row>
    <row r="5">
      <c r="A5" s="3">
        <v>4.0</v>
      </c>
      <c r="B5" s="4" t="s">
        <v>33</v>
      </c>
      <c r="C5" s="4" t="s">
        <v>34</v>
      </c>
      <c r="D5" s="4" t="s">
        <v>35</v>
      </c>
      <c r="E5" s="4" t="s">
        <v>36</v>
      </c>
      <c r="O5" s="5" t="s">
        <v>37</v>
      </c>
      <c r="P5" s="5" t="s">
        <v>38</v>
      </c>
      <c r="Q5" s="5" t="s">
        <v>39</v>
      </c>
      <c r="R5" s="5" t="s">
        <v>40</v>
      </c>
    </row>
    <row r="6">
      <c r="A6" s="3">
        <v>5.0</v>
      </c>
      <c r="B6" s="4" t="s">
        <v>41</v>
      </c>
      <c r="C6" s="4" t="s">
        <v>42</v>
      </c>
      <c r="D6" s="4" t="s">
        <v>43</v>
      </c>
      <c r="E6" s="4" t="s">
        <v>44</v>
      </c>
      <c r="O6" s="5" t="s">
        <v>45</v>
      </c>
      <c r="P6" s="5" t="s">
        <v>46</v>
      </c>
      <c r="Q6" s="5" t="s">
        <v>47</v>
      </c>
      <c r="R6" s="5" t="s">
        <v>48</v>
      </c>
    </row>
    <row r="7">
      <c r="A7" s="3">
        <v>6.0</v>
      </c>
      <c r="B7" s="4" t="s">
        <v>49</v>
      </c>
      <c r="C7" s="4" t="s">
        <v>50</v>
      </c>
      <c r="D7" s="4" t="s">
        <v>51</v>
      </c>
      <c r="E7" s="4" t="s">
        <v>52</v>
      </c>
      <c r="O7" s="5" t="s">
        <v>53</v>
      </c>
      <c r="P7" s="5" t="s">
        <v>54</v>
      </c>
      <c r="Q7" s="5" t="s">
        <v>55</v>
      </c>
      <c r="R7" s="5" t="s">
        <v>56</v>
      </c>
    </row>
    <row r="8">
      <c r="A8" s="3">
        <v>7.0</v>
      </c>
      <c r="B8" s="4" t="s">
        <v>57</v>
      </c>
      <c r="C8" s="4" t="s">
        <v>58</v>
      </c>
      <c r="D8" s="4" t="s">
        <v>59</v>
      </c>
      <c r="E8" s="4" t="s">
        <v>60</v>
      </c>
      <c r="O8" s="5" t="s">
        <v>61</v>
      </c>
      <c r="P8" s="5" t="s">
        <v>62</v>
      </c>
      <c r="Q8" s="5" t="s">
        <v>63</v>
      </c>
      <c r="R8" s="5" t="s">
        <v>64</v>
      </c>
    </row>
    <row r="9">
      <c r="A9" s="3">
        <v>8.0</v>
      </c>
      <c r="B9" s="4" t="s">
        <v>65</v>
      </c>
      <c r="C9" s="4" t="s">
        <v>66</v>
      </c>
      <c r="D9" s="4" t="s">
        <v>67</v>
      </c>
      <c r="E9" s="4" t="s">
        <v>68</v>
      </c>
      <c r="O9" s="5" t="s">
        <v>69</v>
      </c>
      <c r="P9" s="5" t="s">
        <v>70</v>
      </c>
      <c r="Q9" s="5" t="s">
        <v>71</v>
      </c>
      <c r="R9" s="5" t="s">
        <v>72</v>
      </c>
    </row>
    <row r="10">
      <c r="A10" s="3">
        <v>9.0</v>
      </c>
      <c r="B10" s="4" t="s">
        <v>73</v>
      </c>
      <c r="C10" s="4" t="s">
        <v>74</v>
      </c>
      <c r="D10" s="4" t="s">
        <v>75</v>
      </c>
      <c r="E10" s="4" t="s">
        <v>76</v>
      </c>
      <c r="O10" s="5" t="s">
        <v>77</v>
      </c>
      <c r="P10" s="5" t="s">
        <v>78</v>
      </c>
      <c r="Q10" s="5" t="s">
        <v>79</v>
      </c>
      <c r="R10" s="5" t="s">
        <v>80</v>
      </c>
    </row>
    <row r="11">
      <c r="A11" s="3">
        <v>10.0</v>
      </c>
      <c r="B11" s="4" t="s">
        <v>81</v>
      </c>
      <c r="C11" s="4" t="s">
        <v>82</v>
      </c>
      <c r="D11" s="4" t="s">
        <v>83</v>
      </c>
      <c r="E11" s="4" t="s">
        <v>84</v>
      </c>
      <c r="O11" s="5" t="s">
        <v>85</v>
      </c>
      <c r="P11" s="5" t="s">
        <v>86</v>
      </c>
      <c r="Q11" s="5" t="s">
        <v>87</v>
      </c>
      <c r="R11" s="5" t="s">
        <v>88</v>
      </c>
    </row>
    <row r="12">
      <c r="A12" s="3">
        <v>11.0</v>
      </c>
      <c r="B12" s="4" t="s">
        <v>89</v>
      </c>
      <c r="C12" s="4" t="s">
        <v>90</v>
      </c>
      <c r="D12" s="4" t="s">
        <v>91</v>
      </c>
      <c r="E12" s="4" t="s">
        <v>92</v>
      </c>
      <c r="O12" s="5" t="s">
        <v>93</v>
      </c>
      <c r="P12" s="5" t="s">
        <v>94</v>
      </c>
      <c r="Q12" s="5" t="s">
        <v>95</v>
      </c>
      <c r="R12" s="5" t="s">
        <v>96</v>
      </c>
    </row>
    <row r="13">
      <c r="A13" s="3">
        <v>12.0</v>
      </c>
      <c r="B13" s="4" t="s">
        <v>97</v>
      </c>
      <c r="C13" s="4" t="s">
        <v>98</v>
      </c>
      <c r="D13" s="4" t="s">
        <v>99</v>
      </c>
      <c r="E13" s="4" t="s">
        <v>100</v>
      </c>
      <c r="O13" s="5" t="s">
        <v>101</v>
      </c>
      <c r="P13" s="5" t="s">
        <v>102</v>
      </c>
      <c r="Q13" s="5" t="s">
        <v>103</v>
      </c>
      <c r="R13" s="5" t="s">
        <v>104</v>
      </c>
    </row>
    <row r="14">
      <c r="A14" s="3">
        <v>13.0</v>
      </c>
      <c r="B14" s="4" t="s">
        <v>105</v>
      </c>
      <c r="C14" s="4" t="s">
        <v>106</v>
      </c>
      <c r="D14" s="4" t="s">
        <v>107</v>
      </c>
      <c r="E14" s="4" t="s">
        <v>108</v>
      </c>
      <c r="O14" s="5" t="s">
        <v>109</v>
      </c>
      <c r="P14" s="5" t="s">
        <v>110</v>
      </c>
      <c r="Q14" s="5" t="s">
        <v>111</v>
      </c>
      <c r="R14" s="5" t="s">
        <v>112</v>
      </c>
    </row>
    <row r="15">
      <c r="A15" s="3">
        <v>14.0</v>
      </c>
      <c r="B15" s="4" t="s">
        <v>113</v>
      </c>
      <c r="C15" s="4" t="s">
        <v>114</v>
      </c>
      <c r="D15" s="4" t="s">
        <v>115</v>
      </c>
      <c r="E15" s="4" t="s">
        <v>116</v>
      </c>
      <c r="O15" s="5" t="s">
        <v>117</v>
      </c>
      <c r="P15" s="5" t="s">
        <v>118</v>
      </c>
      <c r="Q15" s="5" t="s">
        <v>119</v>
      </c>
      <c r="R15" s="5" t="s">
        <v>120</v>
      </c>
    </row>
    <row r="16">
      <c r="A16" s="3">
        <v>15.0</v>
      </c>
      <c r="B16" s="4" t="s">
        <v>121</v>
      </c>
      <c r="C16" s="4" t="s">
        <v>122</v>
      </c>
      <c r="D16" s="4" t="s">
        <v>123</v>
      </c>
      <c r="E16" s="4" t="s">
        <v>124</v>
      </c>
      <c r="O16" s="5" t="s">
        <v>125</v>
      </c>
      <c r="P16" s="5" t="s">
        <v>126</v>
      </c>
      <c r="Q16" s="5" t="s">
        <v>127</v>
      </c>
      <c r="R16" s="5" t="s">
        <v>128</v>
      </c>
    </row>
    <row r="17">
      <c r="A17" s="3">
        <v>16.0</v>
      </c>
      <c r="B17" s="4" t="s">
        <v>129</v>
      </c>
      <c r="C17" s="4" t="s">
        <v>130</v>
      </c>
      <c r="D17" s="4" t="s">
        <v>131</v>
      </c>
      <c r="E17" s="4" t="s">
        <v>132</v>
      </c>
      <c r="O17" s="5" t="s">
        <v>133</v>
      </c>
      <c r="P17" s="5" t="s">
        <v>134</v>
      </c>
      <c r="Q17" s="5" t="s">
        <v>135</v>
      </c>
      <c r="R17" s="5" t="s">
        <v>136</v>
      </c>
    </row>
    <row r="18">
      <c r="A18" s="3">
        <v>17.0</v>
      </c>
      <c r="B18" s="4" t="s">
        <v>137</v>
      </c>
      <c r="C18" s="4" t="s">
        <v>138</v>
      </c>
      <c r="D18" s="4" t="s">
        <v>139</v>
      </c>
      <c r="E18" s="4" t="s">
        <v>140</v>
      </c>
      <c r="O18" s="5" t="s">
        <v>141</v>
      </c>
      <c r="P18" s="5" t="s">
        <v>142</v>
      </c>
      <c r="Q18" s="5" t="s">
        <v>143</v>
      </c>
      <c r="R18" s="5" t="s">
        <v>144</v>
      </c>
    </row>
    <row r="19">
      <c r="A19" s="3">
        <v>18.0</v>
      </c>
      <c r="B19" s="4" t="s">
        <v>145</v>
      </c>
      <c r="C19" s="4" t="s">
        <v>146</v>
      </c>
      <c r="D19" s="4" t="s">
        <v>147</v>
      </c>
      <c r="E19" s="4" t="s">
        <v>148</v>
      </c>
      <c r="O19" s="5" t="s">
        <v>149</v>
      </c>
      <c r="P19" s="5" t="s">
        <v>150</v>
      </c>
      <c r="Q19" s="5" t="s">
        <v>151</v>
      </c>
      <c r="R19" s="5" t="s">
        <v>152</v>
      </c>
    </row>
    <row r="20">
      <c r="A20" s="3">
        <v>19.0</v>
      </c>
      <c r="B20" s="4" t="s">
        <v>153</v>
      </c>
      <c r="C20" s="4" t="s">
        <v>154</v>
      </c>
      <c r="D20" s="4" t="s">
        <v>155</v>
      </c>
      <c r="E20" s="4" t="s">
        <v>156</v>
      </c>
      <c r="O20" s="5" t="s">
        <v>157</v>
      </c>
      <c r="P20" s="5" t="s">
        <v>158</v>
      </c>
      <c r="Q20" s="5" t="s">
        <v>159</v>
      </c>
      <c r="R20" s="5" t="s">
        <v>160</v>
      </c>
    </row>
    <row r="21">
      <c r="A21" s="3">
        <v>20.0</v>
      </c>
      <c r="B21" s="4" t="s">
        <v>161</v>
      </c>
      <c r="C21" s="4" t="s">
        <v>162</v>
      </c>
      <c r="D21" s="4" t="s">
        <v>163</v>
      </c>
      <c r="E21" s="4" t="s">
        <v>164</v>
      </c>
      <c r="O21" s="5" t="s">
        <v>165</v>
      </c>
      <c r="P21" s="5" t="s">
        <v>166</v>
      </c>
      <c r="Q21" s="5" t="s">
        <v>167</v>
      </c>
      <c r="R21" s="5" t="s">
        <v>168</v>
      </c>
    </row>
    <row r="22">
      <c r="A22" s="3">
        <v>21.0</v>
      </c>
      <c r="B22" s="4" t="s">
        <v>169</v>
      </c>
      <c r="C22" s="4" t="s">
        <v>170</v>
      </c>
      <c r="D22" s="4" t="s">
        <v>171</v>
      </c>
      <c r="E22" s="4" t="s">
        <v>172</v>
      </c>
      <c r="O22" s="5" t="s">
        <v>173</v>
      </c>
      <c r="P22" s="5" t="s">
        <v>174</v>
      </c>
      <c r="Q22" s="5" t="s">
        <v>175</v>
      </c>
      <c r="R22" s="5" t="s">
        <v>176</v>
      </c>
    </row>
    <row r="23">
      <c r="A23" s="3">
        <v>22.0</v>
      </c>
      <c r="B23" s="4" t="s">
        <v>177</v>
      </c>
      <c r="C23" s="4" t="s">
        <v>178</v>
      </c>
      <c r="D23" s="4" t="s">
        <v>179</v>
      </c>
      <c r="E23" s="4" t="s">
        <v>180</v>
      </c>
      <c r="O23" s="5" t="s">
        <v>181</v>
      </c>
      <c r="P23" s="5" t="s">
        <v>182</v>
      </c>
      <c r="Q23" s="5" t="s">
        <v>183</v>
      </c>
      <c r="R23" s="5" t="s">
        <v>184</v>
      </c>
    </row>
    <row r="24">
      <c r="A24" s="3">
        <v>23.0</v>
      </c>
      <c r="B24" s="4" t="s">
        <v>185</v>
      </c>
      <c r="C24" s="4" t="s">
        <v>186</v>
      </c>
      <c r="D24" s="4" t="s">
        <v>187</v>
      </c>
      <c r="E24" s="4" t="s">
        <v>188</v>
      </c>
      <c r="O24" s="5" t="s">
        <v>189</v>
      </c>
      <c r="P24" s="5" t="s">
        <v>190</v>
      </c>
      <c r="Q24" s="5" t="s">
        <v>191</v>
      </c>
      <c r="R24" s="5" t="s">
        <v>192</v>
      </c>
    </row>
    <row r="25">
      <c r="A25" s="3">
        <v>24.0</v>
      </c>
      <c r="B25" s="4" t="s">
        <v>193</v>
      </c>
      <c r="C25" s="4" t="s">
        <v>194</v>
      </c>
      <c r="D25" s="4" t="s">
        <v>195</v>
      </c>
      <c r="E25" s="4" t="s">
        <v>196</v>
      </c>
      <c r="O25" s="5" t="s">
        <v>197</v>
      </c>
      <c r="P25" s="5" t="s">
        <v>198</v>
      </c>
      <c r="Q25" s="5" t="s">
        <v>199</v>
      </c>
      <c r="R25" s="5" t="s">
        <v>200</v>
      </c>
    </row>
    <row r="26">
      <c r="A26" s="3">
        <v>25.0</v>
      </c>
      <c r="B26" s="4" t="s">
        <v>201</v>
      </c>
      <c r="C26" s="4" t="s">
        <v>202</v>
      </c>
      <c r="D26" s="4" t="s">
        <v>131</v>
      </c>
      <c r="E26" s="4" t="s">
        <v>203</v>
      </c>
      <c r="O26" s="5" t="s">
        <v>204</v>
      </c>
      <c r="P26" s="5" t="s">
        <v>205</v>
      </c>
      <c r="Q26" s="5" t="s">
        <v>135</v>
      </c>
      <c r="R26" s="5" t="s">
        <v>206</v>
      </c>
    </row>
    <row r="27">
      <c r="A27" s="3">
        <v>26.0</v>
      </c>
      <c r="B27" s="4" t="s">
        <v>207</v>
      </c>
      <c r="C27" s="4" t="s">
        <v>208</v>
      </c>
      <c r="D27" s="4" t="s">
        <v>209</v>
      </c>
      <c r="E27" s="4" t="s">
        <v>210</v>
      </c>
      <c r="O27" s="5" t="s">
        <v>211</v>
      </c>
      <c r="P27" s="5" t="s">
        <v>212</v>
      </c>
      <c r="Q27" s="5" t="s">
        <v>213</v>
      </c>
      <c r="R27" s="5" t="s">
        <v>214</v>
      </c>
    </row>
    <row r="28">
      <c r="A28" s="3">
        <v>27.0</v>
      </c>
      <c r="B28" s="4" t="s">
        <v>215</v>
      </c>
      <c r="C28" s="4" t="s">
        <v>216</v>
      </c>
      <c r="D28" s="4" t="s">
        <v>217</v>
      </c>
      <c r="E28" s="4" t="s">
        <v>218</v>
      </c>
      <c r="O28" s="5" t="s">
        <v>219</v>
      </c>
      <c r="P28" s="5" t="s">
        <v>220</v>
      </c>
      <c r="Q28" s="5" t="s">
        <v>221</v>
      </c>
      <c r="R28" s="5" t="s">
        <v>222</v>
      </c>
    </row>
    <row r="29">
      <c r="A29" s="3">
        <v>28.0</v>
      </c>
      <c r="B29" s="4" t="s">
        <v>223</v>
      </c>
      <c r="C29" s="4" t="s">
        <v>224</v>
      </c>
      <c r="D29" s="4" t="s">
        <v>225</v>
      </c>
      <c r="E29" s="4" t="s">
        <v>226</v>
      </c>
      <c r="O29" s="5" t="s">
        <v>227</v>
      </c>
      <c r="P29" s="5" t="s">
        <v>228</v>
      </c>
      <c r="Q29" s="5" t="s">
        <v>229</v>
      </c>
      <c r="R29" s="5" t="s">
        <v>230</v>
      </c>
    </row>
    <row r="30">
      <c r="A30" s="3">
        <v>29.0</v>
      </c>
      <c r="B30" s="4" t="s">
        <v>231</v>
      </c>
      <c r="C30" s="4" t="s">
        <v>232</v>
      </c>
      <c r="D30" s="4" t="s">
        <v>233</v>
      </c>
      <c r="E30" s="4" t="s">
        <v>234</v>
      </c>
      <c r="O30" s="5" t="s">
        <v>235</v>
      </c>
      <c r="P30" s="5" t="s">
        <v>236</v>
      </c>
      <c r="Q30" s="5" t="s">
        <v>237</v>
      </c>
      <c r="R30" s="5" t="s">
        <v>238</v>
      </c>
    </row>
    <row r="31">
      <c r="A31" s="3">
        <v>30.0</v>
      </c>
      <c r="B31" s="4" t="s">
        <v>239</v>
      </c>
      <c r="C31" s="4" t="s">
        <v>240</v>
      </c>
      <c r="D31" s="4" t="s">
        <v>241</v>
      </c>
      <c r="E31" s="4" t="s">
        <v>242</v>
      </c>
      <c r="O31" s="5" t="s">
        <v>243</v>
      </c>
      <c r="P31" s="5" t="s">
        <v>244</v>
      </c>
      <c r="Q31" s="5" t="s">
        <v>245</v>
      </c>
      <c r="R31" s="5" t="s">
        <v>246</v>
      </c>
    </row>
    <row r="32">
      <c r="A32" s="3">
        <v>31.0</v>
      </c>
      <c r="B32" s="4" t="s">
        <v>247</v>
      </c>
      <c r="C32" s="4" t="s">
        <v>248</v>
      </c>
      <c r="D32" s="4" t="s">
        <v>249</v>
      </c>
      <c r="E32" s="4" t="s">
        <v>250</v>
      </c>
      <c r="O32" s="5" t="s">
        <v>251</v>
      </c>
      <c r="P32" s="5" t="s">
        <v>252</v>
      </c>
      <c r="Q32" s="5" t="s">
        <v>253</v>
      </c>
      <c r="R32" s="5" t="s">
        <v>254</v>
      </c>
    </row>
    <row r="33">
      <c r="A33" s="3">
        <v>32.0</v>
      </c>
      <c r="B33" s="4" t="s">
        <v>255</v>
      </c>
      <c r="C33" s="4" t="s">
        <v>256</v>
      </c>
      <c r="D33" s="4" t="s">
        <v>257</v>
      </c>
      <c r="E33" s="4" t="s">
        <v>258</v>
      </c>
      <c r="O33" s="5" t="s">
        <v>259</v>
      </c>
      <c r="P33" s="5" t="s">
        <v>260</v>
      </c>
      <c r="Q33" s="5" t="s">
        <v>261</v>
      </c>
      <c r="R33" s="5" t="s">
        <v>262</v>
      </c>
    </row>
    <row r="34">
      <c r="A34" s="3">
        <v>33.0</v>
      </c>
      <c r="B34" s="4" t="s">
        <v>263</v>
      </c>
      <c r="C34" s="4" t="s">
        <v>264</v>
      </c>
      <c r="D34" s="4" t="s">
        <v>265</v>
      </c>
      <c r="E34" s="4" t="s">
        <v>266</v>
      </c>
      <c r="O34" s="5" t="s">
        <v>267</v>
      </c>
      <c r="P34" s="5" t="s">
        <v>268</v>
      </c>
      <c r="Q34" s="5" t="s">
        <v>269</v>
      </c>
      <c r="R34" s="5" t="s">
        <v>270</v>
      </c>
    </row>
    <row r="35">
      <c r="A35" s="3">
        <v>34.0</v>
      </c>
      <c r="B35" s="4" t="s">
        <v>271</v>
      </c>
      <c r="C35" s="4" t="s">
        <v>272</v>
      </c>
      <c r="D35" s="4" t="s">
        <v>273</v>
      </c>
      <c r="E35" s="4" t="s">
        <v>274</v>
      </c>
      <c r="O35" s="5" t="s">
        <v>275</v>
      </c>
      <c r="P35" s="5" t="s">
        <v>276</v>
      </c>
      <c r="Q35" s="5" t="s">
        <v>277</v>
      </c>
      <c r="R35" s="5" t="s">
        <v>278</v>
      </c>
    </row>
    <row r="36">
      <c r="A36" s="3">
        <v>35.0</v>
      </c>
      <c r="B36" s="4" t="s">
        <v>279</v>
      </c>
      <c r="C36" s="4" t="s">
        <v>280</v>
      </c>
      <c r="D36" s="4" t="s">
        <v>281</v>
      </c>
      <c r="E36" s="4" t="s">
        <v>282</v>
      </c>
      <c r="O36" s="5" t="s">
        <v>283</v>
      </c>
      <c r="P36" s="5" t="s">
        <v>284</v>
      </c>
      <c r="Q36" s="5" t="s">
        <v>285</v>
      </c>
      <c r="R36" s="5" t="s">
        <v>286</v>
      </c>
    </row>
    <row r="37">
      <c r="A37" s="3">
        <v>36.0</v>
      </c>
      <c r="B37" s="4" t="s">
        <v>287</v>
      </c>
      <c r="C37" s="4" t="s">
        <v>288</v>
      </c>
      <c r="D37" s="4" t="s">
        <v>289</v>
      </c>
      <c r="E37" s="4" t="s">
        <v>290</v>
      </c>
      <c r="O37" s="5" t="s">
        <v>291</v>
      </c>
      <c r="P37" s="5" t="s">
        <v>292</v>
      </c>
      <c r="Q37" s="5" t="s">
        <v>293</v>
      </c>
      <c r="R37" s="5" t="s">
        <v>294</v>
      </c>
    </row>
    <row r="38">
      <c r="A38" s="3">
        <v>37.0</v>
      </c>
      <c r="B38" s="4" t="s">
        <v>295</v>
      </c>
      <c r="C38" s="4" t="s">
        <v>296</v>
      </c>
      <c r="D38" s="4" t="s">
        <v>297</v>
      </c>
      <c r="E38" s="4" t="s">
        <v>298</v>
      </c>
      <c r="O38" s="5" t="s">
        <v>299</v>
      </c>
      <c r="P38" s="5" t="s">
        <v>300</v>
      </c>
      <c r="Q38" s="5" t="s">
        <v>301</v>
      </c>
      <c r="R38" s="5" t="s">
        <v>302</v>
      </c>
    </row>
    <row r="39">
      <c r="A39" s="3">
        <v>38.0</v>
      </c>
      <c r="B39" s="4" t="s">
        <v>303</v>
      </c>
      <c r="C39" s="4" t="s">
        <v>304</v>
      </c>
      <c r="D39" s="4" t="s">
        <v>305</v>
      </c>
      <c r="E39" s="4" t="s">
        <v>306</v>
      </c>
      <c r="O39" s="5" t="s">
        <v>307</v>
      </c>
      <c r="P39" s="5" t="s">
        <v>308</v>
      </c>
      <c r="Q39" s="5" t="s">
        <v>309</v>
      </c>
      <c r="R39" s="5" t="s">
        <v>310</v>
      </c>
    </row>
    <row r="40">
      <c r="A40" s="3">
        <v>39.0</v>
      </c>
      <c r="B40" s="4" t="s">
        <v>311</v>
      </c>
      <c r="C40" s="4" t="s">
        <v>312</v>
      </c>
      <c r="D40" s="4" t="s">
        <v>313</v>
      </c>
      <c r="E40" s="4" t="s">
        <v>314</v>
      </c>
      <c r="O40" s="5" t="s">
        <v>315</v>
      </c>
      <c r="P40" s="5" t="s">
        <v>316</v>
      </c>
      <c r="Q40" s="5" t="s">
        <v>317</v>
      </c>
      <c r="R40" s="5" t="s">
        <v>318</v>
      </c>
    </row>
    <row r="41">
      <c r="A41" s="3">
        <v>40.0</v>
      </c>
      <c r="B41" s="4" t="s">
        <v>319</v>
      </c>
      <c r="C41" s="4" t="s">
        <v>320</v>
      </c>
      <c r="D41" s="4" t="s">
        <v>321</v>
      </c>
      <c r="E41" s="4" t="s">
        <v>322</v>
      </c>
      <c r="O41" s="5" t="s">
        <v>323</v>
      </c>
      <c r="P41" s="5" t="s">
        <v>324</v>
      </c>
      <c r="Q41" s="5" t="s">
        <v>325</v>
      </c>
      <c r="R41" s="5" t="s">
        <v>326</v>
      </c>
    </row>
    <row r="42">
      <c r="A42" s="3">
        <v>41.0</v>
      </c>
      <c r="B42" s="4" t="s">
        <v>327</v>
      </c>
      <c r="C42" s="4" t="s">
        <v>328</v>
      </c>
      <c r="D42" s="4" t="s">
        <v>329</v>
      </c>
      <c r="E42" s="4" t="s">
        <v>330</v>
      </c>
      <c r="O42" s="5" t="s">
        <v>331</v>
      </c>
      <c r="P42" s="5" t="s">
        <v>332</v>
      </c>
      <c r="Q42" s="5" t="s">
        <v>333</v>
      </c>
      <c r="R42" s="5" t="s">
        <v>334</v>
      </c>
    </row>
    <row r="43">
      <c r="A43" s="3">
        <v>42.0</v>
      </c>
      <c r="B43" s="4" t="s">
        <v>335</v>
      </c>
      <c r="C43" s="4" t="s">
        <v>336</v>
      </c>
      <c r="D43" s="4" t="s">
        <v>337</v>
      </c>
      <c r="E43" s="4" t="s">
        <v>338</v>
      </c>
      <c r="O43" s="5" t="s">
        <v>339</v>
      </c>
      <c r="P43" s="5" t="s">
        <v>340</v>
      </c>
      <c r="Q43" s="5" t="s">
        <v>341</v>
      </c>
      <c r="R43" s="5" t="s">
        <v>342</v>
      </c>
    </row>
    <row r="44">
      <c r="A44" s="3">
        <v>43.0</v>
      </c>
      <c r="B44" s="4" t="s">
        <v>343</v>
      </c>
      <c r="C44" s="4" t="s">
        <v>344</v>
      </c>
      <c r="D44" s="4" t="s">
        <v>345</v>
      </c>
      <c r="E44" s="4" t="s">
        <v>346</v>
      </c>
      <c r="O44" s="5" t="s">
        <v>347</v>
      </c>
      <c r="P44" s="5" t="s">
        <v>348</v>
      </c>
      <c r="Q44" s="5" t="s">
        <v>349</v>
      </c>
      <c r="R44" s="5" t="s">
        <v>350</v>
      </c>
    </row>
    <row r="45">
      <c r="A45" s="3">
        <v>44.0</v>
      </c>
      <c r="B45" s="4" t="s">
        <v>351</v>
      </c>
      <c r="C45" s="4" t="s">
        <v>352</v>
      </c>
      <c r="D45" s="4" t="s">
        <v>353</v>
      </c>
      <c r="E45" s="4" t="s">
        <v>354</v>
      </c>
      <c r="O45" s="5" t="s">
        <v>355</v>
      </c>
      <c r="P45" s="5" t="s">
        <v>356</v>
      </c>
      <c r="Q45" s="5" t="s">
        <v>357</v>
      </c>
      <c r="R45" s="5" t="s">
        <v>358</v>
      </c>
    </row>
    <row r="46">
      <c r="A46" s="3">
        <v>45.0</v>
      </c>
      <c r="B46" s="4" t="s">
        <v>359</v>
      </c>
      <c r="C46" s="4" t="s">
        <v>360</v>
      </c>
      <c r="D46" s="4" t="s">
        <v>361</v>
      </c>
      <c r="E46" s="4" t="s">
        <v>362</v>
      </c>
      <c r="O46" s="5" t="s">
        <v>363</v>
      </c>
      <c r="P46" s="5" t="s">
        <v>364</v>
      </c>
      <c r="Q46" s="5" t="s">
        <v>365</v>
      </c>
      <c r="R46" s="5" t="s">
        <v>366</v>
      </c>
    </row>
    <row r="47">
      <c r="A47" s="3">
        <v>46.0</v>
      </c>
      <c r="B47" s="4" t="s">
        <v>367</v>
      </c>
      <c r="C47" s="4" t="s">
        <v>368</v>
      </c>
      <c r="D47" s="4" t="s">
        <v>369</v>
      </c>
      <c r="E47" s="4" t="s">
        <v>370</v>
      </c>
      <c r="O47" s="5" t="s">
        <v>371</v>
      </c>
      <c r="P47" s="5" t="s">
        <v>372</v>
      </c>
      <c r="Q47" s="5" t="s">
        <v>373</v>
      </c>
      <c r="R47" s="5" t="s">
        <v>374</v>
      </c>
    </row>
    <row r="48">
      <c r="A48" s="3">
        <v>47.0</v>
      </c>
      <c r="B48" s="4" t="s">
        <v>375</v>
      </c>
      <c r="C48" s="4" t="s">
        <v>376</v>
      </c>
      <c r="D48" s="4" t="s">
        <v>377</v>
      </c>
      <c r="E48" s="4" t="s">
        <v>378</v>
      </c>
      <c r="O48" s="5" t="s">
        <v>379</v>
      </c>
      <c r="P48" s="5" t="s">
        <v>380</v>
      </c>
      <c r="Q48" s="5" t="s">
        <v>381</v>
      </c>
      <c r="R48" s="5" t="s">
        <v>382</v>
      </c>
    </row>
    <row r="49">
      <c r="A49" s="3">
        <v>48.0</v>
      </c>
      <c r="B49" s="4" t="s">
        <v>383</v>
      </c>
      <c r="C49" s="4" t="s">
        <v>384</v>
      </c>
      <c r="D49" s="4" t="s">
        <v>385</v>
      </c>
      <c r="E49" s="4" t="s">
        <v>386</v>
      </c>
      <c r="O49" s="5" t="s">
        <v>387</v>
      </c>
      <c r="P49" s="5" t="s">
        <v>388</v>
      </c>
      <c r="Q49" s="5" t="s">
        <v>389</v>
      </c>
      <c r="R49" s="5" t="s">
        <v>390</v>
      </c>
    </row>
    <row r="50">
      <c r="A50" s="3">
        <v>49.0</v>
      </c>
      <c r="B50" s="4" t="s">
        <v>391</v>
      </c>
      <c r="C50" s="4" t="s">
        <v>392</v>
      </c>
      <c r="D50" s="4" t="s">
        <v>393</v>
      </c>
      <c r="E50" s="4" t="s">
        <v>394</v>
      </c>
      <c r="O50" s="5" t="s">
        <v>395</v>
      </c>
      <c r="P50" s="5" t="s">
        <v>396</v>
      </c>
      <c r="Q50" s="5" t="s">
        <v>397</v>
      </c>
      <c r="R50" s="5" t="s">
        <v>398</v>
      </c>
    </row>
    <row r="51">
      <c r="A51" s="3">
        <v>50.0</v>
      </c>
      <c r="B51" s="4" t="s">
        <v>399</v>
      </c>
      <c r="C51" s="4" t="s">
        <v>400</v>
      </c>
      <c r="D51" s="4" t="s">
        <v>401</v>
      </c>
      <c r="E51" s="4" t="s">
        <v>402</v>
      </c>
      <c r="O51" s="5" t="s">
        <v>403</v>
      </c>
      <c r="P51" s="5" t="s">
        <v>404</v>
      </c>
      <c r="Q51" s="5" t="s">
        <v>405</v>
      </c>
      <c r="R51" s="5" t="s">
        <v>406</v>
      </c>
    </row>
    <row r="52">
      <c r="A52" s="3">
        <v>51.0</v>
      </c>
      <c r="B52" s="4" t="s">
        <v>407</v>
      </c>
      <c r="C52" s="4" t="s">
        <v>408</v>
      </c>
      <c r="D52" s="4" t="s">
        <v>409</v>
      </c>
      <c r="E52" s="4" t="s">
        <v>410</v>
      </c>
      <c r="O52" s="5" t="s">
        <v>411</v>
      </c>
      <c r="P52" s="5" t="s">
        <v>412</v>
      </c>
      <c r="Q52" s="5" t="s">
        <v>413</v>
      </c>
      <c r="R52" s="5" t="s">
        <v>414</v>
      </c>
    </row>
    <row r="53">
      <c r="A53" s="3">
        <v>52.0</v>
      </c>
      <c r="B53" s="4" t="s">
        <v>415</v>
      </c>
      <c r="C53" s="4" t="s">
        <v>416</v>
      </c>
      <c r="D53" s="4" t="s">
        <v>417</v>
      </c>
      <c r="E53" s="4" t="s">
        <v>418</v>
      </c>
      <c r="O53" s="5" t="s">
        <v>419</v>
      </c>
      <c r="P53" s="5" t="s">
        <v>420</v>
      </c>
      <c r="Q53" s="5" t="s">
        <v>421</v>
      </c>
      <c r="R53" s="5" t="s">
        <v>422</v>
      </c>
    </row>
    <row r="54">
      <c r="A54" s="3">
        <v>53.0</v>
      </c>
      <c r="B54" s="4" t="s">
        <v>423</v>
      </c>
      <c r="C54" s="4" t="s">
        <v>424</v>
      </c>
      <c r="D54" s="4" t="s">
        <v>425</v>
      </c>
      <c r="E54" s="4" t="s">
        <v>426</v>
      </c>
      <c r="O54" s="5" t="s">
        <v>427</v>
      </c>
      <c r="P54" s="5" t="s">
        <v>428</v>
      </c>
      <c r="Q54" s="5" t="s">
        <v>429</v>
      </c>
      <c r="R54" s="5" t="s">
        <v>430</v>
      </c>
    </row>
    <row r="55">
      <c r="A55" s="3">
        <v>54.0</v>
      </c>
      <c r="B55" s="4" t="s">
        <v>431</v>
      </c>
      <c r="C55" s="4" t="s">
        <v>432</v>
      </c>
      <c r="D55" s="4" t="s">
        <v>433</v>
      </c>
      <c r="E55" s="4" t="s">
        <v>434</v>
      </c>
      <c r="O55" s="5" t="s">
        <v>435</v>
      </c>
      <c r="P55" s="5" t="s">
        <v>436</v>
      </c>
      <c r="Q55" s="5" t="s">
        <v>437</v>
      </c>
      <c r="R55" s="5" t="s">
        <v>438</v>
      </c>
    </row>
    <row r="56">
      <c r="A56" s="3">
        <v>55.0</v>
      </c>
      <c r="B56" s="4" t="s">
        <v>439</v>
      </c>
      <c r="C56" s="4" t="s">
        <v>440</v>
      </c>
      <c r="D56" s="4" t="s">
        <v>441</v>
      </c>
      <c r="E56" s="4" t="s">
        <v>442</v>
      </c>
      <c r="O56" s="5" t="s">
        <v>443</v>
      </c>
      <c r="P56" s="5" t="s">
        <v>444</v>
      </c>
      <c r="Q56" s="5" t="s">
        <v>445</v>
      </c>
      <c r="R56" s="5" t="s">
        <v>446</v>
      </c>
    </row>
    <row r="57">
      <c r="A57" s="3">
        <v>56.0</v>
      </c>
      <c r="B57" s="4" t="s">
        <v>447</v>
      </c>
      <c r="C57" s="4" t="s">
        <v>448</v>
      </c>
      <c r="D57" s="4" t="s">
        <v>449</v>
      </c>
      <c r="E57" s="4" t="s">
        <v>450</v>
      </c>
      <c r="O57" s="5" t="s">
        <v>451</v>
      </c>
      <c r="P57" s="5" t="s">
        <v>452</v>
      </c>
      <c r="Q57" s="5" t="s">
        <v>453</v>
      </c>
      <c r="R57" s="5" t="s">
        <v>454</v>
      </c>
    </row>
    <row r="58">
      <c r="A58" s="3">
        <v>57.0</v>
      </c>
      <c r="B58" s="4" t="s">
        <v>455</v>
      </c>
      <c r="C58" s="4" t="s">
        <v>456</v>
      </c>
      <c r="D58" s="4" t="s">
        <v>457</v>
      </c>
      <c r="E58" s="4" t="s">
        <v>458</v>
      </c>
      <c r="O58" s="5" t="s">
        <v>459</v>
      </c>
      <c r="P58" s="5" t="s">
        <v>460</v>
      </c>
      <c r="Q58" s="5" t="s">
        <v>461</v>
      </c>
      <c r="R58" s="5" t="s">
        <v>462</v>
      </c>
    </row>
    <row r="59">
      <c r="A59" s="3">
        <v>58.0</v>
      </c>
      <c r="B59" s="4" t="s">
        <v>463</v>
      </c>
      <c r="C59" s="4" t="s">
        <v>464</v>
      </c>
      <c r="D59" s="4" t="s">
        <v>465</v>
      </c>
      <c r="E59" s="4" t="s">
        <v>466</v>
      </c>
      <c r="O59" s="5" t="s">
        <v>467</v>
      </c>
      <c r="P59" s="5" t="s">
        <v>468</v>
      </c>
      <c r="Q59" s="5" t="s">
        <v>469</v>
      </c>
      <c r="R59" s="5" t="s">
        <v>470</v>
      </c>
    </row>
    <row r="60">
      <c r="A60" s="3">
        <v>59.0</v>
      </c>
      <c r="B60" s="4" t="s">
        <v>471</v>
      </c>
      <c r="C60" s="4" t="s">
        <v>472</v>
      </c>
      <c r="D60" s="4" t="s">
        <v>473</v>
      </c>
      <c r="E60" s="4" t="s">
        <v>474</v>
      </c>
      <c r="O60" s="5" t="s">
        <v>475</v>
      </c>
      <c r="P60" s="5" t="s">
        <v>476</v>
      </c>
      <c r="Q60" s="5" t="s">
        <v>477</v>
      </c>
      <c r="R60" s="5" t="s">
        <v>478</v>
      </c>
    </row>
    <row r="61">
      <c r="A61" s="3">
        <v>60.0</v>
      </c>
      <c r="B61" s="4" t="s">
        <v>479</v>
      </c>
      <c r="C61" s="4" t="s">
        <v>480</v>
      </c>
      <c r="D61" s="4" t="s">
        <v>481</v>
      </c>
      <c r="E61" s="4" t="s">
        <v>482</v>
      </c>
      <c r="O61" s="5" t="s">
        <v>483</v>
      </c>
      <c r="P61" s="5" t="s">
        <v>484</v>
      </c>
      <c r="Q61" s="5" t="s">
        <v>485</v>
      </c>
      <c r="R61" s="5" t="s">
        <v>486</v>
      </c>
    </row>
    <row r="62">
      <c r="A62" s="3">
        <v>61.0</v>
      </c>
      <c r="B62" s="4" t="s">
        <v>487</v>
      </c>
      <c r="C62" s="4" t="s">
        <v>488</v>
      </c>
      <c r="D62" s="4" t="s">
        <v>489</v>
      </c>
      <c r="E62" s="4" t="s">
        <v>490</v>
      </c>
      <c r="O62" s="5" t="s">
        <v>491</v>
      </c>
      <c r="P62" s="5" t="s">
        <v>492</v>
      </c>
      <c r="Q62" s="5" t="s">
        <v>493</v>
      </c>
      <c r="R62" s="5" t="s">
        <v>494</v>
      </c>
    </row>
    <row r="63">
      <c r="A63" s="3">
        <v>62.0</v>
      </c>
      <c r="B63" s="4" t="s">
        <v>495</v>
      </c>
      <c r="C63" s="4" t="s">
        <v>496</v>
      </c>
      <c r="D63" s="4" t="s">
        <v>497</v>
      </c>
      <c r="E63" s="4" t="s">
        <v>498</v>
      </c>
      <c r="O63" s="5" t="s">
        <v>499</v>
      </c>
      <c r="P63" s="5" t="s">
        <v>500</v>
      </c>
      <c r="Q63" s="5" t="s">
        <v>501</v>
      </c>
      <c r="R63" s="5" t="s">
        <v>502</v>
      </c>
    </row>
    <row r="64">
      <c r="A64" s="3">
        <v>63.0</v>
      </c>
      <c r="B64" s="4" t="s">
        <v>503</v>
      </c>
      <c r="C64" s="4" t="s">
        <v>504</v>
      </c>
      <c r="D64" s="4" t="s">
        <v>505</v>
      </c>
      <c r="E64" s="4" t="s">
        <v>506</v>
      </c>
      <c r="O64" s="5" t="s">
        <v>507</v>
      </c>
      <c r="P64" s="5" t="s">
        <v>508</v>
      </c>
      <c r="Q64" s="5" t="s">
        <v>509</v>
      </c>
      <c r="R64" s="5" t="s">
        <v>510</v>
      </c>
    </row>
    <row r="65">
      <c r="A65" s="3">
        <v>64.0</v>
      </c>
      <c r="B65" s="4" t="s">
        <v>511</v>
      </c>
      <c r="C65" s="4" t="s">
        <v>512</v>
      </c>
      <c r="D65" s="4" t="s">
        <v>513</v>
      </c>
      <c r="E65" s="4" t="s">
        <v>514</v>
      </c>
      <c r="O65" s="5" t="s">
        <v>515</v>
      </c>
      <c r="P65" s="5" t="s">
        <v>516</v>
      </c>
      <c r="Q65" s="5" t="s">
        <v>517</v>
      </c>
      <c r="R65" s="5" t="s">
        <v>518</v>
      </c>
    </row>
    <row r="66">
      <c r="A66" s="3">
        <v>65.0</v>
      </c>
      <c r="B66" s="4" t="s">
        <v>519</v>
      </c>
      <c r="C66" s="4" t="s">
        <v>520</v>
      </c>
      <c r="D66" s="4" t="s">
        <v>521</v>
      </c>
      <c r="E66" s="4" t="s">
        <v>522</v>
      </c>
      <c r="O66" s="5" t="s">
        <v>523</v>
      </c>
      <c r="P66" s="5" t="s">
        <v>524</v>
      </c>
      <c r="Q66" s="5" t="s">
        <v>525</v>
      </c>
      <c r="R66" s="5" t="s">
        <v>526</v>
      </c>
    </row>
    <row r="67">
      <c r="A67" s="3">
        <v>66.0</v>
      </c>
      <c r="B67" s="4" t="s">
        <v>527</v>
      </c>
      <c r="C67" s="4" t="s">
        <v>528</v>
      </c>
      <c r="D67" s="4" t="s">
        <v>529</v>
      </c>
      <c r="E67" s="4" t="s">
        <v>530</v>
      </c>
      <c r="O67" s="5" t="s">
        <v>531</v>
      </c>
      <c r="P67" s="5" t="s">
        <v>532</v>
      </c>
      <c r="Q67" s="5" t="s">
        <v>533</v>
      </c>
      <c r="R67" s="5" t="s">
        <v>534</v>
      </c>
    </row>
    <row r="68">
      <c r="A68" s="3">
        <v>67.0</v>
      </c>
      <c r="B68" s="4" t="s">
        <v>535</v>
      </c>
      <c r="C68" s="4" t="s">
        <v>536</v>
      </c>
      <c r="D68" s="4" t="s">
        <v>537</v>
      </c>
      <c r="E68" s="4" t="s">
        <v>538</v>
      </c>
      <c r="O68" s="5" t="s">
        <v>539</v>
      </c>
      <c r="P68" s="5" t="s">
        <v>540</v>
      </c>
      <c r="Q68" s="5" t="s">
        <v>541</v>
      </c>
      <c r="R68" s="5" t="s">
        <v>542</v>
      </c>
    </row>
    <row r="69">
      <c r="A69" s="3">
        <v>68.0</v>
      </c>
      <c r="B69" s="4" t="s">
        <v>543</v>
      </c>
      <c r="C69" s="4" t="s">
        <v>544</v>
      </c>
      <c r="D69" s="4" t="s">
        <v>545</v>
      </c>
      <c r="E69" s="4" t="s">
        <v>546</v>
      </c>
      <c r="O69" s="5" t="s">
        <v>547</v>
      </c>
      <c r="P69" s="5" t="s">
        <v>548</v>
      </c>
      <c r="Q69" s="5" t="s">
        <v>549</v>
      </c>
      <c r="R69" s="5" t="s">
        <v>550</v>
      </c>
    </row>
    <row r="70">
      <c r="A70" s="3">
        <v>69.0</v>
      </c>
      <c r="B70" s="4" t="s">
        <v>551</v>
      </c>
      <c r="C70" s="4" t="s">
        <v>552</v>
      </c>
      <c r="D70" s="4" t="s">
        <v>553</v>
      </c>
      <c r="E70" s="4" t="s">
        <v>554</v>
      </c>
      <c r="O70" s="5" t="s">
        <v>555</v>
      </c>
      <c r="P70" s="5" t="s">
        <v>556</v>
      </c>
      <c r="Q70" s="5" t="s">
        <v>557</v>
      </c>
      <c r="R70" s="5" t="s">
        <v>558</v>
      </c>
    </row>
    <row r="71">
      <c r="A71" s="3">
        <v>70.0</v>
      </c>
      <c r="B71" s="4" t="s">
        <v>559</v>
      </c>
      <c r="C71" s="4" t="s">
        <v>560</v>
      </c>
      <c r="D71" s="4" t="s">
        <v>561</v>
      </c>
      <c r="E71" s="4" t="s">
        <v>562</v>
      </c>
      <c r="O71" s="5" t="s">
        <v>563</v>
      </c>
      <c r="P71" s="5" t="s">
        <v>564</v>
      </c>
      <c r="Q71" s="5" t="s">
        <v>565</v>
      </c>
      <c r="R71" s="5" t="s">
        <v>566</v>
      </c>
    </row>
    <row r="72">
      <c r="A72" s="3">
        <v>71.0</v>
      </c>
      <c r="B72" s="4" t="s">
        <v>567</v>
      </c>
      <c r="C72" s="4" t="s">
        <v>568</v>
      </c>
      <c r="D72" s="4" t="s">
        <v>569</v>
      </c>
      <c r="E72" s="4" t="s">
        <v>570</v>
      </c>
      <c r="O72" s="5" t="s">
        <v>571</v>
      </c>
      <c r="P72" s="5" t="s">
        <v>572</v>
      </c>
      <c r="Q72" s="5" t="s">
        <v>573</v>
      </c>
      <c r="R72" s="5" t="s">
        <v>574</v>
      </c>
    </row>
    <row r="73">
      <c r="A73" s="3">
        <v>72.0</v>
      </c>
      <c r="B73" s="4" t="s">
        <v>575</v>
      </c>
      <c r="C73" s="4" t="s">
        <v>576</v>
      </c>
      <c r="D73" s="4" t="s">
        <v>577</v>
      </c>
      <c r="E73" s="4" t="s">
        <v>578</v>
      </c>
      <c r="O73" s="5" t="s">
        <v>579</v>
      </c>
      <c r="P73" s="5" t="s">
        <v>580</v>
      </c>
      <c r="Q73" s="5" t="s">
        <v>581</v>
      </c>
      <c r="R73" s="5" t="s">
        <v>582</v>
      </c>
    </row>
    <row r="74">
      <c r="A74" s="3">
        <v>73.0</v>
      </c>
      <c r="B74" s="4" t="s">
        <v>583</v>
      </c>
      <c r="C74" s="4" t="s">
        <v>584</v>
      </c>
      <c r="D74" s="4" t="s">
        <v>585</v>
      </c>
      <c r="E74" s="4" t="s">
        <v>586</v>
      </c>
      <c r="O74" s="5" t="s">
        <v>587</v>
      </c>
      <c r="P74" s="5" t="s">
        <v>588</v>
      </c>
      <c r="Q74" s="5" t="s">
        <v>589</v>
      </c>
      <c r="R74" s="5" t="s">
        <v>590</v>
      </c>
    </row>
    <row r="75">
      <c r="A75" s="3">
        <v>74.0</v>
      </c>
      <c r="B75" s="4" t="s">
        <v>591</v>
      </c>
      <c r="C75" s="4" t="s">
        <v>592</v>
      </c>
      <c r="D75" s="4" t="s">
        <v>593</v>
      </c>
      <c r="E75" s="4" t="s">
        <v>594</v>
      </c>
      <c r="O75" s="5" t="s">
        <v>595</v>
      </c>
      <c r="P75" s="5" t="s">
        <v>596</v>
      </c>
      <c r="Q75" s="5" t="s">
        <v>597</v>
      </c>
      <c r="R75" s="5" t="s">
        <v>598</v>
      </c>
    </row>
    <row r="76">
      <c r="A76" s="3">
        <v>75.0</v>
      </c>
      <c r="B76" s="4" t="s">
        <v>599</v>
      </c>
      <c r="C76" s="4" t="s">
        <v>600</v>
      </c>
      <c r="D76" s="4" t="s">
        <v>601</v>
      </c>
      <c r="E76" s="4" t="s">
        <v>602</v>
      </c>
      <c r="O76" s="5" t="s">
        <v>603</v>
      </c>
      <c r="P76" s="5" t="s">
        <v>604</v>
      </c>
      <c r="Q76" s="5" t="s">
        <v>605</v>
      </c>
      <c r="R76" s="5" t="s">
        <v>606</v>
      </c>
    </row>
    <row r="77">
      <c r="A77" s="3">
        <v>76.0</v>
      </c>
      <c r="B77" s="4" t="s">
        <v>575</v>
      </c>
      <c r="C77" s="4" t="s">
        <v>576</v>
      </c>
      <c r="D77" s="4" t="s">
        <v>577</v>
      </c>
      <c r="E77" s="4" t="s">
        <v>578</v>
      </c>
      <c r="O77" s="5" t="s">
        <v>579</v>
      </c>
      <c r="P77" s="5" t="s">
        <v>580</v>
      </c>
      <c r="Q77" s="5" t="s">
        <v>581</v>
      </c>
      <c r="R77" s="5" t="s">
        <v>582</v>
      </c>
    </row>
    <row r="78">
      <c r="A78" s="3">
        <v>77.0</v>
      </c>
      <c r="B78" s="4" t="s">
        <v>607</v>
      </c>
      <c r="C78" s="4" t="s">
        <v>608</v>
      </c>
      <c r="D78" s="4" t="s">
        <v>609</v>
      </c>
      <c r="E78" s="4" t="s">
        <v>610</v>
      </c>
      <c r="O78" s="5" t="s">
        <v>611</v>
      </c>
      <c r="P78" s="5" t="s">
        <v>612</v>
      </c>
      <c r="Q78" s="5" t="s">
        <v>613</v>
      </c>
      <c r="R78" s="5" t="s">
        <v>614</v>
      </c>
    </row>
    <row r="79">
      <c r="A79" s="3">
        <v>78.0</v>
      </c>
      <c r="B79" s="4" t="s">
        <v>615</v>
      </c>
      <c r="C79" s="4" t="s">
        <v>616</v>
      </c>
      <c r="D79" s="4" t="s">
        <v>617</v>
      </c>
      <c r="E79" s="4" t="s">
        <v>618</v>
      </c>
      <c r="O79" s="5" t="s">
        <v>619</v>
      </c>
      <c r="P79" s="5" t="s">
        <v>620</v>
      </c>
      <c r="Q79" s="5" t="s">
        <v>621</v>
      </c>
      <c r="R79" s="5" t="s">
        <v>622</v>
      </c>
    </row>
    <row r="80">
      <c r="A80" s="3">
        <v>79.0</v>
      </c>
      <c r="B80" s="4" t="s">
        <v>623</v>
      </c>
      <c r="C80" s="4" t="s">
        <v>624</v>
      </c>
      <c r="D80" s="4" t="s">
        <v>625</v>
      </c>
      <c r="E80" s="4" t="s">
        <v>626</v>
      </c>
      <c r="O80" s="5" t="s">
        <v>627</v>
      </c>
      <c r="P80" s="5" t="s">
        <v>628</v>
      </c>
      <c r="Q80" s="5" t="s">
        <v>629</v>
      </c>
      <c r="R80" s="5" t="s">
        <v>630</v>
      </c>
    </row>
    <row r="81">
      <c r="A81" s="3">
        <v>80.0</v>
      </c>
      <c r="B81" s="4" t="s">
        <v>631</v>
      </c>
      <c r="C81" s="4" t="s">
        <v>632</v>
      </c>
      <c r="D81" s="4" t="s">
        <v>633</v>
      </c>
      <c r="E81" s="4" t="s">
        <v>634</v>
      </c>
      <c r="O81" s="5" t="s">
        <v>635</v>
      </c>
      <c r="P81" s="5" t="s">
        <v>636</v>
      </c>
      <c r="Q81" s="5" t="s">
        <v>637</v>
      </c>
      <c r="R81" s="5" t="s">
        <v>638</v>
      </c>
    </row>
    <row r="82">
      <c r="A82" s="3">
        <v>81.0</v>
      </c>
      <c r="B82" s="4" t="s">
        <v>639</v>
      </c>
      <c r="C82" s="4" t="s">
        <v>640</v>
      </c>
      <c r="D82" s="4" t="s">
        <v>641</v>
      </c>
      <c r="E82" s="4" t="s">
        <v>642</v>
      </c>
      <c r="O82" s="5" t="s">
        <v>643</v>
      </c>
      <c r="P82" s="5" t="s">
        <v>644</v>
      </c>
      <c r="Q82" s="5" t="s">
        <v>645</v>
      </c>
      <c r="R82" s="5" t="s">
        <v>646</v>
      </c>
    </row>
    <row r="83">
      <c r="A83" s="3">
        <v>82.0</v>
      </c>
      <c r="B83" s="4" t="s">
        <v>647</v>
      </c>
      <c r="C83" s="4" t="s">
        <v>648</v>
      </c>
      <c r="D83" s="4" t="s">
        <v>649</v>
      </c>
      <c r="E83" s="4" t="s">
        <v>650</v>
      </c>
      <c r="O83" s="5" t="s">
        <v>651</v>
      </c>
      <c r="P83" s="5" t="s">
        <v>652</v>
      </c>
      <c r="Q83" s="5" t="s">
        <v>653</v>
      </c>
      <c r="R83" s="5" t="s">
        <v>654</v>
      </c>
    </row>
    <row r="84">
      <c r="A84" s="3">
        <v>83.0</v>
      </c>
      <c r="B84" s="4" t="s">
        <v>655</v>
      </c>
      <c r="C84" s="4" t="s">
        <v>656</v>
      </c>
      <c r="D84" s="4" t="s">
        <v>657</v>
      </c>
      <c r="E84" s="4" t="s">
        <v>658</v>
      </c>
      <c r="O84" s="5" t="s">
        <v>659</v>
      </c>
      <c r="P84" s="5" t="s">
        <v>660</v>
      </c>
      <c r="Q84" s="5" t="s">
        <v>661</v>
      </c>
      <c r="R84" s="5" t="s">
        <v>662</v>
      </c>
    </row>
    <row r="85">
      <c r="A85" s="3">
        <v>84.0</v>
      </c>
      <c r="B85" s="4" t="s">
        <v>663</v>
      </c>
      <c r="C85" s="4" t="s">
        <v>664</v>
      </c>
      <c r="D85" s="4" t="s">
        <v>665</v>
      </c>
      <c r="E85" s="4" t="s">
        <v>666</v>
      </c>
      <c r="O85" s="5" t="s">
        <v>667</v>
      </c>
      <c r="P85" s="5" t="s">
        <v>668</v>
      </c>
      <c r="Q85" s="5" t="s">
        <v>669</v>
      </c>
      <c r="R85" s="5" t="s">
        <v>670</v>
      </c>
    </row>
    <row r="86">
      <c r="A86" s="3">
        <v>85.0</v>
      </c>
      <c r="B86" s="4" t="s">
        <v>671</v>
      </c>
      <c r="C86" s="4" t="s">
        <v>672</v>
      </c>
      <c r="D86" s="4" t="s">
        <v>673</v>
      </c>
      <c r="E86" s="4" t="s">
        <v>674</v>
      </c>
      <c r="O86" s="5" t="s">
        <v>675</v>
      </c>
      <c r="P86" s="5" t="s">
        <v>676</v>
      </c>
      <c r="Q86" s="5" t="s">
        <v>677</v>
      </c>
      <c r="R86" s="5" t="s">
        <v>678</v>
      </c>
    </row>
    <row r="87">
      <c r="A87" s="3">
        <v>86.0</v>
      </c>
      <c r="B87" s="4" t="s">
        <v>679</v>
      </c>
      <c r="C87" s="4" t="s">
        <v>680</v>
      </c>
      <c r="D87" s="4" t="s">
        <v>681</v>
      </c>
      <c r="E87" s="4" t="s">
        <v>682</v>
      </c>
      <c r="O87" s="5" t="s">
        <v>683</v>
      </c>
      <c r="P87" s="5" t="s">
        <v>684</v>
      </c>
      <c r="Q87" s="5" t="s">
        <v>685</v>
      </c>
      <c r="R87" s="5" t="s">
        <v>686</v>
      </c>
    </row>
    <row r="88">
      <c r="A88" s="3">
        <v>87.0</v>
      </c>
      <c r="B88" s="4" t="s">
        <v>687</v>
      </c>
      <c r="C88" s="4" t="s">
        <v>688</v>
      </c>
      <c r="D88" s="4" t="s">
        <v>689</v>
      </c>
      <c r="E88" s="4" t="s">
        <v>690</v>
      </c>
      <c r="O88" s="5" t="s">
        <v>691</v>
      </c>
      <c r="P88" s="5" t="s">
        <v>692</v>
      </c>
      <c r="Q88" s="5" t="s">
        <v>693</v>
      </c>
      <c r="R88" s="5" t="s">
        <v>694</v>
      </c>
    </row>
    <row r="89">
      <c r="A89" s="3">
        <v>88.0</v>
      </c>
      <c r="B89" s="4" t="s">
        <v>695</v>
      </c>
      <c r="C89" s="4" t="s">
        <v>696</v>
      </c>
      <c r="D89" s="4" t="s">
        <v>697</v>
      </c>
      <c r="E89" s="4" t="s">
        <v>698</v>
      </c>
      <c r="O89" s="5" t="s">
        <v>699</v>
      </c>
      <c r="P89" s="5" t="s">
        <v>700</v>
      </c>
      <c r="Q89" s="5" t="s">
        <v>701</v>
      </c>
      <c r="R89" s="5" t="s">
        <v>702</v>
      </c>
    </row>
    <row r="90">
      <c r="A90" s="3">
        <v>89.0</v>
      </c>
      <c r="B90" s="4" t="s">
        <v>703</v>
      </c>
      <c r="C90" s="4" t="s">
        <v>704</v>
      </c>
      <c r="D90" s="4" t="s">
        <v>705</v>
      </c>
      <c r="E90" s="4" t="s">
        <v>706</v>
      </c>
      <c r="O90" s="5" t="s">
        <v>707</v>
      </c>
      <c r="P90" s="5" t="s">
        <v>708</v>
      </c>
      <c r="Q90" s="5" t="s">
        <v>709</v>
      </c>
      <c r="R90" s="5" t="s">
        <v>710</v>
      </c>
    </row>
    <row r="91">
      <c r="A91" s="3">
        <v>90.0</v>
      </c>
      <c r="B91" s="4" t="s">
        <v>711</v>
      </c>
      <c r="C91" s="4" t="s">
        <v>712</v>
      </c>
      <c r="D91" s="4" t="s">
        <v>713</v>
      </c>
      <c r="E91" s="4" t="s">
        <v>714</v>
      </c>
      <c r="O91" s="5" t="s">
        <v>715</v>
      </c>
      <c r="P91" s="5" t="s">
        <v>716</v>
      </c>
      <c r="Q91" s="5" t="s">
        <v>717</v>
      </c>
      <c r="R91" s="5" t="s">
        <v>718</v>
      </c>
    </row>
    <row r="92">
      <c r="A92" s="3">
        <v>91.0</v>
      </c>
      <c r="B92" s="4" t="s">
        <v>719</v>
      </c>
      <c r="C92" s="4" t="s">
        <v>720</v>
      </c>
      <c r="D92" s="4" t="s">
        <v>721</v>
      </c>
      <c r="E92" s="4" t="s">
        <v>722</v>
      </c>
      <c r="O92" s="5" t="s">
        <v>723</v>
      </c>
      <c r="P92" s="5" t="s">
        <v>724</v>
      </c>
      <c r="Q92" s="5" t="s">
        <v>725</v>
      </c>
      <c r="R92" s="5" t="s">
        <v>726</v>
      </c>
    </row>
    <row r="93">
      <c r="A93" s="3">
        <v>92.0</v>
      </c>
      <c r="B93" s="4" t="s">
        <v>727</v>
      </c>
      <c r="C93" s="4" t="s">
        <v>728</v>
      </c>
      <c r="D93" s="4" t="s">
        <v>729</v>
      </c>
      <c r="E93" s="4" t="s">
        <v>730</v>
      </c>
      <c r="O93" s="5" t="s">
        <v>731</v>
      </c>
      <c r="P93" s="5" t="s">
        <v>732</v>
      </c>
      <c r="Q93" s="5" t="s">
        <v>733</v>
      </c>
      <c r="R93" s="5" t="s">
        <v>734</v>
      </c>
    </row>
    <row r="94">
      <c r="A94" s="3">
        <v>93.0</v>
      </c>
      <c r="B94" s="4" t="s">
        <v>735</v>
      </c>
      <c r="C94" s="4" t="s">
        <v>736</v>
      </c>
      <c r="D94" s="4" t="s">
        <v>737</v>
      </c>
      <c r="E94" s="4" t="s">
        <v>738</v>
      </c>
      <c r="O94" s="5" t="s">
        <v>739</v>
      </c>
      <c r="P94" s="5" t="s">
        <v>740</v>
      </c>
      <c r="Q94" s="5" t="s">
        <v>741</v>
      </c>
      <c r="R94" s="5" t="s">
        <v>742</v>
      </c>
    </row>
    <row r="95">
      <c r="A95" s="3">
        <v>94.0</v>
      </c>
      <c r="B95" s="4" t="s">
        <v>743</v>
      </c>
      <c r="C95" s="4" t="s">
        <v>744</v>
      </c>
      <c r="D95" s="4" t="s">
        <v>745</v>
      </c>
      <c r="E95" s="4" t="s">
        <v>746</v>
      </c>
      <c r="O95" s="5" t="s">
        <v>747</v>
      </c>
      <c r="P95" s="5" t="s">
        <v>748</v>
      </c>
      <c r="Q95" s="5" t="s">
        <v>749</v>
      </c>
      <c r="R95" s="5" t="s">
        <v>750</v>
      </c>
    </row>
    <row r="96">
      <c r="A96" s="3">
        <v>95.0</v>
      </c>
      <c r="B96" s="4" t="s">
        <v>751</v>
      </c>
      <c r="C96" s="4" t="s">
        <v>752</v>
      </c>
      <c r="D96" s="4" t="s">
        <v>753</v>
      </c>
      <c r="E96" s="4" t="s">
        <v>754</v>
      </c>
      <c r="O96" s="5" t="s">
        <v>755</v>
      </c>
      <c r="P96" s="5" t="s">
        <v>756</v>
      </c>
      <c r="Q96" s="5" t="s">
        <v>757</v>
      </c>
      <c r="R96" s="5" t="s">
        <v>758</v>
      </c>
    </row>
    <row r="97">
      <c r="A97" s="3">
        <v>96.0</v>
      </c>
      <c r="B97" s="4" t="s">
        <v>759</v>
      </c>
      <c r="C97" s="4" t="s">
        <v>760</v>
      </c>
      <c r="D97" s="4" t="s">
        <v>761</v>
      </c>
      <c r="E97" s="4" t="s">
        <v>762</v>
      </c>
      <c r="O97" s="5" t="s">
        <v>763</v>
      </c>
      <c r="P97" s="5" t="s">
        <v>764</v>
      </c>
      <c r="Q97" s="5" t="s">
        <v>765</v>
      </c>
      <c r="R97" s="5" t="s">
        <v>766</v>
      </c>
    </row>
    <row r="98">
      <c r="A98" s="3">
        <v>97.0</v>
      </c>
      <c r="B98" s="4" t="s">
        <v>767</v>
      </c>
      <c r="C98" s="4" t="s">
        <v>768</v>
      </c>
      <c r="D98" s="4" t="s">
        <v>769</v>
      </c>
      <c r="E98" s="4" t="s">
        <v>770</v>
      </c>
      <c r="O98" s="5" t="s">
        <v>771</v>
      </c>
      <c r="P98" s="5" t="s">
        <v>772</v>
      </c>
      <c r="Q98" s="5" t="s">
        <v>773</v>
      </c>
      <c r="R98" s="5" t="s">
        <v>774</v>
      </c>
    </row>
    <row r="99">
      <c r="A99" s="3">
        <v>98.0</v>
      </c>
      <c r="B99" s="4" t="s">
        <v>775</v>
      </c>
      <c r="C99" s="4" t="s">
        <v>776</v>
      </c>
      <c r="D99" s="4" t="s">
        <v>777</v>
      </c>
      <c r="E99" s="4" t="s">
        <v>778</v>
      </c>
      <c r="O99" s="5" t="s">
        <v>779</v>
      </c>
      <c r="P99" s="5" t="s">
        <v>780</v>
      </c>
      <c r="Q99" s="5" t="s">
        <v>781</v>
      </c>
      <c r="R99" s="5" t="s">
        <v>782</v>
      </c>
    </row>
    <row r="100">
      <c r="A100" s="3">
        <v>99.0</v>
      </c>
      <c r="B100" s="4" t="s">
        <v>783</v>
      </c>
      <c r="C100" s="4" t="s">
        <v>784</v>
      </c>
      <c r="D100" s="4" t="s">
        <v>785</v>
      </c>
      <c r="E100" s="4" t="s">
        <v>786</v>
      </c>
      <c r="O100" s="5" t="s">
        <v>787</v>
      </c>
      <c r="P100" s="5" t="s">
        <v>788</v>
      </c>
      <c r="Q100" s="5" t="s">
        <v>789</v>
      </c>
      <c r="R100" s="5" t="s">
        <v>790</v>
      </c>
    </row>
    <row r="101">
      <c r="A101" s="3">
        <v>100.0</v>
      </c>
      <c r="B101" s="4" t="s">
        <v>791</v>
      </c>
      <c r="C101" s="4" t="s">
        <v>792</v>
      </c>
      <c r="D101" s="4" t="s">
        <v>793</v>
      </c>
      <c r="E101" s="4" t="s">
        <v>794</v>
      </c>
      <c r="O101" s="5" t="s">
        <v>795</v>
      </c>
      <c r="P101" s="5" t="s">
        <v>796</v>
      </c>
      <c r="Q101" s="5" t="s">
        <v>797</v>
      </c>
      <c r="R101" s="5" t="s">
        <v>798</v>
      </c>
    </row>
    <row r="102">
      <c r="A102" s="3">
        <v>101.0</v>
      </c>
      <c r="B102" s="4" t="s">
        <v>799</v>
      </c>
      <c r="C102" s="4" t="s">
        <v>800</v>
      </c>
      <c r="D102" s="4" t="s">
        <v>801</v>
      </c>
      <c r="E102" s="4" t="s">
        <v>802</v>
      </c>
      <c r="O102" s="5" t="s">
        <v>803</v>
      </c>
      <c r="P102" s="5" t="s">
        <v>804</v>
      </c>
      <c r="Q102" s="5" t="s">
        <v>805</v>
      </c>
      <c r="R102" s="5" t="s">
        <v>806</v>
      </c>
    </row>
    <row r="103">
      <c r="A103" s="3">
        <v>102.0</v>
      </c>
      <c r="B103" s="4" t="s">
        <v>807</v>
      </c>
      <c r="C103" s="4" t="s">
        <v>808</v>
      </c>
      <c r="D103" s="4" t="s">
        <v>809</v>
      </c>
      <c r="E103" s="4" t="s">
        <v>810</v>
      </c>
      <c r="O103" s="5" t="s">
        <v>811</v>
      </c>
      <c r="P103" s="5" t="s">
        <v>812</v>
      </c>
      <c r="Q103" s="5" t="s">
        <v>813</v>
      </c>
      <c r="R103" s="5" t="s">
        <v>814</v>
      </c>
    </row>
    <row r="104">
      <c r="A104" s="3">
        <v>103.0</v>
      </c>
      <c r="B104" s="4" t="s">
        <v>815</v>
      </c>
      <c r="C104" s="4" t="s">
        <v>816</v>
      </c>
      <c r="D104" s="4" t="s">
        <v>817</v>
      </c>
      <c r="E104" s="4" t="s">
        <v>818</v>
      </c>
      <c r="O104" s="5" t="s">
        <v>819</v>
      </c>
      <c r="P104" s="5" t="s">
        <v>820</v>
      </c>
      <c r="Q104" s="5" t="s">
        <v>821</v>
      </c>
      <c r="R104" s="5" t="s">
        <v>822</v>
      </c>
    </row>
    <row r="105">
      <c r="A105" s="3">
        <v>104.0</v>
      </c>
      <c r="B105" s="4" t="s">
        <v>823</v>
      </c>
      <c r="C105" s="4" t="s">
        <v>824</v>
      </c>
      <c r="D105" s="4" t="s">
        <v>825</v>
      </c>
      <c r="E105" s="4" t="s">
        <v>826</v>
      </c>
      <c r="O105" s="5" t="s">
        <v>827</v>
      </c>
      <c r="P105" s="5" t="s">
        <v>828</v>
      </c>
      <c r="Q105" s="5" t="s">
        <v>829</v>
      </c>
      <c r="R105" s="5" t="s">
        <v>830</v>
      </c>
    </row>
    <row r="106">
      <c r="A106" s="3">
        <v>105.0</v>
      </c>
      <c r="B106" s="4" t="s">
        <v>831</v>
      </c>
      <c r="C106" s="4" t="s">
        <v>832</v>
      </c>
      <c r="D106" s="4" t="s">
        <v>833</v>
      </c>
      <c r="E106" s="4" t="s">
        <v>834</v>
      </c>
      <c r="O106" s="5" t="s">
        <v>835</v>
      </c>
      <c r="P106" s="5" t="s">
        <v>836</v>
      </c>
      <c r="Q106" s="5" t="s">
        <v>837</v>
      </c>
      <c r="R106" s="5" t="s">
        <v>838</v>
      </c>
    </row>
    <row r="107">
      <c r="A107" s="3">
        <v>106.0</v>
      </c>
      <c r="B107" s="4" t="s">
        <v>839</v>
      </c>
      <c r="C107" s="4" t="s">
        <v>840</v>
      </c>
      <c r="D107" s="4" t="s">
        <v>841</v>
      </c>
      <c r="E107" s="4" t="s">
        <v>842</v>
      </c>
      <c r="O107" s="5" t="s">
        <v>843</v>
      </c>
      <c r="P107" s="5" t="s">
        <v>844</v>
      </c>
      <c r="Q107" s="5" t="s">
        <v>845</v>
      </c>
      <c r="R107" s="5" t="s">
        <v>846</v>
      </c>
    </row>
    <row r="108">
      <c r="A108" s="3">
        <v>107.0</v>
      </c>
      <c r="B108" s="4" t="s">
        <v>847</v>
      </c>
      <c r="C108" s="4" t="s">
        <v>848</v>
      </c>
      <c r="D108" s="4" t="s">
        <v>849</v>
      </c>
      <c r="E108" s="4" t="s">
        <v>850</v>
      </c>
      <c r="O108" s="5" t="s">
        <v>851</v>
      </c>
      <c r="P108" s="5" t="s">
        <v>852</v>
      </c>
      <c r="Q108" s="5" t="s">
        <v>853</v>
      </c>
      <c r="R108" s="5" t="s">
        <v>854</v>
      </c>
    </row>
    <row r="109">
      <c r="A109" s="3">
        <v>108.0</v>
      </c>
      <c r="B109" s="4" t="s">
        <v>855</v>
      </c>
      <c r="C109" s="4" t="s">
        <v>856</v>
      </c>
      <c r="D109" s="4" t="s">
        <v>857</v>
      </c>
      <c r="E109" s="4" t="s">
        <v>858</v>
      </c>
      <c r="O109" s="5" t="s">
        <v>859</v>
      </c>
      <c r="P109" s="5" t="s">
        <v>860</v>
      </c>
      <c r="Q109" s="5" t="s">
        <v>861</v>
      </c>
      <c r="R109" s="5" t="s">
        <v>862</v>
      </c>
    </row>
    <row r="110">
      <c r="A110" s="3">
        <v>109.0</v>
      </c>
      <c r="B110" s="4" t="s">
        <v>863</v>
      </c>
      <c r="C110" s="4" t="s">
        <v>864</v>
      </c>
      <c r="D110" s="4" t="s">
        <v>865</v>
      </c>
      <c r="E110" s="4" t="s">
        <v>866</v>
      </c>
      <c r="O110" s="5" t="s">
        <v>867</v>
      </c>
      <c r="P110" s="5" t="s">
        <v>868</v>
      </c>
      <c r="Q110" s="5" t="s">
        <v>869</v>
      </c>
      <c r="R110" s="5" t="s">
        <v>870</v>
      </c>
    </row>
    <row r="111">
      <c r="A111" s="3">
        <v>110.0</v>
      </c>
      <c r="B111" s="4" t="s">
        <v>871</v>
      </c>
      <c r="C111" s="4" t="s">
        <v>872</v>
      </c>
      <c r="D111" s="4" t="s">
        <v>873</v>
      </c>
      <c r="E111" s="4" t="s">
        <v>874</v>
      </c>
      <c r="O111" s="5" t="s">
        <v>875</v>
      </c>
      <c r="P111" s="5" t="s">
        <v>876</v>
      </c>
      <c r="Q111" s="5" t="s">
        <v>877</v>
      </c>
      <c r="R111" s="5" t="s">
        <v>878</v>
      </c>
    </row>
    <row r="112">
      <c r="A112" s="3">
        <v>111.0</v>
      </c>
      <c r="B112" s="4" t="s">
        <v>879</v>
      </c>
      <c r="C112" s="4" t="s">
        <v>880</v>
      </c>
      <c r="D112" s="4" t="s">
        <v>881</v>
      </c>
      <c r="E112" s="4" t="s">
        <v>882</v>
      </c>
      <c r="O112" s="5" t="s">
        <v>883</v>
      </c>
      <c r="P112" s="5" t="s">
        <v>884</v>
      </c>
      <c r="Q112" s="5" t="s">
        <v>885</v>
      </c>
      <c r="R112" s="5" t="s">
        <v>886</v>
      </c>
    </row>
    <row r="113">
      <c r="A113" s="3">
        <v>112.0</v>
      </c>
      <c r="B113" s="4" t="s">
        <v>887</v>
      </c>
      <c r="C113" s="4" t="s">
        <v>888</v>
      </c>
      <c r="D113" s="4" t="s">
        <v>889</v>
      </c>
      <c r="E113" s="4" t="s">
        <v>890</v>
      </c>
      <c r="O113" s="5" t="s">
        <v>891</v>
      </c>
      <c r="P113" s="5" t="s">
        <v>892</v>
      </c>
      <c r="Q113" s="5" t="s">
        <v>893</v>
      </c>
      <c r="R113" s="5" t="s">
        <v>894</v>
      </c>
    </row>
    <row r="114">
      <c r="A114" s="3">
        <v>113.0</v>
      </c>
      <c r="B114" s="4" t="s">
        <v>895</v>
      </c>
      <c r="C114" s="4" t="s">
        <v>896</v>
      </c>
      <c r="D114" s="4" t="s">
        <v>897</v>
      </c>
      <c r="E114" s="4" t="s">
        <v>898</v>
      </c>
      <c r="O114" s="5" t="s">
        <v>899</v>
      </c>
      <c r="P114" s="5" t="s">
        <v>900</v>
      </c>
      <c r="Q114" s="5" t="s">
        <v>901</v>
      </c>
      <c r="R114" s="5" t="s">
        <v>902</v>
      </c>
    </row>
    <row r="115">
      <c r="A115" s="3">
        <v>114.0</v>
      </c>
      <c r="B115" s="4" t="s">
        <v>903</v>
      </c>
      <c r="C115" s="4" t="s">
        <v>904</v>
      </c>
      <c r="D115" s="4" t="s">
        <v>905</v>
      </c>
      <c r="E115" s="4" t="s">
        <v>906</v>
      </c>
      <c r="O115" s="5" t="s">
        <v>907</v>
      </c>
      <c r="P115" s="5" t="s">
        <v>908</v>
      </c>
      <c r="Q115" s="5" t="s">
        <v>909</v>
      </c>
      <c r="R115" s="5" t="s">
        <v>910</v>
      </c>
    </row>
    <row r="116">
      <c r="A116" s="3">
        <v>115.0</v>
      </c>
      <c r="B116" s="4" t="s">
        <v>911</v>
      </c>
      <c r="C116" s="4" t="s">
        <v>912</v>
      </c>
      <c r="D116" s="4" t="s">
        <v>913</v>
      </c>
      <c r="E116" s="4" t="s">
        <v>914</v>
      </c>
      <c r="O116" s="5" t="s">
        <v>915</v>
      </c>
      <c r="P116" s="5" t="s">
        <v>916</v>
      </c>
      <c r="Q116" s="5" t="s">
        <v>917</v>
      </c>
      <c r="R116" s="5" t="s">
        <v>918</v>
      </c>
    </row>
    <row r="117">
      <c r="A117" s="3">
        <v>116.0</v>
      </c>
      <c r="B117" s="4" t="s">
        <v>919</v>
      </c>
      <c r="C117" s="4" t="s">
        <v>920</v>
      </c>
      <c r="D117" s="4" t="s">
        <v>921</v>
      </c>
      <c r="E117" s="4" t="s">
        <v>922</v>
      </c>
      <c r="O117" s="5" t="s">
        <v>923</v>
      </c>
      <c r="P117" s="5" t="s">
        <v>924</v>
      </c>
      <c r="Q117" s="5" t="s">
        <v>925</v>
      </c>
      <c r="R117" s="5" t="s">
        <v>926</v>
      </c>
    </row>
    <row r="118">
      <c r="A118" s="3">
        <v>117.0</v>
      </c>
      <c r="B118" s="4" t="s">
        <v>927</v>
      </c>
      <c r="C118" s="4" t="s">
        <v>928</v>
      </c>
      <c r="D118" s="4" t="s">
        <v>929</v>
      </c>
      <c r="E118" s="4" t="s">
        <v>930</v>
      </c>
      <c r="O118" s="5" t="s">
        <v>931</v>
      </c>
      <c r="P118" s="5" t="s">
        <v>932</v>
      </c>
      <c r="Q118" s="5" t="s">
        <v>933</v>
      </c>
      <c r="R118" s="5" t="s">
        <v>934</v>
      </c>
    </row>
    <row r="119">
      <c r="A119" s="3">
        <v>118.0</v>
      </c>
      <c r="B119" s="4" t="s">
        <v>935</v>
      </c>
      <c r="C119" s="4" t="s">
        <v>936</v>
      </c>
      <c r="D119" s="4" t="s">
        <v>937</v>
      </c>
      <c r="E119" s="4" t="s">
        <v>938</v>
      </c>
      <c r="O119" s="5" t="s">
        <v>939</v>
      </c>
      <c r="P119" s="5" t="s">
        <v>940</v>
      </c>
      <c r="Q119" s="5" t="s">
        <v>941</v>
      </c>
      <c r="R119" s="5" t="s">
        <v>942</v>
      </c>
    </row>
    <row r="120">
      <c r="A120" s="3">
        <v>119.0</v>
      </c>
      <c r="B120" s="4" t="s">
        <v>943</v>
      </c>
      <c r="C120" s="4" t="s">
        <v>944</v>
      </c>
      <c r="D120" s="4" t="s">
        <v>945</v>
      </c>
      <c r="E120" s="4" t="s">
        <v>946</v>
      </c>
      <c r="O120" s="5" t="s">
        <v>947</v>
      </c>
      <c r="P120" s="5" t="s">
        <v>948</v>
      </c>
      <c r="Q120" s="5" t="s">
        <v>949</v>
      </c>
      <c r="R120" s="5" t="s">
        <v>950</v>
      </c>
    </row>
    <row r="121">
      <c r="A121" s="3">
        <v>120.0</v>
      </c>
      <c r="B121" s="4" t="s">
        <v>951</v>
      </c>
      <c r="C121" s="4" t="s">
        <v>952</v>
      </c>
      <c r="D121" s="4" t="s">
        <v>953</v>
      </c>
      <c r="E121" s="4" t="s">
        <v>954</v>
      </c>
      <c r="O121" s="5" t="s">
        <v>955</v>
      </c>
      <c r="P121" s="5" t="s">
        <v>956</v>
      </c>
      <c r="Q121" s="5" t="s">
        <v>957</v>
      </c>
      <c r="R121" s="5" t="s">
        <v>958</v>
      </c>
    </row>
    <row r="122">
      <c r="A122" s="3">
        <v>121.0</v>
      </c>
      <c r="B122" s="4" t="s">
        <v>959</v>
      </c>
      <c r="C122" s="4" t="s">
        <v>960</v>
      </c>
      <c r="D122" s="4" t="s">
        <v>961</v>
      </c>
      <c r="E122" s="4" t="s">
        <v>962</v>
      </c>
      <c r="O122" s="5" t="s">
        <v>963</v>
      </c>
      <c r="P122" s="5" t="s">
        <v>964</v>
      </c>
      <c r="Q122" s="5" t="s">
        <v>965</v>
      </c>
      <c r="R122" s="5" t="s">
        <v>966</v>
      </c>
    </row>
  </sheetData>
  <dataValidations>
    <dataValidation type="custom" allowBlank="1" showDropDown="1" sqref="A2:A122">
      <formula1>AND(ISNUMBER(A2),(NOT(OR(NOT(ISERROR(DATEVALUE(A2))), AND(ISNUMBER(A2), LEFT(CELL("format", A2))="D")))))</formula1>
    </dataValidation>
  </dataValidation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967</v>
      </c>
      <c r="B1" s="7" t="s">
        <v>5</v>
      </c>
      <c r="C1" s="7" t="s">
        <v>6</v>
      </c>
      <c r="D1" s="7" t="s">
        <v>7</v>
      </c>
      <c r="E1" s="8" t="s">
        <v>968</v>
      </c>
      <c r="F1" s="9"/>
      <c r="G1" s="6" t="s">
        <v>967</v>
      </c>
      <c r="H1" s="10" t="s">
        <v>969</v>
      </c>
      <c r="I1" s="11" t="s">
        <v>970</v>
      </c>
      <c r="J1" s="11" t="s">
        <v>971</v>
      </c>
      <c r="K1" s="8" t="s">
        <v>968</v>
      </c>
      <c r="L1" s="9"/>
      <c r="M1" s="9"/>
      <c r="N1" s="9"/>
      <c r="O1" s="9"/>
      <c r="P1" s="9"/>
      <c r="Q1" s="9"/>
      <c r="R1" s="9"/>
      <c r="S1" s="9"/>
      <c r="T1" s="9"/>
      <c r="U1" s="9"/>
      <c r="V1" s="9"/>
      <c r="W1" s="9"/>
      <c r="X1" s="9"/>
      <c r="Y1" s="9"/>
      <c r="Z1" s="9"/>
      <c r="AA1" s="9"/>
      <c r="AB1" s="9"/>
      <c r="AC1" s="9"/>
      <c r="AD1" s="9"/>
      <c r="AE1" s="9"/>
      <c r="AF1" s="9"/>
    </row>
    <row r="2">
      <c r="A2" s="12">
        <v>1.0</v>
      </c>
      <c r="B2" s="13" t="s">
        <v>972</v>
      </c>
      <c r="C2" s="13" t="s">
        <v>973</v>
      </c>
      <c r="D2" s="13" t="s">
        <v>974</v>
      </c>
      <c r="E2" s="14" t="s">
        <v>975</v>
      </c>
      <c r="F2" s="9"/>
      <c r="G2" s="12">
        <v>1.0</v>
      </c>
      <c r="H2" s="9" t="str">
        <f>IFERROR(__xludf.DUMMYFUNCTION("GOOGLETRANSLATE(B2,""ar"",""en"")"),"During a match, you notice that your opponent is tired. What do you do?")</f>
        <v>During a match, you notice that your opponent is tired. What do you do?</v>
      </c>
      <c r="I2" s="9" t="str">
        <f>IFERROR(__xludf.DUMMYFUNCTION("GOOGLETRANSLATE(B2,""ar"",""en"")"),"During a match, you notice that your opponent is tired. What do you do?")</f>
        <v>During a match, you notice that your opponent is tired. What do you do?</v>
      </c>
      <c r="J2" s="9" t="str">
        <f>IFERROR(__xludf.DUMMYFUNCTION("GOOGLETRANSLATE(D2,""ar"",""en"")"),"a) Increased blood pressure")</f>
        <v>a) Increased blood pressure</v>
      </c>
      <c r="K2" s="9" t="str">
        <f>IFERROR(__xludf.DUMMYFUNCTION("GOOGLETRANSLATE(E2,""ar"",""en"")"),"Taking advantage of the opponent's fatigue can lead to victory.")</f>
        <v>Taking advantage of the opponent's fatigue can lead to victory.</v>
      </c>
      <c r="L2" s="9"/>
      <c r="M2" s="9"/>
      <c r="N2" s="9"/>
      <c r="O2" s="9"/>
      <c r="P2" s="9"/>
      <c r="Q2" s="9"/>
      <c r="R2" s="9"/>
      <c r="S2" s="9"/>
      <c r="T2" s="9"/>
      <c r="U2" s="9"/>
      <c r="V2" s="9"/>
      <c r="W2" s="9"/>
      <c r="X2" s="9"/>
      <c r="Y2" s="9"/>
      <c r="Z2" s="9"/>
      <c r="AA2" s="9"/>
      <c r="AB2" s="9"/>
      <c r="AC2" s="9"/>
      <c r="AD2" s="9"/>
      <c r="AE2" s="9"/>
      <c r="AF2" s="9"/>
    </row>
    <row r="3">
      <c r="A3" s="15">
        <v>2.0</v>
      </c>
      <c r="B3" s="16" t="s">
        <v>976</v>
      </c>
      <c r="C3" s="16" t="s">
        <v>977</v>
      </c>
      <c r="D3" s="16" t="s">
        <v>978</v>
      </c>
      <c r="E3" s="17" t="s">
        <v>979</v>
      </c>
      <c r="F3" s="9"/>
      <c r="G3" s="15">
        <v>2.0</v>
      </c>
      <c r="H3" s="9" t="str">
        <f>IFERROR(__xludf.DUMMYFUNCTION("GOOGLETRANSLATE(B3,""ar"",""en"")"),"The coach asked you to lead the warm-up before the match. What do you do?")</f>
        <v>The coach asked you to lead the warm-up before the match. What do you do?</v>
      </c>
      <c r="I3" s="9" t="str">
        <f>IFERROR(__xludf.DUMMYFUNCTION("GOOGLETRANSLATE(B3,""ar"",""en"")"),"The coach asked you to lead the warm-up before the match. What do you do?")</f>
        <v>The coach asked you to lead the warm-up before the match. What do you do?</v>
      </c>
      <c r="J3" s="9" t="str">
        <f>IFERROR(__xludf.DUMMYFUNCTION("GOOGLETRANSLATE(D3,""ar"",""en"")"),"a) Leading with enthusiasm")</f>
        <v>a) Leading with enthusiasm</v>
      </c>
      <c r="K3" s="9" t="str">
        <f>IFERROR(__xludf.DUMMYFUNCTION("GOOGLETRANSLATE(E3,""ar"",""en"")"),"Leading the team demonstrates your commitment and inspires your colleagues.")</f>
        <v>Leading the team demonstrates your commitment and inspires your colleagues.</v>
      </c>
      <c r="L3" s="9"/>
      <c r="M3" s="9"/>
      <c r="N3" s="9"/>
      <c r="O3" s="9"/>
      <c r="P3" s="9"/>
      <c r="Q3" s="9"/>
      <c r="R3" s="9"/>
      <c r="S3" s="9"/>
      <c r="T3" s="9"/>
      <c r="U3" s="9"/>
      <c r="V3" s="9"/>
      <c r="W3" s="9"/>
      <c r="X3" s="9"/>
      <c r="Y3" s="9"/>
      <c r="Z3" s="9"/>
      <c r="AA3" s="9"/>
      <c r="AB3" s="9"/>
      <c r="AC3" s="9"/>
      <c r="AD3" s="9"/>
      <c r="AE3" s="9"/>
      <c r="AF3" s="9"/>
    </row>
    <row r="4">
      <c r="A4" s="12">
        <v>3.0</v>
      </c>
      <c r="B4" s="13" t="s">
        <v>980</v>
      </c>
      <c r="C4" s="13" t="s">
        <v>981</v>
      </c>
      <c r="D4" s="13" t="s">
        <v>982</v>
      </c>
      <c r="E4" s="14" t="s">
        <v>983</v>
      </c>
      <c r="F4" s="9"/>
      <c r="G4" s="12">
        <v>3.0</v>
      </c>
      <c r="H4" s="9" t="str">
        <f>IFERROR(__xludf.DUMMYFUNCTION("GOOGLETRANSLATE(B4,""ar"",""en"")"),"During training, you notice that you are making mistakes in technique. What do you do?")</f>
        <v>During training, you notice that you are making mistakes in technique. What do you do?</v>
      </c>
      <c r="I4" s="9" t="str">
        <f>IFERROR(__xludf.DUMMYFUNCTION("GOOGLETRANSLATE(B4,""ar"",""en"")"),"During training, you notice that you are making mistakes in technique. What do you do?")</f>
        <v>During training, you notice that you are making mistakes in technique. What do you do?</v>
      </c>
      <c r="J4" s="9" t="str">
        <f>IFERROR(__xludf.DUMMYFUNCTION("GOOGLETRANSLATE(D4,""ar"",""en"")"),"a) More training")</f>
        <v>a) More training</v>
      </c>
      <c r="K4" s="9" t="str">
        <f>IFERROR(__xludf.DUMMYFUNCTION("GOOGLETRANSLATE(E4,""ar"",""en"")"),"Working on the basics improves your performance.")</f>
        <v>Working on the basics improves your performance.</v>
      </c>
      <c r="L4" s="9"/>
      <c r="M4" s="9"/>
      <c r="N4" s="9"/>
      <c r="O4" s="9"/>
      <c r="P4" s="9"/>
      <c r="Q4" s="9"/>
      <c r="R4" s="9"/>
      <c r="S4" s="9"/>
      <c r="T4" s="9"/>
      <c r="U4" s="9"/>
      <c r="V4" s="9"/>
      <c r="W4" s="9"/>
      <c r="X4" s="9"/>
      <c r="Y4" s="9"/>
      <c r="Z4" s="9"/>
      <c r="AA4" s="9"/>
      <c r="AB4" s="9"/>
      <c r="AC4" s="9"/>
      <c r="AD4" s="9"/>
      <c r="AE4" s="9"/>
      <c r="AF4" s="9"/>
    </row>
    <row r="5">
      <c r="A5" s="15">
        <v>4.0</v>
      </c>
      <c r="B5" s="16" t="s">
        <v>984</v>
      </c>
      <c r="C5" s="16" t="s">
        <v>985</v>
      </c>
      <c r="D5" s="16" t="s">
        <v>986</v>
      </c>
      <c r="E5" s="17" t="s">
        <v>987</v>
      </c>
      <c r="F5" s="9"/>
      <c r="G5" s="15">
        <v>4.0</v>
      </c>
      <c r="H5" s="9" t="str">
        <f>IFERROR(__xludf.DUMMYFUNCTION("GOOGLETRANSLATE(B5,""ar"",""en"")"),"Your teammate isn't following his assigned role during the game. What do you do?")</f>
        <v>Your teammate isn't following his assigned role during the game. What do you do?</v>
      </c>
      <c r="I5" s="9" t="str">
        <f>IFERROR(__xludf.DUMMYFUNCTION("GOOGLETRANSLATE(B5,""ar"",""en"")"),"Your teammate isn't following his assigned role during the game. What do you do?")</f>
        <v>Your teammate isn't following his assigned role during the game. What do you do?</v>
      </c>
      <c r="J5" s="9" t="str">
        <f>IFERROR(__xludf.DUMMYFUNCTION("GOOGLETRANSLATE(D5,""ar"",""en"")"),"a) Guide him patiently")</f>
        <v>a) Guide him patiently</v>
      </c>
      <c r="K5" s="9" t="str">
        <f>IFERROR(__xludf.DUMMYFUNCTION("GOOGLETRANSLATE(E5,""ar"",""en"")"),"Team organization is important for achieving success.")</f>
        <v>Team organization is important for achieving success.</v>
      </c>
      <c r="L5" s="9"/>
      <c r="M5" s="9"/>
      <c r="N5" s="9"/>
      <c r="O5" s="9"/>
      <c r="P5" s="9"/>
      <c r="Q5" s="9"/>
      <c r="R5" s="9"/>
      <c r="S5" s="9"/>
      <c r="T5" s="9"/>
      <c r="U5" s="9"/>
      <c r="V5" s="9"/>
      <c r="W5" s="9"/>
      <c r="X5" s="9"/>
      <c r="Y5" s="9"/>
      <c r="Z5" s="9"/>
      <c r="AA5" s="9"/>
      <c r="AB5" s="9"/>
      <c r="AC5" s="9"/>
      <c r="AD5" s="9"/>
      <c r="AE5" s="9"/>
      <c r="AF5" s="9"/>
    </row>
    <row r="6">
      <c r="A6" s="12">
        <v>5.0</v>
      </c>
      <c r="B6" s="13" t="s">
        <v>988</v>
      </c>
      <c r="C6" s="13" t="s">
        <v>989</v>
      </c>
      <c r="D6" s="13" t="s">
        <v>990</v>
      </c>
      <c r="E6" s="14" t="s">
        <v>991</v>
      </c>
      <c r="F6" s="9"/>
      <c r="G6" s="12">
        <v>5.0</v>
      </c>
      <c r="H6" s="9" t="str">
        <f>IFERROR(__xludf.DUMMYFUNCTION("GOOGLETRANSLATE(B6,""ar"",""en"")"),"You feel nervous before an important match. How do you deal with it?")</f>
        <v>You feel nervous before an important match. How do you deal with it?</v>
      </c>
      <c r="I6" s="9" t="str">
        <f>IFERROR(__xludf.DUMMYFUNCTION("GOOGLETRANSLATE(B6,""ar"",""en"")"),"You feel nervous before an important match. How do you deal with it?")</f>
        <v>You feel nervous before an important match. How do you deal with it?</v>
      </c>
      <c r="J6" s="9" t="str">
        <f>IFERROR(__xludf.DUMMYFUNCTION("GOOGLETRANSLATE(D6,""ar"",""en"")"),"a) Meditation")</f>
        <v>a) Meditation</v>
      </c>
      <c r="K6" s="9" t="str">
        <f>IFERROR(__xludf.DUMMYFUNCTION("GOOGLETRANSLATE(E6,""ar"",""en"")"),"Calming the nerves helps with focus and better performance.")</f>
        <v>Calming the nerves helps with focus and better performance.</v>
      </c>
      <c r="L6" s="9"/>
      <c r="M6" s="9"/>
      <c r="N6" s="9"/>
      <c r="O6" s="9"/>
      <c r="P6" s="9"/>
      <c r="Q6" s="9"/>
      <c r="R6" s="9"/>
      <c r="S6" s="9"/>
      <c r="T6" s="9"/>
      <c r="U6" s="9"/>
      <c r="V6" s="9"/>
      <c r="W6" s="9"/>
      <c r="X6" s="9"/>
      <c r="Y6" s="9"/>
      <c r="Z6" s="9"/>
      <c r="AA6" s="9"/>
      <c r="AB6" s="9"/>
      <c r="AC6" s="9"/>
      <c r="AD6" s="9"/>
      <c r="AE6" s="9"/>
      <c r="AF6" s="9"/>
    </row>
    <row r="7">
      <c r="A7" s="15">
        <v>6.0</v>
      </c>
      <c r="B7" s="16" t="s">
        <v>992</v>
      </c>
      <c r="C7" s="16" t="s">
        <v>993</v>
      </c>
      <c r="D7" s="16" t="s">
        <v>994</v>
      </c>
      <c r="E7" s="17" t="s">
        <v>995</v>
      </c>
      <c r="F7" s="9"/>
      <c r="G7" s="15">
        <v>6.0</v>
      </c>
      <c r="H7" s="9" t="str">
        <f>IFERROR(__xludf.DUMMYFUNCTION("GOOGLETRANSLATE(B7,""ar"",""en"")"),"You notice that your opponent's defense is weak. What do you do?")</f>
        <v>You notice that your opponent's defense is weak. What do you do?</v>
      </c>
      <c r="I7" s="9" t="str">
        <f>IFERROR(__xludf.DUMMYFUNCTION("GOOGLETRANSLATE(B7,""ar"",""en"")"),"You notice that your opponent's defense is weak. What do you do?")</f>
        <v>You notice that your opponent's defense is weak. What do you do?</v>
      </c>
      <c r="J7" s="9" t="str">
        <f>IFERROR(__xludf.DUMMYFUNCTION("GOOGLETRANSLATE(D7,""ar"",""en"")"),"a) Exploit it quickly")</f>
        <v>a) Exploit it quickly</v>
      </c>
      <c r="K7" s="9" t="str">
        <f>IFERROR(__xludf.DUMMYFUNCTION("GOOGLETRANSLATE(E7,""ar"",""en"")"),"Taking advantage of opportunities leads to better results.")</f>
        <v>Taking advantage of opportunities leads to better results.</v>
      </c>
      <c r="L7" s="9"/>
      <c r="M7" s="9"/>
      <c r="N7" s="9"/>
      <c r="O7" s="9"/>
      <c r="P7" s="9"/>
      <c r="Q7" s="9"/>
      <c r="R7" s="9"/>
      <c r="S7" s="9"/>
      <c r="T7" s="9"/>
      <c r="U7" s="9"/>
      <c r="V7" s="9"/>
      <c r="W7" s="9"/>
      <c r="X7" s="9"/>
      <c r="Y7" s="9"/>
      <c r="Z7" s="9"/>
      <c r="AA7" s="9"/>
      <c r="AB7" s="9"/>
      <c r="AC7" s="9"/>
      <c r="AD7" s="9"/>
      <c r="AE7" s="9"/>
      <c r="AF7" s="9"/>
    </row>
    <row r="8">
      <c r="A8" s="12">
        <v>7.0</v>
      </c>
      <c r="B8" s="13" t="s">
        <v>996</v>
      </c>
      <c r="C8" s="13" t="s">
        <v>997</v>
      </c>
      <c r="D8" s="13" t="s">
        <v>998</v>
      </c>
      <c r="E8" s="14" t="s">
        <v>999</v>
      </c>
      <c r="F8" s="9"/>
      <c r="G8" s="12">
        <v>7.0</v>
      </c>
      <c r="H8" s="9" t="str">
        <f>IFERROR(__xludf.DUMMYFUNCTION("GOOGLETRANSLATE(B8,""ar"",""en"")"),"Your colleague is having difficulty with a movement you are very good at. What do you do?")</f>
        <v>Your colleague is having difficulty with a movement you are very good at. What do you do?</v>
      </c>
      <c r="I8" s="9" t="str">
        <f>IFERROR(__xludf.DUMMYFUNCTION("GOOGLETRANSLATE(B8,""ar"",""en"")"),"Your colleague is having difficulty with a movement you are very good at. What do you do?")</f>
        <v>Your colleague is having difficulty with a movement you are very good at. What do you do?</v>
      </c>
      <c r="J8" s="9" t="str">
        <f>IFERROR(__xludf.DUMMYFUNCTION("GOOGLETRANSLATE(D8,""ar"",""en"")"),"a) His education")</f>
        <v>a) His education</v>
      </c>
      <c r="K8" s="9" t="str">
        <f>IFERROR(__xludf.DUMMYFUNCTION("GOOGLETRANSLATE(E8,""ar"",""en"")"),"Sharing knowledge strengthens the team as a whole.")</f>
        <v>Sharing knowledge strengthens the team as a whole.</v>
      </c>
      <c r="L8" s="9"/>
      <c r="M8" s="9"/>
      <c r="N8" s="9"/>
      <c r="O8" s="9"/>
      <c r="P8" s="9"/>
      <c r="Q8" s="9"/>
      <c r="R8" s="9"/>
      <c r="S8" s="9"/>
      <c r="T8" s="9"/>
      <c r="U8" s="9"/>
      <c r="V8" s="9"/>
      <c r="W8" s="9"/>
      <c r="X8" s="9"/>
      <c r="Y8" s="9"/>
      <c r="Z8" s="9"/>
      <c r="AA8" s="9"/>
      <c r="AB8" s="9"/>
      <c r="AC8" s="9"/>
      <c r="AD8" s="9"/>
      <c r="AE8" s="9"/>
      <c r="AF8" s="9"/>
    </row>
    <row r="9">
      <c r="A9" s="15">
        <v>8.0</v>
      </c>
      <c r="B9" s="16" t="s">
        <v>1000</v>
      </c>
      <c r="C9" s="16" t="s">
        <v>1001</v>
      </c>
      <c r="D9" s="16" t="s">
        <v>1002</v>
      </c>
      <c r="E9" s="17" t="s">
        <v>1003</v>
      </c>
      <c r="F9" s="9"/>
      <c r="G9" s="15">
        <v>8.0</v>
      </c>
      <c r="H9" s="9" t="str">
        <f>IFERROR(__xludf.DUMMYFUNCTION("GOOGLETRANSLATE(B9,""ar"",""en"")"),"I got injured during training. What should I do?")</f>
        <v>I got injured during training. What should I do?</v>
      </c>
      <c r="I9" s="9" t="str">
        <f>IFERROR(__xludf.DUMMYFUNCTION("GOOGLETRANSLATE(B9,""ar"",""en"")"),"I got injured during training. What should I do?")</f>
        <v>I got injured during training. What should I do?</v>
      </c>
      <c r="J9" s="9" t="str">
        <f>IFERROR(__xludf.DUMMYFUNCTION("GOOGLETRANSLATE(D9,""ar"",""en"")"),"a) Inform the coach")</f>
        <v>a) Inform the coach</v>
      </c>
      <c r="K9" s="9" t="str">
        <f>IFERROR(__xludf.DUMMYFUNCTION("GOOGLETRANSLATE(E9,""ar"",""en"")"),"Dealing with injuries prevents long-term damage.")</f>
        <v>Dealing with injuries prevents long-term damage.</v>
      </c>
      <c r="L9" s="9"/>
      <c r="M9" s="9"/>
      <c r="N9" s="9"/>
      <c r="O9" s="9"/>
      <c r="P9" s="9"/>
      <c r="Q9" s="9"/>
      <c r="R9" s="9"/>
      <c r="S9" s="9"/>
      <c r="T9" s="9"/>
      <c r="U9" s="9"/>
      <c r="V9" s="9"/>
      <c r="W9" s="9"/>
      <c r="X9" s="9"/>
      <c r="Y9" s="9"/>
      <c r="Z9" s="9"/>
      <c r="AA9" s="9"/>
      <c r="AB9" s="9"/>
      <c r="AC9" s="9"/>
      <c r="AD9" s="9"/>
      <c r="AE9" s="9"/>
      <c r="AF9" s="9"/>
    </row>
    <row r="10">
      <c r="A10" s="12">
        <v>9.0</v>
      </c>
      <c r="B10" s="13" t="s">
        <v>1004</v>
      </c>
      <c r="C10" s="13" t="s">
        <v>1005</v>
      </c>
      <c r="D10" s="13" t="s">
        <v>1006</v>
      </c>
      <c r="E10" s="14" t="s">
        <v>1007</v>
      </c>
      <c r="F10" s="9"/>
      <c r="G10" s="12">
        <v>9.0</v>
      </c>
      <c r="H10" s="9" t="str">
        <f>IFERROR(__xludf.DUMMYFUNCTION("GOOGLETRANSLATE(B10,""ar"",""en"")"),"Your coach has asked you to do an extra task. What do you do?")</f>
        <v>Your coach has asked you to do an extra task. What do you do?</v>
      </c>
      <c r="I10" s="9" t="str">
        <f>IFERROR(__xludf.DUMMYFUNCTION("GOOGLETRANSLATE(B10,""ar"",""en"")"),"Your coach has asked you to do an extra task. What do you do?")</f>
        <v>Your coach has asked you to do an extra task. What do you do?</v>
      </c>
      <c r="J10" s="9" t="str">
        <f>IFERROR(__xludf.DUMMYFUNCTION("GOOGLETRANSLATE(D10,""ar"",""en"")"),"a) Volunteering with pleasure")</f>
        <v>a) Volunteering with pleasure</v>
      </c>
      <c r="K10" s="9" t="str">
        <f>IFERROR(__xludf.DUMMYFUNCTION("GOOGLETRANSLATE(E10,""ar"",""en"")"),"Showing initiative builds trust with the coach.")</f>
        <v>Showing initiative builds trust with the coach.</v>
      </c>
      <c r="L10" s="9"/>
      <c r="M10" s="9"/>
      <c r="N10" s="9"/>
      <c r="O10" s="9"/>
      <c r="P10" s="9"/>
      <c r="Q10" s="9"/>
      <c r="R10" s="9"/>
      <c r="S10" s="9"/>
      <c r="T10" s="9"/>
      <c r="U10" s="9"/>
      <c r="V10" s="9"/>
      <c r="W10" s="9"/>
      <c r="X10" s="9"/>
      <c r="Y10" s="9"/>
      <c r="Z10" s="9"/>
      <c r="AA10" s="9"/>
      <c r="AB10" s="9"/>
      <c r="AC10" s="9"/>
      <c r="AD10" s="9"/>
      <c r="AE10" s="9"/>
      <c r="AF10" s="9"/>
    </row>
    <row r="11">
      <c r="A11" s="15">
        <v>10.0</v>
      </c>
      <c r="B11" s="16" t="s">
        <v>1008</v>
      </c>
      <c r="C11" s="16" t="s">
        <v>1009</v>
      </c>
      <c r="D11" s="16" t="s">
        <v>1010</v>
      </c>
      <c r="E11" s="17" t="s">
        <v>1011</v>
      </c>
      <c r="F11" s="9"/>
      <c r="G11" s="15">
        <v>10.0</v>
      </c>
      <c r="H11" s="9" t="str">
        <f>IFERROR(__xludf.DUMMYFUNCTION("GOOGLETRANSLATE(B11,""ar"",""en"")"),"You lost a match against a weaker opponent. What do you do?")</f>
        <v>You lost a match against a weaker opponent. What do you do?</v>
      </c>
      <c r="I11" s="9" t="str">
        <f>IFERROR(__xludf.DUMMYFUNCTION("GOOGLETRANSLATE(B11,""ar"",""en"")"),"You lost a match against a weaker opponent. What do you do?")</f>
        <v>You lost a match against a weaker opponent. What do you do?</v>
      </c>
      <c r="J11" s="9" t="str">
        <f>IFERROR(__xludf.DUMMYFUNCTION("GOOGLETRANSLATE(D11,""ar"",""en"")"),"a) Error analysis")</f>
        <v>a) Error analysis</v>
      </c>
      <c r="K11" s="9" t="str">
        <f>IFERROR(__xludf.DUMMYFUNCTION("GOOGLETRANSLATE(E11,""ar"",""en"")"),"Learning from defeats leads to improvement.")</f>
        <v>Learning from defeats leads to improvement.</v>
      </c>
      <c r="L11" s="9"/>
      <c r="M11" s="9"/>
      <c r="N11" s="9"/>
      <c r="O11" s="9"/>
      <c r="P11" s="9"/>
      <c r="Q11" s="9"/>
      <c r="R11" s="9"/>
      <c r="S11" s="9"/>
      <c r="T11" s="9"/>
      <c r="U11" s="9"/>
      <c r="V11" s="9"/>
      <c r="W11" s="9"/>
      <c r="X11" s="9"/>
      <c r="Y11" s="9"/>
      <c r="Z11" s="9"/>
      <c r="AA11" s="9"/>
      <c r="AB11" s="9"/>
      <c r="AC11" s="9"/>
      <c r="AD11" s="9"/>
      <c r="AE11" s="9"/>
      <c r="AF11" s="9"/>
    </row>
    <row r="12">
      <c r="A12" s="12">
        <v>11.0</v>
      </c>
      <c r="B12" s="13" t="s">
        <v>1012</v>
      </c>
      <c r="C12" s="13" t="s">
        <v>1013</v>
      </c>
      <c r="D12" s="13" t="s">
        <v>1014</v>
      </c>
      <c r="E12" s="14" t="s">
        <v>1015</v>
      </c>
      <c r="F12" s="9"/>
      <c r="G12" s="12">
        <v>11.0</v>
      </c>
      <c r="H12" s="9" t="str">
        <f>IFERROR(__xludf.DUMMYFUNCTION("GOOGLETRANSLATE(B12,""ar"",""en"")"),"You feel tired during training. How do you deal with that?")</f>
        <v>You feel tired during training. How do you deal with that?</v>
      </c>
      <c r="I12" s="9" t="str">
        <f>IFERROR(__xludf.DUMMYFUNCTION("GOOGLETRANSLATE(B12,""ar"",""en"")"),"You feel tired during training. How do you deal with that?")</f>
        <v>You feel tired during training. How do you deal with that?</v>
      </c>
      <c r="J12" s="9" t="str">
        <f>IFERROR(__xludf.DUMMYFUNCTION("GOOGLETRANSLATE(D12,""ar"",""en"")"),"a) Take a short break")</f>
        <v>a) Take a short break</v>
      </c>
      <c r="K12" s="9" t="str">
        <f>IFERROR(__xludf.DUMMYFUNCTION("GOOGLETRANSLATE(E12,""ar"",""en"")"),"Short rest periods help restore energy and prevent fatigue.")</f>
        <v>Short rest periods help restore energy and prevent fatigue.</v>
      </c>
      <c r="L12" s="9"/>
      <c r="M12" s="9"/>
      <c r="N12" s="9"/>
      <c r="O12" s="9"/>
      <c r="P12" s="9"/>
      <c r="Q12" s="9"/>
      <c r="R12" s="9"/>
      <c r="S12" s="9"/>
      <c r="T12" s="9"/>
      <c r="U12" s="9"/>
      <c r="V12" s="9"/>
      <c r="W12" s="9"/>
      <c r="X12" s="9"/>
      <c r="Y12" s="9"/>
      <c r="Z12" s="9"/>
      <c r="AA12" s="9"/>
      <c r="AB12" s="9"/>
      <c r="AC12" s="9"/>
      <c r="AD12" s="9"/>
      <c r="AE12" s="9"/>
      <c r="AF12" s="9"/>
    </row>
    <row r="13">
      <c r="A13" s="12">
        <v>13.0</v>
      </c>
      <c r="B13" s="13" t="s">
        <v>1016</v>
      </c>
      <c r="C13" s="13" t="s">
        <v>1017</v>
      </c>
      <c r="D13" s="13" t="s">
        <v>1018</v>
      </c>
      <c r="E13" s="14" t="s">
        <v>1019</v>
      </c>
      <c r="F13" s="9"/>
      <c r="G13" s="12">
        <v>13.0</v>
      </c>
      <c r="H13" s="9" t="str">
        <f>IFERROR(__xludf.DUMMYFUNCTION("GOOGLETRANSLATE(B13,""ar"",""en"")"),"Your coach criticizes your performance during the match. What is your reaction?")</f>
        <v>Your coach criticizes your performance during the match. What is your reaction?</v>
      </c>
      <c r="I13" s="9" t="str">
        <f>IFERROR(__xludf.DUMMYFUNCTION("GOOGLETRANSLATE(B13,""ar"",""en"")"),"Your coach criticizes your performance during the match. What is your reaction?")</f>
        <v>Your coach criticizes your performance during the match. What is your reaction?</v>
      </c>
      <c r="J13" s="9" t="str">
        <f>IFERROR(__xludf.DUMMYFUNCTION("GOOGLETRANSLATE(D13,""ar"",""en"")"),"a) Acceptance and improvement")</f>
        <v>a) Acceptance and improvement</v>
      </c>
      <c r="K13" s="9" t="str">
        <f>IFERROR(__xludf.DUMMYFUNCTION("GOOGLETRANSLATE(E13,""ar"",""en"")"),"Constructive feedback helps you grow as a wrestler.")</f>
        <v>Constructive feedback helps you grow as a wrestler.</v>
      </c>
      <c r="L13" s="9"/>
      <c r="M13" s="9"/>
      <c r="N13" s="9"/>
      <c r="O13" s="9"/>
      <c r="P13" s="9"/>
      <c r="Q13" s="9"/>
      <c r="R13" s="9"/>
      <c r="S13" s="9"/>
      <c r="T13" s="9"/>
      <c r="U13" s="9"/>
      <c r="V13" s="9"/>
      <c r="W13" s="9"/>
      <c r="X13" s="9"/>
      <c r="Y13" s="9"/>
      <c r="Z13" s="9"/>
      <c r="AA13" s="9"/>
      <c r="AB13" s="9"/>
      <c r="AC13" s="9"/>
      <c r="AD13" s="9"/>
      <c r="AE13" s="9"/>
      <c r="AF13" s="9"/>
    </row>
    <row r="14">
      <c r="A14" s="15">
        <v>14.0</v>
      </c>
      <c r="B14" s="16" t="s">
        <v>1020</v>
      </c>
      <c r="C14" s="16" t="s">
        <v>1021</v>
      </c>
      <c r="D14" s="16" t="s">
        <v>1022</v>
      </c>
      <c r="E14" s="17" t="s">
        <v>1023</v>
      </c>
      <c r="F14" s="9"/>
      <c r="G14" s="15">
        <v>14.0</v>
      </c>
      <c r="H14" s="9" t="str">
        <f>IFERROR(__xludf.DUMMYFUNCTION("GOOGLETRANSLATE(B14,""ar"",""en"")"),"Your teammate is unfairly accusing you of making a mistake in the match. What do you do?")</f>
        <v>Your teammate is unfairly accusing you of making a mistake in the match. What do you do?</v>
      </c>
      <c r="I14" s="9" t="str">
        <f>IFERROR(__xludf.DUMMYFUNCTION("GOOGLETRANSLATE(B14,""ar"",""en"")"),"Your teammate is unfairly accusing you of making a mistake in the match. What do you do?")</f>
        <v>Your teammate is unfairly accusing you of making a mistake in the match. What do you do?</v>
      </c>
      <c r="J14" s="9" t="str">
        <f>IFERROR(__xludf.DUMMYFUNCTION("GOOGLETRANSLATE(D14,""ar"",""en"")"),"a) Discuss the matter calmly")</f>
        <v>a) Discuss the matter calmly</v>
      </c>
      <c r="K14" s="9" t="str">
        <f>IFERROR(__xludf.DUMMYFUNCTION("GOOGLETRANSLATE(E14,""ar"",""en"")"),"Resolving conflicts calmly maintains team harmony.")</f>
        <v>Resolving conflicts calmly maintains team harmony.</v>
      </c>
      <c r="L14" s="9"/>
      <c r="M14" s="9"/>
      <c r="N14" s="9"/>
      <c r="O14" s="9"/>
      <c r="P14" s="9"/>
      <c r="Q14" s="9"/>
      <c r="R14" s="9"/>
      <c r="S14" s="9"/>
      <c r="T14" s="9"/>
      <c r="U14" s="9"/>
      <c r="V14" s="9"/>
      <c r="W14" s="9"/>
      <c r="X14" s="9"/>
      <c r="Y14" s="9"/>
      <c r="Z14" s="9"/>
      <c r="AA14" s="9"/>
      <c r="AB14" s="9"/>
      <c r="AC14" s="9"/>
      <c r="AD14" s="9"/>
      <c r="AE14" s="9"/>
      <c r="AF14" s="9"/>
    </row>
    <row r="15">
      <c r="A15" s="12">
        <v>15.0</v>
      </c>
      <c r="B15" s="13" t="s">
        <v>1024</v>
      </c>
      <c r="C15" s="13" t="s">
        <v>1025</v>
      </c>
      <c r="D15" s="13" t="s">
        <v>1026</v>
      </c>
      <c r="E15" s="14" t="s">
        <v>1027</v>
      </c>
      <c r="F15" s="9"/>
      <c r="G15" s="12">
        <v>15.0</v>
      </c>
      <c r="H15" s="9" t="str">
        <f>IFERROR(__xludf.DUMMYFUNCTION("GOOGLETRANSLATE(B15,""ar"",""en"")"),"You were asked to train a beginner. How do you handle the training?")</f>
        <v>You were asked to train a beginner. How do you handle the training?</v>
      </c>
      <c r="I15" s="9" t="str">
        <f>IFERROR(__xludf.DUMMYFUNCTION("GOOGLETRANSLATE(B15,""ar"",""en"")"),"You were asked to train a beginner. How do you handle the training?")</f>
        <v>You were asked to train a beginner. How do you handle the training?</v>
      </c>
      <c r="J15" s="9" t="str">
        <f>IFERROR(__xludf.DUMMYFUNCTION("GOOGLETRANSLATE(D15,""ar"",""en"")"),"a) Helping him to learn")</f>
        <v>a) Helping him to learn</v>
      </c>
      <c r="K15" s="9" t="str">
        <f>IFERROR(__xludf.DUMMYFUNCTION("GOOGLETRANSLATE(E15,""ar"",""en"")"),"Supporting beginners strengthens the wrestling community.")</f>
        <v>Supporting beginners strengthens the wrestling community.</v>
      </c>
      <c r="L15" s="9"/>
      <c r="M15" s="9"/>
      <c r="N15" s="9"/>
      <c r="O15" s="9"/>
      <c r="P15" s="9"/>
      <c r="Q15" s="9"/>
      <c r="R15" s="9"/>
      <c r="S15" s="9"/>
      <c r="T15" s="9"/>
      <c r="U15" s="9"/>
      <c r="V15" s="9"/>
      <c r="W15" s="9"/>
      <c r="X15" s="9"/>
      <c r="Y15" s="9"/>
      <c r="Z15" s="9"/>
      <c r="AA15" s="9"/>
      <c r="AB15" s="9"/>
      <c r="AC15" s="9"/>
      <c r="AD15" s="9"/>
      <c r="AE15" s="9"/>
      <c r="AF15" s="9"/>
    </row>
    <row r="16">
      <c r="A16" s="15">
        <v>16.0</v>
      </c>
      <c r="B16" s="16" t="s">
        <v>1028</v>
      </c>
      <c r="C16" s="16" t="s">
        <v>1029</v>
      </c>
      <c r="D16" s="16" t="s">
        <v>1030</v>
      </c>
      <c r="E16" s="17" t="s">
        <v>1031</v>
      </c>
      <c r="F16" s="9"/>
      <c r="G16" s="15">
        <v>16.0</v>
      </c>
      <c r="H16" s="9" t="str">
        <f>IFERROR(__xludf.DUMMYFUNCTION("GOOGLETRANSLATE(B16,""ar"",""en"")"),"You have an important tournament tomorrow, but you feel unprepared. What do you do?")</f>
        <v>You have an important tournament tomorrow, but you feel unprepared. What do you do?</v>
      </c>
      <c r="I16" s="9" t="str">
        <f>IFERROR(__xludf.DUMMYFUNCTION("GOOGLETRANSLATE(B16,""ar"",""en"")"),"You have an important tournament tomorrow, but you feel unprepared. What do you do?")</f>
        <v>You have an important tournament tomorrow, but you feel unprepared. What do you do?</v>
      </c>
      <c r="J16" s="9" t="str">
        <f>IFERROR(__xludf.DUMMYFUNCTION("GOOGLETRANSLATE(D16,""ar"",""en"")"),"a) Review of basic movements")</f>
        <v>a) Review of basic movements</v>
      </c>
      <c r="K16" s="9" t="str">
        <f>IFERROR(__xludf.DUMMYFUNCTION("GOOGLETRANSLATE(E16,""ar"",""en"")"),"Preparation builds confidence before the match.")</f>
        <v>Preparation builds confidence before the match.</v>
      </c>
      <c r="L16" s="9"/>
      <c r="M16" s="9"/>
      <c r="N16" s="9"/>
      <c r="O16" s="9"/>
      <c r="P16" s="9"/>
      <c r="Q16" s="9"/>
      <c r="R16" s="9"/>
      <c r="S16" s="9"/>
      <c r="T16" s="9"/>
      <c r="U16" s="9"/>
      <c r="V16" s="9"/>
      <c r="W16" s="9"/>
      <c r="X16" s="9"/>
      <c r="Y16" s="9"/>
      <c r="Z16" s="9"/>
      <c r="AA16" s="9"/>
      <c r="AB16" s="9"/>
      <c r="AC16" s="9"/>
      <c r="AD16" s="9"/>
      <c r="AE16" s="9"/>
      <c r="AF16" s="9"/>
    </row>
    <row r="17">
      <c r="A17" s="12">
        <v>17.0</v>
      </c>
      <c r="B17" s="13" t="s">
        <v>1032</v>
      </c>
      <c r="C17" s="13" t="s">
        <v>1033</v>
      </c>
      <c r="D17" s="13" t="s">
        <v>1034</v>
      </c>
      <c r="E17" s="14" t="s">
        <v>1035</v>
      </c>
      <c r="F17" s="9"/>
      <c r="G17" s="12">
        <v>17.0</v>
      </c>
      <c r="H17" s="9" t="str">
        <f>IFERROR(__xludf.DUMMYFUNCTION("GOOGLETRANSLATE(B17,""ar"",""en"")"),"Your opponent is stronger than you. How do you handle the match?")</f>
        <v>Your opponent is stronger than you. How do you handle the match?</v>
      </c>
      <c r="I17" s="9" t="str">
        <f>IFERROR(__xludf.DUMMYFUNCTION("GOOGLETRANSLATE(B17,""ar"",""en"")"),"Your opponent is stronger than you. How do you handle the match?")</f>
        <v>Your opponent is stronger than you. How do you handle the match?</v>
      </c>
      <c r="J17" s="9" t="str">
        <f>IFERROR(__xludf.DUMMYFUNCTION("GOOGLETRANSLATE(D17,""ar"",""en"")"),"a) Focus on strategy")</f>
        <v>a) Focus on strategy</v>
      </c>
      <c r="K17" s="9" t="str">
        <f>IFERROR(__xludf.DUMMYFUNCTION("GOOGLETRANSLATE(E17,""ar"",""en"")"),"Smart technologies can counter physical strength.")</f>
        <v>Smart technologies can counter physical strength.</v>
      </c>
      <c r="L17" s="9"/>
      <c r="M17" s="9"/>
      <c r="N17" s="9"/>
      <c r="O17" s="9"/>
      <c r="P17" s="9"/>
      <c r="Q17" s="9"/>
      <c r="R17" s="9"/>
      <c r="S17" s="9"/>
      <c r="T17" s="9"/>
      <c r="U17" s="9"/>
      <c r="V17" s="9"/>
      <c r="W17" s="9"/>
      <c r="X17" s="9"/>
      <c r="Y17" s="9"/>
      <c r="Z17" s="9"/>
      <c r="AA17" s="9"/>
      <c r="AB17" s="9"/>
      <c r="AC17" s="9"/>
      <c r="AD17" s="9"/>
      <c r="AE17" s="9"/>
      <c r="AF17" s="9"/>
    </row>
    <row r="18">
      <c r="A18" s="15">
        <v>18.0</v>
      </c>
      <c r="B18" s="16" t="s">
        <v>1036</v>
      </c>
      <c r="C18" s="16" t="s">
        <v>1037</v>
      </c>
      <c r="D18" s="16" t="s">
        <v>1038</v>
      </c>
      <c r="E18" s="17" t="s">
        <v>1039</v>
      </c>
      <c r="F18" s="9"/>
      <c r="G18" s="15">
        <v>18.0</v>
      </c>
      <c r="H18" s="9" t="str">
        <f>IFERROR(__xludf.DUMMYFUNCTION("GOOGLETRANSLATE(B18,""ar"",""en"")"),"Your teammate asks for your help during a crucial moment in the game. What do you do?")</f>
        <v>Your teammate asks for your help during a crucial moment in the game. What do you do?</v>
      </c>
      <c r="I18" s="9" t="str">
        <f>IFERROR(__xludf.DUMMYFUNCTION("GOOGLETRANSLATE(B18,""ar"",""en"")"),"Your teammate asks for your help during a crucial moment in the game. What do you do?")</f>
        <v>Your teammate asks for your help during a crucial moment in the game. What do you do?</v>
      </c>
      <c r="J18" s="9" t="str">
        <f>IFERROR(__xludf.DUMMYFUNCTION("GOOGLETRANSLATE(D18,""ar"",""en"")"),"a) Providing assistance")</f>
        <v>a) Providing assistance</v>
      </c>
      <c r="K18" s="9" t="str">
        <f>IFERROR(__xludf.DUMMYFUNCTION("GOOGLETRANSLATE(E18,""ar"",""en"")"),"Teamwork leads to collective success.")</f>
        <v>Teamwork leads to collective success.</v>
      </c>
      <c r="L18" s="9"/>
      <c r="M18" s="9"/>
      <c r="N18" s="9"/>
      <c r="O18" s="9"/>
      <c r="P18" s="9"/>
      <c r="Q18" s="9"/>
      <c r="R18" s="9"/>
      <c r="S18" s="9"/>
      <c r="T18" s="9"/>
      <c r="U18" s="9"/>
      <c r="V18" s="9"/>
      <c r="W18" s="9"/>
      <c r="X18" s="9"/>
      <c r="Y18" s="9"/>
      <c r="Z18" s="9"/>
      <c r="AA18" s="9"/>
      <c r="AB18" s="9"/>
      <c r="AC18" s="9"/>
      <c r="AD18" s="9"/>
      <c r="AE18" s="9"/>
      <c r="AF18" s="9"/>
    </row>
    <row r="19">
      <c r="A19" s="12">
        <v>19.0</v>
      </c>
      <c r="B19" s="13" t="s">
        <v>1040</v>
      </c>
      <c r="C19" s="13" t="s">
        <v>1041</v>
      </c>
      <c r="D19" s="13" t="s">
        <v>1042</v>
      </c>
      <c r="E19" s="14" t="s">
        <v>1043</v>
      </c>
      <c r="F19" s="9"/>
      <c r="G19" s="12">
        <v>19.0</v>
      </c>
      <c r="H19" s="9" t="str">
        <f>IFERROR(__xludf.DUMMYFUNCTION("GOOGLETRANSLATE(B19,""ar"",""en"")"),"You've been chosen to represent the team at a public event. How are you preparing?")</f>
        <v>You've been chosen to represent the team at a public event. How are you preparing?</v>
      </c>
      <c r="I19" s="9" t="str">
        <f>IFERROR(__xludf.DUMMYFUNCTION("GOOGLETRANSLATE(B19,""ar"",""en"")"),"You've been chosen to represent the team at a public event. How are you preparing?")</f>
        <v>You've been chosen to represent the team at a public event. How are you preparing?</v>
      </c>
      <c r="J19" s="9" t="str">
        <f>IFERROR(__xludf.DUMMYFUNCTION("GOOGLETRANSLATE(D19,""ar"",""en"")"),"a) Representing the team with pride")</f>
        <v>a) Representing the team with pride</v>
      </c>
      <c r="K19" s="9" t="str">
        <f>IFERROR(__xludf.DUMMYFUNCTION("GOOGLETRANSLATE(E19,""ar"",""en"")"),"Representing the team enhances the team's reputation.")</f>
        <v>Representing the team enhances the team's reputation.</v>
      </c>
      <c r="L19" s="9"/>
      <c r="M19" s="9"/>
      <c r="N19" s="9"/>
      <c r="O19" s="9"/>
      <c r="P19" s="9"/>
      <c r="Q19" s="9"/>
      <c r="R19" s="9"/>
      <c r="S19" s="9"/>
      <c r="T19" s="9"/>
      <c r="U19" s="9"/>
      <c r="V19" s="9"/>
      <c r="W19" s="9"/>
      <c r="X19" s="9"/>
      <c r="Y19" s="9"/>
      <c r="Z19" s="9"/>
      <c r="AA19" s="9"/>
      <c r="AB19" s="9"/>
      <c r="AC19" s="9"/>
      <c r="AD19" s="9"/>
      <c r="AE19" s="9"/>
      <c r="AF19" s="9"/>
    </row>
    <row r="20">
      <c r="A20" s="15">
        <v>20.0</v>
      </c>
      <c r="B20" s="16" t="s">
        <v>1044</v>
      </c>
      <c r="C20" s="16" t="s">
        <v>1045</v>
      </c>
      <c r="D20" s="16" t="s">
        <v>1046</v>
      </c>
      <c r="E20" s="17" t="s">
        <v>1047</v>
      </c>
      <c r="F20" s="9"/>
      <c r="G20" s="15">
        <v>20.0</v>
      </c>
      <c r="H20" s="9" t="str">
        <f>IFERROR(__xludf.DUMMYFUNCTION("GOOGLETRANSLATE(B20,""ar"",""en"")"),"Your opponent is mocking you during the match. How do you respond?")</f>
        <v>Your opponent is mocking you during the match. How do you respond?</v>
      </c>
      <c r="I20" s="9" t="str">
        <f>IFERROR(__xludf.DUMMYFUNCTION("GOOGLETRANSLATE(B20,""ar"",""en"")"),"Your opponent is mocking you during the match. How do you respond?")</f>
        <v>Your opponent is mocking you during the match. How do you respond?</v>
      </c>
      <c r="J20" s="9" t="str">
        <f>IFERROR(__xludf.DUMMYFUNCTION("GOOGLETRANSLATE(D20,""ar"",""en"")"),"a) Maintaining focus")</f>
        <v>a) Maintaining focus</v>
      </c>
      <c r="K20" s="9" t="str">
        <f>IFERROR(__xludf.DUMMYFUNCTION("GOOGLETRANSLATE(E20,""ar"",""en"")"),"Mental strength is essential in competitive wrestling.")</f>
        <v>Mental strength is essential in competitive wrestling.</v>
      </c>
      <c r="L20" s="9"/>
      <c r="M20" s="9"/>
      <c r="N20" s="9"/>
      <c r="O20" s="9"/>
      <c r="P20" s="9"/>
      <c r="Q20" s="9"/>
      <c r="R20" s="9"/>
      <c r="S20" s="9"/>
      <c r="T20" s="9"/>
      <c r="U20" s="9"/>
      <c r="V20" s="9"/>
      <c r="W20" s="9"/>
      <c r="X20" s="9"/>
      <c r="Y20" s="9"/>
      <c r="Z20" s="9"/>
      <c r="AA20" s="9"/>
      <c r="AB20" s="9"/>
      <c r="AC20" s="9"/>
      <c r="AD20" s="9"/>
      <c r="AE20" s="9"/>
      <c r="AF20" s="9"/>
    </row>
    <row r="21">
      <c r="A21" s="12">
        <v>21.0</v>
      </c>
      <c r="B21" s="13" t="s">
        <v>1048</v>
      </c>
      <c r="C21" s="13" t="s">
        <v>1049</v>
      </c>
      <c r="D21" s="13" t="s">
        <v>1050</v>
      </c>
      <c r="E21" s="14" t="s">
        <v>1051</v>
      </c>
      <c r="F21" s="9"/>
      <c r="G21" s="12">
        <v>21.0</v>
      </c>
      <c r="H21" s="9" t="str">
        <f>IFERROR(__xludf.DUMMYFUNCTION("GOOGLETRANSLATE(B21,""ar"",""en"")"),"You have been chosen as the team leader. How do you lead?")</f>
        <v>You have been chosen as the team leader. How do you lead?</v>
      </c>
      <c r="I21" s="9" t="str">
        <f>IFERROR(__xludf.DUMMYFUNCTION("GOOGLETRANSLATE(B21,""ar"",""en"")"),"You have been chosen as the team leader. How do you lead?")</f>
        <v>You have been chosen as the team leader. How do you lead?</v>
      </c>
      <c r="J21" s="9" t="str">
        <f>IFERROR(__xludf.DUMMYFUNCTION("GOOGLETRANSLATE(D21,""ar"",""en"")"),"a) Inspiring your colleagues")</f>
        <v>a) Inspiring your colleagues</v>
      </c>
      <c r="K21" s="9" t="str">
        <f>IFERROR(__xludf.DUMMYFUNCTION("GOOGLETRANSLATE(E21,""ar"",""en"")"),"Good leadership motivates and effectively guides the team.")</f>
        <v>Good leadership motivates and effectively guides the team.</v>
      </c>
      <c r="L21" s="9"/>
      <c r="M21" s="9"/>
      <c r="N21" s="9"/>
      <c r="O21" s="9"/>
      <c r="P21" s="9"/>
      <c r="Q21" s="9"/>
      <c r="R21" s="9"/>
      <c r="S21" s="9"/>
      <c r="T21" s="9"/>
      <c r="U21" s="9"/>
      <c r="V21" s="9"/>
      <c r="W21" s="9"/>
      <c r="X21" s="9"/>
      <c r="Y21" s="9"/>
      <c r="Z21" s="9"/>
      <c r="AA21" s="9"/>
      <c r="AB21" s="9"/>
      <c r="AC21" s="9"/>
      <c r="AD21" s="9"/>
      <c r="AE21" s="9"/>
      <c r="AF21" s="9"/>
    </row>
    <row r="22">
      <c r="A22" s="15">
        <v>22.0</v>
      </c>
      <c r="B22" s="16" t="s">
        <v>1052</v>
      </c>
      <c r="C22" s="16" t="s">
        <v>1053</v>
      </c>
      <c r="D22" s="16" t="s">
        <v>1054</v>
      </c>
      <c r="E22" s="17" t="s">
        <v>1055</v>
      </c>
      <c r="F22" s="9"/>
      <c r="G22" s="15">
        <v>22.0</v>
      </c>
      <c r="H22" s="9" t="str">
        <f>IFERROR(__xludf.DUMMYFUNCTION("GOOGLETRANSLATE(B22,""ar"",""en"")"),"You made a mistake and it caused the team to lose the match. How do you deal with that?")</f>
        <v>You made a mistake and it caused the team to lose the match. How do you deal with that?</v>
      </c>
      <c r="I22" s="9" t="str">
        <f>IFERROR(__xludf.DUMMYFUNCTION("GOOGLETRANSLATE(B22,""ar"",""en"")"),"You made a mistake and it caused the team to lose the match. How do you deal with that?")</f>
        <v>You made a mistake and it caused the team to lose the match. How do you deal with that?</v>
      </c>
      <c r="J22" s="9" t="str">
        <f>IFERROR(__xludf.DUMMYFUNCTION("GOOGLETRANSLATE(D22,""ar"",""en"")"),"a) Taking responsibility")</f>
        <v>a) Taking responsibility</v>
      </c>
      <c r="K22" s="9" t="str">
        <f>IFERROR(__xludf.DUMMYFUNCTION("GOOGLETRANSLATE(E22,""ar"",""en"")"),"Admitting mistakes fosters respect among colleagues.")</f>
        <v>Admitting mistakes fosters respect among colleagues.</v>
      </c>
      <c r="L22" s="9"/>
      <c r="M22" s="9"/>
      <c r="N22" s="9"/>
      <c r="O22" s="9"/>
      <c r="P22" s="9"/>
      <c r="Q22" s="9"/>
      <c r="R22" s="9"/>
      <c r="S22" s="9"/>
      <c r="T22" s="9"/>
      <c r="U22" s="9"/>
      <c r="V22" s="9"/>
      <c r="W22" s="9"/>
      <c r="X22" s="9"/>
      <c r="Y22" s="9"/>
      <c r="Z22" s="9"/>
      <c r="AA22" s="9"/>
      <c r="AB22" s="9"/>
      <c r="AC22" s="9"/>
      <c r="AD22" s="9"/>
      <c r="AE22" s="9"/>
      <c r="AF22" s="9"/>
    </row>
    <row r="23">
      <c r="A23" s="12">
        <v>23.0</v>
      </c>
      <c r="B23" s="13" t="s">
        <v>1056</v>
      </c>
      <c r="C23" s="13" t="s">
        <v>1057</v>
      </c>
      <c r="D23" s="13" t="s">
        <v>1058</v>
      </c>
      <c r="E23" s="14" t="s">
        <v>1059</v>
      </c>
      <c r="F23" s="9"/>
      <c r="G23" s="12">
        <v>23.0</v>
      </c>
      <c r="H23" s="9" t="str">
        <f>IFERROR(__xludf.DUMMYFUNCTION("GOOGLETRANSLATE(B23,""ar"",""en"")"),"You've been training for a long time but haven't seen any improvement. What do you do?")</f>
        <v>You've been training for a long time but haven't seen any improvement. What do you do?</v>
      </c>
      <c r="I23" s="9" t="str">
        <f>IFERROR(__xludf.DUMMYFUNCTION("GOOGLETRANSLATE(B23,""ar"",""en"")"),"You've been training for a long time but haven't seen any improvement. What do you do?")</f>
        <v>You've been training for a long time but haven't seen any improvement. What do you do?</v>
      </c>
      <c r="J23" s="9" t="str">
        <f>IFERROR(__xludf.DUMMYFUNCTION("GOOGLETRANSLATE(D23,""ar"",""en"")"),"a) Coach consultation")</f>
        <v>a) Coach consultation</v>
      </c>
      <c r="K23" s="9" t="str">
        <f>IFERROR(__xludf.DUMMYFUNCTION("GOOGLETRANSLATE(E23,""ar"",""en"")"),"Guidance helps identify areas for improvement.")</f>
        <v>Guidance helps identify areas for improvement.</v>
      </c>
      <c r="L23" s="9"/>
      <c r="M23" s="9"/>
      <c r="N23" s="9"/>
      <c r="O23" s="9"/>
      <c r="P23" s="9"/>
      <c r="Q23" s="9"/>
      <c r="R23" s="9"/>
      <c r="S23" s="9"/>
      <c r="T23" s="9"/>
      <c r="U23" s="9"/>
      <c r="V23" s="9"/>
      <c r="W23" s="9"/>
      <c r="X23" s="9"/>
      <c r="Y23" s="9"/>
      <c r="Z23" s="9"/>
      <c r="AA23" s="9"/>
      <c r="AB23" s="9"/>
      <c r="AC23" s="9"/>
      <c r="AD23" s="9"/>
      <c r="AE23" s="9"/>
      <c r="AF23" s="9"/>
    </row>
    <row r="24">
      <c r="A24" s="15">
        <v>24.0</v>
      </c>
      <c r="B24" s="16" t="s">
        <v>1060</v>
      </c>
      <c r="C24" s="16" t="s">
        <v>1061</v>
      </c>
      <c r="D24" s="16" t="s">
        <v>1062</v>
      </c>
      <c r="E24" s="17" t="s">
        <v>1063</v>
      </c>
      <c r="F24" s="9"/>
      <c r="G24" s="15">
        <v>24.0</v>
      </c>
      <c r="H24" s="9" t="str">
        <f>IFERROR(__xludf.DUMMYFUNCTION("GOOGLETRANSLATE(B24,""ar"",""en"")"),"Your opponent is stronger, but you notice their weakness. What do you do?")</f>
        <v>Your opponent is stronger, but you notice their weakness. What do you do?</v>
      </c>
      <c r="I24" s="9" t="str">
        <f>IFERROR(__xludf.DUMMYFUNCTION("GOOGLETRANSLATE(B24,""ar"",""en"")"),"Your opponent is stronger, but you notice their weakness. What do you do?")</f>
        <v>Your opponent is stronger, but you notice their weakness. What do you do?</v>
      </c>
      <c r="J24" s="9" t="str">
        <f>IFERROR(__xludf.DUMMYFUNCTION("GOOGLETRANSLATE(D24,""ar"",""en"")"),"a) Exploiting weakness")</f>
        <v>a) Exploiting weakness</v>
      </c>
      <c r="K24" s="9" t="str">
        <f>IFERROR(__xludf.DUMMYFUNCTION("GOOGLETRANSLATE(E24,""ar"",""en"")"),"Taking advantage of opportunities helps to balance the game.")</f>
        <v>Taking advantage of opportunities helps to balance the game.</v>
      </c>
      <c r="L24" s="9"/>
      <c r="M24" s="9"/>
      <c r="N24" s="9"/>
      <c r="O24" s="9"/>
      <c r="P24" s="9"/>
      <c r="Q24" s="9"/>
      <c r="R24" s="9"/>
      <c r="S24" s="9"/>
      <c r="T24" s="9"/>
      <c r="U24" s="9"/>
      <c r="V24" s="9"/>
      <c r="W24" s="9"/>
      <c r="X24" s="9"/>
      <c r="Y24" s="9"/>
      <c r="Z24" s="9"/>
      <c r="AA24" s="9"/>
      <c r="AB24" s="9"/>
      <c r="AC24" s="9"/>
      <c r="AD24" s="9"/>
      <c r="AE24" s="9"/>
      <c r="AF24" s="9"/>
    </row>
    <row r="25">
      <c r="A25" s="12">
        <v>25.0</v>
      </c>
      <c r="B25" s="13" t="s">
        <v>1064</v>
      </c>
      <c r="C25" s="13" t="s">
        <v>1065</v>
      </c>
      <c r="D25" s="13" t="s">
        <v>1066</v>
      </c>
      <c r="E25" s="14" t="s">
        <v>1067</v>
      </c>
      <c r="F25" s="9"/>
      <c r="G25" s="12">
        <v>25.0</v>
      </c>
      <c r="H25" s="9" t="str">
        <f>IFERROR(__xludf.DUMMYFUNCTION("GOOGLETRANSLATE(B25,""ar"",""en"")"),"Your colleague often misses training. What do you do?")</f>
        <v>Your colleague often misses training. What do you do?</v>
      </c>
      <c r="I25" s="9" t="str">
        <f>IFERROR(__xludf.DUMMYFUNCTION("GOOGLETRANSLATE(B25,""ar"",""en"")"),"Your colleague often misses training. What do you do?")</f>
        <v>Your colleague often misses training. What do you do?</v>
      </c>
      <c r="J25" s="9" t="str">
        <f>IFERROR(__xludf.DUMMYFUNCTION("GOOGLETRANSLATE(D25,""ar"",""en"")"),"a) Encouraging him to attend")</f>
        <v>a) Encouraging him to attend</v>
      </c>
      <c r="K25" s="9" t="str">
        <f>IFERROR(__xludf.DUMMYFUNCTION("GOOGLETRANSLATE(E25,""ar"",""en"")"),"Positive encouragement fosters team spirit.")</f>
        <v>Positive encouragement fosters team spirit.</v>
      </c>
      <c r="L25" s="9"/>
      <c r="M25" s="9"/>
      <c r="N25" s="9"/>
      <c r="O25" s="9"/>
      <c r="P25" s="9"/>
      <c r="Q25" s="9"/>
      <c r="R25" s="9"/>
      <c r="S25" s="9"/>
      <c r="T25" s="9"/>
      <c r="U25" s="9"/>
      <c r="V25" s="9"/>
      <c r="W25" s="9"/>
      <c r="X25" s="9"/>
      <c r="Y25" s="9"/>
      <c r="Z25" s="9"/>
      <c r="AA25" s="9"/>
      <c r="AB25" s="9"/>
      <c r="AC25" s="9"/>
      <c r="AD25" s="9"/>
      <c r="AE25" s="9"/>
      <c r="AF25" s="9"/>
    </row>
    <row r="26">
      <c r="A26" s="15">
        <v>26.0</v>
      </c>
      <c r="B26" s="16" t="s">
        <v>1068</v>
      </c>
      <c r="C26" s="16" t="s">
        <v>1069</v>
      </c>
      <c r="D26" s="16" t="s">
        <v>1070</v>
      </c>
      <c r="E26" s="17" t="s">
        <v>1071</v>
      </c>
      <c r="F26" s="9"/>
      <c r="G26" s="15">
        <v>26.0</v>
      </c>
      <c r="H26" s="9" t="str">
        <f>IFERROR(__xludf.DUMMYFUNCTION("GOOGLETRANSLATE(B26,""ar"",""en"")"),"You have been invited to participate in an international wrestling camp. What do you do?")</f>
        <v>You have been invited to participate in an international wrestling camp. What do you do?</v>
      </c>
      <c r="I26" s="9" t="str">
        <f>IFERROR(__xludf.DUMMYFUNCTION("GOOGLETRANSLATE(B26,""ar"",""en"")"),"You have been invited to participate in an international wrestling camp. What do you do?")</f>
        <v>You have been invited to participate in an international wrestling camp. What do you do?</v>
      </c>
      <c r="J26" s="9" t="str">
        <f>IFERROR(__xludf.DUMMYFUNCTION("GOOGLETRANSLATE(D26,""ar"",""en"")"),"a) Accepting the invitation enthusiastically")</f>
        <v>a) Accepting the invitation enthusiastically</v>
      </c>
      <c r="K26" s="9" t="str">
        <f>IFERROR(__xludf.DUMMYFUNCTION("GOOGLETRANSLATE(E26,""ar"",""en"")"),"International exposure expands your skills.")</f>
        <v>International exposure expands your skills.</v>
      </c>
      <c r="L26" s="9"/>
      <c r="M26" s="9"/>
      <c r="N26" s="9"/>
      <c r="O26" s="9"/>
      <c r="P26" s="9"/>
      <c r="Q26" s="9"/>
      <c r="R26" s="9"/>
      <c r="S26" s="9"/>
      <c r="T26" s="9"/>
      <c r="U26" s="9"/>
      <c r="V26" s="9"/>
      <c r="W26" s="9"/>
      <c r="X26" s="9"/>
      <c r="Y26" s="9"/>
      <c r="Z26" s="9"/>
      <c r="AA26" s="9"/>
      <c r="AB26" s="9"/>
      <c r="AC26" s="9"/>
      <c r="AD26" s="9"/>
      <c r="AE26" s="9"/>
      <c r="AF26" s="9"/>
    </row>
    <row r="27">
      <c r="A27" s="12">
        <v>27.0</v>
      </c>
      <c r="B27" s="13" t="s">
        <v>1072</v>
      </c>
      <c r="C27" s="13" t="s">
        <v>1073</v>
      </c>
      <c r="D27" s="13" t="s">
        <v>1074</v>
      </c>
      <c r="E27" s="14" t="s">
        <v>1075</v>
      </c>
      <c r="F27" s="9"/>
      <c r="G27" s="12">
        <v>27.0</v>
      </c>
      <c r="H27" s="9" t="str">
        <f>IFERROR(__xludf.DUMMYFUNCTION("GOOGLETRANSLATE(B27,""ar"",""en"")"),"Your team loses a crucial championship. How do you deal with that?")</f>
        <v>Your team loses a crucial championship. How do you deal with that?</v>
      </c>
      <c r="I27" s="9" t="str">
        <f>IFERROR(__xludf.DUMMYFUNCTION("GOOGLETRANSLATE(B27,""ar"",""en"")"),"Your team loses a crucial championship. How do you deal with that?")</f>
        <v>Your team loses a crucial championship. How do you deal with that?</v>
      </c>
      <c r="J27" s="9" t="str">
        <f>IFERROR(__xludf.DUMMYFUNCTION("GOOGLETRANSLATE(D27,""ar"",""en"")"),"a) Analysis of weaknesses")</f>
        <v>a) Analysis of weaknesses</v>
      </c>
      <c r="K27" s="9" t="str">
        <f>IFERROR(__xludf.DUMMYFUNCTION("GOOGLETRANSLATE(E27,""ar"",""en"")"),"Loss is an opportunity to learn and grow.")</f>
        <v>Loss is an opportunity to learn and grow.</v>
      </c>
      <c r="L27" s="9"/>
      <c r="M27" s="9"/>
      <c r="N27" s="9"/>
      <c r="O27" s="9"/>
      <c r="P27" s="9"/>
      <c r="Q27" s="9"/>
      <c r="R27" s="9"/>
      <c r="S27" s="9"/>
      <c r="T27" s="9"/>
      <c r="U27" s="9"/>
      <c r="V27" s="9"/>
      <c r="W27" s="9"/>
      <c r="X27" s="9"/>
      <c r="Y27" s="9"/>
      <c r="Z27" s="9"/>
      <c r="AA27" s="9"/>
      <c r="AB27" s="9"/>
      <c r="AC27" s="9"/>
      <c r="AD27" s="9"/>
      <c r="AE27" s="9"/>
      <c r="AF27" s="9"/>
    </row>
    <row r="28">
      <c r="A28" s="15">
        <v>28.0</v>
      </c>
      <c r="B28" s="16" t="s">
        <v>1076</v>
      </c>
      <c r="C28" s="16" t="s">
        <v>1077</v>
      </c>
      <c r="D28" s="16" t="s">
        <v>1078</v>
      </c>
      <c r="E28" s="17" t="s">
        <v>1079</v>
      </c>
      <c r="F28" s="9"/>
      <c r="G28" s="15">
        <v>28.0</v>
      </c>
      <c r="H28" s="9" t="str">
        <f>IFERROR(__xludf.DUMMYFUNCTION("GOOGLETRANSLATE(B28,""ar"",""en"")"),"You feel tired but you have your last training session. What do you do?")</f>
        <v>You feel tired but you have your last training session. What do you do?</v>
      </c>
      <c r="I28" s="9" t="str">
        <f>IFERROR(__xludf.DUMMYFUNCTION("GOOGLETRANSLATE(B28,""ar"",""en"")"),"You feel tired but you have your last training session. What do you do?")</f>
        <v>You feel tired but you have your last training session. What do you do?</v>
      </c>
      <c r="J28" s="9" t="str">
        <f>IFERROR(__xludf.DUMMYFUNCTION("GOOGLETRANSLATE(D28,""ar"",""en"")"),"a) Complete the training carefully")</f>
        <v>a) Complete the training carefully</v>
      </c>
      <c r="K28" s="9" t="str">
        <f>IFERROR(__xludf.DUMMYFUNCTION("GOOGLETRANSLATE(E28,""ar"",""en"")"),"Continuous effort improves endurance and skills.")</f>
        <v>Continuous effort improves endurance and skills.</v>
      </c>
      <c r="L28" s="9"/>
      <c r="M28" s="9"/>
      <c r="N28" s="9"/>
      <c r="O28" s="9"/>
      <c r="P28" s="9"/>
      <c r="Q28" s="9"/>
      <c r="R28" s="9"/>
      <c r="S28" s="9"/>
      <c r="T28" s="9"/>
      <c r="U28" s="9"/>
      <c r="V28" s="9"/>
      <c r="W28" s="9"/>
      <c r="X28" s="9"/>
      <c r="Y28" s="9"/>
      <c r="Z28" s="9"/>
      <c r="AA28" s="9"/>
      <c r="AB28" s="9"/>
      <c r="AC28" s="9"/>
      <c r="AD28" s="9"/>
      <c r="AE28" s="9"/>
      <c r="AF28" s="9"/>
    </row>
    <row r="29">
      <c r="A29" s="12">
        <v>29.0</v>
      </c>
      <c r="B29" s="13" t="s">
        <v>1080</v>
      </c>
      <c r="C29" s="13" t="s">
        <v>1081</v>
      </c>
      <c r="D29" s="13" t="s">
        <v>1082</v>
      </c>
      <c r="E29" s="14" t="s">
        <v>1083</v>
      </c>
      <c r="F29" s="9"/>
      <c r="G29" s="12">
        <v>29.0</v>
      </c>
      <c r="H29" s="9" t="str">
        <f>IFERROR(__xludf.DUMMYFUNCTION("GOOGLETRANSLATE(B29,""ar"",""en"")"),"You notice that the equipment is unsafe during training. What do you do?")</f>
        <v>You notice that the equipment is unsafe during training. What do you do?</v>
      </c>
      <c r="I29" s="9" t="str">
        <f>IFERROR(__xludf.DUMMYFUNCTION("GOOGLETRANSLATE(B29,""ar"",""en"")"),"You notice that the equipment is unsafe during training. What do you do?")</f>
        <v>You notice that the equipment is unsafe during training. What do you do?</v>
      </c>
      <c r="J29" s="9" t="str">
        <f>IFERROR(__xludf.DUMMYFUNCTION("GOOGLETRANSLATE(D29,""ar"",""en"")"),"a) Inform the coach immediately")</f>
        <v>a) Inform the coach immediately</v>
      </c>
      <c r="K29" s="9" t="str">
        <f>IFERROR(__xludf.DUMMYFUNCTION("GOOGLETRANSLATE(E29,""ar"",""en"")"),"Safety is fundamental in training to ensure long-term success.")</f>
        <v>Safety is fundamental in training to ensure long-term success.</v>
      </c>
      <c r="L29" s="9"/>
      <c r="M29" s="9"/>
      <c r="N29" s="9"/>
      <c r="O29" s="9"/>
      <c r="P29" s="9"/>
      <c r="Q29" s="9"/>
      <c r="R29" s="9"/>
      <c r="S29" s="9"/>
      <c r="T29" s="9"/>
      <c r="U29" s="9"/>
      <c r="V29" s="9"/>
      <c r="W29" s="9"/>
      <c r="X29" s="9"/>
      <c r="Y29" s="9"/>
      <c r="Z29" s="9"/>
      <c r="AA29" s="9"/>
      <c r="AB29" s="9"/>
      <c r="AC29" s="9"/>
      <c r="AD29" s="9"/>
      <c r="AE29" s="9"/>
      <c r="AF29" s="9"/>
    </row>
    <row r="30">
      <c r="A30" s="15">
        <v>30.0</v>
      </c>
      <c r="B30" s="16" t="s">
        <v>1084</v>
      </c>
      <c r="C30" s="16" t="s">
        <v>1085</v>
      </c>
      <c r="D30" s="16" t="s">
        <v>1086</v>
      </c>
      <c r="E30" s="17" t="s">
        <v>1087</v>
      </c>
      <c r="F30" s="9"/>
      <c r="G30" s="15">
        <v>30.0</v>
      </c>
      <c r="H30" s="9" t="str">
        <f>IFERROR(__xludf.DUMMYFUNCTION("GOOGLETRANSLATE(B30,""ar"",""en"")"),"You've been invited to a wrestling show at school. How do you prepare?")</f>
        <v>You've been invited to a wrestling show at school. How do you prepare?</v>
      </c>
      <c r="I30" s="9" t="str">
        <f>IFERROR(__xludf.DUMMYFUNCTION("GOOGLETRANSLATE(B30,""ar"",""en"")"),"You've been invited to a wrestling show at school. How do you prepare?")</f>
        <v>You've been invited to a wrestling show at school. How do you prepare?</v>
      </c>
      <c r="J30" s="9" t="str">
        <f>IFERROR(__xludf.DUMMYFUNCTION("GOOGLETRANSLATE(D30,""ar"",""en"")"),"a) Clear presentation plan")</f>
        <v>a) Clear presentation plan</v>
      </c>
      <c r="K30" s="9" t="str">
        <f>IFERROR(__xludf.DUMMYFUNCTION("GOOGLETRANSLATE(E30,""ar"",""en"")"),"The attractive shows inspire future wrestlers.")</f>
        <v>The attractive shows inspire future wrestlers.</v>
      </c>
      <c r="L30" s="9"/>
      <c r="M30" s="9"/>
      <c r="N30" s="9"/>
      <c r="O30" s="9"/>
      <c r="P30" s="9"/>
      <c r="Q30" s="9"/>
      <c r="R30" s="9"/>
      <c r="S30" s="9"/>
      <c r="T30" s="9"/>
      <c r="U30" s="9"/>
      <c r="V30" s="9"/>
      <c r="W30" s="9"/>
      <c r="X30" s="9"/>
      <c r="Y30" s="9"/>
      <c r="Z30" s="9"/>
      <c r="AA30" s="9"/>
      <c r="AB30" s="9"/>
      <c r="AC30" s="9"/>
      <c r="AD30" s="9"/>
      <c r="AE30" s="9"/>
      <c r="AF30" s="9"/>
    </row>
    <row r="31">
      <c r="A31" s="12">
        <v>31.0</v>
      </c>
      <c r="B31" s="13" t="s">
        <v>1088</v>
      </c>
      <c r="C31" s="13" t="s">
        <v>1089</v>
      </c>
      <c r="D31" s="13" t="s">
        <v>1090</v>
      </c>
      <c r="E31" s="14" t="s">
        <v>1091</v>
      </c>
      <c r="F31" s="9"/>
      <c r="G31" s="12">
        <v>31.0</v>
      </c>
      <c r="H31" s="9" t="str">
        <f>IFERROR(__xludf.DUMMYFUNCTION("GOOGLETRANSLATE(B31,""ar"",""en"")"),"During exercise, I felt muscle fatigue. What should I do?")</f>
        <v>During exercise, I felt muscle fatigue. What should I do?</v>
      </c>
      <c r="I31" s="9" t="str">
        <f>IFERROR(__xludf.DUMMYFUNCTION("GOOGLETRANSLATE(B31,""ar"",""en"")"),"During exercise, I felt muscle fatigue. What should I do?")</f>
        <v>During exercise, I felt muscle fatigue. What should I do?</v>
      </c>
      <c r="J31" s="9" t="str">
        <f>IFERROR(__xludf.DUMMYFUNCTION("GOOGLETRANSLATE(D31,""ar"",""en"")"),"a) Take a short break")</f>
        <v>a) Take a short break</v>
      </c>
      <c r="K31" s="9" t="str">
        <f>IFERROR(__xludf.DUMMYFUNCTION("GOOGLETRANSLATE(E31,""ar"",""en"")"),"Taking a break helps prevent injuries.")</f>
        <v>Taking a break helps prevent injuries.</v>
      </c>
      <c r="L31" s="9"/>
      <c r="M31" s="9"/>
      <c r="N31" s="9"/>
      <c r="O31" s="9"/>
      <c r="P31" s="9"/>
      <c r="Q31" s="9"/>
      <c r="R31" s="9"/>
      <c r="S31" s="9"/>
      <c r="T31" s="9"/>
      <c r="U31" s="9"/>
      <c r="V31" s="9"/>
      <c r="W31" s="9"/>
      <c r="X31" s="9"/>
      <c r="Y31" s="9"/>
      <c r="Z31" s="9"/>
      <c r="AA31" s="9"/>
      <c r="AB31" s="9"/>
      <c r="AC31" s="9"/>
      <c r="AD31" s="9"/>
      <c r="AE31" s="9"/>
      <c r="AF31" s="9"/>
    </row>
    <row r="32">
      <c r="A32" s="15">
        <v>32.0</v>
      </c>
      <c r="B32" s="16" t="s">
        <v>1092</v>
      </c>
      <c r="C32" s="16" t="s">
        <v>1093</v>
      </c>
      <c r="D32" s="16" t="s">
        <v>1094</v>
      </c>
      <c r="E32" s="17" t="s">
        <v>1095</v>
      </c>
      <c r="F32" s="9"/>
      <c r="G32" s="15">
        <v>32.0</v>
      </c>
      <c r="H32" s="9" t="str">
        <f>IFERROR(__xludf.DUMMYFUNCTION("GOOGLETRANSLATE(B32,""ar"",""en"")"),"You're the team captain and the atmosphere is tense before the match. How do you calm the team down?")</f>
        <v>You're the team captain and the atmosphere is tense before the match. How do you calm the team down?</v>
      </c>
      <c r="I32" s="9" t="str">
        <f>IFERROR(__xludf.DUMMYFUNCTION("GOOGLETRANSLATE(B32,""ar"",""en"")"),"You're the team captain and the atmosphere is tense before the match. How do you calm the team down?")</f>
        <v>You're the team captain and the atmosphere is tense before the match. How do you calm the team down?</v>
      </c>
      <c r="J32" s="9" t="str">
        <f>IFERROR(__xludf.DUMMYFUNCTION("GOOGLETRANSLATE(D32,""ar"",""en"")"),"a) Speaking positively")</f>
        <v>a) Speaking positively</v>
      </c>
      <c r="K32" s="9" t="str">
        <f>IFERROR(__xludf.DUMMYFUNCTION("GOOGLETRANSLATE(E32,""ar"",""en"")"),"Good leadership builds trust in the team.")</f>
        <v>Good leadership builds trust in the team.</v>
      </c>
      <c r="L32" s="9"/>
      <c r="M32" s="9"/>
      <c r="N32" s="9"/>
      <c r="O32" s="9"/>
      <c r="P32" s="9"/>
      <c r="Q32" s="9"/>
      <c r="R32" s="9"/>
      <c r="S32" s="9"/>
      <c r="T32" s="9"/>
      <c r="U32" s="9"/>
      <c r="V32" s="9"/>
      <c r="W32" s="9"/>
      <c r="X32" s="9"/>
      <c r="Y32" s="9"/>
      <c r="Z32" s="9"/>
      <c r="AA32" s="9"/>
      <c r="AB32" s="9"/>
      <c r="AC32" s="9"/>
      <c r="AD32" s="9"/>
      <c r="AE32" s="9"/>
      <c r="AF32" s="9"/>
    </row>
    <row r="33">
      <c r="A33" s="12">
        <v>33.0</v>
      </c>
      <c r="B33" s="13" t="s">
        <v>1096</v>
      </c>
      <c r="C33" s="13" t="s">
        <v>1097</v>
      </c>
      <c r="D33" s="13" t="s">
        <v>1098</v>
      </c>
      <c r="E33" s="14" t="s">
        <v>1099</v>
      </c>
      <c r="F33" s="9"/>
      <c r="G33" s="12">
        <v>33.0</v>
      </c>
      <c r="H33" s="9" t="str">
        <f>IFERROR(__xludf.DUMMYFUNCTION("GOOGLETRANSLATE(B33,""ar"",""en"")"),"You are about to participate in a crucial wrestling match. What do you do?")</f>
        <v>You are about to participate in a crucial wrestling match. What do you do?</v>
      </c>
      <c r="I33" s="9" t="str">
        <f>IFERROR(__xludf.DUMMYFUNCTION("GOOGLETRANSLATE(B33,""ar"",""en"")"),"You are about to participate in a crucial wrestling match. What do you do?")</f>
        <v>You are about to participate in a crucial wrestling match. What do you do?</v>
      </c>
      <c r="J33" s="9" t="str">
        <f>IFERROR(__xludf.DUMMYFUNCTION("GOOGLETRANSLATE(D33,""ar"",""en"")"),"a) Focus on the plan")</f>
        <v>a) Focus on the plan</v>
      </c>
      <c r="K33" s="9" t="str">
        <f>IFERROR(__xludf.DUMMYFUNCTION("GOOGLETRANSLATE(E33,""ar"",""en"")"),"Focusing on strategy enhances performance.")</f>
        <v>Focusing on strategy enhances performance.</v>
      </c>
      <c r="L33" s="9"/>
      <c r="M33" s="9"/>
      <c r="N33" s="9"/>
      <c r="O33" s="9"/>
      <c r="P33" s="9"/>
      <c r="Q33" s="9"/>
      <c r="R33" s="9"/>
      <c r="S33" s="9"/>
      <c r="T33" s="9"/>
      <c r="U33" s="9"/>
      <c r="V33" s="9"/>
      <c r="W33" s="9"/>
      <c r="X33" s="9"/>
      <c r="Y33" s="9"/>
      <c r="Z33" s="9"/>
      <c r="AA33" s="9"/>
      <c r="AB33" s="9"/>
      <c r="AC33" s="9"/>
      <c r="AD33" s="9"/>
      <c r="AE33" s="9"/>
      <c r="AF33" s="9"/>
    </row>
    <row r="34">
      <c r="A34" s="15">
        <v>34.0</v>
      </c>
      <c r="B34" s="16" t="s">
        <v>1100</v>
      </c>
      <c r="C34" s="16" t="s">
        <v>1101</v>
      </c>
      <c r="D34" s="16" t="s">
        <v>1102</v>
      </c>
      <c r="E34" s="17" t="s">
        <v>1103</v>
      </c>
      <c r="F34" s="9"/>
      <c r="G34" s="15">
        <v>34.0</v>
      </c>
      <c r="H34" s="9" t="str">
        <f>IFERROR(__xludf.DUMMYFUNCTION("GOOGLETRANSLATE(B34,""ar"",""en"")"),"During a shift training session, I noticed that another colleague wasn't performing at his best. What do you do?")</f>
        <v>During a shift training session, I noticed that another colleague wasn't performing at his best. What do you do?</v>
      </c>
      <c r="I34" s="9" t="str">
        <f>IFERROR(__xludf.DUMMYFUNCTION("GOOGLETRANSLATE(B34,""ar"",""en"")"),"During a shift training session, I noticed that another colleague wasn't performing at his best. What do you do?")</f>
        <v>During a shift training session, I noticed that another colleague wasn't performing at his best. What do you do?</v>
      </c>
      <c r="J34" s="9" t="str">
        <f>IFERROR(__xludf.DUMMYFUNCTION("GOOGLETRANSLATE(D34,""ar"",""en"")"),"a) Helping him improve performance")</f>
        <v>a) Helping him improve performance</v>
      </c>
      <c r="K34" s="9" t="str">
        <f>IFERROR(__xludf.DUMMYFUNCTION("GOOGLETRANSLATE(E34,""ar"",""en"")"),"Teamwork strengthens the entire team.")</f>
        <v>Teamwork strengthens the entire team.</v>
      </c>
      <c r="L34" s="9"/>
      <c r="M34" s="9"/>
      <c r="N34" s="9"/>
      <c r="O34" s="9"/>
      <c r="P34" s="9"/>
      <c r="Q34" s="9"/>
      <c r="R34" s="9"/>
      <c r="S34" s="9"/>
      <c r="T34" s="9"/>
      <c r="U34" s="9"/>
      <c r="V34" s="9"/>
      <c r="W34" s="9"/>
      <c r="X34" s="9"/>
      <c r="Y34" s="9"/>
      <c r="Z34" s="9"/>
      <c r="AA34" s="9"/>
      <c r="AB34" s="9"/>
      <c r="AC34" s="9"/>
      <c r="AD34" s="9"/>
      <c r="AE34" s="9"/>
      <c r="AF34" s="9"/>
    </row>
    <row r="35">
      <c r="A35" s="12">
        <v>35.0</v>
      </c>
      <c r="B35" s="13" t="s">
        <v>1104</v>
      </c>
      <c r="C35" s="13" t="s">
        <v>1105</v>
      </c>
      <c r="D35" s="13" t="s">
        <v>1106</v>
      </c>
      <c r="E35" s="14" t="s">
        <v>1107</v>
      </c>
      <c r="F35" s="9"/>
      <c r="G35" s="12">
        <v>35.0</v>
      </c>
      <c r="H35" s="9" t="str">
        <f>IFERROR(__xludf.DUMMYFUNCTION("GOOGLETRANSLATE(B35,""ar"",""en"")"),"I was worried about facing a stronger opponent. How do you deal with that?")</f>
        <v>I was worried about facing a stronger opponent. How do you deal with that?</v>
      </c>
      <c r="I35" s="9" t="str">
        <f>IFERROR(__xludf.DUMMYFUNCTION("GOOGLETRANSLATE(B35,""ar"",""en"")"),"I was worried about facing a stronger opponent. How do you deal with that?")</f>
        <v>I was worried about facing a stronger opponent. How do you deal with that?</v>
      </c>
      <c r="J35" s="9" t="str">
        <f>IFERROR(__xludf.DUMMYFUNCTION("GOOGLETRANSLATE(D35,""ar"",""en"")"),"a) Focus on your strengths")</f>
        <v>a) Focus on your strengths</v>
      </c>
      <c r="K35" s="9" t="str">
        <f>IFERROR(__xludf.DUMMYFUNCTION("GOOGLETRANSLATE(E35,""ar"",""en"")"),"Self-confidence helps you win.")</f>
        <v>Self-confidence helps you win.</v>
      </c>
      <c r="L35" s="9"/>
      <c r="M35" s="9"/>
      <c r="N35" s="9"/>
      <c r="O35" s="9"/>
      <c r="P35" s="9"/>
      <c r="Q35" s="9"/>
      <c r="R35" s="9"/>
      <c r="S35" s="9"/>
      <c r="T35" s="9"/>
      <c r="U35" s="9"/>
      <c r="V35" s="9"/>
      <c r="W35" s="9"/>
      <c r="X35" s="9"/>
      <c r="Y35" s="9"/>
      <c r="Z35" s="9"/>
      <c r="AA35" s="9"/>
      <c r="AB35" s="9"/>
      <c r="AC35" s="9"/>
      <c r="AD35" s="9"/>
      <c r="AE35" s="9"/>
      <c r="AF35" s="9"/>
    </row>
    <row r="36">
      <c r="A36" s="15">
        <v>36.0</v>
      </c>
      <c r="B36" s="16" t="s">
        <v>1108</v>
      </c>
      <c r="C36" s="16" t="s">
        <v>1109</v>
      </c>
      <c r="D36" s="16" t="s">
        <v>1110</v>
      </c>
      <c r="E36" s="17" t="s">
        <v>1111</v>
      </c>
      <c r="F36" s="9"/>
      <c r="G36" s="15">
        <v>36.0</v>
      </c>
      <c r="H36" s="9" t="str">
        <f>IFERROR(__xludf.DUMMYFUNCTION("GOOGLETRANSLATE(B36,""ar"",""en"")"),"During a match, your opponent makes unexpected moves. What do you do?")</f>
        <v>During a match, your opponent makes unexpected moves. What do you do?</v>
      </c>
      <c r="I36" s="9" t="str">
        <f>IFERROR(__xludf.DUMMYFUNCTION("GOOGLETRANSLATE(B36,""ar"",""en"")"),"During a match, your opponent makes unexpected moves. What do you do?")</f>
        <v>During a match, your opponent makes unexpected moves. What do you do?</v>
      </c>
      <c r="J36" s="9" t="str">
        <f>IFERROR(__xludf.DUMMYFUNCTION("GOOGLETRANSLATE(D36,""ar"",""en"")"),"a) Adapting to movements")</f>
        <v>a) Adapting to movements</v>
      </c>
      <c r="K36" s="9" t="str">
        <f>IFERROR(__xludf.DUMMYFUNCTION("GOOGLETRANSLATE(E36,""ar"",""en"")"),"Flexibility is essential to meet the challenges posed by the opponent.")</f>
        <v>Flexibility is essential to meet the challenges posed by the opponent.</v>
      </c>
      <c r="L36" s="9"/>
      <c r="M36" s="9"/>
      <c r="N36" s="9"/>
      <c r="O36" s="9"/>
      <c r="P36" s="9"/>
      <c r="Q36" s="9"/>
      <c r="R36" s="9"/>
      <c r="S36" s="9"/>
      <c r="T36" s="9"/>
      <c r="U36" s="9"/>
      <c r="V36" s="9"/>
      <c r="W36" s="9"/>
      <c r="X36" s="9"/>
      <c r="Y36" s="9"/>
      <c r="Z36" s="9"/>
      <c r="AA36" s="9"/>
      <c r="AB36" s="9"/>
      <c r="AC36" s="9"/>
      <c r="AD36" s="9"/>
      <c r="AE36" s="9"/>
      <c r="AF36" s="9"/>
    </row>
    <row r="37">
      <c r="A37" s="12">
        <v>37.0</v>
      </c>
      <c r="B37" s="13" t="s">
        <v>1112</v>
      </c>
      <c r="C37" s="13" t="s">
        <v>1113</v>
      </c>
      <c r="D37" s="13" t="s">
        <v>1114</v>
      </c>
      <c r="E37" s="14" t="s">
        <v>1115</v>
      </c>
      <c r="F37" s="9"/>
      <c r="G37" s="12">
        <v>37.0</v>
      </c>
      <c r="H37" s="9" t="str">
        <f>IFERROR(__xludf.DUMMYFUNCTION("GOOGLETRANSLATE(B37,""ar"",""en"")"),"You had a chance to win, but your opponent launched a surprise attack. How do you deal with it?")</f>
        <v>You had a chance to win, but your opponent launched a surprise attack. How do you deal with it?</v>
      </c>
      <c r="I37" s="9" t="str">
        <f>IFERROR(__xludf.DUMMYFUNCTION("GOOGLETRANSLATE(B37,""ar"",""en"")"),"You had a chance to win, but your opponent launched a surprise attack. How do you deal with it?")</f>
        <v>You had a chance to win, but your opponent launched a surprise attack. How do you deal with it?</v>
      </c>
      <c r="J37" s="9" t="str">
        <f>IFERROR(__xludf.DUMMYFUNCTION("GOOGLETRANSLATE(D37,""ar"",""en"")"),"a) Resisting and attempting to regain control")</f>
        <v>a) Resisting and attempting to regain control</v>
      </c>
      <c r="K37" s="9" t="str">
        <f>IFERROR(__xludf.DUMMYFUNCTION("GOOGLETRANSLATE(E37,""ar"",""en"")"),"Resilience enhances mental strength.")</f>
        <v>Resilience enhances mental strength.</v>
      </c>
      <c r="L37" s="9"/>
      <c r="M37" s="9"/>
      <c r="N37" s="9"/>
      <c r="O37" s="9"/>
      <c r="P37" s="9"/>
      <c r="Q37" s="9"/>
      <c r="R37" s="9"/>
      <c r="S37" s="9"/>
      <c r="T37" s="9"/>
      <c r="U37" s="9"/>
      <c r="V37" s="9"/>
      <c r="W37" s="9"/>
      <c r="X37" s="9"/>
      <c r="Y37" s="9"/>
      <c r="Z37" s="9"/>
      <c r="AA37" s="9"/>
      <c r="AB37" s="9"/>
      <c r="AC37" s="9"/>
      <c r="AD37" s="9"/>
      <c r="AE37" s="9"/>
      <c r="AF37" s="9"/>
    </row>
    <row r="38">
      <c r="A38" s="15">
        <v>38.0</v>
      </c>
      <c r="B38" s="16" t="s">
        <v>1116</v>
      </c>
      <c r="C38" s="16" t="s">
        <v>1117</v>
      </c>
      <c r="D38" s="16" t="s">
        <v>1118</v>
      </c>
      <c r="E38" s="17" t="s">
        <v>1119</v>
      </c>
      <c r="F38" s="9"/>
      <c r="G38" s="15">
        <v>38.0</v>
      </c>
      <c r="H38" s="9" t="str">
        <f>IFERROR(__xludf.DUMMYFUNCTION("GOOGLETRANSLATE(B38,""ar"",""en"")"),"You are facing a fast opponent in a bout. What do you do?")</f>
        <v>You are facing a fast opponent in a bout. What do you do?</v>
      </c>
      <c r="I38" s="9" t="str">
        <f>IFERROR(__xludf.DUMMYFUNCTION("GOOGLETRANSLATE(B38,""ar"",""en"")"),"You are facing a fast opponent in a bout. What do you do?")</f>
        <v>You are facing a fast opponent in a bout. What do you do?</v>
      </c>
      <c r="J38" s="9" t="str">
        <f>IFERROR(__xludf.DUMMYFUNCTION("GOOGLETRANSLATE(D38,""ar"",""en"")"),"a) Focus on defense and timing")</f>
        <v>a) Focus on defense and timing</v>
      </c>
      <c r="K38" s="9" t="str">
        <f>IFERROR(__xludf.DUMMYFUNCTION("GOOGLETRANSLATE(E38,""ar"",""en"")"),"Focusing on precise movements gives you an advantage.")</f>
        <v>Focusing on precise movements gives you an advantage.</v>
      </c>
      <c r="L38" s="9"/>
      <c r="M38" s="9"/>
      <c r="N38" s="9"/>
      <c r="O38" s="9"/>
      <c r="P38" s="9"/>
      <c r="Q38" s="9"/>
      <c r="R38" s="9"/>
      <c r="S38" s="9"/>
      <c r="T38" s="9"/>
      <c r="U38" s="9"/>
      <c r="V38" s="9"/>
      <c r="W38" s="9"/>
      <c r="X38" s="9"/>
      <c r="Y38" s="9"/>
      <c r="Z38" s="9"/>
      <c r="AA38" s="9"/>
      <c r="AB38" s="9"/>
      <c r="AC38" s="9"/>
      <c r="AD38" s="9"/>
      <c r="AE38" s="9"/>
      <c r="AF38" s="9"/>
    </row>
    <row r="39">
      <c r="A39" s="12">
        <v>39.0</v>
      </c>
      <c r="B39" s="13" t="s">
        <v>1120</v>
      </c>
      <c r="C39" s="13" t="s">
        <v>1121</v>
      </c>
      <c r="D39" s="13" t="s">
        <v>1122</v>
      </c>
      <c r="E39" s="14" t="s">
        <v>1123</v>
      </c>
      <c r="F39" s="9"/>
      <c r="G39" s="12">
        <v>39.0</v>
      </c>
      <c r="H39" s="9" t="str">
        <f>IFERROR(__xludf.DUMMYFUNCTION("GOOGLETRANSLATE(B39,""ar"",""en"")"),"During exercise, you experience fatigue. How do you cope?")</f>
        <v>During exercise, you experience fatigue. How do you cope?</v>
      </c>
      <c r="I39" s="9" t="str">
        <f>IFERROR(__xludf.DUMMYFUNCTION("GOOGLETRANSLATE(B39,""ar"",""en"")"),"During exercise, you experience fatigue. How do you cope?")</f>
        <v>During exercise, you experience fatigue. How do you cope?</v>
      </c>
      <c r="J39" s="9" t="str">
        <f>IFERROR(__xludf.DUMMYFUNCTION("GOOGLETRANSLATE(D39,""ar"",""en"")"),"a) Rest and short breaks")</f>
        <v>a) Rest and short breaks</v>
      </c>
      <c r="K39" s="9" t="str">
        <f>IFERROR(__xludf.DUMMYFUNCTION("GOOGLETRANSLATE(E39,""ar"",""en"")"),"Rest helps to restore energy.")</f>
        <v>Rest helps to restore energy.</v>
      </c>
      <c r="L39" s="9"/>
      <c r="M39" s="9"/>
      <c r="N39" s="9"/>
      <c r="O39" s="9"/>
      <c r="P39" s="9"/>
      <c r="Q39" s="9"/>
      <c r="R39" s="9"/>
      <c r="S39" s="9"/>
      <c r="T39" s="9"/>
      <c r="U39" s="9"/>
      <c r="V39" s="9"/>
      <c r="W39" s="9"/>
      <c r="X39" s="9"/>
      <c r="Y39" s="9"/>
      <c r="Z39" s="9"/>
      <c r="AA39" s="9"/>
      <c r="AB39" s="9"/>
      <c r="AC39" s="9"/>
      <c r="AD39" s="9"/>
      <c r="AE39" s="9"/>
      <c r="AF39" s="9"/>
    </row>
    <row r="40">
      <c r="A40" s="15">
        <v>40.0</v>
      </c>
      <c r="B40" s="16" t="s">
        <v>1124</v>
      </c>
      <c r="C40" s="16" t="s">
        <v>1125</v>
      </c>
      <c r="D40" s="16" t="s">
        <v>1126</v>
      </c>
      <c r="E40" s="17" t="s">
        <v>1127</v>
      </c>
      <c r="F40" s="9"/>
      <c r="G40" s="15">
        <v>40.0</v>
      </c>
      <c r="H40" s="9" t="str">
        <f>IFERROR(__xludf.DUMMYFUNCTION("GOOGLETRANSLATE(B40,""ar"",""en"")"),"Your teammate is under a lot of pressure before an important match. What do you do?")</f>
        <v>Your teammate is under a lot of pressure before an important match. What do you do?</v>
      </c>
      <c r="I40" s="9" t="str">
        <f>IFERROR(__xludf.DUMMYFUNCTION("GOOGLETRANSLATE(B40,""ar"",""en"")"),"Your teammate is under a lot of pressure before an important match. What do you do?")</f>
        <v>Your teammate is under a lot of pressure before an important match. What do you do?</v>
      </c>
      <c r="J40" s="9" t="str">
        <f>IFERROR(__xludf.DUMMYFUNCTION("GOOGLETRANSLATE(D40,""ar"",""en"")"),"a) Encouraging and providing support")</f>
        <v>a) Encouraging and providing support</v>
      </c>
      <c r="K40" s="9" t="str">
        <f>IFERROR(__xludf.DUMMYFUNCTION("GOOGLETRANSLATE(E40,""ar"",""en"")"),"Psychological support greatly enhances performance.")</f>
        <v>Psychological support greatly enhances performance.</v>
      </c>
      <c r="L40" s="9"/>
      <c r="M40" s="9"/>
      <c r="N40" s="9"/>
      <c r="O40" s="9"/>
      <c r="P40" s="9"/>
      <c r="Q40" s="9"/>
      <c r="R40" s="9"/>
      <c r="S40" s="9"/>
      <c r="T40" s="9"/>
      <c r="U40" s="9"/>
      <c r="V40" s="9"/>
      <c r="W40" s="9"/>
      <c r="X40" s="9"/>
      <c r="Y40" s="9"/>
      <c r="Z40" s="9"/>
      <c r="AA40" s="9"/>
      <c r="AB40" s="9"/>
      <c r="AC40" s="9"/>
      <c r="AD40" s="9"/>
      <c r="AE40" s="9"/>
      <c r="AF40" s="9"/>
    </row>
    <row r="41">
      <c r="A41" s="12">
        <v>41.0</v>
      </c>
      <c r="B41" s="13" t="s">
        <v>1128</v>
      </c>
      <c r="C41" s="13" t="s">
        <v>1129</v>
      </c>
      <c r="D41" s="13" t="s">
        <v>1130</v>
      </c>
      <c r="E41" s="14" t="s">
        <v>1131</v>
      </c>
      <c r="F41" s="9"/>
      <c r="G41" s="12">
        <v>41.0</v>
      </c>
      <c r="H41" s="9" t="str">
        <f>IFERROR(__xludf.DUMMYFUNCTION("GOOGLETRANSLATE(B41,""ar"",""en"")"),"You are in a defensive position during a match. What do you do?")</f>
        <v>You are in a defensive position during a match. What do you do?</v>
      </c>
      <c r="I41" s="9" t="str">
        <f>IFERROR(__xludf.DUMMYFUNCTION("GOOGLETRANSLATE(B41,""ar"",""en"")"),"You are in a defensive position during a match. What do you do?")</f>
        <v>You are in a defensive position during a match. What do you do?</v>
      </c>
      <c r="J41" s="9" t="str">
        <f>IFERROR(__xludf.DUMMYFUNCTION("GOOGLETRANSLATE(D41,""ar"",""en"")"),"a) Attempting to attack at the opportune moment")</f>
        <v>a) Attempting to attack at the opportune moment</v>
      </c>
      <c r="K41" s="9" t="str">
        <f>IFERROR(__xludf.DUMMYFUNCTION("GOOGLETRANSLATE(E41,""ar"",""en"")"),"The shift from defense to attack enhances the chances of winning.")</f>
        <v>The shift from defense to attack enhances the chances of winning.</v>
      </c>
      <c r="L41" s="9"/>
      <c r="M41" s="9"/>
      <c r="N41" s="9"/>
      <c r="O41" s="9"/>
      <c r="P41" s="9"/>
      <c r="Q41" s="9"/>
      <c r="R41" s="9"/>
      <c r="S41" s="9"/>
      <c r="T41" s="9"/>
      <c r="U41" s="9"/>
      <c r="V41" s="9"/>
      <c r="W41" s="9"/>
      <c r="X41" s="9"/>
      <c r="Y41" s="9"/>
      <c r="Z41" s="9"/>
      <c r="AA41" s="9"/>
      <c r="AB41" s="9"/>
      <c r="AC41" s="9"/>
      <c r="AD41" s="9"/>
      <c r="AE41" s="9"/>
      <c r="AF41" s="9"/>
    </row>
    <row r="42">
      <c r="A42" s="15">
        <v>42.0</v>
      </c>
      <c r="B42" s="16" t="s">
        <v>1132</v>
      </c>
      <c r="C42" s="16" t="s">
        <v>1133</v>
      </c>
      <c r="D42" s="16" t="s">
        <v>1134</v>
      </c>
      <c r="E42" s="17" t="s">
        <v>1135</v>
      </c>
      <c r="F42" s="9"/>
      <c r="G42" s="15">
        <v>42.0</v>
      </c>
      <c r="H42" s="9" t="str">
        <f>IFERROR(__xludf.DUMMYFUNCTION("GOOGLETRANSLATE(B42,""ar"",""en"")"),"You are the team captain and you feel that one of the players needs to improve his skills. What do you do?")</f>
        <v>You are the team captain and you feel that one of the players needs to improve his skills. What do you do?</v>
      </c>
      <c r="I42" s="9" t="str">
        <f>IFERROR(__xludf.DUMMYFUNCTION("GOOGLETRANSLATE(B42,""ar"",""en"")"),"You are the team captain and you feel that one of the players needs to improve his skills. What do you do?")</f>
        <v>You are the team captain and you feel that one of the players needs to improve his skills. What do you do?</v>
      </c>
      <c r="J42" s="9" t="str">
        <f>IFERROR(__xludf.DUMMYFUNCTION("GOOGLETRANSLATE(D42,""ar"",""en"")"),"a) Working with the player to improve his skills")</f>
        <v>a) Working with the player to improve his skills</v>
      </c>
      <c r="K42" s="9" t="str">
        <f>IFERROR(__xludf.DUMMYFUNCTION("GOOGLETRANSLATE(E42,""ar"",""en"")"),"Helping colleagues improve their skills strengthens the team.")</f>
        <v>Helping colleagues improve their skills strengthens the team.</v>
      </c>
      <c r="L42" s="9"/>
      <c r="M42" s="9"/>
      <c r="N42" s="9"/>
      <c r="O42" s="9"/>
      <c r="P42" s="9"/>
      <c r="Q42" s="9"/>
      <c r="R42" s="9"/>
      <c r="S42" s="9"/>
      <c r="T42" s="9"/>
      <c r="U42" s="9"/>
      <c r="V42" s="9"/>
      <c r="W42" s="9"/>
      <c r="X42" s="9"/>
      <c r="Y42" s="9"/>
      <c r="Z42" s="9"/>
      <c r="AA42" s="9"/>
      <c r="AB42" s="9"/>
      <c r="AC42" s="9"/>
      <c r="AD42" s="9"/>
      <c r="AE42" s="9"/>
      <c r="AF42" s="9"/>
    </row>
    <row r="43">
      <c r="A43" s="12">
        <v>43.0</v>
      </c>
      <c r="B43" s="13" t="s">
        <v>1136</v>
      </c>
      <c r="C43" s="13" t="s">
        <v>1137</v>
      </c>
      <c r="D43" s="13" t="s">
        <v>1138</v>
      </c>
      <c r="E43" s="14" t="s">
        <v>1139</v>
      </c>
      <c r="F43" s="9"/>
      <c r="G43" s="12">
        <v>43.0</v>
      </c>
      <c r="H43" s="9" t="str">
        <f>IFERROR(__xludf.DUMMYFUNCTION("GOOGLETRANSLATE(B43,""ar"",""en"")"),"During training, you are criticized by the coach. How do you react?")</f>
        <v>During training, you are criticized by the coach. How do you react?</v>
      </c>
      <c r="I43" s="9" t="str">
        <f>IFERROR(__xludf.DUMMYFUNCTION("GOOGLETRANSLATE(B43,""ar"",""en"")"),"During training, you are criticized by the coach. How do you react?")</f>
        <v>During training, you are criticized by the coach. How do you react?</v>
      </c>
      <c r="J43" s="9" t="str">
        <f>IFERROR(__xludf.DUMMYFUNCTION("GOOGLETRANSLATE(D43,""ar"",""en"")"),"a) Listening and constructive criticism")</f>
        <v>a) Listening and constructive criticism</v>
      </c>
      <c r="K43" s="9" t="str">
        <f>IFERROR(__xludf.DUMMYFUNCTION("GOOGLETRANSLATE(E43,""ar"",""en"")"),"Development requires listening to and acting upon constructive criticism.")</f>
        <v>Development requires listening to and acting upon constructive criticism.</v>
      </c>
      <c r="L43" s="9"/>
      <c r="M43" s="9"/>
      <c r="N43" s="9"/>
      <c r="O43" s="9"/>
      <c r="P43" s="9"/>
      <c r="Q43" s="9"/>
      <c r="R43" s="9"/>
      <c r="S43" s="9"/>
      <c r="T43" s="9"/>
      <c r="U43" s="9"/>
      <c r="V43" s="9"/>
      <c r="W43" s="9"/>
      <c r="X43" s="9"/>
      <c r="Y43" s="9"/>
      <c r="Z43" s="9"/>
      <c r="AA43" s="9"/>
      <c r="AB43" s="9"/>
      <c r="AC43" s="9"/>
      <c r="AD43" s="9"/>
      <c r="AE43" s="9"/>
      <c r="AF43" s="9"/>
    </row>
    <row r="44">
      <c r="A44" s="15">
        <v>44.0</v>
      </c>
      <c r="B44" s="16" t="s">
        <v>1140</v>
      </c>
      <c r="C44" s="16" t="s">
        <v>1141</v>
      </c>
      <c r="D44" s="16" t="s">
        <v>1142</v>
      </c>
      <c r="E44" s="17" t="s">
        <v>1143</v>
      </c>
      <c r="F44" s="9"/>
      <c r="G44" s="15">
        <v>44.0</v>
      </c>
      <c r="H44" s="9" t="str">
        <f>IFERROR(__xludf.DUMMYFUNCTION("GOOGLETRANSLATE(B44,""ar"",""en"")"),"You need to improve your physical fitness. How do you start?")</f>
        <v>You need to improve your physical fitness. How do you start?</v>
      </c>
      <c r="I44" s="9" t="str">
        <f>IFERROR(__xludf.DUMMYFUNCTION("GOOGLETRANSLATE(B44,""ar"",""en"")"),"You need to improve your physical fitness. How do you start?")</f>
        <v>You need to improve your physical fitness. How do you start?</v>
      </c>
      <c r="J44" s="9" t="str">
        <f>IFERROR(__xludf.DUMMYFUNCTION("GOOGLETRANSLATE(D44,""ar"",""en"")"),"a) Regular exercise")</f>
        <v>a) Regular exercise</v>
      </c>
      <c r="K44" s="9" t="str">
        <f>IFERROR(__xludf.DUMMYFUNCTION("GOOGLETRANSLATE(E44,""ar"",""en"")"),"Physical fitness enhances your performance in matches.")</f>
        <v>Physical fitness enhances your performance in matches.</v>
      </c>
      <c r="L44" s="9"/>
      <c r="M44" s="9"/>
      <c r="N44" s="9"/>
      <c r="O44" s="9"/>
      <c r="P44" s="9"/>
      <c r="Q44" s="9"/>
      <c r="R44" s="9"/>
      <c r="S44" s="9"/>
      <c r="T44" s="9"/>
      <c r="U44" s="9"/>
      <c r="V44" s="9"/>
      <c r="W44" s="9"/>
      <c r="X44" s="9"/>
      <c r="Y44" s="9"/>
      <c r="Z44" s="9"/>
      <c r="AA44" s="9"/>
      <c r="AB44" s="9"/>
      <c r="AC44" s="9"/>
      <c r="AD44" s="9"/>
      <c r="AE44" s="9"/>
      <c r="AF44" s="9"/>
    </row>
    <row r="45">
      <c r="A45" s="12">
        <v>45.0</v>
      </c>
      <c r="B45" s="13" t="s">
        <v>1144</v>
      </c>
      <c r="C45" s="13" t="s">
        <v>1145</v>
      </c>
      <c r="D45" s="13" t="s">
        <v>1146</v>
      </c>
      <c r="E45" s="14" t="s">
        <v>1147</v>
      </c>
      <c r="F45" s="9"/>
      <c r="G45" s="12">
        <v>45.0</v>
      </c>
      <c r="H45" s="9" t="str">
        <f>IFERROR(__xludf.DUMMYFUNCTION("GOOGLETRANSLATE(B45,""ar"",""en"")"),"You are facing an opponent who uses illegal moves. What do you do?")</f>
        <v>You are facing an opponent who uses illegal moves. What do you do?</v>
      </c>
      <c r="I45" s="9" t="str">
        <f>IFERROR(__xludf.DUMMYFUNCTION("GOOGLETRANSLATE(B45,""ar"",""en"")"),"You are facing an opponent who uses illegal moves. What do you do?")</f>
        <v>You are facing an opponent who uses illegal moves. What do you do?</v>
      </c>
      <c r="J45" s="9" t="str">
        <f>IFERROR(__xludf.DUMMYFUNCTION("GOOGLETRANSLATE(D45,""ar"",""en"")"),"a) Notifying the judge")</f>
        <v>a) Notifying the judge</v>
      </c>
      <c r="K45" s="9" t="str">
        <f>IFERROR(__xludf.DUMMYFUNCTION("GOOGLETRANSLATE(E45,""ar"",""en"")"),"Maintaining the integrity of the game requires dealing with illegal moves.")</f>
        <v>Maintaining the integrity of the game requires dealing with illegal moves.</v>
      </c>
      <c r="L45" s="9"/>
      <c r="M45" s="9"/>
      <c r="N45" s="9"/>
      <c r="O45" s="9"/>
      <c r="P45" s="9"/>
      <c r="Q45" s="9"/>
      <c r="R45" s="9"/>
      <c r="S45" s="9"/>
      <c r="T45" s="9"/>
      <c r="U45" s="9"/>
      <c r="V45" s="9"/>
      <c r="W45" s="9"/>
      <c r="X45" s="9"/>
      <c r="Y45" s="9"/>
      <c r="Z45" s="9"/>
      <c r="AA45" s="9"/>
      <c r="AB45" s="9"/>
      <c r="AC45" s="9"/>
      <c r="AD45" s="9"/>
      <c r="AE45" s="9"/>
      <c r="AF45" s="9"/>
    </row>
    <row r="46">
      <c r="A46" s="15">
        <v>46.0</v>
      </c>
      <c r="B46" s="16" t="s">
        <v>1148</v>
      </c>
      <c r="C46" s="16" t="s">
        <v>1149</v>
      </c>
      <c r="D46" s="16" t="s">
        <v>1150</v>
      </c>
      <c r="E46" s="17" t="s">
        <v>1151</v>
      </c>
      <c r="F46" s="9"/>
      <c r="G46" s="15">
        <v>46.0</v>
      </c>
      <c r="H46" s="9" t="str">
        <f>IFERROR(__xludf.DUMMYFUNCTION("GOOGLETRANSLATE(B46,""ar"",""en"")"),"Basic skills training can get boring. How do you deal with it?")</f>
        <v>Basic skills training can get boring. How do you deal with it?</v>
      </c>
      <c r="I46" s="9" t="str">
        <f>IFERROR(__xludf.DUMMYFUNCTION("GOOGLETRANSLATE(B46,""ar"",""en"")"),"Basic skills training can get boring. How do you deal with it?")</f>
        <v>Basic skills training can get boring. How do you deal with it?</v>
      </c>
      <c r="J46" s="9" t="str">
        <f>IFERROR(__xludf.DUMMYFUNCTION("GOOGLETRANSLATE(D46,""ar"",""en"")"),"a) Maintaining motivation and focus")</f>
        <v>a) Maintaining motivation and focus</v>
      </c>
      <c r="K46" s="9" t="str">
        <f>IFERROR(__xludf.DUMMYFUNCTION("GOOGLETRANSLATE(E46,""ar"",""en"")"),"Continuous training on the basics improves performance.")</f>
        <v>Continuous training on the basics improves performance.</v>
      </c>
      <c r="L46" s="9"/>
      <c r="M46" s="9"/>
      <c r="N46" s="9"/>
      <c r="O46" s="9"/>
      <c r="P46" s="9"/>
      <c r="Q46" s="9"/>
      <c r="R46" s="9"/>
      <c r="S46" s="9"/>
      <c r="T46" s="9"/>
      <c r="U46" s="9"/>
      <c r="V46" s="9"/>
      <c r="W46" s="9"/>
      <c r="X46" s="9"/>
      <c r="Y46" s="9"/>
      <c r="Z46" s="9"/>
      <c r="AA46" s="9"/>
      <c r="AB46" s="9"/>
      <c r="AC46" s="9"/>
      <c r="AD46" s="9"/>
      <c r="AE46" s="9"/>
      <c r="AF46" s="9"/>
    </row>
    <row r="47">
      <c r="A47" s="12">
        <v>47.0</v>
      </c>
      <c r="B47" s="13" t="s">
        <v>1152</v>
      </c>
      <c r="C47" s="13" t="s">
        <v>1153</v>
      </c>
      <c r="D47" s="13" t="s">
        <v>1154</v>
      </c>
      <c r="E47" s="14" t="s">
        <v>1155</v>
      </c>
      <c r="F47" s="9"/>
      <c r="G47" s="12">
        <v>47.0</v>
      </c>
      <c r="H47" s="9" t="str">
        <f>IFERROR(__xludf.DUMMYFUNCTION("GOOGLETRANSLATE(B47,""ar"",""en"")"),"You need to improve your strategies during a bout. How do you begin?")</f>
        <v>You need to improve your strategies during a bout. How do you begin?</v>
      </c>
      <c r="I47" s="9" t="str">
        <f>IFERROR(__xludf.DUMMYFUNCTION("GOOGLETRANSLATE(B47,""ar"",""en"")"),"You need to improve your strategies during a bout. How do you begin?")</f>
        <v>You need to improve your strategies during a bout. How do you begin?</v>
      </c>
      <c r="J47" s="9" t="str">
        <f>IFERROR(__xludf.DUMMYFUNCTION("GOOGLETRANSLATE(D47,""ar"",""en"")"),"a) Reviewing previous errors")</f>
        <v>a) Reviewing previous errors</v>
      </c>
      <c r="K47" s="9" t="str">
        <f>IFERROR(__xludf.DUMMYFUNCTION("GOOGLETRANSLATE(E47,""ar"",""en"")"),"Well-thought-out strategies make performance more effective.")</f>
        <v>Well-thought-out strategies make performance more effective.</v>
      </c>
      <c r="L47" s="9"/>
      <c r="M47" s="9"/>
      <c r="N47" s="9"/>
      <c r="O47" s="9"/>
      <c r="P47" s="9"/>
      <c r="Q47" s="9"/>
      <c r="R47" s="9"/>
      <c r="S47" s="9"/>
      <c r="T47" s="9"/>
      <c r="U47" s="9"/>
      <c r="V47" s="9"/>
      <c r="W47" s="9"/>
      <c r="X47" s="9"/>
      <c r="Y47" s="9"/>
      <c r="Z47" s="9"/>
      <c r="AA47" s="9"/>
      <c r="AB47" s="9"/>
      <c r="AC47" s="9"/>
      <c r="AD47" s="9"/>
      <c r="AE47" s="9"/>
      <c r="AF47" s="9"/>
    </row>
    <row r="48">
      <c r="A48" s="15">
        <v>48.0</v>
      </c>
      <c r="B48" s="16" t="s">
        <v>1156</v>
      </c>
      <c r="C48" s="16" t="s">
        <v>1157</v>
      </c>
      <c r="D48" s="16" t="s">
        <v>1158</v>
      </c>
      <c r="E48" s="17" t="s">
        <v>1159</v>
      </c>
      <c r="F48" s="9"/>
      <c r="G48" s="15">
        <v>48.0</v>
      </c>
      <c r="H48" s="9" t="str">
        <f>IFERROR(__xludf.DUMMYFUNCTION("GOOGLETRANSLATE(B48,""ar"",""en"")"),"Your colleague is having trouble staying focused during training. What do you do?")</f>
        <v>Your colleague is having trouble staying focused during training. What do you do?</v>
      </c>
      <c r="I48" s="9" t="str">
        <f>IFERROR(__xludf.DUMMYFUNCTION("GOOGLETRANSLATE(B48,""ar"",""en"")"),"Your colleague is having trouble staying focused during training. What do you do?")</f>
        <v>Your colleague is having trouble staying focused during training. What do you do?</v>
      </c>
      <c r="J48" s="9" t="str">
        <f>IFERROR(__xludf.DUMMYFUNCTION("GOOGLETRANSLATE(D48,""ar"",""en"")"),"a) Helping him stay focused")</f>
        <v>a) Helping him stay focused</v>
      </c>
      <c r="K48" s="9" t="str">
        <f>IFERROR(__xludf.DUMMYFUNCTION("GOOGLETRANSLATE(E48,""ar"",""en"")"),"Focus is the key to good performance.")</f>
        <v>Focus is the key to good performance.</v>
      </c>
      <c r="L48" s="9"/>
      <c r="M48" s="9"/>
      <c r="N48" s="9"/>
      <c r="O48" s="9"/>
      <c r="P48" s="9"/>
      <c r="Q48" s="9"/>
      <c r="R48" s="9"/>
      <c r="S48" s="9"/>
      <c r="T48" s="9"/>
      <c r="U48" s="9"/>
      <c r="V48" s="9"/>
      <c r="W48" s="9"/>
      <c r="X48" s="9"/>
      <c r="Y48" s="9"/>
      <c r="Z48" s="9"/>
      <c r="AA48" s="9"/>
      <c r="AB48" s="9"/>
      <c r="AC48" s="9"/>
      <c r="AD48" s="9"/>
      <c r="AE48" s="9"/>
      <c r="AF48" s="9"/>
    </row>
    <row r="49">
      <c r="A49" s="12">
        <v>49.0</v>
      </c>
      <c r="B49" s="13" t="s">
        <v>1160</v>
      </c>
      <c r="C49" s="13" t="s">
        <v>1161</v>
      </c>
      <c r="D49" s="13" t="s">
        <v>1162</v>
      </c>
      <c r="E49" s="14" t="s">
        <v>1163</v>
      </c>
      <c r="F49" s="9"/>
      <c r="G49" s="12">
        <v>49.0</v>
      </c>
      <c r="H49" s="9" t="str">
        <f>IFERROR(__xludf.DUMMYFUNCTION("GOOGLETRANSLATE(B49,""ar"",""en"")"),"You need to strengthen your muscles. How do you do that?")</f>
        <v>You need to strengthen your muscles. How do you do that?</v>
      </c>
      <c r="I49" s="9" t="str">
        <f>IFERROR(__xludf.DUMMYFUNCTION("GOOGLETRANSLATE(B49,""ar"",""en"")"),"You need to strengthen your muscles. How do you do that?")</f>
        <v>You need to strengthen your muscles. How do you do that?</v>
      </c>
      <c r="J49" s="9" t="str">
        <f>IFERROR(__xludf.DUMMYFUNCTION("GOOGLETRANSLATE(D49,""ar"",""en"")"),"a) Regular strength training")</f>
        <v>a) Regular strength training</v>
      </c>
      <c r="K49" s="9" t="str">
        <f>IFERROR(__xludf.DUMMYFUNCTION("GOOGLETRANSLATE(E49,""ar"",""en"")"),"Strengthening muscles enhances physical performance in wrestling.")</f>
        <v>Strengthening muscles enhances physical performance in wrestling.</v>
      </c>
      <c r="L49" s="9"/>
      <c r="M49" s="9"/>
      <c r="N49" s="9"/>
      <c r="O49" s="9"/>
      <c r="P49" s="9"/>
      <c r="Q49" s="9"/>
      <c r="R49" s="9"/>
      <c r="S49" s="9"/>
      <c r="T49" s="9"/>
      <c r="U49" s="9"/>
      <c r="V49" s="9"/>
      <c r="W49" s="9"/>
      <c r="X49" s="9"/>
      <c r="Y49" s="9"/>
      <c r="Z49" s="9"/>
      <c r="AA49" s="9"/>
      <c r="AB49" s="9"/>
      <c r="AC49" s="9"/>
      <c r="AD49" s="9"/>
      <c r="AE49" s="9"/>
      <c r="AF49" s="9"/>
    </row>
    <row r="50">
      <c r="A50" s="15">
        <v>50.0</v>
      </c>
      <c r="B50" s="16" t="s">
        <v>1164</v>
      </c>
      <c r="C50" s="16" t="s">
        <v>1165</v>
      </c>
      <c r="D50" s="16" t="s">
        <v>1166</v>
      </c>
      <c r="E50" s="17" t="s">
        <v>1167</v>
      </c>
      <c r="F50" s="9"/>
      <c r="G50" s="15">
        <v>50.0</v>
      </c>
      <c r="H50" s="9" t="str">
        <f>IFERROR(__xludf.DUMMYFUNCTION("GOOGLETRANSLATE(B50,""ar"",""en"")"),"You're feeling confused about what to do in the match. What should you do?")</f>
        <v>You're feeling confused about what to do in the match. What should you do?</v>
      </c>
      <c r="I50" s="9" t="str">
        <f>IFERROR(__xludf.DUMMYFUNCTION("GOOGLETRANSLATE(B50,""ar"",""en"")"),"You're feeling confused about what to do in the match. What should you do?")</f>
        <v>You're feeling confused about what to do in the match. What should you do?</v>
      </c>
      <c r="J50" s="9" t="str">
        <f>IFERROR(__xludf.DUMMYFUNCTION("GOOGLETRANSLATE(D50,""ar"",""en"")"),"a) Assess the situation carefully")</f>
        <v>a) Assess the situation carefully</v>
      </c>
      <c r="K50" s="9" t="str">
        <f>IFERROR(__xludf.DUMMYFUNCTION("GOOGLETRANSLATE(E50,""ar"",""en"")"),"Making calculated decisions helps to avoid mistakes.")</f>
        <v>Making calculated decisions helps to avoid mistakes.</v>
      </c>
      <c r="L50" s="9"/>
      <c r="M50" s="9"/>
      <c r="N50" s="9"/>
      <c r="O50" s="9"/>
      <c r="P50" s="9"/>
      <c r="Q50" s="9"/>
      <c r="R50" s="9"/>
      <c r="S50" s="9"/>
      <c r="T50" s="9"/>
      <c r="U50" s="9"/>
      <c r="V50" s="9"/>
      <c r="W50" s="9"/>
      <c r="X50" s="9"/>
      <c r="Y50" s="9"/>
      <c r="Z50" s="9"/>
      <c r="AA50" s="9"/>
      <c r="AB50" s="9"/>
      <c r="AC50" s="9"/>
      <c r="AD50" s="9"/>
      <c r="AE50" s="9"/>
      <c r="AF50" s="9"/>
    </row>
    <row r="51">
      <c r="A51" s="12">
        <v>51.0</v>
      </c>
      <c r="B51" s="13" t="s">
        <v>1168</v>
      </c>
      <c r="C51" s="13" t="s">
        <v>1169</v>
      </c>
      <c r="D51" s="13" t="s">
        <v>1170</v>
      </c>
      <c r="E51" s="14" t="s">
        <v>1171</v>
      </c>
      <c r="F51" s="9"/>
      <c r="G51" s="12">
        <v>51.0</v>
      </c>
      <c r="H51" s="9" t="str">
        <f>IFERROR(__xludf.DUMMYFUNCTION("GOOGLETRANSLATE(B51,""ar"",""en"")"),"Your teammate is always late for practice. What do you do?")</f>
        <v>Your teammate is always late for practice. What do you do?</v>
      </c>
      <c r="I51" s="9" t="str">
        <f>IFERROR(__xludf.DUMMYFUNCTION("GOOGLETRANSLATE(B51,""ar"",""en"")"),"Your teammate is always late for practice. What do you do?")</f>
        <v>Your teammate is always late for practice. What do you do?</v>
      </c>
      <c r="J51" s="9" t="str">
        <f>IFERROR(__xludf.DUMMYFUNCTION("GOOGLETRANSLATE(D51,""ar"",""en"")"),"a) Encouraging him to be punctual")</f>
        <v>a) Encouraging him to be punctual</v>
      </c>
      <c r="K51" s="9" t="str">
        <f>IFERROR(__xludf.DUMMYFUNCTION("GOOGLETRANSLATE(E51,""ar"",""en"")"),"Time discipline enhances the performance of the team as a whole.")</f>
        <v>Time discipline enhances the performance of the team as a whole.</v>
      </c>
      <c r="L51" s="9"/>
      <c r="M51" s="9"/>
      <c r="N51" s="9"/>
      <c r="O51" s="9"/>
      <c r="P51" s="9"/>
      <c r="Q51" s="9"/>
      <c r="R51" s="9"/>
      <c r="S51" s="9"/>
      <c r="T51" s="9"/>
      <c r="U51" s="9"/>
      <c r="V51" s="9"/>
      <c r="W51" s="9"/>
      <c r="X51" s="9"/>
      <c r="Y51" s="9"/>
      <c r="Z51" s="9"/>
      <c r="AA51" s="9"/>
      <c r="AB51" s="9"/>
      <c r="AC51" s="9"/>
      <c r="AD51" s="9"/>
      <c r="AE51" s="9"/>
      <c r="AF51" s="9"/>
    </row>
    <row r="52">
      <c r="A52" s="15">
        <v>52.0</v>
      </c>
      <c r="B52" s="16" t="s">
        <v>1172</v>
      </c>
      <c r="C52" s="16" t="s">
        <v>1173</v>
      </c>
      <c r="D52" s="16" t="s">
        <v>1174</v>
      </c>
      <c r="E52" s="17" t="s">
        <v>1175</v>
      </c>
      <c r="F52" s="9"/>
      <c r="G52" s="15">
        <v>52.0</v>
      </c>
      <c r="H52" s="9" t="str">
        <f>IFERROR(__xludf.DUMMYFUNCTION("GOOGLETRANSLATE(B52,""ar"",""en"")"),"You feel exhausted after several matches. How do you cope?")</f>
        <v>You feel exhausted after several matches. How do you cope?</v>
      </c>
      <c r="I52" s="9" t="str">
        <f>IFERROR(__xludf.DUMMYFUNCTION("GOOGLETRANSLATE(B52,""ar"",""en"")"),"You feel exhausted after several matches. How do you cope?")</f>
        <v>You feel exhausted after several matches. How do you cope?</v>
      </c>
      <c r="J52" s="9" t="str">
        <f>IFERROR(__xludf.DUMMYFUNCTION("GOOGLETRANSLATE(D52,""ar"",""en"")"),"a) Complete break")</f>
        <v>a) Complete break</v>
      </c>
      <c r="K52" s="9" t="str">
        <f>IFERROR(__xludf.DUMMYFUNCTION("GOOGLETRANSLATE(E52,""ar"",""en"")"),"Proper rest will keep you healthy and perform well in matches.")</f>
        <v>Proper rest will keep you healthy and perform well in matches.</v>
      </c>
      <c r="L52" s="9"/>
      <c r="M52" s="9"/>
      <c r="N52" s="9"/>
      <c r="O52" s="9"/>
      <c r="P52" s="9"/>
      <c r="Q52" s="9"/>
      <c r="R52" s="9"/>
      <c r="S52" s="9"/>
      <c r="T52" s="9"/>
      <c r="U52" s="9"/>
      <c r="V52" s="9"/>
      <c r="W52" s="9"/>
      <c r="X52" s="9"/>
      <c r="Y52" s="9"/>
      <c r="Z52" s="9"/>
      <c r="AA52" s="9"/>
      <c r="AB52" s="9"/>
      <c r="AC52" s="9"/>
      <c r="AD52" s="9"/>
      <c r="AE52" s="9"/>
      <c r="AF52" s="9"/>
    </row>
    <row r="53">
      <c r="A53" s="12">
        <v>53.0</v>
      </c>
      <c r="B53" s="13" t="s">
        <v>1176</v>
      </c>
      <c r="C53" s="13" t="s">
        <v>1177</v>
      </c>
      <c r="D53" s="13" t="s">
        <v>1178</v>
      </c>
      <c r="E53" s="14" t="s">
        <v>1179</v>
      </c>
      <c r="F53" s="9"/>
      <c r="G53" s="12">
        <v>53.0</v>
      </c>
      <c r="H53" s="9" t="str">
        <f>IFERROR(__xludf.DUMMYFUNCTION("GOOGLETRANSLATE(B53,""ar"",""en"")"),"You are facing an opponent who uses a new tactic. How do you deal with it?")</f>
        <v>You are facing an opponent who uses a new tactic. How do you deal with it?</v>
      </c>
      <c r="I53" s="9" t="str">
        <f>IFERROR(__xludf.DUMMYFUNCTION("GOOGLETRANSLATE(B53,""ar"",""en"")"),"You are facing an opponent who uses a new tactic. How do you deal with it?")</f>
        <v>You are facing an opponent who uses a new tactic. How do you deal with it?</v>
      </c>
      <c r="J53" s="9" t="str">
        <f>IFERROR(__xludf.DUMMYFUNCTION("GOOGLETRANSLATE(D53,""ar"",""en"")"),"a) Monitor and adapt your style")</f>
        <v>a) Monitor and adapt your style</v>
      </c>
      <c r="K53" s="9" t="str">
        <f>IFERROR(__xludf.DUMMYFUNCTION("GOOGLETRANSLATE(E53,""ar"",""en"")"),"The ability to adapt makes your opponent less threatening.")</f>
        <v>The ability to adapt makes your opponent less threatening.</v>
      </c>
      <c r="L53" s="9"/>
      <c r="M53" s="9"/>
      <c r="N53" s="9"/>
      <c r="O53" s="9"/>
      <c r="P53" s="9"/>
      <c r="Q53" s="9"/>
      <c r="R53" s="9"/>
      <c r="S53" s="9"/>
      <c r="T53" s="9"/>
      <c r="U53" s="9"/>
      <c r="V53" s="9"/>
      <c r="W53" s="9"/>
      <c r="X53" s="9"/>
      <c r="Y53" s="9"/>
      <c r="Z53" s="9"/>
      <c r="AA53" s="9"/>
      <c r="AB53" s="9"/>
      <c r="AC53" s="9"/>
      <c r="AD53" s="9"/>
      <c r="AE53" s="9"/>
      <c r="AF53" s="9"/>
    </row>
    <row r="54">
      <c r="A54" s="15">
        <v>54.0</v>
      </c>
      <c r="B54" s="16" t="s">
        <v>1180</v>
      </c>
      <c r="C54" s="16" t="s">
        <v>1181</v>
      </c>
      <c r="D54" s="16" t="s">
        <v>1182</v>
      </c>
      <c r="E54" s="17" t="s">
        <v>1183</v>
      </c>
      <c r="F54" s="9"/>
      <c r="G54" s="15">
        <v>54.0</v>
      </c>
      <c r="H54" s="9" t="str">
        <f>IFERROR(__xludf.DUMMYFUNCTION("GOOGLETRANSLATE(B54,""ar"",""en"")"),"You need to improve your reaction speed. How do you start?")</f>
        <v>You need to improve your reaction speed. How do you start?</v>
      </c>
      <c r="I54" s="9" t="str">
        <f>IFERROR(__xludf.DUMMYFUNCTION("GOOGLETRANSLATE(B54,""ar"",""en"")"),"You need to improve your reaction speed. How do you start?")</f>
        <v>You need to improve your reaction speed. How do you start?</v>
      </c>
      <c r="J54" s="9" t="str">
        <f>IFERROR(__xludf.DUMMYFUNCTION("GOOGLETRANSLATE(D54,""ar"",""en"")"),"a) Timing and speed training")</f>
        <v>a) Timing and speed training</v>
      </c>
      <c r="K54" s="9" t="str">
        <f>IFERROR(__xludf.DUMMYFUNCTION("GOOGLETRANSLATE(E54,""ar"",""en"")"),"Speed ​​contributes to outperforming the opponent.")</f>
        <v>Speed ​​contributes to outperforming the opponent.</v>
      </c>
      <c r="L54" s="9"/>
      <c r="M54" s="9"/>
      <c r="N54" s="9"/>
      <c r="O54" s="9"/>
      <c r="P54" s="9"/>
      <c r="Q54" s="9"/>
      <c r="R54" s="9"/>
      <c r="S54" s="9"/>
      <c r="T54" s="9"/>
      <c r="U54" s="9"/>
      <c r="V54" s="9"/>
      <c r="W54" s="9"/>
      <c r="X54" s="9"/>
      <c r="Y54" s="9"/>
      <c r="Z54" s="9"/>
      <c r="AA54" s="9"/>
      <c r="AB54" s="9"/>
      <c r="AC54" s="9"/>
      <c r="AD54" s="9"/>
      <c r="AE54" s="9"/>
      <c r="AF54" s="9"/>
    </row>
    <row r="55">
      <c r="A55" s="12">
        <v>55.0</v>
      </c>
      <c r="B55" s="13" t="s">
        <v>1184</v>
      </c>
      <c r="C55" s="13" t="s">
        <v>1185</v>
      </c>
      <c r="D55" s="13" t="s">
        <v>1186</v>
      </c>
      <c r="E55" s="14" t="s">
        <v>1187</v>
      </c>
      <c r="F55" s="9"/>
      <c r="G55" s="12">
        <v>55.0</v>
      </c>
      <c r="H55" s="9" t="str">
        <f>IFERROR(__xludf.DUMMYFUNCTION("GOOGLETRANSLATE(B55,""ar"",""en"")"),"You are facing a more experienced opponent. How will you react?")</f>
        <v>You are facing a more experienced opponent. How will you react?</v>
      </c>
      <c r="I55" s="9" t="str">
        <f>IFERROR(__xludf.DUMMYFUNCTION("GOOGLETRANSLATE(B55,""ar"",""en"")"),"You are facing a more experienced opponent. How will you react?")</f>
        <v>You are facing a more experienced opponent. How will you react?</v>
      </c>
      <c r="J55" s="9" t="str">
        <f>IFERROR(__xludf.DUMMYFUNCTION("GOOGLETRANSLATE(D55,""ar"",""en"")"),"a) Use of new technologies")</f>
        <v>a) Use of new technologies</v>
      </c>
      <c r="K55" s="9" t="str">
        <f>IFERROR(__xludf.DUMMYFUNCTION("GOOGLETRANSLATE(E55,""ar"",""en"")"),"Learning from experience creates new opportunities to win.")</f>
        <v>Learning from experience creates new opportunities to win.</v>
      </c>
      <c r="L55" s="9"/>
      <c r="M55" s="9"/>
      <c r="N55" s="9"/>
      <c r="O55" s="9"/>
      <c r="P55" s="9"/>
      <c r="Q55" s="9"/>
      <c r="R55" s="9"/>
      <c r="S55" s="9"/>
      <c r="T55" s="9"/>
      <c r="U55" s="9"/>
      <c r="V55" s="9"/>
      <c r="W55" s="9"/>
      <c r="X55" s="9"/>
      <c r="Y55" s="9"/>
      <c r="Z55" s="9"/>
      <c r="AA55" s="9"/>
      <c r="AB55" s="9"/>
      <c r="AC55" s="9"/>
      <c r="AD55" s="9"/>
      <c r="AE55" s="9"/>
      <c r="AF55" s="9"/>
    </row>
    <row r="56">
      <c r="A56" s="15">
        <v>56.0</v>
      </c>
      <c r="B56" s="16" t="s">
        <v>1188</v>
      </c>
      <c r="C56" s="16" t="s">
        <v>1189</v>
      </c>
      <c r="D56" s="16" t="s">
        <v>1190</v>
      </c>
      <c r="E56" s="17" t="s">
        <v>1191</v>
      </c>
      <c r="F56" s="9"/>
      <c r="G56" s="15">
        <v>56.0</v>
      </c>
      <c r="H56" s="9" t="str">
        <f>IFERROR(__xludf.DUMMYFUNCTION("GOOGLETRANSLATE(B56,""ar"",""en"")"),"You have been selected for an important match in an international tournament. What do you do?")</f>
        <v>You have been selected for an important match in an international tournament. What do you do?</v>
      </c>
      <c r="I56" s="9" t="str">
        <f>IFERROR(__xludf.DUMMYFUNCTION("GOOGLETRANSLATE(B56,""ar"",""en"")"),"You have been selected for an important match in an international tournament. What do you do?")</f>
        <v>You have been selected for an important match in an international tournament. What do you do?</v>
      </c>
      <c r="J56" s="9" t="str">
        <f>IFERROR(__xludf.DUMMYFUNCTION("GOOGLETRANSLATE(D56,""ar"",""en"")"),"a) Prepare meticulously")</f>
        <v>a) Prepare meticulously</v>
      </c>
      <c r="K56" s="9" t="str">
        <f>IFERROR(__xludf.DUMMYFUNCTION("GOOGLETRANSLATE(E56,""ar"",""en"")"),"Thorough preparation enhances performance in major tournaments.")</f>
        <v>Thorough preparation enhances performance in major tournaments.</v>
      </c>
      <c r="L56" s="9"/>
      <c r="M56" s="9"/>
      <c r="N56" s="9"/>
      <c r="O56" s="9"/>
      <c r="P56" s="9"/>
      <c r="Q56" s="9"/>
      <c r="R56" s="9"/>
      <c r="S56" s="9"/>
      <c r="T56" s="9"/>
      <c r="U56" s="9"/>
      <c r="V56" s="9"/>
      <c r="W56" s="9"/>
      <c r="X56" s="9"/>
      <c r="Y56" s="9"/>
      <c r="Z56" s="9"/>
      <c r="AA56" s="9"/>
      <c r="AB56" s="9"/>
      <c r="AC56" s="9"/>
      <c r="AD56" s="9"/>
      <c r="AE56" s="9"/>
      <c r="AF56" s="9"/>
    </row>
    <row r="57">
      <c r="A57" s="12">
        <v>57.0</v>
      </c>
      <c r="B57" s="13" t="s">
        <v>1192</v>
      </c>
      <c r="C57" s="13" t="s">
        <v>1193</v>
      </c>
      <c r="D57" s="13" t="s">
        <v>1194</v>
      </c>
      <c r="E57" s="14" t="s">
        <v>1195</v>
      </c>
      <c r="F57" s="9"/>
      <c r="G57" s="12">
        <v>57.0</v>
      </c>
      <c r="H57" s="9" t="str">
        <f>IFERROR(__xludf.DUMMYFUNCTION("GOOGLETRANSLATE(B57,""ar"",""en"")"),"You feel tired after intense training. What do you do?")</f>
        <v>You feel tired after intense training. What do you do?</v>
      </c>
      <c r="I57" s="9" t="str">
        <f>IFERROR(__xludf.DUMMYFUNCTION("GOOGLETRANSLATE(B57,""ar"",""en"")"),"You feel tired after intense training. What do you do?")</f>
        <v>You feel tired after intense training. What do you do?</v>
      </c>
      <c r="J57" s="9" t="str">
        <f>IFERROR(__xludf.DUMMYFUNCTION("GOOGLETRANSLATE(D57,""ar"",""en"")"),"a) Effective rest")</f>
        <v>a) Effective rest</v>
      </c>
      <c r="K57" s="9" t="str">
        <f>IFERROR(__xludf.DUMMYFUNCTION("GOOGLETRANSLATE(E57,""ar"",""en"")"),"Rest enables the body to recover and improve.")</f>
        <v>Rest enables the body to recover and improve.</v>
      </c>
      <c r="L57" s="9"/>
      <c r="M57" s="9"/>
      <c r="N57" s="9"/>
      <c r="O57" s="9"/>
      <c r="P57" s="9"/>
      <c r="Q57" s="9"/>
      <c r="R57" s="9"/>
      <c r="S57" s="9"/>
      <c r="T57" s="9"/>
      <c r="U57" s="9"/>
      <c r="V57" s="9"/>
      <c r="W57" s="9"/>
      <c r="X57" s="9"/>
      <c r="Y57" s="9"/>
      <c r="Z57" s="9"/>
      <c r="AA57" s="9"/>
      <c r="AB57" s="9"/>
      <c r="AC57" s="9"/>
      <c r="AD57" s="9"/>
      <c r="AE57" s="9"/>
      <c r="AF57" s="9"/>
    </row>
    <row r="58">
      <c r="A58" s="15">
        <v>58.0</v>
      </c>
      <c r="B58" s="16" t="s">
        <v>1196</v>
      </c>
      <c r="C58" s="16" t="s">
        <v>1197</v>
      </c>
      <c r="D58" s="16" t="s">
        <v>1198</v>
      </c>
      <c r="E58" s="17" t="s">
        <v>1199</v>
      </c>
      <c r="F58" s="9"/>
      <c r="G58" s="15">
        <v>58.0</v>
      </c>
      <c r="H58" s="9" t="str">
        <f>IFERROR(__xludf.DUMMYFUNCTION("GOOGLETRANSLATE(B58,""ar"",""en"")"),"During the exercise, there are coordination problems between you and your teammate. What do you do?")</f>
        <v>During the exercise, there are coordination problems between you and your teammate. What do you do?</v>
      </c>
      <c r="I58" s="9" t="str">
        <f>IFERROR(__xludf.DUMMYFUNCTION("GOOGLETRANSLATE(B58,""ar"",""en"")"),"During the exercise, there are coordination problems between you and your teammate. What do you do?")</f>
        <v>During the exercise, there are coordination problems between you and your teammate. What do you do?</v>
      </c>
      <c r="J58" s="9" t="str">
        <f>IFERROR(__xludf.DUMMYFUNCTION("GOOGLETRANSLATE(D58,""ar"",""en"")"),"a) Improve communication between you")</f>
        <v>a) Improve communication between you</v>
      </c>
      <c r="K58" s="9" t="str">
        <f>IFERROR(__xludf.DUMMYFUNCTION("GOOGLETRANSLATE(E58,""ar"",""en"")"),"Good coordination leads to team success.")</f>
        <v>Good coordination leads to team success.</v>
      </c>
      <c r="L58" s="9"/>
      <c r="M58" s="9"/>
      <c r="N58" s="9"/>
      <c r="O58" s="9"/>
      <c r="P58" s="9"/>
      <c r="Q58" s="9"/>
      <c r="R58" s="9"/>
      <c r="S58" s="9"/>
      <c r="T58" s="9"/>
      <c r="U58" s="9"/>
      <c r="V58" s="9"/>
      <c r="W58" s="9"/>
      <c r="X58" s="9"/>
      <c r="Y58" s="9"/>
      <c r="Z58" s="9"/>
      <c r="AA58" s="9"/>
      <c r="AB58" s="9"/>
      <c r="AC58" s="9"/>
      <c r="AD58" s="9"/>
      <c r="AE58" s="9"/>
      <c r="AF58" s="9"/>
    </row>
    <row r="59">
      <c r="A59" s="12">
        <v>59.0</v>
      </c>
      <c r="B59" s="13" t="s">
        <v>1200</v>
      </c>
      <c r="C59" s="13" t="s">
        <v>1201</v>
      </c>
      <c r="D59" s="13" t="s">
        <v>1202</v>
      </c>
      <c r="E59" s="14" t="s">
        <v>1203</v>
      </c>
      <c r="F59" s="9"/>
      <c r="G59" s="12">
        <v>59.0</v>
      </c>
      <c r="H59" s="9" t="str">
        <f>IFERROR(__xludf.DUMMYFUNCTION("GOOGLETRANSLATE(B59,""ar"",""en"")"),"You face a significant challenge in maintaining your body balance. What do you do?")</f>
        <v>You face a significant challenge in maintaining your body balance. What do you do?</v>
      </c>
      <c r="I59" s="9" t="str">
        <f>IFERROR(__xludf.DUMMYFUNCTION("GOOGLETRANSLATE(B59,""ar"",""en"")"),"You face a significant challenge in maintaining your body balance. What do you do?")</f>
        <v>You face a significant challenge in maintaining your body balance. What do you do?</v>
      </c>
      <c r="J59" s="9" t="str">
        <f>IFERROR(__xludf.DUMMYFUNCTION("GOOGLETRANSLATE(D59,""ar"",""en"")"),"a) Training to improve balance")</f>
        <v>a) Training to improve balance</v>
      </c>
      <c r="K59" s="9" t="str">
        <f>IFERROR(__xludf.DUMMYFUNCTION("GOOGLETRANSLATE(E59,""ar"",""en"")"),"Balance is essential in wrestling to achieve optimal performance.")</f>
        <v>Balance is essential in wrestling to achieve optimal performance.</v>
      </c>
      <c r="L59" s="9"/>
      <c r="M59" s="9"/>
      <c r="N59" s="9"/>
      <c r="O59" s="9"/>
      <c r="P59" s="9"/>
      <c r="Q59" s="9"/>
      <c r="R59" s="9"/>
      <c r="S59" s="9"/>
      <c r="T59" s="9"/>
      <c r="U59" s="9"/>
      <c r="V59" s="9"/>
      <c r="W59" s="9"/>
      <c r="X59" s="9"/>
      <c r="Y59" s="9"/>
      <c r="Z59" s="9"/>
      <c r="AA59" s="9"/>
      <c r="AB59" s="9"/>
      <c r="AC59" s="9"/>
      <c r="AD59" s="9"/>
      <c r="AE59" s="9"/>
      <c r="AF59" s="9"/>
    </row>
    <row r="60">
      <c r="A60" s="15">
        <v>60.0</v>
      </c>
      <c r="B60" s="16" t="s">
        <v>1204</v>
      </c>
      <c r="C60" s="16" t="s">
        <v>1205</v>
      </c>
      <c r="D60" s="16" t="s">
        <v>1206</v>
      </c>
      <c r="E60" s="17" t="s">
        <v>1207</v>
      </c>
      <c r="F60" s="9"/>
      <c r="G60" s="15">
        <v>60.0</v>
      </c>
      <c r="H60" s="9" t="str">
        <f>IFERROR(__xludf.DUMMYFUNCTION("GOOGLETRANSLATE(B60,""ar"",""en"")"),"Your colleague is showing great improvement. What do you do?")</f>
        <v>Your colleague is showing great improvement. What do you do?</v>
      </c>
      <c r="I60" s="9" t="str">
        <f>IFERROR(__xludf.DUMMYFUNCTION("GOOGLETRANSLATE(B60,""ar"",""en"")"),"Your colleague is showing great improvement. What do you do?")</f>
        <v>Your colleague is showing great improvement. What do you do?</v>
      </c>
      <c r="J60" s="9" t="str">
        <f>IFERROR(__xludf.DUMMYFUNCTION("GOOGLETRANSLATE(D60,""ar"",""en"")"),"a) Encouraging him to continue")</f>
        <v>a) Encouraging him to continue</v>
      </c>
      <c r="K60" s="9" t="str">
        <f>IFERROR(__xludf.DUMMYFUNCTION("GOOGLETRANSLATE(E60,""ar"",""en"")"),"Supporting progress strengthens the team as a whole.")</f>
        <v>Supporting progress strengthens the team as a whole.</v>
      </c>
      <c r="L60" s="9"/>
      <c r="M60" s="9"/>
      <c r="N60" s="9"/>
      <c r="O60" s="9"/>
      <c r="P60" s="9"/>
      <c r="Q60" s="9"/>
      <c r="R60" s="9"/>
      <c r="S60" s="9"/>
      <c r="T60" s="9"/>
      <c r="U60" s="9"/>
      <c r="V60" s="9"/>
      <c r="W60" s="9"/>
      <c r="X60" s="9"/>
      <c r="Y60" s="9"/>
      <c r="Z60" s="9"/>
      <c r="AA60" s="9"/>
      <c r="AB60" s="9"/>
      <c r="AC60" s="9"/>
      <c r="AD60" s="9"/>
      <c r="AE60" s="9"/>
      <c r="AF60" s="9"/>
    </row>
    <row r="61">
      <c r="A61" s="12">
        <v>61.0</v>
      </c>
      <c r="B61" s="13" t="s">
        <v>1208</v>
      </c>
      <c r="C61" s="13" t="s">
        <v>1209</v>
      </c>
      <c r="D61" s="13" t="s">
        <v>1210</v>
      </c>
      <c r="E61" s="14" t="s">
        <v>1211</v>
      </c>
      <c r="F61" s="9"/>
      <c r="G61" s="12">
        <v>61.0</v>
      </c>
      <c r="H61" s="9" t="str">
        <f>IFERROR(__xludf.DUMMYFUNCTION("GOOGLETRANSLATE(B61,""ar"",""en"")"),"You need to improve your defensive skills. What should you do?")</f>
        <v>You need to improve your defensive skills. What should you do?</v>
      </c>
      <c r="I61" s="9" t="str">
        <f>IFERROR(__xludf.DUMMYFUNCTION("GOOGLETRANSLATE(B61,""ar"",""en"")"),"You need to improve your defensive skills. What should you do?")</f>
        <v>You need to improve your defensive skills. What should you do?</v>
      </c>
      <c r="J61" s="9" t="str">
        <f>IFERROR(__xludf.DUMMYFUNCTION("GOOGLETRANSLATE(D61,""ar"",""en"")"),"a) Regular defense training")</f>
        <v>a) Regular defense training</v>
      </c>
      <c r="K61" s="9" t="str">
        <f>IFERROR(__xludf.DUMMYFUNCTION("GOOGLETRANSLATE(E61,""ar"",""en"")"),"Improving your defensive skills enhances your strength in the match.")</f>
        <v>Improving your defensive skills enhances your strength in the match.</v>
      </c>
      <c r="L61" s="9"/>
      <c r="M61" s="9"/>
      <c r="N61" s="9"/>
      <c r="O61" s="9"/>
      <c r="P61" s="9"/>
      <c r="Q61" s="9"/>
      <c r="R61" s="9"/>
      <c r="S61" s="9"/>
      <c r="T61" s="9"/>
      <c r="U61" s="9"/>
      <c r="V61" s="9"/>
      <c r="W61" s="9"/>
      <c r="X61" s="9"/>
      <c r="Y61" s="9"/>
      <c r="Z61" s="9"/>
      <c r="AA61" s="9"/>
      <c r="AB61" s="9"/>
      <c r="AC61" s="9"/>
      <c r="AD61" s="9"/>
      <c r="AE61" s="9"/>
      <c r="AF61" s="9"/>
    </row>
    <row r="62">
      <c r="A62" s="15">
        <v>62.0</v>
      </c>
      <c r="B62" s="16" t="s">
        <v>1212</v>
      </c>
      <c r="C62" s="16" t="s">
        <v>1213</v>
      </c>
      <c r="D62" s="16" t="s">
        <v>1214</v>
      </c>
      <c r="E62" s="17" t="s">
        <v>1215</v>
      </c>
      <c r="F62" s="9"/>
      <c r="G62" s="15">
        <v>62.0</v>
      </c>
      <c r="H62" s="9" t="str">
        <f>IFERROR(__xludf.DUMMYFUNCTION("GOOGLETRANSLATE(B62,""ar"",""en"")"),"I felt extremely tired before a crucial match. What should I do?")</f>
        <v>I felt extremely tired before a crucial match. What should I do?</v>
      </c>
      <c r="I62" s="9" t="str">
        <f>IFERROR(__xludf.DUMMYFUNCTION("GOOGLETRANSLATE(B62,""ar"",""en"")"),"I felt extremely tired before a crucial match. What should I do?")</f>
        <v>I felt extremely tired before a crucial match. What should I do?</v>
      </c>
      <c r="J62" s="9" t="str">
        <f>IFERROR(__xludf.DUMMYFUNCTION("GOOGLETRANSLATE(D62,""ar"",""en"")"),"a) Good rest and psychological relaxation")</f>
        <v>a) Good rest and psychological relaxation</v>
      </c>
      <c r="K62" s="9" t="str">
        <f>IFERROR(__xludf.DUMMYFUNCTION("GOOGLETRANSLATE(E62,""ar"",""en"")"),"Rest before the match helps in better preparation.")</f>
        <v>Rest before the match helps in better preparation.</v>
      </c>
      <c r="L62" s="9"/>
      <c r="M62" s="9"/>
      <c r="N62" s="9"/>
      <c r="O62" s="9"/>
      <c r="P62" s="9"/>
      <c r="Q62" s="9"/>
      <c r="R62" s="9"/>
      <c r="S62" s="9"/>
      <c r="T62" s="9"/>
      <c r="U62" s="9"/>
      <c r="V62" s="9"/>
      <c r="W62" s="9"/>
      <c r="X62" s="9"/>
      <c r="Y62" s="9"/>
      <c r="Z62" s="9"/>
      <c r="AA62" s="9"/>
      <c r="AB62" s="9"/>
      <c r="AC62" s="9"/>
      <c r="AD62" s="9"/>
      <c r="AE62" s="9"/>
      <c r="AF62" s="9"/>
    </row>
    <row r="63">
      <c r="A63" s="12">
        <v>63.0</v>
      </c>
      <c r="B63" s="13" t="s">
        <v>1216</v>
      </c>
      <c r="C63" s="13" t="s">
        <v>1217</v>
      </c>
      <c r="D63" s="13" t="s">
        <v>1218</v>
      </c>
      <c r="E63" s="14" t="s">
        <v>1219</v>
      </c>
      <c r="F63" s="9"/>
      <c r="G63" s="12">
        <v>63.0</v>
      </c>
      <c r="H63" s="9" t="str">
        <f>IFERROR(__xludf.DUMMYFUNCTION("GOOGLETRANSLATE(B63,""ar"",""en"")"),"You are competing against a very strong opponent. How will you approach the match?")</f>
        <v>You are competing against a very strong opponent. How will you approach the match?</v>
      </c>
      <c r="I63" s="9" t="str">
        <f>IFERROR(__xludf.DUMMYFUNCTION("GOOGLETRANSLATE(B63,""ar"",""en"")"),"You are competing against a very strong opponent. How will you approach the match?")</f>
        <v>You are competing against a very strong opponent. How will you approach the match?</v>
      </c>
      <c r="J63" s="9" t="str">
        <f>IFERROR(__xludf.DUMMYFUNCTION("GOOGLETRANSLATE(D63,""ar"",""en"")"),"a) Planning a strategy with a focus on weaknesses")</f>
        <v>a) Planning a strategy with a focus on weaknesses</v>
      </c>
      <c r="K63" s="9" t="str">
        <f>IFERROR(__xludf.DUMMYFUNCTION("GOOGLETRANSLATE(E63,""ar"",""en"")"),"Good planning can change the course of competition.")</f>
        <v>Good planning can change the course of competition.</v>
      </c>
      <c r="L63" s="9"/>
      <c r="M63" s="9"/>
      <c r="N63" s="9"/>
      <c r="O63" s="9"/>
      <c r="P63" s="9"/>
      <c r="Q63" s="9"/>
      <c r="R63" s="9"/>
      <c r="S63" s="9"/>
      <c r="T63" s="9"/>
      <c r="U63" s="9"/>
      <c r="V63" s="9"/>
      <c r="W63" s="9"/>
      <c r="X63" s="9"/>
      <c r="Y63" s="9"/>
      <c r="Z63" s="9"/>
      <c r="AA63" s="9"/>
      <c r="AB63" s="9"/>
      <c r="AC63" s="9"/>
      <c r="AD63" s="9"/>
      <c r="AE63" s="9"/>
      <c r="AF63" s="9"/>
    </row>
    <row r="64">
      <c r="A64" s="15">
        <v>64.0</v>
      </c>
      <c r="B64" s="16" t="s">
        <v>1220</v>
      </c>
      <c r="C64" s="16" t="s">
        <v>1221</v>
      </c>
      <c r="D64" s="16" t="s">
        <v>1222</v>
      </c>
      <c r="E64" s="17" t="s">
        <v>1223</v>
      </c>
      <c r="F64" s="9"/>
      <c r="G64" s="15">
        <v>64.0</v>
      </c>
      <c r="H64" s="9" t="str">
        <f>IFERROR(__xludf.DUMMYFUNCTION("GOOGLETRANSLATE(B64,""ar"",""en"")"),"When I started exercising, I felt some muscle pain. What should I do?")</f>
        <v>When I started exercising, I felt some muscle pain. What should I do?</v>
      </c>
      <c r="I64" s="9" t="str">
        <f>IFERROR(__xludf.DUMMYFUNCTION("GOOGLETRANSLATE(B64,""ar"",""en"")"),"When I started exercising, I felt some muscle pain. What should I do?")</f>
        <v>When I started exercising, I felt some muscle pain. What should I do?</v>
      </c>
      <c r="J64" s="9" t="str">
        <f>IFERROR(__xludf.DUMMYFUNCTION("GOOGLETRANSLATE(D64,""ar"",""en"")"),"a) Stop the exercise and ask for help")</f>
        <v>a) Stop the exercise and ask for help</v>
      </c>
      <c r="K64" s="9" t="str">
        <f>IFERROR(__xludf.DUMMYFUNCTION("GOOGLETRANSLATE(E64,""ar"",""en"")"),"Stop training when you feel pain to avoid injuries.")</f>
        <v>Stop training when you feel pain to avoid injuries.</v>
      </c>
      <c r="L64" s="9"/>
      <c r="M64" s="9"/>
      <c r="N64" s="9"/>
      <c r="O64" s="9"/>
      <c r="P64" s="9"/>
      <c r="Q64" s="9"/>
      <c r="R64" s="9"/>
      <c r="S64" s="9"/>
      <c r="T64" s="9"/>
      <c r="U64" s="9"/>
      <c r="V64" s="9"/>
      <c r="W64" s="9"/>
      <c r="X64" s="9"/>
      <c r="Y64" s="9"/>
      <c r="Z64" s="9"/>
      <c r="AA64" s="9"/>
      <c r="AB64" s="9"/>
      <c r="AC64" s="9"/>
      <c r="AD64" s="9"/>
      <c r="AE64" s="9"/>
      <c r="AF64" s="9"/>
    </row>
    <row r="65">
      <c r="A65" s="12">
        <v>65.0</v>
      </c>
      <c r="B65" s="13" t="s">
        <v>1224</v>
      </c>
      <c r="C65" s="13" t="s">
        <v>1225</v>
      </c>
      <c r="D65" s="13" t="s">
        <v>1226</v>
      </c>
      <c r="E65" s="14" t="s">
        <v>1227</v>
      </c>
      <c r="F65" s="9"/>
      <c r="G65" s="12">
        <v>65.0</v>
      </c>
      <c r="H65" s="9" t="str">
        <f>IFERROR(__xludf.DUMMYFUNCTION("GOOGLETRANSLATE(B65,""ar"",""en"")"),"You are in a difficult situation during the match. How do you react?")</f>
        <v>You are in a difficult situation during the match. How do you react?</v>
      </c>
      <c r="I65" s="9" t="str">
        <f>IFERROR(__xludf.DUMMYFUNCTION("GOOGLETRANSLATE(B65,""ar"",""en"")"),"You are in a difficult situation during the match. How do you react?")</f>
        <v>You are in a difficult situation during the match. How do you react?</v>
      </c>
      <c r="J65" s="9" t="str">
        <f>IFERROR(__xludf.DUMMYFUNCTION("GOOGLETRANSLATE(D65,""ar"",""en"")"),"a) Remain calm and focus on solutions")</f>
        <v>a) Remain calm and focus on solutions</v>
      </c>
      <c r="K65" s="9" t="str">
        <f>IFERROR(__xludf.DUMMYFUNCTION("GOOGLETRANSLATE(E65,""ar"",""en"")"),"Rational thinking helps you make the right decisions.")</f>
        <v>Rational thinking helps you make the right decisions.</v>
      </c>
      <c r="L65" s="9"/>
      <c r="M65" s="9"/>
      <c r="N65" s="9"/>
      <c r="O65" s="9"/>
      <c r="P65" s="9"/>
      <c r="Q65" s="9"/>
      <c r="R65" s="9"/>
      <c r="S65" s="9"/>
      <c r="T65" s="9"/>
      <c r="U65" s="9"/>
      <c r="V65" s="9"/>
      <c r="W65" s="9"/>
      <c r="X65" s="9"/>
      <c r="Y65" s="9"/>
      <c r="Z65" s="9"/>
      <c r="AA65" s="9"/>
      <c r="AB65" s="9"/>
      <c r="AC65" s="9"/>
      <c r="AD65" s="9"/>
      <c r="AE65" s="9"/>
      <c r="AF65" s="9"/>
    </row>
    <row r="66">
      <c r="A66" s="15">
        <v>66.0</v>
      </c>
      <c r="B66" s="16" t="s">
        <v>1228</v>
      </c>
      <c r="C66" s="16" t="s">
        <v>1229</v>
      </c>
      <c r="D66" s="16" t="s">
        <v>1230</v>
      </c>
      <c r="E66" s="17" t="s">
        <v>1231</v>
      </c>
      <c r="F66" s="9"/>
      <c r="G66" s="15">
        <v>66.0</v>
      </c>
      <c r="H66" s="9" t="str">
        <f>IFERROR(__xludf.DUMMYFUNCTION("GOOGLETRANSLATE(B66,""ar"",""en"")"),"During training, you feel your team is disorganized. What do you do?")</f>
        <v>During training, you feel your team is disorganized. What do you do?</v>
      </c>
      <c r="I66" s="9" t="str">
        <f>IFERROR(__xludf.DUMMYFUNCTION("GOOGLETRANSLATE(B66,""ar"",""en"")"),"During training, you feel your team is disorganized. What do you do?")</f>
        <v>During training, you feel your team is disorganized. What do you do?</v>
      </c>
      <c r="J66" s="9" t="str">
        <f>IFERROR(__xludf.DUMMYFUNCTION("GOOGLETRANSLATE(D66,""ar"",""en"")"),"a) Trying to organize the team in a better way")</f>
        <v>a) Trying to organize the team in a better way</v>
      </c>
      <c r="K66" s="9" t="str">
        <f>IFERROR(__xludf.DUMMYFUNCTION("GOOGLETRANSLATE(E66,""ar"",""en"")"),"Good organization contributes to collective success.")</f>
        <v>Good organization contributes to collective success.</v>
      </c>
      <c r="L66" s="9"/>
      <c r="M66" s="9"/>
      <c r="N66" s="9"/>
      <c r="O66" s="9"/>
      <c r="P66" s="9"/>
      <c r="Q66" s="9"/>
      <c r="R66" s="9"/>
      <c r="S66" s="9"/>
      <c r="T66" s="9"/>
      <c r="U66" s="9"/>
      <c r="V66" s="9"/>
      <c r="W66" s="9"/>
      <c r="X66" s="9"/>
      <c r="Y66" s="9"/>
      <c r="Z66" s="9"/>
      <c r="AA66" s="9"/>
      <c r="AB66" s="9"/>
      <c r="AC66" s="9"/>
      <c r="AD66" s="9"/>
      <c r="AE66" s="9"/>
      <c r="AF66" s="9"/>
    </row>
    <row r="67">
      <c r="A67" s="12">
        <v>67.0</v>
      </c>
      <c r="B67" s="13" t="s">
        <v>1232</v>
      </c>
      <c r="C67" s="13" t="s">
        <v>1233</v>
      </c>
      <c r="D67" s="13" t="s">
        <v>1234</v>
      </c>
      <c r="E67" s="14" t="s">
        <v>1235</v>
      </c>
      <c r="F67" s="9"/>
      <c r="G67" s="12">
        <v>67.0</v>
      </c>
      <c r="H67" s="9" t="str">
        <f>IFERROR(__xludf.DUMMYFUNCTION("GOOGLETRANSLATE(B67,""ar"",""en"")"),"I felt you weren't ready for the upcoming match. How do you react?")</f>
        <v>I felt you weren't ready for the upcoming match. How do you react?</v>
      </c>
      <c r="I67" s="9" t="str">
        <f>IFERROR(__xludf.DUMMYFUNCTION("GOOGLETRANSLATE(B67,""ar"",""en"")"),"I felt you weren't ready for the upcoming match. How do you react?")</f>
        <v>I felt you weren't ready for the upcoming match. How do you react?</v>
      </c>
      <c r="J67" s="9" t="str">
        <f>IFERROR(__xludf.DUMMYFUNCTION("GOOGLETRANSLATE(D67,""ar"",""en"")"),"a) Focus on preparation and planning")</f>
        <v>a) Focus on preparation and planning</v>
      </c>
      <c r="K67" s="9" t="str">
        <f>IFERROR(__xludf.DUMMYFUNCTION("GOOGLETRANSLATE(E67,""ar"",""en"")"),"Good preparation increases the chances of winning.")</f>
        <v>Good preparation increases the chances of winning.</v>
      </c>
      <c r="L67" s="9"/>
      <c r="M67" s="9"/>
      <c r="N67" s="9"/>
      <c r="O67" s="9"/>
      <c r="P67" s="9"/>
      <c r="Q67" s="9"/>
      <c r="R67" s="9"/>
      <c r="S67" s="9"/>
      <c r="T67" s="9"/>
      <c r="U67" s="9"/>
      <c r="V67" s="9"/>
      <c r="W67" s="9"/>
      <c r="X67" s="9"/>
      <c r="Y67" s="9"/>
      <c r="Z67" s="9"/>
      <c r="AA67" s="9"/>
      <c r="AB67" s="9"/>
      <c r="AC67" s="9"/>
      <c r="AD67" s="9"/>
      <c r="AE67" s="9"/>
      <c r="AF67" s="9"/>
    </row>
    <row r="68">
      <c r="A68" s="15">
        <v>68.0</v>
      </c>
      <c r="B68" s="16" t="s">
        <v>1236</v>
      </c>
      <c r="C68" s="16" t="s">
        <v>1237</v>
      </c>
      <c r="D68" s="16" t="s">
        <v>1238</v>
      </c>
      <c r="E68" s="17" t="s">
        <v>1239</v>
      </c>
      <c r="F68" s="9"/>
      <c r="G68" s="15">
        <v>68.0</v>
      </c>
      <c r="H68" s="9" t="str">
        <f>IFERROR(__xludf.DUMMYFUNCTION("GOOGLETRANSLATE(B68,""ar"",""en"")"),"You disagree with the team's strategy in the match. What do you do?")</f>
        <v>You disagree with the team's strategy in the match. What do you do?</v>
      </c>
      <c r="I68" s="9" t="str">
        <f>IFERROR(__xludf.DUMMYFUNCTION("GOOGLETRANSLATE(B68,""ar"",""en"")"),"You disagree with the team's strategy in the match. What do you do?")</f>
        <v>You disagree with the team's strategy in the match. What do you do?</v>
      </c>
      <c r="J68" s="9" t="str">
        <f>IFERROR(__xludf.DUMMYFUNCTION("GOOGLETRANSLATE(D68,""ar"",""en"")"),"a) Talking with the coach and reaching an agreement")</f>
        <v>a) Talking with the coach and reaching an agreement</v>
      </c>
      <c r="K68" s="9" t="str">
        <f>IFERROR(__xludf.DUMMYFUNCTION("GOOGLETRANSLATE(E68,""ar"",""en"")"),"Collaborating with the coach achieves the best results.")</f>
        <v>Collaborating with the coach achieves the best results.</v>
      </c>
      <c r="L68" s="9"/>
      <c r="M68" s="9"/>
      <c r="N68" s="9"/>
      <c r="O68" s="9"/>
      <c r="P68" s="9"/>
      <c r="Q68" s="9"/>
      <c r="R68" s="9"/>
      <c r="S68" s="9"/>
      <c r="T68" s="9"/>
      <c r="U68" s="9"/>
      <c r="V68" s="9"/>
      <c r="W68" s="9"/>
      <c r="X68" s="9"/>
      <c r="Y68" s="9"/>
      <c r="Z68" s="9"/>
      <c r="AA68" s="9"/>
      <c r="AB68" s="9"/>
      <c r="AC68" s="9"/>
      <c r="AD68" s="9"/>
      <c r="AE68" s="9"/>
      <c r="AF68" s="9"/>
    </row>
    <row r="69">
      <c r="A69" s="12">
        <v>69.0</v>
      </c>
      <c r="B69" s="13" t="s">
        <v>1240</v>
      </c>
      <c r="C69" s="13" t="s">
        <v>1241</v>
      </c>
      <c r="D69" s="13" t="s">
        <v>1242</v>
      </c>
      <c r="E69" s="14" t="s">
        <v>1243</v>
      </c>
      <c r="F69" s="9"/>
      <c r="G69" s="12">
        <v>69.0</v>
      </c>
      <c r="H69" s="9" t="str">
        <f>IFERROR(__xludf.DUMMYFUNCTION("GOOGLETRANSLATE(B69,""ar"",""en"")"),"You feel frustrated because of the repeated mistakes. What do you do?")</f>
        <v>You feel frustrated because of the repeated mistakes. What do you do?</v>
      </c>
      <c r="I69" s="9" t="str">
        <f>IFERROR(__xludf.DUMMYFUNCTION("GOOGLETRANSLATE(B69,""ar"",""en"")"),"You feel frustrated because of the repeated mistakes. What do you do?")</f>
        <v>You feel frustrated because of the repeated mistakes. What do you do?</v>
      </c>
      <c r="J69" s="9" t="str">
        <f>IFERROR(__xludf.DUMMYFUNCTION("GOOGLETRANSLATE(D69,""ar"",""en"")"),"a) Working on improving skills")</f>
        <v>a) Working on improving skills</v>
      </c>
      <c r="K69" s="9" t="str">
        <f>IFERROR(__xludf.DUMMYFUNCTION("GOOGLETRANSLATE(E69,""ar"",""en"")"),"Continuous improvement is the way to strengthen performance.")</f>
        <v>Continuous improvement is the way to strengthen performance.</v>
      </c>
      <c r="L69" s="9"/>
      <c r="M69" s="9"/>
      <c r="N69" s="9"/>
      <c r="O69" s="9"/>
      <c r="P69" s="9"/>
      <c r="Q69" s="9"/>
      <c r="R69" s="9"/>
      <c r="S69" s="9"/>
      <c r="T69" s="9"/>
      <c r="U69" s="9"/>
      <c r="V69" s="9"/>
      <c r="W69" s="9"/>
      <c r="X69" s="9"/>
      <c r="Y69" s="9"/>
      <c r="Z69" s="9"/>
      <c r="AA69" s="9"/>
      <c r="AB69" s="9"/>
      <c r="AC69" s="9"/>
      <c r="AD69" s="9"/>
      <c r="AE69" s="9"/>
      <c r="AF69" s="9"/>
    </row>
    <row r="70">
      <c r="A70" s="15">
        <v>70.0</v>
      </c>
      <c r="B70" s="16" t="s">
        <v>1244</v>
      </c>
      <c r="C70" s="16" t="s">
        <v>1245</v>
      </c>
      <c r="D70" s="16" t="s">
        <v>1246</v>
      </c>
      <c r="E70" s="17" t="s">
        <v>1247</v>
      </c>
      <c r="F70" s="9"/>
      <c r="G70" s="15">
        <v>70.0</v>
      </c>
      <c r="H70" s="9" t="str">
        <f>IFERROR(__xludf.DUMMYFUNCTION("GOOGLETRANSLATE(B70,""ar"",""en"")"),"Your teammate is struggling to concentrate during the match. How can you help him?")</f>
        <v>Your teammate is struggling to concentrate during the match. How can you help him?</v>
      </c>
      <c r="I70" s="9" t="str">
        <f>IFERROR(__xludf.DUMMYFUNCTION("GOOGLETRANSLATE(B70,""ar"",""en"")"),"Your teammate is struggling to concentrate during the match. How can you help him?")</f>
        <v>Your teammate is struggling to concentrate during the match. How can you help him?</v>
      </c>
      <c r="J70" s="9" t="str">
        <f>IFERROR(__xludf.DUMMYFUNCTION("GOOGLETRANSLATE(D70,""ar"",""en"")"),"a) Providing and motivating psychological support")</f>
        <v>a) Providing and motivating psychological support</v>
      </c>
      <c r="K70" s="9" t="str">
        <f>IFERROR(__xludf.DUMMYFUNCTION("GOOGLETRANSLATE(E70,""ar"",""en"")"),"Moral support improves team performance.")</f>
        <v>Moral support improves team performance.</v>
      </c>
      <c r="L70" s="9"/>
      <c r="M70" s="9"/>
      <c r="N70" s="9"/>
      <c r="O70" s="9"/>
      <c r="P70" s="9"/>
      <c r="Q70" s="9"/>
      <c r="R70" s="9"/>
      <c r="S70" s="9"/>
      <c r="T70" s="9"/>
      <c r="U70" s="9"/>
      <c r="V70" s="9"/>
      <c r="W70" s="9"/>
      <c r="X70" s="9"/>
      <c r="Y70" s="9"/>
      <c r="Z70" s="9"/>
      <c r="AA70" s="9"/>
      <c r="AB70" s="9"/>
      <c r="AC70" s="9"/>
      <c r="AD70" s="9"/>
      <c r="AE70" s="9"/>
      <c r="AF70" s="9"/>
    </row>
    <row r="71">
      <c r="A71" s="12">
        <v>71.0</v>
      </c>
      <c r="B71" s="13" t="s">
        <v>1248</v>
      </c>
      <c r="C71" s="13" t="s">
        <v>1249</v>
      </c>
      <c r="D71" s="13" t="s">
        <v>1250</v>
      </c>
      <c r="E71" s="14" t="s">
        <v>1251</v>
      </c>
      <c r="F71" s="9"/>
      <c r="G71" s="12">
        <v>71.0</v>
      </c>
      <c r="H71" s="9" t="str">
        <f>IFERROR(__xludf.DUMMYFUNCTION("GOOGLETRANSLATE(B71,""ar"",""en"")"),"You feel the need to improve your attacking skills. How do you begin?")</f>
        <v>You feel the need to improve your attacking skills. How do you begin?</v>
      </c>
      <c r="I71" s="9" t="str">
        <f>IFERROR(__xludf.DUMMYFUNCTION("GOOGLETRANSLATE(B71,""ar"",""en"")"),"You feel the need to improve your attacking skills. How do you begin?")</f>
        <v>You feel the need to improve your attacking skills. How do you begin?</v>
      </c>
      <c r="J71" s="9" t="str">
        <f>IFERROR(__xludf.DUMMYFUNCTION("GOOGLETRANSLATE(D71,""ar"",""en"")"),"a) Intensive training in attack techniques")</f>
        <v>a) Intensive training in attack techniques</v>
      </c>
      <c r="K71" s="9" t="str">
        <f>IFERROR(__xludf.DUMMYFUNCTION("GOOGLETRANSLATE(E71,""ar"",""en"")"),"Enhancing your attacking skills gives you a greater chance of winning.")</f>
        <v>Enhancing your attacking skills gives you a greater chance of winning.</v>
      </c>
      <c r="L71" s="9"/>
      <c r="M71" s="9"/>
      <c r="N71" s="9"/>
      <c r="O71" s="9"/>
      <c r="P71" s="9"/>
      <c r="Q71" s="9"/>
      <c r="R71" s="9"/>
      <c r="S71" s="9"/>
      <c r="T71" s="9"/>
      <c r="U71" s="9"/>
      <c r="V71" s="9"/>
      <c r="W71" s="9"/>
      <c r="X71" s="9"/>
      <c r="Y71" s="9"/>
      <c r="Z71" s="9"/>
      <c r="AA71" s="9"/>
      <c r="AB71" s="9"/>
      <c r="AC71" s="9"/>
      <c r="AD71" s="9"/>
      <c r="AE71" s="9"/>
      <c r="AF71" s="9"/>
    </row>
    <row r="72">
      <c r="A72" s="15">
        <v>72.0</v>
      </c>
      <c r="B72" s="16" t="s">
        <v>1252</v>
      </c>
      <c r="C72" s="16" t="s">
        <v>1253</v>
      </c>
      <c r="D72" s="16" t="s">
        <v>1254</v>
      </c>
      <c r="E72" s="17" t="s">
        <v>1255</v>
      </c>
      <c r="F72" s="9"/>
      <c r="G72" s="15">
        <v>72.0</v>
      </c>
      <c r="H72" s="9" t="str">
        <f>IFERROR(__xludf.DUMMYFUNCTION("GOOGLETRANSLATE(B72,""ar"",""en"")"),"You feel there are conflicts within the team. How do you deal with them?")</f>
        <v>You feel there are conflicts within the team. How do you deal with them?</v>
      </c>
      <c r="I72" s="9" t="str">
        <f>IFERROR(__xludf.DUMMYFUNCTION("GOOGLETRANSLATE(B72,""ar"",""en"")"),"You feel there are conflicts within the team. How do you deal with them?")</f>
        <v>You feel there are conflicts within the team. How do you deal with them?</v>
      </c>
      <c r="J72" s="9" t="str">
        <f>IFERROR(__xludf.DUMMYFUNCTION("GOOGLETRANSLATE(D72,""ar"",""en"")"),"a) Speaking frankly to solve the problem")</f>
        <v>a) Speaking frankly to solve the problem</v>
      </c>
      <c r="K72" s="9" t="str">
        <f>IFERROR(__xludf.DUMMYFUNCTION("GOOGLETRANSLATE(E72,""ar"",""en"")"),"Effective communication resolves most disputes.")</f>
        <v>Effective communication resolves most disputes.</v>
      </c>
      <c r="L72" s="9"/>
      <c r="M72" s="9"/>
      <c r="N72" s="9"/>
      <c r="O72" s="9"/>
      <c r="P72" s="9"/>
      <c r="Q72" s="9"/>
      <c r="R72" s="9"/>
      <c r="S72" s="9"/>
      <c r="T72" s="9"/>
      <c r="U72" s="9"/>
      <c r="V72" s="9"/>
      <c r="W72" s="9"/>
      <c r="X72" s="9"/>
      <c r="Y72" s="9"/>
      <c r="Z72" s="9"/>
      <c r="AA72" s="9"/>
      <c r="AB72" s="9"/>
      <c r="AC72" s="9"/>
      <c r="AD72" s="9"/>
      <c r="AE72" s="9"/>
      <c r="AF72" s="9"/>
    </row>
    <row r="73">
      <c r="A73" s="12">
        <v>73.0</v>
      </c>
      <c r="B73" s="13" t="s">
        <v>1256</v>
      </c>
      <c r="C73" s="13" t="s">
        <v>1257</v>
      </c>
      <c r="D73" s="13" t="s">
        <v>1258</v>
      </c>
      <c r="E73" s="14" t="s">
        <v>1259</v>
      </c>
      <c r="F73" s="9"/>
      <c r="G73" s="12">
        <v>73.0</v>
      </c>
      <c r="H73" s="9" t="str">
        <f>IFERROR(__xludf.DUMMYFUNCTION("GOOGLETRANSLATE(B73,""ar"",""en"")"),"You are in a challenge with an opponent who is faster than you. What do you do?")</f>
        <v>You are in a challenge with an opponent who is faster than you. What do you do?</v>
      </c>
      <c r="I73" s="9" t="str">
        <f>IFERROR(__xludf.DUMMYFUNCTION("GOOGLETRANSLATE(B73,""ar"",""en"")"),"You are in a challenge with an opponent who is faster than you. What do you do?")</f>
        <v>You are in a challenge with an opponent who is faster than you. What do you do?</v>
      </c>
      <c r="J73" s="9" t="str">
        <f>IFERROR(__xludf.DUMMYFUNCTION("GOOGLETRANSLATE(D73,""ar"",""en"")"),"a) Improve timing and focus")</f>
        <v>a) Improve timing and focus</v>
      </c>
      <c r="K73" s="9" t="str">
        <f>IFERROR(__xludf.DUMMYFUNCTION("GOOGLETRANSLATE(E73,""ar"",""en"")"),"Good timing makes speed less important.")</f>
        <v>Good timing makes speed less important.</v>
      </c>
      <c r="L73" s="9"/>
      <c r="M73" s="9"/>
      <c r="N73" s="9"/>
      <c r="O73" s="9"/>
      <c r="P73" s="9"/>
      <c r="Q73" s="9"/>
      <c r="R73" s="9"/>
      <c r="S73" s="9"/>
      <c r="T73" s="9"/>
      <c r="U73" s="9"/>
      <c r="V73" s="9"/>
      <c r="W73" s="9"/>
      <c r="X73" s="9"/>
      <c r="Y73" s="9"/>
      <c r="Z73" s="9"/>
      <c r="AA73" s="9"/>
      <c r="AB73" s="9"/>
      <c r="AC73" s="9"/>
      <c r="AD73" s="9"/>
      <c r="AE73" s="9"/>
      <c r="AF73" s="9"/>
    </row>
    <row r="74">
      <c r="A74" s="15">
        <v>74.0</v>
      </c>
      <c r="B74" s="16" t="s">
        <v>1260</v>
      </c>
      <c r="C74" s="16" t="s">
        <v>1261</v>
      </c>
      <c r="D74" s="16" t="s">
        <v>1262</v>
      </c>
      <c r="E74" s="17" t="s">
        <v>1263</v>
      </c>
      <c r="F74" s="9"/>
      <c r="G74" s="15">
        <v>74.0</v>
      </c>
      <c r="H74" s="9" t="str">
        <f>IFERROR(__xludf.DUMMYFUNCTION("GOOGLETRANSLATE(B74,""ar"",""en"")"),"A crucial match is coming up, and you're unsure of your fitness level. What do you do?")</f>
        <v>A crucial match is coming up, and you're unsure of your fitness level. What do you do?</v>
      </c>
      <c r="I74" s="9" t="str">
        <f>IFERROR(__xludf.DUMMYFUNCTION("GOOGLETRANSLATE(B74,""ar"",""en"")"),"A crucial match is coming up, and you're unsure of your fitness level. What do you do?")</f>
        <v>A crucial match is coming up, and you're unsure of your fitness level. What do you do?</v>
      </c>
      <c r="J74" s="9" t="str">
        <f>IFERROR(__xludf.DUMMYFUNCTION("GOOGLETRANSLATE(D74,""ar"",""en"")"),"a) Increased fitness training")</f>
        <v>a) Increased fitness training</v>
      </c>
      <c r="K74" s="9" t="str">
        <f>IFERROR(__xludf.DUMMYFUNCTION("GOOGLETRANSLATE(E74,""ar"",""en"")"),"Good physical conditioning helps in facing challenges.")</f>
        <v>Good physical conditioning helps in facing challenges.</v>
      </c>
      <c r="L74" s="9"/>
      <c r="M74" s="9"/>
      <c r="N74" s="9"/>
      <c r="O74" s="9"/>
      <c r="P74" s="9"/>
      <c r="Q74" s="9"/>
      <c r="R74" s="9"/>
      <c r="S74" s="9"/>
      <c r="T74" s="9"/>
      <c r="U74" s="9"/>
      <c r="V74" s="9"/>
      <c r="W74" s="9"/>
      <c r="X74" s="9"/>
      <c r="Y74" s="9"/>
      <c r="Z74" s="9"/>
      <c r="AA74" s="9"/>
      <c r="AB74" s="9"/>
      <c r="AC74" s="9"/>
      <c r="AD74" s="9"/>
      <c r="AE74" s="9"/>
      <c r="AF74" s="9"/>
    </row>
    <row r="75">
      <c r="A75" s="12">
        <v>75.0</v>
      </c>
      <c r="B75" s="13" t="s">
        <v>1264</v>
      </c>
      <c r="C75" s="13" t="s">
        <v>1265</v>
      </c>
      <c r="D75" s="13" t="s">
        <v>1266</v>
      </c>
      <c r="E75" s="14" t="s">
        <v>1267</v>
      </c>
      <c r="F75" s="9"/>
      <c r="G75" s="12">
        <v>75.0</v>
      </c>
      <c r="H75" s="9" t="str">
        <f>IFERROR(__xludf.DUMMYFUNCTION("GOOGLETRANSLATE(B75,""ar"",""en"")"),"Your colleague is trying to learn a new move. How can you help him?")</f>
        <v>Your colleague is trying to learn a new move. How can you help him?</v>
      </c>
      <c r="I75" s="9" t="str">
        <f>IFERROR(__xludf.DUMMYFUNCTION("GOOGLETRANSLATE(B75,""ar"",""en"")"),"Your colleague is trying to learn a new move. How can you help him?")</f>
        <v>Your colleague is trying to learn a new move. How can you help him?</v>
      </c>
      <c r="J75" s="9" t="str">
        <f>IFERROR(__xludf.DUMMYFUNCTION("GOOGLETRANSLATE(D75,""ar"",""en"")"),"a) Providing positive guidance and assistance")</f>
        <v>a) Providing positive guidance and assistance</v>
      </c>
      <c r="K75" s="9" t="str">
        <f>IFERROR(__xludf.DUMMYFUNCTION("GOOGLETRANSLATE(E75,""ar"",""en"")"),"Proper guidance fosters teamwork.")</f>
        <v>Proper guidance fosters teamwork.</v>
      </c>
      <c r="L75" s="9"/>
      <c r="M75" s="9"/>
      <c r="N75" s="9"/>
      <c r="O75" s="9"/>
      <c r="P75" s="9"/>
      <c r="Q75" s="9"/>
      <c r="R75" s="9"/>
      <c r="S75" s="9"/>
      <c r="T75" s="9"/>
      <c r="U75" s="9"/>
      <c r="V75" s="9"/>
      <c r="W75" s="9"/>
      <c r="X75" s="9"/>
      <c r="Y75" s="9"/>
      <c r="Z75" s="9"/>
      <c r="AA75" s="9"/>
      <c r="AB75" s="9"/>
      <c r="AC75" s="9"/>
      <c r="AD75" s="9"/>
      <c r="AE75" s="9"/>
      <c r="AF75" s="9"/>
    </row>
    <row r="76">
      <c r="A76" s="15">
        <v>76.0</v>
      </c>
      <c r="B76" s="16" t="s">
        <v>1268</v>
      </c>
      <c r="C76" s="16" t="s">
        <v>1269</v>
      </c>
      <c r="D76" s="16" t="s">
        <v>1270</v>
      </c>
      <c r="E76" s="17" t="s">
        <v>1271</v>
      </c>
      <c r="F76" s="9"/>
      <c r="G76" s="15">
        <v>76.0</v>
      </c>
      <c r="H76" s="9" t="str">
        <f>IFERROR(__xludf.DUMMYFUNCTION("GOOGLETRANSLATE(B76,""ar"",""en"")"),"You are in an uncomfortable defensive position. What do you do?")</f>
        <v>You are in an uncomfortable defensive position. What do you do?</v>
      </c>
      <c r="I76" s="9" t="str">
        <f>IFERROR(__xludf.DUMMYFUNCTION("GOOGLETRANSLATE(B76,""ar"",""en"")"),"You are in an uncomfortable defensive position. What do you do?")</f>
        <v>You are in an uncomfortable defensive position. What do you do?</v>
      </c>
      <c r="J76" s="9" t="str">
        <f>IFERROR(__xludf.DUMMYFUNCTION("GOOGLETRANSLATE(D76,""ar"",""en"")"),"a) Improve balance and posture control")</f>
        <v>a) Improve balance and posture control</v>
      </c>
      <c r="K76" s="9" t="str">
        <f>IFERROR(__xludf.DUMMYFUNCTION("GOOGLETRANSLATE(E76,""ar"",""en"")"),"Good control of the defense increases the chances of transitioning to attack.")</f>
        <v>Good control of the defense increases the chances of transitioning to attack.</v>
      </c>
      <c r="L76" s="9"/>
      <c r="M76" s="9"/>
      <c r="N76" s="9"/>
      <c r="O76" s="9"/>
      <c r="P76" s="9"/>
      <c r="Q76" s="9"/>
      <c r="R76" s="9"/>
      <c r="S76" s="9"/>
      <c r="T76" s="9"/>
      <c r="U76" s="9"/>
      <c r="V76" s="9"/>
      <c r="W76" s="9"/>
      <c r="X76" s="9"/>
      <c r="Y76" s="9"/>
      <c r="Z76" s="9"/>
      <c r="AA76" s="9"/>
      <c r="AB76" s="9"/>
      <c r="AC76" s="9"/>
      <c r="AD76" s="9"/>
      <c r="AE76" s="9"/>
      <c r="AF76" s="9"/>
    </row>
    <row r="77">
      <c r="A77" s="12">
        <v>77.0</v>
      </c>
      <c r="B77" s="13" t="s">
        <v>1272</v>
      </c>
      <c r="C77" s="13" t="s">
        <v>1273</v>
      </c>
      <c r="D77" s="13" t="s">
        <v>1274</v>
      </c>
      <c r="E77" s="14" t="s">
        <v>1275</v>
      </c>
      <c r="F77" s="9"/>
      <c r="G77" s="12">
        <v>77.0</v>
      </c>
      <c r="H77" s="9" t="str">
        <f>IFERROR(__xludf.DUMMYFUNCTION("GOOGLETRANSLATE(B77,""ar"",""en"")"),"Your team is suffering from a lack of morale. What do you do?")</f>
        <v>Your team is suffering from a lack of morale. What do you do?</v>
      </c>
      <c r="I77" s="9" t="str">
        <f>IFERROR(__xludf.DUMMYFUNCTION("GOOGLETRANSLATE(B77,""ar"",""en"")"),"Your team is suffering from a lack of morale. What do you do?")</f>
        <v>Your team is suffering from a lack of morale. What do you do?</v>
      </c>
      <c r="J77" s="9" t="str">
        <f>IFERROR(__xludf.DUMMYFUNCTION("GOOGLETRANSLATE(D77,""ar"",""en"")"),"a) Boosting team morale through encouragement and motivation")</f>
        <v>a) Boosting team morale through encouragement and motivation</v>
      </c>
      <c r="K77" s="9" t="str">
        <f>IFERROR(__xludf.DUMMYFUNCTION("GOOGLETRANSLATE(E77,""ar"",""en"")"),"Maintaining morale enhances cooperation.")</f>
        <v>Maintaining morale enhances cooperation.</v>
      </c>
      <c r="L77" s="9"/>
      <c r="M77" s="9"/>
      <c r="N77" s="9"/>
      <c r="O77" s="9"/>
      <c r="P77" s="9"/>
      <c r="Q77" s="9"/>
      <c r="R77" s="9"/>
      <c r="S77" s="9"/>
      <c r="T77" s="9"/>
      <c r="U77" s="9"/>
      <c r="V77" s="9"/>
      <c r="W77" s="9"/>
      <c r="X77" s="9"/>
      <c r="Y77" s="9"/>
      <c r="Z77" s="9"/>
      <c r="AA77" s="9"/>
      <c r="AB77" s="9"/>
      <c r="AC77" s="9"/>
      <c r="AD77" s="9"/>
      <c r="AE77" s="9"/>
      <c r="AF77" s="9"/>
    </row>
    <row r="78">
      <c r="A78" s="15">
        <v>78.0</v>
      </c>
      <c r="B78" s="16" t="s">
        <v>1276</v>
      </c>
      <c r="C78" s="16" t="s">
        <v>1277</v>
      </c>
      <c r="D78" s="16" t="s">
        <v>1278</v>
      </c>
      <c r="E78" s="17" t="s">
        <v>1279</v>
      </c>
      <c r="F78" s="9"/>
      <c r="G78" s="15">
        <v>78.0</v>
      </c>
      <c r="H78" s="9" t="str">
        <f>IFERROR(__xludf.DUMMYFUNCTION("GOOGLETRANSLATE(B78,""ar"",""en"")"),"You are about to face a new opponent in the tournament. What do you do?")</f>
        <v>You are about to face a new opponent in the tournament. What do you do?</v>
      </c>
      <c r="I78" s="9" t="str">
        <f>IFERROR(__xludf.DUMMYFUNCTION("GOOGLETRANSLATE(B78,""ar"",""en"")"),"You are about to face a new opponent in the tournament. What do you do?")</f>
        <v>You are about to face a new opponent in the tournament. What do you do?</v>
      </c>
      <c r="J78" s="9" t="str">
        <f>IFERROR(__xludf.DUMMYFUNCTION("GOOGLETRANSLATE(D78,""ar"",""en"")"),"a) Study your opponent and analyze their style")</f>
        <v>a) Study your opponent and analyze their style</v>
      </c>
      <c r="K78" s="9" t="str">
        <f>IFERROR(__xludf.DUMMYFUNCTION("GOOGLETRANSLATE(E78,""ar"",""en"")"),"A good understanding of your opponent can improve your strategy.")</f>
        <v>A good understanding of your opponent can improve your strategy.</v>
      </c>
      <c r="L78" s="9"/>
      <c r="M78" s="9"/>
      <c r="N78" s="9"/>
      <c r="O78" s="9"/>
      <c r="P78" s="9"/>
      <c r="Q78" s="9"/>
      <c r="R78" s="9"/>
      <c r="S78" s="9"/>
      <c r="T78" s="9"/>
      <c r="U78" s="9"/>
      <c r="V78" s="9"/>
      <c r="W78" s="9"/>
      <c r="X78" s="9"/>
      <c r="Y78" s="9"/>
      <c r="Z78" s="9"/>
      <c r="AA78" s="9"/>
      <c r="AB78" s="9"/>
      <c r="AC78" s="9"/>
      <c r="AD78" s="9"/>
      <c r="AE78" s="9"/>
      <c r="AF78" s="9"/>
    </row>
    <row r="79">
      <c r="A79" s="12">
        <v>79.0</v>
      </c>
      <c r="B79" s="13" t="s">
        <v>1280</v>
      </c>
      <c r="C79" s="13" t="s">
        <v>1281</v>
      </c>
      <c r="D79" s="13" t="s">
        <v>1282</v>
      </c>
      <c r="E79" s="14" t="s">
        <v>1283</v>
      </c>
      <c r="F79" s="9"/>
      <c r="G79" s="12">
        <v>79.0</v>
      </c>
      <c r="H79" s="9" t="str">
        <f>IFERROR(__xludf.DUMMYFUNCTION("GOOGLETRANSLATE(B79,""ar"",""en"")"),"You feel your team doesn't have a solid plan for the upcoming match. What do you do?")</f>
        <v>You feel your team doesn't have a solid plan for the upcoming match. What do you do?</v>
      </c>
      <c r="I79" s="9" t="str">
        <f>IFERROR(__xludf.DUMMYFUNCTION("GOOGLETRANSLATE(B79,""ar"",""en"")"),"You feel your team doesn't have a solid plan for the upcoming match. What do you do?")</f>
        <v>You feel your team doesn't have a solid plan for the upcoming match. What do you do?</v>
      </c>
      <c r="J79" s="9" t="str">
        <f>IFERROR(__xludf.DUMMYFUNCTION("GOOGLETRANSLATE(D79,""ar"",""en"")"),"a) Assistance in developing a sound plan")</f>
        <v>a) Assistance in developing a sound plan</v>
      </c>
      <c r="K79" s="9" t="str">
        <f>IFERROR(__xludf.DUMMYFUNCTION("GOOGLETRANSLATE(E79,""ar"",""en"")"),"Good planning improves team performance.")</f>
        <v>Good planning improves team performance.</v>
      </c>
      <c r="L79" s="9"/>
      <c r="M79" s="9"/>
      <c r="N79" s="9"/>
      <c r="O79" s="9"/>
      <c r="P79" s="9"/>
      <c r="Q79" s="9"/>
      <c r="R79" s="9"/>
      <c r="S79" s="9"/>
      <c r="T79" s="9"/>
      <c r="U79" s="9"/>
      <c r="V79" s="9"/>
      <c r="W79" s="9"/>
      <c r="X79" s="9"/>
      <c r="Y79" s="9"/>
      <c r="Z79" s="9"/>
      <c r="AA79" s="9"/>
      <c r="AB79" s="9"/>
      <c r="AC79" s="9"/>
      <c r="AD79" s="9"/>
      <c r="AE79" s="9"/>
      <c r="AF79" s="9"/>
    </row>
    <row r="80">
      <c r="A80" s="15">
        <v>80.0</v>
      </c>
      <c r="B80" s="16" t="s">
        <v>1284</v>
      </c>
      <c r="C80" s="16" t="s">
        <v>1285</v>
      </c>
      <c r="D80" s="16" t="s">
        <v>1286</v>
      </c>
      <c r="E80" s="17" t="s">
        <v>1287</v>
      </c>
      <c r="F80" s="9"/>
      <c r="G80" s="15">
        <v>80.0</v>
      </c>
      <c r="H80" s="9" t="str">
        <f>IFERROR(__xludf.DUMMYFUNCTION("GOOGLETRANSLATE(B80,""ar"",""en"")"),"Your teammate is having trouble communicating during matches. What do you do?")</f>
        <v>Your teammate is having trouble communicating during matches. What do you do?</v>
      </c>
      <c r="I80" s="9" t="str">
        <f>IFERROR(__xludf.DUMMYFUNCTION("GOOGLETRANSLATE(B80,""ar"",""en"")"),"Your teammate is having trouble communicating during matches. What do you do?")</f>
        <v>Your teammate is having trouble communicating during matches. What do you do?</v>
      </c>
      <c r="J80" s="9" t="str">
        <f>IFERROR(__xludf.DUMMYFUNCTION("GOOGLETRANSLATE(D80,""ar"",""en"")"),"a) Encouraging him to improve communication with the team")</f>
        <v>a) Encouraging him to improve communication with the team</v>
      </c>
      <c r="K80" s="9" t="str">
        <f>IFERROR(__xludf.DUMMYFUNCTION("GOOGLETRANSLATE(E80,""ar"",""en"")"),"Effective communication enhances team coordination.")</f>
        <v>Effective communication enhances team coordination.</v>
      </c>
      <c r="L80" s="9"/>
      <c r="M80" s="9"/>
      <c r="N80" s="9"/>
      <c r="O80" s="9"/>
      <c r="P80" s="9"/>
      <c r="Q80" s="9"/>
      <c r="R80" s="9"/>
      <c r="S80" s="9"/>
      <c r="T80" s="9"/>
      <c r="U80" s="9"/>
      <c r="V80" s="9"/>
      <c r="W80" s="9"/>
      <c r="X80" s="9"/>
      <c r="Y80" s="9"/>
      <c r="Z80" s="9"/>
      <c r="AA80" s="9"/>
      <c r="AB80" s="9"/>
      <c r="AC80" s="9"/>
      <c r="AD80" s="9"/>
      <c r="AE80" s="9"/>
      <c r="AF80" s="9"/>
    </row>
    <row r="81">
      <c r="A81" s="12">
        <v>81.0</v>
      </c>
      <c r="B81" s="13" t="s">
        <v>1288</v>
      </c>
      <c r="C81" s="13" t="s">
        <v>1289</v>
      </c>
      <c r="D81" s="13" t="s">
        <v>1290</v>
      </c>
      <c r="E81" s="14" t="s">
        <v>1291</v>
      </c>
      <c r="F81" s="9"/>
      <c r="G81" s="12">
        <v>81.0</v>
      </c>
      <c r="H81" s="9" t="str">
        <f>IFERROR(__xludf.DUMMYFUNCTION("GOOGLETRANSLATE(B81,""ar"",""en"")"),"You are in a difficult situation due to your lack of balance skills. What do you do?")</f>
        <v>You are in a difficult situation due to your lack of balance skills. What do you do?</v>
      </c>
      <c r="I81" s="9" t="str">
        <f>IFERROR(__xludf.DUMMYFUNCTION("GOOGLETRANSLATE(B81,""ar"",""en"")"),"You are in a difficult situation due to your lack of balance skills. What do you do?")</f>
        <v>You are in a difficult situation due to your lack of balance skills. What do you do?</v>
      </c>
      <c r="J81" s="9" t="str">
        <f>IFERROR(__xludf.DUMMYFUNCTION("GOOGLETRANSLATE(D81,""ar"",""en"")"),"a) Regular balance training")</f>
        <v>a) Regular balance training</v>
      </c>
      <c r="K81" s="9" t="str">
        <f>IFERROR(__xludf.DUMMYFUNCTION("GOOGLETRANSLATE(E81,""ar"",""en"")"),"Continuously improving your balance increases your physical strength.")</f>
        <v>Continuously improving your balance increases your physical strength.</v>
      </c>
      <c r="L81" s="9"/>
      <c r="M81" s="9"/>
      <c r="N81" s="9"/>
      <c r="O81" s="9"/>
      <c r="P81" s="9"/>
      <c r="Q81" s="9"/>
      <c r="R81" s="9"/>
      <c r="S81" s="9"/>
      <c r="T81" s="9"/>
      <c r="U81" s="9"/>
      <c r="V81" s="9"/>
      <c r="W81" s="9"/>
      <c r="X81" s="9"/>
      <c r="Y81" s="9"/>
      <c r="Z81" s="9"/>
      <c r="AA81" s="9"/>
      <c r="AB81" s="9"/>
      <c r="AC81" s="9"/>
      <c r="AD81" s="9"/>
      <c r="AE81" s="9"/>
      <c r="AF81" s="9"/>
    </row>
    <row r="82">
      <c r="A82" s="15">
        <v>82.0</v>
      </c>
      <c r="B82" s="16" t="s">
        <v>1292</v>
      </c>
      <c r="C82" s="16" t="s">
        <v>1293</v>
      </c>
      <c r="D82" s="16" t="s">
        <v>1294</v>
      </c>
      <c r="E82" s="17" t="s">
        <v>1295</v>
      </c>
      <c r="F82" s="9"/>
      <c r="G82" s="15">
        <v>82.0</v>
      </c>
      <c r="H82" s="9" t="str">
        <f>IFERROR(__xludf.DUMMYFUNCTION("GOOGLETRANSLATE(B82,""ar"",""en"")"),"You are in an embarrassing situation because of a mistake you made in front of an audience. How do you react?")</f>
        <v>You are in an embarrassing situation because of a mistake you made in front of an audience. How do you react?</v>
      </c>
      <c r="I82" s="9" t="str">
        <f>IFERROR(__xludf.DUMMYFUNCTION("GOOGLETRANSLATE(B82,""ar"",""en"")"),"You are in an embarrassing situation because of a mistake you made in front of an audience. How do you react?")</f>
        <v>You are in an embarrassing situation because of a mistake you made in front of an audience. How do you react?</v>
      </c>
      <c r="J82" s="9" t="str">
        <f>IFERROR(__xludf.DUMMYFUNCTION("GOOGLETRANSLATE(D82,""ar"",""en"")"),"a) Focus on improving your performance in the future")</f>
        <v>a) Focus on improving your performance in the future</v>
      </c>
      <c r="K82" s="9" t="str">
        <f>IFERROR(__xludf.DUMMYFUNCTION("GOOGLETRANSLATE(E82,""ar"",""en"")"),"Learning from mistakes enhances your abilities.")</f>
        <v>Learning from mistakes enhances your abilities.</v>
      </c>
      <c r="L82" s="9"/>
      <c r="M82" s="9"/>
      <c r="N82" s="9"/>
      <c r="O82" s="9"/>
      <c r="P82" s="9"/>
      <c r="Q82" s="9"/>
      <c r="R82" s="9"/>
      <c r="S82" s="9"/>
      <c r="T82" s="9"/>
      <c r="U82" s="9"/>
      <c r="V82" s="9"/>
      <c r="W82" s="9"/>
      <c r="X82" s="9"/>
      <c r="Y82" s="9"/>
      <c r="Z82" s="9"/>
      <c r="AA82" s="9"/>
      <c r="AB82" s="9"/>
      <c r="AC82" s="9"/>
      <c r="AD82" s="9"/>
      <c r="AE82" s="9"/>
      <c r="AF82" s="9"/>
    </row>
    <row r="83">
      <c r="A83" s="12">
        <v>83.0</v>
      </c>
      <c r="B83" s="13" t="s">
        <v>1296</v>
      </c>
      <c r="C83" s="13" t="s">
        <v>1297</v>
      </c>
      <c r="D83" s="13" t="s">
        <v>1298</v>
      </c>
      <c r="E83" s="14" t="s">
        <v>1299</v>
      </c>
      <c r="F83" s="9"/>
      <c r="G83" s="12">
        <v>83.0</v>
      </c>
      <c r="H83" s="9" t="str">
        <f>IFERROR(__xludf.DUMMYFUNCTION("GOOGLETRANSLATE(B83,""ar"",""en"")"),"You're in training but you don't find the motivation to continue. What do you do?")</f>
        <v>You're in training but you don't find the motivation to continue. What do you do?</v>
      </c>
      <c r="I83" s="9" t="str">
        <f>IFERROR(__xludf.DUMMYFUNCTION("GOOGLETRANSLATE(B83,""ar"",""en"")"),"You're in training but you don't find the motivation to continue. What do you do?")</f>
        <v>You're in training but you don't find the motivation to continue. What do you do?</v>
      </c>
      <c r="J83" s="9" t="str">
        <f>IFERROR(__xludf.DUMMYFUNCTION("GOOGLETRANSLATE(D83,""ar"",""en"")"),"a) Talk to the coach to motivate yourself")</f>
        <v>a) Talk to the coach to motivate yourself</v>
      </c>
      <c r="K83" s="9" t="str">
        <f>IFERROR(__xludf.DUMMYFUNCTION("GOOGLETRANSLATE(E83,""ar"",""en"")"),"Internal encouragement from the coach boosts motivation.")</f>
        <v>Internal encouragement from the coach boosts motivation.</v>
      </c>
      <c r="L83" s="9"/>
      <c r="M83" s="9"/>
      <c r="N83" s="9"/>
      <c r="O83" s="9"/>
      <c r="P83" s="9"/>
      <c r="Q83" s="9"/>
      <c r="R83" s="9"/>
      <c r="S83" s="9"/>
      <c r="T83" s="9"/>
      <c r="U83" s="9"/>
      <c r="V83" s="9"/>
      <c r="W83" s="9"/>
      <c r="X83" s="9"/>
      <c r="Y83" s="9"/>
      <c r="Z83" s="9"/>
      <c r="AA83" s="9"/>
      <c r="AB83" s="9"/>
      <c r="AC83" s="9"/>
      <c r="AD83" s="9"/>
      <c r="AE83" s="9"/>
      <c r="AF83" s="9"/>
    </row>
    <row r="84">
      <c r="A84" s="15">
        <v>84.0</v>
      </c>
      <c r="B84" s="16" t="s">
        <v>1300</v>
      </c>
      <c r="C84" s="16" t="s">
        <v>1301</v>
      </c>
      <c r="D84" s="16" t="s">
        <v>1302</v>
      </c>
      <c r="E84" s="17" t="s">
        <v>1303</v>
      </c>
      <c r="F84" s="9"/>
      <c r="G84" s="15">
        <v>84.0</v>
      </c>
      <c r="H84" s="9" t="str">
        <f>IFERROR(__xludf.DUMMYFUNCTION("GOOGLETRANSLATE(B84,""ar"",""en"")"),"You felt you needed to improve your muscle strength further. What did you do?")</f>
        <v>You felt you needed to improve your muscle strength further. What did you do?</v>
      </c>
      <c r="I84" s="9" t="str">
        <f>IFERROR(__xludf.DUMMYFUNCTION("GOOGLETRANSLATE(B84,""ar"",""en"")"),"You felt you needed to improve your muscle strength further. What did you do?")</f>
        <v>You felt you needed to improve your muscle strength further. What did you do?</v>
      </c>
      <c r="J84" s="9" t="str">
        <f>IFERROR(__xludf.DUMMYFUNCTION("GOOGLETRANSLATE(D84,""ar"",""en"")"),"a) Enrolling in additional strength training")</f>
        <v>a) Enrolling in additional strength training</v>
      </c>
      <c r="K84" s="9" t="str">
        <f>IFERROR(__xludf.DUMMYFUNCTION("GOOGLETRANSLATE(E84,""ar"",""en"")"),"Strengthening muscle mass helps improve overall performance.")</f>
        <v>Strengthening muscle mass helps improve overall performance.</v>
      </c>
      <c r="L84" s="9"/>
      <c r="M84" s="9"/>
      <c r="N84" s="9"/>
      <c r="O84" s="9"/>
      <c r="P84" s="9"/>
      <c r="Q84" s="9"/>
      <c r="R84" s="9"/>
      <c r="S84" s="9"/>
      <c r="T84" s="9"/>
      <c r="U84" s="9"/>
      <c r="V84" s="9"/>
      <c r="W84" s="9"/>
      <c r="X84" s="9"/>
      <c r="Y84" s="9"/>
      <c r="Z84" s="9"/>
      <c r="AA84" s="9"/>
      <c r="AB84" s="9"/>
      <c r="AC84" s="9"/>
      <c r="AD84" s="9"/>
      <c r="AE84" s="9"/>
      <c r="AF84" s="9"/>
    </row>
    <row r="85">
      <c r="A85" s="12">
        <v>85.0</v>
      </c>
      <c r="B85" s="13" t="s">
        <v>1304</v>
      </c>
      <c r="C85" s="13" t="s">
        <v>1305</v>
      </c>
      <c r="D85" s="13" t="s">
        <v>1306</v>
      </c>
      <c r="E85" s="14" t="s">
        <v>1307</v>
      </c>
      <c r="F85" s="9"/>
      <c r="G85" s="12">
        <v>85.0</v>
      </c>
      <c r="H85" s="9" t="str">
        <f>IFERROR(__xludf.DUMMYFUNCTION("GOOGLETRANSLATE(B85,""ar"",""en"")"),"You are in a defensive position, but the opponent is closing in quickly. What do you do?")</f>
        <v>You are in a defensive position, but the opponent is closing in quickly. What do you do?</v>
      </c>
      <c r="I85" s="9" t="str">
        <f>IFERROR(__xludf.DUMMYFUNCTION("GOOGLETRANSLATE(B85,""ar"",""en"")"),"You are in a defensive position, but the opponent is closing in quickly. What do you do?")</f>
        <v>You are in a defensive position, but the opponent is closing in quickly. What do you do?</v>
      </c>
      <c r="J85" s="9" t="str">
        <f>IFERROR(__xludf.DUMMYFUNCTION("GOOGLETRANSLATE(D85,""ar"",""en"")"),"a) Maintaining focus and improving defense")</f>
        <v>a) Maintaining focus and improving defense</v>
      </c>
      <c r="K85" s="9" t="str">
        <f>IFERROR(__xludf.DUMMYFUNCTION("GOOGLETRANSLATE(E85,""ar"",""en"")"),"Focusing on defense reduces the threat posed by the opponent.")</f>
        <v>Focusing on defense reduces the threat posed by the opponent.</v>
      </c>
      <c r="L85" s="9"/>
      <c r="M85" s="9"/>
      <c r="N85" s="9"/>
      <c r="O85" s="9"/>
      <c r="P85" s="9"/>
      <c r="Q85" s="9"/>
      <c r="R85" s="9"/>
      <c r="S85" s="9"/>
      <c r="T85" s="9"/>
      <c r="U85" s="9"/>
      <c r="V85" s="9"/>
      <c r="W85" s="9"/>
      <c r="X85" s="9"/>
      <c r="Y85" s="9"/>
      <c r="Z85" s="9"/>
      <c r="AA85" s="9"/>
      <c r="AB85" s="9"/>
      <c r="AC85" s="9"/>
      <c r="AD85" s="9"/>
      <c r="AE85" s="9"/>
      <c r="AF85" s="9"/>
    </row>
    <row r="86">
      <c r="A86" s="15">
        <v>86.0</v>
      </c>
      <c r="B86" s="16" t="s">
        <v>1308</v>
      </c>
      <c r="C86" s="16" t="s">
        <v>1309</v>
      </c>
      <c r="D86" s="16" t="s">
        <v>1310</v>
      </c>
      <c r="E86" s="17" t="s">
        <v>1311</v>
      </c>
      <c r="F86" s="9"/>
      <c r="G86" s="15">
        <v>86.0</v>
      </c>
      <c r="H86" s="9" t="str">
        <f>IFERROR(__xludf.DUMMYFUNCTION("GOOGLETRANSLATE(B86,""ar"",""en"")"),"You're considering leaving the team because of the constant stress. What do you do?")</f>
        <v>You're considering leaving the team because of the constant stress. What do you do?</v>
      </c>
      <c r="I86" s="9" t="str">
        <f>IFERROR(__xludf.DUMMYFUNCTION("GOOGLETRANSLATE(B86,""ar"",""en"")"),"You're considering leaving the team because of the constant stress. What do you do?")</f>
        <v>You're considering leaving the team because of the constant stress. What do you do?</v>
      </c>
      <c r="J86" s="9" t="str">
        <f>IFERROR(__xludf.DUMMYFUNCTION("GOOGLETRANSLATE(D86,""ar"",""en"")"),"a) Talk to the coach about your feelings")</f>
        <v>a) Talk to the coach about your feelings</v>
      </c>
      <c r="K86" s="9" t="str">
        <f>IFERROR(__xludf.DUMMYFUNCTION("GOOGLETRANSLATE(E86,""ar"",""en"")"),"Communicating with the coach can help resolve the problem.")</f>
        <v>Communicating with the coach can help resolve the problem.</v>
      </c>
      <c r="L86" s="9"/>
      <c r="M86" s="9"/>
      <c r="N86" s="9"/>
      <c r="O86" s="9"/>
      <c r="P86" s="9"/>
      <c r="Q86" s="9"/>
      <c r="R86" s="9"/>
      <c r="S86" s="9"/>
      <c r="T86" s="9"/>
      <c r="U86" s="9"/>
      <c r="V86" s="9"/>
      <c r="W86" s="9"/>
      <c r="X86" s="9"/>
      <c r="Y86" s="9"/>
      <c r="Z86" s="9"/>
      <c r="AA86" s="9"/>
      <c r="AB86" s="9"/>
      <c r="AC86" s="9"/>
      <c r="AD86" s="9"/>
      <c r="AE86" s="9"/>
      <c r="AF86" s="9"/>
    </row>
    <row r="87">
      <c r="A87" s="12">
        <v>87.0</v>
      </c>
      <c r="B87" s="13" t="s">
        <v>1312</v>
      </c>
      <c r="C87" s="13" t="s">
        <v>1313</v>
      </c>
      <c r="D87" s="13" t="s">
        <v>1314</v>
      </c>
      <c r="E87" s="14" t="s">
        <v>1315</v>
      </c>
      <c r="F87" s="9"/>
      <c r="G87" s="12">
        <v>87.0</v>
      </c>
      <c r="H87" s="9" t="str">
        <f>IFERROR(__xludf.DUMMYFUNCTION("GOOGLETRANSLATE(B87,""ar"",""en"")"),"You don't like the way the team is being trained. What do you do?")</f>
        <v>You don't like the way the team is being trained. What do you do?</v>
      </c>
      <c r="I87" s="9" t="str">
        <f>IFERROR(__xludf.DUMMYFUNCTION("GOOGLETRANSLATE(B87,""ar"",""en"")"),"You don't like the way the team is being trained. What do you do?")</f>
        <v>You don't like the way the team is being trained. What do you do?</v>
      </c>
      <c r="J87" s="9" t="str">
        <f>IFERROR(__xludf.DUMMYFUNCTION("GOOGLETRANSLATE(D87,""ar"",""en"")"),"a) Talk to the coach about your opinion")</f>
        <v>a) Talk to the coach about your opinion</v>
      </c>
      <c r="K87" s="9" t="str">
        <f>IFERROR(__xludf.DUMMYFUNCTION("GOOGLETRANSLATE(E87,""ar"",""en"")"),"Communicating with the coach can improve the training style.")</f>
        <v>Communicating with the coach can improve the training style.</v>
      </c>
      <c r="L87" s="9"/>
      <c r="M87" s="9"/>
      <c r="N87" s="9"/>
      <c r="O87" s="9"/>
      <c r="P87" s="9"/>
      <c r="Q87" s="9"/>
      <c r="R87" s="9"/>
      <c r="S87" s="9"/>
      <c r="T87" s="9"/>
      <c r="U87" s="9"/>
      <c r="V87" s="9"/>
      <c r="W87" s="9"/>
      <c r="X87" s="9"/>
      <c r="Y87" s="9"/>
      <c r="Z87" s="9"/>
      <c r="AA87" s="9"/>
      <c r="AB87" s="9"/>
      <c r="AC87" s="9"/>
      <c r="AD87" s="9"/>
      <c r="AE87" s="9"/>
      <c r="AF87" s="9"/>
    </row>
    <row r="88">
      <c r="A88" s="15">
        <v>88.0</v>
      </c>
      <c r="B88" s="16" t="s">
        <v>1316</v>
      </c>
      <c r="C88" s="16" t="s">
        <v>1317</v>
      </c>
      <c r="D88" s="16" t="s">
        <v>1318</v>
      </c>
      <c r="E88" s="17" t="s">
        <v>1319</v>
      </c>
      <c r="F88" s="9"/>
      <c r="G88" s="15">
        <v>88.0</v>
      </c>
      <c r="H88" s="9" t="str">
        <f>IFERROR(__xludf.DUMMYFUNCTION("GOOGLETRANSLATE(B88,""ar"",""en"")"),"You feel very challenged by a strong opponent. What do you do?")</f>
        <v>You feel very challenged by a strong opponent. What do you do?</v>
      </c>
      <c r="I88" s="9" t="str">
        <f>IFERROR(__xludf.DUMMYFUNCTION("GOOGLETRANSLATE(B88,""ar"",""en"")"),"You feel very challenged by a strong opponent. What do you do?")</f>
        <v>You feel very challenged by a strong opponent. What do you do?</v>
      </c>
      <c r="J88" s="9" t="str">
        <f>IFERROR(__xludf.DUMMYFUNCTION("GOOGLETRANSLATE(D88,""ar"",""en"")"),"a) Enhance your strategy and improve your performance")</f>
        <v>a) Enhance your strategy and improve your performance</v>
      </c>
      <c r="K88" s="9" t="str">
        <f>IFERROR(__xludf.DUMMYFUNCTION("GOOGLETRANSLATE(E88,""ar"",""en"")"),"Challenges enhance your abilities.")</f>
        <v>Challenges enhance your abilities.</v>
      </c>
      <c r="L88" s="9"/>
      <c r="M88" s="9"/>
      <c r="N88" s="9"/>
      <c r="O88" s="9"/>
      <c r="P88" s="9"/>
      <c r="Q88" s="9"/>
      <c r="R88" s="9"/>
      <c r="S88" s="9"/>
      <c r="T88" s="9"/>
      <c r="U88" s="9"/>
      <c r="V88" s="9"/>
      <c r="W88" s="9"/>
      <c r="X88" s="9"/>
      <c r="Y88" s="9"/>
      <c r="Z88" s="9"/>
      <c r="AA88" s="9"/>
      <c r="AB88" s="9"/>
      <c r="AC88" s="9"/>
      <c r="AD88" s="9"/>
      <c r="AE88" s="9"/>
      <c r="AF88" s="9"/>
    </row>
    <row r="89">
      <c r="A89" s="12">
        <v>89.0</v>
      </c>
      <c r="B89" s="13" t="s">
        <v>1320</v>
      </c>
      <c r="C89" s="13" t="s">
        <v>1321</v>
      </c>
      <c r="D89" s="13" t="s">
        <v>1322</v>
      </c>
      <c r="E89" s="14" t="s">
        <v>1323</v>
      </c>
      <c r="F89" s="9"/>
      <c r="G89" s="12">
        <v>89.0</v>
      </c>
      <c r="H89" s="9" t="str">
        <f>IFERROR(__xludf.DUMMYFUNCTION("GOOGLETRANSLATE(B89,""ar"",""en"")"),"You are considering developing new matchmaking techniques. What are you doing?")</f>
        <v>You are considering developing new matchmaking techniques. What are you doing?</v>
      </c>
      <c r="I89" s="9" t="str">
        <f>IFERROR(__xludf.DUMMYFUNCTION("GOOGLETRANSLATE(B89,""ar"",""en"")"),"You are considering developing new matchmaking techniques. What are you doing?")</f>
        <v>You are considering developing new matchmaking techniques. What are you doing?</v>
      </c>
      <c r="J89" s="9" t="str">
        <f>IFERROR(__xludf.DUMMYFUNCTION("GOOGLETRANSLATE(D89,""ar"",""en"")"),"a) Learning new techniques during training")</f>
        <v>a) Learning new techniques during training</v>
      </c>
      <c r="K89" s="9" t="str">
        <f>IFERROR(__xludf.DUMMYFUNCTION("GOOGLETRANSLATE(E89,""ar"",""en"")"),"Continuously developing skills enhances performance.")</f>
        <v>Continuously developing skills enhances performance.</v>
      </c>
      <c r="L89" s="9"/>
      <c r="M89" s="9"/>
      <c r="N89" s="9"/>
      <c r="O89" s="9"/>
      <c r="P89" s="9"/>
      <c r="Q89" s="9"/>
      <c r="R89" s="9"/>
      <c r="S89" s="9"/>
      <c r="T89" s="9"/>
      <c r="U89" s="9"/>
      <c r="V89" s="9"/>
      <c r="W89" s="9"/>
      <c r="X89" s="9"/>
      <c r="Y89" s="9"/>
      <c r="Z89" s="9"/>
      <c r="AA89" s="9"/>
      <c r="AB89" s="9"/>
      <c r="AC89" s="9"/>
      <c r="AD89" s="9"/>
      <c r="AE89" s="9"/>
      <c r="AF89" s="9"/>
    </row>
    <row r="90">
      <c r="A90" s="15">
        <v>90.0</v>
      </c>
      <c r="B90" s="16" t="s">
        <v>1324</v>
      </c>
      <c r="C90" s="16" t="s">
        <v>1325</v>
      </c>
      <c r="D90" s="16" t="s">
        <v>1326</v>
      </c>
      <c r="E90" s="17" t="s">
        <v>1327</v>
      </c>
      <c r="F90" s="9"/>
      <c r="G90" s="15">
        <v>90.0</v>
      </c>
      <c r="H90" s="9" t="str">
        <f>IFERROR(__xludf.DUMMYFUNCTION("GOOGLETRANSLATE(B90,""ar"",""en"")"),"You're in a match and you're not mentally comfortable. What do you do?")</f>
        <v>You're in a match and you're not mentally comfortable. What do you do?</v>
      </c>
      <c r="I90" s="9" t="str">
        <f>IFERROR(__xludf.DUMMYFUNCTION("GOOGLETRANSLATE(B90,""ar"",""en"")"),"You're in a match and you're not mentally comfortable. What do you do?")</f>
        <v>You're in a match and you're not mentally comfortable. What do you do?</v>
      </c>
      <c r="J90" s="9" t="str">
        <f>IFERROR(__xludf.DUMMYFUNCTION("GOOGLETRANSLATE(D90,""ar"",""en"")"),"a) Focus on techniques only, to avoid anxiety")</f>
        <v>a) Focus on techniques only, to avoid anxiety</v>
      </c>
      <c r="K90" s="9" t="str">
        <f>IFERROR(__xludf.DUMMYFUNCTION("GOOGLETRANSLATE(E90,""ar"",""en"")"),"Focusing on technical aspects helps in overcoming psychological stress.")</f>
        <v>Focusing on technical aspects helps in overcoming psychological stress.</v>
      </c>
      <c r="L90" s="9"/>
      <c r="M90" s="9"/>
      <c r="N90" s="9"/>
      <c r="O90" s="9"/>
      <c r="P90" s="9"/>
      <c r="Q90" s="9"/>
      <c r="R90" s="9"/>
      <c r="S90" s="9"/>
      <c r="T90" s="9"/>
      <c r="U90" s="9"/>
      <c r="V90" s="9"/>
      <c r="W90" s="9"/>
      <c r="X90" s="9"/>
      <c r="Y90" s="9"/>
      <c r="Z90" s="9"/>
      <c r="AA90" s="9"/>
      <c r="AB90" s="9"/>
      <c r="AC90" s="9"/>
      <c r="AD90" s="9"/>
      <c r="AE90" s="9"/>
      <c r="AF90" s="9"/>
    </row>
    <row r="91">
      <c r="A91" s="12">
        <v>91.0</v>
      </c>
      <c r="B91" s="13" t="s">
        <v>1328</v>
      </c>
      <c r="C91" s="13" t="s">
        <v>1329</v>
      </c>
      <c r="D91" s="13" t="s">
        <v>1330</v>
      </c>
      <c r="E91" s="14" t="s">
        <v>1331</v>
      </c>
      <c r="F91" s="9"/>
      <c r="G91" s="12">
        <v>91.0</v>
      </c>
      <c r="H91" s="9" t="str">
        <f>IFERROR(__xludf.DUMMYFUNCTION("GOOGLETRANSLATE(B91,""ar"",""en"")"),"You are facing an opponent who uses unconventional techniques. What do you do?")</f>
        <v>You are facing an opponent who uses unconventional techniques. What do you do?</v>
      </c>
      <c r="I91" s="9" t="str">
        <f>IFERROR(__xludf.DUMMYFUNCTION("GOOGLETRANSLATE(B91,""ar"",""en"")"),"You are facing an opponent who uses unconventional techniques. What do you do?")</f>
        <v>You are facing an opponent who uses unconventional techniques. What do you do?</v>
      </c>
      <c r="J91" s="9" t="str">
        <f>IFERROR(__xludf.DUMMYFUNCTION("GOOGLETRANSLATE(D91,""ar"",""en"")"),"a) Study his style and adjust your strategy")</f>
        <v>a) Study his style and adjust your strategy</v>
      </c>
      <c r="K91" s="9" t="str">
        <f>IFERROR(__xludf.DUMMYFUNCTION("GOOGLETRANSLATE(E91,""ar"",""en"")"),"Understanding the opponent's style can help in preparing effective defenses.")</f>
        <v>Understanding the opponent's style can help in preparing effective defenses.</v>
      </c>
      <c r="L91" s="9"/>
      <c r="M91" s="9"/>
      <c r="N91" s="9"/>
      <c r="O91" s="9"/>
      <c r="P91" s="9"/>
      <c r="Q91" s="9"/>
      <c r="R91" s="9"/>
      <c r="S91" s="9"/>
      <c r="T91" s="9"/>
      <c r="U91" s="9"/>
      <c r="V91" s="9"/>
      <c r="W91" s="9"/>
      <c r="X91" s="9"/>
      <c r="Y91" s="9"/>
      <c r="Z91" s="9"/>
      <c r="AA91" s="9"/>
      <c r="AB91" s="9"/>
      <c r="AC91" s="9"/>
      <c r="AD91" s="9"/>
      <c r="AE91" s="9"/>
      <c r="AF91" s="9"/>
    </row>
    <row r="92">
      <c r="A92" s="15">
        <v>92.0</v>
      </c>
      <c r="B92" s="16" t="s">
        <v>1332</v>
      </c>
      <c r="C92" s="16" t="s">
        <v>1333</v>
      </c>
      <c r="D92" s="16" t="s">
        <v>1334</v>
      </c>
      <c r="E92" s="17" t="s">
        <v>1335</v>
      </c>
      <c r="F92" s="9"/>
      <c r="G92" s="15">
        <v>92.0</v>
      </c>
      <c r="H92" s="9" t="str">
        <f>IFERROR(__xludf.DUMMYFUNCTION("GOOGLETRANSLATE(B92,""ar"",""en"")"),"You feel very anxious before an important match. What do you do?")</f>
        <v>You feel very anxious before an important match. What do you do?</v>
      </c>
      <c r="I92" s="9" t="str">
        <f>IFERROR(__xludf.DUMMYFUNCTION("GOOGLETRANSLATE(B92,""ar"",""en"")"),"You feel very anxious before an important match. What do you do?")</f>
        <v>You feel very anxious before an important match. What do you do?</v>
      </c>
      <c r="J92" s="9" t="str">
        <f>IFERROR(__xludf.DUMMYFUNCTION("GOOGLETRANSLATE(D92,""ar"",""en"")"),"a) Deep breathing and concentration")</f>
        <v>a) Deep breathing and concentration</v>
      </c>
      <c r="K92" s="9" t="str">
        <f>IFERROR(__xludf.DUMMYFUNCTION("GOOGLETRANSLATE(E92,""ar"",""en"")"),"Relaxation helps reduce anxiety and improve performance.")</f>
        <v>Relaxation helps reduce anxiety and improve performance.</v>
      </c>
      <c r="L92" s="9"/>
      <c r="M92" s="9"/>
      <c r="N92" s="9"/>
      <c r="O92" s="9"/>
      <c r="P92" s="9"/>
      <c r="Q92" s="9"/>
      <c r="R92" s="9"/>
      <c r="S92" s="9"/>
      <c r="T92" s="9"/>
      <c r="U92" s="9"/>
      <c r="V92" s="9"/>
      <c r="W92" s="9"/>
      <c r="X92" s="9"/>
      <c r="Y92" s="9"/>
      <c r="Z92" s="9"/>
      <c r="AA92" s="9"/>
      <c r="AB92" s="9"/>
      <c r="AC92" s="9"/>
      <c r="AD92" s="9"/>
      <c r="AE92" s="9"/>
      <c r="AF92" s="9"/>
    </row>
    <row r="93">
      <c r="A93" s="12">
        <v>93.0</v>
      </c>
      <c r="B93" s="13" t="s">
        <v>1336</v>
      </c>
      <c r="C93" s="13" t="s">
        <v>1337</v>
      </c>
      <c r="D93" s="13" t="s">
        <v>1338</v>
      </c>
      <c r="E93" s="14" t="s">
        <v>1339</v>
      </c>
      <c r="F93" s="9"/>
      <c r="G93" s="12">
        <v>93.0</v>
      </c>
      <c r="H93" s="9" t="str">
        <f>IFERROR(__xludf.DUMMYFUNCTION("GOOGLETRANSLATE(B93,""ar"",""en"")"),"You're thinking about improving your climbing techniques. What are you doing?")</f>
        <v>You're thinking about improving your climbing techniques. What are you doing?</v>
      </c>
      <c r="I93" s="9" t="str">
        <f>IFERROR(__xludf.DUMMYFUNCTION("GOOGLETRANSLATE(B93,""ar"",""en"")"),"You're thinking about improving your climbing techniques. What are you doing?")</f>
        <v>You're thinking about improving your climbing techniques. What are you doing?</v>
      </c>
      <c r="J93" s="9" t="str">
        <f>IFERROR(__xludf.DUMMYFUNCTION("GOOGLETRANSLATE(D93,""ar"",""en"")"),"a) Intensive training in climbing techniques")</f>
        <v>a) Intensive training in climbing techniques</v>
      </c>
      <c r="K93" s="9" t="str">
        <f>IFERROR(__xludf.DUMMYFUNCTION("GOOGLETRANSLATE(E93,""ar"",""en"")"),"Improving your climbing techniques increases your efficiency during the match.")</f>
        <v>Improving your climbing techniques increases your efficiency during the match.</v>
      </c>
      <c r="L93" s="9"/>
      <c r="M93" s="9"/>
      <c r="N93" s="9"/>
      <c r="O93" s="9"/>
      <c r="P93" s="9"/>
      <c r="Q93" s="9"/>
      <c r="R93" s="9"/>
      <c r="S93" s="9"/>
      <c r="T93" s="9"/>
      <c r="U93" s="9"/>
      <c r="V93" s="9"/>
      <c r="W93" s="9"/>
      <c r="X93" s="9"/>
      <c r="Y93" s="9"/>
      <c r="Z93" s="9"/>
      <c r="AA93" s="9"/>
      <c r="AB93" s="9"/>
      <c r="AC93" s="9"/>
      <c r="AD93" s="9"/>
      <c r="AE93" s="9"/>
      <c r="AF93" s="9"/>
    </row>
    <row r="94">
      <c r="A94" s="15">
        <v>94.0</v>
      </c>
      <c r="B94" s="16" t="s">
        <v>1340</v>
      </c>
      <c r="C94" s="16" t="s">
        <v>1341</v>
      </c>
      <c r="D94" s="16" t="s">
        <v>1342</v>
      </c>
      <c r="E94" s="17" t="s">
        <v>1343</v>
      </c>
      <c r="F94" s="9"/>
      <c r="G94" s="15">
        <v>94.0</v>
      </c>
      <c r="H94" s="9" t="str">
        <f>IFERROR(__xludf.DUMMYFUNCTION("GOOGLETRANSLATE(B94,""ar"",""en"")"),"Your colleague has a minor injury. What do you do?")</f>
        <v>Your colleague has a minor injury. What do you do?</v>
      </c>
      <c r="I94" s="9" t="str">
        <f>IFERROR(__xludf.DUMMYFUNCTION("GOOGLETRANSLATE(B94,""ar"",""en"")"),"Your colleague has a minor injury. What do you do?")</f>
        <v>Your colleague has a minor injury. What do you do?</v>
      </c>
      <c r="J94" s="9" t="str">
        <f>IFERROR(__xludf.DUMMYFUNCTION("GOOGLETRANSLATE(D94,""ar"",""en"")"),"a) Helping him and ensuring that the injury does not worsen")</f>
        <v>a) Helping him and ensuring that the injury does not worsen</v>
      </c>
      <c r="K94" s="9" t="str">
        <f>IFERROR(__xludf.DUMMYFUNCTION("GOOGLETRANSLATE(E94,""ar"",""en"")"),"Proper care helps maintain the health of the team.")</f>
        <v>Proper care helps maintain the health of the team.</v>
      </c>
      <c r="L94" s="9"/>
      <c r="M94" s="9"/>
      <c r="N94" s="9"/>
      <c r="O94" s="9"/>
      <c r="P94" s="9"/>
      <c r="Q94" s="9"/>
      <c r="R94" s="9"/>
      <c r="S94" s="9"/>
      <c r="T94" s="9"/>
      <c r="U94" s="9"/>
      <c r="V94" s="9"/>
      <c r="W94" s="9"/>
      <c r="X94" s="9"/>
      <c r="Y94" s="9"/>
      <c r="Z94" s="9"/>
      <c r="AA94" s="9"/>
      <c r="AB94" s="9"/>
      <c r="AC94" s="9"/>
      <c r="AD94" s="9"/>
      <c r="AE94" s="9"/>
      <c r="AF94" s="9"/>
    </row>
    <row r="95">
      <c r="A95" s="12">
        <v>95.0</v>
      </c>
      <c r="B95" s="13" t="s">
        <v>1344</v>
      </c>
      <c r="C95" s="13" t="s">
        <v>1345</v>
      </c>
      <c r="D95" s="13" t="s">
        <v>1346</v>
      </c>
      <c r="E95" s="14" t="s">
        <v>1347</v>
      </c>
      <c r="F95" s="9"/>
      <c r="G95" s="12">
        <v>95.0</v>
      </c>
      <c r="H95" s="9" t="str">
        <f>IFERROR(__xludf.DUMMYFUNCTION("GOOGLETRANSLATE(B95,""ar"",""en"")"),"You're unsure of your physical strength for the upcoming competition. What do you do?")</f>
        <v>You're unsure of your physical strength for the upcoming competition. What do you do?</v>
      </c>
      <c r="I95" s="9" t="str">
        <f>IFERROR(__xludf.DUMMYFUNCTION("GOOGLETRANSLATE(B95,""ar"",""en"")"),"You're unsure of your physical strength for the upcoming competition. What do you do?")</f>
        <v>You're unsure of your physical strength for the upcoming competition. What do you do?</v>
      </c>
      <c r="J95" s="9" t="str">
        <f>IFERROR(__xludf.DUMMYFUNCTION("GOOGLETRANSLATE(D95,""ar"",""en"")"),"a) Improving physical fitness through continuous training")</f>
        <v>a) Improving physical fitness through continuous training</v>
      </c>
      <c r="K95" s="9" t="str">
        <f>IFERROR(__xludf.DUMMYFUNCTION("GOOGLETRANSLATE(E95,""ar"",""en"")"),"Good physical conditioning helps in better performance.")</f>
        <v>Good physical conditioning helps in better performance.</v>
      </c>
      <c r="L95" s="9"/>
      <c r="M95" s="9"/>
      <c r="N95" s="9"/>
      <c r="O95" s="9"/>
      <c r="P95" s="9"/>
      <c r="Q95" s="9"/>
      <c r="R95" s="9"/>
      <c r="S95" s="9"/>
      <c r="T95" s="9"/>
      <c r="U95" s="9"/>
      <c r="V95" s="9"/>
      <c r="W95" s="9"/>
      <c r="X95" s="9"/>
      <c r="Y95" s="9"/>
      <c r="Z95" s="9"/>
      <c r="AA95" s="9"/>
      <c r="AB95" s="9"/>
      <c r="AC95" s="9"/>
      <c r="AD95" s="9"/>
      <c r="AE95" s="9"/>
      <c r="AF95" s="9"/>
    </row>
    <row r="96">
      <c r="A96" s="15">
        <v>96.0</v>
      </c>
      <c r="B96" s="16" t="s">
        <v>1348</v>
      </c>
      <c r="C96" s="16" t="s">
        <v>1349</v>
      </c>
      <c r="D96" s="16" t="s">
        <v>1350</v>
      </c>
      <c r="E96" s="17" t="s">
        <v>1351</v>
      </c>
      <c r="F96" s="9"/>
      <c r="G96" s="15">
        <v>96.0</v>
      </c>
      <c r="H96" s="9" t="str">
        <f>IFERROR(__xludf.DUMMYFUNCTION("GOOGLETRANSLATE(B96,""ar"",""en"")"),"You felt you lacked mental strength during matches. What do you do?")</f>
        <v>You felt you lacked mental strength during matches. What do you do?</v>
      </c>
      <c r="I96" s="9" t="str">
        <f>IFERROR(__xludf.DUMMYFUNCTION("GOOGLETRANSLATE(B96,""ar"",""en"")"),"You felt you lacked mental strength during matches. What do you do?")</f>
        <v>You felt you lacked mental strength during matches. What do you do?</v>
      </c>
      <c r="J96" s="9" t="str">
        <f>IFERROR(__xludf.DUMMYFUNCTION("GOOGLETRANSLATE(D96,""ar"",""en"")"),"a) Developing mental strength through mental stimulation and training")</f>
        <v>a) Developing mental strength through mental stimulation and training</v>
      </c>
      <c r="K96" s="9" t="str">
        <f>IFERROR(__xludf.DUMMYFUNCTION("GOOGLETRANSLATE(E96,""ar"",""en"")"),"Mental strength helps maintain good performance under pressure.")</f>
        <v>Mental strength helps maintain good performance under pressure.</v>
      </c>
      <c r="L96" s="9"/>
      <c r="M96" s="9"/>
      <c r="N96" s="9"/>
      <c r="O96" s="9"/>
      <c r="P96" s="9"/>
      <c r="Q96" s="9"/>
      <c r="R96" s="9"/>
      <c r="S96" s="9"/>
      <c r="T96" s="9"/>
      <c r="U96" s="9"/>
      <c r="V96" s="9"/>
      <c r="W96" s="9"/>
      <c r="X96" s="9"/>
      <c r="Y96" s="9"/>
      <c r="Z96" s="9"/>
      <c r="AA96" s="9"/>
      <c r="AB96" s="9"/>
      <c r="AC96" s="9"/>
      <c r="AD96" s="9"/>
      <c r="AE96" s="9"/>
      <c r="AF96" s="9"/>
    </row>
    <row r="97">
      <c r="A97" s="12">
        <v>97.0</v>
      </c>
      <c r="B97" s="13" t="s">
        <v>1352</v>
      </c>
      <c r="C97" s="13" t="s">
        <v>1353</v>
      </c>
      <c r="D97" s="13" t="s">
        <v>1354</v>
      </c>
      <c r="E97" s="14" t="s">
        <v>1355</v>
      </c>
      <c r="F97" s="9"/>
      <c r="G97" s="12">
        <v>97.0</v>
      </c>
      <c r="H97" s="9" t="str">
        <f>IFERROR(__xludf.DUMMYFUNCTION("GOOGLETRANSLATE(B97,""ar"",""en"")"),"You are having difficulty maintaining your balance during competition. What do you do?")</f>
        <v>You are having difficulty maintaining your balance during competition. What do you do?</v>
      </c>
      <c r="I97" s="9" t="str">
        <f>IFERROR(__xludf.DUMMYFUNCTION("GOOGLETRANSLATE(B97,""ar"",""en"")"),"You are having difficulty maintaining your balance during competition. What do you do?")</f>
        <v>You are having difficulty maintaining your balance during competition. What do you do?</v>
      </c>
      <c r="J97" s="9" t="str">
        <f>IFERROR(__xludf.DUMMYFUNCTION("GOOGLETRANSLATE(D97,""ar"",""en"")"),"a) Regular balance training")</f>
        <v>a) Regular balance training</v>
      </c>
      <c r="K97" s="9" t="str">
        <f>IFERROR(__xludf.DUMMYFUNCTION("GOOGLETRANSLATE(E97,""ar"",""en"")"),"Good balance contributes to improved overall performance.")</f>
        <v>Good balance contributes to improved overall performance.</v>
      </c>
      <c r="L97" s="9"/>
      <c r="M97" s="9"/>
      <c r="N97" s="9"/>
      <c r="O97" s="9"/>
      <c r="P97" s="9"/>
      <c r="Q97" s="9"/>
      <c r="R97" s="9"/>
      <c r="S97" s="9"/>
      <c r="T97" s="9"/>
      <c r="U97" s="9"/>
      <c r="V97" s="9"/>
      <c r="W97" s="9"/>
      <c r="X97" s="9"/>
      <c r="Y97" s="9"/>
      <c r="Z97" s="9"/>
      <c r="AA97" s="9"/>
      <c r="AB97" s="9"/>
      <c r="AC97" s="9"/>
      <c r="AD97" s="9"/>
      <c r="AE97" s="9"/>
      <c r="AF97" s="9"/>
    </row>
    <row r="98">
      <c r="A98" s="15">
        <v>98.0</v>
      </c>
      <c r="B98" s="16" t="s">
        <v>1356</v>
      </c>
      <c r="C98" s="16" t="s">
        <v>1357</v>
      </c>
      <c r="D98" s="16" t="s">
        <v>1358</v>
      </c>
      <c r="E98" s="17" t="s">
        <v>1359</v>
      </c>
      <c r="F98" s="9"/>
      <c r="G98" s="15">
        <v>98.0</v>
      </c>
      <c r="H98" s="9" t="str">
        <f>IFERROR(__xludf.DUMMYFUNCTION("GOOGLETRANSLATE(B98,""ar"",""en"")"),"At the start of the workout, I was tired from the previous day. What do you do?")</f>
        <v>At the start of the workout, I was tired from the previous day. What do you do?</v>
      </c>
      <c r="I98" s="9" t="str">
        <f>IFERROR(__xludf.DUMMYFUNCTION("GOOGLETRANSLATE(B98,""ar"",""en"")"),"At the start of the workout, I was tired from the previous day. What do you do?")</f>
        <v>At the start of the workout, I was tired from the previous day. What do you do?</v>
      </c>
      <c r="J98" s="9" t="str">
        <f>IFERROR(__xludf.DUMMYFUNCTION("GOOGLETRANSLATE(D98,""ar"",""en"")"),"a) Rest for a short period, then gradually begin exercising.")</f>
        <v>a) Rest for a short period, then gradually begin exercising.</v>
      </c>
      <c r="K98" s="9" t="str">
        <f>IFERROR(__xludf.DUMMYFUNCTION("GOOGLETRANSLATE(E98,""ar"",""en"")"),"The balance between rest and exercise increases performance effectiveness.")</f>
        <v>The balance between rest and exercise increases performance effectiveness.</v>
      </c>
      <c r="L98" s="9"/>
      <c r="M98" s="9"/>
      <c r="N98" s="9"/>
      <c r="O98" s="9"/>
      <c r="P98" s="9"/>
      <c r="Q98" s="9"/>
      <c r="R98" s="9"/>
      <c r="S98" s="9"/>
      <c r="T98" s="9"/>
      <c r="U98" s="9"/>
      <c r="V98" s="9"/>
      <c r="W98" s="9"/>
      <c r="X98" s="9"/>
      <c r="Y98" s="9"/>
      <c r="Z98" s="9"/>
      <c r="AA98" s="9"/>
      <c r="AB98" s="9"/>
      <c r="AC98" s="9"/>
      <c r="AD98" s="9"/>
      <c r="AE98" s="9"/>
      <c r="AF98" s="9"/>
    </row>
    <row r="99">
      <c r="A99" s="12">
        <v>99.0</v>
      </c>
      <c r="B99" s="13" t="s">
        <v>1360</v>
      </c>
      <c r="C99" s="13" t="s">
        <v>1361</v>
      </c>
      <c r="D99" s="13" t="s">
        <v>1362</v>
      </c>
      <c r="E99" s="14" t="s">
        <v>1363</v>
      </c>
      <c r="F99" s="9"/>
      <c r="G99" s="12">
        <v>99.0</v>
      </c>
      <c r="H99" s="9" t="str">
        <f>IFERROR(__xludf.DUMMYFUNCTION("GOOGLETRANSLATE(B99,""ar"",""en"")"),"You see that your coach is not satisfied with your performance. What do you do?")</f>
        <v>You see that your coach is not satisfied with your performance. What do you do?</v>
      </c>
      <c r="I99" s="9" t="str">
        <f>IFERROR(__xludf.DUMMYFUNCTION("GOOGLETRANSLATE(B99,""ar"",""en"")"),"You see that your coach is not satisfied with your performance. What do you do?")</f>
        <v>You see that your coach is not satisfied with your performance. What do you do?</v>
      </c>
      <c r="J99" s="9" t="str">
        <f>IFERROR(__xludf.DUMMYFUNCTION("GOOGLETRANSLATE(D99,""ar"",""en"")"),"a) Talking to the coach to improve performance")</f>
        <v>a) Talking to the coach to improve performance</v>
      </c>
      <c r="K99" s="9" t="str">
        <f>IFERROR(__xludf.DUMMYFUNCTION("GOOGLETRANSLATE(E99,""ar"",""en"")"),"Collaborating with the coach contributes to improved performance.")</f>
        <v>Collaborating with the coach contributes to improved performance.</v>
      </c>
      <c r="L99" s="9"/>
      <c r="M99" s="9"/>
      <c r="N99" s="9"/>
      <c r="O99" s="9"/>
      <c r="P99" s="9"/>
      <c r="Q99" s="9"/>
      <c r="R99" s="9"/>
      <c r="S99" s="9"/>
      <c r="T99" s="9"/>
      <c r="U99" s="9"/>
      <c r="V99" s="9"/>
      <c r="W99" s="9"/>
      <c r="X99" s="9"/>
      <c r="Y99" s="9"/>
      <c r="Z99" s="9"/>
      <c r="AA99" s="9"/>
      <c r="AB99" s="9"/>
      <c r="AC99" s="9"/>
      <c r="AD99" s="9"/>
      <c r="AE99" s="9"/>
      <c r="AF99" s="9"/>
    </row>
    <row r="100">
      <c r="A100" s="15">
        <v>100.0</v>
      </c>
      <c r="B100" s="16" t="s">
        <v>1364</v>
      </c>
      <c r="C100" s="16" t="s">
        <v>1365</v>
      </c>
      <c r="D100" s="16" t="s">
        <v>1366</v>
      </c>
      <c r="E100" s="17" t="s">
        <v>1367</v>
      </c>
      <c r="F100" s="9"/>
      <c r="G100" s="15">
        <v>100.0</v>
      </c>
      <c r="H100" s="9" t="str">
        <f>IFERROR(__xludf.DUMMYFUNCTION("GOOGLETRANSLATE(B100,""ar"",""en"")"),"You have a minor injury. How do you deal with it?")</f>
        <v>You have a minor injury. How do you deal with it?</v>
      </c>
      <c r="I100" s="9" t="str">
        <f>IFERROR(__xludf.DUMMYFUNCTION("GOOGLETRANSLATE(B100,""ar"",""en"")"),"You have a minor injury. How do you deal with it?")</f>
        <v>You have a minor injury. How do you deal with it?</v>
      </c>
      <c r="J100" s="9" t="str">
        <f>IFERROR(__xludf.DUMMYFUNCTION("GOOGLETRANSLATE(D100,""ar"",""en"")"),"a) Rest and recovery before returning to the match")</f>
        <v>a) Rest and recovery before returning to the match</v>
      </c>
      <c r="K100" s="9" t="str">
        <f>IFERROR(__xludf.DUMMYFUNCTION("GOOGLETRANSLATE(E100,""ar"",""en"")"),"Proper rest speeds up the recovery process.")</f>
        <v>Proper rest speeds up the recovery process.</v>
      </c>
      <c r="L100" s="9"/>
      <c r="M100" s="9"/>
      <c r="N100" s="9"/>
      <c r="O100" s="9"/>
      <c r="P100" s="9"/>
      <c r="Q100" s="9"/>
      <c r="R100" s="9"/>
      <c r="S100" s="9"/>
      <c r="T100" s="9"/>
      <c r="U100" s="9"/>
      <c r="V100" s="9"/>
      <c r="W100" s="9"/>
      <c r="X100" s="9"/>
      <c r="Y100" s="9"/>
      <c r="Z100" s="9"/>
      <c r="AA100" s="9"/>
      <c r="AB100" s="9"/>
      <c r="AC100" s="9"/>
      <c r="AD100" s="9"/>
      <c r="AE100" s="9"/>
      <c r="AF100" s="9"/>
    </row>
    <row r="101">
      <c r="A101" s="12">
        <v>101.0</v>
      </c>
      <c r="B101" s="13" t="s">
        <v>1368</v>
      </c>
      <c r="C101" s="13" t="s">
        <v>1369</v>
      </c>
      <c r="D101" s="13" t="s">
        <v>1370</v>
      </c>
      <c r="E101" s="14" t="s">
        <v>1371</v>
      </c>
      <c r="F101" s="9"/>
      <c r="G101" s="12">
        <v>101.0</v>
      </c>
      <c r="H101" s="9" t="str">
        <f>IFERROR(__xludf.DUMMYFUNCTION("GOOGLETRANSLATE(B101,""ar"",""en"")"),"You feel your team's coordination is poor. What do you do?")</f>
        <v>You feel your team's coordination is poor. What do you do?</v>
      </c>
      <c r="I101" s="9" t="str">
        <f>IFERROR(__xludf.DUMMYFUNCTION("GOOGLETRANSLATE(B101,""ar"",""en"")"),"You feel your team's coordination is poor. What do you do?")</f>
        <v>You feel your team's coordination is poor. What do you do?</v>
      </c>
      <c r="J101" s="9" t="str">
        <f>IFERROR(__xludf.DUMMYFUNCTION("GOOGLETRANSLATE(D101,""ar"",""en"")"),"a) Attempting to improve coordination through group exercise")</f>
        <v>a) Attempting to improve coordination through group exercise</v>
      </c>
      <c r="K101" s="9" t="str">
        <f>IFERROR(__xludf.DUMMYFUNCTION("GOOGLETRANSLATE(E101,""ar"",""en"")"),"Good coordination enhances team performance.")</f>
        <v>Good coordination enhances team performance.</v>
      </c>
      <c r="L101" s="9"/>
      <c r="M101" s="9"/>
      <c r="N101" s="9"/>
      <c r="O101" s="9"/>
      <c r="P101" s="9"/>
      <c r="Q101" s="9"/>
      <c r="R101" s="9"/>
      <c r="S101" s="9"/>
      <c r="T101" s="9"/>
      <c r="U101" s="9"/>
      <c r="V101" s="9"/>
      <c r="W101" s="9"/>
      <c r="X101" s="9"/>
      <c r="Y101" s="9"/>
      <c r="Z101" s="9"/>
      <c r="AA101" s="9"/>
      <c r="AB101" s="9"/>
      <c r="AC101" s="9"/>
      <c r="AD101" s="9"/>
      <c r="AE101" s="9"/>
      <c r="AF101" s="9"/>
    </row>
    <row r="102">
      <c r="A102" s="15">
        <v>102.0</v>
      </c>
      <c r="B102" s="16" t="s">
        <v>1372</v>
      </c>
      <c r="C102" s="16" t="s">
        <v>1373</v>
      </c>
      <c r="D102" s="16" t="s">
        <v>1374</v>
      </c>
      <c r="E102" s="17" t="s">
        <v>1375</v>
      </c>
      <c r="F102" s="9"/>
      <c r="G102" s="15">
        <v>102.0</v>
      </c>
      <c r="H102" s="9" t="str">
        <f>IFERROR(__xludf.DUMMYFUNCTION("GOOGLETRANSLATE(B102,""ar"",""en"")"),"You play on a team but you're having trouble communicating with your teammates. What do you do?")</f>
        <v>You play on a team but you're having trouble communicating with your teammates. What do you do?</v>
      </c>
      <c r="I102" s="9" t="str">
        <f>IFERROR(__xludf.DUMMYFUNCTION("GOOGLETRANSLATE(B102,""ar"",""en"")"),"You play on a team but you're having trouble communicating with your teammates. What do you do?")</f>
        <v>You play on a team but you're having trouble communicating with your teammates. What do you do?</v>
      </c>
      <c r="J102" s="9" t="str">
        <f>IFERROR(__xludf.DUMMYFUNCTION("GOOGLETRANSLATE(D102,""ar"",""en"")"),"a) Attempting to improve communication through training and feedback")</f>
        <v>a) Attempting to improve communication through training and feedback</v>
      </c>
      <c r="K102" s="9" t="str">
        <f>IFERROR(__xludf.DUMMYFUNCTION("GOOGLETRANSLATE(E102,""ar"",""en"")"),"Effective communication makes the team more harmonious.")</f>
        <v>Effective communication makes the team more harmonious.</v>
      </c>
      <c r="L102" s="9"/>
      <c r="M102" s="9"/>
      <c r="N102" s="9"/>
      <c r="O102" s="9"/>
      <c r="P102" s="9"/>
      <c r="Q102" s="9"/>
      <c r="R102" s="9"/>
      <c r="S102" s="9"/>
      <c r="T102" s="9"/>
      <c r="U102" s="9"/>
      <c r="V102" s="9"/>
      <c r="W102" s="9"/>
      <c r="X102" s="9"/>
      <c r="Y102" s="9"/>
      <c r="Z102" s="9"/>
      <c r="AA102" s="9"/>
      <c r="AB102" s="9"/>
      <c r="AC102" s="9"/>
      <c r="AD102" s="9"/>
      <c r="AE102" s="9"/>
      <c r="AF102" s="9"/>
    </row>
    <row r="103">
      <c r="A103" s="12">
        <v>103.0</v>
      </c>
      <c r="B103" s="13" t="s">
        <v>1376</v>
      </c>
      <c r="C103" s="13" t="s">
        <v>1377</v>
      </c>
      <c r="D103" s="13" t="s">
        <v>1378</v>
      </c>
      <c r="E103" s="14" t="s">
        <v>1379</v>
      </c>
      <c r="F103" s="9"/>
      <c r="G103" s="12">
        <v>103.0</v>
      </c>
      <c r="H103" s="9" t="str">
        <f>IFERROR(__xludf.DUMMYFUNCTION("GOOGLETRANSLATE(B103,""ar"",""en"")"),"You're having trouble motivating yourself during workouts. What do you do?")</f>
        <v>You're having trouble motivating yourself during workouts. What do you do?</v>
      </c>
      <c r="I103" s="9" t="str">
        <f>IFERROR(__xludf.DUMMYFUNCTION("GOOGLETRANSLATE(B103,""ar"",""en"")"),"You're having trouble motivating yourself during workouts. What do you do?")</f>
        <v>You're having trouble motivating yourself during workouts. What do you do?</v>
      </c>
      <c r="J103" s="9" t="str">
        <f>IFERROR(__xludf.DUMMYFUNCTION("GOOGLETRANSLATE(D103,""ar"",""en"")"),"a) Set small goals and reward yourself")</f>
        <v>a) Set small goals and reward yourself</v>
      </c>
      <c r="K103" s="9" t="str">
        <f>IFERROR(__xludf.DUMMYFUNCTION("GOOGLETRANSLATE(E103,""ar"",""en"")"),"Self-motivation helps in perseverance and making progress.")</f>
        <v>Self-motivation helps in perseverance and making progress.</v>
      </c>
      <c r="L103" s="9"/>
      <c r="M103" s="9"/>
      <c r="N103" s="9"/>
      <c r="O103" s="9"/>
      <c r="P103" s="9"/>
      <c r="Q103" s="9"/>
      <c r="R103" s="9"/>
      <c r="S103" s="9"/>
      <c r="T103" s="9"/>
      <c r="U103" s="9"/>
      <c r="V103" s="9"/>
      <c r="W103" s="9"/>
      <c r="X103" s="9"/>
      <c r="Y103" s="9"/>
      <c r="Z103" s="9"/>
      <c r="AA103" s="9"/>
      <c r="AB103" s="9"/>
      <c r="AC103" s="9"/>
      <c r="AD103" s="9"/>
      <c r="AE103" s="9"/>
      <c r="AF103" s="9"/>
    </row>
    <row r="104">
      <c r="A104" s="15">
        <v>104.0</v>
      </c>
      <c r="B104" s="16" t="s">
        <v>1380</v>
      </c>
      <c r="C104" s="16" t="s">
        <v>1381</v>
      </c>
      <c r="D104" s="16" t="s">
        <v>1382</v>
      </c>
      <c r="E104" s="17" t="s">
        <v>1383</v>
      </c>
      <c r="F104" s="9"/>
      <c r="G104" s="15">
        <v>104.0</v>
      </c>
      <c r="H104" s="9" t="str">
        <f>IFERROR(__xludf.DUMMYFUNCTION("GOOGLETRANSLATE(B104,""ar"",""en"")"),"You feel the team is uncooperative. What do you do?")</f>
        <v>You feel the team is uncooperative. What do you do?</v>
      </c>
      <c r="I104" s="9" t="str">
        <f>IFERROR(__xludf.DUMMYFUNCTION("GOOGLETRANSLATE(B104,""ar"",""en"")"),"You feel the team is uncooperative. What do you do?")</f>
        <v>You feel the team is uncooperative. What do you do?</v>
      </c>
      <c r="J104" s="9" t="str">
        <f>IFERROR(__xludf.DUMMYFUNCTION("GOOGLETRANSLATE(D104,""ar"",""en"")"),"a) Working to improve team spirit through communication")</f>
        <v>a) Working to improve team spirit through communication</v>
      </c>
      <c r="K104" s="9" t="str">
        <f>IFERROR(__xludf.DUMMYFUNCTION("GOOGLETRANSLATE(E104,""ar"",""en"")"),"Teamwork strengthens the team.")</f>
        <v>Teamwork strengthens the team.</v>
      </c>
      <c r="L104" s="9"/>
      <c r="M104" s="9"/>
      <c r="N104" s="9"/>
      <c r="O104" s="9"/>
      <c r="P104" s="9"/>
      <c r="Q104" s="9"/>
      <c r="R104" s="9"/>
      <c r="S104" s="9"/>
      <c r="T104" s="9"/>
      <c r="U104" s="9"/>
      <c r="V104" s="9"/>
      <c r="W104" s="9"/>
      <c r="X104" s="9"/>
      <c r="Y104" s="9"/>
      <c r="Z104" s="9"/>
      <c r="AA104" s="9"/>
      <c r="AB104" s="9"/>
      <c r="AC104" s="9"/>
      <c r="AD104" s="9"/>
      <c r="AE104" s="9"/>
      <c r="AF104" s="9"/>
    </row>
    <row r="105">
      <c r="A105" s="12">
        <v>105.0</v>
      </c>
      <c r="B105" s="13" t="s">
        <v>1384</v>
      </c>
      <c r="C105" s="13" t="s">
        <v>1385</v>
      </c>
      <c r="D105" s="13" t="s">
        <v>1386</v>
      </c>
      <c r="E105" s="14" t="s">
        <v>1387</v>
      </c>
      <c r="F105" s="9"/>
      <c r="G105" s="12">
        <v>105.0</v>
      </c>
      <c r="H105" s="9" t="str">
        <f>IFERROR(__xludf.DUMMYFUNCTION("GOOGLETRANSLATE(B105,""ar"",""en"")"),"You are finding it difficult to adapt to the training environment. What do you do?")</f>
        <v>You are finding it difficult to adapt to the training environment. What do you do?</v>
      </c>
      <c r="I105" s="9" t="str">
        <f>IFERROR(__xludf.DUMMYFUNCTION("GOOGLETRANSLATE(B105,""ar"",""en"")"),"You are finding it difficult to adapt to the training environment. What do you do?")</f>
        <v>You are finding it difficult to adapt to the training environment. What do you do?</v>
      </c>
      <c r="J105" s="9" t="str">
        <f>IFERROR(__xludf.DUMMYFUNCTION("GOOGLETRANSLATE(D105,""ar"",""en"")"),"a) Talking to the coach to improve the training environment")</f>
        <v>a) Talking to the coach to improve the training environment</v>
      </c>
      <c r="K105" s="9" t="str">
        <f>IFERROR(__xludf.DUMMYFUNCTION("GOOGLETRANSLATE(E105,""ar"",""en"")"),"Improving the training environment increases productivity.")</f>
        <v>Improving the training environment increases productivity.</v>
      </c>
      <c r="L105" s="9"/>
      <c r="M105" s="9"/>
      <c r="N105" s="9"/>
      <c r="O105" s="9"/>
      <c r="P105" s="9"/>
      <c r="Q105" s="9"/>
      <c r="R105" s="9"/>
      <c r="S105" s="9"/>
      <c r="T105" s="9"/>
      <c r="U105" s="9"/>
      <c r="V105" s="9"/>
      <c r="W105" s="9"/>
      <c r="X105" s="9"/>
      <c r="Y105" s="9"/>
      <c r="Z105" s="9"/>
      <c r="AA105" s="9"/>
      <c r="AB105" s="9"/>
      <c r="AC105" s="9"/>
      <c r="AD105" s="9"/>
      <c r="AE105" s="9"/>
      <c r="AF105" s="9"/>
    </row>
    <row r="106">
      <c r="A106" s="15">
        <v>106.0</v>
      </c>
      <c r="B106" s="16" t="s">
        <v>1388</v>
      </c>
      <c r="C106" s="16" t="s">
        <v>1389</v>
      </c>
      <c r="D106" s="16" t="s">
        <v>1390</v>
      </c>
      <c r="E106" s="17" t="s">
        <v>1391</v>
      </c>
      <c r="F106" s="9"/>
      <c r="G106" s="15">
        <v>106.0</v>
      </c>
      <c r="H106" s="9" t="str">
        <f>IFERROR(__xludf.DUMMYFUNCTION("GOOGLETRANSLATE(B106,""ar"",""en"")"),"You are competing against an opponent who is physically superior to you. What do you do?")</f>
        <v>You are competing against an opponent who is physically superior to you. What do you do?</v>
      </c>
      <c r="I106" s="9" t="str">
        <f>IFERROR(__xludf.DUMMYFUNCTION("GOOGLETRANSLATE(B106,""ar"",""en"")"),"You are competing against an opponent who is physically superior to you. What do you do?")</f>
        <v>You are competing against an opponent who is physically superior to you. What do you do?</v>
      </c>
      <c r="J106" s="9" t="str">
        <f>IFERROR(__xludf.DUMMYFUNCTION("GOOGLETRANSLATE(D106,""ar"",""en"")"),"a) Using tactical strategies to compensate for the difference in physical strength")</f>
        <v>a) Using tactical strategies to compensate for the difference in physical strength</v>
      </c>
      <c r="K106" s="9" t="str">
        <f>IFERROR(__xludf.DUMMYFUNCTION("GOOGLETRANSLATE(E106,""ar"",""en"")"),"A good strategy can help overcome the difference in physical strength.")</f>
        <v>A good strategy can help overcome the difference in physical strength.</v>
      </c>
      <c r="L106" s="9"/>
      <c r="M106" s="9"/>
      <c r="N106" s="9"/>
      <c r="O106" s="9"/>
      <c r="P106" s="9"/>
      <c r="Q106" s="9"/>
      <c r="R106" s="9"/>
      <c r="S106" s="9"/>
      <c r="T106" s="9"/>
      <c r="U106" s="9"/>
      <c r="V106" s="9"/>
      <c r="W106" s="9"/>
      <c r="X106" s="9"/>
      <c r="Y106" s="9"/>
      <c r="Z106" s="9"/>
      <c r="AA106" s="9"/>
      <c r="AB106" s="9"/>
      <c r="AC106" s="9"/>
      <c r="AD106" s="9"/>
      <c r="AE106" s="9"/>
      <c r="AF106" s="9"/>
    </row>
    <row r="107">
      <c r="A107" s="12">
        <v>107.0</v>
      </c>
      <c r="B107" s="13" t="s">
        <v>1392</v>
      </c>
      <c r="C107" s="13" t="s">
        <v>1393</v>
      </c>
      <c r="D107" s="13" t="s">
        <v>1394</v>
      </c>
      <c r="E107" s="14" t="s">
        <v>1395</v>
      </c>
      <c r="F107" s="9"/>
      <c r="G107" s="12">
        <v>107.0</v>
      </c>
      <c r="H107" s="9" t="str">
        <f>IFERROR(__xludf.DUMMYFUNCTION("GOOGLETRANSLATE(B107,""ar"",""en"")"),"You need to improve your floor wrestling skills. What should you do?")</f>
        <v>You need to improve your floor wrestling skills. What should you do?</v>
      </c>
      <c r="I107" s="9" t="str">
        <f>IFERROR(__xludf.DUMMYFUNCTION("GOOGLETRANSLATE(B107,""ar"",""en"")"),"You need to improve your floor wrestling skills. What should you do?")</f>
        <v>You need to improve your floor wrestling skills. What should you do?</v>
      </c>
      <c r="J107" s="9" t="str">
        <f>IFERROR(__xludf.DUMMYFUNCTION("GOOGLETRANSLATE(D107,""ar"",""en"")"),"a) Intensive training in floor wrestling techniques")</f>
        <v>a) Intensive training in floor wrestling techniques</v>
      </c>
      <c r="K107" s="9" t="str">
        <f>IFERROR(__xludf.DUMMYFUNCTION("GOOGLETRANSLATE(E107,""ar"",""en"")"),"Improving your ground skills gives you an added advantage.")</f>
        <v>Improving your ground skills gives you an added advantage.</v>
      </c>
      <c r="L107" s="9"/>
      <c r="M107" s="9"/>
      <c r="N107" s="9"/>
      <c r="O107" s="9"/>
      <c r="P107" s="9"/>
      <c r="Q107" s="9"/>
      <c r="R107" s="9"/>
      <c r="S107" s="9"/>
      <c r="T107" s="9"/>
      <c r="U107" s="9"/>
      <c r="V107" s="9"/>
      <c r="W107" s="9"/>
      <c r="X107" s="9"/>
      <c r="Y107" s="9"/>
      <c r="Z107" s="9"/>
      <c r="AA107" s="9"/>
      <c r="AB107" s="9"/>
      <c r="AC107" s="9"/>
      <c r="AD107" s="9"/>
      <c r="AE107" s="9"/>
      <c r="AF107" s="9"/>
    </row>
    <row r="108">
      <c r="A108" s="15">
        <v>108.0</v>
      </c>
      <c r="B108" s="16" t="s">
        <v>1396</v>
      </c>
      <c r="C108" s="16" t="s">
        <v>1397</v>
      </c>
      <c r="D108" s="16" t="s">
        <v>1398</v>
      </c>
      <c r="E108" s="17" t="s">
        <v>1399</v>
      </c>
      <c r="F108" s="9"/>
      <c r="G108" s="15">
        <v>108.0</v>
      </c>
      <c r="H108" s="9" t="str">
        <f>IFERROR(__xludf.DUMMYFUNCTION("GOOGLETRANSLATE(B108,""ar"",""en"")"),"You're having trouble managing your time during exercise. What do you do?")</f>
        <v>You're having trouble managing your time during exercise. What do you do?</v>
      </c>
      <c r="I108" s="9" t="str">
        <f>IFERROR(__xludf.DUMMYFUNCTION("GOOGLETRANSLATE(B108,""ar"",""en"")"),"You're having trouble managing your time during exercise. What do you do?")</f>
        <v>You're having trouble managing your time during exercise. What do you do?</v>
      </c>
      <c r="J108" s="9" t="str">
        <f>IFERROR(__xludf.DUMMYFUNCTION("GOOGLETRANSLATE(D108,""ar"",""en"")"),"a) Plan the exercise in advance to ensure maximum benefit")</f>
        <v>a) Plan the exercise in advance to ensure maximum benefit</v>
      </c>
      <c r="K108" s="9" t="str">
        <f>IFERROR(__xludf.DUMMYFUNCTION("GOOGLETRANSLATE(E108,""ar"",""en"")"),"Good time management helps improve efficiency.")</f>
        <v>Good time management helps improve efficiency.</v>
      </c>
      <c r="L108" s="9"/>
      <c r="M108" s="9"/>
      <c r="N108" s="9"/>
      <c r="O108" s="9"/>
      <c r="P108" s="9"/>
      <c r="Q108" s="9"/>
      <c r="R108" s="9"/>
      <c r="S108" s="9"/>
      <c r="T108" s="9"/>
      <c r="U108" s="9"/>
      <c r="V108" s="9"/>
      <c r="W108" s="9"/>
      <c r="X108" s="9"/>
      <c r="Y108" s="9"/>
      <c r="Z108" s="9"/>
      <c r="AA108" s="9"/>
      <c r="AB108" s="9"/>
      <c r="AC108" s="9"/>
      <c r="AD108" s="9"/>
      <c r="AE108" s="9"/>
      <c r="AF108" s="9"/>
    </row>
    <row r="109">
      <c r="A109" s="12">
        <v>109.0</v>
      </c>
      <c r="B109" s="13" t="s">
        <v>1400</v>
      </c>
      <c r="C109" s="13" t="s">
        <v>1401</v>
      </c>
      <c r="D109" s="13" t="s">
        <v>1402</v>
      </c>
      <c r="E109" s="14" t="s">
        <v>1403</v>
      </c>
      <c r="F109" s="9"/>
      <c r="G109" s="12">
        <v>109.0</v>
      </c>
      <c r="H109" s="9" t="str">
        <f>IFERROR(__xludf.DUMMYFUNCTION("GOOGLETRANSLATE(B109,""ar"",""en"")"),"You feel like you're lagging behind the rest of the team. What do you do?")</f>
        <v>You feel like you're lagging behind the rest of the team. What do you do?</v>
      </c>
      <c r="I109" s="9" t="str">
        <f>IFERROR(__xludf.DUMMYFUNCTION("GOOGLETRANSLATE(B109,""ar"",""en"")"),"You feel like you're lagging behind the rest of the team. What do you do?")</f>
        <v>You feel like you're lagging behind the rest of the team. What do you do?</v>
      </c>
      <c r="J109" s="9" t="str">
        <f>IFERROR(__xludf.DUMMYFUNCTION("GOOGLETRANSLATE(D109,""ar"",""en"")"),"a) Work on improving your skills and focus on your personal development")</f>
        <v>a) Work on improving your skills and focus on your personal development</v>
      </c>
      <c r="K109" s="9" t="str">
        <f>IFERROR(__xludf.DUMMYFUNCTION("GOOGLETRANSLATE(E109,""ar"",""en"")"),"Self-improvement contributes to the progress of the team as a whole.")</f>
        <v>Self-improvement contributes to the progress of the team as a whole.</v>
      </c>
      <c r="L109" s="9"/>
      <c r="M109" s="9"/>
      <c r="N109" s="9"/>
      <c r="O109" s="9"/>
      <c r="P109" s="9"/>
      <c r="Q109" s="9"/>
      <c r="R109" s="9"/>
      <c r="S109" s="9"/>
      <c r="T109" s="9"/>
      <c r="U109" s="9"/>
      <c r="V109" s="9"/>
      <c r="W109" s="9"/>
      <c r="X109" s="9"/>
      <c r="Y109" s="9"/>
      <c r="Z109" s="9"/>
      <c r="AA109" s="9"/>
      <c r="AB109" s="9"/>
      <c r="AC109" s="9"/>
      <c r="AD109" s="9"/>
      <c r="AE109" s="9"/>
      <c r="AF109" s="9"/>
    </row>
    <row r="110">
      <c r="A110" s="15">
        <v>110.0</v>
      </c>
      <c r="B110" s="16" t="s">
        <v>1404</v>
      </c>
      <c r="C110" s="16" t="s">
        <v>1405</v>
      </c>
      <c r="D110" s="16" t="s">
        <v>1406</v>
      </c>
      <c r="E110" s="17" t="s">
        <v>1407</v>
      </c>
      <c r="F110" s="9"/>
      <c r="G110" s="15">
        <v>110.0</v>
      </c>
      <c r="H110" s="9" t="str">
        <f>IFERROR(__xludf.DUMMYFUNCTION("GOOGLETRANSLATE(B110,""ar"",""en"")"),"You're in the game and you don't feel confident in your abilities. What do you do?")</f>
        <v>You're in the game and you don't feel confident in your abilities. What do you do?</v>
      </c>
      <c r="I110" s="9" t="str">
        <f>IFERROR(__xludf.DUMMYFUNCTION("GOOGLETRANSLATE(B110,""ar"",""en"")"),"You're in the game and you don't feel confident in your abilities. What do you do?")</f>
        <v>You're in the game and you don't feel confident in your abilities. What do you do?</v>
      </c>
      <c r="J110" s="9" t="str">
        <f>IFERROR(__xludf.DUMMYFUNCTION("GOOGLETRANSLATE(D110,""ar"",""en"")"),"a) Increase your self-confidence by focusing on your strengths")</f>
        <v>a) Increase your self-confidence by focusing on your strengths</v>
      </c>
      <c r="K110" s="9" t="str">
        <f>IFERROR(__xludf.DUMMYFUNCTION("GOOGLETRANSLATE(E110,""ar"",""en"")"),"Self-confidence leads to better performance in matches.")</f>
        <v>Self-confidence leads to better performance in matches.</v>
      </c>
      <c r="L110" s="9"/>
      <c r="M110" s="9"/>
      <c r="N110" s="9"/>
      <c r="O110" s="9"/>
      <c r="P110" s="9"/>
      <c r="Q110" s="9"/>
      <c r="R110" s="9"/>
      <c r="S110" s="9"/>
      <c r="T110" s="9"/>
      <c r="U110" s="9"/>
      <c r="V110" s="9"/>
      <c r="W110" s="9"/>
      <c r="X110" s="9"/>
      <c r="Y110" s="9"/>
      <c r="Z110" s="9"/>
      <c r="AA110" s="9"/>
      <c r="AB110" s="9"/>
      <c r="AC110" s="9"/>
      <c r="AD110" s="9"/>
      <c r="AE110" s="9"/>
      <c r="AF110" s="9"/>
    </row>
    <row r="111">
      <c r="A111" s="12">
        <v>111.0</v>
      </c>
      <c r="B111" s="13" t="s">
        <v>1408</v>
      </c>
      <c r="C111" s="13" t="s">
        <v>1409</v>
      </c>
      <c r="D111" s="13" t="s">
        <v>1410</v>
      </c>
      <c r="E111" s="14" t="s">
        <v>1411</v>
      </c>
      <c r="F111" s="9"/>
      <c r="G111" s="12">
        <v>111.0</v>
      </c>
      <c r="H111" s="9" t="str">
        <f>IFERROR(__xludf.DUMMYFUNCTION("GOOGLETRANSLATE(B111,""ar"",""en"")"),"You feel you can't keep up with your opponent's speed. What do you do?")</f>
        <v>You feel you can't keep up with your opponent's speed. What do you do?</v>
      </c>
      <c r="I111" s="9" t="str">
        <f>IFERROR(__xludf.DUMMYFUNCTION("GOOGLETRANSLATE(B111,""ar"",""en"")"),"You feel you can't keep up with your opponent's speed. What do you do?")</f>
        <v>You feel you can't keep up with your opponent's speed. What do you do?</v>
      </c>
      <c r="J111" s="9" t="str">
        <f>IFERROR(__xludf.DUMMYFUNCTION("GOOGLETRANSLATE(D111,""ar"",""en"")"),"a) Improving timing and tactics to compensate for the difference in speed")</f>
        <v>a) Improving timing and tactics to compensate for the difference in speed</v>
      </c>
      <c r="K111" s="9" t="str">
        <f>IFERROR(__xludf.DUMMYFUNCTION("GOOGLETRANSLATE(E111,""ar"",""en"")"),"Improving timing helps overcome speed differences.")</f>
        <v>Improving timing helps overcome speed differences.</v>
      </c>
      <c r="L111" s="9"/>
      <c r="M111" s="9"/>
      <c r="N111" s="9"/>
      <c r="O111" s="9"/>
      <c r="P111" s="9"/>
      <c r="Q111" s="9"/>
      <c r="R111" s="9"/>
      <c r="S111" s="9"/>
      <c r="T111" s="9"/>
      <c r="U111" s="9"/>
      <c r="V111" s="9"/>
      <c r="W111" s="9"/>
      <c r="X111" s="9"/>
      <c r="Y111" s="9"/>
      <c r="Z111" s="9"/>
      <c r="AA111" s="9"/>
      <c r="AB111" s="9"/>
      <c r="AC111" s="9"/>
      <c r="AD111" s="9"/>
      <c r="AE111" s="9"/>
      <c r="AF111" s="9"/>
    </row>
    <row r="112">
      <c r="A112" s="15">
        <v>112.0</v>
      </c>
      <c r="B112" s="16" t="s">
        <v>1412</v>
      </c>
      <c r="C112" s="16" t="s">
        <v>1413</v>
      </c>
      <c r="D112" s="16" t="s">
        <v>1414</v>
      </c>
      <c r="E112" s="17" t="s">
        <v>1415</v>
      </c>
      <c r="F112" s="9"/>
      <c r="G112" s="15">
        <v>112.0</v>
      </c>
      <c r="H112" s="9" t="str">
        <f>IFERROR(__xludf.DUMMYFUNCTION("GOOGLETRANSLATE(B112,""ar"",""en"")"),"You're in a team and need to focus on improving tactical awareness. What do you do?")</f>
        <v>You're in a team and need to focus on improving tactical awareness. What do you do?</v>
      </c>
      <c r="I112" s="9" t="str">
        <f>IFERROR(__xludf.DUMMYFUNCTION("GOOGLETRANSLATE(B112,""ar"",""en"")"),"You're in a team and need to focus on improving tactical awareness. What do you do?")</f>
        <v>You're in a team and need to focus on improving tactical awareness. What do you do?</v>
      </c>
      <c r="J112" s="9" t="str">
        <f>IFERROR(__xludf.DUMMYFUNCTION("GOOGLETRANSLATE(D112,""ar"",""en"")"),"a) Practicing different tactics with the team")</f>
        <v>a) Practicing different tactics with the team</v>
      </c>
      <c r="K112" s="9" t="str">
        <f>IFERROR(__xludf.DUMMYFUNCTION("GOOGLETRANSLATE(E112,""ar"",""en"")"),"Good tactics give a team strategic advantages.")</f>
        <v>Good tactics give a team strategic advantages.</v>
      </c>
      <c r="L112" s="9"/>
      <c r="M112" s="9"/>
      <c r="N112" s="9"/>
      <c r="O112" s="9"/>
      <c r="P112" s="9"/>
      <c r="Q112" s="9"/>
      <c r="R112" s="9"/>
      <c r="S112" s="9"/>
      <c r="T112" s="9"/>
      <c r="U112" s="9"/>
      <c r="V112" s="9"/>
      <c r="W112" s="9"/>
      <c r="X112" s="9"/>
      <c r="Y112" s="9"/>
      <c r="Z112" s="9"/>
      <c r="AA112" s="9"/>
      <c r="AB112" s="9"/>
      <c r="AC112" s="9"/>
      <c r="AD112" s="9"/>
      <c r="AE112" s="9"/>
      <c r="AF112" s="9"/>
    </row>
    <row r="113">
      <c r="A113" s="12">
        <v>113.0</v>
      </c>
      <c r="B113" s="13" t="s">
        <v>1416</v>
      </c>
      <c r="C113" s="13" t="s">
        <v>1417</v>
      </c>
      <c r="D113" s="13" t="s">
        <v>1418</v>
      </c>
      <c r="E113" s="14" t="s">
        <v>1419</v>
      </c>
      <c r="F113" s="9"/>
      <c r="G113" s="12">
        <v>113.0</v>
      </c>
      <c r="H113" s="9" t="str">
        <f>IFERROR(__xludf.DUMMYFUNCTION("GOOGLETRANSLATE(B113,""ar"",""en"")"),"You feel under psychological pressure before the match. What do you do?")</f>
        <v>You feel under psychological pressure before the match. What do you do?</v>
      </c>
      <c r="I113" s="9" t="str">
        <f>IFERROR(__xludf.DUMMYFUNCTION("GOOGLETRANSLATE(B113,""ar"",""en"")"),"You feel under psychological pressure before the match. What do you do?")</f>
        <v>You feel under psychological pressure before the match. What do you do?</v>
      </c>
      <c r="J113" s="9" t="str">
        <f>IFERROR(__xludf.DUMMYFUNCTION("GOOGLETRANSLATE(D113,""ar"",""en"")"),"a) Focus on breathing and mental concentration")</f>
        <v>a) Focus on breathing and mental concentration</v>
      </c>
      <c r="K113" s="9" t="str">
        <f>IFERROR(__xludf.DUMMYFUNCTION("GOOGLETRANSLATE(E113,""ar"",""en"")"),"Psychological techniques help maintain performance under pressure.")</f>
        <v>Psychological techniques help maintain performance under pressure.</v>
      </c>
      <c r="L113" s="9"/>
      <c r="M113" s="9"/>
      <c r="N113" s="9"/>
      <c r="O113" s="9"/>
      <c r="P113" s="9"/>
      <c r="Q113" s="9"/>
      <c r="R113" s="9"/>
      <c r="S113" s="9"/>
      <c r="T113" s="9"/>
      <c r="U113" s="9"/>
      <c r="V113" s="9"/>
      <c r="W113" s="9"/>
      <c r="X113" s="9"/>
      <c r="Y113" s="9"/>
      <c r="Z113" s="9"/>
      <c r="AA113" s="9"/>
      <c r="AB113" s="9"/>
      <c r="AC113" s="9"/>
      <c r="AD113" s="9"/>
      <c r="AE113" s="9"/>
      <c r="AF113" s="9"/>
    </row>
    <row r="114">
      <c r="A114" s="15">
        <v>114.0</v>
      </c>
      <c r="B114" s="16" t="s">
        <v>1420</v>
      </c>
      <c r="C114" s="16" t="s">
        <v>1421</v>
      </c>
      <c r="D114" s="16" t="s">
        <v>1422</v>
      </c>
      <c r="E114" s="17" t="s">
        <v>1423</v>
      </c>
      <c r="F114" s="9"/>
      <c r="G114" s="15">
        <v>114.0</v>
      </c>
      <c r="H114" s="9" t="str">
        <f>IFERROR(__xludf.DUMMYFUNCTION("GOOGLETRANSLATE(B114,""ar"",""en"")"),"You feel like you're starting to lose your physical fitness. What should you do?")</f>
        <v>You feel like you're starting to lose your physical fitness. What should you do?</v>
      </c>
      <c r="I114" s="9" t="str">
        <f>IFERROR(__xludf.DUMMYFUNCTION("GOOGLETRANSLATE(B114,""ar"",""en"")"),"You feel like you're starting to lose your physical fitness. What should you do?")</f>
        <v>You feel like you're starting to lose your physical fitness. What should you do?</v>
      </c>
      <c r="J114" s="9" t="str">
        <f>IFERROR(__xludf.DUMMYFUNCTION("GOOGLETRANSLATE(D114,""ar"",""en"")"),"a) Improving physical fitness through appropriate training")</f>
        <v>a) Improving physical fitness through appropriate training</v>
      </c>
      <c r="K114" s="9" t="str">
        <f>IFERROR(__xludf.DUMMYFUNCTION("GOOGLETRANSLATE(E114,""ar"",""en"")"),"Good physical fitness enhances long-term performance.")</f>
        <v>Good physical fitness enhances long-term performance.</v>
      </c>
      <c r="L114" s="9"/>
      <c r="M114" s="9"/>
      <c r="N114" s="9"/>
      <c r="O114" s="9"/>
      <c r="P114" s="9"/>
      <c r="Q114" s="9"/>
      <c r="R114" s="9"/>
      <c r="S114" s="9"/>
      <c r="T114" s="9"/>
      <c r="U114" s="9"/>
      <c r="V114" s="9"/>
      <c r="W114" s="9"/>
      <c r="X114" s="9"/>
      <c r="Y114" s="9"/>
      <c r="Z114" s="9"/>
      <c r="AA114" s="9"/>
      <c r="AB114" s="9"/>
      <c r="AC114" s="9"/>
      <c r="AD114" s="9"/>
      <c r="AE114" s="9"/>
      <c r="AF114" s="9"/>
    </row>
    <row r="115">
      <c r="A115" s="12">
        <v>115.0</v>
      </c>
      <c r="B115" s="13" t="s">
        <v>1424</v>
      </c>
      <c r="C115" s="13" t="s">
        <v>1425</v>
      </c>
      <c r="D115" s="13" t="s">
        <v>1426</v>
      </c>
      <c r="E115" s="14" t="s">
        <v>1427</v>
      </c>
      <c r="F115" s="9"/>
      <c r="G115" s="12">
        <v>115.0</v>
      </c>
      <c r="H115" s="9" t="str">
        <f>IFERROR(__xludf.DUMMYFUNCTION("GOOGLETRANSLATE(B115,""ar"",""en"")"),"You are having difficulty reading your opponent's style. What do you do?")</f>
        <v>You are having difficulty reading your opponent's style. What do you do?</v>
      </c>
      <c r="I115" s="9" t="str">
        <f>IFERROR(__xludf.DUMMYFUNCTION("GOOGLETRANSLATE(B115,""ar"",""en"")"),"You are having difficulty reading your opponent's style. What do you do?")</f>
        <v>You are having difficulty reading your opponent's style. What do you do?</v>
      </c>
      <c r="J115" s="9" t="str">
        <f>IFERROR(__xludf.DUMMYFUNCTION("GOOGLETRANSLATE(D115,""ar"",""en"")"),"a) Observe his style closely and analyze his weaknesses")</f>
        <v>a) Observe his style closely and analyze his weaknesses</v>
      </c>
      <c r="K115" s="9" t="str">
        <f>IFERROR(__xludf.DUMMYFUNCTION("GOOGLETRANSLATE(E115,""ar"",""en"")"),"Analyzing the opponent's style helps in acting effectively.")</f>
        <v>Analyzing the opponent's style helps in acting effectively.</v>
      </c>
      <c r="L115" s="9"/>
      <c r="M115" s="9"/>
      <c r="N115" s="9"/>
      <c r="O115" s="9"/>
      <c r="P115" s="9"/>
      <c r="Q115" s="9"/>
      <c r="R115" s="9"/>
      <c r="S115" s="9"/>
      <c r="T115" s="9"/>
      <c r="U115" s="9"/>
      <c r="V115" s="9"/>
      <c r="W115" s="9"/>
      <c r="X115" s="9"/>
      <c r="Y115" s="9"/>
      <c r="Z115" s="9"/>
      <c r="AA115" s="9"/>
      <c r="AB115" s="9"/>
      <c r="AC115" s="9"/>
      <c r="AD115" s="9"/>
      <c r="AE115" s="9"/>
      <c r="AF115" s="9"/>
    </row>
    <row r="116">
      <c r="A116" s="15">
        <v>116.0</v>
      </c>
      <c r="B116" s="16" t="s">
        <v>1428</v>
      </c>
      <c r="C116" s="16" t="s">
        <v>1429</v>
      </c>
      <c r="D116" s="16" t="s">
        <v>1430</v>
      </c>
      <c r="E116" s="17" t="s">
        <v>1431</v>
      </c>
      <c r="F116" s="9"/>
      <c r="G116" s="15">
        <v>116.0</v>
      </c>
      <c r="H116" s="9" t="str">
        <f>IFERROR(__xludf.DUMMYFUNCTION("GOOGLETRANSLATE(B116,""ar"",""en"")"),"You are facing a very strong opponent at the start of the match. What do you do?")</f>
        <v>You are facing a very strong opponent at the start of the match. What do you do?</v>
      </c>
      <c r="I116" s="9" t="str">
        <f>IFERROR(__xludf.DUMMYFUNCTION("GOOGLETRANSLATE(B116,""ar"",""en"")"),"You are facing a very strong opponent at the start of the match. What do you do?")</f>
        <v>You are facing a very strong opponent at the start of the match. What do you do?</v>
      </c>
      <c r="J116" s="9" t="str">
        <f>IFERROR(__xludf.DUMMYFUNCTION("GOOGLETRANSLATE(D116,""ar"",""en"")"),"a) Stay calm and focus on your strategy")</f>
        <v>a) Stay calm and focus on your strategy</v>
      </c>
      <c r="K116" s="9" t="str">
        <f>IFERROR(__xludf.DUMMYFUNCTION("GOOGLETRANSLATE(E116,""ar"",""en"")"),"Adherence to the strategy helps in overcoming a strong opponent.")</f>
        <v>Adherence to the strategy helps in overcoming a strong opponent.</v>
      </c>
      <c r="L116" s="9"/>
      <c r="M116" s="9"/>
      <c r="N116" s="9"/>
      <c r="O116" s="9"/>
      <c r="P116" s="9"/>
      <c r="Q116" s="9"/>
      <c r="R116" s="9"/>
      <c r="S116" s="9"/>
      <c r="T116" s="9"/>
      <c r="U116" s="9"/>
      <c r="V116" s="9"/>
      <c r="W116" s="9"/>
      <c r="X116" s="9"/>
      <c r="Y116" s="9"/>
      <c r="Z116" s="9"/>
      <c r="AA116" s="9"/>
      <c r="AB116" s="9"/>
      <c r="AC116" s="9"/>
      <c r="AD116" s="9"/>
      <c r="AE116" s="9"/>
      <c r="AF116" s="9"/>
    </row>
    <row r="117">
      <c r="A117" s="12">
        <v>117.0</v>
      </c>
      <c r="B117" s="13" t="s">
        <v>1432</v>
      </c>
      <c r="C117" s="13" t="s">
        <v>1433</v>
      </c>
      <c r="D117" s="13" t="s">
        <v>1434</v>
      </c>
      <c r="E117" s="14" t="s">
        <v>1435</v>
      </c>
      <c r="F117" s="9"/>
      <c r="G117" s="12">
        <v>117.0</v>
      </c>
      <c r="H117" s="9" t="str">
        <f>IFERROR(__xludf.DUMMYFUNCTION("GOOGLETRANSLATE(B117,""ar"",""en"")"),"You feel tired in the middle of your workout. What do you do?")</f>
        <v>You feel tired in the middle of your workout. What do you do?</v>
      </c>
      <c r="I117" s="9" t="str">
        <f>IFERROR(__xludf.DUMMYFUNCTION("GOOGLETRANSLATE(B117,""ar"",""en"")"),"You feel tired in the middle of your workout. What do you do?")</f>
        <v>You feel tired in the middle of your workout. What do you do?</v>
      </c>
      <c r="J117" s="9" t="str">
        <f>IFERROR(__xludf.DUMMYFUNCTION("GOOGLETRANSLATE(D117,""ar"",""en"")"),"a) Take a short break and then return to training")</f>
        <v>a) Take a short break and then return to training</v>
      </c>
      <c r="K117" s="9" t="str">
        <f>IFERROR(__xludf.DUMMYFUNCTION("GOOGLETRANSLATE(E117,""ar"",""en"")"),"Balancing rest and exercise helps avoid burnout.")</f>
        <v>Balancing rest and exercise helps avoid burnout.</v>
      </c>
      <c r="L117" s="9"/>
      <c r="M117" s="9"/>
      <c r="N117" s="9"/>
      <c r="O117" s="9"/>
      <c r="P117" s="9"/>
      <c r="Q117" s="9"/>
      <c r="R117" s="9"/>
      <c r="S117" s="9"/>
      <c r="T117" s="9"/>
      <c r="U117" s="9"/>
      <c r="V117" s="9"/>
      <c r="W117" s="9"/>
      <c r="X117" s="9"/>
      <c r="Y117" s="9"/>
      <c r="Z117" s="9"/>
      <c r="AA117" s="9"/>
      <c r="AB117" s="9"/>
      <c r="AC117" s="9"/>
      <c r="AD117" s="9"/>
      <c r="AE117" s="9"/>
      <c r="AF117" s="9"/>
    </row>
    <row r="118">
      <c r="A118" s="15">
        <v>118.0</v>
      </c>
      <c r="B118" s="16" t="s">
        <v>1436</v>
      </c>
      <c r="C118" s="16" t="s">
        <v>1437</v>
      </c>
      <c r="D118" s="16" t="s">
        <v>1438</v>
      </c>
      <c r="E118" s="17" t="s">
        <v>1439</v>
      </c>
      <c r="F118" s="9"/>
      <c r="G118" s="15">
        <v>118.0</v>
      </c>
      <c r="H118" s="9" t="str">
        <f>IFERROR(__xludf.DUMMYFUNCTION("GOOGLETRANSLATE(B118,""ar"",""en"")"),"You're having trouble concentrating during the game. What do you do?")</f>
        <v>You're having trouble concentrating during the game. What do you do?</v>
      </c>
      <c r="I118" s="9" t="str">
        <f>IFERROR(__xludf.DUMMYFUNCTION("GOOGLETRANSLATE(B118,""ar"",""en"")"),"You're having trouble concentrating during the game. What do you do?")</f>
        <v>You're having trouble concentrating during the game. What do you do?</v>
      </c>
      <c r="J118" s="9" t="str">
        <f>IFERROR(__xludf.DUMMYFUNCTION("GOOGLETRANSLATE(D118,""ar"",""en"")"),"a) Focus on breathing and calming the mind")</f>
        <v>a) Focus on breathing and calming the mind</v>
      </c>
      <c r="K118" s="9" t="str">
        <f>IFERROR(__xludf.DUMMYFUNCTION("GOOGLETRANSLATE(E118,""ar"",""en"")"),"Calmness helps in restoring focus and good performance.")</f>
        <v>Calmness helps in restoring focus and good performance.</v>
      </c>
      <c r="L118" s="9"/>
      <c r="M118" s="9"/>
      <c r="N118" s="9"/>
      <c r="O118" s="9"/>
      <c r="P118" s="9"/>
      <c r="Q118" s="9"/>
      <c r="R118" s="9"/>
      <c r="S118" s="9"/>
      <c r="T118" s="9"/>
      <c r="U118" s="9"/>
      <c r="V118" s="9"/>
      <c r="W118" s="9"/>
      <c r="X118" s="9"/>
      <c r="Y118" s="9"/>
      <c r="Z118" s="9"/>
      <c r="AA118" s="9"/>
      <c r="AB118" s="9"/>
      <c r="AC118" s="9"/>
      <c r="AD118" s="9"/>
      <c r="AE118" s="9"/>
      <c r="AF118" s="9"/>
    </row>
    <row r="119">
      <c r="A119" s="12">
        <v>119.0</v>
      </c>
      <c r="B119" s="13" t="s">
        <v>1440</v>
      </c>
      <c r="C119" s="13" t="s">
        <v>1441</v>
      </c>
      <c r="D119" s="13" t="s">
        <v>1442</v>
      </c>
      <c r="E119" s="14" t="s">
        <v>1443</v>
      </c>
      <c r="F119" s="9"/>
      <c r="G119" s="12">
        <v>119.0</v>
      </c>
      <c r="H119" s="9" t="str">
        <f>IFERROR(__xludf.DUMMYFUNCTION("GOOGLETRANSLATE(B119,""ar"",""en"")"),"You feel completely unprepared for the match. What do you do?")</f>
        <v>You feel completely unprepared for the match. What do you do?</v>
      </c>
      <c r="I119" s="9" t="str">
        <f>IFERROR(__xludf.DUMMYFUNCTION("GOOGLETRANSLATE(B119,""ar"",""en"")"),"You feel completely unprepared for the match. What do you do?")</f>
        <v>You feel completely unprepared for the match. What do you do?</v>
      </c>
      <c r="J119" s="9" t="str">
        <f>IFERROR(__xludf.DUMMYFUNCTION("GOOGLETRANSLATE(D119,""ar"",""en"")"),"a) Focus on your strong techniques")</f>
        <v>a) Focus on your strong techniques</v>
      </c>
      <c r="K119" s="9" t="str">
        <f>IFERROR(__xludf.DUMMYFUNCTION("GOOGLETRANSLATE(E119,""ar"",""en"")"),"Making use of your strengths boosts your self-confidence.")</f>
        <v>Making use of your strengths boosts your self-confidence.</v>
      </c>
      <c r="L119" s="9"/>
      <c r="M119" s="9"/>
      <c r="N119" s="9"/>
      <c r="O119" s="9"/>
      <c r="P119" s="9"/>
      <c r="Q119" s="9"/>
      <c r="R119" s="9"/>
      <c r="S119" s="9"/>
      <c r="T119" s="9"/>
      <c r="U119" s="9"/>
      <c r="V119" s="9"/>
      <c r="W119" s="9"/>
      <c r="X119" s="9"/>
      <c r="Y119" s="9"/>
      <c r="Z119" s="9"/>
      <c r="AA119" s="9"/>
      <c r="AB119" s="9"/>
      <c r="AC119" s="9"/>
      <c r="AD119" s="9"/>
      <c r="AE119" s="9"/>
      <c r="AF119" s="9"/>
    </row>
    <row r="120">
      <c r="A120" s="15">
        <v>120.0</v>
      </c>
      <c r="B120" s="16" t="s">
        <v>1444</v>
      </c>
      <c r="C120" s="16" t="s">
        <v>1445</v>
      </c>
      <c r="D120" s="16" t="s">
        <v>1446</v>
      </c>
      <c r="E120" s="17" t="s">
        <v>1447</v>
      </c>
      <c r="F120" s="9"/>
      <c r="G120" s="15">
        <v>120.0</v>
      </c>
      <c r="H120" s="9" t="str">
        <f>IFERROR(__xludf.DUMMYFUNCTION("GOOGLETRANSLATE(B120,""ar"",""en"")"),"You are facing an opponent who changes their strategy rapidly. What do you do?")</f>
        <v>You are facing an opponent who changes their strategy rapidly. What do you do?</v>
      </c>
      <c r="I120" s="9" t="str">
        <f>IFERROR(__xludf.DUMMYFUNCTION("GOOGLETRANSLATE(B120,""ar"",""en"")"),"You are facing an opponent who changes their strategy rapidly. What do you do?")</f>
        <v>You are facing an opponent who changes their strategy rapidly. What do you do?</v>
      </c>
      <c r="J120" s="9" t="str">
        <f>IFERROR(__xludf.DUMMYFUNCTION("GOOGLETRANSLATE(D120,""ar"",""en"")"),"a) Adapt quickly to changes and adjust your strategy")</f>
        <v>a) Adapt quickly to changes and adjust your strategy</v>
      </c>
      <c r="K120" s="9" t="str">
        <f>IFERROR(__xludf.DUMMYFUNCTION("GOOGLETRANSLATE(E120,""ar"",""en"")"),"Flexibility in strategy helps in coping with rapid changes.")</f>
        <v>Flexibility in strategy helps in coping with rapid changes.</v>
      </c>
      <c r="L120" s="9"/>
      <c r="M120" s="9"/>
      <c r="N120" s="9"/>
      <c r="O120" s="9"/>
      <c r="P120" s="9"/>
      <c r="Q120" s="9"/>
      <c r="R120" s="9"/>
      <c r="S120" s="9"/>
      <c r="T120" s="9"/>
      <c r="U120" s="9"/>
      <c r="V120" s="9"/>
      <c r="W120" s="9"/>
      <c r="X120" s="9"/>
      <c r="Y120" s="9"/>
      <c r="Z120" s="9"/>
      <c r="AA120" s="9"/>
      <c r="AB120" s="9"/>
      <c r="AC120" s="9"/>
      <c r="AD120" s="9"/>
      <c r="AE120" s="9"/>
      <c r="AF120" s="9"/>
    </row>
    <row r="121">
      <c r="A121" s="12">
        <v>121.0</v>
      </c>
      <c r="B121" s="13" t="s">
        <v>1448</v>
      </c>
      <c r="C121" s="13" t="s">
        <v>1449</v>
      </c>
      <c r="D121" s="13" t="s">
        <v>1450</v>
      </c>
      <c r="E121" s="14" t="s">
        <v>1451</v>
      </c>
      <c r="F121" s="9"/>
      <c r="G121" s="12">
        <v>121.0</v>
      </c>
      <c r="H121" s="9" t="str">
        <f>IFERROR(__xludf.DUMMYFUNCTION("GOOGLETRANSLATE(B121,""ar"",""en"")"),"You are having trouble coordinating with your teammates. What do you do?")</f>
        <v>You are having trouble coordinating with your teammates. What do you do?</v>
      </c>
      <c r="I121" s="9" t="str">
        <f>IFERROR(__xludf.DUMMYFUNCTION("GOOGLETRANSLATE(B121,""ar"",""en"")"),"You are having trouble coordinating with your teammates. What do you do?")</f>
        <v>You are having trouble coordinating with your teammates. What do you do?</v>
      </c>
      <c r="J121" s="9" t="str">
        <f>IFERROR(__xludf.DUMMYFUNCTION("GOOGLETRANSLATE(D121,""ar"",""en"")"),"a) Communicate better with the team during training")</f>
        <v>a) Communicate better with the team during training</v>
      </c>
      <c r="K121" s="9" t="str">
        <f>IFERROR(__xludf.DUMMYFUNCTION("GOOGLETRANSLATE(E121,""ar"",""en"")"),"Effective communication enhances coordination and leads to better results.")</f>
        <v>Effective communication enhances coordination and leads to better results.</v>
      </c>
      <c r="L121" s="9"/>
      <c r="M121" s="9"/>
      <c r="N121" s="9"/>
      <c r="O121" s="9"/>
      <c r="P121" s="9"/>
      <c r="Q121" s="9"/>
      <c r="R121" s="9"/>
      <c r="S121" s="9"/>
      <c r="T121" s="9"/>
      <c r="U121" s="9"/>
      <c r="V121" s="9"/>
      <c r="W121" s="9"/>
      <c r="X121" s="9"/>
      <c r="Y121" s="9"/>
      <c r="Z121" s="9"/>
      <c r="AA121" s="9"/>
      <c r="AB121" s="9"/>
      <c r="AC121" s="9"/>
      <c r="AD121" s="9"/>
      <c r="AE121" s="9"/>
      <c r="AF121" s="9"/>
    </row>
    <row r="122">
      <c r="A122" s="15">
        <v>122.0</v>
      </c>
      <c r="B122" s="16" t="s">
        <v>1452</v>
      </c>
      <c r="C122" s="16" t="s">
        <v>1453</v>
      </c>
      <c r="D122" s="16" t="s">
        <v>1454</v>
      </c>
      <c r="E122" s="17" t="s">
        <v>1455</v>
      </c>
      <c r="F122" s="9"/>
      <c r="G122" s="15">
        <v>122.0</v>
      </c>
      <c r="H122" s="9" t="str">
        <f>IFERROR(__xludf.DUMMYFUNCTION("GOOGLETRANSLATE(B122,""ar"",""en"")"),"You feel that your teammate isn't putting in their best effort. What do you do?")</f>
        <v>You feel that your teammate isn't putting in their best effort. What do you do?</v>
      </c>
      <c r="I122" s="9" t="str">
        <f>IFERROR(__xludf.DUMMYFUNCTION("GOOGLETRANSLATE(B122,""ar"",""en"")"),"You feel that your teammate isn't putting in their best effort. What do you do?")</f>
        <v>You feel that your teammate isn't putting in their best effort. What do you do?</v>
      </c>
      <c r="J122" s="9" t="str">
        <f>IFERROR(__xludf.DUMMYFUNCTION("GOOGLETRANSLATE(D122,""ar"",""en"")"),"a) Encouraging and motivating him")</f>
        <v>a) Encouraging and motivating him</v>
      </c>
      <c r="K122" s="9" t="str">
        <f>IFERROR(__xludf.DUMMYFUNCTION("GOOGLETRANSLATE(E122,""ar"",""en"")"),"Motivation helps increase drive and achieve collective success.")</f>
        <v>Motivation helps increase drive and achieve collective success.</v>
      </c>
      <c r="L122" s="9"/>
      <c r="M122" s="9"/>
      <c r="N122" s="9"/>
      <c r="O122" s="9"/>
      <c r="P122" s="9"/>
      <c r="Q122" s="9"/>
      <c r="R122" s="9"/>
      <c r="S122" s="9"/>
      <c r="T122" s="9"/>
      <c r="U122" s="9"/>
      <c r="V122" s="9"/>
      <c r="W122" s="9"/>
      <c r="X122" s="9"/>
      <c r="Y122" s="9"/>
      <c r="Z122" s="9"/>
      <c r="AA122" s="9"/>
      <c r="AB122" s="9"/>
      <c r="AC122" s="9"/>
      <c r="AD122" s="9"/>
      <c r="AE122" s="9"/>
      <c r="AF122" s="9"/>
    </row>
    <row r="123">
      <c r="A123" s="12">
        <v>123.0</v>
      </c>
      <c r="B123" s="13" t="s">
        <v>1456</v>
      </c>
      <c r="C123" s="13" t="s">
        <v>1457</v>
      </c>
      <c r="D123" s="13" t="s">
        <v>1458</v>
      </c>
      <c r="E123" s="14" t="s">
        <v>1459</v>
      </c>
      <c r="F123" s="9"/>
      <c r="G123" s="12">
        <v>123.0</v>
      </c>
      <c r="H123" s="9" t="str">
        <f>IFERROR(__xludf.DUMMYFUNCTION("GOOGLETRANSLATE(B123,""ar"",""en"")"),"You are not comfortable in your current training environment. What do you do?")</f>
        <v>You are not comfortable in your current training environment. What do you do?</v>
      </c>
      <c r="I123" s="9" t="str">
        <f>IFERROR(__xludf.DUMMYFUNCTION("GOOGLETRANSLATE(B123,""ar"",""en"")"),"You are not comfortable in your current training environment. What do you do?")</f>
        <v>You are not comfortable in your current training environment. What do you do?</v>
      </c>
      <c r="J123" s="9" t="str">
        <f>IFERROR(__xludf.DUMMYFUNCTION("GOOGLETRANSLATE(D123,""ar"",""en"")"),"a) Talking to the coach or manager to improve the training environment")</f>
        <v>a) Talking to the coach or manager to improve the training environment</v>
      </c>
      <c r="K123" s="9" t="str">
        <f>IFERROR(__xludf.DUMMYFUNCTION("GOOGLETRANSLATE(E123,""ar"",""en"")"),"Improving the environment enhances overall performance.")</f>
        <v>Improving the environment enhances overall performance.</v>
      </c>
      <c r="L123" s="9"/>
      <c r="M123" s="9"/>
      <c r="N123" s="9"/>
      <c r="O123" s="9"/>
      <c r="P123" s="9"/>
      <c r="Q123" s="9"/>
      <c r="R123" s="9"/>
      <c r="S123" s="9"/>
      <c r="T123" s="9"/>
      <c r="U123" s="9"/>
      <c r="V123" s="9"/>
      <c r="W123" s="9"/>
      <c r="X123" s="9"/>
      <c r="Y123" s="9"/>
      <c r="Z123" s="9"/>
      <c r="AA123" s="9"/>
      <c r="AB123" s="9"/>
      <c r="AC123" s="9"/>
      <c r="AD123" s="9"/>
      <c r="AE123" s="9"/>
      <c r="AF123" s="9"/>
    </row>
    <row r="124">
      <c r="A124" s="15">
        <v>124.0</v>
      </c>
      <c r="B124" s="16" t="s">
        <v>1460</v>
      </c>
      <c r="C124" s="16" t="s">
        <v>1461</v>
      </c>
      <c r="D124" s="16" t="s">
        <v>1462</v>
      </c>
      <c r="E124" s="17" t="s">
        <v>1463</v>
      </c>
      <c r="F124" s="9"/>
      <c r="G124" s="15">
        <v>124.0</v>
      </c>
      <c r="H124" s="9" t="str">
        <f>IFERROR(__xludf.DUMMYFUNCTION("GOOGLETRANSLATE(B124,""ar"",""en"")"),"You're in the middle of a match and you realize you've forgotten the game plan. What do you do?")</f>
        <v>You're in the middle of a match and you realize you've forgotten the game plan. What do you do?</v>
      </c>
      <c r="I124" s="9" t="str">
        <f>IFERROR(__xludf.DUMMYFUNCTION("GOOGLETRANSLATE(B124,""ar"",""en"")"),"You're in the middle of a match and you realize you've forgotten the game plan. What do you do?")</f>
        <v>You're in the middle of a match and you realize you've forgotten the game plan. What do you do?</v>
      </c>
      <c r="J124" s="9" t="str">
        <f>IFERROR(__xludf.DUMMYFUNCTION("GOOGLETRANSLATE(D124,""ar"",""en"")"),"a) Returning to basics and focusing on essential skills")</f>
        <v>a) Returning to basics and focusing on essential skills</v>
      </c>
      <c r="K124" s="9" t="str">
        <f>IFERROR(__xludf.DUMMYFUNCTION("GOOGLETRANSLATE(E124,""ar"",""en"")"),"Returning to basics helps in restoring focus and effectiveness.")</f>
        <v>Returning to basics helps in restoring focus and effectiveness.</v>
      </c>
      <c r="L124" s="9"/>
      <c r="M124" s="9"/>
      <c r="N124" s="9"/>
      <c r="O124" s="9"/>
      <c r="P124" s="9"/>
      <c r="Q124" s="9"/>
      <c r="R124" s="9"/>
      <c r="S124" s="9"/>
      <c r="T124" s="9"/>
      <c r="U124" s="9"/>
      <c r="V124" s="9"/>
      <c r="W124" s="9"/>
      <c r="X124" s="9"/>
      <c r="Y124" s="9"/>
      <c r="Z124" s="9"/>
      <c r="AA124" s="9"/>
      <c r="AB124" s="9"/>
      <c r="AC124" s="9"/>
      <c r="AD124" s="9"/>
      <c r="AE124" s="9"/>
      <c r="AF124" s="9"/>
    </row>
    <row r="125">
      <c r="A125" s="12">
        <v>125.0</v>
      </c>
      <c r="B125" s="13" t="s">
        <v>1464</v>
      </c>
      <c r="C125" s="13" t="s">
        <v>1465</v>
      </c>
      <c r="D125" s="13" t="s">
        <v>1466</v>
      </c>
      <c r="E125" s="14" t="s">
        <v>1467</v>
      </c>
      <c r="F125" s="9"/>
      <c r="G125" s="12">
        <v>125.0</v>
      </c>
      <c r="H125" s="9" t="str">
        <f>IFERROR(__xludf.DUMMYFUNCTION("GOOGLETRANSLATE(B125,""ar"",""en"")"),"You are under a lot of pressure in important matches. What do you do?")</f>
        <v>You are under a lot of pressure in important matches. What do you do?</v>
      </c>
      <c r="I125" s="9" t="str">
        <f>IFERROR(__xludf.DUMMYFUNCTION("GOOGLETRANSLATE(B125,""ar"",""en"")"),"You are under a lot of pressure in important matches. What do you do?")</f>
        <v>You are under a lot of pressure in important matches. What do you do?</v>
      </c>
      <c r="J125" s="9" t="str">
        <f>IFERROR(__xludf.DUMMYFUNCTION("GOOGLETRANSLATE(D125,""ar"",""en"")"),"a) Using deep breathing techniques to reduce stress")</f>
        <v>a) Using deep breathing techniques to reduce stress</v>
      </c>
      <c r="K125" s="9" t="str">
        <f>IFERROR(__xludf.DUMMYFUNCTION("GOOGLETRANSLATE(E125,""ar"",""en"")"),"Deep breathing helps reduce mental stress.")</f>
        <v>Deep breathing helps reduce mental stress.</v>
      </c>
      <c r="L125" s="9"/>
      <c r="M125" s="9"/>
      <c r="N125" s="9"/>
      <c r="O125" s="9"/>
      <c r="P125" s="9"/>
      <c r="Q125" s="9"/>
      <c r="R125" s="9"/>
      <c r="S125" s="9"/>
      <c r="T125" s="9"/>
      <c r="U125" s="9"/>
      <c r="V125" s="9"/>
      <c r="W125" s="9"/>
      <c r="X125" s="9"/>
      <c r="Y125" s="9"/>
      <c r="Z125" s="9"/>
      <c r="AA125" s="9"/>
      <c r="AB125" s="9"/>
      <c r="AC125" s="9"/>
      <c r="AD125" s="9"/>
      <c r="AE125" s="9"/>
      <c r="AF125" s="9"/>
    </row>
    <row r="126">
      <c r="A126" s="15">
        <v>126.0</v>
      </c>
      <c r="B126" s="16" t="s">
        <v>1468</v>
      </c>
      <c r="C126" s="16" t="s">
        <v>1469</v>
      </c>
      <c r="D126" s="16" t="s">
        <v>1470</v>
      </c>
      <c r="E126" s="17" t="s">
        <v>1471</v>
      </c>
      <c r="F126" s="9"/>
      <c r="G126" s="15">
        <v>126.0</v>
      </c>
      <c r="H126" s="9" t="str">
        <f>IFERROR(__xludf.DUMMYFUNCTION("GOOGLETRANSLATE(B126,""ar"",""en"")"),"You are competing against an opponent who uses a strong offensive style. What do you do?")</f>
        <v>You are competing against an opponent who uses a strong offensive style. What do you do?</v>
      </c>
      <c r="I126" s="9" t="str">
        <f>IFERROR(__xludf.DUMMYFUNCTION("GOOGLETRANSLATE(B126,""ar"",""en"")"),"You are competing against an opponent who uses a strong offensive style. What do you do?")</f>
        <v>You are competing against an opponent who uses a strong offensive style. What do you do?</v>
      </c>
      <c r="J126" s="9" t="str">
        <f>IFERROR(__xludf.DUMMYFUNCTION("GOOGLETRANSLATE(D126,""ar"",""en"")"),"a) Strengthen your defenses and change your strategy")</f>
        <v>a) Strengthen your defenses and change your strategy</v>
      </c>
      <c r="K126" s="9" t="str">
        <f>IFERROR(__xludf.DUMMYFUNCTION("GOOGLETRANSLATE(E126,""ar"",""en"")"),"Adapting to the opponent's style helps in avoiding attacks.")</f>
        <v>Adapting to the opponent's style helps in avoiding attacks.</v>
      </c>
      <c r="L126" s="9"/>
      <c r="M126" s="9"/>
      <c r="N126" s="9"/>
      <c r="O126" s="9"/>
      <c r="P126" s="9"/>
      <c r="Q126" s="9"/>
      <c r="R126" s="9"/>
      <c r="S126" s="9"/>
      <c r="T126" s="9"/>
      <c r="U126" s="9"/>
      <c r="V126" s="9"/>
      <c r="W126" s="9"/>
      <c r="X126" s="9"/>
      <c r="Y126" s="9"/>
      <c r="Z126" s="9"/>
      <c r="AA126" s="9"/>
      <c r="AB126" s="9"/>
      <c r="AC126" s="9"/>
      <c r="AD126" s="9"/>
      <c r="AE126" s="9"/>
      <c r="AF126" s="9"/>
    </row>
    <row r="127">
      <c r="A127" s="12">
        <v>127.0</v>
      </c>
      <c r="B127" s="13" t="s">
        <v>1472</v>
      </c>
      <c r="C127" s="13" t="s">
        <v>1473</v>
      </c>
      <c r="D127" s="13" t="s">
        <v>1474</v>
      </c>
      <c r="E127" s="14" t="s">
        <v>1475</v>
      </c>
      <c r="F127" s="9"/>
      <c r="G127" s="12">
        <v>127.0</v>
      </c>
      <c r="H127" s="9" t="str">
        <f>IFERROR(__xludf.DUMMYFUNCTION("GOOGLETRANSLATE(B127,""ar"",""en"")"),"You are dissatisfied with your technical level in the exercise. What do you do?")</f>
        <v>You are dissatisfied with your technical level in the exercise. What do you do?</v>
      </c>
      <c r="I127" s="9" t="str">
        <f>IFERROR(__xludf.DUMMYFUNCTION("GOOGLETRANSLATE(B127,""ar"",""en"")"),"You are dissatisfied with your technical level in the exercise. What do you do?")</f>
        <v>You are dissatisfied with your technical level in the exercise. What do you do?</v>
      </c>
      <c r="J127" s="9" t="str">
        <f>IFERROR(__xludf.DUMMYFUNCTION("GOOGLETRANSLATE(D127,""ar"",""en"")"),"a) Work on improving your skills through continuous training")</f>
        <v>a) Work on improving your skills through continuous training</v>
      </c>
      <c r="K127" s="9" t="str">
        <f>IFERROR(__xludf.DUMMYFUNCTION("GOOGLETRANSLATE(E127,""ar"",""en"")"),"Continuous development helps improve the technical level.")</f>
        <v>Continuous development helps improve the technical level.</v>
      </c>
      <c r="L127" s="9"/>
      <c r="M127" s="9"/>
      <c r="N127" s="9"/>
      <c r="O127" s="9"/>
      <c r="P127" s="9"/>
      <c r="Q127" s="9"/>
      <c r="R127" s="9"/>
      <c r="S127" s="9"/>
      <c r="T127" s="9"/>
      <c r="U127" s="9"/>
      <c r="V127" s="9"/>
      <c r="W127" s="9"/>
      <c r="X127" s="9"/>
      <c r="Y127" s="9"/>
      <c r="Z127" s="9"/>
      <c r="AA127" s="9"/>
      <c r="AB127" s="9"/>
      <c r="AC127" s="9"/>
      <c r="AD127" s="9"/>
      <c r="AE127" s="9"/>
      <c r="AF127" s="9"/>
    </row>
    <row r="128">
      <c r="A128" s="15">
        <v>128.0</v>
      </c>
      <c r="B128" s="16" t="s">
        <v>1476</v>
      </c>
      <c r="C128" s="16" t="s">
        <v>1477</v>
      </c>
      <c r="D128" s="16" t="s">
        <v>1478</v>
      </c>
      <c r="E128" s="17" t="s">
        <v>1479</v>
      </c>
      <c r="F128" s="9"/>
      <c r="G128" s="15">
        <v>128.0</v>
      </c>
      <c r="H128" s="9" t="str">
        <f>IFERROR(__xludf.DUMMYFUNCTION("GOOGLETRANSLATE(B128,""ar"",""en"")"),"You are having difficulty executing certain wrestling techniques. What do you do?")</f>
        <v>You are having difficulty executing certain wrestling techniques. What do you do?</v>
      </c>
      <c r="I128" s="9" t="str">
        <f>IFERROR(__xludf.DUMMYFUNCTION("GOOGLETRANSLATE(B128,""ar"",""en"")"),"You are having difficulty executing certain wrestling techniques. What do you do?")</f>
        <v>You are having difficulty executing certain wrestling techniques. What do you do?</v>
      </c>
      <c r="J128" s="9" t="str">
        <f>IFERROR(__xludf.DUMMYFUNCTION("GOOGLETRANSLATE(D128,""ar"",""en"")"),"a) Practice these techniques more with the coach")</f>
        <v>a) Practice these techniques more with the coach</v>
      </c>
      <c r="K128" s="9" t="str">
        <f>IFERROR(__xludf.DUMMYFUNCTION("GOOGLETRANSLATE(E128,""ar"",""en"")"),"Repeated practice strengthens skills and increases efficiency.")</f>
        <v>Repeated practice strengthens skills and increases efficiency.</v>
      </c>
      <c r="L128" s="9"/>
      <c r="M128" s="9"/>
      <c r="N128" s="9"/>
      <c r="O128" s="9"/>
      <c r="P128" s="9"/>
      <c r="Q128" s="9"/>
      <c r="R128" s="9"/>
      <c r="S128" s="9"/>
      <c r="T128" s="9"/>
      <c r="U128" s="9"/>
      <c r="V128" s="9"/>
      <c r="W128" s="9"/>
      <c r="X128" s="9"/>
      <c r="Y128" s="9"/>
      <c r="Z128" s="9"/>
      <c r="AA128" s="9"/>
      <c r="AB128" s="9"/>
      <c r="AC128" s="9"/>
      <c r="AD128" s="9"/>
      <c r="AE128" s="9"/>
      <c r="AF128" s="9"/>
    </row>
    <row r="129">
      <c r="A129" s="12">
        <v>129.0</v>
      </c>
      <c r="B129" s="13" t="s">
        <v>1480</v>
      </c>
      <c r="C129" s="13" t="s">
        <v>1481</v>
      </c>
      <c r="D129" s="13" t="s">
        <v>1482</v>
      </c>
      <c r="E129" s="14" t="s">
        <v>1483</v>
      </c>
      <c r="F129" s="9"/>
      <c r="G129" s="12">
        <v>129.0</v>
      </c>
      <c r="H129" s="9" t="str">
        <f>IFERROR(__xludf.DUMMYFUNCTION("GOOGLETRANSLATE(B129,""ar"",""en"")"),"You're in the middle of a match and you feel exhausted. What do you do?")</f>
        <v>You're in the middle of a match and you feel exhausted. What do you do?</v>
      </c>
      <c r="I129" s="9" t="str">
        <f>IFERROR(__xludf.DUMMYFUNCTION("GOOGLETRANSLATE(B129,""ar"",""en"")"),"You're in the middle of a match and you feel exhausted. What do you do?")</f>
        <v>You're in the middle of a match and you feel exhausted. What do you do?</v>
      </c>
      <c r="J129" s="9" t="str">
        <f>IFERROR(__xludf.DUMMYFUNCTION("GOOGLETRANSLATE(D129,""ar"",""en"")"),"a) Using self-motivation techniques to overcome fatigue")</f>
        <v>a) Using self-motivation techniques to overcome fatigue</v>
      </c>
      <c r="K129" s="9" t="str">
        <f>IFERROR(__xludf.DUMMYFUNCTION("GOOGLETRANSLATE(E129,""ar"",""en"")"),"Self-motivation helps restore energy and focus.")</f>
        <v>Self-motivation helps restore energy and focus.</v>
      </c>
      <c r="L129" s="9"/>
      <c r="M129" s="9"/>
      <c r="N129" s="9"/>
      <c r="O129" s="9"/>
      <c r="P129" s="9"/>
      <c r="Q129" s="9"/>
      <c r="R129" s="9"/>
      <c r="S129" s="9"/>
      <c r="T129" s="9"/>
      <c r="U129" s="9"/>
      <c r="V129" s="9"/>
      <c r="W129" s="9"/>
      <c r="X129" s="9"/>
      <c r="Y129" s="9"/>
      <c r="Z129" s="9"/>
      <c r="AA129" s="9"/>
      <c r="AB129" s="9"/>
      <c r="AC129" s="9"/>
      <c r="AD129" s="9"/>
      <c r="AE129" s="9"/>
      <c r="AF129" s="9"/>
    </row>
    <row r="130">
      <c r="A130" s="15">
        <v>130.0</v>
      </c>
      <c r="B130" s="16" t="s">
        <v>1484</v>
      </c>
      <c r="C130" s="16" t="s">
        <v>1485</v>
      </c>
      <c r="D130" s="16" t="s">
        <v>1486</v>
      </c>
      <c r="E130" s="17" t="s">
        <v>1487</v>
      </c>
      <c r="F130" s="9"/>
      <c r="G130" s="15">
        <v>130.0</v>
      </c>
      <c r="H130" s="9" t="str">
        <f>IFERROR(__xludf.DUMMYFUNCTION("GOOGLETRANSLATE(B130,""ar"",""en"")"),"You're feeling uneasy due to pre-competition jitters. What should you do?")</f>
        <v>You're feeling uneasy due to pre-competition jitters. What should you do?</v>
      </c>
      <c r="I130" s="9" t="str">
        <f>IFERROR(__xludf.DUMMYFUNCTION("GOOGLETRANSLATE(B130,""ar"",""en"")"),"You're feeling uneasy due to pre-competition jitters. What should you do?")</f>
        <v>You're feeling uneasy due to pre-competition jitters. What should you do?</v>
      </c>
      <c r="J130" s="9" t="str">
        <f>IFERROR(__xludf.DUMMYFUNCTION("GOOGLETRANSLATE(D130,""ar"",""en"")"),"a) Performing preparatory exercises to reduce stress")</f>
        <v>a) Performing preparatory exercises to reduce stress</v>
      </c>
      <c r="K130" s="9" t="str">
        <f>IFERROR(__xludf.DUMMYFUNCTION("GOOGLETRANSLATE(E130,""ar"",""en"")"),"Mental preparation helps reduce anxiety and stress before matches.")</f>
        <v>Mental preparation helps reduce anxiety and stress before matches.</v>
      </c>
      <c r="L130" s="9"/>
      <c r="M130" s="9"/>
      <c r="N130" s="9"/>
      <c r="O130" s="9"/>
      <c r="P130" s="9"/>
      <c r="Q130" s="9"/>
      <c r="R130" s="9"/>
      <c r="S130" s="9"/>
      <c r="T130" s="9"/>
      <c r="U130" s="9"/>
      <c r="V130" s="9"/>
      <c r="W130" s="9"/>
      <c r="X130" s="9"/>
      <c r="Y130" s="9"/>
      <c r="Z130" s="9"/>
      <c r="AA130" s="9"/>
      <c r="AB130" s="9"/>
      <c r="AC130" s="9"/>
      <c r="AD130" s="9"/>
      <c r="AE130" s="9"/>
      <c r="AF130" s="9"/>
    </row>
    <row r="131">
      <c r="A131" s="12">
        <v>131.0</v>
      </c>
      <c r="B131" s="13" t="s">
        <v>1488</v>
      </c>
      <c r="C131" s="13" t="s">
        <v>1489</v>
      </c>
      <c r="D131" s="13" t="s">
        <v>1490</v>
      </c>
      <c r="E131" s="14" t="s">
        <v>1491</v>
      </c>
      <c r="F131" s="9"/>
      <c r="G131" s="12">
        <v>131.0</v>
      </c>
      <c r="H131" s="9" t="str">
        <f>IFERROR(__xludf.DUMMYFUNCTION("GOOGLETRANSLATE(B131,""ar"",""en"")"),"You are facing an opponent who is physically stronger than you. What do you do?")</f>
        <v>You are facing an opponent who is physically stronger than you. What do you do?</v>
      </c>
      <c r="I131" s="9" t="str">
        <f>IFERROR(__xludf.DUMMYFUNCTION("GOOGLETRANSLATE(B131,""ar"",""en"")"),"You are facing an opponent who is physically stronger than you. What do you do?")</f>
        <v>You are facing an opponent who is physically stronger than you. What do you do?</v>
      </c>
      <c r="J131" s="9" t="str">
        <f>IFERROR(__xludf.DUMMYFUNCTION("GOOGLETRANSLATE(D131,""ar"",""en"")"),"a) Adjust your strategy to focus on other techniques and skills")</f>
        <v>a) Adjust your strategy to focus on other techniques and skills</v>
      </c>
      <c r="K131" s="9" t="str">
        <f>IFERROR(__xludf.DUMMYFUNCTION("GOOGLETRANSLATE(E131,""ar"",""en"")"),"Adapting to the opponent's style helps in overcoming physical superiority.")</f>
        <v>Adapting to the opponent's style helps in overcoming physical superiority.</v>
      </c>
      <c r="L131" s="9"/>
      <c r="M131" s="9"/>
      <c r="N131" s="9"/>
      <c r="O131" s="9"/>
      <c r="P131" s="9"/>
      <c r="Q131" s="9"/>
      <c r="R131" s="9"/>
      <c r="S131" s="9"/>
      <c r="T131" s="9"/>
      <c r="U131" s="9"/>
      <c r="V131" s="9"/>
      <c r="W131" s="9"/>
      <c r="X131" s="9"/>
      <c r="Y131" s="9"/>
      <c r="Z131" s="9"/>
      <c r="AA131" s="9"/>
      <c r="AB131" s="9"/>
      <c r="AC131" s="9"/>
      <c r="AD131" s="9"/>
      <c r="AE131" s="9"/>
      <c r="AF131" s="9"/>
    </row>
    <row r="132">
      <c r="A132" s="15">
        <v>132.0</v>
      </c>
      <c r="B132" s="16" t="s">
        <v>1492</v>
      </c>
      <c r="C132" s="16" t="s">
        <v>1493</v>
      </c>
      <c r="D132" s="16" t="s">
        <v>1494</v>
      </c>
      <c r="E132" s="17" t="s">
        <v>1495</v>
      </c>
      <c r="F132" s="9"/>
      <c r="G132" s="15">
        <v>132.0</v>
      </c>
      <c r="H132" s="9" t="str">
        <f>IFERROR(__xludf.DUMMYFUNCTION("GOOGLETRANSLATE(B132,""ar"",""en"")"),"You feel the team's physical performance is poor. What do you do?")</f>
        <v>You feel the team's physical performance is poor. What do you do?</v>
      </c>
      <c r="I132" s="9" t="str">
        <f>IFERROR(__xludf.DUMMYFUNCTION("GOOGLETRANSLATE(B132,""ar"",""en"")"),"You feel the team's physical performance is poor. What do you do?")</f>
        <v>You feel the team's physical performance is poor. What do you do?</v>
      </c>
      <c r="J132" s="9" t="str">
        <f>IFERROR(__xludf.DUMMYFUNCTION("GOOGLETRANSLATE(D132,""ar"",""en"")"),"a) Working with the team to improve physical fitness")</f>
        <v>a) Working with the team to improve physical fitness</v>
      </c>
      <c r="K132" s="9" t="str">
        <f>IFERROR(__xludf.DUMMYFUNCTION("GOOGLETRANSLATE(E132,""ar"",""en"")"),"Physical improvement enhances team performance.")</f>
        <v>Physical improvement enhances team performance.</v>
      </c>
      <c r="L132" s="9"/>
      <c r="M132" s="9"/>
      <c r="N132" s="9"/>
      <c r="O132" s="9"/>
      <c r="P132" s="9"/>
      <c r="Q132" s="9"/>
      <c r="R132" s="9"/>
      <c r="S132" s="9"/>
      <c r="T132" s="9"/>
      <c r="U132" s="9"/>
      <c r="V132" s="9"/>
      <c r="W132" s="9"/>
      <c r="X132" s="9"/>
      <c r="Y132" s="9"/>
      <c r="Z132" s="9"/>
      <c r="AA132" s="9"/>
      <c r="AB132" s="9"/>
      <c r="AC132" s="9"/>
      <c r="AD132" s="9"/>
      <c r="AE132" s="9"/>
      <c r="AF132" s="9"/>
    </row>
    <row r="133">
      <c r="A133" s="12">
        <v>133.0</v>
      </c>
      <c r="B133" s="13" t="s">
        <v>1496</v>
      </c>
      <c r="C133" s="13" t="s">
        <v>1497</v>
      </c>
      <c r="D133" s="13" t="s">
        <v>1498</v>
      </c>
      <c r="E133" s="14" t="s">
        <v>1499</v>
      </c>
      <c r="F133" s="9"/>
      <c r="G133" s="12">
        <v>133.0</v>
      </c>
      <c r="H133" s="9" t="str">
        <f>IFERROR(__xludf.DUMMYFUNCTION("GOOGLETRANSLATE(B133,""ar"",""en"")"),"You don't feel motivated to exercise today. What do you do?")</f>
        <v>You don't feel motivated to exercise today. What do you do?</v>
      </c>
      <c r="I133" s="9" t="str">
        <f>IFERROR(__xludf.DUMMYFUNCTION("GOOGLETRANSLATE(B133,""ar"",""en"")"),"You don't feel motivated to exercise today. What do you do?")</f>
        <v>You don't feel motivated to exercise today. What do you do?</v>
      </c>
      <c r="J133" s="9" t="str">
        <f>IFERROR(__xludf.DUMMYFUNCTION("GOOGLETRANSLATE(D133,""ar"",""en"")"),"a) Set small goals to achieve in the exercise")</f>
        <v>a) Set small goals to achieve in the exercise</v>
      </c>
      <c r="K133" s="9" t="str">
        <f>IFERROR(__xludf.DUMMYFUNCTION("GOOGLETRANSLATE(E133,""ar"",""en"")"),"Small goals help to increase motivation and persistence.")</f>
        <v>Small goals help to increase motivation and persistence.</v>
      </c>
      <c r="L133" s="9"/>
      <c r="M133" s="9"/>
      <c r="N133" s="9"/>
      <c r="O133" s="9"/>
      <c r="P133" s="9"/>
      <c r="Q133" s="9"/>
      <c r="R133" s="9"/>
      <c r="S133" s="9"/>
      <c r="T133" s="9"/>
      <c r="U133" s="9"/>
      <c r="V133" s="9"/>
      <c r="W133" s="9"/>
      <c r="X133" s="9"/>
      <c r="Y133" s="9"/>
      <c r="Z133" s="9"/>
      <c r="AA133" s="9"/>
      <c r="AB133" s="9"/>
      <c r="AC133" s="9"/>
      <c r="AD133" s="9"/>
      <c r="AE133" s="9"/>
      <c r="AF133" s="9"/>
    </row>
    <row r="134">
      <c r="A134" s="15">
        <v>134.0</v>
      </c>
      <c r="B134" s="16" t="s">
        <v>1500</v>
      </c>
      <c r="C134" s="16" t="s">
        <v>1501</v>
      </c>
      <c r="D134" s="16" t="s">
        <v>1502</v>
      </c>
      <c r="E134" s="17" t="s">
        <v>1503</v>
      </c>
      <c r="F134" s="9"/>
      <c r="G134" s="15">
        <v>134.0</v>
      </c>
      <c r="H134" s="9" t="str">
        <f>IFERROR(__xludf.DUMMYFUNCTION("GOOGLETRANSLATE(B134,""ar"",""en"")"),"You feel you lack confidence during competition. What do you do?")</f>
        <v>You feel you lack confidence during competition. What do you do?</v>
      </c>
      <c r="I134" s="9" t="str">
        <f>IFERROR(__xludf.DUMMYFUNCTION("GOOGLETRANSLATE(B134,""ar"",""en"")"),"You feel you lack confidence during competition. What do you do?")</f>
        <v>You feel you lack confidence during competition. What do you do?</v>
      </c>
      <c r="J134" s="9" t="str">
        <f>IFERROR(__xludf.DUMMYFUNCTION("GOOGLETRANSLATE(D134,""ar"",""en"")"),"a) Focus on your skills and techniques to boost confidence")</f>
        <v>a) Focus on your skills and techniques to boost confidence</v>
      </c>
      <c r="K134" s="9" t="str">
        <f>IFERROR(__xludf.DUMMYFUNCTION("GOOGLETRANSLATE(E134,""ar"",""en"")"),"Self-confidence helps in performing better in matches.")</f>
        <v>Self-confidence helps in performing better in matches.</v>
      </c>
      <c r="L134" s="9"/>
      <c r="M134" s="9"/>
      <c r="N134" s="9"/>
      <c r="O134" s="9"/>
      <c r="P134" s="9"/>
      <c r="Q134" s="9"/>
      <c r="R134" s="9"/>
      <c r="S134" s="9"/>
      <c r="T134" s="9"/>
      <c r="U134" s="9"/>
      <c r="V134" s="9"/>
      <c r="W134" s="9"/>
      <c r="X134" s="9"/>
      <c r="Y134" s="9"/>
      <c r="Z134" s="9"/>
      <c r="AA134" s="9"/>
      <c r="AB134" s="9"/>
      <c r="AC134" s="9"/>
      <c r="AD134" s="9"/>
      <c r="AE134" s="9"/>
      <c r="AF134" s="9"/>
    </row>
    <row r="135">
      <c r="A135" s="12">
        <v>135.0</v>
      </c>
      <c r="B135" s="13" t="s">
        <v>1504</v>
      </c>
      <c r="C135" s="13" t="s">
        <v>1505</v>
      </c>
      <c r="D135" s="13" t="s">
        <v>1506</v>
      </c>
      <c r="E135" s="14" t="s">
        <v>1507</v>
      </c>
      <c r="F135" s="9"/>
      <c r="G135" s="12">
        <v>135.0</v>
      </c>
      <c r="H135" s="9" t="str">
        <f>IFERROR(__xludf.DUMMYFUNCTION("GOOGLETRANSLATE(B135,""ar"",""en"")"),"You're having trouble staying focused during training. What do you do?")</f>
        <v>You're having trouble staying focused during training. What do you do?</v>
      </c>
      <c r="I135" s="9" t="str">
        <f>IFERROR(__xludf.DUMMYFUNCTION("GOOGLETRANSLATE(B135,""ar"",""en"")"),"You're having trouble staying focused during training. What do you do?")</f>
        <v>You're having trouble staying focused during training. What do you do?</v>
      </c>
      <c r="J135" s="9" t="str">
        <f>IFERROR(__xludf.DUMMYFUNCTION("GOOGLETRANSLATE(D135,""ar"",""en"")"),"a) Talk to the coach about ways to improve focus")</f>
        <v>a) Talk to the coach about ways to improve focus</v>
      </c>
      <c r="K135" s="9" t="str">
        <f>IFERROR(__xludf.DUMMYFUNCTION("GOOGLETRANSLATE(E135,""ar"",""en"")"),"Communicating with the coach helps in finding solutions to improve performance.")</f>
        <v>Communicating with the coach helps in finding solutions to improve performance.</v>
      </c>
      <c r="L135" s="9"/>
      <c r="M135" s="9"/>
      <c r="N135" s="9"/>
      <c r="O135" s="9"/>
      <c r="P135" s="9"/>
      <c r="Q135" s="9"/>
      <c r="R135" s="9"/>
      <c r="S135" s="9"/>
      <c r="T135" s="9"/>
      <c r="U135" s="9"/>
      <c r="V135" s="9"/>
      <c r="W135" s="9"/>
      <c r="X135" s="9"/>
      <c r="Y135" s="9"/>
      <c r="Z135" s="9"/>
      <c r="AA135" s="9"/>
      <c r="AB135" s="9"/>
      <c r="AC135" s="9"/>
      <c r="AD135" s="9"/>
      <c r="AE135" s="9"/>
      <c r="AF135" s="9"/>
    </row>
    <row r="136">
      <c r="A136" s="15">
        <v>136.0</v>
      </c>
      <c r="B136" s="16" t="s">
        <v>1508</v>
      </c>
      <c r="C136" s="16" t="s">
        <v>1509</v>
      </c>
      <c r="D136" s="16" t="s">
        <v>1510</v>
      </c>
      <c r="E136" s="17" t="s">
        <v>1511</v>
      </c>
      <c r="F136" s="9"/>
      <c r="G136" s="15">
        <v>136.0</v>
      </c>
      <c r="H136" s="9" t="str">
        <f>IFERROR(__xludf.DUMMYFUNCTION("GOOGLETRANSLATE(B136,""ar"",""en"")"),"You are finding it difficult to adapt to changes in the competition. What do you do?")</f>
        <v>You are finding it difficult to adapt to changes in the competition. What do you do?</v>
      </c>
      <c r="I136" s="9" t="str">
        <f>IFERROR(__xludf.DUMMYFUNCTION("GOOGLETRANSLATE(B136,""ar"",""en"")"),"You are finding it difficult to adapt to changes in the competition. What do you do?")</f>
        <v>You are finding it difficult to adapt to changes in the competition. What do you do?</v>
      </c>
      <c r="J136" s="9" t="str">
        <f>IFERROR(__xludf.DUMMYFUNCTION("GOOGLETRANSLATE(D136,""ar"",""en"")"),"a) Learn how to adapt to changes quickly during training")</f>
        <v>a) Learn how to adapt to changes quickly during training</v>
      </c>
      <c r="K136" s="9" t="str">
        <f>IFERROR(__xludf.DUMMYFUNCTION("GOOGLETRANSLATE(E136,""ar"",""en"")"),"Adapting to changes helps maintain good performance.")</f>
        <v>Adapting to changes helps maintain good performance.</v>
      </c>
      <c r="L136" s="9"/>
      <c r="M136" s="9"/>
      <c r="N136" s="9"/>
      <c r="O136" s="9"/>
      <c r="P136" s="9"/>
      <c r="Q136" s="9"/>
      <c r="R136" s="9"/>
      <c r="S136" s="9"/>
      <c r="T136" s="9"/>
      <c r="U136" s="9"/>
      <c r="V136" s="9"/>
      <c r="W136" s="9"/>
      <c r="X136" s="9"/>
      <c r="Y136" s="9"/>
      <c r="Z136" s="9"/>
      <c r="AA136" s="9"/>
      <c r="AB136" s="9"/>
      <c r="AC136" s="9"/>
      <c r="AD136" s="9"/>
      <c r="AE136" s="9"/>
      <c r="AF136" s="9"/>
    </row>
    <row r="137">
      <c r="A137" s="12">
        <v>137.0</v>
      </c>
      <c r="B137" s="13" t="s">
        <v>1512</v>
      </c>
      <c r="C137" s="13" t="s">
        <v>1513</v>
      </c>
      <c r="D137" s="13" t="s">
        <v>1514</v>
      </c>
      <c r="E137" s="14" t="s">
        <v>1515</v>
      </c>
      <c r="F137" s="9"/>
      <c r="G137" s="12">
        <v>137.0</v>
      </c>
      <c r="H137" s="9" t="str">
        <f>IFERROR(__xludf.DUMMYFUNCTION("GOOGLETRANSLATE(B137,""ar"",""en"")"),"You feel that your opponent is trying to exploit your weaknesses. What do you do?")</f>
        <v>You feel that your opponent is trying to exploit your weaknesses. What do you do?</v>
      </c>
      <c r="I137" s="9" t="str">
        <f>IFERROR(__xludf.DUMMYFUNCTION("GOOGLETRANSLATE(B137,""ar"",""en"")"),"You feel that your opponent is trying to exploit your weaknesses. What do you do?")</f>
        <v>You feel that your opponent is trying to exploit your weaknesses. What do you do?</v>
      </c>
      <c r="J137" s="9" t="str">
        <f>IFERROR(__xludf.DUMMYFUNCTION("GOOGLETRANSLATE(D137,""ar"",""en"")"),"a) Strengthen your defenses and closely monitor his movements")</f>
        <v>a) Strengthen your defenses and closely monitor his movements</v>
      </c>
      <c r="K137" s="9" t="str">
        <f>IFERROR(__xludf.DUMMYFUNCTION("GOOGLETRANSLATE(E137,""ar"",""en"")"),"Monitoring the opponent helps to avoid exploiting weaknesses.")</f>
        <v>Monitoring the opponent helps to avoid exploiting weaknesses.</v>
      </c>
      <c r="L137" s="9"/>
      <c r="M137" s="9"/>
      <c r="N137" s="9"/>
      <c r="O137" s="9"/>
      <c r="P137" s="9"/>
      <c r="Q137" s="9"/>
      <c r="R137" s="9"/>
      <c r="S137" s="9"/>
      <c r="T137" s="9"/>
      <c r="U137" s="9"/>
      <c r="V137" s="9"/>
      <c r="W137" s="9"/>
      <c r="X137" s="9"/>
      <c r="Y137" s="9"/>
      <c r="Z137" s="9"/>
      <c r="AA137" s="9"/>
      <c r="AB137" s="9"/>
      <c r="AC137" s="9"/>
      <c r="AD137" s="9"/>
      <c r="AE137" s="9"/>
      <c r="AF137" s="9"/>
    </row>
    <row r="138">
      <c r="A138" s="15">
        <v>138.0</v>
      </c>
      <c r="B138" s="16" t="s">
        <v>1516</v>
      </c>
      <c r="C138" s="16" t="s">
        <v>1517</v>
      </c>
      <c r="D138" s="16" t="s">
        <v>1518</v>
      </c>
      <c r="E138" s="17" t="s">
        <v>1519</v>
      </c>
      <c r="F138" s="9"/>
      <c r="G138" s="15">
        <v>138.0</v>
      </c>
      <c r="H138" s="9" t="str">
        <f>IFERROR(__xludf.DUMMYFUNCTION("GOOGLETRANSLATE(B138,""ar"",""en"")"),"You notice that the team is suffering from a lack of coordination. What do you do?")</f>
        <v>You notice that the team is suffering from a lack of coordination. What do you do?</v>
      </c>
      <c r="I138" s="9" t="str">
        <f>IFERROR(__xludf.DUMMYFUNCTION("GOOGLETRANSLATE(B138,""ar"",""en"")"),"You notice that the team is suffering from a lack of coordination. What do you do?")</f>
        <v>You notice that the team is suffering from a lack of coordination. What do you do?</v>
      </c>
      <c r="J138" s="9" t="str">
        <f>IFERROR(__xludf.DUMMYFUNCTION("GOOGLETRANSLATE(D138,""ar"",""en"")"),"a) Continuously guiding the players and working to improve coordination")</f>
        <v>a) Continuously guiding the players and working to improve coordination</v>
      </c>
      <c r="K138" s="9" t="str">
        <f>IFERROR(__xludf.DUMMYFUNCTION("GOOGLETRANSLATE(E138,""ar"",""en"")"),"Improving team coordination enhances team performance.")</f>
        <v>Improving team coordination enhances team performance.</v>
      </c>
      <c r="L138" s="9"/>
      <c r="M138" s="9"/>
      <c r="N138" s="9"/>
      <c r="O138" s="9"/>
      <c r="P138" s="9"/>
      <c r="Q138" s="9"/>
      <c r="R138" s="9"/>
      <c r="S138" s="9"/>
      <c r="T138" s="9"/>
      <c r="U138" s="9"/>
      <c r="V138" s="9"/>
      <c r="W138" s="9"/>
      <c r="X138" s="9"/>
      <c r="Y138" s="9"/>
      <c r="Z138" s="9"/>
      <c r="AA138" s="9"/>
      <c r="AB138" s="9"/>
      <c r="AC138" s="9"/>
      <c r="AD138" s="9"/>
      <c r="AE138" s="9"/>
      <c r="AF138" s="9"/>
    </row>
    <row r="139">
      <c r="A139" s="12">
        <v>139.0</v>
      </c>
      <c r="B139" s="13" t="s">
        <v>1520</v>
      </c>
      <c r="C139" s="13" t="s">
        <v>1521</v>
      </c>
      <c r="D139" s="13" t="s">
        <v>1522</v>
      </c>
      <c r="E139" s="14" t="s">
        <v>1523</v>
      </c>
      <c r="F139" s="9"/>
      <c r="G139" s="12">
        <v>139.0</v>
      </c>
      <c r="H139" s="9" t="str">
        <f>IFERROR(__xludf.DUMMYFUNCTION("GOOGLETRANSLATE(B139,""ar"",""en"")"),"You feel frustrated after a poor performance in the match. What do you do?")</f>
        <v>You feel frustrated after a poor performance in the match. What do you do?</v>
      </c>
      <c r="I139" s="9" t="str">
        <f>IFERROR(__xludf.DUMMYFUNCTION("GOOGLETRANSLATE(B139,""ar"",""en"")"),"You feel frustrated after a poor performance in the match. What do you do?")</f>
        <v>You feel frustrated after a poor performance in the match. What do you do?</v>
      </c>
      <c r="J139" s="9" t="str">
        <f>IFERROR(__xludf.DUMMYFUNCTION("GOOGLETRANSLATE(D139,""ar"",""en"")"),"a) Analyze your performance and identify errors to improve it")</f>
        <v>a) Analyze your performance and identify errors to improve it</v>
      </c>
      <c r="K139" s="9" t="str">
        <f>IFERROR(__xludf.DUMMYFUNCTION("GOOGLETRANSLATE(E139,""ar"",""en"")"),"Self-analysis helps in learning lessons and improving performance.")</f>
        <v>Self-analysis helps in learning lessons and improving performance.</v>
      </c>
      <c r="L139" s="9"/>
      <c r="M139" s="9"/>
      <c r="N139" s="9"/>
      <c r="O139" s="9"/>
      <c r="P139" s="9"/>
      <c r="Q139" s="9"/>
      <c r="R139" s="9"/>
      <c r="S139" s="9"/>
      <c r="T139" s="9"/>
      <c r="U139" s="9"/>
      <c r="V139" s="9"/>
      <c r="W139" s="9"/>
      <c r="X139" s="9"/>
      <c r="Y139" s="9"/>
      <c r="Z139" s="9"/>
      <c r="AA139" s="9"/>
      <c r="AB139" s="9"/>
      <c r="AC139" s="9"/>
      <c r="AD139" s="9"/>
      <c r="AE139" s="9"/>
      <c r="AF139" s="9"/>
    </row>
    <row r="140">
      <c r="A140" s="15">
        <v>140.0</v>
      </c>
      <c r="B140" s="16" t="s">
        <v>1524</v>
      </c>
      <c r="C140" s="16" t="s">
        <v>1525</v>
      </c>
      <c r="D140" s="16" t="s">
        <v>1526</v>
      </c>
      <c r="E140" s="17" t="s">
        <v>1527</v>
      </c>
      <c r="F140" s="9"/>
      <c r="G140" s="15">
        <v>140.0</v>
      </c>
      <c r="H140" s="9" t="str">
        <f>IFERROR(__xludf.DUMMYFUNCTION("GOOGLETRANSLATE(B140,""ar"",""en"")"),"You notice that your opponent is using unsportsmanlike techniques. What do you do?")</f>
        <v>You notice that your opponent is using unsportsmanlike techniques. What do you do?</v>
      </c>
      <c r="I140" s="9" t="str">
        <f>IFERROR(__xludf.DUMMYFUNCTION("GOOGLETRANSLATE(B140,""ar"",""en"")"),"You notice that your opponent is using unsportsmanlike techniques. What do you do?")</f>
        <v>You notice that your opponent is using unsportsmanlike techniques. What do you do?</v>
      </c>
      <c r="J140" s="9" t="str">
        <f>IFERROR(__xludf.DUMMYFUNCTION("GOOGLETRANSLATE(D140,""ar"",""en"")"),"a) Upholding sportsmanship and surpassing it through legitimate means")</f>
        <v>a) Upholding sportsmanship and surpassing it through legitimate means</v>
      </c>
      <c r="K140" s="9" t="str">
        <f>IFERROR(__xludf.DUMMYFUNCTION("GOOGLETRANSLATE(E140,""ar"",""en"")"),"Sportsmanship is essential for maintaining integrity in competition.")</f>
        <v>Sportsmanship is essential for maintaining integrity in competition.</v>
      </c>
      <c r="L140" s="9"/>
      <c r="M140" s="9"/>
      <c r="N140" s="9"/>
      <c r="O140" s="9"/>
      <c r="P140" s="9"/>
      <c r="Q140" s="9"/>
      <c r="R140" s="9"/>
      <c r="S140" s="9"/>
      <c r="T140" s="9"/>
      <c r="U140" s="9"/>
      <c r="V140" s="9"/>
      <c r="W140" s="9"/>
      <c r="X140" s="9"/>
      <c r="Y140" s="9"/>
      <c r="Z140" s="9"/>
      <c r="AA140" s="9"/>
      <c r="AB140" s="9"/>
      <c r="AC140" s="9"/>
      <c r="AD140" s="9"/>
      <c r="AE140" s="9"/>
      <c r="AF140" s="9"/>
    </row>
    <row r="141">
      <c r="A141" s="12">
        <v>141.0</v>
      </c>
      <c r="B141" s="13" t="s">
        <v>1528</v>
      </c>
      <c r="C141" s="13" t="s">
        <v>1529</v>
      </c>
      <c r="D141" s="13" t="s">
        <v>1530</v>
      </c>
      <c r="E141" s="14" t="s">
        <v>1531</v>
      </c>
      <c r="F141" s="9"/>
      <c r="G141" s="12">
        <v>141.0</v>
      </c>
      <c r="H141" s="9" t="str">
        <f>IFERROR(__xludf.DUMMYFUNCTION("GOOGLETRANSLATE(B141,""ar"",""en"")"),"You're in a crucial match and the tension is mounting. What do you do?")</f>
        <v>You're in a crucial match and the tension is mounting. What do you do?</v>
      </c>
      <c r="I141" s="9" t="str">
        <f>IFERROR(__xludf.DUMMYFUNCTION("GOOGLETRANSLATE(B141,""ar"",""en"")"),"You're in a crucial match and the tension is mounting. What do you do?")</f>
        <v>You're in a crucial match and the tension is mounting. What do you do?</v>
      </c>
      <c r="J141" s="9" t="str">
        <f>IFERROR(__xludf.DUMMYFUNCTION("GOOGLETRANSLATE(D141,""ar"",""en"")"),"a) Stay focused on your task and overcome stress")</f>
        <v>a) Stay focused on your task and overcome stress</v>
      </c>
      <c r="K141" s="9" t="str">
        <f>IFERROR(__xludf.DUMMYFUNCTION("GOOGLETRANSLATE(E141,""ar"",""en"")"),"Overcoming stress enhances your performance in important matches.")</f>
        <v>Overcoming stress enhances your performance in important matches.</v>
      </c>
      <c r="L141" s="9"/>
      <c r="M141" s="9"/>
      <c r="N141" s="9"/>
      <c r="O141" s="9"/>
      <c r="P141" s="9"/>
      <c r="Q141" s="9"/>
      <c r="R141" s="9"/>
      <c r="S141" s="9"/>
      <c r="T141" s="9"/>
      <c r="U141" s="9"/>
      <c r="V141" s="9"/>
      <c r="W141" s="9"/>
      <c r="X141" s="9"/>
      <c r="Y141" s="9"/>
      <c r="Z141" s="9"/>
      <c r="AA141" s="9"/>
      <c r="AB141" s="9"/>
      <c r="AC141" s="9"/>
      <c r="AD141" s="9"/>
      <c r="AE141" s="9"/>
      <c r="AF141" s="9"/>
    </row>
    <row r="142">
      <c r="A142" s="15">
        <v>142.0</v>
      </c>
      <c r="B142" s="16" t="s">
        <v>1532</v>
      </c>
      <c r="C142" s="16" t="s">
        <v>1533</v>
      </c>
      <c r="D142" s="16" t="s">
        <v>1534</v>
      </c>
      <c r="E142" s="17" t="s">
        <v>1535</v>
      </c>
      <c r="F142" s="9"/>
      <c r="G142" s="15">
        <v>142.0</v>
      </c>
      <c r="H142" s="9" t="str">
        <f>IFERROR(__xludf.DUMMYFUNCTION("GOOGLETRANSLATE(B142,""ar"",""en"")"),"You are in a difficult position during the match. What do you do?")</f>
        <v>You are in a difficult position during the match. What do you do?</v>
      </c>
      <c r="I142" s="9" t="str">
        <f>IFERROR(__xludf.DUMMYFUNCTION("GOOGLETRANSLATE(B142,""ar"",""en"")"),"You are in a difficult position during the match. What do you do?")</f>
        <v>You are in a difficult position during the match. What do you do?</v>
      </c>
      <c r="J142" s="9" t="str">
        <f>IFERROR(__xludf.DUMMYFUNCTION("GOOGLETRANSLATE(D142,""ar"",""en"")"),"a) Remain calm and consider the best available option")</f>
        <v>a) Remain calm and consider the best available option</v>
      </c>
      <c r="K142" s="9" t="str">
        <f>IFERROR(__xludf.DUMMYFUNCTION("GOOGLETRANSLATE(E142,""ar"",""en"")"),"Calmness helps in making the right decisions.")</f>
        <v>Calmness helps in making the right decisions.</v>
      </c>
      <c r="L142" s="9"/>
      <c r="M142" s="9"/>
      <c r="N142" s="9"/>
      <c r="O142" s="9"/>
      <c r="P142" s="9"/>
      <c r="Q142" s="9"/>
      <c r="R142" s="9"/>
      <c r="S142" s="9"/>
      <c r="T142" s="9"/>
      <c r="U142" s="9"/>
      <c r="V142" s="9"/>
      <c r="W142" s="9"/>
      <c r="X142" s="9"/>
      <c r="Y142" s="9"/>
      <c r="Z142" s="9"/>
      <c r="AA142" s="9"/>
      <c r="AB142" s="9"/>
      <c r="AC142" s="9"/>
      <c r="AD142" s="9"/>
      <c r="AE142" s="9"/>
      <c r="AF142" s="9"/>
    </row>
    <row r="143">
      <c r="A143" s="12">
        <v>143.0</v>
      </c>
      <c r="B143" s="13" t="s">
        <v>1536</v>
      </c>
      <c r="C143" s="13" t="s">
        <v>1537</v>
      </c>
      <c r="D143" s="13" t="s">
        <v>1538</v>
      </c>
      <c r="E143" s="14" t="s">
        <v>1539</v>
      </c>
      <c r="F143" s="9"/>
      <c r="G143" s="12">
        <v>143.0</v>
      </c>
      <c r="H143" s="9" t="str">
        <f>IFERROR(__xludf.DUMMYFUNCTION("GOOGLETRANSLATE(B143,""ar"",""en"")"),"You feel the team is overly reliant on one person. What do you do?")</f>
        <v>You feel the team is overly reliant on one person. What do you do?</v>
      </c>
      <c r="I143" s="9" t="str">
        <f>IFERROR(__xludf.DUMMYFUNCTION("GOOGLETRANSLATE(B143,""ar"",""en"")"),"You feel the team is overly reliant on one person. What do you do?")</f>
        <v>You feel the team is overly reliant on one person. What do you do?</v>
      </c>
      <c r="J143" s="9" t="str">
        <f>IFERROR(__xludf.DUMMYFUNCTION("GOOGLETRANSLATE(D143,""ar"",""en"")"),"a) Motivating the team to work together and promoting cooperation")</f>
        <v>a) Motivating the team to work together and promoting cooperation</v>
      </c>
      <c r="K143" s="9" t="str">
        <f>IFERROR(__xludf.DUMMYFUNCTION("GOOGLETRANSLATE(E143,""ar"",""en"")"),"Teamwork enhances team performance.")</f>
        <v>Teamwork enhances team performance.</v>
      </c>
      <c r="L143" s="9"/>
      <c r="M143" s="9"/>
      <c r="N143" s="9"/>
      <c r="O143" s="9"/>
      <c r="P143" s="9"/>
      <c r="Q143" s="9"/>
      <c r="R143" s="9"/>
      <c r="S143" s="9"/>
      <c r="T143" s="9"/>
      <c r="U143" s="9"/>
      <c r="V143" s="9"/>
      <c r="W143" s="9"/>
      <c r="X143" s="9"/>
      <c r="Y143" s="9"/>
      <c r="Z143" s="9"/>
      <c r="AA143" s="9"/>
      <c r="AB143" s="9"/>
      <c r="AC143" s="9"/>
      <c r="AD143" s="9"/>
      <c r="AE143" s="9"/>
      <c r="AF143" s="9"/>
    </row>
    <row r="144">
      <c r="A144" s="15">
        <v>144.0</v>
      </c>
      <c r="B144" s="16" t="s">
        <v>1540</v>
      </c>
      <c r="C144" s="16" t="s">
        <v>1541</v>
      </c>
      <c r="D144" s="16" t="s">
        <v>1542</v>
      </c>
      <c r="E144" s="17" t="s">
        <v>1543</v>
      </c>
      <c r="F144" s="9"/>
      <c r="G144" s="15">
        <v>144.0</v>
      </c>
      <c r="H144" s="9" t="str">
        <f>IFERROR(__xludf.DUMMYFUNCTION("GOOGLETRANSLATE(B144,""ar"",""en"")"),"You are facing an opponent who has more experience than you. What do you do?")</f>
        <v>You are facing an opponent who has more experience than you. What do you do?</v>
      </c>
      <c r="I144" s="9" t="str">
        <f>IFERROR(__xludf.DUMMYFUNCTION("GOOGLETRANSLATE(B144,""ar"",""en"")"),"You are facing an opponent who has more experience than you. What do you do?")</f>
        <v>You are facing an opponent who has more experience than you. What do you do?</v>
      </c>
      <c r="J144" s="9" t="str">
        <f>IFERROR(__xludf.DUMMYFUNCTION("GOOGLETRANSLATE(D144,""ar"",""en"")"),"a) Learn from his style and use your own skills to meet his challenges")</f>
        <v>a) Learn from his style and use your own skills to meet his challenges</v>
      </c>
      <c r="K144" s="9" t="str">
        <f>IFERROR(__xludf.DUMMYFUNCTION("GOOGLETRANSLATE(E144,""ar"",""en"")"),"Learning from experience contributes to improved performance.")</f>
        <v>Learning from experience contributes to improved performance.</v>
      </c>
      <c r="L144" s="9"/>
      <c r="M144" s="9"/>
      <c r="N144" s="9"/>
      <c r="O144" s="9"/>
      <c r="P144" s="9"/>
      <c r="Q144" s="9"/>
      <c r="R144" s="9"/>
      <c r="S144" s="9"/>
      <c r="T144" s="9"/>
      <c r="U144" s="9"/>
      <c r="V144" s="9"/>
      <c r="W144" s="9"/>
      <c r="X144" s="9"/>
      <c r="Y144" s="9"/>
      <c r="Z144" s="9"/>
      <c r="AA144" s="9"/>
      <c r="AB144" s="9"/>
      <c r="AC144" s="9"/>
      <c r="AD144" s="9"/>
      <c r="AE144" s="9"/>
      <c r="AF144" s="9"/>
    </row>
    <row r="145">
      <c r="A145" s="12">
        <v>145.0</v>
      </c>
      <c r="B145" s="13" t="s">
        <v>1544</v>
      </c>
      <c r="C145" s="13" t="s">
        <v>1545</v>
      </c>
      <c r="D145" s="13" t="s">
        <v>1546</v>
      </c>
      <c r="E145" s="14" t="s">
        <v>1547</v>
      </c>
      <c r="F145" s="9"/>
      <c r="G145" s="12">
        <v>145.0</v>
      </c>
      <c r="H145" s="9" t="str">
        <f>IFERROR(__xludf.DUMMYFUNCTION("GOOGLETRANSLATE(B145,""ar"",""en"")"),"You are dissatisfied with the current training plan. What do you do?")</f>
        <v>You are dissatisfied with the current training plan. What do you do?</v>
      </c>
      <c r="I145" s="9" t="str">
        <f>IFERROR(__xludf.DUMMYFUNCTION("GOOGLETRANSLATE(B145,""ar"",""en"")"),"You are dissatisfied with the current training plan. What do you do?")</f>
        <v>You are dissatisfied with the current training plan. What do you do?</v>
      </c>
      <c r="J145" s="9" t="str">
        <f>IFERROR(__xludf.DUMMYFUNCTION("GOOGLETRANSLATE(D145,""ar"",""en"")"),"a) Discussion with the coach to improve the plan and better direct efforts")</f>
        <v>a) Discussion with the coach to improve the plan and better direct efforts</v>
      </c>
      <c r="K145" s="9" t="str">
        <f>IFERROR(__xludf.DUMMYFUNCTION("GOOGLETRANSLATE(E145,""ar"",""en"")"),"Collaborating with the coach contributes to improving the training plan.")</f>
        <v>Collaborating with the coach contributes to improving the training plan.</v>
      </c>
      <c r="L145" s="9"/>
      <c r="M145" s="9"/>
      <c r="N145" s="9"/>
      <c r="O145" s="9"/>
      <c r="P145" s="9"/>
      <c r="Q145" s="9"/>
      <c r="R145" s="9"/>
      <c r="S145" s="9"/>
      <c r="T145" s="9"/>
      <c r="U145" s="9"/>
      <c r="V145" s="9"/>
      <c r="W145" s="9"/>
      <c r="X145" s="9"/>
      <c r="Y145" s="9"/>
      <c r="Z145" s="9"/>
      <c r="AA145" s="9"/>
      <c r="AB145" s="9"/>
      <c r="AC145" s="9"/>
      <c r="AD145" s="9"/>
      <c r="AE145" s="9"/>
      <c r="AF145" s="9"/>
    </row>
    <row r="146">
      <c r="A146" s="15">
        <v>146.0</v>
      </c>
      <c r="B146" s="16" t="s">
        <v>1548</v>
      </c>
      <c r="C146" s="16" t="s">
        <v>1549</v>
      </c>
      <c r="D146" s="16" t="s">
        <v>1550</v>
      </c>
      <c r="E146" s="17" t="s">
        <v>1551</v>
      </c>
      <c r="F146" s="9"/>
      <c r="G146" s="15">
        <v>146.0</v>
      </c>
      <c r="H146" s="9" t="str">
        <f>IFERROR(__xludf.DUMMYFUNCTION("GOOGLETRANSLATE(B146,""ar"",""en"")"),"You are finding it difficult to work with the new coach. What do you do?")</f>
        <v>You are finding it difficult to work with the new coach. What do you do?</v>
      </c>
      <c r="I146" s="9" t="str">
        <f>IFERROR(__xludf.DUMMYFUNCTION("GOOGLETRANSLATE(B146,""ar"",""en"")"),"You are finding it difficult to work with the new coach. What do you do?")</f>
        <v>You are finding it difficult to work with the new coach. What do you do?</v>
      </c>
      <c r="J146" s="9" t="str">
        <f>IFERROR(__xludf.DUMMYFUNCTION("GOOGLETRANSLATE(D146,""ar"",""en"")"),"a) Trying to adapt to his style and working to strengthen the relationship")</f>
        <v>a) Trying to adapt to his style and working to strengthen the relationship</v>
      </c>
      <c r="K146" s="9" t="str">
        <f>IFERROR(__xludf.DUMMYFUNCTION("GOOGLETRANSLATE(E146,""ar"",""en"")"),"Collaborating with the coach helps improve performance.")</f>
        <v>Collaborating with the coach helps improve performance.</v>
      </c>
      <c r="L146" s="9"/>
      <c r="M146" s="9"/>
      <c r="N146" s="9"/>
      <c r="O146" s="9"/>
      <c r="P146" s="9"/>
      <c r="Q146" s="9"/>
      <c r="R146" s="9"/>
      <c r="S146" s="9"/>
      <c r="T146" s="9"/>
      <c r="U146" s="9"/>
      <c r="V146" s="9"/>
      <c r="W146" s="9"/>
      <c r="X146" s="9"/>
      <c r="Y146" s="9"/>
      <c r="Z146" s="9"/>
      <c r="AA146" s="9"/>
      <c r="AB146" s="9"/>
      <c r="AC146" s="9"/>
      <c r="AD146" s="9"/>
      <c r="AE146" s="9"/>
      <c r="AF146" s="9"/>
    </row>
    <row r="147">
      <c r="A147" s="12">
        <v>147.0</v>
      </c>
      <c r="B147" s="13" t="s">
        <v>1552</v>
      </c>
      <c r="C147" s="13" t="s">
        <v>1553</v>
      </c>
      <c r="D147" s="13" t="s">
        <v>1554</v>
      </c>
      <c r="E147" s="14" t="s">
        <v>1555</v>
      </c>
      <c r="F147" s="9"/>
      <c r="G147" s="12">
        <v>147.0</v>
      </c>
      <c r="H147" s="9" t="str">
        <f>IFERROR(__xludf.DUMMYFUNCTION("GOOGLETRANSLATE(B147,""ar"",""en"")"),"You're in a crucial position in the match and you need confidence. What do you do?")</f>
        <v>You're in a crucial position in the match and you need confidence. What do you do?</v>
      </c>
      <c r="I147" s="9" t="str">
        <f>IFERROR(__xludf.DUMMYFUNCTION("GOOGLETRANSLATE(B147,""ar"",""en"")"),"You're in a crucial position in the match and you need confidence. What do you do?")</f>
        <v>You're in a crucial position in the match and you need confidence. What do you do?</v>
      </c>
      <c r="J147" s="9" t="str">
        <f>IFERROR(__xludf.DUMMYFUNCTION("GOOGLETRANSLATE(D147,""ar"",""en"")"),"a) Remind yourself of your strengths and potential")</f>
        <v>a) Remind yourself of your strengths and potential</v>
      </c>
      <c r="K147" s="9" t="str">
        <f>IFERROR(__xludf.DUMMYFUNCTION("GOOGLETRANSLATE(E147,""ar"",""en"")"),"Self-confidence contributes to making better decisions under pressure.")</f>
        <v>Self-confidence contributes to making better decisions under pressure.</v>
      </c>
      <c r="L147" s="9"/>
      <c r="M147" s="9"/>
      <c r="N147" s="9"/>
      <c r="O147" s="9"/>
      <c r="P147" s="9"/>
      <c r="Q147" s="9"/>
      <c r="R147" s="9"/>
      <c r="S147" s="9"/>
      <c r="T147" s="9"/>
      <c r="U147" s="9"/>
      <c r="V147" s="9"/>
      <c r="W147" s="9"/>
      <c r="X147" s="9"/>
      <c r="Y147" s="9"/>
      <c r="Z147" s="9"/>
      <c r="AA147" s="9"/>
      <c r="AB147" s="9"/>
      <c r="AC147" s="9"/>
      <c r="AD147" s="9"/>
      <c r="AE147" s="9"/>
      <c r="AF147" s="9"/>
    </row>
    <row r="148">
      <c r="A148" s="15">
        <v>148.0</v>
      </c>
      <c r="B148" s="16" t="s">
        <v>1556</v>
      </c>
      <c r="C148" s="16" t="s">
        <v>1557</v>
      </c>
      <c r="D148" s="16" t="s">
        <v>1558</v>
      </c>
      <c r="E148" s="17" t="s">
        <v>1559</v>
      </c>
      <c r="F148" s="9"/>
      <c r="G148" s="15">
        <v>148.0</v>
      </c>
      <c r="H148" s="9" t="str">
        <f>IFERROR(__xludf.DUMMYFUNCTION("GOOGLETRANSLATE(B148,""ar"",""en"")"),"You are in a tough competition and need to update your strategy. What do you do?")</f>
        <v>You are in a tough competition and need to update your strategy. What do you do?</v>
      </c>
      <c r="I148" s="9" t="str">
        <f>IFERROR(__xludf.DUMMYFUNCTION("GOOGLETRANSLATE(B148,""ar"",""en"")"),"You are in a tough competition and need to update your strategy. What do you do?")</f>
        <v>You are in a tough competition and need to update your strategy. What do you do?</v>
      </c>
      <c r="J148" s="9" t="str">
        <f>IFERROR(__xludf.DUMMYFUNCTION("GOOGLETRANSLATE(D148,""ar"",""en"")"),"a) Assessing the situation and adjusting the strategy based on current data")</f>
        <v>a) Assessing the situation and adjusting the strategy based on current data</v>
      </c>
      <c r="K148" s="9" t="str">
        <f>IFERROR(__xludf.DUMMYFUNCTION("GOOGLETRANSLATE(E148,""ar"",""en"")"),"Adapting to new situations helps improve performance.")</f>
        <v>Adapting to new situations helps improve performance.</v>
      </c>
      <c r="L148" s="9"/>
      <c r="M148" s="9"/>
      <c r="N148" s="9"/>
      <c r="O148" s="9"/>
      <c r="P148" s="9"/>
      <c r="Q148" s="9"/>
      <c r="R148" s="9"/>
      <c r="S148" s="9"/>
      <c r="T148" s="9"/>
      <c r="U148" s="9"/>
      <c r="V148" s="9"/>
      <c r="W148" s="9"/>
      <c r="X148" s="9"/>
      <c r="Y148" s="9"/>
      <c r="Z148" s="9"/>
      <c r="AA148" s="9"/>
      <c r="AB148" s="9"/>
      <c r="AC148" s="9"/>
      <c r="AD148" s="9"/>
      <c r="AE148" s="9"/>
      <c r="AF148" s="9"/>
    </row>
    <row r="149">
      <c r="A149" s="12">
        <v>149.0</v>
      </c>
      <c r="B149" s="13" t="s">
        <v>1560</v>
      </c>
      <c r="C149" s="13" t="s">
        <v>1561</v>
      </c>
      <c r="D149" s="13" t="s">
        <v>1562</v>
      </c>
      <c r="E149" s="14" t="s">
        <v>1563</v>
      </c>
      <c r="F149" s="9"/>
      <c r="G149" s="12">
        <v>149.0</v>
      </c>
      <c r="H149" s="9" t="str">
        <f>IFERROR(__xludf.DUMMYFUNCTION("GOOGLETRANSLATE(B149,""ar"",""en"")"),"You are facing a very strong competitor. How will you meet the challenge?")</f>
        <v>You are facing a very strong competitor. How will you meet the challenge?</v>
      </c>
      <c r="I149" s="9" t="str">
        <f>IFERROR(__xludf.DUMMYFUNCTION("GOOGLETRANSLATE(B149,""ar"",""en"")"),"You are facing a very strong competitor. How will you meet the challenge?")</f>
        <v>You are facing a very strong competitor. How will you meet the challenge?</v>
      </c>
      <c r="J149" s="9" t="str">
        <f>IFERROR(__xludf.DUMMYFUNCTION("GOOGLETRANSLATE(D149,""ar"",""en"")"),"a) Continue working on improving your techniques and personal style")</f>
        <v>a) Continue working on improving your techniques and personal style</v>
      </c>
      <c r="K149" s="9" t="str">
        <f>IFERROR(__xludf.DUMMYFUNCTION("GOOGLETRANSLATE(E149,""ar"",""en"")"),"Continuous improvement helps in meeting challenges.")</f>
        <v>Continuous improvement helps in meeting challenges.</v>
      </c>
      <c r="L149" s="9"/>
      <c r="M149" s="9"/>
      <c r="N149" s="9"/>
      <c r="O149" s="9"/>
      <c r="P149" s="9"/>
      <c r="Q149" s="9"/>
      <c r="R149" s="9"/>
      <c r="S149" s="9"/>
      <c r="T149" s="9"/>
      <c r="U149" s="9"/>
      <c r="V149" s="9"/>
      <c r="W149" s="9"/>
      <c r="X149" s="9"/>
      <c r="Y149" s="9"/>
      <c r="Z149" s="9"/>
      <c r="AA149" s="9"/>
      <c r="AB149" s="9"/>
      <c r="AC149" s="9"/>
      <c r="AD149" s="9"/>
      <c r="AE149" s="9"/>
      <c r="AF149" s="9"/>
    </row>
    <row r="150">
      <c r="A150" s="15">
        <v>150.0</v>
      </c>
      <c r="B150" s="16" t="s">
        <v>1564</v>
      </c>
      <c r="C150" s="16" t="s">
        <v>1565</v>
      </c>
      <c r="D150" s="16" t="s">
        <v>1434</v>
      </c>
      <c r="E150" s="17" t="s">
        <v>1566</v>
      </c>
      <c r="F150" s="9"/>
      <c r="G150" s="15">
        <v>150.0</v>
      </c>
      <c r="H150" s="9" t="str">
        <f>IFERROR(__xludf.DUMMYFUNCTION("GOOGLETRANSLATE(B150,""ar"",""en"")"),"You're in a long training session and need rest. What do you do?")</f>
        <v>You're in a long training session and need rest. What do you do?</v>
      </c>
      <c r="I150" s="9" t="str">
        <f>IFERROR(__xludf.DUMMYFUNCTION("GOOGLETRANSLATE(B150,""ar"",""en"")"),"You're in a long training session and need rest. What do you do?")</f>
        <v>You're in a long training session and need rest. What do you do?</v>
      </c>
      <c r="J150" s="9" t="str">
        <f>IFERROR(__xludf.DUMMYFUNCTION("GOOGLETRANSLATE(D150,""ar"",""en"")"),"a) Take a short break and then return to training")</f>
        <v>a) Take a short break and then return to training</v>
      </c>
      <c r="K150" s="9" t="str">
        <f>IFERROR(__xludf.DUMMYFUNCTION("GOOGLETRANSLATE(E150,""ar"",""en"")"),"A short break helps to restore energy and improve performance.")</f>
        <v>A short break helps to restore energy and improve performance.</v>
      </c>
      <c r="L150" s="9"/>
      <c r="M150" s="9"/>
      <c r="N150" s="9"/>
      <c r="O150" s="9"/>
      <c r="P150" s="9"/>
      <c r="Q150" s="9"/>
      <c r="R150" s="9"/>
      <c r="S150" s="9"/>
      <c r="T150" s="9"/>
      <c r="U150" s="9"/>
      <c r="V150" s="9"/>
      <c r="W150" s="9"/>
      <c r="X150" s="9"/>
      <c r="Y150" s="9"/>
      <c r="Z150" s="9"/>
      <c r="AA150" s="9"/>
      <c r="AB150" s="9"/>
      <c r="AC150" s="9"/>
      <c r="AD150" s="9"/>
      <c r="AE150" s="9"/>
      <c r="AF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1567</v>
      </c>
      <c r="B1" s="19" t="s">
        <v>5</v>
      </c>
      <c r="C1" s="19" t="s">
        <v>6</v>
      </c>
      <c r="D1" s="19" t="s">
        <v>7</v>
      </c>
      <c r="E1" s="18" t="s">
        <v>968</v>
      </c>
      <c r="F1" s="9"/>
      <c r="G1" s="9"/>
      <c r="H1" s="9"/>
      <c r="I1" s="18" t="s">
        <v>969</v>
      </c>
      <c r="J1" s="18" t="s">
        <v>970</v>
      </c>
      <c r="K1" s="18" t="s">
        <v>971</v>
      </c>
      <c r="L1" s="18" t="s">
        <v>968</v>
      </c>
      <c r="M1" s="9"/>
      <c r="N1" s="9"/>
      <c r="O1" s="9"/>
      <c r="P1" s="9"/>
      <c r="Q1" s="9"/>
      <c r="R1" s="9"/>
      <c r="S1" s="9"/>
      <c r="T1" s="9"/>
      <c r="U1" s="9"/>
      <c r="V1" s="9"/>
      <c r="W1" s="9"/>
      <c r="X1" s="9"/>
      <c r="Y1" s="9"/>
      <c r="Z1" s="9"/>
      <c r="AA1" s="9"/>
      <c r="AB1" s="9"/>
      <c r="AC1" s="9"/>
      <c r="AD1" s="9"/>
      <c r="AE1" s="9"/>
      <c r="AF1" s="9"/>
      <c r="AG1" s="9"/>
    </row>
    <row r="2">
      <c r="A2" s="20">
        <v>1.0</v>
      </c>
      <c r="B2" s="20" t="s">
        <v>1568</v>
      </c>
      <c r="C2" s="20" t="s">
        <v>1569</v>
      </c>
      <c r="D2" s="20" t="s">
        <v>1570</v>
      </c>
      <c r="E2" s="20" t="s">
        <v>1571</v>
      </c>
      <c r="F2" s="9"/>
      <c r="G2" s="9"/>
      <c r="H2" s="9"/>
      <c r="I2" s="20" t="str">
        <f>IFERROR(__xludf.DUMMYFUNCTION("GOOGLETRANSLATE(B2,""ar"",""en"")
"),"During a horse race in Sudan, your horse suddenly slows down. What do you do?")</f>
        <v>During a horse race in Sudan, your horse suddenly slows down. What do you do?</v>
      </c>
      <c r="J2" s="20" t="str">
        <f>IFERROR(__xludf.DUMMYFUNCTION("GOOGLETRANSLATE(C2,""ar"",""en"")
"),"a) Stimulating the horse; b) Changing direction; c) Stopping; d) Following the other horse")</f>
        <v>a) Stimulating the horse; b) Changing direction; c) Stopping; d) Following the other horse</v>
      </c>
      <c r="K2" s="20"/>
      <c r="L2" s="20" t="str">
        <f>IFERROR(__xludf.DUMMYFUNCTION("GOOGLETRANSLATE(E2,""ar"",""en"")
"),"Stimulation can help a horse regain its speed.")</f>
        <v>Stimulation can help a horse regain its speed.</v>
      </c>
      <c r="M2" s="9"/>
      <c r="N2" s="9"/>
      <c r="O2" s="9"/>
      <c r="P2" s="9"/>
      <c r="Q2" s="9"/>
      <c r="R2" s="9"/>
      <c r="S2" s="9"/>
      <c r="T2" s="9"/>
      <c r="U2" s="9"/>
      <c r="V2" s="9"/>
      <c r="W2" s="9"/>
      <c r="X2" s="9"/>
      <c r="Y2" s="9"/>
      <c r="Z2" s="9"/>
      <c r="AA2" s="9"/>
      <c r="AB2" s="9"/>
      <c r="AC2" s="9"/>
      <c r="AD2" s="9"/>
      <c r="AE2" s="9"/>
      <c r="AF2" s="9"/>
      <c r="AG2" s="9"/>
    </row>
    <row r="3">
      <c r="A3" s="20">
        <v>2.0</v>
      </c>
      <c r="B3" s="20" t="s">
        <v>1572</v>
      </c>
      <c r="C3" s="20" t="s">
        <v>1573</v>
      </c>
      <c r="D3" s="20" t="s">
        <v>1574</v>
      </c>
      <c r="E3" s="20" t="s">
        <v>1575</v>
      </c>
      <c r="F3" s="9"/>
      <c r="G3" s="9"/>
      <c r="H3" s="9"/>
      <c r="I3" s="20" t="str">
        <f>IFERROR(__xludf.DUMMYFUNCTION("GOOGLETRANSLATE(B3,""ar"",""en"")
"),"In a major horse race, you compete against other jockeys. How do you maintain your focus?")</f>
        <v>In a major horse race, you compete against other jockeys. How do you maintain your focus?</v>
      </c>
      <c r="J3" s="20" t="str">
        <f>IFERROR(__xludf.DUMMYFUNCTION("GOOGLETRANSLATE(C3,""ar"",""en"")
"),"a) Watching the other horse; b) Focusing on the track; c) Worrying about the competition; d) Constantly changing speed")</f>
        <v>a) Watching the other horse; b) Focusing on the track; c) Worrying about the competition; d) Constantly changing speed</v>
      </c>
      <c r="K3" s="20" t="str">
        <f>IFERROR(__xludf.DUMMYFUNCTION("GOOGLETRANSLATE(D3,""ar"",""en"")
"),"b) Focus on the path")</f>
        <v>b) Focus on the path</v>
      </c>
      <c r="L3" s="20" t="str">
        <f>IFERROR(__xludf.DUMMYFUNCTION("GOOGLETRANSLATE(E3,""ar"",""en"")
"),"Maintaining your focus on the track ensures better performance.")</f>
        <v>Maintaining your focus on the track ensures better performance.</v>
      </c>
      <c r="M3" s="9"/>
      <c r="N3" s="9"/>
      <c r="O3" s="9"/>
      <c r="P3" s="9"/>
      <c r="Q3" s="9"/>
      <c r="R3" s="9"/>
      <c r="S3" s="9"/>
      <c r="T3" s="9"/>
      <c r="U3" s="9"/>
      <c r="V3" s="9"/>
      <c r="W3" s="9"/>
      <c r="X3" s="9"/>
      <c r="Y3" s="9"/>
      <c r="Z3" s="9"/>
      <c r="AA3" s="9"/>
      <c r="AB3" s="9"/>
      <c r="AC3" s="9"/>
      <c r="AD3" s="9"/>
      <c r="AE3" s="9"/>
      <c r="AF3" s="9"/>
      <c r="AG3" s="9"/>
    </row>
    <row r="4">
      <c r="A4" s="20">
        <v>3.0</v>
      </c>
      <c r="B4" s="20" t="s">
        <v>1576</v>
      </c>
      <c r="C4" s="20" t="s">
        <v>1577</v>
      </c>
      <c r="D4" s="20" t="s">
        <v>111</v>
      </c>
      <c r="E4" s="20" t="s">
        <v>1578</v>
      </c>
      <c r="F4" s="9"/>
      <c r="G4" s="9"/>
      <c r="H4" s="9"/>
      <c r="I4" s="20" t="str">
        <f>IFERROR(__xludf.DUMMYFUNCTION("GOOGLETRANSLATE(B4,""ar"",""en"")
"),"During training, your horse is having difficulty jumping over hurdles. What do you do?")</f>
        <v>During training, your horse is having difficulty jumping over hurdles. What do you do?</v>
      </c>
      <c r="J4" s="20" t="str">
        <f>IFERROR(__xludf.DUMMYFUNCTION("GOOGLETRANSLATE(C4,""ar"",""en"")
"),"a) More training; b) Change coach; c) Ignore the problem; d) Seek help from another coach")</f>
        <v>a) More training; b) Change coach; c) Ignore the problem; d) Seek help from another coach</v>
      </c>
      <c r="K4" s="20" t="str">
        <f>IFERROR(__xludf.DUMMYFUNCTION("GOOGLETRANSLATE(D4,""ar"",""en"")
"),"a) More training")</f>
        <v>a) More training</v>
      </c>
      <c r="L4" s="20" t="str">
        <f>IFERROR(__xludf.DUMMYFUNCTION("GOOGLETRANSLATE(E4,""ar"",""en"")
"),"Additional training helps improve the horse's performance.")</f>
        <v>Additional training helps improve the horse's performance.</v>
      </c>
      <c r="M4" s="9"/>
      <c r="N4" s="9"/>
      <c r="O4" s="9"/>
      <c r="P4" s="9"/>
      <c r="Q4" s="9"/>
      <c r="R4" s="9"/>
      <c r="S4" s="9"/>
      <c r="T4" s="9"/>
      <c r="U4" s="9"/>
      <c r="V4" s="9"/>
      <c r="W4" s="9"/>
      <c r="X4" s="9"/>
      <c r="Y4" s="9"/>
      <c r="Z4" s="9"/>
      <c r="AA4" s="9"/>
      <c r="AB4" s="9"/>
      <c r="AC4" s="9"/>
      <c r="AD4" s="9"/>
      <c r="AE4" s="9"/>
      <c r="AF4" s="9"/>
      <c r="AG4" s="9"/>
    </row>
    <row r="5">
      <c r="A5" s="20">
        <v>4.0</v>
      </c>
      <c r="B5" s="20" t="s">
        <v>1579</v>
      </c>
      <c r="C5" s="20" t="s">
        <v>1580</v>
      </c>
      <c r="D5" s="20" t="s">
        <v>1581</v>
      </c>
      <c r="E5" s="20" t="s">
        <v>1582</v>
      </c>
      <c r="F5" s="9"/>
      <c r="G5" s="9"/>
      <c r="H5" s="9"/>
      <c r="I5" s="20" t="str">
        <f>IFERROR(__xludf.DUMMYFUNCTION("GOOGLETRANSLATE(B5,""ar"",""en"")
"),"During the race, you notice that the horse is starting to tire. What do you do?")</f>
        <v>During the race, you notice that the horse is starting to tire. What do you do?</v>
      </c>
      <c r="J5" s="20" t="str">
        <f>IFERROR(__xludf.DUMMYFUNCTION("GOOGLETRANSLATE(C5,""ar"",""en"")
"),"a) Increase speed; b) Try to rest during the race; c) Maintain current speed; d) Encourage the horse to push harder")</f>
        <v>a) Increase speed; b) Try to rest during the race; c) Maintain current speed; d) Encourage the horse to push harder</v>
      </c>
      <c r="K5" s="20" t="str">
        <f>IFERROR(__xludf.DUMMYFUNCTION("GOOGLETRANSLATE(D5,""ar"",""en"")
"),"d) Encouraging the horse to push harder")</f>
        <v>d) Encouraging the horse to push harder</v>
      </c>
      <c r="L5" s="20" t="str">
        <f>IFERROR(__xludf.DUMMYFUNCTION("GOOGLETRANSLATE(E5,""ar"",""en"")
"),"Stimulating a horse when it is tired may help it perform at its best.")</f>
        <v>Stimulating a horse when it is tired may help it perform at its best.</v>
      </c>
      <c r="M5" s="9"/>
      <c r="N5" s="9"/>
      <c r="O5" s="9"/>
      <c r="P5" s="9"/>
      <c r="Q5" s="9"/>
      <c r="R5" s="9"/>
      <c r="S5" s="9"/>
      <c r="T5" s="9"/>
      <c r="U5" s="9"/>
      <c r="V5" s="9"/>
      <c r="W5" s="9"/>
      <c r="X5" s="9"/>
      <c r="Y5" s="9"/>
      <c r="Z5" s="9"/>
      <c r="AA5" s="9"/>
      <c r="AB5" s="9"/>
      <c r="AC5" s="9"/>
      <c r="AD5" s="9"/>
      <c r="AE5" s="9"/>
      <c r="AF5" s="9"/>
      <c r="AG5" s="9"/>
    </row>
    <row r="6">
      <c r="A6" s="20">
        <v>5.0</v>
      </c>
      <c r="B6" s="20" t="s">
        <v>1583</v>
      </c>
      <c r="C6" s="20" t="s">
        <v>1584</v>
      </c>
      <c r="D6" s="20" t="s">
        <v>1585</v>
      </c>
      <c r="E6" s="20" t="s">
        <v>1586</v>
      </c>
      <c r="F6" s="9"/>
      <c r="G6" s="9"/>
      <c r="H6" s="9"/>
      <c r="I6" s="20" t="str">
        <f>IFERROR(__xludf.DUMMYFUNCTION("GOOGLETRANSLATE(B6,""ar"",""en"")
"),"Before a race, your horse feels nervous. How do you prepare him/her?")</f>
        <v>Before a race, your horse feels nervous. How do you prepare him/her?</v>
      </c>
      <c r="J6" s="20" t="str">
        <f>IFERROR(__xludf.DUMMYFUNCTION("GOOGLETRANSLATE(C6,""ar"",""en"")
"),"a) Stimulating him with favorite foods; b) Breathing exercises; c) Allowing him to rest completely; d) Giving him a relaxing medication.")</f>
        <v>a) Stimulating him with favorite foods; b) Breathing exercises; c) Allowing him to rest completely; d) Giving him a relaxing medication.</v>
      </c>
      <c r="K6" s="20" t="str">
        <f>IFERROR(__xludf.DUMMYFUNCTION("GOOGLETRANSLATE(D6,""ar"",""en"")
"),"b) Breathing exercises")</f>
        <v>b) Breathing exercises</v>
      </c>
      <c r="L6" s="20" t="str">
        <f>IFERROR(__xludf.DUMMYFUNCTION("GOOGLETRANSLATE(E6,""ar"",""en"")
"),"Good breathing helps to calm the horse and increase its concentration.")</f>
        <v>Good breathing helps to calm the horse and increase its concentration.</v>
      </c>
      <c r="M6" s="9"/>
      <c r="N6" s="9"/>
      <c r="O6" s="9"/>
      <c r="P6" s="9"/>
      <c r="Q6" s="9"/>
      <c r="R6" s="9"/>
      <c r="S6" s="9"/>
      <c r="T6" s="9"/>
      <c r="U6" s="9"/>
      <c r="V6" s="9"/>
      <c r="W6" s="9"/>
      <c r="X6" s="9"/>
      <c r="Y6" s="9"/>
      <c r="Z6" s="9"/>
      <c r="AA6" s="9"/>
      <c r="AB6" s="9"/>
      <c r="AC6" s="9"/>
      <c r="AD6" s="9"/>
      <c r="AE6" s="9"/>
      <c r="AF6" s="9"/>
      <c r="AG6" s="9"/>
    </row>
    <row r="7">
      <c r="A7" s="20">
        <v>6.0</v>
      </c>
      <c r="B7" s="20" t="s">
        <v>1587</v>
      </c>
      <c r="C7" s="20" t="s">
        <v>1588</v>
      </c>
      <c r="D7" s="20" t="s">
        <v>1589</v>
      </c>
      <c r="E7" s="20" t="s">
        <v>1590</v>
      </c>
      <c r="F7" s="9"/>
      <c r="G7" s="9"/>
      <c r="H7" s="9"/>
      <c r="I7" s="20" t="str">
        <f>IFERROR(__xludf.DUMMYFUNCTION("GOOGLETRANSLATE(B7,""ar"",""en"")
"),"During a race, your horse gets caught in a crowd. What do you do?")</f>
        <v>During a race, your horse gets caught in a crowd. What do you do?</v>
      </c>
      <c r="J7" s="20" t="str">
        <f>IFERROR(__xludf.DUMMYFUNCTION("GOOGLETRANSLATE(C7,""ar"",""en"")
"),"a) Trying to overtake competitors; b) Staying behind; c) Pulling back slightly to gain space; d) Stopping completely")</f>
        <v>a) Trying to overtake competitors; b) Staying behind; c) Pulling back slightly to gain space; d) Stopping completely</v>
      </c>
      <c r="K7" s="20" t="str">
        <f>IFERROR(__xludf.DUMMYFUNCTION("GOOGLETRANSLATE(D7,""ar"",""en"")
"),"c) Step back slightly to gain space")</f>
        <v>c) Step back slightly to gain space</v>
      </c>
      <c r="L7" s="20" t="str">
        <f>IFERROR(__xludf.DUMMYFUNCTION("GOOGLETRANSLATE(E7,""ar"",""en"")
"),"Avoiding crowding gives your horse the opportunity to perform better.")</f>
        <v>Avoiding crowding gives your horse the opportunity to perform better.</v>
      </c>
      <c r="M7" s="9"/>
      <c r="N7" s="9"/>
      <c r="O7" s="9"/>
      <c r="P7" s="9"/>
      <c r="Q7" s="9"/>
      <c r="R7" s="9"/>
      <c r="S7" s="9"/>
      <c r="T7" s="9"/>
      <c r="U7" s="9"/>
      <c r="V7" s="9"/>
      <c r="W7" s="9"/>
      <c r="X7" s="9"/>
      <c r="Y7" s="9"/>
      <c r="Z7" s="9"/>
      <c r="AA7" s="9"/>
      <c r="AB7" s="9"/>
      <c r="AC7" s="9"/>
      <c r="AD7" s="9"/>
      <c r="AE7" s="9"/>
      <c r="AF7" s="9"/>
      <c r="AG7" s="9"/>
    </row>
    <row r="8">
      <c r="A8" s="20">
        <v>7.0</v>
      </c>
      <c r="B8" s="20" t="s">
        <v>1591</v>
      </c>
      <c r="C8" s="20" t="s">
        <v>1592</v>
      </c>
      <c r="D8" s="20" t="s">
        <v>1593</v>
      </c>
      <c r="E8" s="20" t="s">
        <v>1594</v>
      </c>
      <c r="F8" s="9"/>
      <c r="G8" s="9"/>
      <c r="H8" s="9"/>
      <c r="I8" s="20" t="str">
        <f>IFERROR(__xludf.DUMMYFUNCTION("GOOGLETRANSLATE(B8,""ar"",""en"")
"),"If the race includes sharp turns, what should you do?")</f>
        <v>If the race includes sharp turns, what should you do?</v>
      </c>
      <c r="J8" s="20" t="str">
        <f>IFERROR(__xludf.DUMMYFUNCTION("GOOGLETRANSLATE(C8,""ar"",""en"")
"),"a) Accelerate when cornering; b) Slow down slightly when cornering; c) Drive straight ahead without changing speed; d) Reduce the distance when cornering")</f>
        <v>a) Accelerate when cornering; b) Slow down slightly when cornering; c) Drive straight ahead without changing speed; d) Reduce the distance when cornering</v>
      </c>
      <c r="K8" s="20" t="str">
        <f>IFERROR(__xludf.DUMMYFUNCTION("GOOGLETRANSLATE(D8,""ar"",""en"")
"),"b) Slowing down slightly when turning")</f>
        <v>b) Slowing down slightly when turning</v>
      </c>
      <c r="L8" s="20" t="str">
        <f>IFERROR(__xludf.DUMMYFUNCTION("GOOGLETRANSLATE(E8,""ar"",""en"")
"),"Reducing speed helps in navigating turns safely and effectively.")</f>
        <v>Reducing speed helps in navigating turns safely and effectively.</v>
      </c>
      <c r="M8" s="9"/>
      <c r="N8" s="9"/>
      <c r="O8" s="9"/>
      <c r="P8" s="9"/>
      <c r="Q8" s="9"/>
      <c r="R8" s="9"/>
      <c r="S8" s="9"/>
      <c r="T8" s="9"/>
      <c r="U8" s="9"/>
      <c r="V8" s="9"/>
      <c r="W8" s="9"/>
      <c r="X8" s="9"/>
      <c r="Y8" s="9"/>
      <c r="Z8" s="9"/>
      <c r="AA8" s="9"/>
      <c r="AB8" s="9"/>
      <c r="AC8" s="9"/>
      <c r="AD8" s="9"/>
      <c r="AE8" s="9"/>
      <c r="AF8" s="9"/>
      <c r="AG8" s="9"/>
    </row>
    <row r="9">
      <c r="A9" s="20">
        <v>8.0</v>
      </c>
      <c r="B9" s="20" t="s">
        <v>1595</v>
      </c>
      <c r="C9" s="20" t="s">
        <v>1596</v>
      </c>
      <c r="D9" s="20" t="s">
        <v>1597</v>
      </c>
      <c r="E9" s="20" t="s">
        <v>1598</v>
      </c>
      <c r="F9" s="9"/>
      <c r="G9" s="9"/>
      <c r="H9" s="9"/>
      <c r="I9" s="20" t="str">
        <f>IFERROR(__xludf.DUMMYFUNCTION("GOOGLETRANSLATE(B9,""ar"",""en"")
"),"During a race, it's difficult to see the horse in front of you. What do you do?")</f>
        <v>During a race, it's difficult to see the horse in front of you. What do you do?</v>
      </c>
      <c r="J9" s="20" t="str">
        <f>IFERROR(__xludf.DUMMYFUNCTION("GOOGLETRANSLATE(C9,""ar"",""en"")
"),"a) Focus solely on your horse; b) Attempt to overtake; c) Watch for upcoming overtaking opportunities; d) Pause")</f>
        <v>a) Focus solely on your horse; b) Attempt to overtake; c) Watch for upcoming overtaking opportunities; d) Pause</v>
      </c>
      <c r="K9" s="20" t="str">
        <f>IFERROR(__xludf.DUMMYFUNCTION("GOOGLETRANSLATE(D9,""ar"",""en"")
"),"c) Monitoring upcoming opportunities to overtake")</f>
        <v>c) Monitoring upcoming opportunities to overtake</v>
      </c>
      <c r="L9" s="20" t="str">
        <f>IFERROR(__xludf.DUMMYFUNCTION("GOOGLETRANSLATE(E9,""ar"",""en"")
"),"Focusing on the right moments of overtaking increases your chances of winning.")</f>
        <v>Focusing on the right moments of overtaking increases your chances of winning.</v>
      </c>
      <c r="M9" s="9"/>
      <c r="N9" s="9"/>
      <c r="O9" s="9"/>
      <c r="P9" s="9"/>
      <c r="Q9" s="9"/>
      <c r="R9" s="9"/>
      <c r="S9" s="9"/>
      <c r="T9" s="9"/>
      <c r="U9" s="9"/>
      <c r="V9" s="9"/>
      <c r="W9" s="9"/>
      <c r="X9" s="9"/>
      <c r="Y9" s="9"/>
      <c r="Z9" s="9"/>
      <c r="AA9" s="9"/>
      <c r="AB9" s="9"/>
      <c r="AC9" s="9"/>
      <c r="AD9" s="9"/>
      <c r="AE9" s="9"/>
      <c r="AF9" s="9"/>
      <c r="AG9" s="9"/>
    </row>
    <row r="10">
      <c r="A10" s="20">
        <v>9.0</v>
      </c>
      <c r="B10" s="20" t="s">
        <v>1599</v>
      </c>
      <c r="C10" s="20" t="s">
        <v>1600</v>
      </c>
      <c r="D10" s="20" t="s">
        <v>1601</v>
      </c>
      <c r="E10" s="20" t="s">
        <v>1602</v>
      </c>
      <c r="F10" s="9"/>
      <c r="G10" s="9"/>
      <c r="H10" s="9"/>
      <c r="I10" s="20" t="str">
        <f>IFERROR(__xludf.DUMMYFUNCTION("GOOGLETRANSLATE(B10,""ar"",""en"")
"),"During training, your horse experiences muscle strain. What do you do?")</f>
        <v>During training, your horse experiences muscle strain. What do you do?</v>
      </c>
      <c r="J10" s="20" t="str">
        <f>IFERROR(__xludf.DUMMYFUNCTION("GOOGLETRANSLATE(C10,""ar"",""en"")
"),"a) Complete rest; b) Drug treatment; c) Temporarily stopping training; d) Resuming training normally")</f>
        <v>a) Complete rest; b) Drug treatment; c) Temporarily stopping training; d) Resuming training normally</v>
      </c>
      <c r="K10" s="20" t="str">
        <f>IFERROR(__xludf.DUMMYFUNCTION("GOOGLETRANSLATE(D10,""ar"",""en"")
"),"c) Temporarily suspend training")</f>
        <v>c) Temporarily suspend training</v>
      </c>
      <c r="L10" s="20" t="str">
        <f>IFERROR(__xludf.DUMMYFUNCTION("GOOGLETRANSLATE(E10,""ar"",""en"")
"),"Giving the horse rest after muscular exertion helps to avoid injuries.")</f>
        <v>Giving the horse rest after muscular exertion helps to avoid injuries.</v>
      </c>
      <c r="M10" s="9"/>
      <c r="N10" s="9"/>
      <c r="O10" s="9"/>
      <c r="P10" s="9"/>
      <c r="Q10" s="9"/>
      <c r="R10" s="9"/>
      <c r="S10" s="9"/>
      <c r="T10" s="9"/>
      <c r="U10" s="9"/>
      <c r="V10" s="9"/>
      <c r="W10" s="9"/>
      <c r="X10" s="9"/>
      <c r="Y10" s="9"/>
      <c r="Z10" s="9"/>
      <c r="AA10" s="9"/>
      <c r="AB10" s="9"/>
      <c r="AC10" s="9"/>
      <c r="AD10" s="9"/>
      <c r="AE10" s="9"/>
      <c r="AF10" s="9"/>
      <c r="AG10" s="9"/>
    </row>
    <row r="11">
      <c r="A11" s="20">
        <v>10.0</v>
      </c>
      <c r="B11" s="20" t="s">
        <v>1603</v>
      </c>
      <c r="C11" s="20" t="s">
        <v>1604</v>
      </c>
      <c r="D11" s="20" t="s">
        <v>1605</v>
      </c>
      <c r="E11" s="20" t="s">
        <v>1606</v>
      </c>
      <c r="F11" s="9"/>
      <c r="G11" s="9"/>
      <c r="H11" s="9"/>
      <c r="I11" s="20" t="str">
        <f>IFERROR(__xludf.DUMMYFUNCTION("GOOGLETRANSLATE(B11,""ar"",""en"")
"),"If you are competing in a long race, what should you focus on?")</f>
        <v>If you are competing in a long race, what should you focus on?</v>
      </c>
      <c r="J11" s="20" t="str">
        <f>IFERROR(__xludf.DUMMYFUNCTION("GOOGLETRANSLATE(C11,""ar"",""en"")
"),"a) Starting speed; b) Even distribution of energy throughout the race; c) Only the obstacles; d) Ignoring competitors")</f>
        <v>a) Starting speed; b) Even distribution of energy throughout the race; c) Only the obstacles; d) Ignoring competitors</v>
      </c>
      <c r="K11" s="20" t="str">
        <f>IFERROR(__xludf.DUMMYFUNCTION("GOOGLETRANSLATE(D11,""ar"",""en"")
"),"b) Distributing energy evenly during the race")</f>
        <v>b) Distributing energy evenly during the race</v>
      </c>
      <c r="L11" s="20" t="str">
        <f>IFERROR(__xludf.DUMMYFUNCTION("GOOGLETRANSLATE(E11,""ar"",""en"")
"),"Power control prevents fatigue and ensures maximum performance.")</f>
        <v>Power control prevents fatigue and ensures maximum performance.</v>
      </c>
      <c r="M11" s="9"/>
      <c r="N11" s="9"/>
      <c r="O11" s="9"/>
      <c r="P11" s="9"/>
      <c r="Q11" s="9"/>
      <c r="R11" s="9"/>
      <c r="S11" s="9"/>
      <c r="T11" s="9"/>
      <c r="U11" s="9"/>
      <c r="V11" s="9"/>
      <c r="W11" s="9"/>
      <c r="X11" s="9"/>
      <c r="Y11" s="9"/>
      <c r="Z11" s="9"/>
      <c r="AA11" s="9"/>
      <c r="AB11" s="9"/>
      <c r="AC11" s="9"/>
      <c r="AD11" s="9"/>
      <c r="AE11" s="9"/>
      <c r="AF11" s="9"/>
      <c r="AG11" s="9"/>
    </row>
    <row r="12">
      <c r="A12" s="20">
        <v>11.0</v>
      </c>
      <c r="B12" s="20" t="s">
        <v>1607</v>
      </c>
      <c r="C12" s="20" t="s">
        <v>1608</v>
      </c>
      <c r="D12" s="20" t="s">
        <v>1609</v>
      </c>
      <c r="E12" s="20" t="s">
        <v>1610</v>
      </c>
      <c r="F12" s="9"/>
      <c r="G12" s="9"/>
      <c r="H12" s="9"/>
      <c r="I12" s="20" t="str">
        <f>IFERROR(__xludf.DUMMYFUNCTION("GOOGLETRANSLATE(B12,""ar"",""en"")
"),"During the race, your horse is having difficulty moving on the slippery ground. What do you do?")</f>
        <v>During the race, your horse is having difficulty moving on the slippery ground. What do you do?</v>
      </c>
      <c r="J12" s="20" t="str">
        <f>IFERROR(__xludf.DUMMYFUNCTION("GOOGLETRANSLATE(C12,""ar"",""en"")
"),"a) Increase speed; b) Focus on balance; c) Reduce stress on the horse; d) Stop completely")</f>
        <v>a) Increase speed; b) Focus on balance; c) Reduce stress on the horse; d) Stop completely</v>
      </c>
      <c r="K12" s="20" t="str">
        <f>IFERROR(__xludf.DUMMYFUNCTION("GOOGLETRANSLATE(D12,""ar"",""en"")
"),"b) Focus on balance")</f>
        <v>b) Focus on balance</v>
      </c>
      <c r="L12" s="20" t="str">
        <f>IFERROR(__xludf.DUMMYFUNCTION("GOOGLETRANSLATE(E12,""ar"",""en"")
"),"Balance is better than speed on slippery ground.")</f>
        <v>Balance is better than speed on slippery ground.</v>
      </c>
      <c r="M12" s="9"/>
      <c r="N12" s="9"/>
      <c r="O12" s="9"/>
      <c r="P12" s="9"/>
      <c r="Q12" s="9"/>
      <c r="R12" s="9"/>
      <c r="S12" s="9"/>
      <c r="T12" s="9"/>
      <c r="U12" s="9"/>
      <c r="V12" s="9"/>
      <c r="W12" s="9"/>
      <c r="X12" s="9"/>
      <c r="Y12" s="9"/>
      <c r="Z12" s="9"/>
      <c r="AA12" s="9"/>
      <c r="AB12" s="9"/>
      <c r="AC12" s="9"/>
      <c r="AD12" s="9"/>
      <c r="AE12" s="9"/>
      <c r="AF12" s="9"/>
      <c r="AG12" s="9"/>
    </row>
    <row r="13">
      <c r="A13" s="20">
        <v>12.0</v>
      </c>
      <c r="B13" s="20" t="s">
        <v>1611</v>
      </c>
      <c r="C13" s="20" t="s">
        <v>1612</v>
      </c>
      <c r="D13" s="20" t="s">
        <v>1613</v>
      </c>
      <c r="E13" s="20" t="s">
        <v>1614</v>
      </c>
      <c r="F13" s="9"/>
      <c r="G13" s="9"/>
      <c r="H13" s="9"/>
      <c r="I13" s="20" t="str">
        <f>IFERROR(__xludf.DUMMYFUNCTION("GOOGLETRANSLATE(B13,""ar"",""en"")
"),"If your competitor is far ahead in the race, what should you do?")</f>
        <v>If your competitor is far ahead in the race, what should you do?</v>
      </c>
      <c r="J13" s="20" t="str">
        <f>IFERROR(__xludf.DUMMYFUNCTION("GOOGLETRANSLATE(C13,""ar"",""en"")
"),"a) Stay on the designated path; b) Try to overtake the competitor quickly; c) Monitor the horse and reduce speed; d) Remain calm and do not panic")</f>
        <v>a) Stay on the designated path; b) Try to overtake the competitor quickly; c) Monitor the horse and reduce speed; d) Remain calm and do not panic</v>
      </c>
      <c r="K13" s="20" t="str">
        <f>IFERROR(__xludf.DUMMYFUNCTION("GOOGLETRANSLATE(D13,""ar"",""en"")
"),"b) Trying to overtake the competitor quickly")</f>
        <v>b) Trying to overtake the competitor quickly</v>
      </c>
      <c r="L13" s="20" t="str">
        <f>IFERROR(__xludf.DUMMYFUNCTION("GOOGLETRANSLATE(E13,""ar"",""en"")
"),"Races require strategies to overtake competitors in a timely manner.")</f>
        <v>Races require strategies to overtake competitors in a timely manner.</v>
      </c>
      <c r="M13" s="9"/>
      <c r="N13" s="9"/>
      <c r="O13" s="9"/>
      <c r="P13" s="9"/>
      <c r="Q13" s="9"/>
      <c r="R13" s="9"/>
      <c r="S13" s="9"/>
      <c r="T13" s="9"/>
      <c r="U13" s="9"/>
      <c r="V13" s="9"/>
      <c r="W13" s="9"/>
      <c r="X13" s="9"/>
      <c r="Y13" s="9"/>
      <c r="Z13" s="9"/>
      <c r="AA13" s="9"/>
      <c r="AB13" s="9"/>
      <c r="AC13" s="9"/>
      <c r="AD13" s="9"/>
      <c r="AE13" s="9"/>
      <c r="AF13" s="9"/>
      <c r="AG13" s="9"/>
    </row>
    <row r="14">
      <c r="A14" s="20">
        <v>13.0</v>
      </c>
      <c r="B14" s="20" t="s">
        <v>1615</v>
      </c>
      <c r="C14" s="20" t="s">
        <v>1616</v>
      </c>
      <c r="D14" s="20" t="s">
        <v>1617</v>
      </c>
      <c r="E14" s="20" t="s">
        <v>1618</v>
      </c>
      <c r="F14" s="9"/>
      <c r="G14" s="9"/>
      <c r="H14" s="9"/>
      <c r="I14" s="20" t="str">
        <f>IFERROR(__xludf.DUMMYFUNCTION("GOOGLETRANSLATE(B14,""ar"",""en"")
"),"During the race, the weather suddenly turns stormy. What do you do?")</f>
        <v>During the race, the weather suddenly turns stormy. What do you do?</v>
      </c>
      <c r="J14" s="20" t="str">
        <f>IFERROR(__xludf.DUMMYFUNCTION("GOOGLETRANSLATE(C14,""ar"",""en"")
"),"a) Increase speed; b) Try to stay in the lane; c) Stop racing; d) Reduce speed to maintain focus")</f>
        <v>a) Increase speed; b) Try to stay in the lane; c) Stop racing; d) Reduce speed to maintain focus</v>
      </c>
      <c r="K14" s="20" t="str">
        <f>IFERROR(__xludf.DUMMYFUNCTION("GOOGLETRANSLATE(D14,""ar"",""en"")
"),"d) Reduce speed to maintain focus")</f>
        <v>d) Reduce speed to maintain focus</v>
      </c>
      <c r="L14" s="20" t="str">
        <f>IFERROR(__xludf.DUMMYFUNCTION("GOOGLETRANSLATE(E14,""ar"",""en"")
"),"Stormy weather requires reducing speed to ensure control.")</f>
        <v>Stormy weather requires reducing speed to ensure control.</v>
      </c>
      <c r="M14" s="9"/>
      <c r="N14" s="9"/>
      <c r="O14" s="9"/>
      <c r="P14" s="9"/>
      <c r="Q14" s="9"/>
      <c r="R14" s="9"/>
      <c r="S14" s="9"/>
      <c r="T14" s="9"/>
      <c r="U14" s="9"/>
      <c r="V14" s="9"/>
      <c r="W14" s="9"/>
      <c r="X14" s="9"/>
      <c r="Y14" s="9"/>
      <c r="Z14" s="9"/>
      <c r="AA14" s="9"/>
      <c r="AB14" s="9"/>
      <c r="AC14" s="9"/>
      <c r="AD14" s="9"/>
      <c r="AE14" s="9"/>
      <c r="AF14" s="9"/>
      <c r="AG14" s="9"/>
    </row>
    <row r="15">
      <c r="A15" s="20">
        <v>14.0</v>
      </c>
      <c r="B15" s="20" t="s">
        <v>1619</v>
      </c>
      <c r="C15" s="20" t="s">
        <v>1620</v>
      </c>
      <c r="D15" s="20" t="s">
        <v>1621</v>
      </c>
      <c r="E15" s="20" t="s">
        <v>1622</v>
      </c>
      <c r="F15" s="9"/>
      <c r="G15" s="9"/>
      <c r="H15" s="9"/>
      <c r="I15" s="20" t="str">
        <f>IFERROR(__xludf.DUMMYFUNCTION("GOOGLETRANSLATE(B15,""ar"",""en"")
"),"At the start of the race, your horse lags behind the other riders. What do you do?")</f>
        <v>At the start of the race, your horse lags behind the other riders. What do you do?</v>
      </c>
      <c r="J15" s="20" t="str">
        <f>IFERROR(__xludf.DUMMYFUNCTION("GOOGLETRANSLATE(C15,""ar"",""en"")
"),"a) Change direction; b) Gradually increase speed; c) Stop; d) Go to maximum speed immediately")</f>
        <v>a) Change direction; b) Gradually increase speed; c) Stop; d) Go to maximum speed immediately</v>
      </c>
      <c r="K15" s="20" t="str">
        <f>IFERROR(__xludf.DUMMYFUNCTION("GOOGLETRANSLATE(D15,""ar"",""en"")
"),"b) Gradually improving its speed")</f>
        <v>b) Gradually improving its speed</v>
      </c>
      <c r="L15" s="20" t="str">
        <f>IFERROR(__xludf.DUMMYFUNCTION("GOOGLETRANSLATE(E15,""ar"",""en"")
"),"Gradual improvement reduces horse fatigue and increases its chances of catching up.")</f>
        <v>Gradual improvement reduces horse fatigue and increases its chances of catching up.</v>
      </c>
      <c r="M15" s="9"/>
      <c r="N15" s="9"/>
      <c r="O15" s="9"/>
      <c r="P15" s="9"/>
      <c r="Q15" s="9"/>
      <c r="R15" s="9"/>
      <c r="S15" s="9"/>
      <c r="T15" s="9"/>
      <c r="U15" s="9"/>
      <c r="V15" s="9"/>
      <c r="W15" s="9"/>
      <c r="X15" s="9"/>
      <c r="Y15" s="9"/>
      <c r="Z15" s="9"/>
      <c r="AA15" s="9"/>
      <c r="AB15" s="9"/>
      <c r="AC15" s="9"/>
      <c r="AD15" s="9"/>
      <c r="AE15" s="9"/>
      <c r="AF15" s="9"/>
      <c r="AG15" s="9"/>
    </row>
    <row r="16">
      <c r="A16" s="20">
        <v>15.0</v>
      </c>
      <c r="B16" s="20" t="s">
        <v>1623</v>
      </c>
      <c r="C16" s="20" t="s">
        <v>1624</v>
      </c>
      <c r="D16" s="20" t="s">
        <v>1625</v>
      </c>
      <c r="E16" s="20" t="s">
        <v>1626</v>
      </c>
      <c r="F16" s="9"/>
      <c r="G16" s="9"/>
      <c r="H16" s="9"/>
      <c r="I16" s="20" t="str">
        <f>IFERROR(__xludf.DUMMYFUNCTION("GOOGLETRANSLATE(B16,""ar"",""en"")
"),"If you are in a race with other riders in difficult conditions, what do you do?")</f>
        <v>If you are in a race with other riders in difficult conditions, what do you do?</v>
      </c>
      <c r="J16" s="20" t="str">
        <f>IFERROR(__xludf.DUMMYFUNCTION("GOOGLETRANSLATE(C16,""ar"",""en"")
"),"a) Stay at the back of the track; b) Accelerate to the front quickly; c) Balance speed and control; d) Use a defensive strategy")</f>
        <v>a) Stay at the back of the track; b) Accelerate to the front quickly; c) Balance speed and control; d) Use a defensive strategy</v>
      </c>
      <c r="K16" s="20" t="str">
        <f>IFERROR(__xludf.DUMMYFUNCTION("GOOGLETRANSLATE(D16,""ar"",""en"")
"),"c) Balancing speed and control")</f>
        <v>c) Balancing speed and control</v>
      </c>
      <c r="L16" s="20" t="str">
        <f>IFERROR(__xludf.DUMMYFUNCTION("GOOGLETRANSLATE(E16,""ar"",""en"")
"),"Balancing speed with control improves a horse's performance in a race.")</f>
        <v>Balancing speed with control improves a horse's performance in a race.</v>
      </c>
      <c r="M16" s="9"/>
      <c r="N16" s="9"/>
      <c r="O16" s="9"/>
      <c r="P16" s="9"/>
      <c r="Q16" s="9"/>
      <c r="R16" s="9"/>
      <c r="S16" s="9"/>
      <c r="T16" s="9"/>
      <c r="U16" s="9"/>
      <c r="V16" s="9"/>
      <c r="W16" s="9"/>
      <c r="X16" s="9"/>
      <c r="Y16" s="9"/>
      <c r="Z16" s="9"/>
      <c r="AA16" s="9"/>
      <c r="AB16" s="9"/>
      <c r="AC16" s="9"/>
      <c r="AD16" s="9"/>
      <c r="AE16" s="9"/>
      <c r="AF16" s="9"/>
      <c r="AG16" s="9"/>
    </row>
    <row r="17">
      <c r="A17" s="20">
        <v>16.0</v>
      </c>
      <c r="B17" s="20" t="s">
        <v>1627</v>
      </c>
      <c r="C17" s="20" t="s">
        <v>1628</v>
      </c>
      <c r="D17" s="20" t="s">
        <v>1629</v>
      </c>
      <c r="E17" s="20" t="s">
        <v>1630</v>
      </c>
      <c r="F17" s="9"/>
      <c r="G17" s="9"/>
      <c r="H17" s="9"/>
      <c r="I17" s="20" t="str">
        <f>IFERROR(__xludf.DUMMYFUNCTION("GOOGLETRANSLATE(B17,""ar"",""en"")
"),"During a race, your horse passes by a noisy crowd. How does it handle this?")</f>
        <v>During a race, your horse passes by a noisy crowd. How does it handle this?</v>
      </c>
      <c r="J17" s="20" t="str">
        <f>IFERROR(__xludf.DUMMYFUNCTION("GOOGLETRANSLATE(C17,""ar"",""en"")
"),"a) Stimulate him further; b) Try to calm him down; c) Continue the race without change; d) Stop to rest")</f>
        <v>a) Stimulate him further; b) Try to calm him down; c) Continue the race without change; d) Stop to rest</v>
      </c>
      <c r="K17" s="20" t="str">
        <f>IFERROR(__xludf.DUMMYFUNCTION("GOOGLETRANSLATE(D17,""ar"",""en"")
"),"b) Trying to calm him down")</f>
        <v>b) Trying to calm him down</v>
      </c>
      <c r="L17" s="20" t="str">
        <f>IFERROR(__xludf.DUMMYFUNCTION("GOOGLETRANSLATE(E17,""ar"",""en"")
"),"Noise can affect a horse's concentration, so calming is important.")</f>
        <v>Noise can affect a horse's concentration, so calming is important.</v>
      </c>
      <c r="M17" s="9"/>
      <c r="N17" s="9"/>
      <c r="O17" s="9"/>
      <c r="P17" s="9"/>
      <c r="Q17" s="9"/>
      <c r="R17" s="9"/>
      <c r="S17" s="9"/>
      <c r="T17" s="9"/>
      <c r="U17" s="9"/>
      <c r="V17" s="9"/>
      <c r="W17" s="9"/>
      <c r="X17" s="9"/>
      <c r="Y17" s="9"/>
      <c r="Z17" s="9"/>
      <c r="AA17" s="9"/>
      <c r="AB17" s="9"/>
      <c r="AC17" s="9"/>
      <c r="AD17" s="9"/>
      <c r="AE17" s="9"/>
      <c r="AF17" s="9"/>
      <c r="AG17" s="9"/>
    </row>
    <row r="18">
      <c r="A18" s="20">
        <v>17.0</v>
      </c>
      <c r="B18" s="20" t="s">
        <v>1631</v>
      </c>
      <c r="C18" s="20" t="s">
        <v>1632</v>
      </c>
      <c r="D18" s="20" t="s">
        <v>1633</v>
      </c>
      <c r="E18" s="20" t="s">
        <v>1634</v>
      </c>
      <c r="F18" s="9"/>
      <c r="G18" s="9"/>
      <c r="H18" s="9"/>
      <c r="I18" s="20" t="str">
        <f>IFERROR(__xludf.DUMMYFUNCTION("GOOGLETRANSLATE(B18,""ar"",""en"")
"),"As you approach the end of the race, your horse seems to be suffering from fatigue. What do you do?")</f>
        <v>As you approach the end of the race, your horse seems to be suffering from fatigue. What do you do?</v>
      </c>
      <c r="J18" s="20" t="str">
        <f>IFERROR(__xludf.DUMMYFUNCTION("GOOGLETRANSLATE(C18,""ar"",""en"")
"),"a) Stimulating further acceleration; b) Reducing speed completely; c) Maintaining the same speed; d) Stopping and avoiding hazards")</f>
        <v>a) Stimulating further acceleration; b) Reducing speed completely; c) Maintaining the same speed; d) Stopping and avoiding hazards</v>
      </c>
      <c r="K18" s="20" t="str">
        <f>IFERROR(__xludf.DUMMYFUNCTION("GOOGLETRANSLATE(D18,""ar"",""en"")
"),"a) Motivating him to push further")</f>
        <v>a) Motivating him to push further</v>
      </c>
      <c r="L18" s="20" t="str">
        <f>IFERROR(__xludf.DUMMYFUNCTION("GOOGLETRANSLATE(E18,""ar"",""en"")
"),"Motivation at the last minute can lead to improved performance.")</f>
        <v>Motivation at the last minute can lead to improved performance.</v>
      </c>
      <c r="M18" s="9"/>
      <c r="N18" s="9"/>
      <c r="O18" s="9"/>
      <c r="P18" s="9"/>
      <c r="Q18" s="9"/>
      <c r="R18" s="9"/>
      <c r="S18" s="9"/>
      <c r="T18" s="9"/>
      <c r="U18" s="9"/>
      <c r="V18" s="9"/>
      <c r="W18" s="9"/>
      <c r="X18" s="9"/>
      <c r="Y18" s="9"/>
      <c r="Z18" s="9"/>
      <c r="AA18" s="9"/>
      <c r="AB18" s="9"/>
      <c r="AC18" s="9"/>
      <c r="AD18" s="9"/>
      <c r="AE18" s="9"/>
      <c r="AF18" s="9"/>
      <c r="AG18" s="9"/>
    </row>
    <row r="19">
      <c r="A19" s="20">
        <v>18.0</v>
      </c>
      <c r="B19" s="20" t="s">
        <v>1635</v>
      </c>
      <c r="C19" s="20" t="s">
        <v>1636</v>
      </c>
      <c r="D19" s="20" t="s">
        <v>1637</v>
      </c>
      <c r="E19" s="20" t="s">
        <v>1638</v>
      </c>
      <c r="F19" s="9"/>
      <c r="G19" s="9"/>
      <c r="H19" s="9"/>
      <c r="I19" s="20" t="str">
        <f>IFERROR(__xludf.DUMMYFUNCTION("GOOGLETRANSLATE(B19,""ar"",""en"")
"),"During horse training, you find that the horse is unenthusiastic about participating. What do you do?")</f>
        <v>During horse training, you find that the horse is unenthusiastic about participating. What do you do?</v>
      </c>
      <c r="J19" s="20" t="str">
        <f>IFERROR(__xludf.DUMMYFUNCTION("GOOGLETRANSLATE(C19,""ar"",""en"")
"),"a) Increase physical activity; b) Change training methods; c) Complete rest; d) Motivation through rewards")</f>
        <v>a) Increase physical activity; b) Change training methods; c) Complete rest; d) Motivation through rewards</v>
      </c>
      <c r="K19" s="20" t="str">
        <f>IFERROR(__xludf.DUMMYFUNCTION("GOOGLETRANSLATE(D19,""ar"",""en"")
"),"b) Changing the training method")</f>
        <v>b) Changing the training method</v>
      </c>
      <c r="L19" s="20" t="str">
        <f>IFERROR(__xludf.DUMMYFUNCTION("GOOGLETRANSLATE(E19,""ar"",""en"")
"),"Changing the technique may arouse the horse's interest and increase its activity.")</f>
        <v>Changing the technique may arouse the horse's interest and increase its activity.</v>
      </c>
      <c r="M19" s="9"/>
      <c r="N19" s="9"/>
      <c r="O19" s="9"/>
      <c r="P19" s="9"/>
      <c r="Q19" s="9"/>
      <c r="R19" s="9"/>
      <c r="S19" s="9"/>
      <c r="T19" s="9"/>
      <c r="U19" s="9"/>
      <c r="V19" s="9"/>
      <c r="W19" s="9"/>
      <c r="X19" s="9"/>
      <c r="Y19" s="9"/>
      <c r="Z19" s="9"/>
      <c r="AA19" s="9"/>
      <c r="AB19" s="9"/>
      <c r="AC19" s="9"/>
      <c r="AD19" s="9"/>
      <c r="AE19" s="9"/>
      <c r="AF19" s="9"/>
      <c r="AG19" s="9"/>
    </row>
    <row r="20">
      <c r="A20" s="20">
        <v>19.0</v>
      </c>
      <c r="B20" s="20" t="s">
        <v>1639</v>
      </c>
      <c r="C20" s="20" t="s">
        <v>1640</v>
      </c>
      <c r="D20" s="20" t="s">
        <v>1641</v>
      </c>
      <c r="E20" s="20" t="s">
        <v>1642</v>
      </c>
      <c r="F20" s="9"/>
      <c r="G20" s="9"/>
      <c r="H20" s="9"/>
      <c r="I20" s="20" t="str">
        <f>IFERROR(__xludf.DUMMYFUNCTION("GOOGLETRANSLATE(B20,""ar"",""en"")
"),"If the track has natural obstacles such as potholes, what do you do?")</f>
        <v>If the track has natural obstacles such as potholes, what do you do?</v>
      </c>
      <c r="J20" s="20" t="str">
        <f>IFERROR(__xludf.DUMMYFUNCTION("GOOGLETRANSLATE(C20,""ar"",""en"")
"),"a) Try to jump over them; b) Focus on maintaining balance; c) Avoid obstacles at all costs; d) Jump at maximum speed")</f>
        <v>a) Try to jump over them; b) Focus on maintaining balance; c) Avoid obstacles at all costs; d) Jump at maximum speed</v>
      </c>
      <c r="K20" s="20" t="str">
        <f>IFERROR(__xludf.DUMMYFUNCTION("GOOGLETRANSLATE(D20,""ar"",""en"")
"),"b) Focus on maintaining balance")</f>
        <v>b) Focus on maintaining balance</v>
      </c>
      <c r="L20" s="20" t="str">
        <f>IFERROR(__xludf.DUMMYFUNCTION("GOOGLETRANSLATE(E20,""ar"",""en"")
"),"Balance is essential when dealing with natural obstacles.")</f>
        <v>Balance is essential when dealing with natural obstacles.</v>
      </c>
      <c r="M20" s="9"/>
      <c r="N20" s="9"/>
      <c r="O20" s="9"/>
      <c r="P20" s="9"/>
      <c r="Q20" s="9"/>
      <c r="R20" s="9"/>
      <c r="S20" s="9"/>
      <c r="T20" s="9"/>
      <c r="U20" s="9"/>
      <c r="V20" s="9"/>
      <c r="W20" s="9"/>
      <c r="X20" s="9"/>
      <c r="Y20" s="9"/>
      <c r="Z20" s="9"/>
      <c r="AA20" s="9"/>
      <c r="AB20" s="9"/>
      <c r="AC20" s="9"/>
      <c r="AD20" s="9"/>
      <c r="AE20" s="9"/>
      <c r="AF20" s="9"/>
      <c r="AG20" s="9"/>
    </row>
    <row r="21">
      <c r="A21" s="20">
        <v>20.0</v>
      </c>
      <c r="B21" s="20" t="s">
        <v>1643</v>
      </c>
      <c r="C21" s="20" t="s">
        <v>1644</v>
      </c>
      <c r="D21" s="20" t="s">
        <v>1645</v>
      </c>
      <c r="E21" s="20" t="s">
        <v>1646</v>
      </c>
      <c r="F21" s="9"/>
      <c r="G21" s="9"/>
      <c r="H21" s="9"/>
      <c r="I21" s="20" t="str">
        <f>IFERROR(__xludf.DUMMYFUNCTION("GOOGLETRANSLATE(B21,""ar"",""en"")
"),"During the race, you were blocked by another horse. What do you do?")</f>
        <v>During the race, you were blocked by another horse. What do you do?</v>
      </c>
      <c r="J21" s="20" t="str">
        <f>IFERROR(__xludf.DUMMYFUNCTION("GOOGLETRANSLATE(C21,""ar"",""en"")
"),"a) Continue the race; b) Be patient and wait for the right opportunity; c) Try to overtake him immediately; d) Stop the race")</f>
        <v>a) Continue the race; b) Be patient and wait for the right opportunity; c) Try to overtake him immediately; d) Stop the race</v>
      </c>
      <c r="K21" s="20" t="str">
        <f>IFERROR(__xludf.DUMMYFUNCTION("GOOGLETRANSLATE(D21,""ar"",""en"")
"),"b) Be patient and wait for the right opportunity")</f>
        <v>b) Be patient and wait for the right opportunity</v>
      </c>
      <c r="L21" s="20" t="str">
        <f>IFERROR(__xludf.DUMMYFUNCTION("GOOGLETRANSLATE(E21,""ar"",""en"")
"),"Waiting for the perfect moment to overtake is an effective strategy.")</f>
        <v>Waiting for the perfect moment to overtake is an effective strategy.</v>
      </c>
      <c r="M21" s="9"/>
      <c r="N21" s="9"/>
      <c r="O21" s="9"/>
      <c r="P21" s="9"/>
      <c r="Q21" s="9"/>
      <c r="R21" s="9"/>
      <c r="S21" s="9"/>
      <c r="T21" s="9"/>
      <c r="U21" s="9"/>
      <c r="V21" s="9"/>
      <c r="W21" s="9"/>
      <c r="X21" s="9"/>
      <c r="Y21" s="9"/>
      <c r="Z21" s="9"/>
      <c r="AA21" s="9"/>
      <c r="AB21" s="9"/>
      <c r="AC21" s="9"/>
      <c r="AD21" s="9"/>
      <c r="AE21" s="9"/>
      <c r="AF21" s="9"/>
      <c r="AG21" s="9"/>
    </row>
    <row r="22">
      <c r="A22" s="20">
        <v>21.0</v>
      </c>
      <c r="B22" s="20" t="s">
        <v>1647</v>
      </c>
      <c r="C22" s="20" t="s">
        <v>1648</v>
      </c>
      <c r="D22" s="20" t="s">
        <v>1649</v>
      </c>
      <c r="E22" s="20" t="s">
        <v>1650</v>
      </c>
      <c r="F22" s="9"/>
      <c r="G22" s="9"/>
      <c r="H22" s="9"/>
      <c r="I22" s="20" t="str">
        <f>IFERROR(__xludf.DUMMYFUNCTION("GOOGLETRANSLATE(B22,""ar"",""en"")
"),"If the race route is suddenly changed, how should you react?")</f>
        <v>If the race route is suddenly changed, how should you react?</v>
      </c>
      <c r="J22" s="20" t="str">
        <f>IFERROR(__xludf.DUMMYFUNCTION("GOOGLETRANSLATE(C22,""ar"",""en"")
"),"a) Change speed to adapt to the new route; b) Stop completely to rest; c) Maintain current speed; d) Follow the other horse without thinking")</f>
        <v>a) Change speed to adapt to the new route; b) Stop completely to rest; c) Maintain current speed; d) Follow the other horse without thinking</v>
      </c>
      <c r="K22" s="20" t="str">
        <f>IFERROR(__xludf.DUMMYFUNCTION("GOOGLETRANSLATE(D22,""ar"",""en"")
"),"a) Change speed to adapt to the new route")</f>
        <v>a) Change speed to adapt to the new route</v>
      </c>
      <c r="L22" s="20" t="str">
        <f>IFERROR(__xludf.DUMMYFUNCTION("GOOGLETRANSLATE(E22,""ar"",""en"")
"),"The ability to adapt to changes is important to ensure good performance.")</f>
        <v>The ability to adapt to changes is important to ensure good performance.</v>
      </c>
      <c r="M22" s="9"/>
      <c r="N22" s="9"/>
      <c r="O22" s="9"/>
      <c r="P22" s="9"/>
      <c r="Q22" s="9"/>
      <c r="R22" s="9"/>
      <c r="S22" s="9"/>
      <c r="T22" s="9"/>
      <c r="U22" s="9"/>
      <c r="V22" s="9"/>
      <c r="W22" s="9"/>
      <c r="X22" s="9"/>
      <c r="Y22" s="9"/>
      <c r="Z22" s="9"/>
      <c r="AA22" s="9"/>
      <c r="AB22" s="9"/>
      <c r="AC22" s="9"/>
      <c r="AD22" s="9"/>
      <c r="AE22" s="9"/>
      <c r="AF22" s="9"/>
      <c r="AG22" s="9"/>
    </row>
    <row r="23">
      <c r="A23" s="20">
        <v>22.0</v>
      </c>
      <c r="B23" s="20" t="s">
        <v>1651</v>
      </c>
      <c r="C23" s="20" t="s">
        <v>1652</v>
      </c>
      <c r="D23" s="20" t="s">
        <v>1653</v>
      </c>
      <c r="E23" s="20" t="s">
        <v>1654</v>
      </c>
      <c r="F23" s="9"/>
      <c r="G23" s="9"/>
      <c r="H23" s="9"/>
      <c r="I23" s="20" t="str">
        <f>IFERROR(__xludf.DUMMYFUNCTION("GOOGLETRANSLATE(B23,""ar"",""en"")
"),"Before the race, your horse appears to be in excellent physical condition, what should you do?")</f>
        <v>Before the race, your horse appears to be in excellent physical condition, what should you do?</v>
      </c>
      <c r="J23" s="20" t="str">
        <f>IFERROR(__xludf.DUMMYFUNCTION("GOOGLETRANSLATE(C23,""ar"",""en"")
"),"a) Increase the pressure on him; b) Maintain his physical condition; c) Give him extra rest; d) Change his training method to a new one")</f>
        <v>a) Increase the pressure on him; b) Maintain his physical condition; c) Give him extra rest; d) Change his training method to a new one</v>
      </c>
      <c r="K23" s="20" t="str">
        <f>IFERROR(__xludf.DUMMYFUNCTION("GOOGLETRANSLATE(D23,""ar"",""en"")
"),"b) Maintaining his physical condition")</f>
        <v>b) Maintaining his physical condition</v>
      </c>
      <c r="L23" s="20" t="str">
        <f>IFERROR(__xludf.DUMMYFUNCTION("GOOGLETRANSLATE(E23,""ar"",""en"")
"),"If the horse is in good condition, this condition should be maintained rather than changed.")</f>
        <v>If the horse is in good condition, this condition should be maintained rather than changed.</v>
      </c>
      <c r="M23" s="9"/>
      <c r="N23" s="9"/>
      <c r="O23" s="9"/>
      <c r="P23" s="9"/>
      <c r="Q23" s="9"/>
      <c r="R23" s="9"/>
      <c r="S23" s="9"/>
      <c r="T23" s="9"/>
      <c r="U23" s="9"/>
      <c r="V23" s="9"/>
      <c r="W23" s="9"/>
      <c r="X23" s="9"/>
      <c r="Y23" s="9"/>
      <c r="Z23" s="9"/>
      <c r="AA23" s="9"/>
      <c r="AB23" s="9"/>
      <c r="AC23" s="9"/>
      <c r="AD23" s="9"/>
      <c r="AE23" s="9"/>
      <c r="AF23" s="9"/>
      <c r="AG23" s="9"/>
    </row>
    <row r="24">
      <c r="A24" s="20">
        <v>23.0</v>
      </c>
      <c r="B24" s="20" t="s">
        <v>1655</v>
      </c>
      <c r="C24" s="20" t="s">
        <v>1656</v>
      </c>
      <c r="D24" s="20" t="s">
        <v>1657</v>
      </c>
      <c r="E24" s="20" t="s">
        <v>1658</v>
      </c>
      <c r="F24" s="9"/>
      <c r="G24" s="9"/>
      <c r="H24" s="9"/>
      <c r="I24" s="20" t="str">
        <f>IFERROR(__xludf.DUMMYFUNCTION("GOOGLETRANSLATE(B24,""ar"",""en"")
"),"If you are watching the competing horse in a race, what should you focus on?")</f>
        <v>If you are watching the competing horse in a race, what should you focus on?</v>
      </c>
      <c r="J24" s="20" t="str">
        <f>IFERROR(__xludf.DUMMYFUNCTION("GOOGLETRANSLATE(C24,""ar"",""en"")
"),"a) Starting speed only; b) Changes in direction; c) Riding style and control; d) Your competitor's strategy")</f>
        <v>a) Starting speed only; b) Changes in direction; c) Riding style and control; d) Your competitor's strategy</v>
      </c>
      <c r="K24" s="20" t="str">
        <f>IFERROR(__xludf.DUMMYFUNCTION("GOOGLETRANSLATE(D24,""ar"",""en"")
"),"c) Riding and control style")</f>
        <v>c) Riding and control style</v>
      </c>
      <c r="L24" s="20" t="str">
        <f>IFERROR(__xludf.DUMMYFUNCTION("GOOGLETRANSLATE(E24,""ar"",""en"")
"),"Observing your competitor's style helps you make more effective decisions in the race.")</f>
        <v>Observing your competitor's style helps you make more effective decisions in the race.</v>
      </c>
      <c r="M24" s="9"/>
      <c r="N24" s="9"/>
      <c r="O24" s="9"/>
      <c r="P24" s="9"/>
      <c r="Q24" s="9"/>
      <c r="R24" s="9"/>
      <c r="S24" s="9"/>
      <c r="T24" s="9"/>
      <c r="U24" s="9"/>
      <c r="V24" s="9"/>
      <c r="W24" s="9"/>
      <c r="X24" s="9"/>
      <c r="Y24" s="9"/>
      <c r="Z24" s="9"/>
      <c r="AA24" s="9"/>
      <c r="AB24" s="9"/>
      <c r="AC24" s="9"/>
      <c r="AD24" s="9"/>
      <c r="AE24" s="9"/>
      <c r="AF24" s="9"/>
      <c r="AG24" s="9"/>
    </row>
    <row r="25">
      <c r="A25" s="20">
        <v>24.0</v>
      </c>
      <c r="B25" s="20" t="s">
        <v>1659</v>
      </c>
      <c r="C25" s="20" t="s">
        <v>1660</v>
      </c>
      <c r="D25" s="20" t="s">
        <v>1661</v>
      </c>
      <c r="E25" s="20" t="s">
        <v>1662</v>
      </c>
      <c r="F25" s="9"/>
      <c r="G25" s="9"/>
      <c r="H25" s="9"/>
      <c r="I25" s="20" t="str">
        <f>IFERROR(__xludf.DUMMYFUNCTION("GOOGLETRANSLATE(B25,""ar"",""en"")
"),"If the race is in extremely hot weather conditions, what do you do?")</f>
        <v>If the race is in extremely hot weather conditions, what do you do?</v>
      </c>
      <c r="J25" s="20" t="str">
        <f>IFERROR(__xludf.DUMMYFUNCTION("GOOGLETRANSLATE(C25,""ar"",""en"")
"),"a) Cooling the horse down after each run; b) Increasing speed to reduce race time; c) Complete rest; d) Avoiding participation in the race")</f>
        <v>a) Cooling the horse down after each run; b) Increasing speed to reduce race time; c) Complete rest; d) Avoiding participation in the race</v>
      </c>
      <c r="K25" s="20" t="str">
        <f>IFERROR(__xludf.DUMMYFUNCTION("GOOGLETRANSLATE(D25,""ar"",""en"")
"),"a) Cooling the horse after each run")</f>
        <v>a) Cooling the horse after each run</v>
      </c>
      <c r="L25" s="20" t="str">
        <f>IFERROR(__xludf.DUMMYFUNCTION("GOOGLETRANSLATE(E25,""ar"",""en"")
"),"Cooling prevents exhaustion and reduces the risk of injury in hot weather.")</f>
        <v>Cooling prevents exhaustion and reduces the risk of injury in hot weather.</v>
      </c>
      <c r="M25" s="9"/>
      <c r="N25" s="9"/>
      <c r="O25" s="9"/>
      <c r="P25" s="9"/>
      <c r="Q25" s="9"/>
      <c r="R25" s="9"/>
      <c r="S25" s="9"/>
      <c r="T25" s="9"/>
      <c r="U25" s="9"/>
      <c r="V25" s="9"/>
      <c r="W25" s="9"/>
      <c r="X25" s="9"/>
      <c r="Y25" s="9"/>
      <c r="Z25" s="9"/>
      <c r="AA25" s="9"/>
      <c r="AB25" s="9"/>
      <c r="AC25" s="9"/>
      <c r="AD25" s="9"/>
      <c r="AE25" s="9"/>
      <c r="AF25" s="9"/>
      <c r="AG25" s="9"/>
    </row>
    <row r="26">
      <c r="A26" s="20">
        <v>25.0</v>
      </c>
      <c r="B26" s="20" t="s">
        <v>1663</v>
      </c>
      <c r="C26" s="20" t="s">
        <v>1664</v>
      </c>
      <c r="D26" s="20" t="s">
        <v>1665</v>
      </c>
      <c r="E26" s="20" t="s">
        <v>1666</v>
      </c>
      <c r="F26" s="9"/>
      <c r="G26" s="9"/>
      <c r="H26" s="9"/>
      <c r="I26" s="20" t="str">
        <f>IFERROR(__xludf.DUMMYFUNCTION("GOOGLETRANSLATE(B26,""ar"",""en"")
"),"If you feel that your horse is lacking focus in the race, what do you do?")</f>
        <v>If you feel that your horse is lacking focus in the race, what do you do?</v>
      </c>
      <c r="J26" s="20" t="str">
        <f>IFERROR(__xludf.DUMMYFUNCTION("GOOGLETRANSLATE(C26,""ar"",""en"")
"),"a) Increase motivation; b) Reduce speed; c) Maintain the same pace; d) Be patient")</f>
        <v>a) Increase motivation; b) Reduce speed; c) Maintain the same pace; d) Be patient</v>
      </c>
      <c r="K26" s="20" t="str">
        <f>IFERROR(__xludf.DUMMYFUNCTION("GOOGLETRANSLATE(D26,""ar"",""en"")
"),"a) Increased motivation")</f>
        <v>a) Increased motivation</v>
      </c>
      <c r="L26" s="20" t="str">
        <f>IFERROR(__xludf.DUMMYFUNCTION("GOOGLETRANSLATE(E26,""ar"",""en"")
"),"Increased stimulation may help improve the horse's concentration.")</f>
        <v>Increased stimulation may help improve the horse's concentration.</v>
      </c>
      <c r="M26" s="9"/>
      <c r="N26" s="9"/>
      <c r="O26" s="9"/>
      <c r="P26" s="9"/>
      <c r="Q26" s="9"/>
      <c r="R26" s="9"/>
      <c r="S26" s="9"/>
      <c r="T26" s="9"/>
      <c r="U26" s="9"/>
      <c r="V26" s="9"/>
      <c r="W26" s="9"/>
      <c r="X26" s="9"/>
      <c r="Y26" s="9"/>
      <c r="Z26" s="9"/>
      <c r="AA26" s="9"/>
      <c r="AB26" s="9"/>
      <c r="AC26" s="9"/>
      <c r="AD26" s="9"/>
      <c r="AE26" s="9"/>
      <c r="AF26" s="9"/>
      <c r="AG26" s="9"/>
    </row>
    <row r="27">
      <c r="A27" s="20">
        <v>26.0</v>
      </c>
      <c r="B27" s="20" t="s">
        <v>1667</v>
      </c>
      <c r="C27" s="20" t="s">
        <v>1668</v>
      </c>
      <c r="D27" s="20" t="s">
        <v>15</v>
      </c>
      <c r="E27" s="20" t="s">
        <v>1669</v>
      </c>
      <c r="F27" s="9"/>
      <c r="G27" s="9"/>
      <c r="H27" s="9"/>
      <c r="I27" s="20" t="str">
        <f>IFERROR(__xludf.DUMMYFUNCTION("GOOGLETRANSLATE(B27,""ar"",""en"")
"),"If you are in a race and your competitor is closing in on you quickly, what do you do?")</f>
        <v>If you are in a race and your competitor is closing in on you quickly, what do you do?</v>
      </c>
      <c r="J27" s="20" t="str">
        <f>IFERROR(__xludf.DUMMYFUNCTION("GOOGLETRANSLATE(C27,""ar"",""en"")
"),"a) Increase speed; b) Change direction; c) Decrease speed; d) Try to stay on the same path")</f>
        <v>a) Increase speed; b) Change direction; c) Decrease speed; d) Try to stay on the same path</v>
      </c>
      <c r="K27" s="20" t="str">
        <f>IFERROR(__xludf.DUMMYFUNCTION("GOOGLETRANSLATE(D27,""ar"",""en"")
"),"a) Increase speed")</f>
        <v>a) Increase speed</v>
      </c>
      <c r="L27" s="20" t="str">
        <f>IFERROR(__xludf.DUMMYFUNCTION("GOOGLETRANSLATE(E27,""ar"",""en"")
"),"Increasing speed ensures maintaining the distance between you and your competitor.")</f>
        <v>Increasing speed ensures maintaining the distance between you and your competitor.</v>
      </c>
      <c r="M27" s="9"/>
      <c r="N27" s="9"/>
      <c r="O27" s="9"/>
      <c r="P27" s="9"/>
      <c r="Q27" s="9"/>
      <c r="R27" s="9"/>
      <c r="S27" s="9"/>
      <c r="T27" s="9"/>
      <c r="U27" s="9"/>
      <c r="V27" s="9"/>
      <c r="W27" s="9"/>
      <c r="X27" s="9"/>
      <c r="Y27" s="9"/>
      <c r="Z27" s="9"/>
      <c r="AA27" s="9"/>
      <c r="AB27" s="9"/>
      <c r="AC27" s="9"/>
      <c r="AD27" s="9"/>
      <c r="AE27" s="9"/>
      <c r="AF27" s="9"/>
      <c r="AG27" s="9"/>
    </row>
    <row r="28">
      <c r="A28" s="20">
        <v>27.0</v>
      </c>
      <c r="B28" s="20" t="s">
        <v>1670</v>
      </c>
      <c r="C28" s="20" t="s">
        <v>1671</v>
      </c>
      <c r="D28" s="20" t="s">
        <v>1672</v>
      </c>
      <c r="E28" s="20" t="s">
        <v>1673</v>
      </c>
      <c r="F28" s="9"/>
      <c r="G28" s="9"/>
      <c r="H28" s="9"/>
      <c r="I28" s="20" t="str">
        <f>IFERROR(__xludf.DUMMYFUNCTION("GOOGLETRANSLATE(B28,""ar"",""en"")
"),"During the race, the horse is unresponsive to help. What do you do?")</f>
        <v>During the race, the horse is unresponsive to help. What do you do?</v>
      </c>
      <c r="J28" s="20" t="str">
        <f>IFERROR(__xludf.DUMMYFUNCTION("GOOGLETRANSLATE(C28,""ar"",""en"")
"),"a) To motivate him further; b) To continue the race without change; c) To try to stop and check on his condition; d) To seek immediate assistance")</f>
        <v>a) To motivate him further; b) To continue the race without change; c) To try to stop and check on his condition; d) To seek immediate assistance</v>
      </c>
      <c r="K28" s="20" t="str">
        <f>IFERROR(__xludf.DUMMYFUNCTION("GOOGLETRANSLATE(D28,""ar"",""en"")
"),"c) Trying to stop and check on his condition")</f>
        <v>c) Trying to stop and check on his condition</v>
      </c>
      <c r="L28" s="20" t="str">
        <f>IFERROR(__xludf.DUMMYFUNCTION("GOOGLETRANSLATE(E28,""ar"",""en"")
"),"Checking the horse's condition may be necessary to ensure its safety.")</f>
        <v>Checking the horse's condition may be necessary to ensure its safety.</v>
      </c>
      <c r="M28" s="9"/>
      <c r="N28" s="9"/>
      <c r="O28" s="9"/>
      <c r="P28" s="9"/>
      <c r="Q28" s="9"/>
      <c r="R28" s="9"/>
      <c r="S28" s="9"/>
      <c r="T28" s="9"/>
      <c r="U28" s="9"/>
      <c r="V28" s="9"/>
      <c r="W28" s="9"/>
      <c r="X28" s="9"/>
      <c r="Y28" s="9"/>
      <c r="Z28" s="9"/>
      <c r="AA28" s="9"/>
      <c r="AB28" s="9"/>
      <c r="AC28" s="9"/>
      <c r="AD28" s="9"/>
      <c r="AE28" s="9"/>
      <c r="AF28" s="9"/>
      <c r="AG28" s="9"/>
    </row>
    <row r="29">
      <c r="A29" s="20">
        <v>28.0</v>
      </c>
      <c r="B29" s="20" t="s">
        <v>1674</v>
      </c>
      <c r="C29" s="20" t="s">
        <v>1675</v>
      </c>
      <c r="D29" s="20" t="s">
        <v>1676</v>
      </c>
      <c r="E29" s="20" t="s">
        <v>1677</v>
      </c>
      <c r="F29" s="9"/>
      <c r="G29" s="9"/>
      <c r="H29" s="9"/>
      <c r="I29" s="20" t="str">
        <f>IFERROR(__xludf.DUMMYFUNCTION("GOOGLETRANSLATE(B29,""ar"",""en"")
"),"If you are in a very long race, what should you remember?")</f>
        <v>If you are in a very long race, what should you remember?</v>
      </c>
      <c r="J29" s="20" t="str">
        <f>IFERROR(__xludf.DUMMYFUNCTION("GOOGLETRANSLATE(C29,""ar"",""en"")
"),"a) Starting speed; b) Maintaining a consistent pace throughout the race; c) Focusing solely on the obstacles; d) Considering only the competitors")</f>
        <v>a) Starting speed; b) Maintaining a consistent pace throughout the race; c) Focusing solely on the obstacles; d) Considering only the competitors</v>
      </c>
      <c r="K29" s="20" t="str">
        <f>IFERROR(__xludf.DUMMYFUNCTION("GOOGLETRANSLATE(D29,""ar"",""en"")
"),"b) Maintaining a balanced pace throughout the race")</f>
        <v>b) Maintaining a balanced pace throughout the race</v>
      </c>
      <c r="L29" s="20" t="str">
        <f>IFERROR(__xludf.DUMMYFUNCTION("GOOGLETRANSLATE(E29,""ar"",""en"")
"),"Controlling the pace enhances your ability to finish the race successfully.")</f>
        <v>Controlling the pace enhances your ability to finish the race successfully.</v>
      </c>
      <c r="M29" s="9"/>
      <c r="N29" s="9"/>
      <c r="O29" s="9"/>
      <c r="P29" s="9"/>
      <c r="Q29" s="9"/>
      <c r="R29" s="9"/>
      <c r="S29" s="9"/>
      <c r="T29" s="9"/>
      <c r="U29" s="9"/>
      <c r="V29" s="9"/>
      <c r="W29" s="9"/>
      <c r="X29" s="9"/>
      <c r="Y29" s="9"/>
      <c r="Z29" s="9"/>
      <c r="AA29" s="9"/>
      <c r="AB29" s="9"/>
      <c r="AC29" s="9"/>
      <c r="AD29" s="9"/>
      <c r="AE29" s="9"/>
      <c r="AF29" s="9"/>
      <c r="AG29" s="9"/>
    </row>
    <row r="30">
      <c r="A30" s="20">
        <v>29.0</v>
      </c>
      <c r="B30" s="20" t="s">
        <v>1678</v>
      </c>
      <c r="C30" s="20" t="s">
        <v>1679</v>
      </c>
      <c r="D30" s="20" t="s">
        <v>1680</v>
      </c>
      <c r="E30" s="20" t="s">
        <v>1681</v>
      </c>
      <c r="F30" s="9"/>
      <c r="G30" s="9"/>
      <c r="H30" s="9"/>
      <c r="I30" s="20" t="str">
        <f>IFERROR(__xludf.DUMMYFUNCTION("GOOGLETRANSLATE(B30,""ar"",""en"")
"),"If the race includes invisible obstacles, what do you do?")</f>
        <v>If the race includes invisible obstacles, what do you do?</v>
      </c>
      <c r="J30" s="20" t="str">
        <f>IFERROR(__xludf.DUMMYFUNCTION("GOOGLETRANSLATE(C30,""ar"",""en"")
"),"a) Be cautious and vigilant; b) Increase speed to overtake quickly; c) Stop to avoid injuries; d) Stop the race immediately")</f>
        <v>a) Be cautious and vigilant; b) Increase speed to overtake quickly; c) Stop to avoid injuries; d) Stop the race immediately</v>
      </c>
      <c r="K30" s="20" t="str">
        <f>IFERROR(__xludf.DUMMYFUNCTION("GOOGLETRANSLATE(D30,""ar"",""en"")
"),"a) Exercise caution and vigilance")</f>
        <v>a) Exercise caution and vigilance</v>
      </c>
      <c r="L30" s="20" t="str">
        <f>IFERROR(__xludf.DUMMYFUNCTION("GOOGLETRANSLATE(E30,""ar"",""en"")
"),"Staying vigilant helps avoid unexpected obstacles.")</f>
        <v>Staying vigilant helps avoid unexpected obstacles.</v>
      </c>
      <c r="M30" s="9"/>
      <c r="N30" s="9"/>
      <c r="O30" s="9"/>
      <c r="P30" s="9"/>
      <c r="Q30" s="9"/>
      <c r="R30" s="9"/>
      <c r="S30" s="9"/>
      <c r="T30" s="9"/>
      <c r="U30" s="9"/>
      <c r="V30" s="9"/>
      <c r="W30" s="9"/>
      <c r="X30" s="9"/>
      <c r="Y30" s="9"/>
      <c r="Z30" s="9"/>
      <c r="AA30" s="9"/>
      <c r="AB30" s="9"/>
      <c r="AC30" s="9"/>
      <c r="AD30" s="9"/>
      <c r="AE30" s="9"/>
      <c r="AF30" s="9"/>
      <c r="AG30" s="9"/>
    </row>
    <row r="31">
      <c r="A31" s="20">
        <v>30.0</v>
      </c>
      <c r="B31" s="20" t="s">
        <v>1682</v>
      </c>
      <c r="C31" s="20" t="s">
        <v>1683</v>
      </c>
      <c r="D31" s="20" t="s">
        <v>1684</v>
      </c>
      <c r="E31" s="20" t="s">
        <v>1685</v>
      </c>
      <c r="F31" s="9"/>
      <c r="G31" s="9"/>
      <c r="H31" s="9"/>
      <c r="I31" s="20" t="str">
        <f>IFERROR(__xludf.DUMMYFUNCTION("GOOGLETRANSLATE(B31,""ar"",""en"")
"),"If the arena is wet due to rain, what should you do?")</f>
        <v>If the arena is wet due to rain, what should you do?</v>
      </c>
      <c r="J31" s="20" t="str">
        <f>IFERROR(__xludf.DUMMYFUNCTION("GOOGLETRANSLATE(C31,""ar"",""en"")
"),"a) Drive slowly; b) Ensure good control; c) Focus on maximum speed; d) Avoid collisions")</f>
        <v>a) Drive slowly; b) Ensure good control; c) Focus on maximum speed; d) Avoid collisions</v>
      </c>
      <c r="K31" s="20" t="str">
        <f>IFERROR(__xludf.DUMMYFUNCTION("GOOGLETRANSLATE(D31,""ar"",""en"")
"),"b) Ensuring good control")</f>
        <v>b) Ensuring good control</v>
      </c>
      <c r="L31" s="20" t="str">
        <f>IFERROR(__xludf.DUMMYFUNCTION("GOOGLETRANSLATE(E31,""ar"",""en"")
"),"Good control is essential on wet ground to ensure safe performance.")</f>
        <v>Good control is essential on wet ground to ensure safe performance.</v>
      </c>
      <c r="M31" s="9"/>
      <c r="N31" s="9"/>
      <c r="O31" s="9"/>
      <c r="P31" s="9"/>
      <c r="Q31" s="9"/>
      <c r="R31" s="9"/>
      <c r="S31" s="9"/>
      <c r="T31" s="9"/>
      <c r="U31" s="9"/>
      <c r="V31" s="9"/>
      <c r="W31" s="9"/>
      <c r="X31" s="9"/>
      <c r="Y31" s="9"/>
      <c r="Z31" s="9"/>
      <c r="AA31" s="9"/>
      <c r="AB31" s="9"/>
      <c r="AC31" s="9"/>
      <c r="AD31" s="9"/>
      <c r="AE31" s="9"/>
      <c r="AF31" s="9"/>
      <c r="AG31" s="9"/>
    </row>
    <row r="32">
      <c r="A32" s="20">
        <v>31.0</v>
      </c>
      <c r="B32" s="20" t="s">
        <v>1686</v>
      </c>
      <c r="C32" s="20" t="s">
        <v>1687</v>
      </c>
      <c r="D32" s="20" t="s">
        <v>1688</v>
      </c>
      <c r="E32" s="20" t="s">
        <v>1689</v>
      </c>
      <c r="F32" s="9"/>
      <c r="G32" s="9"/>
      <c r="H32" s="9"/>
      <c r="I32" s="20" t="str">
        <f>IFERROR(__xludf.DUMMYFUNCTION("GOOGLETRANSLATE(B32,""ar"",""en"")
"),"During training, your horse seems unable to follow instructions. What do you do?")</f>
        <v>During training, your horse seems unable to follow instructions. What do you do?</v>
      </c>
      <c r="J32" s="20" t="str">
        <f>IFERROR(__xludf.DUMMYFUNCTION("GOOGLETRANSLATE(C32,""ar"",""en"")
"),"a) Change the training method; b) Ignore the problem; c) Punish the horse; d) Seek expert help")</f>
        <v>a) Change the training method; b) Ignore the problem; c) Punish the horse; d) Seek expert help</v>
      </c>
      <c r="K32" s="20" t="str">
        <f>IFERROR(__xludf.DUMMYFUNCTION("GOOGLETRANSLATE(D32,""ar"",""en"")
"),"a) Changing the training method")</f>
        <v>a) Changing the training method</v>
      </c>
      <c r="L32" s="20" t="str">
        <f>IFERROR(__xludf.DUMMYFUNCTION("GOOGLETRANSLATE(E32,""ar"",""en"")
"),"Changing the approach may help the horse understand and respond better.")</f>
        <v>Changing the approach may help the horse understand and respond better.</v>
      </c>
      <c r="M32" s="9"/>
      <c r="N32" s="9"/>
      <c r="O32" s="9"/>
      <c r="P32" s="9"/>
      <c r="Q32" s="9"/>
      <c r="R32" s="9"/>
      <c r="S32" s="9"/>
      <c r="T32" s="9"/>
      <c r="U32" s="9"/>
      <c r="V32" s="9"/>
      <c r="W32" s="9"/>
      <c r="X32" s="9"/>
      <c r="Y32" s="9"/>
      <c r="Z32" s="9"/>
      <c r="AA32" s="9"/>
      <c r="AB32" s="9"/>
      <c r="AC32" s="9"/>
      <c r="AD32" s="9"/>
      <c r="AE32" s="9"/>
      <c r="AF32" s="9"/>
      <c r="AG32" s="9"/>
    </row>
    <row r="33">
      <c r="A33" s="20">
        <v>32.0</v>
      </c>
      <c r="B33" s="20" t="s">
        <v>1690</v>
      </c>
      <c r="C33" s="20" t="s">
        <v>1691</v>
      </c>
      <c r="D33" s="20" t="s">
        <v>1692</v>
      </c>
      <c r="E33" s="20" t="s">
        <v>1693</v>
      </c>
      <c r="F33" s="9"/>
      <c r="G33" s="9"/>
      <c r="H33" s="9"/>
      <c r="I33" s="20" t="str">
        <f>IFERROR(__xludf.DUMMYFUNCTION("GOOGLETRANSLATE(B33,""ar"",""en"")
"),"During the race, you are surprised by an obstacle that wasn't present in your training. How do you deal with it?")</f>
        <v>During the race, you are surprised by an obstacle that wasn't present in your training. How do you deal with it?</v>
      </c>
      <c r="J33" s="20" t="str">
        <f>IFERROR(__xludf.DUMMYFUNCTION("GOOGLETRANSLATE(C33,""ar"",""en"")
"),"a) Jump over it quickly; b) Remain calm and proceed carefully; c) Stop completely; d) Ask for help")</f>
        <v>a) Jump over it quickly; b) Remain calm and proceed carefully; c) Stop completely; d) Ask for help</v>
      </c>
      <c r="K33" s="20" t="str">
        <f>IFERROR(__xludf.DUMMYFUNCTION("GOOGLETRANSLATE(D33,""ar"",""en"")
"),"b) Remain calm and proceed cautiously")</f>
        <v>b) Remain calm and proceed cautiously</v>
      </c>
      <c r="L33" s="20" t="str">
        <f>IFERROR(__xludf.DUMMYFUNCTION("GOOGLETRANSLATE(E33,""ar"",""en"")
"),"Calmness helps you make the right decision to overcome the obstacle.")</f>
        <v>Calmness helps you make the right decision to overcome the obstacle.</v>
      </c>
      <c r="M33" s="9"/>
      <c r="N33" s="9"/>
      <c r="O33" s="9"/>
      <c r="P33" s="9"/>
      <c r="Q33" s="9"/>
      <c r="R33" s="9"/>
      <c r="S33" s="9"/>
      <c r="T33" s="9"/>
      <c r="U33" s="9"/>
      <c r="V33" s="9"/>
      <c r="W33" s="9"/>
      <c r="X33" s="9"/>
      <c r="Y33" s="9"/>
      <c r="Z33" s="9"/>
      <c r="AA33" s="9"/>
      <c r="AB33" s="9"/>
      <c r="AC33" s="9"/>
      <c r="AD33" s="9"/>
      <c r="AE33" s="9"/>
      <c r="AF33" s="9"/>
      <c r="AG33" s="9"/>
    </row>
    <row r="34">
      <c r="A34" s="20">
        <v>33.0</v>
      </c>
      <c r="B34" s="20" t="s">
        <v>1694</v>
      </c>
      <c r="C34" s="20" t="s">
        <v>1695</v>
      </c>
      <c r="D34" s="20" t="s">
        <v>1696</v>
      </c>
      <c r="E34" s="20" t="s">
        <v>1697</v>
      </c>
      <c r="F34" s="9"/>
      <c r="G34" s="9"/>
      <c r="H34" s="9"/>
      <c r="I34" s="20" t="str">
        <f>IFERROR(__xludf.DUMMYFUNCTION("GOOGLETRANSLATE(B34,""ar"",""en"")
"),"If the race is significantly delayed, how do you keep the horse ready?")</f>
        <v>If the race is significantly delayed, how do you keep the horse ready?</v>
      </c>
      <c r="J34" s="20" t="str">
        <f>IFERROR(__xludf.DUMMYFUNCTION("GOOGLETRANSLATE(C34,""ar"",""en"")
"),"a) Keep him relaxed; b) Continue his light jogging; c) Ignore the situation; d) Give him extra food")</f>
        <v>a) Keep him relaxed; b) Continue his light jogging; c) Ignore the situation; d) Give him extra food</v>
      </c>
      <c r="K34" s="20" t="str">
        <f>IFERROR(__xludf.DUMMYFUNCTION("GOOGLETRANSLATE(D34,""ar"",""en"")
"),"b) His continued light jogging")</f>
        <v>b) His continued light jogging</v>
      </c>
      <c r="L34" s="20" t="str">
        <f>IFERROR(__xludf.DUMMYFUNCTION("GOOGLETRANSLATE(E34,""ar"",""en"")
"),"Light jogging prevents the horse from losing its physical readiness.")</f>
        <v>Light jogging prevents the horse from losing its physical readiness.</v>
      </c>
      <c r="M34" s="9"/>
      <c r="N34" s="9"/>
      <c r="O34" s="9"/>
      <c r="P34" s="9"/>
      <c r="Q34" s="9"/>
      <c r="R34" s="9"/>
      <c r="S34" s="9"/>
      <c r="T34" s="9"/>
      <c r="U34" s="9"/>
      <c r="V34" s="9"/>
      <c r="W34" s="9"/>
      <c r="X34" s="9"/>
      <c r="Y34" s="9"/>
      <c r="Z34" s="9"/>
      <c r="AA34" s="9"/>
      <c r="AB34" s="9"/>
      <c r="AC34" s="9"/>
      <c r="AD34" s="9"/>
      <c r="AE34" s="9"/>
      <c r="AF34" s="9"/>
      <c r="AG34" s="9"/>
    </row>
    <row r="35">
      <c r="A35" s="20">
        <v>34.0</v>
      </c>
      <c r="B35" s="20" t="s">
        <v>1698</v>
      </c>
      <c r="C35" s="20" t="s">
        <v>1699</v>
      </c>
      <c r="D35" s="20" t="s">
        <v>1700</v>
      </c>
      <c r="E35" s="20" t="s">
        <v>1701</v>
      </c>
      <c r="F35" s="9"/>
      <c r="G35" s="9"/>
      <c r="H35" s="9"/>
      <c r="I35" s="20" t="str">
        <f>IFERROR(__xludf.DUMMYFUNCTION("GOOGLETRANSLATE(B35,""ar"",""en"")
"),"During the race, you find yourself surrounded by your rivals in the middle. What do you do?")</f>
        <v>During the race, you find yourself surrounded by your rivals in the middle. What do you do?</v>
      </c>
      <c r="J35" s="20" t="str">
        <f>IFERROR(__xludf.DUMMYFUNCTION("GOOGLETRANSLATE(C35,""ar"",""en"")
"),"a) Slow down to gain space; b) Attempt to break through the siege; c) Remain in your position; d) Stop completely")</f>
        <v>a) Slow down to gain space; b) Attempt to break through the siege; c) Remain in your position; d) Stop completely</v>
      </c>
      <c r="K35" s="20" t="str">
        <f>IFERROR(__xludf.DUMMYFUNCTION("GOOGLETRANSLATE(D35,""ar"",""en"")
"),"a) Slowing down to gain space")</f>
        <v>a) Slowing down to gain space</v>
      </c>
      <c r="L35" s="20" t="str">
        <f>IFERROR(__xludf.DUMMYFUNCTION("GOOGLETRANSLATE(E35,""ar"",""en"")
"),"Taking a step back a little can give you room to move forward later.")</f>
        <v>Taking a step back a little can give you room to move forward later.</v>
      </c>
      <c r="M35" s="9"/>
      <c r="N35" s="9"/>
      <c r="O35" s="9"/>
      <c r="P35" s="9"/>
      <c r="Q35" s="9"/>
      <c r="R35" s="9"/>
      <c r="S35" s="9"/>
      <c r="T35" s="9"/>
      <c r="U35" s="9"/>
      <c r="V35" s="9"/>
      <c r="W35" s="9"/>
      <c r="X35" s="9"/>
      <c r="Y35" s="9"/>
      <c r="Z35" s="9"/>
      <c r="AA35" s="9"/>
      <c r="AB35" s="9"/>
      <c r="AC35" s="9"/>
      <c r="AD35" s="9"/>
      <c r="AE35" s="9"/>
      <c r="AF35" s="9"/>
      <c r="AG35" s="9"/>
    </row>
    <row r="36">
      <c r="A36" s="20">
        <v>35.0</v>
      </c>
      <c r="B36" s="20" t="s">
        <v>1702</v>
      </c>
      <c r="C36" s="20" t="s">
        <v>1703</v>
      </c>
      <c r="D36" s="20" t="s">
        <v>1704</v>
      </c>
      <c r="E36" s="20" t="s">
        <v>1705</v>
      </c>
      <c r="F36" s="9"/>
      <c r="G36" s="9"/>
      <c r="H36" s="9"/>
      <c r="I36" s="20" t="str">
        <f>IFERROR(__xludf.DUMMYFUNCTION("GOOGLETRANSLATE(B36,""ar"",""en"")
"),"If a horse slips on wet ground during a race, what is your reaction?")</f>
        <v>If a horse slips on wet ground during a race, what is your reaction?</v>
      </c>
      <c r="J36" s="20" t="str">
        <f>IFERROR(__xludf.DUMMYFUNCTION("GOOGLETRANSLATE(C36,""ar"",""en"")
"),"a) Encourage him to stand up quickly; b) Stop completely; c) Continue as if nothing happened; d) Seek immediate help")</f>
        <v>a) Encourage him to stand up quickly; b) Stop completely; c) Continue as if nothing happened; d) Seek immediate help</v>
      </c>
      <c r="K36" s="20" t="str">
        <f>IFERROR(__xludf.DUMMYFUNCTION("GOOGLETRANSLATE(D36,""ar"",""en"")
"),"a) Motivating him to stand up quickly")</f>
        <v>a) Motivating him to stand up quickly</v>
      </c>
      <c r="L36" s="20" t="str">
        <f>IFERROR(__xludf.DUMMYFUNCTION("GOOGLETRANSLATE(E36,""ar"",""en"")
"),"Encouraging the horse to stop quickly contributes to completing the race.")</f>
        <v>Encouraging the horse to stop quickly contributes to completing the race.</v>
      </c>
      <c r="M36" s="9"/>
      <c r="N36" s="9"/>
      <c r="O36" s="9"/>
      <c r="P36" s="9"/>
      <c r="Q36" s="9"/>
      <c r="R36" s="9"/>
      <c r="S36" s="9"/>
      <c r="T36" s="9"/>
      <c r="U36" s="9"/>
      <c r="V36" s="9"/>
      <c r="W36" s="9"/>
      <c r="X36" s="9"/>
      <c r="Y36" s="9"/>
      <c r="Z36" s="9"/>
      <c r="AA36" s="9"/>
      <c r="AB36" s="9"/>
      <c r="AC36" s="9"/>
      <c r="AD36" s="9"/>
      <c r="AE36" s="9"/>
      <c r="AF36" s="9"/>
      <c r="AG36" s="9"/>
    </row>
    <row r="37">
      <c r="A37" s="20">
        <v>36.0</v>
      </c>
      <c r="B37" s="20" t="s">
        <v>1706</v>
      </c>
      <c r="C37" s="20" t="s">
        <v>1707</v>
      </c>
      <c r="D37" s="20" t="s">
        <v>1708</v>
      </c>
      <c r="E37" s="20" t="s">
        <v>1709</v>
      </c>
      <c r="F37" s="9"/>
      <c r="G37" s="9"/>
      <c r="H37" s="9"/>
      <c r="I37" s="20" t="str">
        <f>IFERROR(__xludf.DUMMYFUNCTION("GOOGLETRANSLATE(B37,""ar"",""en"")
"),"During the race, you lose control of the horse. What do you do?")</f>
        <v>During the race, you lose control of the horse. What do you do?</v>
      </c>
      <c r="J37" s="20" t="str">
        <f>IFERROR(__xludf.DUMMYFUNCTION("GOOGLETRANSLATE(C37,""ar"",""en"")
"),"a) Trying to calm him down; b) Jumping off his back; c) Pressuring him to continue; d) Stopping the race")</f>
        <v>a) Trying to calm him down; b) Jumping off his back; c) Pressuring him to continue; d) Stopping the race</v>
      </c>
      <c r="K37" s="20" t="str">
        <f>IFERROR(__xludf.DUMMYFUNCTION("GOOGLETRANSLATE(D37,""ar"",""en"")
"),"a) Trying to calm him down")</f>
        <v>a) Trying to calm him down</v>
      </c>
      <c r="L37" s="20" t="str">
        <f>IFERROR(__xludf.DUMMYFUNCTION("GOOGLETRANSLATE(E37,""ar"",""en"")
"),"Calming the horse restores control and reduces risks.")</f>
        <v>Calming the horse restores control and reduces risks.</v>
      </c>
      <c r="M37" s="9"/>
      <c r="N37" s="9"/>
      <c r="O37" s="9"/>
      <c r="P37" s="9"/>
      <c r="Q37" s="9"/>
      <c r="R37" s="9"/>
      <c r="S37" s="9"/>
      <c r="T37" s="9"/>
      <c r="U37" s="9"/>
      <c r="V37" s="9"/>
      <c r="W37" s="9"/>
      <c r="X37" s="9"/>
      <c r="Y37" s="9"/>
      <c r="Z37" s="9"/>
      <c r="AA37" s="9"/>
      <c r="AB37" s="9"/>
      <c r="AC37" s="9"/>
      <c r="AD37" s="9"/>
      <c r="AE37" s="9"/>
      <c r="AF37" s="9"/>
      <c r="AG37" s="9"/>
    </row>
    <row r="38">
      <c r="A38" s="20">
        <v>37.0</v>
      </c>
      <c r="B38" s="20" t="s">
        <v>1710</v>
      </c>
      <c r="C38" s="20" t="s">
        <v>1711</v>
      </c>
      <c r="D38" s="20" t="s">
        <v>1712</v>
      </c>
      <c r="E38" s="20" t="s">
        <v>1713</v>
      </c>
      <c r="F38" s="9"/>
      <c r="G38" s="9"/>
      <c r="H38" s="9"/>
      <c r="I38" s="20" t="str">
        <f>IFERROR(__xludf.DUMMYFUNCTION("GOOGLETRANSLATE(B38,""ar"",""en"")
"),"If your horse refuses to jump during training, how should you react?")</f>
        <v>If your horse refuses to jump during training, how should you react?</v>
      </c>
      <c r="J38" s="20" t="str">
        <f>IFERROR(__xludf.DUMMYFUNCTION("GOOGLETRANSLATE(C38,""ar"",""en"")
"),"a) Forcing it to jump; b) Returning to basic jumping drills; c) Ignoring the problem; d) Replacing the horse")</f>
        <v>a) Forcing it to jump; b) Returning to basic jumping drills; c) Ignoring the problem; d) Replacing the horse</v>
      </c>
      <c r="K38" s="20" t="str">
        <f>IFERROR(__xludf.DUMMYFUNCTION("GOOGLETRANSLATE(D38,""ar"",""en"")
"),"b) Return to basic jumping exercises")</f>
        <v>b) Return to basic jumping exercises</v>
      </c>
      <c r="L38" s="20" t="str">
        <f>IFERROR(__xludf.DUMMYFUNCTION("GOOGLETRANSLATE(E38,""ar"",""en"")
"),"Working on the basics helps improve the horse's performance.")</f>
        <v>Working on the basics helps improve the horse's performance.</v>
      </c>
      <c r="M38" s="9"/>
      <c r="N38" s="9"/>
      <c r="O38" s="9"/>
      <c r="P38" s="9"/>
      <c r="Q38" s="9"/>
      <c r="R38" s="9"/>
      <c r="S38" s="9"/>
      <c r="T38" s="9"/>
      <c r="U38" s="9"/>
      <c r="V38" s="9"/>
      <c r="W38" s="9"/>
      <c r="X38" s="9"/>
      <c r="Y38" s="9"/>
      <c r="Z38" s="9"/>
      <c r="AA38" s="9"/>
      <c r="AB38" s="9"/>
      <c r="AC38" s="9"/>
      <c r="AD38" s="9"/>
      <c r="AE38" s="9"/>
      <c r="AF38" s="9"/>
      <c r="AG38" s="9"/>
    </row>
    <row r="39">
      <c r="A39" s="20">
        <v>38.0</v>
      </c>
      <c r="B39" s="20" t="s">
        <v>1714</v>
      </c>
      <c r="C39" s="20" t="s">
        <v>1715</v>
      </c>
      <c r="D39" s="20" t="s">
        <v>1716</v>
      </c>
      <c r="E39" s="20" t="s">
        <v>1717</v>
      </c>
      <c r="F39" s="9"/>
      <c r="G39" s="9"/>
      <c r="H39" s="9"/>
      <c r="I39" s="20" t="str">
        <f>IFERROR(__xludf.DUMMYFUNCTION("GOOGLETRANSLATE(B39,""ar"",""en"")
"),"During the race, you receive a warning about your riding style. How do you respond?")</f>
        <v>During the race, you receive a warning about your riding style. How do you respond?</v>
      </c>
      <c r="J39" s="20" t="str">
        <f>IFERROR(__xludf.DUMMYFUNCTION("GOOGLETRANSLATE(C39,""ar"",""en"")
"),"a) Ignore the warning; b) Adjust your technique immediately; c) Argue with the judges during the race; d) Withdraw")</f>
        <v>a) Ignore the warning; b) Adjust your technique immediately; c) Argue with the judges during the race; d) Withdraw</v>
      </c>
      <c r="K39" s="20" t="str">
        <f>IFERROR(__xludf.DUMMYFUNCTION("GOOGLETRANSLATE(D39,""ar"",""en"")
"),"b) Adjust your style immediately")</f>
        <v>b) Adjust your style immediately</v>
      </c>
      <c r="L39" s="20" t="str">
        <f>IFERROR(__xludf.DUMMYFUNCTION("GOOGLETRANSLATE(E39,""ar"",""en"")
"),"Adapting to feedback increases your chances of success.")</f>
        <v>Adapting to feedback increases your chances of success.</v>
      </c>
      <c r="M39" s="9"/>
      <c r="N39" s="9"/>
      <c r="O39" s="9"/>
      <c r="P39" s="9"/>
      <c r="Q39" s="9"/>
      <c r="R39" s="9"/>
      <c r="S39" s="9"/>
      <c r="T39" s="9"/>
      <c r="U39" s="9"/>
      <c r="V39" s="9"/>
      <c r="W39" s="9"/>
      <c r="X39" s="9"/>
      <c r="Y39" s="9"/>
      <c r="Z39" s="9"/>
      <c r="AA39" s="9"/>
      <c r="AB39" s="9"/>
      <c r="AC39" s="9"/>
      <c r="AD39" s="9"/>
      <c r="AE39" s="9"/>
      <c r="AF39" s="9"/>
      <c r="AG39" s="9"/>
    </row>
    <row r="40">
      <c r="A40" s="20">
        <v>39.0</v>
      </c>
      <c r="B40" s="20" t="s">
        <v>1718</v>
      </c>
      <c r="C40" s="20" t="s">
        <v>1719</v>
      </c>
      <c r="D40" s="20" t="s">
        <v>1720</v>
      </c>
      <c r="E40" s="20" t="s">
        <v>1721</v>
      </c>
      <c r="F40" s="9"/>
      <c r="G40" s="9"/>
      <c r="H40" s="9"/>
      <c r="I40" s="20" t="str">
        <f>IFERROR(__xludf.DUMMYFUNCTION("GOOGLETRANSLATE(B40,""ar"",""en"")
"),"If a horse experiences heat stress during a race, what should you do?")</f>
        <v>If a horse experiences heat stress during a race, what should you do?</v>
      </c>
      <c r="J40" s="20" t="str">
        <f>IFERROR(__xludf.DUMMYFUNCTION("GOOGLETRANSLATE(C40,""ar"",""en"")
"),"a) Stop and provide first aid; b) Force him to continue; c) Gradually reduce his speed; d) Ignore the stress")</f>
        <v>a) Stop and provide first aid; b) Force him to continue; c) Gradually reduce his speed; d) Ignore the stress</v>
      </c>
      <c r="K40" s="20" t="str">
        <f>IFERROR(__xludf.DUMMYFUNCTION("GOOGLETRANSLATE(D40,""ar"",""en"")
"),"a) Stopping and providing first aid")</f>
        <v>a) Stopping and providing first aid</v>
      </c>
      <c r="L40" s="20" t="str">
        <f>IFERROR(__xludf.DUMMYFUNCTION("GOOGLETRANSLATE(E40,""ar"",""en"")
"),"The horse's safety must be the priority.")</f>
        <v>The horse's safety must be the priority.</v>
      </c>
      <c r="M40" s="9"/>
      <c r="N40" s="9"/>
      <c r="O40" s="9"/>
      <c r="P40" s="9"/>
      <c r="Q40" s="9"/>
      <c r="R40" s="9"/>
      <c r="S40" s="9"/>
      <c r="T40" s="9"/>
      <c r="U40" s="9"/>
      <c r="V40" s="9"/>
      <c r="W40" s="9"/>
      <c r="X40" s="9"/>
      <c r="Y40" s="9"/>
      <c r="Z40" s="9"/>
      <c r="AA40" s="9"/>
      <c r="AB40" s="9"/>
      <c r="AC40" s="9"/>
      <c r="AD40" s="9"/>
      <c r="AE40" s="9"/>
      <c r="AF40" s="9"/>
      <c r="AG40" s="9"/>
    </row>
    <row r="41">
      <c r="A41" s="20">
        <v>40.0</v>
      </c>
      <c r="B41" s="20" t="s">
        <v>1722</v>
      </c>
      <c r="C41" s="20" t="s">
        <v>1723</v>
      </c>
      <c r="D41" s="20" t="s">
        <v>1724</v>
      </c>
      <c r="E41" s="20" t="s">
        <v>1725</v>
      </c>
      <c r="F41" s="9"/>
      <c r="G41" s="9"/>
      <c r="H41" s="9"/>
      <c r="I41" s="20" t="str">
        <f>IFERROR(__xludf.DUMMYFUNCTION("GOOGLETRANSLATE(B41,""ar"",""en"")
"),"In a sprint race, you find that your horse is lagging behind. What do you do?")</f>
        <v>In a sprint race, you find that your horse is lagging behind. What do you do?</v>
      </c>
      <c r="J41" s="20" t="str">
        <f>IFERROR(__xludf.DUMMYFUNCTION("GOOGLETRANSLATE(C41,""ar"",""en"")
"),"a) Stimulate it to increase speed; b) Reduce speed further; c) Replace it with another horse; d) Stop")</f>
        <v>a) Stimulate it to increase speed; b) Reduce speed further; c) Replace it with another horse; d) Stop</v>
      </c>
      <c r="K41" s="20" t="str">
        <f>IFERROR(__xludf.DUMMYFUNCTION("GOOGLETRANSLATE(D41,""ar"",""en"")
"),"a) Stimulating it to increase speed")</f>
        <v>a) Stimulating it to increase speed</v>
      </c>
      <c r="L41" s="20" t="str">
        <f>IFERROR(__xludf.DUMMYFUNCTION("GOOGLETRANSLATE(E41,""ar"",""en"")
"),"Encouraging the horse can motivate it to improve performance.")</f>
        <v>Encouraging the horse can motivate it to improve performance.</v>
      </c>
      <c r="M41" s="9"/>
      <c r="N41" s="9"/>
      <c r="O41" s="9"/>
      <c r="P41" s="9"/>
      <c r="Q41" s="9"/>
      <c r="R41" s="9"/>
      <c r="S41" s="9"/>
      <c r="T41" s="9"/>
      <c r="U41" s="9"/>
      <c r="V41" s="9"/>
      <c r="W41" s="9"/>
      <c r="X41" s="9"/>
      <c r="Y41" s="9"/>
      <c r="Z41" s="9"/>
      <c r="AA41" s="9"/>
      <c r="AB41" s="9"/>
      <c r="AC41" s="9"/>
      <c r="AD41" s="9"/>
      <c r="AE41" s="9"/>
      <c r="AF41" s="9"/>
      <c r="AG41" s="9"/>
    </row>
    <row r="42">
      <c r="A42" s="20">
        <v>41.0</v>
      </c>
      <c r="B42" s="20" t="s">
        <v>1726</v>
      </c>
      <c r="C42" s="20" t="s">
        <v>1727</v>
      </c>
      <c r="D42" s="20" t="s">
        <v>1728</v>
      </c>
      <c r="E42" s="20" t="s">
        <v>1729</v>
      </c>
      <c r="F42" s="9"/>
      <c r="G42" s="9"/>
      <c r="H42" s="9"/>
      <c r="I42" s="20" t="str">
        <f>IFERROR(__xludf.DUMMYFUNCTION("GOOGLETRANSLATE(B42,""ar"",""en"")
"),"Before the race begins, you discover that the horse's equipment is unsuitable. What do you do?")</f>
        <v>Before the race begins, you discover that the horse's equipment is unsuitable. What do you do?</v>
      </c>
      <c r="J42" s="20" t="str">
        <f>IFERROR(__xludf.DUMMYFUNCTION("GOOGLETRANSLATE(C42,""ar"",""en"")
"),"a) Adjust the equipment immediately; b) Ignore the problem; c) Report the matter to the organizers; d) Withdraw from the race")</f>
        <v>a) Adjust the equipment immediately; b) Ignore the problem; c) Report the matter to the organizers; d) Withdraw from the race</v>
      </c>
      <c r="K42" s="20" t="str">
        <f>IFERROR(__xludf.DUMMYFUNCTION("GOOGLETRANSLATE(D42,""ar"",""en"")
"),"a) Adjust the equipment immediately")</f>
        <v>a) Adjust the equipment immediately</v>
      </c>
      <c r="L42" s="20" t="str">
        <f>IFERROR(__xludf.DUMMYFUNCTION("GOOGLETRANSLATE(E42,""ar"",""en"")
"),"Proper equipment is essential to ensure good horse performance.")</f>
        <v>Proper equipment is essential to ensure good horse performance.</v>
      </c>
      <c r="M42" s="9"/>
      <c r="N42" s="9"/>
      <c r="O42" s="9"/>
      <c r="P42" s="9"/>
      <c r="Q42" s="9"/>
      <c r="R42" s="9"/>
      <c r="S42" s="9"/>
      <c r="T42" s="9"/>
      <c r="U42" s="9"/>
      <c r="V42" s="9"/>
      <c r="W42" s="9"/>
      <c r="X42" s="9"/>
      <c r="Y42" s="9"/>
      <c r="Z42" s="9"/>
      <c r="AA42" s="9"/>
      <c r="AB42" s="9"/>
      <c r="AC42" s="9"/>
      <c r="AD42" s="9"/>
      <c r="AE42" s="9"/>
      <c r="AF42" s="9"/>
      <c r="AG42" s="9"/>
    </row>
    <row r="43">
      <c r="A43" s="20">
        <v>42.0</v>
      </c>
      <c r="B43" s="20" t="s">
        <v>1730</v>
      </c>
      <c r="C43" s="20" t="s">
        <v>1731</v>
      </c>
      <c r="D43" s="20" t="s">
        <v>1732</v>
      </c>
      <c r="E43" s="20" t="s">
        <v>1733</v>
      </c>
      <c r="F43" s="9"/>
      <c r="G43" s="9"/>
      <c r="H43" s="9"/>
      <c r="I43" s="20" t="str">
        <f>IFERROR(__xludf.DUMMYFUNCTION("GOOGLETRANSLATE(B43,""ar"",""en"")
"),"During training, the horse shows signs of fear of water. What should you do?")</f>
        <v>During training, the horse shows signs of fear of water. What should you do?</v>
      </c>
      <c r="J43" s="20" t="str">
        <f>IFERROR(__xludf.DUMMYFUNCTION("GOOGLETRANSLATE(C43,""ar"",""en"")
"),"a) Gradually exposing him to water; b) Forcing him to confront the problem immediately; c) Changing the arena; d) Ignoring the problem")</f>
        <v>a) Gradually exposing him to water; b) Forcing him to confront the problem immediately; c) Changing the arena; d) Ignoring the problem</v>
      </c>
      <c r="K43" s="20" t="str">
        <f>IFERROR(__xludf.DUMMYFUNCTION("GOOGLETRANSLATE(D43,""ar"",""en"")
"),"a) Gradually exposing it to water")</f>
        <v>a) Gradually exposing it to water</v>
      </c>
      <c r="L43" s="20" t="str">
        <f>IFERROR(__xludf.DUMMYFUNCTION("GOOGLETRANSLATE(E43,""ar"",""en"")
"),"Gradual training helps the horse overcome its fear.")</f>
        <v>Gradual training helps the horse overcome its fear.</v>
      </c>
      <c r="M43" s="9"/>
      <c r="N43" s="9"/>
      <c r="O43" s="9"/>
      <c r="P43" s="9"/>
      <c r="Q43" s="9"/>
      <c r="R43" s="9"/>
      <c r="S43" s="9"/>
      <c r="T43" s="9"/>
      <c r="U43" s="9"/>
      <c r="V43" s="9"/>
      <c r="W43" s="9"/>
      <c r="X43" s="9"/>
      <c r="Y43" s="9"/>
      <c r="Z43" s="9"/>
      <c r="AA43" s="9"/>
      <c r="AB43" s="9"/>
      <c r="AC43" s="9"/>
      <c r="AD43" s="9"/>
      <c r="AE43" s="9"/>
      <c r="AF43" s="9"/>
      <c r="AG43" s="9"/>
    </row>
    <row r="44">
      <c r="A44" s="20">
        <v>43.0</v>
      </c>
      <c r="B44" s="20" t="s">
        <v>1734</v>
      </c>
      <c r="C44" s="20" t="s">
        <v>1735</v>
      </c>
      <c r="D44" s="20" t="s">
        <v>1736</v>
      </c>
      <c r="E44" s="20" t="s">
        <v>1737</v>
      </c>
      <c r="F44" s="9"/>
      <c r="G44" s="9"/>
      <c r="H44" s="9"/>
      <c r="I44" s="20" t="str">
        <f>IFERROR(__xludf.DUMMYFUNCTION("GOOGLETRANSLATE(B44,""ar"",""en"")
"),"If you feel that the coach is not providing enough support, what do you do?")</f>
        <v>If you feel that the coach is not providing enough support, what do you do?</v>
      </c>
      <c r="J44" s="20" t="str">
        <f>IFERROR(__xludf.DUMMYFUNCTION("GOOGLETRANSLATE(C44,""ar"",""en"")
"),"a) Request another coach; b) Work alone; c) Discuss the matter with him; d) Ignore the problem")</f>
        <v>a) Request another coach; b) Work alone; c) Discuss the matter with him; d) Ignore the problem</v>
      </c>
      <c r="K44" s="20" t="str">
        <f>IFERROR(__xludf.DUMMYFUNCTION("GOOGLETRANSLATE(D44,""ar"",""en"")
"),"c) Discuss the matter with him")</f>
        <v>c) Discuss the matter with him</v>
      </c>
      <c r="L44" s="20" t="str">
        <f>IFERROR(__xludf.DUMMYFUNCTION("GOOGLETRANSLATE(E44,""ar"",""en"")
"),"Communicating with the coach can lead to improved training.")</f>
        <v>Communicating with the coach can lead to improved training.</v>
      </c>
      <c r="M44" s="9"/>
      <c r="N44" s="9"/>
      <c r="O44" s="9"/>
      <c r="P44" s="9"/>
      <c r="Q44" s="9"/>
      <c r="R44" s="9"/>
      <c r="S44" s="9"/>
      <c r="T44" s="9"/>
      <c r="U44" s="9"/>
      <c r="V44" s="9"/>
      <c r="W44" s="9"/>
      <c r="X44" s="9"/>
      <c r="Y44" s="9"/>
      <c r="Z44" s="9"/>
      <c r="AA44" s="9"/>
      <c r="AB44" s="9"/>
      <c r="AC44" s="9"/>
      <c r="AD44" s="9"/>
      <c r="AE44" s="9"/>
      <c r="AF44" s="9"/>
      <c r="AG44" s="9"/>
    </row>
    <row r="45">
      <c r="A45" s="20">
        <v>44.0</v>
      </c>
      <c r="B45" s="20" t="s">
        <v>1738</v>
      </c>
      <c r="C45" s="20" t="s">
        <v>1739</v>
      </c>
      <c r="D45" s="20" t="s">
        <v>1740</v>
      </c>
      <c r="E45" s="20" t="s">
        <v>1741</v>
      </c>
      <c r="F45" s="9"/>
      <c r="G45" s="9"/>
      <c r="H45" s="9"/>
      <c r="I45" s="20" t="str">
        <f>IFERROR(__xludf.DUMMYFUNCTION("GOOGLETRANSLATE(B45,""ar"",""en"")
"),"If the horse appears injured before the race, what is your decision?")</f>
        <v>If the horse appears injured before the race, what is your decision?</v>
      </c>
      <c r="J45" s="20" t="str">
        <f>IFERROR(__xludf.DUMMYFUNCTION("GOOGLETRANSLATE(C45,""ar"",""en"")
"),"a) Consult a veterinarian; b) Participate in the race anyway; c) Replace him with another horse; d) Ignore the matter")</f>
        <v>a) Consult a veterinarian; b) Participate in the race anyway; c) Replace him with another horse; d) Ignore the matter</v>
      </c>
      <c r="K45" s="20" t="str">
        <f>IFERROR(__xludf.DUMMYFUNCTION("GOOGLETRANSLATE(D45,""ar"",""en"")
"),"a) Consult a veterinarian")</f>
        <v>a) Consult a veterinarian</v>
      </c>
      <c r="L45" s="20" t="str">
        <f>IFERROR(__xludf.DUMMYFUNCTION("GOOGLETRANSLATE(E45,""ar"",""en"")
"),"The safety of the horse is the priority in any race.")</f>
        <v>The safety of the horse is the priority in any race.</v>
      </c>
      <c r="M45" s="9"/>
      <c r="N45" s="9"/>
      <c r="O45" s="9"/>
      <c r="P45" s="9"/>
      <c r="Q45" s="9"/>
      <c r="R45" s="9"/>
      <c r="S45" s="9"/>
      <c r="T45" s="9"/>
      <c r="U45" s="9"/>
      <c r="V45" s="9"/>
      <c r="W45" s="9"/>
      <c r="X45" s="9"/>
      <c r="Y45" s="9"/>
      <c r="Z45" s="9"/>
      <c r="AA45" s="9"/>
      <c r="AB45" s="9"/>
      <c r="AC45" s="9"/>
      <c r="AD45" s="9"/>
      <c r="AE45" s="9"/>
      <c r="AF45" s="9"/>
      <c r="AG45" s="9"/>
    </row>
    <row r="46">
      <c r="A46" s="20">
        <v>45.0</v>
      </c>
      <c r="B46" s="20" t="s">
        <v>1742</v>
      </c>
      <c r="C46" s="20" t="s">
        <v>1743</v>
      </c>
      <c r="D46" s="20" t="s">
        <v>1744</v>
      </c>
      <c r="E46" s="20" t="s">
        <v>1745</v>
      </c>
      <c r="F46" s="9"/>
      <c r="G46" s="9"/>
      <c r="H46" s="9"/>
      <c r="I46" s="20" t="str">
        <f>IFERROR(__xludf.DUMMYFUNCTION("GOOGLETRANSLATE(B46,""ar"",""en"")
"),"If the horse is slow at the start of the race, what do you do?")</f>
        <v>If the horse is slow at the start of the race, what do you do?</v>
      </c>
      <c r="J46" s="20" t="str">
        <f>IFERROR(__xludf.DUMMYFUNCTION("GOOGLETRANSLATE(C46,""ar"",""en"")
"),"a) Gradually increase the motivation; b) Push him to run faster; c) Maintain the same speed; d) Change tactics")</f>
        <v>a) Gradually increase the motivation; b) Push him to run faster; c) Maintain the same speed; d) Change tactics</v>
      </c>
      <c r="K46" s="20" t="str">
        <f>IFERROR(__xludf.DUMMYFUNCTION("GOOGLETRANSLATE(D46,""ar"",""en"")
"),"a) Gradual increase in stimulation")</f>
        <v>a) Gradual increase in stimulation</v>
      </c>
      <c r="L46" s="20" t="str">
        <f>IFERROR(__xludf.DUMMYFUNCTION("GOOGLETRANSLATE(E46,""ar"",""en"")
"),"Gradual stimulation prevents horse fatigue and improves performance.")</f>
        <v>Gradual stimulation prevents horse fatigue and improves performance.</v>
      </c>
      <c r="M46" s="9"/>
      <c r="N46" s="9"/>
      <c r="O46" s="9"/>
      <c r="P46" s="9"/>
      <c r="Q46" s="9"/>
      <c r="R46" s="9"/>
      <c r="S46" s="9"/>
      <c r="T46" s="9"/>
      <c r="U46" s="9"/>
      <c r="V46" s="9"/>
      <c r="W46" s="9"/>
      <c r="X46" s="9"/>
      <c r="Y46" s="9"/>
      <c r="Z46" s="9"/>
      <c r="AA46" s="9"/>
      <c r="AB46" s="9"/>
      <c r="AC46" s="9"/>
      <c r="AD46" s="9"/>
      <c r="AE46" s="9"/>
      <c r="AF46" s="9"/>
      <c r="AG46" s="9"/>
    </row>
    <row r="47">
      <c r="A47" s="20">
        <v>46.0</v>
      </c>
      <c r="B47" s="20" t="s">
        <v>1746</v>
      </c>
      <c r="C47" s="20" t="s">
        <v>1747</v>
      </c>
      <c r="D47" s="20" t="s">
        <v>1748</v>
      </c>
      <c r="E47" s="20" t="s">
        <v>1749</v>
      </c>
      <c r="F47" s="9"/>
      <c r="G47" s="9"/>
      <c r="H47" s="9"/>
      <c r="I47" s="20" t="str">
        <f>IFERROR(__xludf.DUMMYFUNCTION("GOOGLETRANSLATE(B47,""ar"",""en"")
"),"In a multi-hurdles race, the horse hesitates at each hurdle. What do you do?")</f>
        <v>In a multi-hurdles race, the horse hesitates at each hurdle. What do you do?</v>
      </c>
      <c r="J47" s="20" t="str">
        <f>IFERROR(__xludf.DUMMYFUNCTION("GOOGLETRANSLATE(C47,""ar"",""en"")
"),"a) Calm him down before the obstacle; b) Squeeze him to jump immediately; c) Change horse; d) Withdraw")</f>
        <v>a) Calm him down before the obstacle; b) Squeeze him to jump immediately; c) Change horse; d) Withdraw</v>
      </c>
      <c r="K47" s="20" t="str">
        <f>IFERROR(__xludf.DUMMYFUNCTION("GOOGLETRANSLATE(D47,""ar"",""en"")
"),"a) Calming him down before the barrier")</f>
        <v>a) Calming him down before the barrier</v>
      </c>
      <c r="L47" s="20" t="str">
        <f>IFERROR(__xludf.DUMMYFUNCTION("GOOGLETRANSLATE(E47,""ar"",""en"")
"),"Calming the horse enhances its confidence in jumping.")</f>
        <v>Calming the horse enhances its confidence in jumping.</v>
      </c>
      <c r="M47" s="9"/>
      <c r="N47" s="9"/>
      <c r="O47" s="9"/>
      <c r="P47" s="9"/>
      <c r="Q47" s="9"/>
      <c r="R47" s="9"/>
      <c r="S47" s="9"/>
      <c r="T47" s="9"/>
      <c r="U47" s="9"/>
      <c r="V47" s="9"/>
      <c r="W47" s="9"/>
      <c r="X47" s="9"/>
      <c r="Y47" s="9"/>
      <c r="Z47" s="9"/>
      <c r="AA47" s="9"/>
      <c r="AB47" s="9"/>
      <c r="AC47" s="9"/>
      <c r="AD47" s="9"/>
      <c r="AE47" s="9"/>
      <c r="AF47" s="9"/>
      <c r="AG47" s="9"/>
    </row>
    <row r="48">
      <c r="A48" s="20">
        <v>47.0</v>
      </c>
      <c r="B48" s="20" t="s">
        <v>1750</v>
      </c>
      <c r="C48" s="20" t="s">
        <v>1751</v>
      </c>
      <c r="D48" s="20" t="s">
        <v>1740</v>
      </c>
      <c r="E48" s="20" t="s">
        <v>1752</v>
      </c>
      <c r="F48" s="9"/>
      <c r="G48" s="9"/>
      <c r="H48" s="9"/>
      <c r="I48" s="20" t="str">
        <f>IFERROR(__xludf.DUMMYFUNCTION("GOOGLETRANSLATE(B48,""ar"",""en"")
"),"If you notice that the horse's hooves are not in good condition, what do you do?")</f>
        <v>If you notice that the horse's hooves are not in good condition, what do you do?</v>
      </c>
      <c r="J48" s="20" t="str">
        <f>IFERROR(__xludf.DUMMYFUNCTION("GOOGLETRANSLATE(C48,""ar"",""en"")
"),"a) Consult a veterinarian; b) Ignore the matter; c) Postpone the race; d) Replace the horse")</f>
        <v>a) Consult a veterinarian; b) Ignore the matter; c) Postpone the race; d) Replace the horse</v>
      </c>
      <c r="K48" s="20" t="str">
        <f>IFERROR(__xludf.DUMMYFUNCTION("GOOGLETRANSLATE(D48,""ar"",""en"")
"),"a) Consult a veterinarian")</f>
        <v>a) Consult a veterinarian</v>
      </c>
      <c r="L48" s="20" t="str">
        <f>IFERROR(__xludf.DUMMYFUNCTION("GOOGLETRANSLATE(E48,""ar"",""en"")
"),"Maintaining healthy hooves is essential for a horse's performance.")</f>
        <v>Maintaining healthy hooves is essential for a horse's performance.</v>
      </c>
      <c r="M48" s="9"/>
      <c r="N48" s="9"/>
      <c r="O48" s="9"/>
      <c r="P48" s="9"/>
      <c r="Q48" s="9"/>
      <c r="R48" s="9"/>
      <c r="S48" s="9"/>
      <c r="T48" s="9"/>
      <c r="U48" s="9"/>
      <c r="V48" s="9"/>
      <c r="W48" s="9"/>
      <c r="X48" s="9"/>
      <c r="Y48" s="9"/>
      <c r="Z48" s="9"/>
      <c r="AA48" s="9"/>
      <c r="AB48" s="9"/>
      <c r="AC48" s="9"/>
      <c r="AD48" s="9"/>
      <c r="AE48" s="9"/>
      <c r="AF48" s="9"/>
      <c r="AG48" s="9"/>
    </row>
    <row r="49">
      <c r="A49" s="20">
        <v>48.0</v>
      </c>
      <c r="B49" s="20" t="s">
        <v>1753</v>
      </c>
      <c r="C49" s="20" t="s">
        <v>1754</v>
      </c>
      <c r="D49" s="20" t="s">
        <v>1755</v>
      </c>
      <c r="E49" s="20" t="s">
        <v>1756</v>
      </c>
      <c r="F49" s="9"/>
      <c r="G49" s="9"/>
      <c r="H49" s="9"/>
      <c r="I49" s="20" t="str">
        <f>IFERROR(__xludf.DUMMYFUNCTION("GOOGLETRANSLATE(B49,""ar"",""en"")
"),"During the race, it starts to rain heavily. How should you react?")</f>
        <v>During the race, it starts to rain heavily. How should you react?</v>
      </c>
      <c r="J49" s="20" t="str">
        <f>IFERROR(__xludf.DUMMYFUNCTION("GOOGLETRANSLATE(C49,""ar"",""en"")
"),"a) Slow down; b) Try to speed up to get out quickly; c) Ignore the weather; d) Request that the race be stopped")</f>
        <v>a) Slow down; b) Try to speed up to get out quickly; c) Ignore the weather; d) Request that the race be stopped</v>
      </c>
      <c r="K49" s="20" t="str">
        <f>IFERROR(__xludf.DUMMYFUNCTION("GOOGLETRANSLATE(D49,""ar"",""en"")
"),"a) Reducing speed")</f>
        <v>a) Reducing speed</v>
      </c>
      <c r="L49" s="20" t="str">
        <f>IFERROR(__xludf.DUMMYFUNCTION("GOOGLETRANSLATE(E49,""ar"",""en"")
"),"Reducing speed helps control the horse in difficult conditions.")</f>
        <v>Reducing speed helps control the horse in difficult conditions.</v>
      </c>
      <c r="M49" s="9"/>
      <c r="N49" s="9"/>
      <c r="O49" s="9"/>
      <c r="P49" s="9"/>
      <c r="Q49" s="9"/>
      <c r="R49" s="9"/>
      <c r="S49" s="9"/>
      <c r="T49" s="9"/>
      <c r="U49" s="9"/>
      <c r="V49" s="9"/>
      <c r="W49" s="9"/>
      <c r="X49" s="9"/>
      <c r="Y49" s="9"/>
      <c r="Z49" s="9"/>
      <c r="AA49" s="9"/>
      <c r="AB49" s="9"/>
      <c r="AC49" s="9"/>
      <c r="AD49" s="9"/>
      <c r="AE49" s="9"/>
      <c r="AF49" s="9"/>
      <c r="AG49" s="9"/>
    </row>
    <row r="50">
      <c r="A50" s="20">
        <v>49.0</v>
      </c>
      <c r="B50" s="20" t="s">
        <v>1757</v>
      </c>
      <c r="C50" s="20" t="s">
        <v>1758</v>
      </c>
      <c r="D50" s="20" t="s">
        <v>1759</v>
      </c>
      <c r="E50" s="20" t="s">
        <v>1760</v>
      </c>
      <c r="F50" s="9"/>
      <c r="G50" s="9"/>
      <c r="H50" s="9"/>
      <c r="I50" s="20" t="str">
        <f>IFERROR(__xludf.DUMMYFUNCTION("GOOGLETRANSLATE(B50,""ar"",""en"")
"),"During the race, you encounter strong winds. What do you do?")</f>
        <v>During the race, you encounter strong winds. What do you do?</v>
      </c>
      <c r="J50" s="20" t="str">
        <f>IFERROR(__xludf.DUMMYFUNCTION("GOOGLETRANSLATE(C50,""ar"",""en"")
"),"a) Bend to reduce wind resistance; b) Increase speed; c) Continue in the same manner; d) Stop")</f>
        <v>a) Bend to reduce wind resistance; b) Increase speed; c) Continue in the same manner; d) Stop</v>
      </c>
      <c r="K50" s="20" t="str">
        <f>IFERROR(__xludf.DUMMYFUNCTION("GOOGLETRANSLATE(D50,""ar"",""en"")
"),"a) Bending to reduce wind resistance")</f>
        <v>a) Bending to reduce wind resistance</v>
      </c>
      <c r="L50" s="20" t="str">
        <f>IFERROR(__xludf.DUMMYFUNCTION("GOOGLETRANSLATE(E50,""ar"",""en"")
"),"The curvature reduces the negative impact of wind on speed.")</f>
        <v>The curvature reduces the negative impact of wind on speed.</v>
      </c>
      <c r="M50" s="9"/>
      <c r="N50" s="9"/>
      <c r="O50" s="9"/>
      <c r="P50" s="9"/>
      <c r="Q50" s="9"/>
      <c r="R50" s="9"/>
      <c r="S50" s="9"/>
      <c r="T50" s="9"/>
      <c r="U50" s="9"/>
      <c r="V50" s="9"/>
      <c r="W50" s="9"/>
      <c r="X50" s="9"/>
      <c r="Y50" s="9"/>
      <c r="Z50" s="9"/>
      <c r="AA50" s="9"/>
      <c r="AB50" s="9"/>
      <c r="AC50" s="9"/>
      <c r="AD50" s="9"/>
      <c r="AE50" s="9"/>
      <c r="AF50" s="9"/>
      <c r="AG50" s="9"/>
    </row>
    <row r="51">
      <c r="A51" s="20">
        <v>50.0</v>
      </c>
      <c r="B51" s="20" t="s">
        <v>1761</v>
      </c>
      <c r="C51" s="20" t="s">
        <v>1762</v>
      </c>
      <c r="D51" s="20" t="s">
        <v>1763</v>
      </c>
      <c r="E51" s="20" t="s">
        <v>1764</v>
      </c>
      <c r="F51" s="9"/>
      <c r="G51" s="9"/>
      <c r="H51" s="9"/>
      <c r="I51" s="20" t="str">
        <f>IFERROR(__xludf.DUMMYFUNCTION("GOOGLETRANSLATE(B51,""ar"",""en"")
"),"If the horse's equipment is damaged during a race, what do you do?")</f>
        <v>If the horse's equipment is damaged during a race, what do you do?</v>
      </c>
      <c r="J51" s="20" t="str">
        <f>IFERROR(__xludf.DUMMYFUNCTION("GOOGLETRANSLATE(C51,""ar"",""en"")
"),"a) Continue the race cautiously; b) Stop to fix it; c) Ask for help; d) Ignore the problem")</f>
        <v>a) Continue the race cautiously; b) Stop to fix it; c) Ask for help; d) Ignore the problem</v>
      </c>
      <c r="K51" s="20" t="str">
        <f>IFERROR(__xludf.DUMMYFUNCTION("GOOGLETRANSLATE(D51,""ar"",""en"")
"),"b) Stopping to repair it")</f>
        <v>b) Stopping to repair it</v>
      </c>
      <c r="L51" s="20" t="str">
        <f>IFERROR(__xludf.DUMMYFUNCTION("GOOGLETRANSLATE(E51,""ar"",""en"")
"),"A quick repair ensures the horse's safety and the continuation of the race.")</f>
        <v>A quick repair ensures the horse's safety and the continuation of the race.</v>
      </c>
      <c r="M51" s="9"/>
      <c r="N51" s="9"/>
      <c r="O51" s="9"/>
      <c r="P51" s="9"/>
      <c r="Q51" s="9"/>
      <c r="R51" s="9"/>
      <c r="S51" s="9"/>
      <c r="T51" s="9"/>
      <c r="U51" s="9"/>
      <c r="V51" s="9"/>
      <c r="W51" s="9"/>
      <c r="X51" s="9"/>
      <c r="Y51" s="9"/>
      <c r="Z51" s="9"/>
      <c r="AA51" s="9"/>
      <c r="AB51" s="9"/>
      <c r="AC51" s="9"/>
      <c r="AD51" s="9"/>
      <c r="AE51" s="9"/>
      <c r="AF51" s="9"/>
      <c r="AG51" s="9"/>
    </row>
    <row r="52">
      <c r="A52" s="20">
        <v>51.0</v>
      </c>
      <c r="B52" s="20" t="s">
        <v>1765</v>
      </c>
      <c r="C52" s="20" t="s">
        <v>1766</v>
      </c>
      <c r="D52" s="20" t="s">
        <v>1767</v>
      </c>
      <c r="E52" s="20" t="s">
        <v>1768</v>
      </c>
      <c r="F52" s="9"/>
      <c r="G52" s="9"/>
      <c r="H52" s="9"/>
      <c r="I52" s="20" t="str">
        <f>IFERROR(__xludf.DUMMYFUNCTION("GOOGLETRANSLATE(B52,""ar"",""en"")
"),"If your horse refuses to eat before a race, how do you deal with that?")</f>
        <v>If your horse refuses to eat before a race, how do you deal with that?</v>
      </c>
      <c r="J52" s="20" t="str">
        <f>IFERROR(__xludf.DUMMYFUNCTION("GOOGLETRANSLATE(C52,""ar"",""en"")
"),"a) Give it its favorite food; b) Ignore it; c) Try to force-feed it; d) Consult a veterinarian")</f>
        <v>a) Give it its favorite food; b) Ignore it; c) Try to force-feed it; d) Consult a veterinarian</v>
      </c>
      <c r="K52" s="20" t="str">
        <f>IFERROR(__xludf.DUMMYFUNCTION("GOOGLETRANSLATE(D52,""ar"",""en"")
"),"a) Giving him his favorite food")</f>
        <v>a) Giving him his favorite food</v>
      </c>
      <c r="L52" s="20" t="str">
        <f>IFERROR(__xludf.DUMMYFUNCTION("GOOGLETRANSLATE(E52,""ar"",""en"")
"),"Giving the horse familiar food helps to reduce stress.")</f>
        <v>Giving the horse familiar food helps to reduce stress.</v>
      </c>
      <c r="M52" s="9"/>
      <c r="N52" s="9"/>
      <c r="O52" s="9"/>
      <c r="P52" s="9"/>
      <c r="Q52" s="9"/>
      <c r="R52" s="9"/>
      <c r="S52" s="9"/>
      <c r="T52" s="9"/>
      <c r="U52" s="9"/>
      <c r="V52" s="9"/>
      <c r="W52" s="9"/>
      <c r="X52" s="9"/>
      <c r="Y52" s="9"/>
      <c r="Z52" s="9"/>
      <c r="AA52" s="9"/>
      <c r="AB52" s="9"/>
      <c r="AC52" s="9"/>
      <c r="AD52" s="9"/>
      <c r="AE52" s="9"/>
      <c r="AF52" s="9"/>
      <c r="AG52" s="9"/>
    </row>
    <row r="53">
      <c r="A53" s="20">
        <v>52.0</v>
      </c>
      <c r="B53" s="20" t="s">
        <v>1769</v>
      </c>
      <c r="C53" s="20" t="s">
        <v>1770</v>
      </c>
      <c r="D53" s="20" t="s">
        <v>1771</v>
      </c>
      <c r="E53" s="20" t="s">
        <v>1772</v>
      </c>
      <c r="F53" s="9"/>
      <c r="G53" s="9"/>
      <c r="H53" s="9"/>
      <c r="I53" s="20" t="str">
        <f>IFERROR(__xludf.DUMMYFUNCTION("GOOGLETRANSLATE(B53,""ar"",""en"")
"),"If a horse is under extreme stress while traveling to a race, what do you do?")</f>
        <v>If a horse is under extreme stress while traveling to a race, what do you do?</v>
      </c>
      <c r="J53" s="20" t="str">
        <f>IFERROR(__xludf.DUMMYFUNCTION("GOOGLETRANSLATE(C53,""ar"",""en"")
"),"a) Complete rest upon arrival; b) Forcing him to train immediately; c) Ignoring the stress; d) Consulting a specialist")</f>
        <v>a) Complete rest upon arrival; b) Forcing him to train immediately; c) Ignoring the stress; d) Consulting a specialist</v>
      </c>
      <c r="K53" s="20" t="str">
        <f>IFERROR(__xludf.DUMMYFUNCTION("GOOGLETRANSLATE(D53,""ar"",""en"")
"),"a) Complete comfort upon arrival")</f>
        <v>a) Complete comfort upon arrival</v>
      </c>
      <c r="L53" s="20" t="str">
        <f>IFERROR(__xludf.DUMMYFUNCTION("GOOGLETRANSLATE(E53,""ar"",""en"")
"),"Rest after travel is essential to avoid stress.")</f>
        <v>Rest after travel is essential to avoid stress.</v>
      </c>
      <c r="M53" s="9"/>
      <c r="N53" s="9"/>
      <c r="O53" s="9"/>
      <c r="P53" s="9"/>
      <c r="Q53" s="9"/>
      <c r="R53" s="9"/>
      <c r="S53" s="9"/>
      <c r="T53" s="9"/>
      <c r="U53" s="9"/>
      <c r="V53" s="9"/>
      <c r="W53" s="9"/>
      <c r="X53" s="9"/>
      <c r="Y53" s="9"/>
      <c r="Z53" s="9"/>
      <c r="AA53" s="9"/>
      <c r="AB53" s="9"/>
      <c r="AC53" s="9"/>
      <c r="AD53" s="9"/>
      <c r="AE53" s="9"/>
      <c r="AF53" s="9"/>
      <c r="AG53" s="9"/>
    </row>
    <row r="54">
      <c r="A54" s="20">
        <v>53.0</v>
      </c>
      <c r="B54" s="20" t="s">
        <v>1773</v>
      </c>
      <c r="C54" s="20" t="s">
        <v>1774</v>
      </c>
      <c r="D54" s="20" t="s">
        <v>1775</v>
      </c>
      <c r="E54" s="20" t="s">
        <v>1776</v>
      </c>
      <c r="F54" s="9"/>
      <c r="G54" s="9"/>
      <c r="H54" s="9"/>
      <c r="I54" s="20" t="str">
        <f>IFERROR(__xludf.DUMMYFUNCTION("GOOGLETRANSLATE(B54,""ar"",""en"")
"),"If you notice a sudden change in the horse's behavior during a race, what do you do?")</f>
        <v>If you notice a sudden change in the horse's behavior during a race, what do you do?</v>
      </c>
      <c r="J54" s="20" t="str">
        <f>IFERROR(__xludf.DUMMYFUNCTION("GOOGLETRANSLATE(C54,""ar"",""en"")
"),"a) Observe it carefully; b) Increase speed; c) Stop immediately; d) Ignore the order")</f>
        <v>a) Observe it carefully; b) Increase speed; c) Stop immediately; d) Ignore the order</v>
      </c>
      <c r="K54" s="20" t="str">
        <f>IFERROR(__xludf.DUMMYFUNCTION("GOOGLETRANSLATE(D54,""ar"",""en"")
"),"a) Monitor him carefully")</f>
        <v>a) Monitor him carefully</v>
      </c>
      <c r="L54" s="20" t="str">
        <f>IFERROR(__xludf.DUMMYFUNCTION("GOOGLETRANSLATE(E54,""ar"",""en"")
"),"Monitoring allows you to make the right decisions based on his condition.")</f>
        <v>Monitoring allows you to make the right decisions based on his condition.</v>
      </c>
      <c r="M54" s="9"/>
      <c r="N54" s="9"/>
      <c r="O54" s="9"/>
      <c r="P54" s="9"/>
      <c r="Q54" s="9"/>
      <c r="R54" s="9"/>
      <c r="S54" s="9"/>
      <c r="T54" s="9"/>
      <c r="U54" s="9"/>
      <c r="V54" s="9"/>
      <c r="W54" s="9"/>
      <c r="X54" s="9"/>
      <c r="Y54" s="9"/>
      <c r="Z54" s="9"/>
      <c r="AA54" s="9"/>
      <c r="AB54" s="9"/>
      <c r="AC54" s="9"/>
      <c r="AD54" s="9"/>
      <c r="AE54" s="9"/>
      <c r="AF54" s="9"/>
      <c r="AG54" s="9"/>
    </row>
    <row r="55">
      <c r="A55" s="20">
        <v>54.0</v>
      </c>
      <c r="B55" s="20" t="s">
        <v>1777</v>
      </c>
      <c r="C55" s="20" t="s">
        <v>1778</v>
      </c>
      <c r="D55" s="20" t="s">
        <v>1779</v>
      </c>
      <c r="E55" s="20" t="s">
        <v>1780</v>
      </c>
      <c r="F55" s="9"/>
      <c r="G55" s="9"/>
      <c r="H55" s="9"/>
      <c r="I55" s="20" t="str">
        <f>IFERROR(__xludf.DUMMYFUNCTION("GOOGLETRANSLATE(B55,""ar"",""en"")
"),"If you are in a final race and your competitors are very close, what do you do?")</f>
        <v>If you are in a final race and your competitors are very close, what do you do?</v>
      </c>
      <c r="J55" s="20" t="str">
        <f>IFERROR(__xludf.DUMMYFUNCTION("GOOGLETRANSLATE(C55,""ar"",""en"")
"),"a) Increase motivation immediately; b) Change pace continuously; c) Watch for suitable opportunities; d) Retreat temporarily")</f>
        <v>a) Increase motivation immediately; b) Change pace continuously; c) Watch for suitable opportunities; d) Retreat temporarily</v>
      </c>
      <c r="K55" s="20" t="str">
        <f>IFERROR(__xludf.DUMMYFUNCTION("GOOGLETRANSLATE(D55,""ar"",""en"")
"),"a) Increased stimulation immediately")</f>
        <v>a) Increased stimulation immediately</v>
      </c>
      <c r="L55" s="20" t="str">
        <f>IFERROR(__xludf.DUMMYFUNCTION("GOOGLETRANSLATE(E55,""ar"",""en"")
"),"Motivation at crucial moments increases the chances of winning.")</f>
        <v>Motivation at crucial moments increases the chances of winning.</v>
      </c>
      <c r="M55" s="9"/>
      <c r="N55" s="9"/>
      <c r="O55" s="9"/>
      <c r="P55" s="9"/>
      <c r="Q55" s="9"/>
      <c r="R55" s="9"/>
      <c r="S55" s="9"/>
      <c r="T55" s="9"/>
      <c r="U55" s="9"/>
      <c r="V55" s="9"/>
      <c r="W55" s="9"/>
      <c r="X55" s="9"/>
      <c r="Y55" s="9"/>
      <c r="Z55" s="9"/>
      <c r="AA55" s="9"/>
      <c r="AB55" s="9"/>
      <c r="AC55" s="9"/>
      <c r="AD55" s="9"/>
      <c r="AE55" s="9"/>
      <c r="AF55" s="9"/>
      <c r="AG55" s="9"/>
    </row>
    <row r="56">
      <c r="A56" s="20">
        <v>55.0</v>
      </c>
      <c r="B56" s="20" t="s">
        <v>1781</v>
      </c>
      <c r="C56" s="20" t="s">
        <v>1782</v>
      </c>
      <c r="D56" s="20" t="s">
        <v>1783</v>
      </c>
      <c r="E56" s="20" t="s">
        <v>1784</v>
      </c>
      <c r="F56" s="9"/>
      <c r="G56" s="9"/>
      <c r="H56" s="9"/>
      <c r="I56" s="20" t="str">
        <f>IFERROR(__xludf.DUMMYFUNCTION("GOOGLETRANSLATE(B56,""ar"",""en"")
"),"In a night race, you find that visibility is poor. How do you react?")</f>
        <v>In a night race, you find that visibility is poor. How do you react?</v>
      </c>
      <c r="J56" s="20" t="str">
        <f>IFERROR(__xludf.DUMMYFUNCTION("GOOGLETRANSLATE(C56,""ar"",""en"")
"),"a) Slow down to be cautious; b) Try to speed up; c) Follow the leading horse; d) Pull back")</f>
        <v>a) Slow down to be cautious; b) Try to speed up; c) Follow the leading horse; d) Pull back</v>
      </c>
      <c r="K56" s="20" t="str">
        <f>IFERROR(__xludf.DUMMYFUNCTION("GOOGLETRANSLATE(D56,""ar"",""en"")
"),"a) Reduce speed to be cautious")</f>
        <v>a) Reduce speed to be cautious</v>
      </c>
      <c r="L56" s="20" t="str">
        <f>IFERROR(__xludf.DUMMYFUNCTION("GOOGLETRANSLATE(E56,""ar"",""en"")
"),"Reduced speed decreases")</f>
        <v>Reduced speed decreases</v>
      </c>
      <c r="M56" s="9"/>
      <c r="N56" s="9"/>
      <c r="O56" s="9"/>
      <c r="P56" s="9"/>
      <c r="Q56" s="9"/>
      <c r="R56" s="9"/>
      <c r="S56" s="9"/>
      <c r="T56" s="9"/>
      <c r="U56" s="9"/>
      <c r="V56" s="9"/>
      <c r="W56" s="9"/>
      <c r="X56" s="9"/>
      <c r="Y56" s="9"/>
      <c r="Z56" s="9"/>
      <c r="AA56" s="9"/>
      <c r="AB56" s="9"/>
      <c r="AC56" s="9"/>
      <c r="AD56" s="9"/>
      <c r="AE56" s="9"/>
      <c r="AF56" s="9"/>
      <c r="AG56" s="9"/>
    </row>
    <row r="57">
      <c r="A57" s="20">
        <v>56.0</v>
      </c>
      <c r="B57" s="20" t="s">
        <v>1785</v>
      </c>
      <c r="C57" s="20" t="s">
        <v>1786</v>
      </c>
      <c r="D57" s="20" t="s">
        <v>1787</v>
      </c>
      <c r="E57" s="20" t="s">
        <v>1788</v>
      </c>
      <c r="F57" s="9"/>
      <c r="G57" s="9"/>
      <c r="H57" s="9"/>
      <c r="I57" s="20" t="str">
        <f>IFERROR(__xludf.DUMMYFUNCTION("GOOGLETRANSLATE(B57,""ar"",""en"")
"),"If the horse is not cooperating during the race, what do you do?")</f>
        <v>If the horse is not cooperating during the race, what do you do?</v>
      </c>
      <c r="J57" s="20" t="str">
        <f>IFERROR(__xludf.DUMMYFUNCTION("GOOGLETRANSLATE(C57,""ar"",""en"")
"),"a) Motivate him further; b) Change his riding style; c) Stop racing; d) Blame him")</f>
        <v>a) Motivate him further; b) Change his riding style; c) Stop racing; d) Blame him</v>
      </c>
      <c r="K57" s="20" t="str">
        <f>IFERROR(__xludf.DUMMYFUNCTION("GOOGLETRANSLATE(D57,""ar"",""en"")
"),"b) Changing riding style")</f>
        <v>b) Changing riding style</v>
      </c>
      <c r="L57" s="20" t="str">
        <f>IFERROR(__xludf.DUMMYFUNCTION("GOOGLETRANSLATE(E57,""ar"",""en"")
"),"Changing your riding style may help reconnect with the horse.")</f>
        <v>Changing your riding style may help reconnect with the horse.</v>
      </c>
      <c r="M57" s="9"/>
      <c r="N57" s="9"/>
      <c r="O57" s="9"/>
      <c r="P57" s="9"/>
      <c r="Q57" s="9"/>
      <c r="R57" s="9"/>
      <c r="S57" s="9"/>
      <c r="T57" s="9"/>
      <c r="U57" s="9"/>
      <c r="V57" s="9"/>
      <c r="W57" s="9"/>
      <c r="X57" s="9"/>
      <c r="Y57" s="9"/>
      <c r="Z57" s="9"/>
      <c r="AA57" s="9"/>
      <c r="AB57" s="9"/>
      <c r="AC57" s="9"/>
      <c r="AD57" s="9"/>
      <c r="AE57" s="9"/>
      <c r="AF57" s="9"/>
      <c r="AG57" s="9"/>
    </row>
    <row r="58">
      <c r="A58" s="20">
        <v>57.0</v>
      </c>
      <c r="B58" s="20" t="s">
        <v>1789</v>
      </c>
      <c r="C58" s="20" t="s">
        <v>1790</v>
      </c>
      <c r="D58" s="20" t="s">
        <v>1791</v>
      </c>
      <c r="E58" s="20" t="s">
        <v>1792</v>
      </c>
      <c r="F58" s="9"/>
      <c r="G58" s="9"/>
      <c r="H58" s="9"/>
      <c r="I58" s="20" t="str">
        <f>IFERROR(__xludf.DUMMYFUNCTION("GOOGLETRANSLATE(B58,""ar"",""en"")
"),"If you feel that your horse is suffering from muscle fatigue, how do you deal with it?")</f>
        <v>If you feel that your horse is suffering from muscle fatigue, how do you deal with it?</v>
      </c>
      <c r="J58" s="20" t="str">
        <f>IFERROR(__xludf.DUMMYFUNCTION("GOOGLETRANSLATE(C58,""ar"",""en"")
"),"a) Gradually reduce its speed; b) Press it to continue; c) Stop completely; d) Increase its speed to activate it")</f>
        <v>a) Gradually reduce its speed; b) Press it to continue; c) Stop completely; d) Increase its speed to activate it</v>
      </c>
      <c r="K58" s="20" t="str">
        <f>IFERROR(__xludf.DUMMYFUNCTION("GOOGLETRANSLATE(D58,""ar"",""en"")
"),"a) Gradually reduce its speed")</f>
        <v>a) Gradually reduce its speed</v>
      </c>
      <c r="L58" s="20" t="str">
        <f>IFERROR(__xludf.DUMMYFUNCTION("GOOGLETRANSLATE(E58,""ar"",""en"")
"),"Reducing speed helps to reduce the strain on the horse's muscles.")</f>
        <v>Reducing speed helps to reduce the strain on the horse's muscles.</v>
      </c>
      <c r="M58" s="9"/>
      <c r="N58" s="9"/>
      <c r="O58" s="9"/>
      <c r="P58" s="9"/>
      <c r="Q58" s="9"/>
      <c r="R58" s="9"/>
      <c r="S58" s="9"/>
      <c r="T58" s="9"/>
      <c r="U58" s="9"/>
      <c r="V58" s="9"/>
      <c r="W58" s="9"/>
      <c r="X58" s="9"/>
      <c r="Y58" s="9"/>
      <c r="Z58" s="9"/>
      <c r="AA58" s="9"/>
      <c r="AB58" s="9"/>
      <c r="AC58" s="9"/>
      <c r="AD58" s="9"/>
      <c r="AE58" s="9"/>
      <c r="AF58" s="9"/>
      <c r="AG58" s="9"/>
    </row>
    <row r="59">
      <c r="A59" s="20">
        <v>58.0</v>
      </c>
      <c r="B59" s="20" t="s">
        <v>1793</v>
      </c>
      <c r="C59" s="20" t="s">
        <v>1794</v>
      </c>
      <c r="D59" s="20" t="s">
        <v>1665</v>
      </c>
      <c r="E59" s="20" t="s">
        <v>1795</v>
      </c>
      <c r="F59" s="9"/>
      <c r="G59" s="9"/>
      <c r="H59" s="9"/>
      <c r="I59" s="20" t="str">
        <f>IFERROR(__xludf.DUMMYFUNCTION("GOOGLETRANSLATE(B59,""ar"",""en"")
"),"If you notice that the horse is gradually slowing down in the race, what do you do?")</f>
        <v>If you notice that the horse is gradually slowing down in the race, what do you do?</v>
      </c>
      <c r="J59" s="20" t="str">
        <f>IFERROR(__xludf.DUMMYFUNCTION("GOOGLETRANSLATE(C59,""ar"",""en"")
"),"a) Increased stimulation; b) Requesting a short break; c) Reducing speed; d) Suddenly increasing speed")</f>
        <v>a) Increased stimulation; b) Requesting a short break; c) Reducing speed; d) Suddenly increasing speed</v>
      </c>
      <c r="K59" s="20" t="str">
        <f>IFERROR(__xludf.DUMMYFUNCTION("GOOGLETRANSLATE(D59,""ar"",""en"")
"),"a) Increased motivation")</f>
        <v>a) Increased motivation</v>
      </c>
      <c r="L59" s="20" t="str">
        <f>IFERROR(__xludf.DUMMYFUNCTION("GOOGLETRANSLATE(E59,""ar"",""en"")
"),"Stimulation may help the horse regain its energy.")</f>
        <v>Stimulation may help the horse regain its energy.</v>
      </c>
      <c r="M59" s="9"/>
      <c r="N59" s="9"/>
      <c r="O59" s="9"/>
      <c r="P59" s="9"/>
      <c r="Q59" s="9"/>
      <c r="R59" s="9"/>
      <c r="S59" s="9"/>
      <c r="T59" s="9"/>
      <c r="U59" s="9"/>
      <c r="V59" s="9"/>
      <c r="W59" s="9"/>
      <c r="X59" s="9"/>
      <c r="Y59" s="9"/>
      <c r="Z59" s="9"/>
      <c r="AA59" s="9"/>
      <c r="AB59" s="9"/>
      <c r="AC59" s="9"/>
      <c r="AD59" s="9"/>
      <c r="AE59" s="9"/>
      <c r="AF59" s="9"/>
      <c r="AG59" s="9"/>
    </row>
    <row r="60">
      <c r="A60" s="20">
        <v>59.0</v>
      </c>
      <c r="B60" s="20" t="s">
        <v>1796</v>
      </c>
      <c r="C60" s="20" t="s">
        <v>1797</v>
      </c>
      <c r="D60" s="20" t="s">
        <v>1798</v>
      </c>
      <c r="E60" s="20" t="s">
        <v>1799</v>
      </c>
      <c r="F60" s="9"/>
      <c r="G60" s="9"/>
      <c r="H60" s="9"/>
      <c r="I60" s="20" t="str">
        <f>IFERROR(__xludf.DUMMYFUNCTION("GOOGLETRANSLATE(B60,""ar"",""en"")
"),"If you are in a tight race with a competitor, how do you maintain your focus?")</f>
        <v>If you are in a tight race with a competitor, how do you maintain your focus?</v>
      </c>
      <c r="J60" s="20" t="str">
        <f>IFERROR(__xludf.DUMMYFUNCTION("GOOGLETRANSLATE(C60,""ar"",""en"")
"),"a) Remain calm; b) Focus solely on your opponent; c) Reduce your speed; d) Think only about winning")</f>
        <v>a) Remain calm; b) Focus solely on your opponent; c) Reduce your speed; d) Think only about winning</v>
      </c>
      <c r="K60" s="20" t="str">
        <f>IFERROR(__xludf.DUMMYFUNCTION("GOOGLETRANSLATE(D60,""ar"",""en"")
"),"a) Maintaining calm")</f>
        <v>a) Maintaining calm</v>
      </c>
      <c r="L60" s="20" t="str">
        <f>IFERROR(__xludf.DUMMYFUNCTION("GOOGLETRANSLATE(E60,""ar"",""en"")
"),"Calmness helps in making strategic decisions during the race.")</f>
        <v>Calmness helps in making strategic decisions during the race.</v>
      </c>
      <c r="M60" s="9"/>
      <c r="N60" s="9"/>
      <c r="O60" s="9"/>
      <c r="P60" s="9"/>
      <c r="Q60" s="9"/>
      <c r="R60" s="9"/>
      <c r="S60" s="9"/>
      <c r="T60" s="9"/>
      <c r="U60" s="9"/>
      <c r="V60" s="9"/>
      <c r="W60" s="9"/>
      <c r="X60" s="9"/>
      <c r="Y60" s="9"/>
      <c r="Z60" s="9"/>
      <c r="AA60" s="9"/>
      <c r="AB60" s="9"/>
      <c r="AC60" s="9"/>
      <c r="AD60" s="9"/>
      <c r="AE60" s="9"/>
      <c r="AF60" s="9"/>
      <c r="AG60" s="9"/>
    </row>
    <row r="61">
      <c r="A61" s="20">
        <v>60.0</v>
      </c>
      <c r="B61" s="20" t="s">
        <v>1800</v>
      </c>
      <c r="C61" s="20" t="s">
        <v>1801</v>
      </c>
      <c r="D61" s="20" t="s">
        <v>1802</v>
      </c>
      <c r="E61" s="20" t="s">
        <v>1803</v>
      </c>
      <c r="F61" s="9"/>
      <c r="G61" s="9"/>
      <c r="H61" s="9"/>
      <c r="I61" s="20" t="str">
        <f>IFERROR(__xludf.DUMMYFUNCTION("GOOGLETRANSLATE(B61,""ar"",""en"")
"),"If you feel that the track is unsuitable for racing, what do you do?")</f>
        <v>If you feel that the track is unsuitable for racing, what do you do?</v>
      </c>
      <c r="J61" s="20" t="str">
        <f>IFERROR(__xludf.DUMMYFUNCTION("GOOGLETRANSLATE(C61,""ar"",""en"")
"),"a) Slow down to avoid hazards; b) Withdraw immediately; c) Continue racing cautiously; d) Stop to report the problem")</f>
        <v>a) Slow down to avoid hazards; b) Withdraw immediately; c) Continue racing cautiously; d) Stop to report the problem</v>
      </c>
      <c r="K61" s="20" t="str">
        <f>IFERROR(__xludf.DUMMYFUNCTION("GOOGLETRANSLATE(D61,""ar"",""en"")
"),"a) Slowing down to avoid risks")</f>
        <v>a) Slowing down to avoid risks</v>
      </c>
      <c r="L61" s="20" t="str">
        <f>IFERROR(__xludf.DUMMYFUNCTION("GOOGLETRANSLATE(E61,""ar"",""en"")
"),"Taking precautions in unsuitable conditions reduces the chance of injuries.")</f>
        <v>Taking precautions in unsuitable conditions reduces the chance of injuries.</v>
      </c>
      <c r="M61" s="9"/>
      <c r="N61" s="9"/>
      <c r="O61" s="9"/>
      <c r="P61" s="9"/>
      <c r="Q61" s="9"/>
      <c r="R61" s="9"/>
      <c r="S61" s="9"/>
      <c r="T61" s="9"/>
      <c r="U61" s="9"/>
      <c r="V61" s="9"/>
      <c r="W61" s="9"/>
      <c r="X61" s="9"/>
      <c r="Y61" s="9"/>
      <c r="Z61" s="9"/>
      <c r="AA61" s="9"/>
      <c r="AB61" s="9"/>
      <c r="AC61" s="9"/>
      <c r="AD61" s="9"/>
      <c r="AE61" s="9"/>
      <c r="AF61" s="9"/>
      <c r="AG61" s="9"/>
    </row>
    <row r="62">
      <c r="A62" s="20">
        <v>61.0</v>
      </c>
      <c r="B62" s="20" t="s">
        <v>1804</v>
      </c>
      <c r="C62" s="20" t="s">
        <v>1805</v>
      </c>
      <c r="D62" s="20" t="s">
        <v>1806</v>
      </c>
      <c r="E62" s="20" t="s">
        <v>1807</v>
      </c>
      <c r="F62" s="9"/>
      <c r="G62" s="9"/>
      <c r="H62" s="9"/>
      <c r="I62" s="20" t="str">
        <f>IFERROR(__xludf.DUMMYFUNCTION("GOOGLETRANSLATE(B62,""ar"",""en"")
"),"If a horse shows signs of anxiety before a race, how should you react?")</f>
        <v>If a horse shows signs of anxiety before a race, how should you react?</v>
      </c>
      <c r="J62" s="20" t="str">
        <f>IFERROR(__xludf.DUMMYFUNCTION("GOOGLETRANSLATE(C62,""ar"",""en"")
"),"a) Calming him with gentle stimulation; b) Ignoring his anxiety; c) Pressuring him to be more active; d) Replacing him with another horse")</f>
        <v>a) Calming him with gentle stimulation; b) Ignoring his anxiety; c) Pressuring him to be more active; d) Replacing him with another horse</v>
      </c>
      <c r="K62" s="20" t="str">
        <f>IFERROR(__xludf.DUMMYFUNCTION("GOOGLETRANSLATE(D62,""ar"",""en"")
"),"a) Calming him with gentle stimulation")</f>
        <v>a) Calming him with gentle stimulation</v>
      </c>
      <c r="L62" s="20" t="str">
        <f>IFERROR(__xludf.DUMMYFUNCTION("GOOGLETRANSLATE(E62,""ar"",""en"")
"),"Gentle stimulation helps the horse overcome anxiety.")</f>
        <v>Gentle stimulation helps the horse overcome anxiety.</v>
      </c>
      <c r="M62" s="9"/>
      <c r="N62" s="9"/>
      <c r="O62" s="9"/>
      <c r="P62" s="9"/>
      <c r="Q62" s="9"/>
      <c r="R62" s="9"/>
      <c r="S62" s="9"/>
      <c r="T62" s="9"/>
      <c r="U62" s="9"/>
      <c r="V62" s="9"/>
      <c r="W62" s="9"/>
      <c r="X62" s="9"/>
      <c r="Y62" s="9"/>
      <c r="Z62" s="9"/>
      <c r="AA62" s="9"/>
      <c r="AB62" s="9"/>
      <c r="AC62" s="9"/>
      <c r="AD62" s="9"/>
      <c r="AE62" s="9"/>
      <c r="AF62" s="9"/>
      <c r="AG62" s="9"/>
    </row>
    <row r="63">
      <c r="A63" s="20">
        <v>62.0</v>
      </c>
      <c r="B63" s="20" t="s">
        <v>1808</v>
      </c>
      <c r="C63" s="20" t="s">
        <v>1809</v>
      </c>
      <c r="D63" s="20" t="s">
        <v>1810</v>
      </c>
      <c r="E63" s="20" t="s">
        <v>1811</v>
      </c>
      <c r="F63" s="9"/>
      <c r="G63" s="9"/>
      <c r="H63" s="9"/>
      <c r="I63" s="20" t="str">
        <f>IFERROR(__xludf.DUMMYFUNCTION("GOOGLETRANSLATE(B63,""ar"",""en"")
"),"During the race, your horse backs away from the hurdles, what do you do?")</f>
        <v>During the race, your horse backs away from the hurdles, what do you do?</v>
      </c>
      <c r="J63" s="20" t="str">
        <f>IFERROR(__xludf.DUMMYFUNCTION("GOOGLETRANSLATE(C63,""ar"",""en"")
"),"a) Increase motivation to overcome obstacles; b) Reduce speed to avoid jumping; c) Force him to overcome the obstacle; d) Give up and stop")</f>
        <v>a) Increase motivation to overcome obstacles; b) Reduce speed to avoid jumping; c) Force him to overcome the obstacle; d) Give up and stop</v>
      </c>
      <c r="K63" s="20" t="str">
        <f>IFERROR(__xludf.DUMMYFUNCTION("GOOGLETRANSLATE(D63,""ar"",""en"")
"),"a) Enhancing motivation to overcome obstacles")</f>
        <v>a) Enhancing motivation to overcome obstacles</v>
      </c>
      <c r="L63" s="20" t="str">
        <f>IFERROR(__xludf.DUMMYFUNCTION("GOOGLETRANSLATE(E63,""ar"",""en"")
"),"Encouraging the horse can boost its confidence in jumping.")</f>
        <v>Encouraging the horse can boost its confidence in jumping.</v>
      </c>
      <c r="M63" s="9"/>
      <c r="N63" s="9"/>
      <c r="O63" s="9"/>
      <c r="P63" s="9"/>
      <c r="Q63" s="9"/>
      <c r="R63" s="9"/>
      <c r="S63" s="9"/>
      <c r="T63" s="9"/>
      <c r="U63" s="9"/>
      <c r="V63" s="9"/>
      <c r="W63" s="9"/>
      <c r="X63" s="9"/>
      <c r="Y63" s="9"/>
      <c r="Z63" s="9"/>
      <c r="AA63" s="9"/>
      <c r="AB63" s="9"/>
      <c r="AC63" s="9"/>
      <c r="AD63" s="9"/>
      <c r="AE63" s="9"/>
      <c r="AF63" s="9"/>
      <c r="AG63" s="9"/>
    </row>
    <row r="64">
      <c r="A64" s="20">
        <v>63.0</v>
      </c>
      <c r="B64" s="20" t="s">
        <v>1812</v>
      </c>
      <c r="C64" s="20" t="s">
        <v>1813</v>
      </c>
      <c r="D64" s="20" t="s">
        <v>1814</v>
      </c>
      <c r="E64" s="20" t="s">
        <v>1815</v>
      </c>
      <c r="F64" s="9"/>
      <c r="G64" s="9"/>
      <c r="H64" s="9"/>
      <c r="I64" s="20" t="str">
        <f>IFERROR(__xludf.DUMMYFUNCTION("GOOGLETRANSLATE(B64,""ar"",""en"")
"),"If the horse feels hot during the race, what do you do?")</f>
        <v>If the horse feels hot during the race, what do you do?</v>
      </c>
      <c r="J64" s="20" t="str">
        <f>IFERROR(__xludf.DUMMYFUNCTION("GOOGLETRANSLATE(C64,""ar"",""en"")
"),"a) Stop for a short break; b) Adjust to the speed; c) Increase stimulation; d) Gradually reduce speed")</f>
        <v>a) Stop for a short break; b) Adjust to the speed; c) Increase stimulation; d) Gradually reduce speed</v>
      </c>
      <c r="K64" s="20" t="str">
        <f>IFERROR(__xludf.DUMMYFUNCTION("GOOGLETRANSLATE(D64,""ar"",""en"")
"),"a) Stopping for a short break")</f>
        <v>a) Stopping for a short break</v>
      </c>
      <c r="L64" s="20" t="str">
        <f>IFERROR(__xludf.DUMMYFUNCTION("GOOGLETRANSLATE(E64,""ar"",""en"")
"),"A short rest helps the horse relieve heat stress.")</f>
        <v>A short rest helps the horse relieve heat stress.</v>
      </c>
      <c r="M64" s="9"/>
      <c r="N64" s="9"/>
      <c r="O64" s="9"/>
      <c r="P64" s="9"/>
      <c r="Q64" s="9"/>
      <c r="R64" s="9"/>
      <c r="S64" s="9"/>
      <c r="T64" s="9"/>
      <c r="U64" s="9"/>
      <c r="V64" s="9"/>
      <c r="W64" s="9"/>
      <c r="X64" s="9"/>
      <c r="Y64" s="9"/>
      <c r="Z64" s="9"/>
      <c r="AA64" s="9"/>
      <c r="AB64" s="9"/>
      <c r="AC64" s="9"/>
      <c r="AD64" s="9"/>
      <c r="AE64" s="9"/>
      <c r="AF64" s="9"/>
      <c r="AG64" s="9"/>
    </row>
    <row r="65">
      <c r="A65" s="20">
        <v>64.0</v>
      </c>
      <c r="B65" s="20" t="s">
        <v>1816</v>
      </c>
      <c r="C65" s="20" t="s">
        <v>1817</v>
      </c>
      <c r="D65" s="20" t="s">
        <v>1818</v>
      </c>
      <c r="E65" s="20" t="s">
        <v>1819</v>
      </c>
      <c r="F65" s="9"/>
      <c r="G65" s="9"/>
      <c r="H65" s="9"/>
      <c r="I65" s="20" t="str">
        <f>IFERROR(__xludf.DUMMYFUNCTION("GOOGLETRANSLATE(B65,""ar"",""en"")
"),"If your competitor is manipulating the race at high speed, how do you respond?")</f>
        <v>If your competitor is manipulating the race at high speed, how do you respond?</v>
      </c>
      <c r="J65" s="20" t="str">
        <f>IFERROR(__xludf.DUMMYFUNCTION("GOOGLETRANSLATE(C65,""ar"",""en"")
"),"a) Constantly adjust your speed to keep up with the competitor; b) Ignore the competitor and focus on your own performance; c) Try to race faster; d) Reduce your speed; b) Ignore the competitor and focus on your own performance")</f>
        <v>a) Constantly adjust your speed to keep up with the competitor; b) Ignore the competitor and focus on your own performance; c) Try to race faster; d) Reduce your speed; b) Ignore the competitor and focus on your own performance</v>
      </c>
      <c r="K65" s="20" t="str">
        <f>IFERROR(__xludf.DUMMYFUNCTION("GOOGLETRANSLATE(D65,""ar"",""en"")
"),"Focusing on personal performance helps you excel.")</f>
        <v>Focusing on personal performance helps you excel.</v>
      </c>
      <c r="L65" s="20" t="str">
        <f>IFERROR(__xludf.DUMMYFUNCTION("GOOGLETRANSLATE(E65,""ar"",""en"")
"),"During the race, you were under pressure from your competitors. What do you do?")</f>
        <v>During the race, you were under pressure from your competitors. What do you do?</v>
      </c>
      <c r="M65" s="9"/>
      <c r="N65" s="9"/>
      <c r="O65" s="9"/>
      <c r="P65" s="9"/>
      <c r="Q65" s="9"/>
      <c r="R65" s="9"/>
      <c r="S65" s="9"/>
      <c r="T65" s="9"/>
      <c r="U65" s="9"/>
      <c r="V65" s="9"/>
      <c r="W65" s="9"/>
      <c r="X65" s="9"/>
      <c r="Y65" s="9"/>
      <c r="Z65" s="9"/>
      <c r="AA65" s="9"/>
      <c r="AB65" s="9"/>
      <c r="AC65" s="9"/>
      <c r="AD65" s="9"/>
      <c r="AE65" s="9"/>
      <c r="AF65" s="9"/>
      <c r="AG65" s="9"/>
    </row>
    <row r="66">
      <c r="A66" s="20">
        <v>65.0</v>
      </c>
      <c r="B66" s="20" t="s">
        <v>1820</v>
      </c>
      <c r="C66" s="20" t="s">
        <v>1821</v>
      </c>
      <c r="D66" s="20" t="s">
        <v>1822</v>
      </c>
      <c r="E66" s="20" t="s">
        <v>1823</v>
      </c>
      <c r="F66" s="9"/>
      <c r="G66" s="9"/>
      <c r="H66" s="9"/>
      <c r="I66" s="20" t="str">
        <f>IFERROR(__xludf.DUMMYFUNCTION("GOOGLETRANSLATE(B66,""ar"",""en"")
"),"During the race, you were under pressure from your competitors. What do you do?")</f>
        <v>During the race, you were under pressure from your competitors. What do you do?</v>
      </c>
      <c r="J66" s="20" t="str">
        <f>IFERROR(__xludf.DUMMYFUNCTION("GOOGLETRANSLATE(C66,""ar"",""en"")
"),"a) Increase speed to overtake them; b) Be patient and observe; c) Stop to avoid accidents; d) Withdraw from the race")</f>
        <v>a) Increase speed to overtake them; b) Be patient and observe; c) Stop to avoid accidents; d) Withdraw from the race</v>
      </c>
      <c r="K66" s="20" t="str">
        <f>IFERROR(__xludf.DUMMYFUNCTION("GOOGLETRANSLATE(D66,""ar"",""en"")
"),"b) Be patient and observant")</f>
        <v>b) Be patient and observant</v>
      </c>
      <c r="L66" s="20" t="str">
        <f>IFERROR(__xludf.DUMMYFUNCTION("GOOGLETRANSLATE(E66,""ar"",""en"")
"),"Patience allows you to find better opportunities to outperform your competitors.")</f>
        <v>Patience allows you to find better opportunities to outperform your competitors.</v>
      </c>
      <c r="M66" s="9"/>
      <c r="N66" s="9"/>
      <c r="O66" s="9"/>
      <c r="P66" s="9"/>
      <c r="Q66" s="9"/>
      <c r="R66" s="9"/>
      <c r="S66" s="9"/>
      <c r="T66" s="9"/>
      <c r="U66" s="9"/>
      <c r="V66" s="9"/>
      <c r="W66" s="9"/>
      <c r="X66" s="9"/>
      <c r="Y66" s="9"/>
      <c r="Z66" s="9"/>
      <c r="AA66" s="9"/>
      <c r="AB66" s="9"/>
      <c r="AC66" s="9"/>
      <c r="AD66" s="9"/>
      <c r="AE66" s="9"/>
      <c r="AF66" s="9"/>
      <c r="AG66" s="9"/>
    </row>
    <row r="67">
      <c r="A67" s="20">
        <v>66.0</v>
      </c>
      <c r="B67" s="20" t="s">
        <v>1824</v>
      </c>
      <c r="C67" s="20" t="s">
        <v>1825</v>
      </c>
      <c r="D67" s="20" t="s">
        <v>1826</v>
      </c>
      <c r="E67" s="20" t="s">
        <v>1827</v>
      </c>
      <c r="F67" s="9"/>
      <c r="G67" s="9"/>
      <c r="H67" s="9"/>
      <c r="I67" s="20" t="str">
        <f>IFERROR(__xludf.DUMMYFUNCTION("GOOGLETRANSLATE(B67,""ar"",""en"")
"),"If you feel that the horse is starting to lose its energy in the middle of the race, what do you do?")</f>
        <v>If you feel that the horse is starting to lose its energy in the middle of the race, what do you do?</v>
      </c>
      <c r="J67" s="20" t="str">
        <f>IFERROR(__xludf.DUMMYFUNCTION("GOOGLETRANSLATE(C67,""ar"",""en"")
"),"a) Motivate and pressure him to continue; b) Reduce speed to conserve energy; c) Stop the race; d) Seek immediate assistance")</f>
        <v>a) Motivate and pressure him to continue; b) Reduce speed to conserve energy; c) Stop the race; d) Seek immediate assistance</v>
      </c>
      <c r="K67" s="20" t="str">
        <f>IFERROR(__xludf.DUMMYFUNCTION("GOOGLETRANSLATE(D67,""ar"",""en"")
"),"b) Reduce speed to conserve energy")</f>
        <v>b) Reduce speed to conserve energy</v>
      </c>
      <c r="L67" s="20" t="str">
        <f>IFERROR(__xludf.DUMMYFUNCTION("GOOGLETRANSLATE(E67,""ar"",""en"")
"),"Slowing down helps to preserve the horse's ability to complete the race.")</f>
        <v>Slowing down helps to preserve the horse's ability to complete the race.</v>
      </c>
      <c r="M67" s="9"/>
      <c r="N67" s="9"/>
      <c r="O67" s="9"/>
      <c r="P67" s="9"/>
      <c r="Q67" s="9"/>
      <c r="R67" s="9"/>
      <c r="S67" s="9"/>
      <c r="T67" s="9"/>
      <c r="U67" s="9"/>
      <c r="V67" s="9"/>
      <c r="W67" s="9"/>
      <c r="X67" s="9"/>
      <c r="Y67" s="9"/>
      <c r="Z67" s="9"/>
      <c r="AA67" s="9"/>
      <c r="AB67" s="9"/>
      <c r="AC67" s="9"/>
      <c r="AD67" s="9"/>
      <c r="AE67" s="9"/>
      <c r="AF67" s="9"/>
      <c r="AG67" s="9"/>
    </row>
    <row r="68">
      <c r="A68" s="20">
        <v>67.0</v>
      </c>
      <c r="B68" s="20" t="s">
        <v>1828</v>
      </c>
      <c r="C68" s="20" t="s">
        <v>1829</v>
      </c>
      <c r="D68" s="20" t="s">
        <v>1830</v>
      </c>
      <c r="E68" s="20" t="s">
        <v>1831</v>
      </c>
      <c r="F68" s="9"/>
      <c r="G68" s="9"/>
      <c r="H68" s="9"/>
      <c r="I68" s="20" t="str">
        <f>IFERROR(__xludf.DUMMYFUNCTION("GOOGLETRANSLATE(B68,""ar"",""en"")
"),"If you notice that the horse is uncomfortable in the ring, how do you deal with it?")</f>
        <v>If you notice that the horse is uncomfortable in the ring, how do you deal with it?</v>
      </c>
      <c r="J68" s="20" t="str">
        <f>IFERROR(__xludf.DUMMYFUNCTION("GOOGLETRANSLATE(C68,""ar"",""en"")
"),"a) Change course slightly to find better ground; b) Stop immediately; c) Increase speed to get past the difficult area; d) Drop out of the race.")</f>
        <v>a) Change course slightly to find better ground; b) Stop immediately; c) Increase speed to get past the difficult area; d) Drop out of the race.</v>
      </c>
      <c r="K68" s="20" t="str">
        <f>IFERROR(__xludf.DUMMYFUNCTION("GOOGLETRANSLATE(D68,""ar"",""en"")
"),"Changing the route helps improve comfort and performance.")</f>
        <v>Changing the route helps improve comfort and performance.</v>
      </c>
      <c r="L68" s="20" t="str">
        <f>IFERROR(__xludf.DUMMYFUNCTION("GOOGLETRANSLATE(E68,""ar"",""en"")
"),"If you are in a race and feel that the barriers are unsafe, what do you do?")</f>
        <v>If you are in a race and feel that the barriers are unsafe, what do you do?</v>
      </c>
      <c r="M68" s="9"/>
      <c r="N68" s="9"/>
      <c r="O68" s="9"/>
      <c r="P68" s="9"/>
      <c r="Q68" s="9"/>
      <c r="R68" s="9"/>
      <c r="S68" s="9"/>
      <c r="T68" s="9"/>
      <c r="U68" s="9"/>
      <c r="V68" s="9"/>
      <c r="W68" s="9"/>
      <c r="X68" s="9"/>
      <c r="Y68" s="9"/>
      <c r="Z68" s="9"/>
      <c r="AA68" s="9"/>
      <c r="AB68" s="9"/>
      <c r="AC68" s="9"/>
      <c r="AD68" s="9"/>
      <c r="AE68" s="9"/>
      <c r="AF68" s="9"/>
      <c r="AG68" s="9"/>
    </row>
    <row r="69">
      <c r="A69" s="20">
        <v>68.0</v>
      </c>
      <c r="B69" s="20" t="s">
        <v>1831</v>
      </c>
      <c r="C69" s="20" t="s">
        <v>1832</v>
      </c>
      <c r="D69" s="20" t="s">
        <v>1833</v>
      </c>
      <c r="E69" s="20" t="s">
        <v>1834</v>
      </c>
      <c r="F69" s="9"/>
      <c r="G69" s="9"/>
      <c r="H69" s="9"/>
      <c r="I69" s="20" t="str">
        <f>IFERROR(__xludf.DUMMYFUNCTION("GOOGLETRANSLATE(B69,""ar"",""en"")
"),"If you are in a race and feel that the barriers are unsafe, what do you do?")</f>
        <v>If you are in a race and feel that the barriers are unsafe, what do you do?</v>
      </c>
      <c r="J69" s="20" t="str">
        <f>IFERROR(__xludf.DUMMYFUNCTION("GOOGLETRANSLATE(C69,""ar"",""en"")
"),"a) Reduce speed and handle the obstacles carefully; b) Jump with full force to clear them quickly; c) Ignore the danger; d) Request that the race be stopped.")</f>
        <v>a) Reduce speed and handle the obstacles carefully; b) Jump with full force to clear them quickly; c) Ignore the danger; d) Request that the race be stopped.</v>
      </c>
      <c r="K69" s="20" t="str">
        <f>IFERROR(__xludf.DUMMYFUNCTION("GOOGLETRANSLATE(D69,""ar"",""en"")
"),"Caution when jumping reduces the risks.")</f>
        <v>Caution when jumping reduces the risks.</v>
      </c>
      <c r="L69" s="20" t="str">
        <f>IFERROR(__xludf.DUMMYFUNCTION("GOOGLETRANSLATE(E69,""ar"",""en"")
"),"If you fall during the race, what should you do?")</f>
        <v>If you fall during the race, what should you do?</v>
      </c>
      <c r="M69" s="9"/>
      <c r="N69" s="9"/>
      <c r="O69" s="9"/>
      <c r="P69" s="9"/>
      <c r="Q69" s="9"/>
      <c r="R69" s="9"/>
      <c r="S69" s="9"/>
      <c r="T69" s="9"/>
      <c r="U69" s="9"/>
      <c r="V69" s="9"/>
      <c r="W69" s="9"/>
      <c r="X69" s="9"/>
      <c r="Y69" s="9"/>
      <c r="Z69" s="9"/>
      <c r="AA69" s="9"/>
      <c r="AB69" s="9"/>
      <c r="AC69" s="9"/>
      <c r="AD69" s="9"/>
      <c r="AE69" s="9"/>
      <c r="AF69" s="9"/>
      <c r="AG69" s="9"/>
    </row>
    <row r="70">
      <c r="A70" s="20">
        <v>69.0</v>
      </c>
      <c r="B70" s="20" t="s">
        <v>1835</v>
      </c>
      <c r="C70" s="20" t="s">
        <v>1836</v>
      </c>
      <c r="D70" s="20" t="s">
        <v>1837</v>
      </c>
      <c r="E70" s="20" t="s">
        <v>1838</v>
      </c>
      <c r="F70" s="9"/>
      <c r="G70" s="9"/>
      <c r="H70" s="9"/>
      <c r="I70" s="20" t="str">
        <f>IFERROR(__xludf.DUMMYFUNCTION("GOOGLETRANSLATE(B70,""ar"",""en"")
"),"If you fall during the race, what should you do?")</f>
        <v>If you fall during the race, what should you do?</v>
      </c>
      <c r="J70" s="20" t="str">
        <f>IFERROR(__xludf.DUMMYFUNCTION("GOOGLETRANSLATE(C70,""ar"",""en"")
"),"a) Check your health immediately; b) Continue the race regardless of the pain; c) Seek immediate medical assistance; d) Stop the race immediately.")</f>
        <v>a) Check your health immediately; b) Continue the race regardless of the pain; c) Seek immediate medical assistance; d) Stop the race immediately.</v>
      </c>
      <c r="K70" s="20" t="str">
        <f>IFERROR(__xludf.DUMMYFUNCTION("GOOGLETRANSLATE(D70,""ar"",""en"")
"),"Checking your safety first prevents injuries from worsening.")</f>
        <v>Checking your safety first prevents injuries from worsening.</v>
      </c>
      <c r="L70" s="20" t="str">
        <f>IFERROR(__xludf.DUMMYFUNCTION("GOOGLETRANSLATE(E70,""ar"",""en"")
"),"If the ground is slippery because of the rain, what do you do?")</f>
        <v>If the ground is slippery because of the rain, what do you do?</v>
      </c>
      <c r="M70" s="9"/>
      <c r="N70" s="9"/>
      <c r="O70" s="9"/>
      <c r="P70" s="9"/>
      <c r="Q70" s="9"/>
      <c r="R70" s="9"/>
      <c r="S70" s="9"/>
      <c r="T70" s="9"/>
      <c r="U70" s="9"/>
      <c r="V70" s="9"/>
      <c r="W70" s="9"/>
      <c r="X70" s="9"/>
      <c r="Y70" s="9"/>
      <c r="Z70" s="9"/>
      <c r="AA70" s="9"/>
      <c r="AB70" s="9"/>
      <c r="AC70" s="9"/>
      <c r="AD70" s="9"/>
      <c r="AE70" s="9"/>
      <c r="AF70" s="9"/>
      <c r="AG70" s="9"/>
    </row>
    <row r="71">
      <c r="A71" s="20">
        <v>70.0</v>
      </c>
      <c r="B71" s="20" t="s">
        <v>1838</v>
      </c>
      <c r="C71" s="20" t="s">
        <v>1839</v>
      </c>
      <c r="D71" s="20" t="s">
        <v>1840</v>
      </c>
      <c r="E71" s="20" t="s">
        <v>1841</v>
      </c>
      <c r="F71" s="9"/>
      <c r="G71" s="9"/>
      <c r="H71" s="9"/>
      <c r="I71" s="20" t="str">
        <f>IFERROR(__xludf.DUMMYFUNCTION("GOOGLETRANSLATE(B71,""ar"",""en"")
"),"If the ground is slippery because of the rain, what do you do?")</f>
        <v>If the ground is slippery because of the rain, what do you do?</v>
      </c>
      <c r="J71" s="20" t="str">
        <f>IFERROR(__xludf.DUMMYFUNCTION("GOOGLETRANSLATE(C71,""ar"",""en"")
"),"a) Gradually reduce speed; b) Maintain no change in speed; c) Attempt to jump faster; d) Stop the race. a) Gradually reduce speed")</f>
        <v>a) Gradually reduce speed; b) Maintain no change in speed; c) Attempt to jump faster; d) Stop the race. a) Gradually reduce speed</v>
      </c>
      <c r="K71" s="20" t="str">
        <f>IFERROR(__xludf.DUMMYFUNCTION("GOOGLETRANSLATE(D71,""ar"",""en"")
"),"Reducing speed prevents falls and helps maintain balance.")</f>
        <v>Reducing speed prevents falls and helps maintain balance.</v>
      </c>
      <c r="L71" s="20" t="str">
        <f>IFERROR(__xludf.DUMMYFUNCTION("GOOGLETRANSLATE(E71,""ar"",""en"")
"),"If the horse is behaving aggressively, how do you deal with it?")</f>
        <v>If the horse is behaving aggressively, how do you deal with it?</v>
      </c>
      <c r="M71" s="9"/>
      <c r="N71" s="9"/>
      <c r="O71" s="9"/>
      <c r="P71" s="9"/>
      <c r="Q71" s="9"/>
      <c r="R71" s="9"/>
      <c r="S71" s="9"/>
      <c r="T71" s="9"/>
      <c r="U71" s="9"/>
      <c r="V71" s="9"/>
      <c r="W71" s="9"/>
      <c r="X71" s="9"/>
      <c r="Y71" s="9"/>
      <c r="Z71" s="9"/>
      <c r="AA71" s="9"/>
      <c r="AB71" s="9"/>
      <c r="AC71" s="9"/>
      <c r="AD71" s="9"/>
      <c r="AE71" s="9"/>
      <c r="AF71" s="9"/>
      <c r="AG71" s="9"/>
    </row>
    <row r="72">
      <c r="A72" s="20">
        <v>71.0</v>
      </c>
      <c r="B72" s="20" t="s">
        <v>1841</v>
      </c>
      <c r="C72" s="20" t="s">
        <v>1842</v>
      </c>
      <c r="D72" s="20" t="s">
        <v>1843</v>
      </c>
      <c r="E72" s="20" t="s">
        <v>1844</v>
      </c>
      <c r="F72" s="9"/>
      <c r="G72" s="9"/>
      <c r="H72" s="9"/>
      <c r="I72" s="20" t="str">
        <f>IFERROR(__xludf.DUMMYFUNCTION("GOOGLETRANSLATE(B72,""ar"",""en"")
"),"If the horse is behaving aggressively, how do you deal with it?")</f>
        <v>If the horse is behaving aggressively, how do you deal with it?</v>
      </c>
      <c r="J72" s="20" t="str">
        <f>IFERROR(__xludf.DUMMYFUNCTION("GOOGLETRANSLATE(C72,""ar"",""en"")
"),"a) Calm him down gradually; b) Pressure him to cooperate; c) Ignore the problem; d) Replace him. a) Calm him down gradually")</f>
        <v>a) Calm him down gradually; b) Pressure him to cooperate; c) Ignore the problem; d) Replace him. a) Calm him down gradually</v>
      </c>
      <c r="K72" s="20" t="str">
        <f>IFERROR(__xludf.DUMMYFUNCTION("GOOGLETRANSLATE(D72,""ar"",""en"")
"),"A calm approach helps to reduce aggression.")</f>
        <v>A calm approach helps to reduce aggression.</v>
      </c>
      <c r="L72" s="20" t="str">
        <f>IFERROR(__xludf.DUMMYFUNCTION("GOOGLETRANSLATE(E72,""ar"",""en"")
"),"If the arena has difficult obstacles, what do you do?")</f>
        <v>If the arena has difficult obstacles, what do you do?</v>
      </c>
      <c r="M72" s="9"/>
      <c r="N72" s="9"/>
      <c r="O72" s="9"/>
      <c r="P72" s="9"/>
      <c r="Q72" s="9"/>
      <c r="R72" s="9"/>
      <c r="S72" s="9"/>
      <c r="T72" s="9"/>
      <c r="U72" s="9"/>
      <c r="V72" s="9"/>
      <c r="W72" s="9"/>
      <c r="X72" s="9"/>
      <c r="Y72" s="9"/>
      <c r="Z72" s="9"/>
      <c r="AA72" s="9"/>
      <c r="AB72" s="9"/>
      <c r="AC72" s="9"/>
      <c r="AD72" s="9"/>
      <c r="AE72" s="9"/>
      <c r="AF72" s="9"/>
      <c r="AG72" s="9"/>
    </row>
    <row r="73">
      <c r="A73" s="20">
        <v>72.0</v>
      </c>
      <c r="B73" s="20" t="s">
        <v>1844</v>
      </c>
      <c r="C73" s="20" t="s">
        <v>1845</v>
      </c>
      <c r="D73" s="20" t="s">
        <v>1846</v>
      </c>
      <c r="E73" s="20" t="s">
        <v>1847</v>
      </c>
      <c r="F73" s="9"/>
      <c r="G73" s="9"/>
      <c r="H73" s="9"/>
      <c r="I73" s="20" t="str">
        <f>IFERROR(__xludf.DUMMYFUNCTION("GOOGLETRANSLATE(B73,""ar"",""en"")
"),"If the arena has difficult obstacles, what do you do?")</f>
        <v>If the arena has difficult obstacles, what do you do?</v>
      </c>
      <c r="J73" s="20" t="str">
        <f>IFERROR(__xludf.DUMMYFUNCTION("GOOGLETRANSLATE(C73,""ar"",""en"")
"),"a) Train the horse over these obstacles before the race; b) Jump the obstacles immediately during the race; c) Reduce speed around the obstacles; d) Stop the race.")</f>
        <v>a) Train the horse over these obstacles before the race; b) Jump the obstacles immediately during the race; c) Reduce speed around the obstacles; d) Stop the race.</v>
      </c>
      <c r="K73" s="20" t="str">
        <f>IFERROR(__xludf.DUMMYFUNCTION("GOOGLETRANSLATE(D73,""ar"",""en"")
"),"Prior training enhances the ability to deal with obstacles.")</f>
        <v>Prior training enhances the ability to deal with obstacles.</v>
      </c>
      <c r="L73" s="20" t="str">
        <f>IFERROR(__xludf.DUMMYFUNCTION("GOOGLETRANSLATE(E73,""ar"",""en"")
"),"If a horse is feeling exhausted due to too many races, what do you do?")</f>
        <v>If a horse is feeling exhausted due to too many races, what do you do?</v>
      </c>
      <c r="M73" s="9"/>
      <c r="N73" s="9"/>
      <c r="O73" s="9"/>
      <c r="P73" s="9"/>
      <c r="Q73" s="9"/>
      <c r="R73" s="9"/>
      <c r="S73" s="9"/>
      <c r="T73" s="9"/>
      <c r="U73" s="9"/>
      <c r="V73" s="9"/>
      <c r="W73" s="9"/>
      <c r="X73" s="9"/>
      <c r="Y73" s="9"/>
      <c r="Z73" s="9"/>
      <c r="AA73" s="9"/>
      <c r="AB73" s="9"/>
      <c r="AC73" s="9"/>
      <c r="AD73" s="9"/>
      <c r="AE73" s="9"/>
      <c r="AF73" s="9"/>
      <c r="AG73" s="9"/>
    </row>
    <row r="74">
      <c r="A74" s="20">
        <v>73.0</v>
      </c>
      <c r="B74" s="20" t="s">
        <v>1847</v>
      </c>
      <c r="C74" s="20" t="s">
        <v>1848</v>
      </c>
      <c r="D74" s="20" t="s">
        <v>1849</v>
      </c>
      <c r="E74" s="20" t="s">
        <v>1850</v>
      </c>
      <c r="F74" s="9"/>
      <c r="G74" s="9"/>
      <c r="H74" s="9"/>
      <c r="I74" s="20" t="str">
        <f>IFERROR(__xludf.DUMMYFUNCTION("GOOGLETRANSLATE(B74,""ar"",""en"")
"),"If a horse is feeling exhausted due to too many races, what do you do?")</f>
        <v>If a horse is feeling exhausted due to too many races, what do you do?</v>
      </c>
      <c r="J74" s="20" t="str">
        <f>IFERROR(__xludf.DUMMYFUNCTION("GOOGLETRANSLATE(C74,""ar"",""en"")
"),"a) Give him a long rest before the next race; b) Ignore fatigue and start the race; c) Increase training; d) Reduce his participation in races for a period.")</f>
        <v>a) Give him a long rest before the next race; b) Ignore fatigue and start the race; c) Increase training; d) Reduce his participation in races for a period.</v>
      </c>
      <c r="K74" s="20" t="str">
        <f>IFERROR(__xludf.DUMMYFUNCTION("GOOGLETRANSLATE(D74,""ar"",""en"")
"),"Rest is important for restoring the horse's energy.")</f>
        <v>Rest is important for restoring the horse's energy.</v>
      </c>
      <c r="L74" s="20" t="str">
        <f>IFERROR(__xludf.DUMMYFUNCTION("GOOGLETRANSLATE(E74,""ar"",""en"")
"),"If you notice that the horse is suffering from psychological stress before the race, what do you do?")</f>
        <v>If you notice that the horse is suffering from psychological stress before the race, what do you do?</v>
      </c>
      <c r="M74" s="9"/>
      <c r="N74" s="9"/>
      <c r="O74" s="9"/>
      <c r="P74" s="9"/>
      <c r="Q74" s="9"/>
      <c r="R74" s="9"/>
      <c r="S74" s="9"/>
      <c r="T74" s="9"/>
      <c r="U74" s="9"/>
      <c r="V74" s="9"/>
      <c r="W74" s="9"/>
      <c r="X74" s="9"/>
      <c r="Y74" s="9"/>
      <c r="Z74" s="9"/>
      <c r="AA74" s="9"/>
      <c r="AB74" s="9"/>
      <c r="AC74" s="9"/>
      <c r="AD74" s="9"/>
      <c r="AE74" s="9"/>
      <c r="AF74" s="9"/>
      <c r="AG74" s="9"/>
    </row>
    <row r="75">
      <c r="A75" s="20">
        <v>74.0</v>
      </c>
      <c r="B75" s="20" t="s">
        <v>1850</v>
      </c>
      <c r="C75" s="20" t="s">
        <v>1851</v>
      </c>
      <c r="D75" s="20" t="s">
        <v>1852</v>
      </c>
      <c r="E75" s="20" t="s">
        <v>1853</v>
      </c>
      <c r="F75" s="9"/>
      <c r="G75" s="9"/>
      <c r="H75" s="9"/>
      <c r="I75" s="20" t="str">
        <f>IFERROR(__xludf.DUMMYFUNCTION("GOOGLETRANSLATE(B75,""ar"",""en"")
"),"If you notice that the horse is suffering from psychological stress before the race, what do you do?")</f>
        <v>If you notice that the horse is suffering from psychological stress before the race, what do you do?</v>
      </c>
      <c r="J75" s="20" t="str">
        <f>IFERROR(__xludf.DUMMYFUNCTION("GOOGLETRANSLATE(C75,""ar"",""en"")
"),"a) Calming him down and giving him time to relax; b) Forcing him to train; c) Ignoring his stress; d) Giving him some nutritional supplements.")</f>
        <v>a) Calming him down and giving him time to relax; b) Forcing him to train; c) Ignoring his stress; d) Giving him some nutritional supplements.</v>
      </c>
      <c r="K75" s="20" t="str">
        <f>IFERROR(__xludf.DUMMYFUNCTION("GOOGLETRANSLATE(D75,""ar"",""en"")
"),"Giving the horse time to relax helps reduce stress.")</f>
        <v>Giving the horse time to relax helps reduce stress.</v>
      </c>
      <c r="L75" s="20" t="str">
        <f>IFERROR(__xludf.DUMMYFUNCTION("GOOGLETRANSLATE(E75,""ar"",""en"")
"),"If you notice that your competitors are closing in on you quickly during a race, what do you do?")</f>
        <v>If you notice that your competitors are closing in on you quickly during a race, what do you do?</v>
      </c>
      <c r="M75" s="9"/>
      <c r="N75" s="9"/>
      <c r="O75" s="9"/>
      <c r="P75" s="9"/>
      <c r="Q75" s="9"/>
      <c r="R75" s="9"/>
      <c r="S75" s="9"/>
      <c r="T75" s="9"/>
      <c r="U75" s="9"/>
      <c r="V75" s="9"/>
      <c r="W75" s="9"/>
      <c r="X75" s="9"/>
      <c r="Y75" s="9"/>
      <c r="Z75" s="9"/>
      <c r="AA75" s="9"/>
      <c r="AB75" s="9"/>
      <c r="AC75" s="9"/>
      <c r="AD75" s="9"/>
      <c r="AE75" s="9"/>
      <c r="AF75" s="9"/>
      <c r="AG75" s="9"/>
    </row>
    <row r="76">
      <c r="A76" s="20">
        <v>75.0</v>
      </c>
      <c r="B76" s="20" t="s">
        <v>1853</v>
      </c>
      <c r="C76" s="20" t="s">
        <v>1854</v>
      </c>
      <c r="D76" s="20" t="s">
        <v>1855</v>
      </c>
      <c r="E76" s="20" t="s">
        <v>1856</v>
      </c>
      <c r="F76" s="9"/>
      <c r="G76" s="9"/>
      <c r="H76" s="9"/>
      <c r="I76" s="20" t="str">
        <f>IFERROR(__xludf.DUMMYFUNCTION("GOOGLETRANSLATE(B76,""ar"",""en"")
"),"If you notice that your competitors are closing in on you quickly during a race, what do you do?")</f>
        <v>If you notice that your competitors are closing in on you quickly during a race, what do you do?</v>
      </c>
      <c r="J76" s="20" t="str">
        <f>IFERROR(__xludf.DUMMYFUNCTION("GOOGLETRANSLATE(C76,""ar"",""en"")
"),"a) A sudden increase in speed; b) Stimulation to increase performance; c) Maintaining the same speed; d) Retreating to conserve energy; b) Stimulation to increase performance")</f>
        <v>a) A sudden increase in speed; b) Stimulation to increase performance; c) Maintaining the same speed; d) Retreating to conserve energy; b) Stimulation to increase performance</v>
      </c>
      <c r="K76" s="20" t="str">
        <f>IFERROR(__xludf.DUMMYFUNCTION("GOOGLETRANSLATE(D76,""ar"",""en"")
"),"Motivation helps maintain the distance between you and your competitors.")</f>
        <v>Motivation helps maintain the distance between you and your competitors.</v>
      </c>
      <c r="L76" s="20" t="str">
        <f>IFERROR(__xludf.DUMMYFUNCTION("GOOGLETRANSLATE(E76,""ar"",""en"")
"),"If the temperature is high during the race, what should you do?")</f>
        <v>If the temperature is high during the race, what should you do?</v>
      </c>
      <c r="M76" s="9"/>
      <c r="N76" s="9"/>
      <c r="O76" s="9"/>
      <c r="P76" s="9"/>
      <c r="Q76" s="9"/>
      <c r="R76" s="9"/>
      <c r="S76" s="9"/>
      <c r="T76" s="9"/>
      <c r="U76" s="9"/>
      <c r="V76" s="9"/>
      <c r="W76" s="9"/>
      <c r="X76" s="9"/>
      <c r="Y76" s="9"/>
      <c r="Z76" s="9"/>
      <c r="AA76" s="9"/>
      <c r="AB76" s="9"/>
      <c r="AC76" s="9"/>
      <c r="AD76" s="9"/>
      <c r="AE76" s="9"/>
      <c r="AF76" s="9"/>
      <c r="AG76" s="9"/>
    </row>
    <row r="77">
      <c r="A77" s="20">
        <v>76.0</v>
      </c>
      <c r="B77" s="20" t="s">
        <v>1857</v>
      </c>
      <c r="C77" s="20" t="s">
        <v>1858</v>
      </c>
      <c r="D77" s="20" t="s">
        <v>1859</v>
      </c>
      <c r="E77" s="20" t="s">
        <v>1860</v>
      </c>
      <c r="F77" s="9"/>
      <c r="G77" s="9"/>
      <c r="H77" s="9"/>
      <c r="I77" s="20" t="str">
        <f>IFERROR(__xludf.DUMMYFUNCTION("GOOGLETRANSLATE(B77,""ar"",""en"")
"),"If the temperature is high during the race, what should you do?")</f>
        <v>If the temperature is high during the race, what should you do?</v>
      </c>
      <c r="J77" s="20" t="str">
        <f>IFERROR(__xludf.DUMMYFUNCTION("GOOGLETRANSLATE(C77,""ar"",""en"")
"),"a) Give the horse some water; b) Continue racing at full speed; c) Stop immediately; d) Run at a slow pace.")</f>
        <v>a) Give the horse some water; b) Continue racing at full speed; c) Stop immediately; d) Run at a slow pace.</v>
      </c>
      <c r="K77" s="20" t="str">
        <f>IFERROR(__xludf.DUMMYFUNCTION("GOOGLETRANSLATE(D77,""ar"",""en"")
"),"Water is essential to maintain a horse's endurance in hot weather.")</f>
        <v>Water is essential to maintain a horse's endurance in hot weather.</v>
      </c>
      <c r="L77" s="20" t="str">
        <f>IFERROR(__xludf.DUMMYFUNCTION("GOOGLETRANSLATE(E77,""ar"",""en"")
"),"If you are at the beginning of the race and the competitors are starting fast, what do you do?")</f>
        <v>If you are at the beginning of the race and the competitors are starting fast, what do you do?</v>
      </c>
      <c r="M77" s="9"/>
      <c r="N77" s="9"/>
      <c r="O77" s="9"/>
      <c r="P77" s="9"/>
      <c r="Q77" s="9"/>
      <c r="R77" s="9"/>
      <c r="S77" s="9"/>
      <c r="T77" s="9"/>
      <c r="U77" s="9"/>
      <c r="V77" s="9"/>
      <c r="W77" s="9"/>
      <c r="X77" s="9"/>
      <c r="Y77" s="9"/>
      <c r="Z77" s="9"/>
      <c r="AA77" s="9"/>
      <c r="AB77" s="9"/>
      <c r="AC77" s="9"/>
      <c r="AD77" s="9"/>
      <c r="AE77" s="9"/>
      <c r="AF77" s="9"/>
      <c r="AG77" s="9"/>
    </row>
    <row r="78">
      <c r="A78" s="20">
        <v>77.0</v>
      </c>
      <c r="B78" s="20" t="s">
        <v>1860</v>
      </c>
      <c r="C78" s="20" t="s">
        <v>1861</v>
      </c>
      <c r="D78" s="20" t="s">
        <v>1862</v>
      </c>
      <c r="E78" s="20" t="s">
        <v>1863</v>
      </c>
      <c r="F78" s="9"/>
      <c r="G78" s="9"/>
      <c r="H78" s="9"/>
      <c r="I78" s="20" t="str">
        <f>IFERROR(__xludf.DUMMYFUNCTION("GOOGLETRANSLATE(B78,""ar"",""en"")
"),"If you are at the beginning of the race and the competitors are starting fast, what do you do?")</f>
        <v>If you are at the beginning of the race and the competitors are starting fast, what do you do?</v>
      </c>
      <c r="J78" s="20" t="str">
        <f>IFERROR(__xludf.DUMMYFUNCTION("GOOGLETRANSLATE(C78,""ar"",""en"")
"),"a) Maintain a steady pace; b) Race faster; c) Slow down to conserve energy; d) Attempt a sudden change of direction. a) Maintain a steady pace")</f>
        <v>a) Maintain a steady pace; b) Race faster; c) Slow down to conserve energy; d) Attempt a sudden change of direction. a) Maintain a steady pace</v>
      </c>
      <c r="K78" s="20" t="str">
        <f>IFERROR(__xludf.DUMMYFUNCTION("GOOGLETRANSLATE(D78,""ar"",""en"")
"),"Maintaining the pace helps in sustained performance.")</f>
        <v>Maintaining the pace helps in sustained performance.</v>
      </c>
      <c r="L78" s="20" t="str">
        <f>IFERROR(__xludf.DUMMYFUNCTION("GOOGLETRANSLATE(E78,""ar"",""en"")
"),"If the horse is late for its departure time, how do you react?")</f>
        <v>If the horse is late for its departure time, how do you react?</v>
      </c>
      <c r="M78" s="9"/>
      <c r="N78" s="9"/>
      <c r="O78" s="9"/>
      <c r="P78" s="9"/>
      <c r="Q78" s="9"/>
      <c r="R78" s="9"/>
      <c r="S78" s="9"/>
      <c r="T78" s="9"/>
      <c r="U78" s="9"/>
      <c r="V78" s="9"/>
      <c r="W78" s="9"/>
      <c r="X78" s="9"/>
      <c r="Y78" s="9"/>
      <c r="Z78" s="9"/>
      <c r="AA78" s="9"/>
      <c r="AB78" s="9"/>
      <c r="AC78" s="9"/>
      <c r="AD78" s="9"/>
      <c r="AE78" s="9"/>
      <c r="AF78" s="9"/>
      <c r="AG78" s="9"/>
    </row>
    <row r="79">
      <c r="A79" s="20">
        <v>78.0</v>
      </c>
      <c r="B79" s="20" t="s">
        <v>1863</v>
      </c>
      <c r="C79" s="20" t="s">
        <v>1864</v>
      </c>
      <c r="D79" s="20" t="s">
        <v>1865</v>
      </c>
      <c r="E79" s="20" t="s">
        <v>1866</v>
      </c>
      <c r="F79" s="9"/>
      <c r="G79" s="9"/>
      <c r="H79" s="9"/>
      <c r="I79" s="20" t="str">
        <f>IFERROR(__xludf.DUMMYFUNCTION("GOOGLETRANSLATE(B79,""ar"",""en"")
"),"If the horse is late for its departure time, how do you react?")</f>
        <v>If the horse is late for its departure time, how do you react?</v>
      </c>
      <c r="J79" s="20" t="str">
        <f>IFERROR(__xludf.DUMMYFUNCTION("GOOGLETRANSLATE(C79,""ar"",""en"")
"),"a) Pressuring him to speed up; b) Giving him a chance to calm down first; c) Ignoring the delay; d) Postponing the race.")</f>
        <v>a) Pressuring him to speed up; b) Giving him a chance to calm down first; c) Ignoring the delay; d) Postponing the race.</v>
      </c>
      <c r="K79" s="20" t="str">
        <f>IFERROR(__xludf.DUMMYFUNCTION("GOOGLETRANSLATE(D79,""ar"",""en"")
"),"Giving the horse time to relax helps improve its performance.")</f>
        <v>Giving the horse time to relax helps improve its performance.</v>
      </c>
      <c r="L79" s="20" t="str">
        <f>IFERROR(__xludf.DUMMYFUNCTION("GOOGLETRANSLATE(E79,""ar"",""en"")
"),"If you are in a long race, what do you do to avoid getting exhausted?")</f>
        <v>If you are in a long race, what do you do to avoid getting exhausted?</v>
      </c>
      <c r="M79" s="9"/>
      <c r="N79" s="9"/>
      <c r="O79" s="9"/>
      <c r="P79" s="9"/>
      <c r="Q79" s="9"/>
      <c r="R79" s="9"/>
      <c r="S79" s="9"/>
      <c r="T79" s="9"/>
      <c r="U79" s="9"/>
      <c r="V79" s="9"/>
      <c r="W79" s="9"/>
      <c r="X79" s="9"/>
      <c r="Y79" s="9"/>
      <c r="Z79" s="9"/>
      <c r="AA79" s="9"/>
      <c r="AB79" s="9"/>
      <c r="AC79" s="9"/>
      <c r="AD79" s="9"/>
      <c r="AE79" s="9"/>
      <c r="AF79" s="9"/>
      <c r="AG79" s="9"/>
    </row>
    <row r="80">
      <c r="A80" s="20">
        <v>79.0</v>
      </c>
      <c r="B80" s="20" t="s">
        <v>1867</v>
      </c>
      <c r="C80" s="20" t="s">
        <v>1868</v>
      </c>
      <c r="D80" s="20" t="s">
        <v>1869</v>
      </c>
      <c r="E80" s="20" t="s">
        <v>1870</v>
      </c>
      <c r="F80" s="9"/>
      <c r="G80" s="9"/>
      <c r="H80" s="9"/>
      <c r="I80" s="20" t="str">
        <f>IFERROR(__xludf.DUMMYFUNCTION("GOOGLETRANSLATE(B80,""ar"",""en"")
"),"If you are in a long race, what do you do to avoid getting tired?")</f>
        <v>If you are in a long race, what do you do to avoid getting tired?</v>
      </c>
      <c r="J80" s="20" t="str">
        <f>IFERROR(__xludf.DUMMYFUNCTION("GOOGLETRANSLATE(C80,""ar"",""en"")
"),"a) Maintain a balanced pace; b) Accelerate mid-race; c) Continuously reduce speed; d) Stop to rest several times.")</f>
        <v>a) Maintain a balanced pace; b) Accelerate mid-race; c) Continuously reduce speed; d) Stop to rest several times.</v>
      </c>
      <c r="K80" s="20" t="str">
        <f>IFERROR(__xludf.DUMMYFUNCTION("GOOGLETRANSLATE(D80,""ar"",""en"")
"),"A balanced pace prevents excessive fatigue.")</f>
        <v>A balanced pace prevents excessive fatigue.</v>
      </c>
      <c r="L80" s="20" t="str">
        <f>IFERROR(__xludf.DUMMYFUNCTION("GOOGLETRANSLATE(E80,""ar"",""en"")
"),"If the horse is showing signs of mental stress, how do you deal with it?")</f>
        <v>If the horse is showing signs of mental stress, how do you deal with it?</v>
      </c>
      <c r="M80" s="9"/>
      <c r="N80" s="9"/>
      <c r="O80" s="9"/>
      <c r="P80" s="9"/>
      <c r="Q80" s="9"/>
      <c r="R80" s="9"/>
      <c r="S80" s="9"/>
      <c r="T80" s="9"/>
      <c r="U80" s="9"/>
      <c r="V80" s="9"/>
      <c r="W80" s="9"/>
      <c r="X80" s="9"/>
      <c r="Y80" s="9"/>
      <c r="Z80" s="9"/>
      <c r="AA80" s="9"/>
      <c r="AB80" s="9"/>
      <c r="AC80" s="9"/>
      <c r="AD80" s="9"/>
      <c r="AE80" s="9"/>
      <c r="AF80" s="9"/>
      <c r="AG80" s="9"/>
    </row>
    <row r="81">
      <c r="A81" s="20">
        <v>80.0</v>
      </c>
      <c r="B81" s="20" t="s">
        <v>1870</v>
      </c>
      <c r="C81" s="20" t="s">
        <v>1871</v>
      </c>
      <c r="D81" s="20" t="s">
        <v>1872</v>
      </c>
      <c r="E81" s="20" t="s">
        <v>1873</v>
      </c>
      <c r="F81" s="9"/>
      <c r="G81" s="9"/>
      <c r="H81" s="9"/>
      <c r="I81" s="20" t="str">
        <f>IFERROR(__xludf.DUMMYFUNCTION("GOOGLETRANSLATE(B81,""ar"",""en"")
"),"If the horse is showing signs of mental stress, how do you deal with it?")</f>
        <v>If the horse is showing signs of mental stress, how do you deal with it?</v>
      </c>
      <c r="J81" s="20" t="str">
        <f>IFERROR(__xludf.DUMMYFUNCTION("GOOGLETRANSLATE(C81,""ar"",""en"")
"),"a) Gently calm him down; b) Ignore the symptoms; c) Push him to stay active; d) Replace him with another horse.")</f>
        <v>a) Gently calm him down; b) Ignore the symptoms; c) Push him to stay active; d) Replace him with another horse.</v>
      </c>
      <c r="K81" s="20" t="str">
        <f>IFERROR(__xludf.DUMMYFUNCTION("GOOGLETRANSLATE(D81,""ar"",""en"")
"),"Calming the horse helps reduce mental stress.")</f>
        <v>Calming the horse helps reduce mental stress.</v>
      </c>
      <c r="L81" s="20" t="str">
        <f>IFERROR(__xludf.DUMMYFUNCTION("GOOGLETRANSLATE(E81,""ar"",""en"")
"),"If you notice that the horse is having difficulty breathing during the race, what do you do?")</f>
        <v>If you notice that the horse is having difficulty breathing during the race, what do you do?</v>
      </c>
      <c r="M81" s="9"/>
      <c r="N81" s="9"/>
      <c r="O81" s="9"/>
      <c r="P81" s="9"/>
      <c r="Q81" s="9"/>
      <c r="R81" s="9"/>
      <c r="S81" s="9"/>
      <c r="T81" s="9"/>
      <c r="U81" s="9"/>
      <c r="V81" s="9"/>
      <c r="W81" s="9"/>
      <c r="X81" s="9"/>
      <c r="Y81" s="9"/>
      <c r="Z81" s="9"/>
      <c r="AA81" s="9"/>
      <c r="AB81" s="9"/>
      <c r="AC81" s="9"/>
      <c r="AD81" s="9"/>
      <c r="AE81" s="9"/>
      <c r="AF81" s="9"/>
      <c r="AG81" s="9"/>
    </row>
    <row r="82">
      <c r="A82" s="20">
        <v>81.0</v>
      </c>
      <c r="B82" s="20" t="s">
        <v>1873</v>
      </c>
      <c r="C82" s="20" t="s">
        <v>1874</v>
      </c>
      <c r="D82" s="20" t="s">
        <v>1875</v>
      </c>
      <c r="E82" s="20" t="s">
        <v>1876</v>
      </c>
      <c r="F82" s="9"/>
      <c r="G82" s="9"/>
      <c r="H82" s="9"/>
      <c r="I82" s="20" t="str">
        <f>IFERROR(__xludf.DUMMYFUNCTION("GOOGLETRANSLATE(B82,""ar"",""en"")
"),"If you notice that the horse is having difficulty breathing during the race, what do you do?")</f>
        <v>If you notice that the horse is having difficulty breathing during the race, what do you do?</v>
      </c>
      <c r="J82" s="20" t="str">
        <f>IFERROR(__xludf.DUMMYFUNCTION("GOOGLETRANSLATE(C82,""ar"",""en"")
"),"a) Reduce speed; b) Replace with another horse; c) Continue the race; d) Stop immediately")</f>
        <v>a) Reduce speed; b) Replace with another horse; c) Continue the race; d) Stop immediately</v>
      </c>
      <c r="K82" s="20" t="str">
        <f>IFERROR(__xludf.DUMMYFUNCTION("GOOGLETRANSLATE(D82,""ar"",""en"")
"),"a) Reducing speed: Reducing speed helps to relieve pressure on the horse's respiratory system.")</f>
        <v>a) Reducing speed: Reducing speed helps to relieve pressure on the horse's respiratory system.</v>
      </c>
      <c r="L82" s="20" t="str">
        <f>IFERROR(__xludf.DUMMYFUNCTION("GOOGLETRANSLATE(E82,""ar"",""en"")
"),"If you feel that the horse is not responding to your signals during the race, what do you do?")</f>
        <v>If you feel that the horse is not responding to your signals during the race, what do you do?</v>
      </c>
      <c r="M82" s="9"/>
      <c r="N82" s="9"/>
      <c r="O82" s="9"/>
      <c r="P82" s="9"/>
      <c r="Q82" s="9"/>
      <c r="R82" s="9"/>
      <c r="S82" s="9"/>
      <c r="T82" s="9"/>
      <c r="U82" s="9"/>
      <c r="V82" s="9"/>
      <c r="W82" s="9"/>
      <c r="X82" s="9"/>
      <c r="Y82" s="9"/>
      <c r="Z82" s="9"/>
      <c r="AA82" s="9"/>
      <c r="AB82" s="9"/>
      <c r="AC82" s="9"/>
      <c r="AD82" s="9"/>
      <c r="AE82" s="9"/>
      <c r="AF82" s="9"/>
      <c r="AG82" s="9"/>
    </row>
    <row r="83">
      <c r="A83" s="20">
        <v>82.0</v>
      </c>
      <c r="B83" s="20" t="s">
        <v>1876</v>
      </c>
      <c r="C83" s="20" t="s">
        <v>1877</v>
      </c>
      <c r="D83" s="20" t="s">
        <v>1878</v>
      </c>
      <c r="E83" s="20" t="s">
        <v>1879</v>
      </c>
      <c r="F83" s="9"/>
      <c r="G83" s="9"/>
      <c r="H83" s="9"/>
      <c r="I83" s="20" t="str">
        <f>IFERROR(__xludf.DUMMYFUNCTION("GOOGLETRANSLATE(B83,""ar"",""en"")
"),"If you feel that the horse is not responding to your signals during the race, what do you do?")</f>
        <v>If you feel that the horse is not responding to your signals during the race, what do you do?</v>
      </c>
      <c r="J83" s="20" t="str">
        <f>IFERROR(__xludf.DUMMYFUNCTION("GOOGLETRANSLATE(C83,""ar"",""en"")
"),"a) Change driving style; b) Push harder; c) Slow down; d) Stop racing")</f>
        <v>a) Change driving style; b) Push harder; c) Slow down; d) Stop racing</v>
      </c>
      <c r="K83" s="20" t="str">
        <f>IFERROR(__xludf.DUMMYFUNCTION("GOOGLETRANSLATE(D83,""ar"",""en"")
"),"a) Changing the driving style: Changing the driving style may help improve interaction with the horse.")</f>
        <v>a) Changing the driving style: Changing the driving style may help improve interaction with the horse.</v>
      </c>
      <c r="L83" s="20" t="str">
        <f>IFERROR(__xludf.DUMMYFUNCTION("GOOGLETRANSLATE(E83,""ar"",""en"")
"),"If the distance between you and your competitors is very narrow in the race, what do you do?")</f>
        <v>If the distance between you and your competitors is very narrow in the race, what do you do?</v>
      </c>
      <c r="M83" s="9"/>
      <c r="N83" s="9"/>
      <c r="O83" s="9"/>
      <c r="P83" s="9"/>
      <c r="Q83" s="9"/>
      <c r="R83" s="9"/>
      <c r="S83" s="9"/>
      <c r="T83" s="9"/>
      <c r="U83" s="9"/>
      <c r="V83" s="9"/>
      <c r="W83" s="9"/>
      <c r="X83" s="9"/>
      <c r="Y83" s="9"/>
      <c r="Z83" s="9"/>
      <c r="AA83" s="9"/>
      <c r="AB83" s="9"/>
      <c r="AC83" s="9"/>
      <c r="AD83" s="9"/>
      <c r="AE83" s="9"/>
      <c r="AF83" s="9"/>
      <c r="AG83" s="9"/>
    </row>
    <row r="84">
      <c r="A84" s="20">
        <v>83.0</v>
      </c>
      <c r="B84" s="20" t="s">
        <v>1879</v>
      </c>
      <c r="C84" s="20" t="s">
        <v>1880</v>
      </c>
      <c r="D84" s="20" t="s">
        <v>1881</v>
      </c>
      <c r="E84" s="20" t="s">
        <v>1882</v>
      </c>
      <c r="F84" s="9"/>
      <c r="G84" s="9"/>
      <c r="H84" s="9"/>
      <c r="I84" s="20" t="str">
        <f>IFERROR(__xludf.DUMMYFUNCTION("GOOGLETRANSLATE(B84,""ar"",""en"")
"),"If the distance between you and your competitors is very narrow in the race, what do you do?")</f>
        <v>If the distance between you and your competitors is very narrow in the race, what do you do?</v>
      </c>
      <c r="J84" s="20" t="str">
        <f>IFERROR(__xludf.DUMMYFUNCTION("GOOGLETRANSLATE(C84,""ar"",""en"")
"),"a) Increase speed to overtake them; b) Maintain the same speed; c) Slow down to avoid hazards; d) Attempt to change course")</f>
        <v>a) Increase speed to overtake them; b) Maintain the same speed; c) Slow down to avoid hazards; d) Attempt to change course</v>
      </c>
      <c r="K84" s="20" t="str">
        <f>IFERROR(__xludf.DUMMYFUNCTION("GOOGLETRANSLATE(D84,""ar"",""en"")
"),"a) Increase speed to outperform them; increasing speed may help in overtaking competitors.")</f>
        <v>a) Increase speed to outperform them; increasing speed may help in overtaking competitors.</v>
      </c>
      <c r="L84" s="20" t="str">
        <f>IFERROR(__xludf.DUMMYFUNCTION("GOOGLETRANSLATE(E84,""ar"",""en"")
"),"If you notice that the horse is having difficulty maintaining its balance, what do you do?")</f>
        <v>If you notice that the horse is having difficulty maintaining its balance, what do you do?</v>
      </c>
      <c r="M84" s="9"/>
      <c r="N84" s="9"/>
      <c r="O84" s="9"/>
      <c r="P84" s="9"/>
      <c r="Q84" s="9"/>
      <c r="R84" s="9"/>
      <c r="S84" s="9"/>
      <c r="T84" s="9"/>
      <c r="U84" s="9"/>
      <c r="V84" s="9"/>
      <c r="W84" s="9"/>
      <c r="X84" s="9"/>
      <c r="Y84" s="9"/>
      <c r="Z84" s="9"/>
      <c r="AA84" s="9"/>
      <c r="AB84" s="9"/>
      <c r="AC84" s="9"/>
      <c r="AD84" s="9"/>
      <c r="AE84" s="9"/>
      <c r="AF84" s="9"/>
      <c r="AG84" s="9"/>
    </row>
    <row r="85">
      <c r="A85" s="20">
        <v>84.0</v>
      </c>
      <c r="B85" s="20" t="s">
        <v>1882</v>
      </c>
      <c r="C85" s="20" t="s">
        <v>1883</v>
      </c>
      <c r="D85" s="20" t="s">
        <v>1884</v>
      </c>
      <c r="E85" s="20" t="s">
        <v>1885</v>
      </c>
      <c r="F85" s="9"/>
      <c r="G85" s="9"/>
      <c r="H85" s="9"/>
      <c r="I85" s="20" t="str">
        <f>IFERROR(__xludf.DUMMYFUNCTION("GOOGLETRANSLATE(B85,""ar"",""en"")
"),"If you notice that the horse is having difficulty maintaining its balance, what do you do?")</f>
        <v>If you notice that the horse is having difficulty maintaining its balance, what do you do?</v>
      </c>
      <c r="J85" s="20" t="str">
        <f>IFERROR(__xludf.DUMMYFUNCTION("GOOGLETRANSLATE(C85,""ar"",""en"")
"),"a) Reduce the speed and let it rest for a while; b) Increase the speed to accelerate the movement; c) Continue pushing it to speed up; d) Replace it with another horse.")</f>
        <v>a) Reduce the speed and let it rest for a while; b) Increase the speed to accelerate the movement; c) Continue pushing it to speed up; d) Replace it with another horse.</v>
      </c>
      <c r="K85" s="20" t="str">
        <f>IFERROR(__xludf.DUMMYFUNCTION("GOOGLETRANSLATE(D85,""ar"",""en"")
"),"a) Reduce the speed and let him rest a little. Giving the horse some time to rest helps him regain his balance.")</f>
        <v>a) Reduce the speed and let him rest a little. Giving the horse some time to rest helps him regain his balance.</v>
      </c>
      <c r="L85" s="20" t="str">
        <f>IFERROR(__xludf.DUMMYFUNCTION("GOOGLETRANSLATE(E85,""ar"",""en"")
"),"If a horse experiences slight bleeding during a race, what should you do?")</f>
        <v>If a horse experiences slight bleeding during a race, what should you do?</v>
      </c>
      <c r="M85" s="9"/>
      <c r="N85" s="9"/>
      <c r="O85" s="9"/>
      <c r="P85" s="9"/>
      <c r="Q85" s="9"/>
      <c r="R85" s="9"/>
      <c r="S85" s="9"/>
      <c r="T85" s="9"/>
      <c r="U85" s="9"/>
      <c r="V85" s="9"/>
      <c r="W85" s="9"/>
      <c r="X85" s="9"/>
      <c r="Y85" s="9"/>
      <c r="Z85" s="9"/>
      <c r="AA85" s="9"/>
      <c r="AB85" s="9"/>
      <c r="AC85" s="9"/>
      <c r="AD85" s="9"/>
      <c r="AE85" s="9"/>
      <c r="AF85" s="9"/>
      <c r="AG85" s="9"/>
    </row>
    <row r="86">
      <c r="A86" s="20">
        <v>85.0</v>
      </c>
      <c r="B86" s="20" t="s">
        <v>1885</v>
      </c>
      <c r="C86" s="20" t="s">
        <v>1886</v>
      </c>
      <c r="D86" s="20" t="s">
        <v>1887</v>
      </c>
      <c r="E86" s="20" t="s">
        <v>1888</v>
      </c>
      <c r="F86" s="9"/>
      <c r="G86" s="9"/>
      <c r="H86" s="9"/>
      <c r="I86" s="20" t="str">
        <f>IFERROR(__xludf.DUMMYFUNCTION("GOOGLETRANSLATE(B86,""ar"",""en"")
"),"If a horse experiences slight bleeding during a race, what should you do?")</f>
        <v>If a horse experiences slight bleeding during a race, what should you do?</v>
      </c>
      <c r="J86" s="20" t="str">
        <f>IFERROR(__xludf.DUMMYFUNCTION("GOOGLETRANSLATE(C86,""ar"",""en"")
"),"a) Stop immediately to administer first aid; b) Continue racing and ignore the bleeding; c) Simply reduce speed; d) Seek assistance from the medical team")</f>
        <v>a) Stop immediately to administer first aid; b) Continue racing and ignore the bleeding; c) Simply reduce speed; d) Seek assistance from the medical team</v>
      </c>
      <c r="K86" s="20" t="str">
        <f>IFERROR(__xludf.DUMMYFUNCTION("GOOGLETRANSLATE(D86,""ar"",""en"")
"),"a) Stop immediately to provide first aid; immediate first aid may prevent the bleeding from worsening.")</f>
        <v>a) Stop immediately to provide first aid; immediate first aid may prevent the bleeding from worsening.</v>
      </c>
      <c r="L86" s="20" t="str">
        <f>IFERROR(__xludf.DUMMYFUNCTION("GOOGLETRANSLATE(E86,""ar"",""en"")
"),"If the arena has an uneven floor, what do you do?")</f>
        <v>If the arena has an uneven floor, what do you do?</v>
      </c>
      <c r="M86" s="9"/>
      <c r="N86" s="9"/>
      <c r="O86" s="9"/>
      <c r="P86" s="9"/>
      <c r="Q86" s="9"/>
      <c r="R86" s="9"/>
      <c r="S86" s="9"/>
      <c r="T86" s="9"/>
      <c r="U86" s="9"/>
      <c r="V86" s="9"/>
      <c r="W86" s="9"/>
      <c r="X86" s="9"/>
      <c r="Y86" s="9"/>
      <c r="Z86" s="9"/>
      <c r="AA86" s="9"/>
      <c r="AB86" s="9"/>
      <c r="AC86" s="9"/>
      <c r="AD86" s="9"/>
      <c r="AE86" s="9"/>
      <c r="AF86" s="9"/>
      <c r="AG86" s="9"/>
    </row>
    <row r="87">
      <c r="A87" s="20">
        <v>86.0</v>
      </c>
      <c r="B87" s="20" t="s">
        <v>1888</v>
      </c>
      <c r="C87" s="20" t="s">
        <v>1889</v>
      </c>
      <c r="D87" s="20" t="s">
        <v>1890</v>
      </c>
      <c r="E87" s="20" t="s">
        <v>1891</v>
      </c>
      <c r="F87" s="9"/>
      <c r="G87" s="9"/>
      <c r="H87" s="9"/>
      <c r="I87" s="20" t="str">
        <f>IFERROR(__xludf.DUMMYFUNCTION("GOOGLETRANSLATE(B87,""ar"",""en"")
"),"If the arena has an uneven floor, what do you do?")</f>
        <v>If the arena has an uneven floor, what do you do?</v>
      </c>
      <c r="J87" s="20" t="str">
        <f>IFERROR(__xludf.DUMMYFUNCTION("GOOGLETRANSLATE(C87,""ar"",""en"")
"),"a) Adjust speed according to the situation; b) Gradually reduce speed; c) Try to overcome the difficult terrain quickly; d) Withdraw from the race")</f>
        <v>a) Adjust speed according to the situation; b) Gradually reduce speed; c) Try to overcome the difficult terrain quickly; d) Withdraw from the race</v>
      </c>
      <c r="K87" s="20" t="str">
        <f>IFERROR(__xludf.DUMMYFUNCTION("GOOGLETRANSLATE(D87,""ar"",""en"")
"),"a) Adjusting speed according to the situation. Adjusting speed may help avoid injuries on uneven ground.")</f>
        <v>a) Adjusting speed according to the situation. Adjusting speed may help avoid injuries on uneven ground.</v>
      </c>
      <c r="L87" s="20" t="str">
        <f>IFERROR(__xludf.DUMMYFUNCTION("GOOGLETRANSLATE(E87,""ar"",""en"")
"),"If you are about to enter a sharp turn in the race, what do you do?")</f>
        <v>If you are about to enter a sharp turn in the race, what do you do?</v>
      </c>
      <c r="M87" s="9"/>
      <c r="N87" s="9"/>
      <c r="O87" s="9"/>
      <c r="P87" s="9"/>
      <c r="Q87" s="9"/>
      <c r="R87" s="9"/>
      <c r="S87" s="9"/>
      <c r="T87" s="9"/>
      <c r="U87" s="9"/>
      <c r="V87" s="9"/>
      <c r="W87" s="9"/>
      <c r="X87" s="9"/>
      <c r="Y87" s="9"/>
      <c r="Z87" s="9"/>
      <c r="AA87" s="9"/>
      <c r="AB87" s="9"/>
      <c r="AC87" s="9"/>
      <c r="AD87" s="9"/>
      <c r="AE87" s="9"/>
      <c r="AF87" s="9"/>
      <c r="AG87" s="9"/>
    </row>
    <row r="88">
      <c r="A88" s="20">
        <v>87.0</v>
      </c>
      <c r="B88" s="20" t="s">
        <v>1891</v>
      </c>
      <c r="C88" s="20" t="s">
        <v>1892</v>
      </c>
      <c r="D88" s="20" t="s">
        <v>1893</v>
      </c>
      <c r="E88" s="20" t="s">
        <v>1894</v>
      </c>
      <c r="F88" s="9"/>
      <c r="G88" s="9"/>
      <c r="H88" s="9"/>
      <c r="I88" s="20" t="str">
        <f>IFERROR(__xludf.DUMMYFUNCTION("GOOGLETRANSLATE(B88,""ar"",""en"")
"),"If you are about to enter a sharp turn in the race, what do you do?")</f>
        <v>If you are about to enter a sharp turn in the race, what do you do?</v>
      </c>
      <c r="J88" s="20" t="str">
        <f>IFERROR(__xludf.DUMMYFUNCTION("GOOGLETRANSLATE(C88,""ar"",""en"")
"),"a) Reduce speed to ensure a safe turn; b) Increase speed to overtake others; c) Maintain the same speed; d) Stop to change direction")</f>
        <v>a) Reduce speed to ensure a safe turn; b) Increase speed to overtake others; c) Maintain the same speed; d) Stop to change direction</v>
      </c>
      <c r="K88" s="20" t="str">
        <f>IFERROR(__xludf.DUMMYFUNCTION("GOOGLETRANSLATE(D88,""ar"",""en"")
"),"a) Reduce speed to ensure safe turning; reducing speed helps to avoid loss of balance in the turn.")</f>
        <v>a) Reduce speed to ensure safe turning; reducing speed helps to avoid loss of balance in the turn.</v>
      </c>
      <c r="L88" s="20" t="str">
        <f>IFERROR(__xludf.DUMMYFUNCTION("GOOGLETRANSLATE(E88,""ar"",""en"")
"),"If you feel extremely nervous before a race, how do you cope?")</f>
        <v>If you feel extremely nervous before a race, how do you cope?</v>
      </c>
      <c r="M88" s="9"/>
      <c r="N88" s="9"/>
      <c r="O88" s="9"/>
      <c r="P88" s="9"/>
      <c r="Q88" s="9"/>
      <c r="R88" s="9"/>
      <c r="S88" s="9"/>
      <c r="T88" s="9"/>
      <c r="U88" s="9"/>
      <c r="V88" s="9"/>
      <c r="W88" s="9"/>
      <c r="X88" s="9"/>
      <c r="Y88" s="9"/>
      <c r="Z88" s="9"/>
      <c r="AA88" s="9"/>
      <c r="AB88" s="9"/>
      <c r="AC88" s="9"/>
      <c r="AD88" s="9"/>
      <c r="AE88" s="9"/>
      <c r="AF88" s="9"/>
      <c r="AG88" s="9"/>
    </row>
    <row r="89">
      <c r="A89" s="20">
        <v>88.0</v>
      </c>
      <c r="B89" s="20" t="s">
        <v>1894</v>
      </c>
      <c r="C89" s="20" t="s">
        <v>1895</v>
      </c>
      <c r="D89" s="20" t="s">
        <v>1896</v>
      </c>
      <c r="E89" s="20" t="s">
        <v>1897</v>
      </c>
      <c r="F89" s="9"/>
      <c r="G89" s="9"/>
      <c r="H89" s="9"/>
      <c r="I89" s="20" t="str">
        <f>IFERROR(__xludf.DUMMYFUNCTION("GOOGLETRANSLATE(B89,""ar"",""en"")
"),"If you feel extremely nervous before a race, how do you cope?")</f>
        <v>If you feel extremely nervous before a race, how do you cope?</v>
      </c>
      <c r="J89" s="20" t="str">
        <f>IFERROR(__xludf.DUMMYFUNCTION("GOOGLETRANSLATE(C89,""ar"",""en"")
"),"a) Deep breathing and calming the nerves; b) Withdrawing from the race; c) Focusing solely on the competitors; d) Reminding yourself of the psychological pressure")</f>
        <v>a) Deep breathing and calming the nerves; b) Withdrawing from the race; c) Focusing solely on the competitors; d) Reminding yourself of the psychological pressure</v>
      </c>
      <c r="K89" s="20" t="str">
        <f>IFERROR(__xludf.DUMMYFUNCTION("GOOGLETRANSLATE(D89,""ar"",""en"")
"),"a) Deep breathing and calming the nerves; calming down helps you focus on the race and improve your performance.")</f>
        <v>a) Deep breathing and calming the nerves; calming down helps you focus on the race and improve your performance.</v>
      </c>
      <c r="L89" s="20" t="str">
        <f>IFERROR(__xludf.DUMMYFUNCTION("GOOGLETRANSLATE(E89,""ar"",""en"")
"),"If you notice that the horse is having difficulty overcoming obstacles, what do you do?")</f>
        <v>If you notice that the horse is having difficulty overcoming obstacles, what do you do?</v>
      </c>
      <c r="M89" s="9"/>
      <c r="N89" s="9"/>
      <c r="O89" s="9"/>
      <c r="P89" s="9"/>
      <c r="Q89" s="9"/>
      <c r="R89" s="9"/>
      <c r="S89" s="9"/>
      <c r="T89" s="9"/>
      <c r="U89" s="9"/>
      <c r="V89" s="9"/>
      <c r="W89" s="9"/>
      <c r="X89" s="9"/>
      <c r="Y89" s="9"/>
      <c r="Z89" s="9"/>
      <c r="AA89" s="9"/>
      <c r="AB89" s="9"/>
      <c r="AC89" s="9"/>
      <c r="AD89" s="9"/>
      <c r="AE89" s="9"/>
      <c r="AF89" s="9"/>
      <c r="AG89" s="9"/>
    </row>
    <row r="90">
      <c r="A90" s="20">
        <v>89.0</v>
      </c>
      <c r="B90" s="20" t="s">
        <v>1897</v>
      </c>
      <c r="C90" s="20" t="s">
        <v>1898</v>
      </c>
      <c r="D90" s="20" t="s">
        <v>1899</v>
      </c>
      <c r="E90" s="20" t="s">
        <v>1900</v>
      </c>
      <c r="F90" s="9"/>
      <c r="G90" s="9"/>
      <c r="H90" s="9"/>
      <c r="I90" s="20" t="str">
        <f>IFERROR(__xludf.DUMMYFUNCTION("GOOGLETRANSLATE(B90,""ar"",""en"")
"),"If you notice that the horse is having difficulty overcoming obstacles, what do you do?")</f>
        <v>If you notice that the horse is having difficulty overcoming obstacles, what do you do?</v>
      </c>
      <c r="J90" s="20" t="str">
        <f>IFERROR(__xludf.DUMMYFUNCTION("GOOGLETRANSLATE(C90,""ar"",""en"")
"),"a) Reduce speed and gain more control over the horse; b) Jump faster; c) Push it to increase speed; d) Change course immediately")</f>
        <v>a) Reduce speed and gain more control over the horse; b) Jump faster; c) Push it to increase speed; d) Change course immediately</v>
      </c>
      <c r="K90" s="20" t="str">
        <f>IFERROR(__xludf.DUMMYFUNCTION("GOOGLETRANSLATE(D90,""ar"",""en"")
"),"a) Reduce speed and control the horse more; reducing speed helps the horse to overcome obstacles safely.")</f>
        <v>a) Reduce speed and control the horse more; reducing speed helps the horse to overcome obstacles safely.</v>
      </c>
      <c r="L90" s="20" t="str">
        <f>IFERROR(__xludf.DUMMYFUNCTION("GOOGLETRANSLATE(E90,""ar"",""en"")
"),"If you feel that you are not in the best health during the race, what do you do?")</f>
        <v>If you feel that you are not in the best health during the race, what do you do?</v>
      </c>
      <c r="M90" s="9"/>
      <c r="N90" s="9"/>
      <c r="O90" s="9"/>
      <c r="P90" s="9"/>
      <c r="Q90" s="9"/>
      <c r="R90" s="9"/>
      <c r="S90" s="9"/>
      <c r="T90" s="9"/>
      <c r="U90" s="9"/>
      <c r="V90" s="9"/>
      <c r="W90" s="9"/>
      <c r="X90" s="9"/>
      <c r="Y90" s="9"/>
      <c r="Z90" s="9"/>
      <c r="AA90" s="9"/>
      <c r="AB90" s="9"/>
      <c r="AC90" s="9"/>
      <c r="AD90" s="9"/>
      <c r="AE90" s="9"/>
      <c r="AF90" s="9"/>
      <c r="AG90" s="9"/>
    </row>
    <row r="91">
      <c r="A91" s="20">
        <v>90.0</v>
      </c>
      <c r="B91" s="20" t="s">
        <v>1900</v>
      </c>
      <c r="C91" s="20" t="s">
        <v>1901</v>
      </c>
      <c r="D91" s="20" t="s">
        <v>1902</v>
      </c>
      <c r="E91" s="20" t="s">
        <v>1903</v>
      </c>
      <c r="F91" s="9"/>
      <c r="G91" s="9"/>
      <c r="H91" s="9"/>
      <c r="I91" s="20" t="str">
        <f>IFERROR(__xludf.DUMMYFUNCTION("GOOGLETRANSLATE(B91,""ar"",""en"")
"),"If you feel that you are not in the best health during the race, what do you do?")</f>
        <v>If you feel that you are not in the best health during the race, what do you do?</v>
      </c>
      <c r="J91" s="20" t="str">
        <f>IFERROR(__xludf.DUMMYFUNCTION("GOOGLETRANSLATE(C91,""ar"",""en"")
"),"a) Reduce your effort and don't push yourself; b) Continue the race regardless of your condition; c) Withdraw from the race and apologize; d) Increase your effort despite feeling exhausted")</f>
        <v>a) Reduce your effort and don't push yourself; b) Continue the race regardless of your condition; c) Withdraw from the race and apologize; d) Increase your effort despite feeling exhausted</v>
      </c>
      <c r="K91" s="20" t="str">
        <f>IFERROR(__xludf.DUMMYFUNCTION("GOOGLETRANSLATE(D91,""ar"",""en"")
"),"a) Reducing effort and not putting pressure on yourself, resting and taking care of yourself will help avoid a deterioration in your health.")</f>
        <v>a) Reducing effort and not putting pressure on yourself, resting and taking care of yourself will help avoid a deterioration in your health.</v>
      </c>
      <c r="L91" s="20" t="str">
        <f>IFERROR(__xludf.DUMMYFUNCTION("GOOGLETRANSLATE(E91,""ar"",""en"")
"),"If a horse is having difficulty maintaining its speed, what do you do?")</f>
        <v>If a horse is having difficulty maintaining its speed, what do you do?</v>
      </c>
      <c r="M91" s="9"/>
      <c r="N91" s="9"/>
      <c r="O91" s="9"/>
      <c r="P91" s="9"/>
      <c r="Q91" s="9"/>
      <c r="R91" s="9"/>
      <c r="S91" s="9"/>
      <c r="T91" s="9"/>
      <c r="U91" s="9"/>
      <c r="V91" s="9"/>
      <c r="W91" s="9"/>
      <c r="X91" s="9"/>
      <c r="Y91" s="9"/>
      <c r="Z91" s="9"/>
      <c r="AA91" s="9"/>
      <c r="AB91" s="9"/>
      <c r="AC91" s="9"/>
      <c r="AD91" s="9"/>
      <c r="AE91" s="9"/>
      <c r="AF91" s="9"/>
      <c r="AG91" s="9"/>
    </row>
    <row r="92">
      <c r="A92" s="20">
        <v>91.0</v>
      </c>
      <c r="B92" s="20" t="s">
        <v>1903</v>
      </c>
      <c r="C92" s="20" t="s">
        <v>1904</v>
      </c>
      <c r="D92" s="20" t="s">
        <v>1905</v>
      </c>
      <c r="E92" s="20" t="s">
        <v>1906</v>
      </c>
      <c r="F92" s="9"/>
      <c r="G92" s="9"/>
      <c r="H92" s="9"/>
      <c r="I92" s="20" t="str">
        <f>IFERROR(__xludf.DUMMYFUNCTION("GOOGLETRANSLATE(B92,""ar"",""en"")
"),"If a horse is having difficulty maintaining its speed, what do you do?")</f>
        <v>If a horse is having difficulty maintaining its speed, what do you do?</v>
      </c>
      <c r="J92" s="20" t="str">
        <f>IFERROR(__xludf.DUMMYFUNCTION("GOOGLETRANSLATE(C92,""ar"",""en"")
"),"a) Give him a short break to replenish his energy; b) Push him to maintain his speed; c) Reduce his speed suddenly; d) Replace him with another horse")</f>
        <v>a) Give him a short break to replenish his energy; b) Push him to maintain his speed; c) Reduce his speed suddenly; d) Replace him with another horse</v>
      </c>
      <c r="K92" s="20" t="str">
        <f>IFERROR(__xludf.DUMMYFUNCTION("GOOGLETRANSLATE(D92,""ar"",""en"")
"),"a) Give him a short break to replenish his energy; a short rest helps restore the horse's energy.")</f>
        <v>a) Give him a short break to replenish his energy; a short rest helps restore the horse's energy.</v>
      </c>
      <c r="L92" s="20" t="str">
        <f>IFERROR(__xludf.DUMMYFUNCTION("GOOGLETRANSLATE(E92,""ar"",""en"")
"),"If you feel that the horse is starting to lose focus, what do you do?")</f>
        <v>If you feel that the horse is starting to lose focus, what do you do?</v>
      </c>
      <c r="M92" s="9"/>
      <c r="N92" s="9"/>
      <c r="O92" s="9"/>
      <c r="P92" s="9"/>
      <c r="Q92" s="9"/>
      <c r="R92" s="9"/>
      <c r="S92" s="9"/>
      <c r="T92" s="9"/>
      <c r="U92" s="9"/>
      <c r="V92" s="9"/>
      <c r="W92" s="9"/>
      <c r="X92" s="9"/>
      <c r="Y92" s="9"/>
      <c r="Z92" s="9"/>
      <c r="AA92" s="9"/>
      <c r="AB92" s="9"/>
      <c r="AC92" s="9"/>
      <c r="AD92" s="9"/>
      <c r="AE92" s="9"/>
      <c r="AF92" s="9"/>
      <c r="AG92" s="9"/>
    </row>
    <row r="93">
      <c r="A93" s="20">
        <v>92.0</v>
      </c>
      <c r="B93" s="20" t="s">
        <v>1906</v>
      </c>
      <c r="C93" s="20" t="s">
        <v>1907</v>
      </c>
      <c r="D93" s="20" t="s">
        <v>1908</v>
      </c>
      <c r="E93" s="20" t="s">
        <v>1909</v>
      </c>
      <c r="F93" s="9"/>
      <c r="G93" s="9"/>
      <c r="H93" s="9"/>
      <c r="I93" s="20" t="str">
        <f>IFERROR(__xludf.DUMMYFUNCTION("GOOGLETRANSLATE(B93,""ar"",""en"")
"),"If you feel that the horse is starting to lose focus, what do you do?")</f>
        <v>If you feel that the horse is starting to lose focus, what do you do?</v>
      </c>
      <c r="J93" s="20" t="str">
        <f>IFERROR(__xludf.DUMMYFUNCTION("GOOGLETRANSLATE(C93,""ar"",""en"")
"),"a) Refocus and reinforce the goal; b) Slow down to avoid mistakes; c) Ignore the problem; d) Stop immediately")</f>
        <v>a) Refocus and reinforce the goal; b) Slow down to avoid mistakes; c) Ignore the problem; d) Stop immediately</v>
      </c>
      <c r="K93" s="20" t="str">
        <f>IFERROR(__xludf.DUMMYFUNCTION("GOOGLETRANSLATE(D93,""ar"",""en"")
"),"a) Refocusing on and motivating the goal; focusing on the goal helps the horse regain its focus.")</f>
        <v>a) Refocusing on and motivating the goal; focusing on the goal helps the horse regain its focus.</v>
      </c>
      <c r="L93" s="20" t="str">
        <f>IFERROR(__xludf.DUMMYFUNCTION("GOOGLETRANSLATE(E93,""ar"",""en"")
"),"If you notice that the track has become slippery due to the rain, what do you do?")</f>
        <v>If you notice that the track has become slippery due to the rain, what do you do?</v>
      </c>
      <c r="M93" s="9"/>
      <c r="N93" s="9"/>
      <c r="O93" s="9"/>
      <c r="P93" s="9"/>
      <c r="Q93" s="9"/>
      <c r="R93" s="9"/>
      <c r="S93" s="9"/>
      <c r="T93" s="9"/>
      <c r="U93" s="9"/>
      <c r="V93" s="9"/>
      <c r="W93" s="9"/>
      <c r="X93" s="9"/>
      <c r="Y93" s="9"/>
      <c r="Z93" s="9"/>
      <c r="AA93" s="9"/>
      <c r="AB93" s="9"/>
      <c r="AC93" s="9"/>
      <c r="AD93" s="9"/>
      <c r="AE93" s="9"/>
      <c r="AF93" s="9"/>
      <c r="AG93" s="9"/>
    </row>
    <row r="94">
      <c r="A94" s="20">
        <v>93.0</v>
      </c>
      <c r="B94" s="20" t="s">
        <v>1909</v>
      </c>
      <c r="C94" s="20" t="s">
        <v>1910</v>
      </c>
      <c r="D94" s="20" t="s">
        <v>1911</v>
      </c>
      <c r="E94" s="20" t="s">
        <v>1912</v>
      </c>
      <c r="F94" s="9"/>
      <c r="G94" s="9"/>
      <c r="H94" s="9"/>
      <c r="I94" s="20" t="str">
        <f>IFERROR(__xludf.DUMMYFUNCTION("GOOGLETRANSLATE(B94,""ar"",""en"")
"),"If you notice that the track has become slippery due to the rain, what do you do?")</f>
        <v>If you notice that the track has become slippery due to the rain, what do you do?</v>
      </c>
      <c r="J94" s="20" t="str">
        <f>IFERROR(__xludf.DUMMYFUNCTION("GOOGLETRANSLATE(C94,""ar"",""en"")
"),"a) Reduce speed and take precautions; b) Continue racing at the same speed; c) Increase speed to overcome the situation; d) Withdraw from the race")</f>
        <v>a) Reduce speed and take precautions; b) Continue racing at the same speed; c) Increase speed to overcome the situation; d) Withdraw from the race</v>
      </c>
      <c r="K94" s="20" t="str">
        <f>IFERROR(__xludf.DUMMYFUNCTION("GOOGLETRANSLATE(D94,""ar"",""en"")
"),"a) Reduce speed and take precautions. Reducing speed helps avoid skidding and injuries.")</f>
        <v>a) Reduce speed and take precautions. Reducing speed helps avoid skidding and injuries.</v>
      </c>
      <c r="L94" s="20" t="str">
        <f>IFERROR(__xludf.DUMMYFUNCTION("GOOGLETRANSLATE(E94,""ar"",""en"")
"),"If there is a competitor close to you in the race, what do you do?")</f>
        <v>If there is a competitor close to you in the race, what do you do?</v>
      </c>
      <c r="M94" s="9"/>
      <c r="N94" s="9"/>
      <c r="O94" s="9"/>
      <c r="P94" s="9"/>
      <c r="Q94" s="9"/>
      <c r="R94" s="9"/>
      <c r="S94" s="9"/>
      <c r="T94" s="9"/>
      <c r="U94" s="9"/>
      <c r="V94" s="9"/>
      <c r="W94" s="9"/>
      <c r="X94" s="9"/>
      <c r="Y94" s="9"/>
      <c r="Z94" s="9"/>
      <c r="AA94" s="9"/>
      <c r="AB94" s="9"/>
      <c r="AC94" s="9"/>
      <c r="AD94" s="9"/>
      <c r="AE94" s="9"/>
      <c r="AF94" s="9"/>
      <c r="AG94" s="9"/>
    </row>
    <row r="95">
      <c r="A95" s="20">
        <v>94.0</v>
      </c>
      <c r="B95" s="20" t="s">
        <v>1912</v>
      </c>
      <c r="C95" s="20" t="s">
        <v>1913</v>
      </c>
      <c r="D95" s="20" t="s">
        <v>1914</v>
      </c>
      <c r="E95" s="20" t="s">
        <v>1915</v>
      </c>
      <c r="F95" s="9"/>
      <c r="G95" s="9"/>
      <c r="H95" s="9"/>
      <c r="I95" s="20" t="str">
        <f>IFERROR(__xludf.DUMMYFUNCTION("GOOGLETRANSLATE(B95,""ar"",""en"")
"),"If there is a competitor close to you in the race, what do you do?")</f>
        <v>If there is a competitor close to you in the race, what do you do?</v>
      </c>
      <c r="J95" s="20" t="str">
        <f>IFERROR(__xludf.DUMMYFUNCTION("GOOGLETRANSLATE(C95,""ar"",""en"")
"),"a) Increase speed to overtake the competitor; b) Be patient and focus on the track; c) Try to slow down to avoid the competitor; d) Change lanes suddenly")</f>
        <v>a) Increase speed to overtake the competitor; b) Be patient and focus on the track; c) Try to slow down to avoid the competitor; d) Change lanes suddenly</v>
      </c>
      <c r="K95" s="20" t="str">
        <f>IFERROR(__xludf.DUMMYFUNCTION("GOOGLETRANSLATE(D95,""ar"",""en"")
"),"a) Increase speed to overtake the competitor; increasing speed can help to outperform the competitor.")</f>
        <v>a) Increase speed to overtake the competitor; increasing speed can help to outperform the competitor.</v>
      </c>
      <c r="L95" s="20" t="str">
        <f>IFERROR(__xludf.DUMMYFUNCTION("GOOGLETRANSLATE(E95,""ar"",""en"")
"),"If you feel that the horse is not in its best condition before the race, what do you do?")</f>
        <v>If you feel that the horse is not in its best condition before the race, what do you do?</v>
      </c>
      <c r="M95" s="9"/>
      <c r="N95" s="9"/>
      <c r="O95" s="9"/>
      <c r="P95" s="9"/>
      <c r="Q95" s="9"/>
      <c r="R95" s="9"/>
      <c r="S95" s="9"/>
      <c r="T95" s="9"/>
      <c r="U95" s="9"/>
      <c r="V95" s="9"/>
      <c r="W95" s="9"/>
      <c r="X95" s="9"/>
      <c r="Y95" s="9"/>
      <c r="Z95" s="9"/>
      <c r="AA95" s="9"/>
      <c r="AB95" s="9"/>
      <c r="AC95" s="9"/>
      <c r="AD95" s="9"/>
      <c r="AE95" s="9"/>
      <c r="AF95" s="9"/>
      <c r="AG95" s="9"/>
    </row>
    <row r="96">
      <c r="A96" s="20">
        <v>95.0</v>
      </c>
      <c r="B96" s="20" t="s">
        <v>1915</v>
      </c>
      <c r="C96" s="20" t="s">
        <v>1916</v>
      </c>
      <c r="D96" s="20" t="s">
        <v>1917</v>
      </c>
      <c r="E96" s="20" t="s">
        <v>1918</v>
      </c>
      <c r="F96" s="9"/>
      <c r="G96" s="9"/>
      <c r="H96" s="9"/>
      <c r="I96" s="20" t="str">
        <f>IFERROR(__xludf.DUMMYFUNCTION("GOOGLETRANSLATE(B96,""ar"",""en"")
"),"If you feel that the horse is not in its best condition before the race, what do you do?")</f>
        <v>If you feel that the horse is not in its best condition before the race, what do you do?</v>
      </c>
      <c r="J96" s="20" t="str">
        <f>IFERROR(__xludf.DUMMYFUNCTION("GOOGLETRANSLATE(C96,""ar"",""en"")
"),"a) Resting him before the race; b) Pressuring him to exert more effort; c) Continuing the race without change; d) Replacing him with another horse")</f>
        <v>a) Resting him before the race; b) Pressuring him to exert more effort; c) Continuing the race without change; d) Replacing him with another horse</v>
      </c>
      <c r="K96" s="20" t="str">
        <f>IFERROR(__xludf.DUMMYFUNCTION("GOOGLETRANSLATE(D96,""ar"",""en"")
"),"a) Providing him with rest before the race; giving the horse rest helps him to prepare better.")</f>
        <v>a) Providing him with rest before the race; giving the horse rest helps him to prepare better.</v>
      </c>
      <c r="L96" s="20" t="str">
        <f>IFERROR(__xludf.DUMMYFUNCTION("GOOGLETRANSLATE(E96,""ar"",""en"")
"),"If the horse has a slight pain in its legs, what do you do?")</f>
        <v>If the horse has a slight pain in its legs, what do you do?</v>
      </c>
      <c r="M96" s="9"/>
      <c r="N96" s="9"/>
      <c r="O96" s="9"/>
      <c r="P96" s="9"/>
      <c r="Q96" s="9"/>
      <c r="R96" s="9"/>
      <c r="S96" s="9"/>
      <c r="T96" s="9"/>
      <c r="U96" s="9"/>
      <c r="V96" s="9"/>
      <c r="W96" s="9"/>
      <c r="X96" s="9"/>
      <c r="Y96" s="9"/>
      <c r="Z96" s="9"/>
      <c r="AA96" s="9"/>
      <c r="AB96" s="9"/>
      <c r="AC96" s="9"/>
      <c r="AD96" s="9"/>
      <c r="AE96" s="9"/>
      <c r="AF96" s="9"/>
      <c r="AG96" s="9"/>
    </row>
    <row r="97">
      <c r="A97" s="20">
        <v>96.0</v>
      </c>
      <c r="B97" s="20" t="s">
        <v>1918</v>
      </c>
      <c r="C97" s="20" t="s">
        <v>1919</v>
      </c>
      <c r="D97" s="20" t="s">
        <v>1920</v>
      </c>
      <c r="E97" s="20" t="s">
        <v>1921</v>
      </c>
      <c r="F97" s="9"/>
      <c r="G97" s="9"/>
      <c r="H97" s="9"/>
      <c r="I97" s="20" t="str">
        <f>IFERROR(__xludf.DUMMYFUNCTION("GOOGLETRANSLATE(B97,""ar"",""en"")
"),"If the horse has a slight pain in its legs, what do you do?")</f>
        <v>If the horse has a slight pain in its legs, what do you do?</v>
      </c>
      <c r="J97" s="20" t="str">
        <f>IFERROR(__xludf.DUMMYFUNCTION("GOOGLETRANSLATE(C97,""ar"",""en"")
"),"a) Give him a short break and calm him down; b) Ignore the pain and continue; c) Increase speed to overcome the pain; d) Decrease speed to maintain comfort")</f>
        <v>a) Give him a short break and calm him down; b) Ignore the pain and continue; c) Increase speed to overcome the pain; d) Decrease speed to maintain comfort</v>
      </c>
      <c r="K97" s="20" t="str">
        <f>IFERROR(__xludf.DUMMYFUNCTION("GOOGLETRANSLATE(D97,""ar"",""en"")
"),"a) Give him a short break and calm him down. Rest and pain relief help to prevent the condition from worsening.")</f>
        <v>a) Give him a short break and calm him down. Rest and pain relief help to prevent the condition from worsening.</v>
      </c>
      <c r="L97" s="20" t="str">
        <f>IFERROR(__xludf.DUMMYFUNCTION("GOOGLETRANSLATE(E97,""ar"",""en"")
"),"If the horse is experiencing psychological stress before the race, what should you do?")</f>
        <v>If the horse is experiencing psychological stress before the race, what should you do?</v>
      </c>
      <c r="M97" s="9"/>
      <c r="N97" s="9"/>
      <c r="O97" s="9"/>
      <c r="P97" s="9"/>
      <c r="Q97" s="9"/>
      <c r="R97" s="9"/>
      <c r="S97" s="9"/>
      <c r="T97" s="9"/>
      <c r="U97" s="9"/>
      <c r="V97" s="9"/>
      <c r="W97" s="9"/>
      <c r="X97" s="9"/>
      <c r="Y97" s="9"/>
      <c r="Z97" s="9"/>
      <c r="AA97" s="9"/>
      <c r="AB97" s="9"/>
      <c r="AC97" s="9"/>
      <c r="AD97" s="9"/>
      <c r="AE97" s="9"/>
      <c r="AF97" s="9"/>
      <c r="AG97" s="9"/>
    </row>
    <row r="98">
      <c r="A98" s="20">
        <v>97.0</v>
      </c>
      <c r="B98" s="20" t="s">
        <v>1921</v>
      </c>
      <c r="C98" s="20" t="s">
        <v>1922</v>
      </c>
      <c r="D98" s="20" t="s">
        <v>1923</v>
      </c>
      <c r="E98" s="20" t="s">
        <v>1924</v>
      </c>
      <c r="F98" s="9"/>
      <c r="G98" s="9"/>
      <c r="H98" s="9"/>
      <c r="I98" s="20" t="str">
        <f>IFERROR(__xludf.DUMMYFUNCTION("GOOGLETRANSLATE(B98,""ar"",""en"")
"),"If the horse is experiencing psychological stress before the race, what should you do?")</f>
        <v>If the horse is experiencing psychological stress before the race, what should you do?</v>
      </c>
      <c r="J98" s="20" t="str">
        <f>IFERROR(__xludf.DUMMYFUNCTION("GOOGLETRANSLATE(C98,""ar"",""en"")
"),"a) Gently calm him down; b) Increase his stimulation; c) Ignore his stress; d) Replace him with another horse")</f>
        <v>a) Gently calm him down; b) Increase his stimulation; c) Ignore his stress; d) Replace him with another horse</v>
      </c>
      <c r="K98" s="20" t="str">
        <f>IFERROR(__xludf.DUMMYFUNCTION("GOOGLETRANSLATE(D98,""ar"",""en"")
"),"a) Gently calm him down; calming helps reduce psychological stress and improve performance.")</f>
        <v>a) Gently calm him down; calming helps reduce psychological stress and improve performance.</v>
      </c>
      <c r="L98" s="20" t="str">
        <f>IFERROR(__xludf.DUMMYFUNCTION("GOOGLETRANSLATE(E98,""ar"",""en"")
"),"If you are in a race and feel that the obstacles are too harsh, what do you do?")</f>
        <v>If you are in a race and feel that the obstacles are too harsh, what do you do?</v>
      </c>
      <c r="M98" s="9"/>
      <c r="N98" s="9"/>
      <c r="O98" s="9"/>
      <c r="P98" s="9"/>
      <c r="Q98" s="9"/>
      <c r="R98" s="9"/>
      <c r="S98" s="9"/>
      <c r="T98" s="9"/>
      <c r="U98" s="9"/>
      <c r="V98" s="9"/>
      <c r="W98" s="9"/>
      <c r="X98" s="9"/>
      <c r="Y98" s="9"/>
      <c r="Z98" s="9"/>
      <c r="AA98" s="9"/>
      <c r="AB98" s="9"/>
      <c r="AC98" s="9"/>
      <c r="AD98" s="9"/>
      <c r="AE98" s="9"/>
      <c r="AF98" s="9"/>
      <c r="AG98" s="9"/>
    </row>
    <row r="99">
      <c r="A99" s="20">
        <v>98.0</v>
      </c>
      <c r="B99" s="20" t="s">
        <v>1924</v>
      </c>
      <c r="C99" s="20" t="s">
        <v>1925</v>
      </c>
      <c r="D99" s="20" t="s">
        <v>1926</v>
      </c>
      <c r="E99" s="20" t="s">
        <v>1927</v>
      </c>
      <c r="F99" s="9"/>
      <c r="G99" s="9"/>
      <c r="H99" s="9"/>
      <c r="I99" s="20" t="str">
        <f>IFERROR(__xludf.DUMMYFUNCTION("GOOGLETRANSLATE(B99,""ar"",""en"")
"),"If you are in a race and feel that the obstacles are too harsh, what do you do?")</f>
        <v>If you are in a race and feel that the obstacles are too harsh, what do you do?</v>
      </c>
      <c r="J99" s="20" t="str">
        <f>IFERROR(__xludf.DUMMYFUNCTION("GOOGLETRANSLATE(C99,""ar"",""en"")
"),"a) Be cautious and reduce speed around the obstacles; b) Jump over the obstacles forcefully; c) Continue without changing; d) Withdraw from the race")</f>
        <v>a) Be cautious and reduce speed around the obstacles; b) Jump over the obstacles forcefully; c) Continue without changing; d) Withdraw from the race</v>
      </c>
      <c r="K99" s="20" t="str">
        <f>IFERROR(__xludf.DUMMYFUNCTION("GOOGLETRANSLATE(D99,""ar"",""en"")
"),"a) Be careful and reduce your speed around obstacles. Reducing your speed around obstacles helps avoid falling.")</f>
        <v>a) Be careful and reduce your speed around obstacles. Reducing your speed around obstacles helps avoid falling.</v>
      </c>
      <c r="L99" s="20" t="str">
        <f>IFERROR(__xludf.DUMMYFUNCTION("GOOGLETRANSLATE(E99,""ar"",""en"")
"),"If you are behind in the race and have lost hope of winning, what do you do?")</f>
        <v>If you are behind in the race and have lost hope of winning, what do you do?</v>
      </c>
      <c r="M99" s="9"/>
      <c r="N99" s="9"/>
      <c r="O99" s="9"/>
      <c r="P99" s="9"/>
      <c r="Q99" s="9"/>
      <c r="R99" s="9"/>
      <c r="S99" s="9"/>
      <c r="T99" s="9"/>
      <c r="U99" s="9"/>
      <c r="V99" s="9"/>
      <c r="W99" s="9"/>
      <c r="X99" s="9"/>
      <c r="Y99" s="9"/>
      <c r="Z99" s="9"/>
      <c r="AA99" s="9"/>
      <c r="AB99" s="9"/>
      <c r="AC99" s="9"/>
      <c r="AD99" s="9"/>
      <c r="AE99" s="9"/>
      <c r="AF99" s="9"/>
      <c r="AG99" s="9"/>
    </row>
    <row r="100">
      <c r="A100" s="20">
        <v>99.0</v>
      </c>
      <c r="B100" s="20" t="s">
        <v>1927</v>
      </c>
      <c r="C100" s="20" t="s">
        <v>1928</v>
      </c>
      <c r="D100" s="20" t="s">
        <v>1929</v>
      </c>
      <c r="E100" s="20" t="s">
        <v>1930</v>
      </c>
      <c r="F100" s="9"/>
      <c r="G100" s="9"/>
      <c r="H100" s="9"/>
      <c r="I100" s="20" t="str">
        <f>IFERROR(__xludf.DUMMYFUNCTION("GOOGLETRANSLATE(B100,""ar"",""en"")
"),"If you are behind in the race and have lost hope of winning, what do you do?")</f>
        <v>If you are behind in the race and have lost hope of winning, what do you do?</v>
      </c>
      <c r="J100" s="20" t="str">
        <f>IFERROR(__xludf.DUMMYFUNCTION("GOOGLETRANSLATE(C100,""ar"",""en"")
"),"a) Maintaining persistence and perseverance until the end; b) Giving up and stopping; c) Thinking only about winning; d) Reducing effort to maintain comfort.")</f>
        <v>a) Maintaining persistence and perseverance until the end; b) Giving up and stopping; c) Thinking only about winning; d) Reducing effort to maintain comfort.</v>
      </c>
      <c r="K100" s="20" t="str">
        <f>IFERROR(__xludf.DUMMYFUNCTION("GOOGLETRANSLATE(D100,""ar"",""en"")
"),"a) Maintain persistence and perseverance until the end; perseverance can lead to surprising results.")</f>
        <v>a) Maintain persistence and perseverance until the end; perseverance can lead to surprising results.</v>
      </c>
      <c r="L100" s="20" t="str">
        <f>IFERROR(__xludf.DUMMYFUNCTION("GOOGLETRANSLATE(E100,""ar"",""en"")
"),"If you were about to win the race but the horse started to slow down, what would you do?")</f>
        <v>If you were about to win the race but the horse started to slow down, what would you do?</v>
      </c>
      <c r="M100" s="9"/>
      <c r="N100" s="9"/>
      <c r="O100" s="9"/>
      <c r="P100" s="9"/>
      <c r="Q100" s="9"/>
      <c r="R100" s="9"/>
      <c r="S100" s="9"/>
      <c r="T100" s="9"/>
      <c r="U100" s="9"/>
      <c r="V100" s="9"/>
      <c r="W100" s="9"/>
      <c r="X100" s="9"/>
      <c r="Y100" s="9"/>
      <c r="Z100" s="9"/>
      <c r="AA100" s="9"/>
      <c r="AB100" s="9"/>
      <c r="AC100" s="9"/>
      <c r="AD100" s="9"/>
      <c r="AE100" s="9"/>
      <c r="AF100" s="9"/>
      <c r="AG100" s="9"/>
    </row>
    <row r="101">
      <c r="A101" s="20">
        <v>100.0</v>
      </c>
      <c r="B101" s="20" t="s">
        <v>1931</v>
      </c>
      <c r="C101" s="20" t="s">
        <v>1932</v>
      </c>
      <c r="D101" s="20" t="s">
        <v>1933</v>
      </c>
      <c r="E101" s="20" t="s">
        <v>1934</v>
      </c>
      <c r="F101" s="9"/>
      <c r="G101" s="9"/>
      <c r="H101" s="9"/>
      <c r="I101" s="20" t="str">
        <f>IFERROR(__xludf.DUMMYFUNCTION("GOOGLETRANSLATE(B101,""ar"",""en"")
"),"If you are about to win the race but the horse starts to slow down, what do you do?")</f>
        <v>If you are about to win the race but the horse starts to slow down, what do you do?</v>
      </c>
      <c r="J101" s="20" t="str">
        <f>IFERROR(__xludf.DUMMYFUNCTION("GOOGLETRANSLATE(C101,""ar"",""en"")
"),"a) Increase the motivation to maintain his speed; b) Reduce the speed to avoid exhaustion; c) Jump over hurdles with greater force; d) Be patient and do not pressure him")</f>
        <v>a) Increase the motivation to maintain his speed; b) Reduce the speed to avoid exhaustion; c) Jump over hurdles with greater force; d) Be patient and do not pressure him</v>
      </c>
      <c r="K101" s="20" t="str">
        <f>IFERROR(__xludf.DUMMYFUNCTION("GOOGLETRANSLATE(D101,""ar"",""en"")
"),"a) Increased motivation to maintain its speed. Motivation helps the horse maintain its speed and achieve victory.")</f>
        <v>a) Increased motivation to maintain its speed. Motivation helps the horse maintain its speed and achieve victory.</v>
      </c>
      <c r="L101" s="20" t="str">
        <f>IFERROR(__xludf.DUMMYFUNCTION("GOOGLETRANSLATE(E101,""ar"",""en"")
"),"If you feel extremely tired during the race, what should you do?")</f>
        <v>If you feel extremely tired during the race, what should you do?</v>
      </c>
      <c r="M101" s="9"/>
      <c r="N101" s="9"/>
      <c r="O101" s="9"/>
      <c r="P101" s="9"/>
      <c r="Q101" s="9"/>
      <c r="R101" s="9"/>
      <c r="S101" s="9"/>
      <c r="T101" s="9"/>
      <c r="U101" s="9"/>
      <c r="V101" s="9"/>
      <c r="W101" s="9"/>
      <c r="X101" s="9"/>
      <c r="Y101" s="9"/>
      <c r="Z101" s="9"/>
      <c r="AA101" s="9"/>
      <c r="AB101" s="9"/>
      <c r="AC101" s="9"/>
      <c r="AD101" s="9"/>
      <c r="AE101" s="9"/>
      <c r="AF101" s="9"/>
      <c r="AG101" s="9"/>
    </row>
    <row r="102">
      <c r="A102" s="20">
        <v>101.0</v>
      </c>
      <c r="B102" s="20" t="s">
        <v>1935</v>
      </c>
      <c r="C102" s="20" t="s">
        <v>1936</v>
      </c>
      <c r="D102" s="20" t="s">
        <v>1937</v>
      </c>
      <c r="E102" s="20" t="s">
        <v>1938</v>
      </c>
      <c r="F102" s="9"/>
      <c r="G102" s="9"/>
      <c r="H102" s="9"/>
      <c r="I102" s="20" t="str">
        <f>IFERROR(__xludf.DUMMYFUNCTION("GOOGLETRANSLATE(B102,""ar"",""en"")
"),"During the race, you notice your horse's hoof starting to make a strange noise. What do you do?")</f>
        <v>During the race, you notice your horse's hoof starting to make a strange noise. What do you do?</v>
      </c>
      <c r="J102" s="20" t="str">
        <f>IFERROR(__xludf.DUMMYFUNCTION("GOOGLETRANSLATE(C102,""ar"",""en"")
"),"a) Ignore the sound and continue the race; b) Slow down the horse to examine the source of the sound after the race; c) Continue the race but pay closer attention to the horse's gait; d) Stop immediately and withdraw from the race to examine the horse.")</f>
        <v>a) Ignore the sound and continue the race; b) Slow down the horse to examine the source of the sound after the race; c) Continue the race but pay closer attention to the horse's gait; d) Stop immediately and withdraw from the race to examine the horse.</v>
      </c>
      <c r="K102" s="20" t="str">
        <f>IFERROR(__xludf.DUMMYFUNCTION("GOOGLETRANSLATE(D102,""ar"",""en"")
"),"She stops immediately and withdraws from the race to examine the horse.")</f>
        <v>She stops immediately and withdraws from the race to examine the horse.</v>
      </c>
      <c r="L102" s="20" t="str">
        <f>IFERROR(__xludf.DUMMYFUNCTION("GOOGLETRANSLATE(E102,""ar"",""en"")
"),"Any abnormal sound from the hoof may indicate a serious injury or shoe problem, and continuing the race could worsen the injury. The horse's safety is the priority.")</f>
        <v>Any abnormal sound from the hoof may indicate a serious injury or shoe problem, and continuing the race could worsen the injury. The horse's safety is the priority.</v>
      </c>
      <c r="M102" s="9"/>
      <c r="N102" s="9"/>
      <c r="O102" s="9"/>
      <c r="P102" s="9"/>
      <c r="Q102" s="9"/>
      <c r="R102" s="9"/>
      <c r="S102" s="9"/>
      <c r="T102" s="9"/>
      <c r="U102" s="9"/>
      <c r="V102" s="9"/>
      <c r="W102" s="9"/>
      <c r="X102" s="9"/>
      <c r="Y102" s="9"/>
      <c r="Z102" s="9"/>
      <c r="AA102" s="9"/>
      <c r="AB102" s="9"/>
      <c r="AC102" s="9"/>
      <c r="AD102" s="9"/>
      <c r="AE102" s="9"/>
      <c r="AF102" s="9"/>
      <c r="AG102" s="9"/>
    </row>
    <row r="103">
      <c r="A103" s="20">
        <v>102.0</v>
      </c>
      <c r="B103" s="20" t="s">
        <v>1939</v>
      </c>
      <c r="C103" s="20" t="s">
        <v>1940</v>
      </c>
      <c r="D103" s="20" t="s">
        <v>1941</v>
      </c>
      <c r="E103" s="20" t="s">
        <v>1942</v>
      </c>
      <c r="F103" s="9"/>
      <c r="G103" s="9"/>
      <c r="H103" s="9"/>
      <c r="I103" s="20" t="str">
        <f>IFERROR(__xludf.DUMMYFUNCTION("GOOGLETRANSLATE(B103,""ar"",""en"")
"),"If the race involves a rugged mountain course, what should you do?")</f>
        <v>If the race involves a rugged mountain course, what should you do?</v>
      </c>
      <c r="J103" s="20" t="str">
        <f>IFERROR(__xludf.DUMMYFUNCTION("GOOGLETRANSLATE(C103,""ar"",""en"")
"),"a) Increase the horse's speed to quickly get over steep inclines; b) Maintain a steady speed and slow down on sharp turns; c) Reduce speed and use a more careful and steady riding style; d) Let the horse make its own decisions on the difficult course.")</f>
        <v>a) Increase the horse's speed to quickly get over steep inclines; b) Maintain a steady speed and slow down on sharp turns; c) Reduce speed and use a more careful and steady riding style; d) Let the horse make its own decisions on the difficult course.</v>
      </c>
      <c r="K103" s="20" t="str">
        <f>IFERROR(__xludf.DUMMYFUNCTION("GOOGLETRANSLATE(D103,""ar"",""en"")
"),"Reduce your speed and use a more careful and steady ride.")</f>
        <v>Reduce your speed and use a more careful and steady ride.</v>
      </c>
      <c r="L103" s="20" t="str">
        <f>IFERROR(__xludf.DUMMYFUNCTION("GOOGLETRANSLATE(E103,""ar"",""en"")
"),"Mountain trails require extreme caution to minimize the risk of slipping or tripping. Speed ​​must be reduced and stability increased to maintain full control of the horse.")</f>
        <v>Mountain trails require extreme caution to minimize the risk of slipping or tripping. Speed ​​must be reduced and stability increased to maintain full control of the horse.</v>
      </c>
      <c r="M103" s="9"/>
      <c r="N103" s="9"/>
      <c r="O103" s="9"/>
      <c r="P103" s="9"/>
      <c r="Q103" s="9"/>
      <c r="R103" s="9"/>
      <c r="S103" s="9"/>
      <c r="T103" s="9"/>
      <c r="U103" s="9"/>
      <c r="V103" s="9"/>
      <c r="W103" s="9"/>
      <c r="X103" s="9"/>
      <c r="Y103" s="9"/>
      <c r="Z103" s="9"/>
      <c r="AA103" s="9"/>
      <c r="AB103" s="9"/>
      <c r="AC103" s="9"/>
      <c r="AD103" s="9"/>
      <c r="AE103" s="9"/>
      <c r="AF103" s="9"/>
      <c r="AG103" s="9"/>
    </row>
    <row r="104">
      <c r="A104" s="20">
        <v>103.0</v>
      </c>
      <c r="B104" s="20" t="s">
        <v>1943</v>
      </c>
      <c r="C104" s="20" t="s">
        <v>1944</v>
      </c>
      <c r="D104" s="20" t="s">
        <v>1945</v>
      </c>
      <c r="E104" s="20" t="s">
        <v>1946</v>
      </c>
      <c r="F104" s="9"/>
      <c r="G104" s="9"/>
      <c r="H104" s="9"/>
      <c r="I104" s="20" t="str">
        <f>IFERROR(__xludf.DUMMYFUNCTION("GOOGLETRANSLATE(B104,""ar"",""en"")
"),"Before the race, you discover that your horse has a minor wound. What is your decision?")</f>
        <v>Before the race, you discover that your horse has a minor wound. What is your decision?</v>
      </c>
      <c r="J104" s="20" t="str">
        <f>IFERROR(__xludf.DUMMYFUNCTION("GOOGLETRANSLATE(C104,""ar"",""en"")
"),"a) Continue the race unless the wound is bleeding heavily; b) Clean the wound, cover it with a bandage, and participate in the race; c) Consult the veterinarian immediately and request an assessment of the horse's condition; d) Ignore the wound and hope i"&amp;"t does not worsen during the race.")</f>
        <v>a) Continue the race unless the wound is bleeding heavily; b) Clean the wound, cover it with a bandage, and participate in the race; c) Consult the veterinarian immediately and request an assessment of the horse's condition; d) Ignore the wound and hope it does not worsen during the race.</v>
      </c>
      <c r="K104" s="20" t="str">
        <f>IFERROR(__xludf.DUMMYFUNCTION("GOOGLETRANSLATE(D104,""ar"",""en"")
"),"Consult a veterinarian immediately and request an assessment of the horse's condition.")</f>
        <v>Consult a veterinarian immediately and request an assessment of the horse's condition.</v>
      </c>
      <c r="L104" s="20" t="str">
        <f>IFERROR(__xludf.DUMMYFUNCTION("GOOGLETRANSLATE(E104,""ar"",""en"")
"),"Even minor injuries can worsen under stress and affect a horse's performance and well-being. A veterinarian should always be consulted before making any decisions.")</f>
        <v>Even minor injuries can worsen under stress and affect a horse's performance and well-being. A veterinarian should always be consulted before making any decisions.</v>
      </c>
      <c r="M104" s="9"/>
      <c r="N104" s="9"/>
      <c r="O104" s="9"/>
      <c r="P104" s="9"/>
      <c r="Q104" s="9"/>
      <c r="R104" s="9"/>
      <c r="S104" s="9"/>
      <c r="T104" s="9"/>
      <c r="U104" s="9"/>
      <c r="V104" s="9"/>
      <c r="W104" s="9"/>
      <c r="X104" s="9"/>
      <c r="Y104" s="9"/>
      <c r="Z104" s="9"/>
      <c r="AA104" s="9"/>
      <c r="AB104" s="9"/>
      <c r="AC104" s="9"/>
      <c r="AD104" s="9"/>
      <c r="AE104" s="9"/>
      <c r="AF104" s="9"/>
      <c r="AG104" s="9"/>
    </row>
    <row r="105">
      <c r="A105" s="20">
        <v>104.0</v>
      </c>
      <c r="B105" s="20" t="s">
        <v>1947</v>
      </c>
      <c r="C105" s="20" t="s">
        <v>1948</v>
      </c>
      <c r="D105" s="20" t="s">
        <v>1949</v>
      </c>
      <c r="E105" s="20" t="s">
        <v>1950</v>
      </c>
      <c r="F105" s="9"/>
      <c r="G105" s="9"/>
      <c r="H105" s="9"/>
      <c r="I105" s="20" t="str">
        <f>IFERROR(__xludf.DUMMYFUNCTION("GOOGLETRANSLATE(B105,""ar"",""en"")
"),"During the race, your helmet or goggles get damaged. How do you react?")</f>
        <v>During the race, your helmet or goggles get damaged. How do you react?</v>
      </c>
      <c r="J105" s="20" t="str">
        <f>IFERROR(__xludf.DUMMYFUNCTION("GOOGLETRANSLATE(C105,""ar"",""en"")
"),"a) Ignore the problem and continue the race; b) Slow down the horse and fix the helmet or goggles; c) Ask for help from the judges and withdraw from the race; d) Continue the race but very cautiously due to limited visibility or lack of protection.")</f>
        <v>a) Ignore the problem and continue the race; b) Slow down the horse and fix the helmet or goggles; c) Ask for help from the judges and withdraw from the race; d) Continue the race but very cautiously due to limited visibility or lack of protection.</v>
      </c>
      <c r="K105" s="20" t="str">
        <f>IFERROR(__xludf.DUMMYFUNCTION("GOOGLETRANSLATE(D105,""ar"",""en"")
"),"The race continued, but with extreme caution due to limited visibility or lack of protection.")</f>
        <v>The race continued, but with extreme caution due to limited visibility or lack of protection.</v>
      </c>
      <c r="L105" s="20" t="str">
        <f>IFERROR(__xludf.DUMMYFUNCTION("GOOGLETRANSLATE(E105,""ar"",""en"")
"),"While there may be risks, pulling out is not the first option unless visibility is zero. Proceed cautiously to avoid causing an accident.")</f>
        <v>While there may be risks, pulling out is not the first option unless visibility is zero. Proceed cautiously to avoid causing an accident.</v>
      </c>
      <c r="M105" s="9"/>
      <c r="N105" s="9"/>
      <c r="O105" s="9"/>
      <c r="P105" s="9"/>
      <c r="Q105" s="9"/>
      <c r="R105" s="9"/>
      <c r="S105" s="9"/>
      <c r="T105" s="9"/>
      <c r="U105" s="9"/>
      <c r="V105" s="9"/>
      <c r="W105" s="9"/>
      <c r="X105" s="9"/>
      <c r="Y105" s="9"/>
      <c r="Z105" s="9"/>
      <c r="AA105" s="9"/>
      <c r="AB105" s="9"/>
      <c r="AC105" s="9"/>
      <c r="AD105" s="9"/>
      <c r="AE105" s="9"/>
      <c r="AF105" s="9"/>
      <c r="AG105" s="9"/>
    </row>
    <row r="106">
      <c r="A106" s="20">
        <v>105.0</v>
      </c>
      <c r="B106" s="20" t="s">
        <v>1951</v>
      </c>
      <c r="C106" s="20" t="s">
        <v>1952</v>
      </c>
      <c r="D106" s="20" t="s">
        <v>1953</v>
      </c>
      <c r="E106" s="20" t="s">
        <v>1954</v>
      </c>
      <c r="F106" s="9"/>
      <c r="G106" s="9"/>
      <c r="H106" s="9"/>
      <c r="I106" s="20" t="str">
        <f>IFERROR(__xludf.DUMMYFUNCTION("GOOGLETRANSLATE(B106,""ar"",""en"")
"),"If you are in a race that passes through a river or shallow water, how do you deal with that?")</f>
        <v>If you are in a race that passes through a river or shallow water, how do you deal with that?</v>
      </c>
      <c r="J106" s="20" t="str">
        <f>IFERROR(__xludf.DUMMYFUNCTION("GOOGLETRANSLATE(C106,""ar"",""en"")
"),"a) Increases speed to cross the water quickly; b) Slows down the horse and makes it enter the water at a steady pace; c) Makes the horse jump over the water; d) Stops before the water and waits for the competitors to pass first.")</f>
        <v>a) Increases speed to cross the water quickly; b) Slows down the horse and makes it enter the water at a steady pace; c) Makes the horse jump over the water; d) Stops before the water and waits for the competitors to pass first.</v>
      </c>
      <c r="K106" s="20" t="str">
        <f>IFERROR(__xludf.DUMMYFUNCTION("GOOGLETRANSLATE(D106,""ar"",""en"")
"),"It slows down the horse's speed and makes it enter the water at a steady pace.")</f>
        <v>It slows down the horse's speed and makes it enter the water at a steady pace.</v>
      </c>
      <c r="L106" s="20" t="str">
        <f>IFERROR(__xludf.DUMMYFUNCTION("GOOGLETRANSLATE(E106,""ar"",""en"")
"),"Entering the water too quickly may cause the horse to slip or get injured. The horse should be allowed to enter slowly and steadily.")</f>
        <v>Entering the water too quickly may cause the horse to slip or get injured. The horse should be allowed to enter slowly and steadily.</v>
      </c>
      <c r="M106" s="9"/>
      <c r="N106" s="9"/>
      <c r="O106" s="9"/>
      <c r="P106" s="9"/>
      <c r="Q106" s="9"/>
      <c r="R106" s="9"/>
      <c r="S106" s="9"/>
      <c r="T106" s="9"/>
      <c r="U106" s="9"/>
      <c r="V106" s="9"/>
      <c r="W106" s="9"/>
      <c r="X106" s="9"/>
      <c r="Y106" s="9"/>
      <c r="Z106" s="9"/>
      <c r="AA106" s="9"/>
      <c r="AB106" s="9"/>
      <c r="AC106" s="9"/>
      <c r="AD106" s="9"/>
      <c r="AE106" s="9"/>
      <c r="AF106" s="9"/>
      <c r="AG106" s="9"/>
    </row>
    <row r="107">
      <c r="A107" s="20">
        <v>106.0</v>
      </c>
      <c r="B107" s="20" t="s">
        <v>1955</v>
      </c>
      <c r="C107" s="20" t="s">
        <v>1956</v>
      </c>
      <c r="D107" s="20" t="s">
        <v>1957</v>
      </c>
      <c r="E107" s="20" t="s">
        <v>1958</v>
      </c>
      <c r="F107" s="9"/>
      <c r="G107" s="9"/>
      <c r="H107" s="9"/>
      <c r="I107" s="20" t="str">
        <f>IFERROR(__xludf.DUMMYFUNCTION("GOOGLETRANSLATE(B107,""ar"",""en"")
"),"During training, the horse refuses to take turns. What do you do?")</f>
        <v>During training, the horse refuses to take turns. What do you do?</v>
      </c>
      <c r="J107" s="20" t="str">
        <f>IFERROR(__xludf.DUMMYFUNCTION("GOOGLETRANSLATE(C107,""ar"",""en"")
"),"a) Use force to make him turn; b) Ignore the command and train him on a straight course; c) Go back to basic turn drills and use clear and consistent signals; d) Replace the horse with a more obedient one.")</f>
        <v>a) Use force to make him turn; b) Ignore the command and train him on a straight course; c) Go back to basic turn drills and use clear and consistent signals; d) Replace the horse with a more obedient one.</v>
      </c>
      <c r="K107" s="20" t="str">
        <f>IFERROR(__xludf.DUMMYFUNCTION("GOOGLETRANSLATE(D107,""ar"",""en"")
"),"Go back to basic drills on turns and use clear and consistent signals.")</f>
        <v>Go back to basic drills on turns and use clear and consistent signals.</v>
      </c>
      <c r="L107" s="20" t="str">
        <f>IFERROR(__xludf.DUMMYFUNCTION("GOOGLETRANSLATE(E107,""ar"",""en"")
"),"Refusal to turn indicates a lack of training or a communication problem. The solution is to go back to the basics and reinforce the signals.")</f>
        <v>Refusal to turn indicates a lack of training or a communication problem. The solution is to go back to the basics and reinforce the signals.</v>
      </c>
      <c r="M107" s="9"/>
      <c r="N107" s="9"/>
      <c r="O107" s="9"/>
      <c r="P107" s="9"/>
      <c r="Q107" s="9"/>
      <c r="R107" s="9"/>
      <c r="S107" s="9"/>
      <c r="T107" s="9"/>
      <c r="U107" s="9"/>
      <c r="V107" s="9"/>
      <c r="W107" s="9"/>
      <c r="X107" s="9"/>
      <c r="Y107" s="9"/>
      <c r="Z107" s="9"/>
      <c r="AA107" s="9"/>
      <c r="AB107" s="9"/>
      <c r="AC107" s="9"/>
      <c r="AD107" s="9"/>
      <c r="AE107" s="9"/>
      <c r="AF107" s="9"/>
      <c r="AG107" s="9"/>
    </row>
    <row r="108">
      <c r="A108" s="20">
        <v>107.0</v>
      </c>
      <c r="B108" s="20" t="s">
        <v>1959</v>
      </c>
      <c r="C108" s="20" t="s">
        <v>1960</v>
      </c>
      <c r="D108" s="20" t="s">
        <v>1961</v>
      </c>
      <c r="E108" s="20" t="s">
        <v>1962</v>
      </c>
      <c r="F108" s="9"/>
      <c r="G108" s="9"/>
      <c r="H108" s="9"/>
      <c r="I108" s="20" t="str">
        <f>IFERROR(__xludf.DUMMYFUNCTION("GOOGLETRANSLATE(B108,""ar"",""en"")
"),"In a sprint race, you find that the horse tends to veer off the straight path. What do you do?")</f>
        <v>In a sprint race, you find that the horse tends to veer off the straight path. What do you do?</v>
      </c>
      <c r="J108" s="20" t="str">
        <f>IFERROR(__xludf.DUMMYFUNCTION("GOOGLETRANSLATE(C108,""ar"",""en"")
"),"a) You use the reins forcefully to bring him back on track; b) You allow him to veer off as long as he does not interfere with others; c) You adjust your sitting position and use your legs and the reins to guide him gently and steadily; d) You withdraw fr"&amp;"om the race because the horse is undisciplined.")</f>
        <v>a) You use the reins forcefully to bring him back on track; b) You allow him to veer off as long as he does not interfere with others; c) You adjust your sitting position and use your legs and the reins to guide him gently and steadily; d) You withdraw from the race because the horse is undisciplined.</v>
      </c>
      <c r="K108" s="20" t="str">
        <f>IFERROR(__xludf.DUMMYFUNCTION("GOOGLETRANSLATE(D108,""ar"",""en"")
"),"Adjust your sitting position and use your legs and the reins to guide it gently and steadily.")</f>
        <v>Adjust your sitting position and use your legs and the reins to guide it gently and steadily.</v>
      </c>
      <c r="L108" s="20" t="str">
        <f>IFERROR(__xludf.DUMMYFUNCTION("GOOGLETRANSLATE(E108,""ar"",""en"")
"),"The deviation may be due to the rider's posture or lack of training. Consistent and corrective signals should be used via the body and reins.")</f>
        <v>The deviation may be due to the rider's posture or lack of training. Consistent and corrective signals should be used via the body and reins.</v>
      </c>
      <c r="M108" s="9"/>
      <c r="N108" s="9"/>
      <c r="O108" s="9"/>
      <c r="P108" s="9"/>
      <c r="Q108" s="9"/>
      <c r="R108" s="9"/>
      <c r="S108" s="9"/>
      <c r="T108" s="9"/>
      <c r="U108" s="9"/>
      <c r="V108" s="9"/>
      <c r="W108" s="9"/>
      <c r="X108" s="9"/>
      <c r="Y108" s="9"/>
      <c r="Z108" s="9"/>
      <c r="AA108" s="9"/>
      <c r="AB108" s="9"/>
      <c r="AC108" s="9"/>
      <c r="AD108" s="9"/>
      <c r="AE108" s="9"/>
      <c r="AF108" s="9"/>
      <c r="AG108" s="9"/>
    </row>
    <row r="109">
      <c r="A109" s="20">
        <v>108.0</v>
      </c>
      <c r="B109" s="20" t="s">
        <v>1963</v>
      </c>
      <c r="C109" s="20" t="s">
        <v>1964</v>
      </c>
      <c r="D109" s="20" t="s">
        <v>1965</v>
      </c>
      <c r="E109" s="20" t="s">
        <v>1966</v>
      </c>
      <c r="F109" s="9"/>
      <c r="G109" s="9"/>
      <c r="H109" s="9"/>
      <c r="I109" s="20" t="str">
        <f>IFERROR(__xludf.DUMMYFUNCTION("GOOGLETRANSLATE(B109,""ar"",""en"")
"),"If you notice that the horse tends to bite or kick during training, how do you deal with it?")</f>
        <v>If you notice that the horse tends to bite or kick during training, how do you deal with it?</v>
      </c>
      <c r="J109" s="20" t="str">
        <f>IFERROR(__xludf.DUMMYFUNCTION("GOOGLETRANSLATE(C109,""ar"",""en"")
"),"a) Physically punish the horse to stop it; b) Ignore the behavior and hope it stops; c) Consult a professional trainer to understand the cause of the behavior and correct it; d) Leave the horse in the stable until it calms down.")</f>
        <v>a) Physically punish the horse to stop it; b) Ignore the behavior and hope it stops; c) Consult a professional trainer to understand the cause of the behavior and correct it; d) Leave the horse in the stable until it calms down.</v>
      </c>
      <c r="K109" s="20" t="str">
        <f>IFERROR(__xludf.DUMMYFUNCTION("GOOGLETRANSLATE(D109,""ar"",""en"")
"),"Consult a professional coach to understand the cause of the behavior and correct it.")</f>
        <v>Consult a professional coach to understand the cause of the behavior and correct it.</v>
      </c>
      <c r="L109" s="20" t="str">
        <f>IFERROR(__xludf.DUMMYFUNCTION("GOOGLETRANSLATE(E109,""ar"",""en"")
"),"Aggressive behavior may be a result of pain, fear, or lack of training. The underlying cause should be identified by an expert in order to address the problem.")</f>
        <v>Aggressive behavior may be a result of pain, fear, or lack of training. The underlying cause should be identified by an expert in order to address the problem.</v>
      </c>
      <c r="M109" s="9"/>
      <c r="N109" s="9"/>
      <c r="O109" s="9"/>
      <c r="P109" s="9"/>
      <c r="Q109" s="9"/>
      <c r="R109" s="9"/>
      <c r="S109" s="9"/>
      <c r="T109" s="9"/>
      <c r="U109" s="9"/>
      <c r="V109" s="9"/>
      <c r="W109" s="9"/>
      <c r="X109" s="9"/>
      <c r="Y109" s="9"/>
      <c r="Z109" s="9"/>
      <c r="AA109" s="9"/>
      <c r="AB109" s="9"/>
      <c r="AC109" s="9"/>
      <c r="AD109" s="9"/>
      <c r="AE109" s="9"/>
      <c r="AF109" s="9"/>
      <c r="AG109" s="9"/>
    </row>
    <row r="110">
      <c r="A110" s="20">
        <v>109.0</v>
      </c>
      <c r="B110" s="20" t="s">
        <v>1967</v>
      </c>
      <c r="C110" s="20" t="s">
        <v>1968</v>
      </c>
      <c r="D110" s="20" t="s">
        <v>1969</v>
      </c>
      <c r="E110" s="20" t="s">
        <v>1970</v>
      </c>
      <c r="F110" s="9"/>
      <c r="G110" s="9"/>
      <c r="H110" s="9"/>
      <c r="I110" s="20" t="str">
        <f>IFERROR(__xludf.DUMMYFUNCTION("GOOGLETRANSLATE(B110,""ar"",""en"")
"),"During the race, you lose the ability to communicate with your coach. What do you do?")</f>
        <v>During the race, you lose the ability to communicate with your coach. What do you do?</v>
      </c>
      <c r="J110" s="20" t="str">
        <f>IFERROR(__xludf.DUMMYFUNCTION("GOOGLETRANSLATE(C110,""ar"",""en"")
"),"a) You withdraw from the race because you cannot get directions; b) You rely on your previous training and personal experience; c) You try to use other signals to communicate with the trainer; d) You ask other riders for help.")</f>
        <v>a) You withdraw from the race because you cannot get directions; b) You rely on your previous training and personal experience; c) You try to use other signals to communicate with the trainer; d) You ask other riders for help.</v>
      </c>
      <c r="K110" s="20" t="str">
        <f>IFERROR(__xludf.DUMMYFUNCTION("GOOGLETRANSLATE(D110,""ar"",""en"")
"),"It depends on your previous training and personal experience.")</f>
        <v>It depends on your previous training and personal experience.</v>
      </c>
      <c r="L110" s="20" t="str">
        <f>IFERROR(__xludf.DUMMYFUNCTION("GOOGLETRANSLATE(E110,""ar"",""en"")
"),"In the absence of communication, the rider must rely on instinct and the training they have received. Self-confidence and experience are key.")</f>
        <v>In the absence of communication, the rider must rely on instinct and the training they have received. Self-confidence and experience are key.</v>
      </c>
      <c r="M110" s="9"/>
      <c r="N110" s="9"/>
      <c r="O110" s="9"/>
      <c r="P110" s="9"/>
      <c r="Q110" s="9"/>
      <c r="R110" s="9"/>
      <c r="S110" s="9"/>
      <c r="T110" s="9"/>
      <c r="U110" s="9"/>
      <c r="V110" s="9"/>
      <c r="W110" s="9"/>
      <c r="X110" s="9"/>
      <c r="Y110" s="9"/>
      <c r="Z110" s="9"/>
      <c r="AA110" s="9"/>
      <c r="AB110" s="9"/>
      <c r="AC110" s="9"/>
      <c r="AD110" s="9"/>
      <c r="AE110" s="9"/>
      <c r="AF110" s="9"/>
      <c r="AG110" s="9"/>
    </row>
    <row r="111">
      <c r="A111" s="20">
        <v>110.0</v>
      </c>
      <c r="B111" s="20" t="s">
        <v>1971</v>
      </c>
      <c r="C111" s="20" t="s">
        <v>1972</v>
      </c>
      <c r="D111" s="20" t="s">
        <v>1973</v>
      </c>
      <c r="E111" s="20" t="s">
        <v>1974</v>
      </c>
      <c r="F111" s="9"/>
      <c r="G111" s="9"/>
      <c r="H111" s="9"/>
      <c r="I111" s="20" t="str">
        <f>IFERROR(__xludf.DUMMYFUNCTION("GOOGLETRANSLATE(B111,""ar"",""en"")
"),"If a horse refuses to enter the starting cage before a race, how should you react?")</f>
        <v>If a horse refuses to enter the starting cage before a race, how should you react?</v>
      </c>
      <c r="J111" s="20" t="str">
        <f>IFERROR(__xludf.DUMMYFUNCTION("GOOGLETRANSLATE(C111,""ar"",""en"")
"),"a) Use force to compel him to enter; b) Avoid conflict and withdraw from the race; c) Work slowly and calmly and use positive coaching techniques to encourage him; d) Ask someone else to try entering him.")</f>
        <v>a) Use force to compel him to enter; b) Avoid conflict and withdraw from the race; c) Work slowly and calmly and use positive coaching techniques to encourage him; d) Ask someone else to try entering him.</v>
      </c>
      <c r="K111" s="20" t="str">
        <f>IFERROR(__xludf.DUMMYFUNCTION("GOOGLETRANSLATE(D111,""ar"",""en"")
"),"She works slowly and calmly and uses positive coaching techniques to encourage him.")</f>
        <v>She works slowly and calmly and uses positive coaching techniques to encourage him.</v>
      </c>
      <c r="L111" s="20" t="str">
        <f>IFERROR(__xludf.DUMMYFUNCTION("GOOGLETRANSLATE(E111,""ar"",""en"")
"),"Refusal to enter indicates anxiety or fear. Using patience, calmness, and positive techniques helps build trust.")</f>
        <v>Refusal to enter indicates anxiety or fear. Using patience, calmness, and positive techniques helps build trust.</v>
      </c>
      <c r="M111" s="9"/>
      <c r="N111" s="9"/>
      <c r="O111" s="9"/>
      <c r="P111" s="9"/>
      <c r="Q111" s="9"/>
      <c r="R111" s="9"/>
      <c r="S111" s="9"/>
      <c r="T111" s="9"/>
      <c r="U111" s="9"/>
      <c r="V111" s="9"/>
      <c r="W111" s="9"/>
      <c r="X111" s="9"/>
      <c r="Y111" s="9"/>
      <c r="Z111" s="9"/>
      <c r="AA111" s="9"/>
      <c r="AB111" s="9"/>
      <c r="AC111" s="9"/>
      <c r="AD111" s="9"/>
      <c r="AE111" s="9"/>
      <c r="AF111" s="9"/>
      <c r="AG111" s="9"/>
    </row>
    <row r="112">
      <c r="A112" s="20">
        <v>111.0</v>
      </c>
      <c r="B112" s="20" t="s">
        <v>1975</v>
      </c>
      <c r="C112" s="20" t="s">
        <v>1976</v>
      </c>
      <c r="D112" s="20" t="s">
        <v>1977</v>
      </c>
      <c r="E112" s="20" t="s">
        <v>1978</v>
      </c>
      <c r="F112" s="9"/>
      <c r="G112" s="9"/>
      <c r="H112" s="9"/>
      <c r="I112" s="20" t="str">
        <f>IFERROR(__xludf.DUMMYFUNCTION("GOOGLETRANSLATE(B112,""ar"",""en"")
"),"During a hurdles race, the horse jumps over the obstacle very slowly. How do you motivate it?")</f>
        <v>During a hurdles race, the horse jumps over the obstacle very slowly. How do you motivate it?</v>
      </c>
      <c r="J112" s="20" t="str">
        <f>IFERROR(__xludf.DUMMYFUNCTION("GOOGLETRANSLATE(C112,""ar"",""en"")
"),"a) Use the whip forcefully to make him speed up; b) Try to get past the obstacle in a different way; c) Use a clear voice and body signals to motivate him; d) Ignore the speed and think about the next obstacle.")</f>
        <v>a) Use the whip forcefully to make him speed up; b) Try to get past the obstacle in a different way; c) Use a clear voice and body signals to motivate him; d) Ignore the speed and think about the next obstacle.</v>
      </c>
      <c r="K112" s="20" t="str">
        <f>IFERROR(__xludf.DUMMYFUNCTION("GOOGLETRANSLATE(D112,""ar"",""en"")
"),"It uses clear voice and body signals to stimulate him.")</f>
        <v>It uses clear voice and body signals to stimulate him.</v>
      </c>
      <c r="L112" s="20" t="str">
        <f>IFERROR(__xludf.DUMMYFUNCTION("GOOGLETRANSLATE(E112,""ar"",""en"")
"),"Positive reinforcement is the best approach. Using both vocal and physical cues helps the horse understand what is required of it.")</f>
        <v>Positive reinforcement is the best approach. Using both vocal and physical cues helps the horse understand what is required of it.</v>
      </c>
      <c r="M112" s="9"/>
      <c r="N112" s="9"/>
      <c r="O112" s="9"/>
      <c r="P112" s="9"/>
      <c r="Q112" s="9"/>
      <c r="R112" s="9"/>
      <c r="S112" s="9"/>
      <c r="T112" s="9"/>
      <c r="U112" s="9"/>
      <c r="V112" s="9"/>
      <c r="W112" s="9"/>
      <c r="X112" s="9"/>
      <c r="Y112" s="9"/>
      <c r="Z112" s="9"/>
      <c r="AA112" s="9"/>
      <c r="AB112" s="9"/>
      <c r="AC112" s="9"/>
      <c r="AD112" s="9"/>
      <c r="AE112" s="9"/>
      <c r="AF112" s="9"/>
      <c r="AG112" s="9"/>
    </row>
    <row r="113">
      <c r="A113" s="20">
        <v>112.0</v>
      </c>
      <c r="B113" s="20" t="s">
        <v>1979</v>
      </c>
      <c r="C113" s="20" t="s">
        <v>1980</v>
      </c>
      <c r="D113" s="20" t="s">
        <v>1981</v>
      </c>
      <c r="E113" s="20" t="s">
        <v>1982</v>
      </c>
      <c r="F113" s="9"/>
      <c r="G113" s="9"/>
      <c r="H113" s="9"/>
      <c r="I113" s="20" t="str">
        <f>IFERROR(__xludf.DUMMYFUNCTION("GOOGLETRANSLATE(B113,""ar"",""en"")
"),"If the race is in an area known to have wild animals, what do you do?")</f>
        <v>If the race is in an area known to have wild animals, what do you do?</v>
      </c>
      <c r="J113" s="20" t="str">
        <f>IFERROR(__xludf.DUMMYFUNCTION("GOOGLETRANSLATE(C113,""ar"",""en"")
"),"a) Increase the horse's speed to get through the area quickly; b) Stop and wait until you are sure the track is clear; c) Remain alert and be prepared for the horse's reaction to any surprise; d) Withdraw from the race because there is danger.")</f>
        <v>a) Increase the horse's speed to get through the area quickly; b) Stop and wait until you are sure the track is clear; c) Remain alert and be prepared for the horse's reaction to any surprise; d) Withdraw from the race because there is danger.</v>
      </c>
      <c r="K113" s="20" t="str">
        <f>IFERROR(__xludf.DUMMYFUNCTION("GOOGLETRANSLATE(D113,""ar"",""en"")
"),"Stay alert and be prepared for the horse's reaction to any surprise.")</f>
        <v>Stay alert and be prepared for the horse's reaction to any surprise.</v>
      </c>
      <c r="L113" s="20" t="str">
        <f>IFERROR(__xludf.DUMMYFUNCTION("GOOGLETRANSLATE(E113,""ar"",""en"")
"),"Vigilance is paramount. You must be prepared for the horse's reaction and steer it away from any potential danger.")</f>
        <v>Vigilance is paramount. You must be prepared for the horse's reaction and steer it away from any potential danger.</v>
      </c>
      <c r="M113" s="9"/>
      <c r="N113" s="9"/>
      <c r="O113" s="9"/>
      <c r="P113" s="9"/>
      <c r="Q113" s="9"/>
      <c r="R113" s="9"/>
      <c r="S113" s="9"/>
      <c r="T113" s="9"/>
      <c r="U113" s="9"/>
      <c r="V113" s="9"/>
      <c r="W113" s="9"/>
      <c r="X113" s="9"/>
      <c r="Y113" s="9"/>
      <c r="Z113" s="9"/>
      <c r="AA113" s="9"/>
      <c r="AB113" s="9"/>
      <c r="AC113" s="9"/>
      <c r="AD113" s="9"/>
      <c r="AE113" s="9"/>
      <c r="AF113" s="9"/>
      <c r="AG113" s="9"/>
    </row>
    <row r="114">
      <c r="A114" s="20">
        <v>113.0</v>
      </c>
      <c r="B114" s="20" t="s">
        <v>1983</v>
      </c>
      <c r="C114" s="20" t="s">
        <v>1984</v>
      </c>
      <c r="D114" s="20" t="s">
        <v>1985</v>
      </c>
      <c r="E114" s="20" t="s">
        <v>1986</v>
      </c>
      <c r="F114" s="9"/>
      <c r="G114" s="9"/>
      <c r="H114" s="9"/>
      <c r="I114" s="20" t="str">
        <f>IFERROR(__xludf.DUMMYFUNCTION("GOOGLETRANSLATE(B114,""ar"",""en"")
"),"During a race, a horse's attention is easily distracted by bright light. How can you keep it focused?")</f>
        <v>During a race, a horse's attention is easily distracted by bright light. How can you keep it focused?</v>
      </c>
      <c r="J114" s="20" t="str">
        <f>IFERROR(__xludf.DUMMYFUNCTION("GOOGLETRANSLATE(C114,""ar"",""en"")
"),"a) You try to cover the horse's eyes with your hands; b) You use a calm voice and a steady bridle to guide it; c) You increase your speed to quickly pass the light source; d) You withdraw from the race because the horse has lost focus.")</f>
        <v>a) You try to cover the horse's eyes with your hands; b) You use a calm voice and a steady bridle to guide it; c) You increase your speed to quickly pass the light source; d) You withdraw from the race because the horse has lost focus.</v>
      </c>
      <c r="K114" s="20" t="str">
        <f>IFERROR(__xludf.DUMMYFUNCTION("GOOGLETRANSLATE(D114,""ar"",""en"")
"),"It uses a calm voice and a steady bridle to guide it.")</f>
        <v>It uses a calm voice and a steady bridle to guide it.</v>
      </c>
      <c r="L114" s="20" t="str">
        <f>IFERROR(__xludf.DUMMYFUNCTION("GOOGLETRANSLATE(E114,""ar"",""en"")
"),"The rider must be a source of confidence for the horse. Using a calm voice and a steady bridle helps to refocus the horse.")</f>
        <v>The rider must be a source of confidence for the horse. Using a calm voice and a steady bridle helps to refocus the horse.</v>
      </c>
      <c r="M114" s="9"/>
      <c r="N114" s="9"/>
      <c r="O114" s="9"/>
      <c r="P114" s="9"/>
      <c r="Q114" s="9"/>
      <c r="R114" s="9"/>
      <c r="S114" s="9"/>
      <c r="T114" s="9"/>
      <c r="U114" s="9"/>
      <c r="V114" s="9"/>
      <c r="W114" s="9"/>
      <c r="X114" s="9"/>
      <c r="Y114" s="9"/>
      <c r="Z114" s="9"/>
      <c r="AA114" s="9"/>
      <c r="AB114" s="9"/>
      <c r="AC114" s="9"/>
      <c r="AD114" s="9"/>
      <c r="AE114" s="9"/>
      <c r="AF114" s="9"/>
      <c r="AG114" s="9"/>
    </row>
    <row r="115">
      <c r="A115" s="20">
        <v>114.0</v>
      </c>
      <c r="B115" s="20" t="s">
        <v>1987</v>
      </c>
      <c r="C115" s="20" t="s">
        <v>1988</v>
      </c>
      <c r="D115" s="20" t="s">
        <v>1989</v>
      </c>
      <c r="E115" s="20" t="s">
        <v>1990</v>
      </c>
      <c r="F115" s="9"/>
      <c r="G115" s="9"/>
      <c r="H115" s="9"/>
      <c r="I115" s="20" t="str">
        <f>IFERROR(__xludf.DUMMYFUNCTION("GOOGLETRANSLATE(B115,""ar"",""en"")
"),"If you feel that the horse's saddle is unstable during a race, how do you deal with the situation?")</f>
        <v>If you feel that the horse's saddle is unstable during a race, how do you deal with the situation?</v>
      </c>
      <c r="J115" s="20" t="str">
        <f>IFERROR(__xludf.DUMMYFUNCTION("GOOGLETRANSLATE(C115,""ar"",""en"")
"),"a) Continues the race and ignores the problem; b) Attempts to adjust the saddle while riding; c) Slows down the horse and secures the saddle as much as possible; d) Withdraws from the race because the saddle is unsafe.")</f>
        <v>a) Continues the race and ignores the problem; b) Attempts to adjust the saddle while riding; c) Slows down the horse and secures the saddle as much as possible; d) Withdraws from the race because the saddle is unsafe.</v>
      </c>
      <c r="K115" s="20" t="str">
        <f>IFERROR(__xludf.DUMMYFUNCTION("GOOGLETRANSLATE(D115,""ar"",""en"")
"),"Slow down the horse and secure the saddle as much as possible.")</f>
        <v>Slow down the horse and secure the saddle as much as possible.</v>
      </c>
      <c r="L115" s="20" t="str">
        <f>IFERROR(__xludf.DUMMYFUNCTION("GOOGLETRANSLATE(E115,""ar"",""en"")
"),"An unstable saddle can affect the balance of both rider and horse. Speed ​​must be reduced to avoid falls.")</f>
        <v>An unstable saddle can affect the balance of both rider and horse. Speed ​​must be reduced to avoid falls.</v>
      </c>
      <c r="M115" s="9"/>
      <c r="N115" s="9"/>
      <c r="O115" s="9"/>
      <c r="P115" s="9"/>
      <c r="Q115" s="9"/>
      <c r="R115" s="9"/>
      <c r="S115" s="9"/>
      <c r="T115" s="9"/>
      <c r="U115" s="9"/>
      <c r="V115" s="9"/>
      <c r="W115" s="9"/>
      <c r="X115" s="9"/>
      <c r="Y115" s="9"/>
      <c r="Z115" s="9"/>
      <c r="AA115" s="9"/>
      <c r="AB115" s="9"/>
      <c r="AC115" s="9"/>
      <c r="AD115" s="9"/>
      <c r="AE115" s="9"/>
      <c r="AF115" s="9"/>
      <c r="AG115" s="9"/>
    </row>
    <row r="116">
      <c r="A116" s="20">
        <v>115.0</v>
      </c>
      <c r="B116" s="20" t="s">
        <v>1991</v>
      </c>
      <c r="C116" s="20" t="s">
        <v>1992</v>
      </c>
      <c r="D116" s="20" t="s">
        <v>1993</v>
      </c>
      <c r="E116" s="20" t="s">
        <v>1994</v>
      </c>
      <c r="F116" s="9"/>
      <c r="G116" s="9"/>
      <c r="H116" s="9"/>
      <c r="I116" s="20" t="str">
        <f>IFERROR(__xludf.DUMMYFUNCTION("GOOGLETRANSLATE(B116,""ar"",""en"")
"),"Before the race, you feel the horse hasn't had enough rest. What do you do?")</f>
        <v>Before the race, you feel the horse hasn't had enough rest. What do you do?</v>
      </c>
      <c r="J116" s="20" t="str">
        <f>IFERROR(__xludf.DUMMYFUNCTION("GOOGLETRANSLATE(C116,""ar"",""en"")
"),"a) Let him participate in the race and monitor him closely; b) Increase the warm-up period to compensate for the lack of rest; c) Request a postponement of the race or withdraw from it; d) Give him stimulants to increase his energy.")</f>
        <v>a) Let him participate in the race and monitor him closely; b) Increase the warm-up period to compensate for the lack of rest; c) Request a postponement of the race or withdraw from it; d) Give him stimulants to increase his energy.</v>
      </c>
      <c r="K116" s="20" t="str">
        <f>IFERROR(__xludf.DUMMYFUNCTION("GOOGLETRANSLATE(D116,""ar"",""en"")
"),"She requests a postponement of the race or withdraws from it.")</f>
        <v>She requests a postponement of the race or withdraws from it.</v>
      </c>
      <c r="L116" s="20" t="str">
        <f>IFERROR(__xludf.DUMMYFUNCTION("GOOGLETRANSLATE(E116,""ar"",""en"")
"),"Exhaustion of the horse can lead to serious injuries. The horse's safety is the priority.")</f>
        <v>Exhaustion of the horse can lead to serious injuries. The horse's safety is the priority.</v>
      </c>
      <c r="M116" s="9"/>
      <c r="N116" s="9"/>
      <c r="O116" s="9"/>
      <c r="P116" s="9"/>
      <c r="Q116" s="9"/>
      <c r="R116" s="9"/>
      <c r="S116" s="9"/>
      <c r="T116" s="9"/>
      <c r="U116" s="9"/>
      <c r="V116" s="9"/>
      <c r="W116" s="9"/>
      <c r="X116" s="9"/>
      <c r="Y116" s="9"/>
      <c r="Z116" s="9"/>
      <c r="AA116" s="9"/>
      <c r="AB116" s="9"/>
      <c r="AC116" s="9"/>
      <c r="AD116" s="9"/>
      <c r="AE116" s="9"/>
      <c r="AF116" s="9"/>
      <c r="AG116" s="9"/>
    </row>
    <row r="117">
      <c r="A117" s="20">
        <v>116.0</v>
      </c>
      <c r="B117" s="20" t="s">
        <v>1995</v>
      </c>
      <c r="C117" s="20" t="s">
        <v>1996</v>
      </c>
      <c r="D117" s="20" t="s">
        <v>1997</v>
      </c>
      <c r="E117" s="20" t="s">
        <v>1998</v>
      </c>
      <c r="F117" s="9"/>
      <c r="G117" s="9"/>
      <c r="H117" s="9"/>
      <c r="I117" s="20" t="str">
        <f>IFERROR(__xludf.DUMMYFUNCTION("GOOGLETRANSLATE(B117,""ar"",""en"")
"),"In a relay race, your horse slows down before handing over the badge. What do you do?")</f>
        <v>In a relay race, your horse slows down before handing over the badge. What do you do?</v>
      </c>
      <c r="J117" s="20" t="str">
        <f>IFERROR(__xludf.DUMMYFUNCTION("GOOGLETRANSLATE(C117,""ar"",""en"")
"),"a) You use the whip to force him to speed up; b) You motivate him with your voice and bridle and continue to guide him; c) You drop the cue early to avoid losing time; d) You withdraw from the race because you lost time.")</f>
        <v>a) You use the whip to force him to speed up; b) You motivate him with your voice and bridle and continue to guide him; c) You drop the cue early to avoid losing time; d) You withdraw from the race because you lost time.</v>
      </c>
      <c r="K117" s="20" t="str">
        <f>IFERROR(__xludf.DUMMYFUNCTION("GOOGLETRANSLATE(D117,""ar"",""en"")
"),"You motivate him with your voice and your bridle, and you continue to guide him.")</f>
        <v>You motivate him with your voice and your bridle, and you continue to guide him.</v>
      </c>
      <c r="L117" s="20" t="str">
        <f>IFERROR(__xludf.DUMMYFUNCTION("GOOGLETRANSLATE(E117,""ar"",""en"")
"),"The jockey must motivate the horse and guide it towards the finish line. Constant communication is key.")</f>
        <v>The jockey must motivate the horse and guide it towards the finish line. Constant communication is key.</v>
      </c>
      <c r="M117" s="9"/>
      <c r="N117" s="9"/>
      <c r="O117" s="9"/>
      <c r="P117" s="9"/>
      <c r="Q117" s="9"/>
      <c r="R117" s="9"/>
      <c r="S117" s="9"/>
      <c r="T117" s="9"/>
      <c r="U117" s="9"/>
      <c r="V117" s="9"/>
      <c r="W117" s="9"/>
      <c r="X117" s="9"/>
      <c r="Y117" s="9"/>
      <c r="Z117" s="9"/>
      <c r="AA117" s="9"/>
      <c r="AB117" s="9"/>
      <c r="AC117" s="9"/>
      <c r="AD117" s="9"/>
      <c r="AE117" s="9"/>
      <c r="AF117" s="9"/>
      <c r="AG117" s="9"/>
    </row>
    <row r="118">
      <c r="A118" s="20">
        <v>117.0</v>
      </c>
      <c r="B118" s="20" t="s">
        <v>1999</v>
      </c>
      <c r="C118" s="20" t="s">
        <v>2000</v>
      </c>
      <c r="D118" s="20" t="s">
        <v>2001</v>
      </c>
      <c r="E118" s="20" t="s">
        <v>2002</v>
      </c>
      <c r="F118" s="9"/>
      <c r="G118" s="9"/>
      <c r="H118" s="9"/>
      <c r="I118" s="20" t="str">
        <f>IFERROR(__xludf.DUMMYFUNCTION("GOOGLETRANSLATE(B118,""ar"",""en"")
"),"If a horse tends to walk with a erratic gait instead of maintaining a steady pace, how can you correct this?")</f>
        <v>If a horse tends to walk with a erratic gait instead of maintaining a steady pace, how can you correct this?</v>
      </c>
      <c r="J118" s="20" t="str">
        <f>IFERROR(__xludf.DUMMYFUNCTION("GOOGLETRANSLATE(C118,""ar"",""en"")
"),"a) Allows him to move at his own pace; b) Uses the whip to correct his steps; c) Returns to training at a steady rhythm and uses repeated cues; d) Ignores the rhythm and focuses on speed.")</f>
        <v>a) Allows him to move at his own pace; b) Uses the whip to correct his steps; c) Returns to training at a steady rhythm and uses repeated cues; d) Ignores the rhythm and focuses on speed.</v>
      </c>
      <c r="K118" s="20" t="str">
        <f>IFERROR(__xludf.DUMMYFUNCTION("GOOGLETRANSLATE(D118,""ar"",""en"")
"),"She goes back to training with a steady rhythm and uses repetitive cues.")</f>
        <v>She goes back to training with a steady rhythm and uses repetitive cues.</v>
      </c>
      <c r="L118" s="20" t="str">
        <f>IFERROR(__xludf.DUMMYFUNCTION("GOOGLETRANSLATE(E118,""ar"",""en"")
"),"A horse needs a consistent pace in a race. Training in pace and gait helps improve its performance.")</f>
        <v>A horse needs a consistent pace in a race. Training in pace and gait helps improve its performance.</v>
      </c>
      <c r="M118" s="9"/>
      <c r="N118" s="9"/>
      <c r="O118" s="9"/>
      <c r="P118" s="9"/>
      <c r="Q118" s="9"/>
      <c r="R118" s="9"/>
      <c r="S118" s="9"/>
      <c r="T118" s="9"/>
      <c r="U118" s="9"/>
      <c r="V118" s="9"/>
      <c r="W118" s="9"/>
      <c r="X118" s="9"/>
      <c r="Y118" s="9"/>
      <c r="Z118" s="9"/>
      <c r="AA118" s="9"/>
      <c r="AB118" s="9"/>
      <c r="AC118" s="9"/>
      <c r="AD118" s="9"/>
      <c r="AE118" s="9"/>
      <c r="AF118" s="9"/>
      <c r="AG118" s="9"/>
    </row>
    <row r="119">
      <c r="A119" s="20">
        <v>118.0</v>
      </c>
      <c r="B119" s="20" t="s">
        <v>2003</v>
      </c>
      <c r="C119" s="20" t="s">
        <v>2004</v>
      </c>
      <c r="D119" s="20" t="s">
        <v>2005</v>
      </c>
      <c r="E119" s="20" t="s">
        <v>2006</v>
      </c>
      <c r="F119" s="9"/>
      <c r="G119" s="9"/>
      <c r="H119" s="9"/>
      <c r="I119" s="20" t="str">
        <f>IFERROR(__xludf.DUMMYFUNCTION("GOOGLETRANSLATE(B119,""ar"",""en"")
"),"During the race, you notice that another horse is injured. How do you react?")</f>
        <v>During the race, you notice that another horse is injured. How do you react?</v>
      </c>
      <c r="J119" s="20" t="str">
        <f>IFERROR(__xludf.DUMMYFUNCTION("GOOGLETRANSLATE(C119,""ar"",""en"")
"),"a) Continue racing and ignore the injured horse; b) Slow down to avoid causing further damage; c) Drop out of the race to help the injured rider; d) Shout at the other rider to get off the track.")</f>
        <v>a) Continue racing and ignore the injured horse; b) Slow down to avoid causing further damage; c) Drop out of the race to help the injured rider; d) Shout at the other rider to get off the track.</v>
      </c>
      <c r="K119" s="20" t="str">
        <f>IFERROR(__xludf.DUMMYFUNCTION("GOOGLETRANSLATE(D119,""ar"",""en"")
"),"Slow down to avoid causing further damage.")</f>
        <v>Slow down to avoid causing further damage.</v>
      </c>
      <c r="L119" s="20" t="str">
        <f>IFERROR(__xludf.DUMMYFUNCTION("GOOGLETRANSLATE(E119,""ar"",""en"")
"),"The rider must take measures to minimize risks to both the injured horse and the rider. Slowing down is the safest course of action.")</f>
        <v>The rider must take measures to minimize risks to both the injured horse and the rider. Slowing down is the safest course of action.</v>
      </c>
      <c r="M119" s="9"/>
      <c r="N119" s="9"/>
      <c r="O119" s="9"/>
      <c r="P119" s="9"/>
      <c r="Q119" s="9"/>
      <c r="R119" s="9"/>
      <c r="S119" s="9"/>
      <c r="T119" s="9"/>
      <c r="U119" s="9"/>
      <c r="V119" s="9"/>
      <c r="W119" s="9"/>
      <c r="X119" s="9"/>
      <c r="Y119" s="9"/>
      <c r="Z119" s="9"/>
      <c r="AA119" s="9"/>
      <c r="AB119" s="9"/>
      <c r="AC119" s="9"/>
      <c r="AD119" s="9"/>
      <c r="AE119" s="9"/>
      <c r="AF119" s="9"/>
      <c r="AG119" s="9"/>
    </row>
    <row r="120">
      <c r="A120" s="20">
        <v>119.0</v>
      </c>
      <c r="B120" s="20" t="s">
        <v>2007</v>
      </c>
      <c r="C120" s="20" t="s">
        <v>2008</v>
      </c>
      <c r="D120" s="20" t="s">
        <v>2009</v>
      </c>
      <c r="E120" s="20" t="s">
        <v>2010</v>
      </c>
      <c r="F120" s="9"/>
      <c r="G120" s="9"/>
      <c r="H120" s="9"/>
      <c r="I120" s="20" t="str">
        <f>IFERROR(__xludf.DUMMYFUNCTION("GOOGLETRANSLATE(B120,""ar"",""en"")
"),"If the arena has barriers of different heights, what do you do?")</f>
        <v>If the arena has barriers of different heights, what do you do?</v>
      </c>
      <c r="J120" s="20" t="str">
        <f>IFERROR(__xludf.DUMMYFUNCTION("GOOGLETRANSLATE(C120,""ar"",""en"")
"),"a) She tries to jump over each obstacle at the same speed; b) She increases speed before high obstacles and slows down before low ones; c) She modifies the horse's speed and jumping angle for each obstacle; d) She allows the horse to make its own decision"&amp;"s about jumping.")</f>
        <v>a) She tries to jump over each obstacle at the same speed; b) She increases speed before high obstacles and slows down before low ones; c) She modifies the horse's speed and jumping angle for each obstacle; d) She allows the horse to make its own decisions about jumping.</v>
      </c>
      <c r="K120" s="20" t="str">
        <f>IFERROR(__xludf.DUMMYFUNCTION("GOOGLETRANSLATE(D120,""ar"",""en"")
"),"It adjusts the horse's speed and jumping angle for each obstacle.")</f>
        <v>It adjusts the horse's speed and jumping angle for each obstacle.</v>
      </c>
      <c r="L120" s="20" t="str">
        <f>IFERROR(__xludf.DUMMYFUNCTION("GOOGLETRANSLATE(E120,""ar"",""en"")
"),"Each obstacle requires a different technique. The rider must guide the horse and adjust its speed and jumping angle to ensure safety and effectiveness.")</f>
        <v>Each obstacle requires a different technique. The rider must guide the horse and adjust its speed and jumping angle to ensure safety and effectiveness.</v>
      </c>
      <c r="M120" s="9"/>
      <c r="N120" s="9"/>
      <c r="O120" s="9"/>
      <c r="P120" s="9"/>
      <c r="Q120" s="9"/>
      <c r="R120" s="9"/>
      <c r="S120" s="9"/>
      <c r="T120" s="9"/>
      <c r="U120" s="9"/>
      <c r="V120" s="9"/>
      <c r="W120" s="9"/>
      <c r="X120" s="9"/>
      <c r="Y120" s="9"/>
      <c r="Z120" s="9"/>
      <c r="AA120" s="9"/>
      <c r="AB120" s="9"/>
      <c r="AC120" s="9"/>
      <c r="AD120" s="9"/>
      <c r="AE120" s="9"/>
      <c r="AF120" s="9"/>
      <c r="AG120" s="9"/>
    </row>
    <row r="121">
      <c r="A121" s="20">
        <v>120.0</v>
      </c>
      <c r="B121" s="20" t="s">
        <v>2011</v>
      </c>
      <c r="C121" s="20" t="s">
        <v>2012</v>
      </c>
      <c r="D121" s="20" t="s">
        <v>2013</v>
      </c>
      <c r="E121" s="20" t="s">
        <v>2014</v>
      </c>
      <c r="F121" s="9"/>
      <c r="G121" s="9"/>
      <c r="H121" s="9"/>
      <c r="I121" s="20" t="str">
        <f>IFERROR(__xludf.DUMMYFUNCTION("GOOGLETRANSLATE(B121,""ar"",""en"")
"),"During training, the horse seems to ignore the auditory cues. How should you react?")</f>
        <v>During training, the horse seems to ignore the auditory cues. How should you react?</v>
      </c>
      <c r="J121" s="20" t="str">
        <f>IFERROR(__xludf.DUMMYFUNCTION("GOOGLETRANSLATE(C121,""ar"",""en"")
"),"a) You stop using vocal cues; b) You increase your voice to become louder; c) You return to basic training and use physical cues along with vocal ones; d) You use another tool to get his attention.")</f>
        <v>a) You stop using vocal cues; b) You increase your voice to become louder; c) You return to basic training and use physical cues along with vocal ones; d) You use another tool to get his attention.</v>
      </c>
      <c r="K121" s="20" t="str">
        <f>IFERROR(__xludf.DUMMYFUNCTION("GOOGLETRANSLATE(D121,""ar"",""en"")
"),"She reverts to basic training and uses physical cues along with vocalizations.")</f>
        <v>She reverts to basic training and uses physical cues along with vocalizations.</v>
      </c>
      <c r="L121" s="20" t="str">
        <f>IFERROR(__xludf.DUMMYFUNCTION("GOOGLETRANSLATE(E121,""ar"",""en"")
"),"Ignoring cues may be due to fatigue or lack of focus. Verbal and nonverbal cues should be combined to enhance communication.")</f>
        <v>Ignoring cues may be due to fatigue or lack of focus. Verbal and nonverbal cues should be combined to enhance communication.</v>
      </c>
      <c r="M121" s="9"/>
      <c r="N121" s="9"/>
      <c r="O121" s="9"/>
      <c r="P121" s="9"/>
      <c r="Q121" s="9"/>
      <c r="R121" s="9"/>
      <c r="S121" s="9"/>
      <c r="T121" s="9"/>
      <c r="U121" s="9"/>
      <c r="V121" s="9"/>
      <c r="W121" s="9"/>
      <c r="X121" s="9"/>
      <c r="Y121" s="9"/>
      <c r="Z121" s="9"/>
      <c r="AA121" s="9"/>
      <c r="AB121" s="9"/>
      <c r="AC121" s="9"/>
      <c r="AD121" s="9"/>
      <c r="AE121" s="9"/>
      <c r="AF121" s="9"/>
      <c r="AG121" s="9"/>
    </row>
    <row r="122">
      <c r="A122" s="20">
        <v>121.0</v>
      </c>
      <c r="B122" s="20" t="s">
        <v>2015</v>
      </c>
      <c r="C122" s="20" t="s">
        <v>2016</v>
      </c>
      <c r="D122" s="20" t="s">
        <v>2017</v>
      </c>
      <c r="E122" s="20" t="s">
        <v>2018</v>
      </c>
      <c r="F122" s="9"/>
      <c r="G122" s="9"/>
      <c r="H122" s="9"/>
      <c r="I122" s="20" t="str">
        <f>IFERROR(__xludf.DUMMYFUNCTION("GOOGLETRANSLATE(B122,""ar"",""en"")
"),"If you are in a group race and find yourself surrounded by other riders, what do you do?")</f>
        <v>If you are in a group race and find yourself surrounded by other riders, what do you do?</v>
      </c>
      <c r="J122" s="20" t="str">
        <f>IFERROR(__xludf.DUMMYFUNCTION("GOOGLETRANSLATE(C122,""ar"",""en"")
"),"a) Use force to break out of the encirclement; b) Slow down and wait for an opportunity to overtake; c) Try to create a gap between the two horses to pass your horse; d) Continue racing at the same speed and wait for the others to make a mistake.")</f>
        <v>a) Use force to break out of the encirclement; b) Slow down and wait for an opportunity to overtake; c) Try to create a gap between the two horses to pass your horse; d) Continue racing at the same speed and wait for the others to make a mistake.</v>
      </c>
      <c r="K122" s="20" t="str">
        <f>IFERROR(__xludf.DUMMYFUNCTION("GOOGLETRANSLATE(D122,""ar"",""en"")
"),"You are trying to create a gap between the two horses to pass your horse.")</f>
        <v>You are trying to create a gap between the two horses to pass your horse.</v>
      </c>
      <c r="L122" s="20" t="str">
        <f>IFERROR(__xludf.DUMMYFUNCTION("GOOGLETRANSLATE(E122,""ar"",""en"")
"),"The siege is dangerous. The knight must find a way out. Finding a gap is the safest solution.")</f>
        <v>The siege is dangerous. The knight must find a way out. Finding a gap is the safest solution.</v>
      </c>
      <c r="M122" s="9"/>
      <c r="N122" s="9"/>
      <c r="O122" s="9"/>
      <c r="P122" s="9"/>
      <c r="Q122" s="9"/>
      <c r="R122" s="9"/>
      <c r="S122" s="9"/>
      <c r="T122" s="9"/>
      <c r="U122" s="9"/>
      <c r="V122" s="9"/>
      <c r="W122" s="9"/>
      <c r="X122" s="9"/>
      <c r="Y122" s="9"/>
      <c r="Z122" s="9"/>
      <c r="AA122" s="9"/>
      <c r="AB122" s="9"/>
      <c r="AC122" s="9"/>
      <c r="AD122" s="9"/>
      <c r="AE122" s="9"/>
      <c r="AF122" s="9"/>
      <c r="AG122" s="9"/>
    </row>
    <row r="123">
      <c r="A123" s="20">
        <v>122.0</v>
      </c>
      <c r="B123" s="20" t="s">
        <v>2019</v>
      </c>
      <c r="C123" s="20" t="s">
        <v>2020</v>
      </c>
      <c r="D123" s="20" t="s">
        <v>2021</v>
      </c>
      <c r="E123" s="20" t="s">
        <v>2022</v>
      </c>
      <c r="F123" s="9"/>
      <c r="G123" s="9"/>
      <c r="H123" s="9"/>
      <c r="I123" s="20" t="str">
        <f>IFERROR(__xludf.DUMMYFUNCTION("GOOGLETRANSLATE(B123,""ar"",""en"")
"),"Before the race, you discover you haven't eaten enough. How do you maintain your energy levels?")</f>
        <v>Before the race, you discover you haven't eaten enough. How do you maintain your energy levels?</v>
      </c>
      <c r="J123" s="20" t="str">
        <f>IFERROR(__xludf.DUMMYFUNCTION("GOOGLETRANSLATE(C123,""ar"",""en"")
"),"a) You take energy drinks before the race; b) You try to eat a quick meal before the start of the race; c) You focus on water and rely on your physical training; d) You ask for the race to be postponed until you eat.")</f>
        <v>a) You take energy drinks before the race; b) You try to eat a quick meal before the start of the race; c) You focus on water and rely on your physical training; d) You ask for the race to be postponed until you eat.</v>
      </c>
      <c r="K123" s="20" t="str">
        <f>IFERROR(__xludf.DUMMYFUNCTION("GOOGLETRANSLATE(D123,""ar"",""en"")
"),"Focus on water and rely on your physical training.")</f>
        <v>Focus on water and rely on your physical training.</v>
      </c>
      <c r="L123" s="20" t="str">
        <f>IFERROR(__xludf.DUMMYFUNCTION("GOOGLETRANSLATE(E123,""ar"",""en"")
"),"Eating a large meal before a race can cause indigestion. Focusing on hydration and physical fitness is the best solution.")</f>
        <v>Eating a large meal before a race can cause indigestion. Focusing on hydration and physical fitness is the best solution.</v>
      </c>
      <c r="M123" s="9"/>
      <c r="N123" s="9"/>
      <c r="O123" s="9"/>
      <c r="P123" s="9"/>
      <c r="Q123" s="9"/>
      <c r="R123" s="9"/>
      <c r="S123" s="9"/>
      <c r="T123" s="9"/>
      <c r="U123" s="9"/>
      <c r="V123" s="9"/>
      <c r="W123" s="9"/>
      <c r="X123" s="9"/>
      <c r="Y123" s="9"/>
      <c r="Z123" s="9"/>
      <c r="AA123" s="9"/>
      <c r="AB123" s="9"/>
      <c r="AC123" s="9"/>
      <c r="AD123" s="9"/>
      <c r="AE123" s="9"/>
      <c r="AF123" s="9"/>
      <c r="AG123" s="9"/>
    </row>
    <row r="124">
      <c r="A124" s="20">
        <v>123.0</v>
      </c>
      <c r="B124" s="20" t="s">
        <v>2023</v>
      </c>
      <c r="C124" s="20" t="s">
        <v>2024</v>
      </c>
      <c r="D124" s="20" t="s">
        <v>2025</v>
      </c>
      <c r="E124" s="20" t="s">
        <v>2026</v>
      </c>
      <c r="F124" s="9"/>
      <c r="G124" s="9"/>
      <c r="H124" s="9"/>
      <c r="I124" s="20" t="str">
        <f>IFERROR(__xludf.DUMMYFUNCTION("GOOGLETRANSLATE(B124,""ar"",""en"")
"),"During the race, you notice a rock or a foreign object on the track. What do you do?")</f>
        <v>During the race, you notice a rock or a foreign object on the track. What do you do?</v>
      </c>
      <c r="J124" s="20" t="str">
        <f>IFERROR(__xludf.DUMMYFUNCTION("GOOGLETRANSLATE(C124,""ar"",""en"")
"),"a) Ignore the object and continue racing; b) Try to pass the object by turning; c) Shout to other riders to warn them; d) Slow down the horse and carefully pass the object.")</f>
        <v>a) Ignore the object and continue racing; b) Try to pass the object by turning; c) Shout to other riders to warn them; d) Slow down the horse and carefully pass the object.</v>
      </c>
      <c r="K124" s="20" t="str">
        <f>IFERROR(__xludf.DUMMYFUNCTION("GOOGLETRANSLATE(D124,""ar"",""en"")
"),"It slows down the horse's speed and carefully passes the body.")</f>
        <v>It slows down the horse's speed and carefully passes the body.</v>
      </c>
      <c r="L124" s="20" t="str">
        <f>IFERROR(__xludf.DUMMYFUNCTION("GOOGLETRANSLATE(E124,""ar"",""en"")
"),"Foreign objects on the track may cause injuries. Slow down and pass them with caution.")</f>
        <v>Foreign objects on the track may cause injuries. Slow down and pass them with caution.</v>
      </c>
      <c r="M124" s="9"/>
      <c r="N124" s="9"/>
      <c r="O124" s="9"/>
      <c r="P124" s="9"/>
      <c r="Q124" s="9"/>
      <c r="R124" s="9"/>
      <c r="S124" s="9"/>
      <c r="T124" s="9"/>
      <c r="U124" s="9"/>
      <c r="V124" s="9"/>
      <c r="W124" s="9"/>
      <c r="X124" s="9"/>
      <c r="Y124" s="9"/>
      <c r="Z124" s="9"/>
      <c r="AA124" s="9"/>
      <c r="AB124" s="9"/>
      <c r="AC124" s="9"/>
      <c r="AD124" s="9"/>
      <c r="AE124" s="9"/>
      <c r="AF124" s="9"/>
      <c r="AG124" s="9"/>
    </row>
    <row r="125">
      <c r="A125" s="20">
        <v>124.0</v>
      </c>
      <c r="B125" s="20" t="s">
        <v>2027</v>
      </c>
      <c r="C125" s="20" t="s">
        <v>2028</v>
      </c>
      <c r="D125" s="20" t="s">
        <v>2029</v>
      </c>
      <c r="E125" s="20" t="s">
        <v>2030</v>
      </c>
      <c r="F125" s="9"/>
      <c r="G125" s="9"/>
      <c r="H125" s="9"/>
      <c r="I125" s="20" t="str">
        <f>IFERROR(__xludf.DUMMYFUNCTION("GOOGLETRANSLATE(B125,""ar"",""en"")
"),"If the race involves jumping over water obstacles, what should you do?")</f>
        <v>If the race involves jumping over water obstacles, what should you do?</v>
      </c>
      <c r="J125" s="20" t="str">
        <f>IFERROR(__xludf.DUMMYFUNCTION("GOOGLETRANSLATE(C125,""ar"",""en"")
"),"a) Increases speed before the water barrier; b) Slows down and makes the horse jump over the barrier; c) Allows the horse to run through the water; d) Asks the organizers to remove the water barrier.")</f>
        <v>a) Increases speed before the water barrier; b) Slows down and makes the horse jump over the barrier; c) Allows the horse to run through the water; d) Asks the organizers to remove the water barrier.</v>
      </c>
      <c r="K125" s="20" t="str">
        <f>IFERROR(__xludf.DUMMYFUNCTION("GOOGLETRANSLATE(D125,""ar"",""en"")
"),"It slows down the horse and makes it jump over the hurdle.")</f>
        <v>It slows down the horse and makes it jump over the hurdle.</v>
      </c>
      <c r="L125" s="20" t="str">
        <f>IFERROR(__xludf.DUMMYFUNCTION("GOOGLETRANSLATE(E125,""ar"",""en"")
"),"The rider must guide the horse to jump over the water obstacle to reduce the risk of slipping.")</f>
        <v>The rider must guide the horse to jump over the water obstacle to reduce the risk of slipping.</v>
      </c>
      <c r="M125" s="9"/>
      <c r="N125" s="9"/>
      <c r="O125" s="9"/>
      <c r="P125" s="9"/>
      <c r="Q125" s="9"/>
      <c r="R125" s="9"/>
      <c r="S125" s="9"/>
      <c r="T125" s="9"/>
      <c r="U125" s="9"/>
      <c r="V125" s="9"/>
      <c r="W125" s="9"/>
      <c r="X125" s="9"/>
      <c r="Y125" s="9"/>
      <c r="Z125" s="9"/>
      <c r="AA125" s="9"/>
      <c r="AB125" s="9"/>
      <c r="AC125" s="9"/>
      <c r="AD125" s="9"/>
      <c r="AE125" s="9"/>
      <c r="AF125" s="9"/>
      <c r="AG125" s="9"/>
    </row>
    <row r="126">
      <c r="A126" s="20">
        <v>125.0</v>
      </c>
      <c r="B126" s="20" t="s">
        <v>2031</v>
      </c>
      <c r="C126" s="20" t="s">
        <v>2032</v>
      </c>
      <c r="D126" s="20" t="s">
        <v>2033</v>
      </c>
      <c r="E126" s="20" t="s">
        <v>2034</v>
      </c>
      <c r="F126" s="9"/>
      <c r="G126" s="9"/>
      <c r="H126" s="9"/>
      <c r="I126" s="20" t="str">
        <f>IFERROR(__xludf.DUMMYFUNCTION("GOOGLETRANSLATE(B126,""ar"",""en"")
"),"At the end of the race, the horse seems to ignore the stop signals. What do you do?")</f>
        <v>At the end of the race, the horse seems to ignore the stop signals. What do you do?</v>
      </c>
      <c r="J126" s="20" t="str">
        <f>IFERROR(__xludf.DUMMYFUNCTION("GOOGLETRANSLATE(C126,""ar"",""en"")
"),"a) Continue running until the horse stops on its own; b) Use the whip to force it to stop; c) Use the reins firmly and consistently to force it to stop; d) Return to training on stop signals after the race.")</f>
        <v>a) Continue running until the horse stops on its own; b) Use the whip to force it to stop; c) Use the reins firmly and consistently to force it to stop; d) Return to training on stop signals after the race.</v>
      </c>
      <c r="K126" s="20" t="str">
        <f>IFERROR(__xludf.DUMMYFUNCTION("GOOGLETRANSLATE(D126,""ar"",""en"")
"),"The bridle is used firmly and consistently to force it to stop.")</f>
        <v>The bridle is used firmly and consistently to force it to stop.</v>
      </c>
      <c r="L126" s="20" t="str">
        <f>IFERROR(__xludf.DUMMYFUNCTION("GOOGLETRANSLATE(E126,""ar"",""en"")
"),"A horse needs strong, clear signals to stop, especially after a race. Using the reins wisely helps to stop it without injuring it.")</f>
        <v>A horse needs strong, clear signals to stop, especially after a race. Using the reins wisely helps to stop it without injuring it.</v>
      </c>
      <c r="M126" s="9"/>
      <c r="N126" s="9"/>
      <c r="O126" s="9"/>
      <c r="P126" s="9"/>
      <c r="Q126" s="9"/>
      <c r="R126" s="9"/>
      <c r="S126" s="9"/>
      <c r="T126" s="9"/>
      <c r="U126" s="9"/>
      <c r="V126" s="9"/>
      <c r="W126" s="9"/>
      <c r="X126" s="9"/>
      <c r="Y126" s="9"/>
      <c r="Z126" s="9"/>
      <c r="AA126" s="9"/>
      <c r="AB126" s="9"/>
      <c r="AC126" s="9"/>
      <c r="AD126" s="9"/>
      <c r="AE126" s="9"/>
      <c r="AF126" s="9"/>
      <c r="AG126" s="9"/>
    </row>
    <row r="127">
      <c r="A127" s="20">
        <v>126.0</v>
      </c>
      <c r="B127" s="20" t="s">
        <v>2035</v>
      </c>
      <c r="C127" s="20" t="s">
        <v>2036</v>
      </c>
      <c r="D127" s="20" t="s">
        <v>2037</v>
      </c>
      <c r="E127" s="20" t="s">
        <v>2038</v>
      </c>
      <c r="F127" s="9"/>
      <c r="G127" s="9"/>
      <c r="H127" s="9"/>
      <c r="I127" s="20" t="str">
        <f>IFERROR(__xludf.DUMMYFUNCTION("GOOGLETRANSLATE(B127,""ar"",""en"")
"),"If a horse tends to gallop too fast at the start of a race, how do you control it?")</f>
        <v>If a horse tends to gallop too fast at the start of a race, how do you control it?</v>
      </c>
      <c r="J127" s="20" t="str">
        <f>IFERROR(__xludf.DUMMYFUNCTION("GOOGLETRANSLATE(C127,""ar"",""en"")
"),"a) Allow him to run until he gets tired; b) Use the reins forcefully to slow him down; c) Calm him down with gentle signals and adjust your sitting position; d) Ask the trainer to put additional equipment on him.")</f>
        <v>a) Allow him to run until he gets tired; b) Use the reins forcefully to slow him down; c) Calm him down with gentle signals and adjust your sitting position; d) Ask the trainer to put additional equipment on him.</v>
      </c>
      <c r="K127" s="20" t="str">
        <f>IFERROR(__xludf.DUMMYFUNCTION("GOOGLETRANSLATE(D127,""ar"",""en"")
"),"It works to calm him down with gentle signals and adjusts your sitting position.")</f>
        <v>It works to calm him down with gentle signals and adjusts your sitting position.</v>
      </c>
      <c r="L127" s="20" t="str">
        <f>IFERROR(__xludf.DUMMYFUNCTION("GOOGLETRANSLATE(E127,""ar"",""en"")
"),"Rushing can exhaust a horse's energy. The rider must remain calm and use body language and reins to control speed.")</f>
        <v>Rushing can exhaust a horse's energy. The rider must remain calm and use body language and reins to control speed.</v>
      </c>
      <c r="M127" s="9"/>
      <c r="N127" s="9"/>
      <c r="O127" s="9"/>
      <c r="P127" s="9"/>
      <c r="Q127" s="9"/>
      <c r="R127" s="9"/>
      <c r="S127" s="9"/>
      <c r="T127" s="9"/>
      <c r="U127" s="9"/>
      <c r="V127" s="9"/>
      <c r="W127" s="9"/>
      <c r="X127" s="9"/>
      <c r="Y127" s="9"/>
      <c r="Z127" s="9"/>
      <c r="AA127" s="9"/>
      <c r="AB127" s="9"/>
      <c r="AC127" s="9"/>
      <c r="AD127" s="9"/>
      <c r="AE127" s="9"/>
      <c r="AF127" s="9"/>
      <c r="AG127" s="9"/>
    </row>
    <row r="128">
      <c r="A128" s="20">
        <v>127.0</v>
      </c>
      <c r="B128" s="20" t="s">
        <v>2039</v>
      </c>
      <c r="C128" s="20" t="s">
        <v>2040</v>
      </c>
      <c r="D128" s="20" t="s">
        <v>2041</v>
      </c>
      <c r="E128" s="20" t="s">
        <v>2042</v>
      </c>
      <c r="F128" s="9"/>
      <c r="G128" s="9"/>
      <c r="H128" s="9"/>
      <c r="I128" s="20" t="str">
        <f>IFERROR(__xludf.DUMMYFUNCTION("GOOGLETRANSLATE(B128,""ar"",""en"")
"),"During the race, you notice that the rein rope has become loose. What do you do?")</f>
        <v>During the race, you notice that the rein rope has become loose. What do you do?</v>
      </c>
      <c r="J128" s="20" t="str">
        <f>IFERROR(__xludf.DUMMYFUNCTION("GOOGLETRANSLATE(C128,""ar"",""en"")
"),"a) Ignore it and continue racing; b) Slow down the horse and adjust the reins; c) Shout to your assistants to alert them; d) Use your arms to compensate for the loose reins.")</f>
        <v>a) Ignore it and continue racing; b) Slow down the horse and adjust the reins; c) Shout to your assistants to alert them; d) Use your arms to compensate for the loose reins.</v>
      </c>
      <c r="K128" s="20" t="str">
        <f>IFERROR(__xludf.DUMMYFUNCTION("GOOGLETRANSLATE(D128,""ar"",""en"")
"),"It slows down the horse's speed and adjusts the bridle.")</f>
        <v>It slows down the horse's speed and adjusts the bridle.</v>
      </c>
      <c r="L128" s="20" t="str">
        <f>IFERROR(__xludf.DUMMYFUNCTION("GOOGLETRANSLATE(E128,""ar"",""en"")
"),"A loose bridle can cause loss of control. Speed ​​must be slowed down to adjust safely.")</f>
        <v>A loose bridle can cause loss of control. Speed ​​must be slowed down to adjust safely.</v>
      </c>
      <c r="M128" s="9"/>
      <c r="N128" s="9"/>
      <c r="O128" s="9"/>
      <c r="P128" s="9"/>
      <c r="Q128" s="9"/>
      <c r="R128" s="9"/>
      <c r="S128" s="9"/>
      <c r="T128" s="9"/>
      <c r="U128" s="9"/>
      <c r="V128" s="9"/>
      <c r="W128" s="9"/>
      <c r="X128" s="9"/>
      <c r="Y128" s="9"/>
      <c r="Z128" s="9"/>
      <c r="AA128" s="9"/>
      <c r="AB128" s="9"/>
      <c r="AC128" s="9"/>
      <c r="AD128" s="9"/>
      <c r="AE128" s="9"/>
      <c r="AF128" s="9"/>
      <c r="AG128" s="9"/>
    </row>
    <row r="129">
      <c r="A129" s="20">
        <v>128.0</v>
      </c>
      <c r="B129" s="20" t="s">
        <v>2043</v>
      </c>
      <c r="C129" s="20" t="s">
        <v>2044</v>
      </c>
      <c r="D129" s="20" t="s">
        <v>2045</v>
      </c>
      <c r="E129" s="20" t="s">
        <v>2046</v>
      </c>
      <c r="F129" s="9"/>
      <c r="G129" s="9"/>
      <c r="H129" s="9"/>
      <c r="I129" s="20" t="str">
        <f>IFERROR(__xludf.DUMMYFUNCTION("GOOGLETRANSLATE(B129,""ar"",""en"")
"),"If the arena has hills and high points, what should you do?")</f>
        <v>If the arena has hills and high points, what should you do?</v>
      </c>
      <c r="J129" s="20" t="str">
        <f>IFERROR(__xludf.DUMMYFUNCTION("GOOGLETRANSLATE(C129,""ar"",""en"")
"),"a) Increases speed when going uphill; b) Slows down when going uphill and speeds up when going downhill; c) Maintains a constant speed all the time; d) Allows the horse to control its speed.")</f>
        <v>a) Increases speed when going uphill; b) Slows down when going uphill and speeds up when going downhill; c) Maintains a constant speed all the time; d) Allows the horse to control its speed.</v>
      </c>
      <c r="K129" s="20" t="str">
        <f>IFERROR(__xludf.DUMMYFUNCTION("GOOGLETRANSLATE(D129,""ar"",""en"")
"),"It slows down when going uphill and speeds up when going downhill.")</f>
        <v>It slows down when going uphill and speeds up when going downhill.</v>
      </c>
      <c r="L129" s="20" t="str">
        <f>IFERROR(__xludf.DUMMYFUNCTION("GOOGLETRANSLATE(E129,""ar"",""en"")
"),"Slowing down when going up prevents the horse from becoming tired, and increasing the speed when going down helps to take advantage of gravity.")</f>
        <v>Slowing down when going up prevents the horse from becoming tired, and increasing the speed when going down helps to take advantage of gravity.</v>
      </c>
      <c r="M129" s="9"/>
      <c r="N129" s="9"/>
      <c r="O129" s="9"/>
      <c r="P129" s="9"/>
      <c r="Q129" s="9"/>
      <c r="R129" s="9"/>
      <c r="S129" s="9"/>
      <c r="T129" s="9"/>
      <c r="U129" s="9"/>
      <c r="V129" s="9"/>
      <c r="W129" s="9"/>
      <c r="X129" s="9"/>
      <c r="Y129" s="9"/>
      <c r="Z129" s="9"/>
      <c r="AA129" s="9"/>
      <c r="AB129" s="9"/>
      <c r="AC129" s="9"/>
      <c r="AD129" s="9"/>
      <c r="AE129" s="9"/>
      <c r="AF129" s="9"/>
      <c r="AG129" s="9"/>
    </row>
    <row r="130">
      <c r="A130" s="20">
        <v>129.0</v>
      </c>
      <c r="B130" s="20" t="s">
        <v>2047</v>
      </c>
      <c r="C130" s="20" t="s">
        <v>2048</v>
      </c>
      <c r="D130" s="20" t="s">
        <v>2049</v>
      </c>
      <c r="E130" s="20" t="s">
        <v>2050</v>
      </c>
      <c r="F130" s="9"/>
      <c r="G130" s="9"/>
      <c r="H130" s="9"/>
      <c r="I130" s="20" t="str">
        <f>IFERROR(__xludf.DUMMYFUNCTION("GOOGLETRANSLATE(B130,""ar"",""en"")
"),"During training, the horse refuses eye contact with you. How do you build trust?")</f>
        <v>During training, the horse refuses eye contact with you. How do you build trust?</v>
      </c>
      <c r="J130" s="20" t="str">
        <f>IFERROR(__xludf.DUMMYFUNCTION("GOOGLETRANSLATE(C130,""ar"",""en"")
"),"a) Continues to train and ignores his behavior; b) Looks at him sternly to force him to communicate; c) Uses positive training techniques and focuses on nonverbal communication; d) Stops training and leaves him alone.")</f>
        <v>a) Continues to train and ignores his behavior; b) Looks at him sternly to force him to communicate; c) Uses positive training techniques and focuses on nonverbal communication; d) Stops training and leaves him alone.</v>
      </c>
      <c r="K130" s="20" t="str">
        <f>IFERROR(__xludf.DUMMYFUNCTION("GOOGLETRANSLATE(D130,""ar"",""en"")
"),"It uses positive training techniques and focuses on non-verbal communication.")</f>
        <v>It uses positive training techniques and focuses on non-verbal communication.</v>
      </c>
      <c r="L130" s="20" t="str">
        <f>IFERROR(__xludf.DUMMYFUNCTION("GOOGLETRANSLATE(E130,""ar"",""en"")
"),"Trust is built through patience and positive training. Nonverbal communication is the foundation of the rider-horse relationship.")</f>
        <v>Trust is built through patience and positive training. Nonverbal communication is the foundation of the rider-horse relationship.</v>
      </c>
      <c r="M130" s="9"/>
      <c r="N130" s="9"/>
      <c r="O130" s="9"/>
      <c r="P130" s="9"/>
      <c r="Q130" s="9"/>
      <c r="R130" s="9"/>
      <c r="S130" s="9"/>
      <c r="T130" s="9"/>
      <c r="U130" s="9"/>
      <c r="V130" s="9"/>
      <c r="W130" s="9"/>
      <c r="X130" s="9"/>
      <c r="Y130" s="9"/>
      <c r="Z130" s="9"/>
      <c r="AA130" s="9"/>
      <c r="AB130" s="9"/>
      <c r="AC130" s="9"/>
      <c r="AD130" s="9"/>
      <c r="AE130" s="9"/>
      <c r="AF130" s="9"/>
      <c r="AG130" s="9"/>
    </row>
    <row r="131">
      <c r="A131" s="20">
        <v>130.0</v>
      </c>
      <c r="B131" s="20" t="s">
        <v>2051</v>
      </c>
      <c r="C131" s="20" t="s">
        <v>2052</v>
      </c>
      <c r="D131" s="20" t="s">
        <v>2053</v>
      </c>
      <c r="E131" s="20" t="s">
        <v>2054</v>
      </c>
      <c r="F131" s="9"/>
      <c r="G131" s="9"/>
      <c r="H131" s="9"/>
      <c r="I131" s="20" t="str">
        <f>IFERROR(__xludf.DUMMYFUNCTION("GOOGLETRANSLATE(B131,""ar"",""en"")
"),"If you suffered a minor injury during the race but were able to continue, what would your decision be?")</f>
        <v>If you suffered a minor injury during the race but were able to continue, what would your decision be?</v>
      </c>
      <c r="J131" s="20" t="str">
        <f>IFERROR(__xludf.DUMMYFUNCTION("GOOGLETRANSLATE(C131,""ar"",""en"")
"),"a) You continue the race and ignore the pain; b) You withdraw from the race to receive treatment; c) You continue the race and closely monitor your health; d) You ask a doctor to provide you with assistance during the race.")</f>
        <v>a) You continue the race and ignore the pain; b) You withdraw from the race to receive treatment; c) You continue the race and closely monitor your health; d) You ask a doctor to provide you with assistance during the race.</v>
      </c>
      <c r="K131" s="20" t="str">
        <f>IFERROR(__xludf.DUMMYFUNCTION("GOOGLETRANSLATE(D131,""ar"",""en"")
"),"Continue racing and closely monitor your health.")</f>
        <v>Continue racing and closely monitor your health.</v>
      </c>
      <c r="L131" s="20" t="str">
        <f>IFERROR(__xludf.DUMMYFUNCTION("GOOGLETRANSLATE(E131,""ar"",""en"")
"),"While safety should be a priority, a minor injury may not require withdrawal. Proceeding should be done cautiously and the condition monitored.")</f>
        <v>While safety should be a priority, a minor injury may not require withdrawal. Proceeding should be done cautiously and the condition monitored.</v>
      </c>
      <c r="M131" s="9"/>
      <c r="N131" s="9"/>
      <c r="O131" s="9"/>
      <c r="P131" s="9"/>
      <c r="Q131" s="9"/>
      <c r="R131" s="9"/>
      <c r="S131" s="9"/>
      <c r="T131" s="9"/>
      <c r="U131" s="9"/>
      <c r="V131" s="9"/>
      <c r="W131" s="9"/>
      <c r="X131" s="9"/>
      <c r="Y131" s="9"/>
      <c r="Z131" s="9"/>
      <c r="AA131" s="9"/>
      <c r="AB131" s="9"/>
      <c r="AC131" s="9"/>
      <c r="AD131" s="9"/>
      <c r="AE131" s="9"/>
      <c r="AF131" s="9"/>
      <c r="AG131" s="9"/>
    </row>
    <row r="132">
      <c r="A132" s="20">
        <v>131.0</v>
      </c>
      <c r="B132" s="20" t="s">
        <v>2055</v>
      </c>
      <c r="C132" s="20" t="s">
        <v>2056</v>
      </c>
      <c r="D132" s="20" t="s">
        <v>2057</v>
      </c>
      <c r="E132" s="20" t="s">
        <v>2058</v>
      </c>
      <c r="F132" s="9"/>
      <c r="G132" s="9"/>
      <c r="H132" s="9"/>
      <c r="I132" s="20" t="str">
        <f>IFERROR(__xludf.DUMMYFUNCTION("GOOGLETRANSLATE(B132,""ar"",""en"")
"),"During the race, a sudden noise from the crowd distracts you. How do you maintain your focus?")</f>
        <v>During the race, a sudden noise from the crowd distracts you. How do you maintain your focus?</v>
      </c>
      <c r="J132" s="20" t="str">
        <f>IFERROR(__xludf.DUMMYFUNCTION("GOOGLETRANSLATE(C132,""ar"",""en"")
"),"a) You look towards the source of the sound to understand it; b) You ignore the sound and focus on the horse and the track; c) You ask the organizers to silence the crowd; d) You shout at the crowd to stop.")</f>
        <v>a) You look towards the source of the sound to understand it; b) You ignore the sound and focus on the horse and the track; c) You ask the organizers to silence the crowd; d) You shout at the crowd to stop.</v>
      </c>
      <c r="K132" s="20" t="str">
        <f>IFERROR(__xludf.DUMMYFUNCTION("GOOGLETRANSLATE(D132,""ar"",""en"")
"),"Ignore the sound and focus on the horse and the track.")</f>
        <v>Ignore the sound and focus on the horse and the track.</v>
      </c>
      <c r="L132" s="20" t="str">
        <f>IFERROR(__xludf.DUMMYFUNCTION("GOOGLETRANSLATE(E132,""ar"",""en"")
"),"The rider must remain focused on the race. Ignoring external factors is part of mental discipline.")</f>
        <v>The rider must remain focused on the race. Ignoring external factors is part of mental discipline.</v>
      </c>
      <c r="M132" s="9"/>
      <c r="N132" s="9"/>
      <c r="O132" s="9"/>
      <c r="P132" s="9"/>
      <c r="Q132" s="9"/>
      <c r="R132" s="9"/>
      <c r="S132" s="9"/>
      <c r="T132" s="9"/>
      <c r="U132" s="9"/>
      <c r="V132" s="9"/>
      <c r="W132" s="9"/>
      <c r="X132" s="9"/>
      <c r="Y132" s="9"/>
      <c r="Z132" s="9"/>
      <c r="AA132" s="9"/>
      <c r="AB132" s="9"/>
      <c r="AC132" s="9"/>
      <c r="AD132" s="9"/>
      <c r="AE132" s="9"/>
      <c r="AF132" s="9"/>
      <c r="AG132" s="9"/>
    </row>
    <row r="133">
      <c r="A133" s="20">
        <v>132.0</v>
      </c>
      <c r="B133" s="20" t="s">
        <v>2059</v>
      </c>
      <c r="C133" s="20" t="s">
        <v>2060</v>
      </c>
      <c r="D133" s="20" t="s">
        <v>2061</v>
      </c>
      <c r="E133" s="20" t="s">
        <v>2062</v>
      </c>
      <c r="F133" s="9"/>
      <c r="G133" s="9"/>
      <c r="H133" s="9"/>
      <c r="I133" s="20" t="str">
        <f>IFERROR(__xludf.DUMMYFUNCTION("GOOGLETRANSLATE(B133,""ar"",""en"")
"),"If the race involves a course in the forest or among trees, how should you behave?")</f>
        <v>If the race involves a course in the forest or among trees, how should you behave?</v>
      </c>
      <c r="J133" s="20" t="str">
        <f>IFERROR(__xludf.DUMMYFUNCTION("GOOGLETRANSLATE(C133,""ar"",""en"")
"),"a) Increases speed to get through the path quickly; b) Slows down and is careful of branches or roots; c) Relies on the horse to get through obstacles; d) Shouts to the horse to warn it of trees.")</f>
        <v>a) Increases speed to get through the path quickly; b) Slows down and is careful of branches or roots; c) Relies on the horse to get through obstacles; d) Shouts to the horse to warn it of trees.</v>
      </c>
      <c r="K133" s="20" t="str">
        <f>IFERROR(__xludf.DUMMYFUNCTION("GOOGLETRANSLATE(D133,""ar"",""en"")
"),"Slow down and be careful of branches or roots.")</f>
        <v>Slow down and be careful of branches or roots.</v>
      </c>
      <c r="L133" s="20" t="str">
        <f>IFERROR(__xludf.DUMMYFUNCTION("GOOGLETRANSLATE(E133,""ar"",""en"")
"),"Narrow tracks require extreme caution. Speed ​​must be slowed down to ensure the safety of both rider and horse.")</f>
        <v>Narrow tracks require extreme caution. Speed ​​must be slowed down to ensure the safety of both rider and horse.</v>
      </c>
      <c r="M133" s="9"/>
      <c r="N133" s="9"/>
      <c r="O133" s="9"/>
      <c r="P133" s="9"/>
      <c r="Q133" s="9"/>
      <c r="R133" s="9"/>
      <c r="S133" s="9"/>
      <c r="T133" s="9"/>
      <c r="U133" s="9"/>
      <c r="V133" s="9"/>
      <c r="W133" s="9"/>
      <c r="X133" s="9"/>
      <c r="Y133" s="9"/>
      <c r="Z133" s="9"/>
      <c r="AA133" s="9"/>
      <c r="AB133" s="9"/>
      <c r="AC133" s="9"/>
      <c r="AD133" s="9"/>
      <c r="AE133" s="9"/>
      <c r="AF133" s="9"/>
      <c r="AG133" s="9"/>
    </row>
    <row r="134">
      <c r="A134" s="20">
        <v>133.0</v>
      </c>
      <c r="B134" s="20" t="s">
        <v>2063</v>
      </c>
      <c r="C134" s="20" t="s">
        <v>2064</v>
      </c>
      <c r="D134" s="20" t="s">
        <v>2065</v>
      </c>
      <c r="E134" s="20" t="s">
        <v>2066</v>
      </c>
      <c r="F134" s="9"/>
      <c r="G134" s="9"/>
      <c r="H134" s="9"/>
      <c r="I134" s="20" t="str">
        <f>IFERROR(__xludf.DUMMYFUNCTION("GOOGLETRANSLATE(B134,""ar"",""en"")
"),"Before the race, the horse seems to be suffering from a loss of appetite. How do you deal with this?")</f>
        <v>Before the race, the horse seems to be suffering from a loss of appetite. How do you deal with this?</v>
      </c>
      <c r="J134" s="20" t="str">
        <f>IFERROR(__xludf.DUMMYFUNCTION("GOOGLETRANSLATE(C134,""ar"",""en"")
"),"a) Force him to eat; b) Consult a veterinarian to check the cause of his loss of appetite; c) Ask the trainer to change the type of food; d) Ignore the matter and hope that he will eat after the race.")</f>
        <v>a) Force him to eat; b) Consult a veterinarian to check the cause of his loss of appetite; c) Ask the trainer to change the type of food; d) Ignore the matter and hope that he will eat after the race.</v>
      </c>
      <c r="K134" s="20" t="str">
        <f>IFERROR(__xludf.DUMMYFUNCTION("GOOGLETRANSLATE(D134,""ar"",""en"")
"),"Consult a veterinarian to determine the cause of the loss of appetite.")</f>
        <v>Consult a veterinarian to determine the cause of the loss of appetite.</v>
      </c>
      <c r="L134" s="20" t="str">
        <f>IFERROR(__xludf.DUMMYFUNCTION("GOOGLETRANSLATE(E134,""ar"",""en"")
"),"Loss of appetite can be a sign of illness or stress. A veterinarian should always be consulted before a race.")</f>
        <v>Loss of appetite can be a sign of illness or stress. A veterinarian should always be consulted before a race.</v>
      </c>
      <c r="M134" s="9"/>
      <c r="N134" s="9"/>
      <c r="O134" s="9"/>
      <c r="P134" s="9"/>
      <c r="Q134" s="9"/>
      <c r="R134" s="9"/>
      <c r="S134" s="9"/>
      <c r="T134" s="9"/>
      <c r="U134" s="9"/>
      <c r="V134" s="9"/>
      <c r="W134" s="9"/>
      <c r="X134" s="9"/>
      <c r="Y134" s="9"/>
      <c r="Z134" s="9"/>
      <c r="AA134" s="9"/>
      <c r="AB134" s="9"/>
      <c r="AC134" s="9"/>
      <c r="AD134" s="9"/>
      <c r="AE134" s="9"/>
      <c r="AF134" s="9"/>
      <c r="AG134" s="9"/>
    </row>
    <row r="135">
      <c r="A135" s="20">
        <v>134.0</v>
      </c>
      <c r="B135" s="20" t="s">
        <v>2067</v>
      </c>
      <c r="C135" s="20" t="s">
        <v>2068</v>
      </c>
      <c r="D135" s="20" t="s">
        <v>2069</v>
      </c>
      <c r="E135" s="20" t="s">
        <v>2070</v>
      </c>
      <c r="F135" s="9"/>
      <c r="G135" s="9"/>
      <c r="H135" s="9"/>
      <c r="I135" s="20" t="str">
        <f>IFERROR(__xludf.DUMMYFUNCTION("GOOGLETRANSLATE(B135,""ar"",""en"")
"),"If a horse tends to jump diagonally instead of straight, how can you correct this?")</f>
        <v>If a horse tends to jump diagonally instead of straight, how can you correct this?</v>
      </c>
      <c r="J135" s="20" t="str">
        <f>IFERROR(__xludf.DUMMYFUNCTION("GOOGLETRANSLATE(C135,""ar"",""en"")
"),"a) Uses the bridle to correct his jump; b) Allows him to jump as he pleases; c) Returns to basic jumping training and uses clear and consistent signals; d) Asks the trainer to lift the hurdles.")</f>
        <v>a) Uses the bridle to correct his jump; b) Allows him to jump as he pleases; c) Returns to basic jumping training and uses clear and consistent signals; d) Asks the trainer to lift the hurdles.</v>
      </c>
      <c r="K135" s="20" t="str">
        <f>IFERROR(__xludf.DUMMYFUNCTION("GOOGLETRANSLATE(D135,""ar"",""en"")
"),"She goes back to basic jumping training and uses clear and consistent signals.")</f>
        <v>She goes back to basic jumping training and uses clear and consistent signals.</v>
      </c>
      <c r="L135" s="20" t="str">
        <f>IFERROR(__xludf.DUMMYFUNCTION("GOOGLETRANSLATE(E135,""ar"",""en"")
"),"Incline jumping can cause injuries. The solution is to return to training in proper jumping techniques.")</f>
        <v>Incline jumping can cause injuries. The solution is to return to training in proper jumping techniques.</v>
      </c>
      <c r="M135" s="9"/>
      <c r="N135" s="9"/>
      <c r="O135" s="9"/>
      <c r="P135" s="9"/>
      <c r="Q135" s="9"/>
      <c r="R135" s="9"/>
      <c r="S135" s="9"/>
      <c r="T135" s="9"/>
      <c r="U135" s="9"/>
      <c r="V135" s="9"/>
      <c r="W135" s="9"/>
      <c r="X135" s="9"/>
      <c r="Y135" s="9"/>
      <c r="Z135" s="9"/>
      <c r="AA135" s="9"/>
      <c r="AB135" s="9"/>
      <c r="AC135" s="9"/>
      <c r="AD135" s="9"/>
      <c r="AE135" s="9"/>
      <c r="AF135" s="9"/>
      <c r="AG135" s="9"/>
    </row>
    <row r="136">
      <c r="A136" s="20">
        <v>135.0</v>
      </c>
      <c r="B136" s="20" t="s">
        <v>2071</v>
      </c>
      <c r="C136" s="20" t="s">
        <v>2072</v>
      </c>
      <c r="D136" s="20" t="s">
        <v>2073</v>
      </c>
      <c r="E136" s="20" t="s">
        <v>2074</v>
      </c>
      <c r="F136" s="9"/>
      <c r="G136" s="9"/>
      <c r="H136" s="9"/>
      <c r="I136" s="20" t="str">
        <f>IFERROR(__xludf.DUMMYFUNCTION("GOOGLETRANSLATE(B136,""ar"",""en"")
"),"During the race, you feel the horse starting to lose its balance on the slopes. What do you do?")</f>
        <v>During the race, you feel the horse starting to lose its balance on the slopes. What do you do?</v>
      </c>
      <c r="J136" s="20" t="str">
        <f>IFERROR(__xludf.DUMMYFUNCTION("GOOGLETRANSLATE(C136,""ar"",""en"")
"),"a) You increase your speed to get over the slope quickly; b) You use the reins forcefully to force it to stay still; c) You focus on your sitting position and use your legs and reins to maintain balance; d) You withdraw from the race because the track is "&amp;"dangerous.")</f>
        <v>a) You increase your speed to get over the slope quickly; b) You use the reins forcefully to force it to stay still; c) You focus on your sitting position and use your legs and reins to maintain balance; d) You withdraw from the race because the track is dangerous.</v>
      </c>
      <c r="K136" s="20" t="str">
        <f>IFERROR(__xludf.DUMMYFUNCTION("GOOGLETRANSLATE(D136,""ar"",""en"")
"),"Focus on your sitting posture and use your legs and reins to maintain balance.")</f>
        <v>Focus on your sitting posture and use your legs and reins to maintain balance.</v>
      </c>
      <c r="L136" s="20" t="str">
        <f>IFERROR(__xludf.DUMMYFUNCTION("GOOGLETRANSLATE(E136,""ar"",""en"")
"),"The rider must be the horse's center of stability. Using the correct sitting position, bridle, and legs helps maintain balance.")</f>
        <v>The rider must be the horse's center of stability. Using the correct sitting position, bridle, and legs helps maintain balance.</v>
      </c>
      <c r="M136" s="9"/>
      <c r="N136" s="9"/>
      <c r="O136" s="9"/>
      <c r="P136" s="9"/>
      <c r="Q136" s="9"/>
      <c r="R136" s="9"/>
      <c r="S136" s="9"/>
      <c r="T136" s="9"/>
      <c r="U136" s="9"/>
      <c r="V136" s="9"/>
      <c r="W136" s="9"/>
      <c r="X136" s="9"/>
      <c r="Y136" s="9"/>
      <c r="Z136" s="9"/>
      <c r="AA136" s="9"/>
      <c r="AB136" s="9"/>
      <c r="AC136" s="9"/>
      <c r="AD136" s="9"/>
      <c r="AE136" s="9"/>
      <c r="AF136" s="9"/>
      <c r="AG136" s="9"/>
    </row>
    <row r="137">
      <c r="A137" s="20">
        <v>136.0</v>
      </c>
      <c r="B137" s="20" t="s">
        <v>2075</v>
      </c>
      <c r="C137" s="20" t="s">
        <v>2076</v>
      </c>
      <c r="D137" s="20" t="s">
        <v>2077</v>
      </c>
      <c r="E137" s="20" t="s">
        <v>2078</v>
      </c>
      <c r="F137" s="9"/>
      <c r="G137" s="9"/>
      <c r="H137" s="9"/>
      <c r="I137" s="20" t="str">
        <f>IFERROR(__xludf.DUMMYFUNCTION("GOOGLETRANSLATE(B137,""ar"",""en"")
"),"If you're in a night race and there's heavy fog, how do you deal with limited visibility?")</f>
        <v>If you're in a night race and there's heavy fog, how do you deal with limited visibility?</v>
      </c>
      <c r="J137" s="20" t="str">
        <f>IFERROR(__xludf.DUMMYFUNCTION("GOOGLETRANSLATE(C137,""ar"",""en"")
"),"a) Increases speed to get through the fog quickly; b) Slows down and relies on signals from the horse and competitors; c) Shouts to others to warn them; d) Withdraws from the race due to the hazard of visibility.")</f>
        <v>a) Increases speed to get through the fog quickly; b) Slows down and relies on signals from the horse and competitors; c) Shouts to others to warn them; d) Withdraws from the race due to the hazard of visibility.</v>
      </c>
      <c r="K137" s="20" t="str">
        <f>IFERROR(__xludf.DUMMYFUNCTION("GOOGLETRANSLATE(D137,""ar"",""en"")
"),"It slows down and relies on signals from the horse and competitors.")</f>
        <v>It slows down and relies on signals from the horse and competitors.</v>
      </c>
      <c r="L137" s="20" t="str">
        <f>IFERROR(__xludf.DUMMYFUNCTION("GOOGLETRANSLATE(E137,""ar"",""en"")
"),"Limited visibility requires extreme caution. Speed ​​must be slowed down and the horse relied upon to navigate the path safely.")</f>
        <v>Limited visibility requires extreme caution. Speed ​​must be slowed down and the horse relied upon to navigate the path safely.</v>
      </c>
      <c r="M137" s="9"/>
      <c r="N137" s="9"/>
      <c r="O137" s="9"/>
      <c r="P137" s="9"/>
      <c r="Q137" s="9"/>
      <c r="R137" s="9"/>
      <c r="S137" s="9"/>
      <c r="T137" s="9"/>
      <c r="U137" s="9"/>
      <c r="V137" s="9"/>
      <c r="W137" s="9"/>
      <c r="X137" s="9"/>
      <c r="Y137" s="9"/>
      <c r="Z137" s="9"/>
      <c r="AA137" s="9"/>
      <c r="AB137" s="9"/>
      <c r="AC137" s="9"/>
      <c r="AD137" s="9"/>
      <c r="AE137" s="9"/>
      <c r="AF137" s="9"/>
      <c r="AG137" s="9"/>
    </row>
    <row r="138">
      <c r="A138" s="20">
        <v>137.0</v>
      </c>
      <c r="B138" s="20" t="s">
        <v>2079</v>
      </c>
      <c r="C138" s="20" t="s">
        <v>2080</v>
      </c>
      <c r="D138" s="20" t="s">
        <v>2081</v>
      </c>
      <c r="E138" s="20" t="s">
        <v>2082</v>
      </c>
      <c r="F138" s="9"/>
      <c r="G138" s="9"/>
      <c r="H138" s="9"/>
      <c r="I138" s="20" t="str">
        <f>IFERROR(__xludf.DUMMYFUNCTION("GOOGLETRANSLATE(B138,""ar"",""en"")
"),"During the race, you are splashed with mud or water by another horse. How do you protect your vision?")</f>
        <v>During the race, you are splashed with mud or water by another horse. How do you protect your vision?</v>
      </c>
      <c r="J138" s="20" t="str">
        <f>IFERROR(__xludf.DUMMYFUNCTION("GOOGLETRANSLATE(C138,""ar"",""en"")
"),"a) You continue racing and do nothing; b) You try to clean your glasses or eyes while riding; c) You slow down and wait until other horses pass you; d) You ask the horse to increase its speed.")</f>
        <v>a) You continue racing and do nothing; b) You try to clean your glasses or eyes while riding; c) You slow down and wait until other horses pass you; d) You ask the horse to increase its speed.</v>
      </c>
      <c r="K138" s="20" t="str">
        <f>IFERROR(__xludf.DUMMYFUNCTION("GOOGLETRANSLATE(D138,""ar"",""en"")
"),"You try to clean your glasses or eyes while riding.")</f>
        <v>You try to clean your glasses or eyes while riding.</v>
      </c>
      <c r="L138" s="20" t="str">
        <f>IFERROR(__xludf.DUMMYFUNCTION("GOOGLETRANSLATE(E138,""ar"",""en"")
"),"Maintaining vision is crucial. The rider should try to clean his glasses or eyes quickly.")</f>
        <v>Maintaining vision is crucial. The rider should try to clean his glasses or eyes quickly.</v>
      </c>
      <c r="M138" s="9"/>
      <c r="N138" s="9"/>
      <c r="O138" s="9"/>
      <c r="P138" s="9"/>
      <c r="Q138" s="9"/>
      <c r="R138" s="9"/>
      <c r="S138" s="9"/>
      <c r="T138" s="9"/>
      <c r="U138" s="9"/>
      <c r="V138" s="9"/>
      <c r="W138" s="9"/>
      <c r="X138" s="9"/>
      <c r="Y138" s="9"/>
      <c r="Z138" s="9"/>
      <c r="AA138" s="9"/>
      <c r="AB138" s="9"/>
      <c r="AC138" s="9"/>
      <c r="AD138" s="9"/>
      <c r="AE138" s="9"/>
      <c r="AF138" s="9"/>
      <c r="AG138" s="9"/>
    </row>
    <row r="139">
      <c r="A139" s="20">
        <v>138.0</v>
      </c>
      <c r="B139" s="20" t="s">
        <v>2083</v>
      </c>
      <c r="C139" s="20" t="s">
        <v>2084</v>
      </c>
      <c r="D139" s="20" t="s">
        <v>2085</v>
      </c>
      <c r="E139" s="20" t="s">
        <v>2086</v>
      </c>
      <c r="F139" s="9"/>
      <c r="G139" s="9"/>
      <c r="H139" s="9"/>
      <c r="I139" s="20" t="str">
        <f>IFERROR(__xludf.DUMMYFUNCTION("GOOGLETRANSLATE(B139,""ar"",""en"")
"),"If the horse seems afraid of the shadows on the path, how do you reassure it?")</f>
        <v>If the horse seems afraid of the shadows on the path, how do you reassure it?</v>
      </c>
      <c r="J139" s="20" t="str">
        <f>IFERROR(__xludf.DUMMYFUNCTION("GOOGLETRANSLATE(C139,""ar"",""en"")
"),"a) Increase your speed to get past the shadow; b) Use the reins forcefully to scare it; c) Use a calm voice and adjust your sitting position to calm it down; d) Stop before the shadow and wait until it goes.")</f>
        <v>a) Increase your speed to get past the shadow; b) Use the reins forcefully to scare it; c) Use a calm voice and adjust your sitting position to calm it down; d) Stop before the shadow and wait until it goes.</v>
      </c>
      <c r="K139" s="20" t="str">
        <f>IFERROR(__xludf.DUMMYFUNCTION("GOOGLETRANSLATE(D139,""ar"",""en"")
"),"Use a calm voice and adjust your sitting position to soothe him.")</f>
        <v>Use a calm voice and adjust your sitting position to soothe him.</v>
      </c>
      <c r="L139" s="20" t="str">
        <f>IFERROR(__xludf.DUMMYFUNCTION("GOOGLETRANSLATE(E139,""ar"",""en"")
"),"Fear of shadows is common. The rider must remain calm and use their voice and posture to soothe the horse.")</f>
        <v>Fear of shadows is common. The rider must remain calm and use their voice and posture to soothe the horse.</v>
      </c>
      <c r="M139" s="9"/>
      <c r="N139" s="9"/>
      <c r="O139" s="9"/>
      <c r="P139" s="9"/>
      <c r="Q139" s="9"/>
      <c r="R139" s="9"/>
      <c r="S139" s="9"/>
      <c r="T139" s="9"/>
      <c r="U139" s="9"/>
      <c r="V139" s="9"/>
      <c r="W139" s="9"/>
      <c r="X139" s="9"/>
      <c r="Y139" s="9"/>
      <c r="Z139" s="9"/>
      <c r="AA139" s="9"/>
      <c r="AB139" s="9"/>
      <c r="AC139" s="9"/>
      <c r="AD139" s="9"/>
      <c r="AE139" s="9"/>
      <c r="AF139" s="9"/>
      <c r="AG139" s="9"/>
    </row>
    <row r="140">
      <c r="A140" s="20">
        <v>139.0</v>
      </c>
      <c r="B140" s="20" t="s">
        <v>2087</v>
      </c>
      <c r="C140" s="20" t="s">
        <v>2088</v>
      </c>
      <c r="D140" s="20" t="s">
        <v>2089</v>
      </c>
      <c r="E140" s="20" t="s">
        <v>2090</v>
      </c>
      <c r="F140" s="9"/>
      <c r="G140" s="9"/>
      <c r="H140" s="9"/>
      <c r="I140" s="20" t="str">
        <f>IFERROR(__xludf.DUMMYFUNCTION("GOOGLETRANSLATE(B140,""ar"",""en"")
"),"Before the race, you notice that one of the other riders is using an aggressive style. How do you respond?")</f>
        <v>Before the race, you notice that one of the other riders is using an aggressive style. How do you respond?</v>
      </c>
      <c r="J140" s="20" t="str">
        <f>IFERROR(__xludf.DUMMYFUNCTION("GOOGLETRANSLATE(C140,""ar"",""en"")
"),"a) You employ the same aggressive tactics; b) You ask the judges to stop the rider; c) You remain calm and avoid direct contact with him; d) You withdraw from the race to avoid conflict.")</f>
        <v>a) You employ the same aggressive tactics; b) You ask the judges to stop the rider; c) You remain calm and avoid direct contact with him; d) You withdraw from the race to avoid conflict.</v>
      </c>
      <c r="K140" s="20" t="str">
        <f>IFERROR(__xludf.DUMMYFUNCTION("GOOGLETRANSLATE(D140,""ar"",""en"")
"),"Keep calm and avoid direct contact with him.")</f>
        <v>Keep calm and avoid direct contact with him.</v>
      </c>
      <c r="L140" s="20" t="str">
        <f>IFERROR(__xludf.DUMMYFUNCTION("GOOGLETRANSLATE(E140,""ar"",""en"")
"),"The rider must maintain safety and avoid conflict. Avoiding direct contact and focusing on your race is the best option.")</f>
        <v>The rider must maintain safety and avoid conflict. Avoiding direct contact and focusing on your race is the best option.</v>
      </c>
      <c r="M140" s="9"/>
      <c r="N140" s="9"/>
      <c r="O140" s="9"/>
      <c r="P140" s="9"/>
      <c r="Q140" s="9"/>
      <c r="R140" s="9"/>
      <c r="S140" s="9"/>
      <c r="T140" s="9"/>
      <c r="U140" s="9"/>
      <c r="V140" s="9"/>
      <c r="W140" s="9"/>
      <c r="X140" s="9"/>
      <c r="Y140" s="9"/>
      <c r="Z140" s="9"/>
      <c r="AA140" s="9"/>
      <c r="AB140" s="9"/>
      <c r="AC140" s="9"/>
      <c r="AD140" s="9"/>
      <c r="AE140" s="9"/>
      <c r="AF140" s="9"/>
      <c r="AG140" s="9"/>
    </row>
    <row r="141">
      <c r="A141" s="20">
        <v>140.0</v>
      </c>
      <c r="B141" s="20" t="s">
        <v>2091</v>
      </c>
      <c r="C141" s="20" t="s">
        <v>2092</v>
      </c>
      <c r="D141" s="20" t="s">
        <v>2093</v>
      </c>
      <c r="E141" s="20" t="s">
        <v>2094</v>
      </c>
      <c r="F141" s="9"/>
      <c r="G141" s="9"/>
      <c r="H141" s="9"/>
      <c r="I141" s="20" t="str">
        <f>IFERROR(__xludf.DUMMYFUNCTION("GOOGLETRANSLATE(B141,""ar"",""en"")
"),"If the circuit has short consecutive turns, what do you do?")</f>
        <v>If the circuit has short consecutive turns, what do you do?</v>
      </c>
      <c r="J141" s="20" t="str">
        <f>IFERROR(__xludf.DUMMYFUNCTION("GOOGLETRANSLATE(C141,""ar"",""en"")
"),"a) Speed ​​up the turns to gain time; b) Slow down and take the turns carefully; c) Maintain a constant speed in all turns; d) Let the horse make its own decisions in the turns.")</f>
        <v>a) Speed ​​up the turns to gain time; b) Slow down and take the turns carefully; c) Maintain a constant speed in all turns; d) Let the horse make its own decisions in the turns.</v>
      </c>
      <c r="K141" s="20" t="str">
        <f>IFERROR(__xludf.DUMMYFUNCTION("GOOGLETRANSLATE(D141,""ar"",""en"")
"),"Slow down and take turns carefully.")</f>
        <v>Slow down and take turns carefully.</v>
      </c>
      <c r="L141" s="20" t="str">
        <f>IFERROR(__xludf.DUMMYFUNCTION("GOOGLETRANSLATE(E141,""ar"",""en"")
"),"Short turns require high skill. Speed ​​must be slowed down to avoid skidding or losing balance.")</f>
        <v>Short turns require high skill. Speed ​​must be slowed down to avoid skidding or losing balance.</v>
      </c>
      <c r="M141" s="9"/>
      <c r="N141" s="9"/>
      <c r="O141" s="9"/>
      <c r="P141" s="9"/>
      <c r="Q141" s="9"/>
      <c r="R141" s="9"/>
      <c r="S141" s="9"/>
      <c r="T141" s="9"/>
      <c r="U141" s="9"/>
      <c r="V141" s="9"/>
      <c r="W141" s="9"/>
      <c r="X141" s="9"/>
      <c r="Y141" s="9"/>
      <c r="Z141" s="9"/>
      <c r="AA141" s="9"/>
      <c r="AB141" s="9"/>
      <c r="AC141" s="9"/>
      <c r="AD141" s="9"/>
      <c r="AE141" s="9"/>
      <c r="AF141" s="9"/>
      <c r="AG141" s="9"/>
    </row>
    <row r="142">
      <c r="A142" s="20">
        <v>141.0</v>
      </c>
      <c r="B142" s="20" t="s">
        <v>2095</v>
      </c>
      <c r="C142" s="20" t="s">
        <v>2096</v>
      </c>
      <c r="D142" s="20" t="s">
        <v>2097</v>
      </c>
      <c r="E142" s="20" t="s">
        <v>2098</v>
      </c>
      <c r="F142" s="9"/>
      <c r="G142" s="9"/>
      <c r="H142" s="9"/>
      <c r="I142" s="20" t="str">
        <f>IFERROR(__xludf.DUMMYFUNCTION("GOOGLETRANSLATE(B142,""ar"",""en"")
"),"During training, the horse seems to have a tendency to return to the stable. How can you encourage him to continue?")</f>
        <v>During training, the horse seems to have a tendency to return to the stable. How can you encourage him to continue?</v>
      </c>
      <c r="J142" s="20" t="str">
        <f>IFERROR(__xludf.DUMMYFUNCTION("GOOGLETRANSLATE(C142,""ar"",""en"")
"),"a) Uses the whip to force him to continue; b) Stops training and returns to the stable; c) Uses positive training techniques and rewards to encourage him; d) Leaves him in the stable for a while and then returns.")</f>
        <v>a) Uses the whip to force him to continue; b) Stops training and returns to the stable; c) Uses positive training techniques and rewards to encourage him; d) Leaves him in the stable for a while and then returns.</v>
      </c>
      <c r="K142" s="20" t="str">
        <f>IFERROR(__xludf.DUMMYFUNCTION("GOOGLETRANSLATE(D142,""ar"",""en"")
"),"Positive training techniques and rewards are used to encourage him.")</f>
        <v>Positive training techniques and rewards are used to encourage him.</v>
      </c>
      <c r="L142" s="20" t="str">
        <f>IFERROR(__xludf.DUMMYFUNCTION("GOOGLETRANSLATE(E142,""ar"",""en"")
"),"The urge to return to the stable may be a sign of exhaustion. Positive reinforcement is the best solution.")</f>
        <v>The urge to return to the stable may be a sign of exhaustion. Positive reinforcement is the best solution.</v>
      </c>
      <c r="M142" s="9"/>
      <c r="N142" s="9"/>
      <c r="O142" s="9"/>
      <c r="P142" s="9"/>
      <c r="Q142" s="9"/>
      <c r="R142" s="9"/>
      <c r="S142" s="9"/>
      <c r="T142" s="9"/>
      <c r="U142" s="9"/>
      <c r="V142" s="9"/>
      <c r="W142" s="9"/>
      <c r="X142" s="9"/>
      <c r="Y142" s="9"/>
      <c r="Z142" s="9"/>
      <c r="AA142" s="9"/>
      <c r="AB142" s="9"/>
      <c r="AC142" s="9"/>
      <c r="AD142" s="9"/>
      <c r="AE142" s="9"/>
      <c r="AF142" s="9"/>
      <c r="AG142" s="9"/>
    </row>
    <row r="143">
      <c r="A143" s="20">
        <v>142.0</v>
      </c>
      <c r="B143" s="20" t="s">
        <v>2099</v>
      </c>
      <c r="C143" s="20" t="s">
        <v>2100</v>
      </c>
      <c r="D143" s="20" t="s">
        <v>2101</v>
      </c>
      <c r="E143" s="20" t="s">
        <v>2102</v>
      </c>
      <c r="F143" s="9"/>
      <c r="G143" s="9"/>
      <c r="H143" s="9"/>
      <c r="I143" s="20" t="str">
        <f>IFERROR(__xludf.DUMMYFUNCTION("GOOGLETRANSLATE(B143,""ar"",""en"")
"),"During the race, you notice there's a mistake in the track you're running on. How do you react?")</f>
        <v>During the race, you notice there's a mistake in the track you're running on. How do you react?</v>
      </c>
      <c r="J143" s="20" t="str">
        <f>IFERROR(__xludf.DUMMYFUNCTION("GOOGLETRANSLATE(C143,""ar"",""en"")
"),"a) You continue racing and ignore the mistake; b) You stop and go back to correct your course; c) You slow down and carefully adjust your direction; d) You shout at the judges to alert them.")</f>
        <v>a) You continue racing and ignore the mistake; b) You stop and go back to correct your course; c) You slow down and carefully adjust your direction; d) You shout at the judges to alert them.</v>
      </c>
      <c r="K143" s="20" t="str">
        <f>IFERROR(__xludf.DUMMYFUNCTION("GOOGLETRANSLATE(D143,""ar"",""en"")
"),"Slow down and carefully adjust your direction.")</f>
        <v>Slow down and carefully adjust your direction.</v>
      </c>
      <c r="L143" s="20" t="str">
        <f>IFERROR(__xludf.DUMMYFUNCTION("GOOGLETRANSLATE(E143,""ar"",""en"")
"),"The rider must correct their course as quickly and safely as possible. Slowing down allows for adjustments without causing an accident.")</f>
        <v>The rider must correct their course as quickly and safely as possible. Slowing down allows for adjustments without causing an accident.</v>
      </c>
      <c r="M143" s="9"/>
      <c r="N143" s="9"/>
      <c r="O143" s="9"/>
      <c r="P143" s="9"/>
      <c r="Q143" s="9"/>
      <c r="R143" s="9"/>
      <c r="S143" s="9"/>
      <c r="T143" s="9"/>
      <c r="U143" s="9"/>
      <c r="V143" s="9"/>
      <c r="W143" s="9"/>
      <c r="X143" s="9"/>
      <c r="Y143" s="9"/>
      <c r="Z143" s="9"/>
      <c r="AA143" s="9"/>
      <c r="AB143" s="9"/>
      <c r="AC143" s="9"/>
      <c r="AD143" s="9"/>
      <c r="AE143" s="9"/>
      <c r="AF143" s="9"/>
      <c r="AG143" s="9"/>
    </row>
    <row r="144">
      <c r="A144" s="20">
        <v>143.0</v>
      </c>
      <c r="B144" s="20" t="s">
        <v>2103</v>
      </c>
      <c r="C144" s="20" t="s">
        <v>2104</v>
      </c>
      <c r="D144" s="20" t="s">
        <v>2105</v>
      </c>
      <c r="E144" s="20" t="s">
        <v>2106</v>
      </c>
      <c r="F144" s="9"/>
      <c r="G144" s="9"/>
      <c r="H144" s="9"/>
      <c r="I144" s="20" t="str">
        <f>IFERROR(__xludf.DUMMYFUNCTION("GOOGLETRANSLATE(B144,""ar"",""en"")
"),"If a horse tends to slow down when it sees a competitor ahead, how can you motivate it?")</f>
        <v>If a horse tends to slow down when it sees a competitor ahead, how can you motivate it?</v>
      </c>
      <c r="J144" s="20" t="str">
        <f>IFERROR(__xludf.DUMMYFUNCTION("GOOGLETRANSLATE(C144,""ar"",""en"")
"),"a) You use the whip to force him to speed up; b) You let him slow down and continue racing; c) You use a clear voice and body signals to motivate him and change his focus; d) You ask your competitor to slow down as well.")</f>
        <v>a) You use the whip to force him to speed up; b) You let him slow down and continue racing; c) You use a clear voice and body signals to motivate him and change his focus; d) You ask your competitor to slow down as well.</v>
      </c>
      <c r="K144" s="20" t="str">
        <f>IFERROR(__xludf.DUMMYFUNCTION("GOOGLETRANSLATE(D144,""ar"",""en"")
"),"It uses clear voice and body signals to stimulate him and change his focus.")</f>
        <v>It uses clear voice and body signals to stimulate him and change his focus.</v>
      </c>
      <c r="L144" s="20" t="str">
        <f>IFERROR(__xludf.DUMMYFUNCTION("GOOGLETRANSLATE(E144,""ar"",""en"")
"),"Slowdowns can be a sign of lost confidence. Positive reinforcement is the best approach.")</f>
        <v>Slowdowns can be a sign of lost confidence. Positive reinforcement is the best approach.</v>
      </c>
      <c r="M144" s="9"/>
      <c r="N144" s="9"/>
      <c r="O144" s="9"/>
      <c r="P144" s="9"/>
      <c r="Q144" s="9"/>
      <c r="R144" s="9"/>
      <c r="S144" s="9"/>
      <c r="T144" s="9"/>
      <c r="U144" s="9"/>
      <c r="V144" s="9"/>
      <c r="W144" s="9"/>
      <c r="X144" s="9"/>
      <c r="Y144" s="9"/>
      <c r="Z144" s="9"/>
      <c r="AA144" s="9"/>
      <c r="AB144" s="9"/>
      <c r="AC144" s="9"/>
      <c r="AD144" s="9"/>
      <c r="AE144" s="9"/>
      <c r="AF144" s="9"/>
      <c r="AG144" s="9"/>
    </row>
    <row r="145">
      <c r="A145" s="20">
        <v>144.0</v>
      </c>
      <c r="B145" s="20" t="s">
        <v>2107</v>
      </c>
      <c r="C145" s="20" t="s">
        <v>2108</v>
      </c>
      <c r="D145" s="20" t="s">
        <v>2109</v>
      </c>
      <c r="E145" s="20" t="s">
        <v>2110</v>
      </c>
      <c r="F145" s="9"/>
      <c r="G145" s="9"/>
      <c r="H145" s="9"/>
      <c r="I145" s="20" t="str">
        <f>IFERROR(__xludf.DUMMYFUNCTION("GOOGLETRANSLATE(B145,""ar"",""en"")
"),"If there is a sudden change in the pace of the race due to the competitors, how do you adapt?")</f>
        <v>If there is a sudden change in the pace of the race due to the competitors, how do you adapt?</v>
      </c>
      <c r="J145" s="20" t="str">
        <f>IFERROR(__xludf.DUMMYFUNCTION("GOOGLETRANSLATE(C145,""ar"",""en"")
"),"a) You stick to your planned pace; b) You try to imitate the pace of your competitors; c) You adjust your pace based on the new race pace and your timing; d) You drop out of the race because the pace has changed.")</f>
        <v>a) You stick to your planned pace; b) You try to imitate the pace of your competitors; c) You adjust your pace based on the new race pace and your timing; d) You drop out of the race because the pace has changed.</v>
      </c>
      <c r="K145" s="20" t="str">
        <f>IFERROR(__xludf.DUMMYFUNCTION("GOOGLETRANSLATE(D145,""ar"",""en"")
"),"Adjust your pace based on the new race pace and your timing.")</f>
        <v>Adjust your pace based on the new race pace and your timing.</v>
      </c>
      <c r="L145" s="20" t="str">
        <f>IFERROR(__xludf.DUMMYFUNCTION("GOOGLETRANSLATE(E145,""ar"",""en"")
"),"A rider must be flexible and able to adapt to changing circumstances.")</f>
        <v>A rider must be flexible and able to adapt to changing circumstances.</v>
      </c>
      <c r="M145" s="9"/>
      <c r="N145" s="9"/>
      <c r="O145" s="9"/>
      <c r="P145" s="9"/>
      <c r="Q145" s="9"/>
      <c r="R145" s="9"/>
      <c r="S145" s="9"/>
      <c r="T145" s="9"/>
      <c r="U145" s="9"/>
      <c r="V145" s="9"/>
      <c r="W145" s="9"/>
      <c r="X145" s="9"/>
      <c r="Y145" s="9"/>
      <c r="Z145" s="9"/>
      <c r="AA145" s="9"/>
      <c r="AB145" s="9"/>
      <c r="AC145" s="9"/>
      <c r="AD145" s="9"/>
      <c r="AE145" s="9"/>
      <c r="AF145" s="9"/>
      <c r="AG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c r="AF147" s="9"/>
      <c r="AG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c r="AF148" s="9"/>
      <c r="AG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c r="AF149" s="9"/>
      <c r="AG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c r="AF150" s="9"/>
      <c r="AG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c r="AF151" s="9"/>
      <c r="AG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c r="AF152" s="9"/>
      <c r="AG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c r="AF153" s="9"/>
      <c r="AG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c r="AF155" s="9"/>
      <c r="AG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c r="AF156" s="9"/>
      <c r="AG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c r="AF158" s="9"/>
      <c r="AG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c r="AF160" s="9"/>
      <c r="AG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c r="AF161" s="9"/>
      <c r="AG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c r="AF162" s="9"/>
      <c r="AG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c r="AF163" s="9"/>
      <c r="AG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c r="AF165" s="9"/>
      <c r="AG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c r="AF166" s="9"/>
      <c r="AG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c r="AF168" s="9"/>
      <c r="AG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c r="AF170" s="9"/>
      <c r="AG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c r="AF172" s="9"/>
      <c r="AG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c r="AF174" s="9"/>
      <c r="AG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c r="AF175" s="9"/>
      <c r="AG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c r="AF176" s="9"/>
      <c r="AG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c r="AF177" s="9"/>
      <c r="AG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c r="AF178" s="9"/>
      <c r="AG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c r="AF179" s="9"/>
      <c r="AG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c r="AF180" s="9"/>
      <c r="AG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c r="AF181" s="9"/>
      <c r="AG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c r="AF182" s="9"/>
      <c r="AG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c r="AF183" s="9"/>
      <c r="AG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c r="AF184" s="9"/>
      <c r="AG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c r="AF185" s="9"/>
      <c r="AG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c r="AF186" s="9"/>
      <c r="AG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c r="AF187" s="9"/>
      <c r="AG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c r="AF189" s="9"/>
      <c r="AG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c r="AF190" s="9"/>
      <c r="AG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c r="AF192" s="9"/>
      <c r="AG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c r="AF193" s="9"/>
      <c r="AG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c r="AF194" s="9"/>
      <c r="AG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c r="AG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c r="AF197" s="9"/>
      <c r="AG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c r="AF198" s="9"/>
      <c r="AG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c r="AF199" s="9"/>
      <c r="AG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c r="AF201" s="9"/>
      <c r="AG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c r="AF202" s="9"/>
      <c r="AG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c r="AF204" s="9"/>
      <c r="AG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c r="AF205" s="9"/>
      <c r="AG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c r="AF207" s="9"/>
      <c r="AG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c r="AF208" s="9"/>
      <c r="AG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c r="AF209" s="9"/>
      <c r="AG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c r="AF210" s="9"/>
      <c r="AG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c r="AF211" s="9"/>
      <c r="AG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c r="AF212" s="9"/>
      <c r="AG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c r="AG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c r="AF214" s="9"/>
      <c r="AG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c r="AF215" s="9"/>
      <c r="AG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c r="AF216" s="9"/>
      <c r="AG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c r="AF217" s="9"/>
      <c r="AG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c r="AF218" s="9"/>
      <c r="AG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c r="AF219" s="9"/>
      <c r="AG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c r="AF220" s="9"/>
      <c r="AG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c r="AF221" s="9"/>
      <c r="AG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c r="AF222" s="9"/>
      <c r="AG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c r="AF224" s="9"/>
      <c r="AG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c r="AF225" s="9"/>
      <c r="AG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c r="AF226" s="9"/>
      <c r="AG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c r="AF228" s="9"/>
      <c r="AG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c r="AF229" s="9"/>
      <c r="AG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c r="AF230" s="9"/>
      <c r="AG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c r="AF232" s="9"/>
      <c r="AG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c r="AF233" s="9"/>
      <c r="AG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c r="AF234" s="9"/>
      <c r="AG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c r="AF235" s="9"/>
      <c r="AG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c r="AF236" s="9"/>
      <c r="AG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c r="AF237" s="9"/>
      <c r="AG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c r="AF238" s="9"/>
      <c r="AG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c r="AF239" s="9"/>
      <c r="AG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c r="AF240" s="9"/>
      <c r="AG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c r="AF241" s="9"/>
      <c r="AG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c r="AF242" s="9"/>
      <c r="AG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c r="AF243" s="9"/>
      <c r="AG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c r="AF244" s="9"/>
      <c r="AG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c r="AF246" s="9"/>
      <c r="AG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c r="AF247" s="9"/>
      <c r="AG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c r="AF248" s="9"/>
      <c r="AG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c r="AF249" s="9"/>
      <c r="AG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c r="AF251" s="9"/>
      <c r="AG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c r="AF252" s="9"/>
      <c r="AG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c r="AF253" s="9"/>
      <c r="AG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c r="AF256" s="9"/>
      <c r="AG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c r="AF257" s="9"/>
      <c r="AG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1" t="s">
        <v>1567</v>
      </c>
      <c r="B1" s="19" t="s">
        <v>5</v>
      </c>
      <c r="C1" s="19" t="s">
        <v>6</v>
      </c>
      <c r="D1" s="19" t="s">
        <v>7</v>
      </c>
      <c r="E1" s="18" t="s">
        <v>2111</v>
      </c>
      <c r="F1" s="9"/>
      <c r="G1" s="18" t="s">
        <v>2112</v>
      </c>
      <c r="H1" s="18" t="s">
        <v>2113</v>
      </c>
      <c r="I1" s="18" t="s">
        <v>2114</v>
      </c>
      <c r="J1" s="18" t="s">
        <v>968</v>
      </c>
      <c r="K1" s="18" t="s">
        <v>2115</v>
      </c>
      <c r="L1" s="18" t="s">
        <v>2116</v>
      </c>
      <c r="M1" s="9"/>
      <c r="N1" s="9"/>
      <c r="O1" s="9"/>
      <c r="P1" s="9"/>
      <c r="Q1" s="9"/>
      <c r="R1" s="9"/>
      <c r="S1" s="9"/>
      <c r="T1" s="9"/>
      <c r="U1" s="9"/>
      <c r="V1" s="9"/>
      <c r="W1" s="9"/>
      <c r="X1" s="9"/>
      <c r="Y1" s="9"/>
      <c r="Z1" s="9"/>
    </row>
    <row r="2">
      <c r="A2" s="22">
        <v>1.0</v>
      </c>
      <c r="B2" s="20" t="s">
        <v>2117</v>
      </c>
      <c r="C2" s="20" t="s">
        <v>2118</v>
      </c>
      <c r="D2" s="20" t="s">
        <v>2119</v>
      </c>
      <c r="E2" s="20" t="s">
        <v>2120</v>
      </c>
      <c r="F2" s="9"/>
      <c r="G2" s="20" t="str">
        <f>IFERROR(__xludf.DUMMYFUNCTION("GOOGLETRANSLATE(B2,""ar"",""en"")"),"During a cow fight, I noticed the cow showing signs of aggression. What should I do?")</f>
        <v>During a cow fight, I noticed the cow showing signs of aggression. What should I do?</v>
      </c>
      <c r="H2" s="20" t="str">
        <f>IFERROR(__xludf.DUMMYFUNCTION("GOOGLETRANSLATE(C2,""ar"",""en"")"),"a) Keep a safe distance and try to calm her down; b) Approach her and continue the fight; c) Retreat quickly; d) Call for help from the team")</f>
        <v>a) Keep a safe distance and try to calm her down; b) Approach her and continue the fight; c) Retreat quickly; d) Call for help from the team</v>
      </c>
      <c r="I2" s="20" t="str">
        <f>IFERROR(__xludf.DUMMYFUNCTION("GOOGLETRANSLATE(D2,""ar"",""en"")"),"a) Keep a safe distance and try to calm her down")</f>
        <v>a) Keep a safe distance and try to calm her down</v>
      </c>
      <c r="J2" s="20" t="str">
        <f>IFERROR(__xludf.DUMMYFUNCTION("GOOGLETRANSLATE(E2,""ar"",""en"")"),"It is important to maintain safety and deal with aggression cautiously to avoid injuries.")</f>
        <v>It is important to maintain safety and deal with aggression cautiously to avoid injuries.</v>
      </c>
      <c r="K2" s="20"/>
      <c r="L2" s="20"/>
      <c r="M2" s="9"/>
      <c r="N2" s="9"/>
      <c r="O2" s="9"/>
      <c r="P2" s="9"/>
      <c r="Q2" s="9"/>
      <c r="R2" s="9"/>
      <c r="S2" s="9"/>
      <c r="T2" s="9"/>
      <c r="U2" s="9"/>
      <c r="V2" s="9"/>
      <c r="W2" s="9"/>
      <c r="X2" s="9"/>
      <c r="Y2" s="9"/>
      <c r="Z2" s="9"/>
    </row>
    <row r="3">
      <c r="A3" s="20">
        <v>2.0</v>
      </c>
      <c r="B3" s="20" t="s">
        <v>2121</v>
      </c>
      <c r="C3" s="20" t="s">
        <v>2122</v>
      </c>
      <c r="D3" s="20" t="s">
        <v>2123</v>
      </c>
      <c r="E3" s="20" t="s">
        <v>2124</v>
      </c>
      <c r="F3" s="9"/>
      <c r="G3" s="20" t="str">
        <f>IFERROR(__xludf.DUMMYFUNCTION("GOOGLETRANSLATE(B3,""ar"",""en"")"),"If the cow refuses to enter the ring, what do you do?")</f>
        <v>If the cow refuses to enter the ring, what do you do?</v>
      </c>
      <c r="H3" s="20" t="str">
        <f>IFERROR(__xludf.DUMMYFUNCTION("GOOGLETRANSLATE(C3,""ar"",""en"")"),"a) She tries to gently pull her into the ring; b) She forces her in; c) She asks the team for help; d) She leaves the ring and withdraws")</f>
        <v>a) She tries to gently pull her into the ring; b) She forces her in; c) She asks the team for help; d) She leaves the ring and withdraws</v>
      </c>
      <c r="I3" s="20" t="str">
        <f>IFERROR(__xludf.DUMMYFUNCTION("GOOGLETRANSLATE(D3,""ar"",""en"")"),"a) She tries to gently lure her into the ring")</f>
        <v>a) She tries to gently lure her into the ring</v>
      </c>
      <c r="J3" s="20" t="str">
        <f>IFERROR(__xludf.DUMMYFUNCTION("GOOGLETRANSLATE(E3,""ar"",""en"")"),"Handling the cow gently enhances her responsiveness and allows her to enter the arena safely.")</f>
        <v>Handling the cow gently enhances her responsiveness and allows her to enter the arena safely.</v>
      </c>
      <c r="K3" s="20"/>
      <c r="L3" s="20"/>
      <c r="M3" s="9"/>
      <c r="N3" s="9"/>
      <c r="O3" s="9"/>
      <c r="P3" s="9"/>
      <c r="Q3" s="9"/>
      <c r="R3" s="9"/>
      <c r="S3" s="9"/>
      <c r="T3" s="9"/>
      <c r="U3" s="9"/>
      <c r="V3" s="9"/>
      <c r="W3" s="9"/>
      <c r="X3" s="9"/>
      <c r="Y3" s="9"/>
      <c r="Z3" s="9"/>
    </row>
    <row r="4">
      <c r="A4" s="20">
        <v>3.0</v>
      </c>
      <c r="B4" s="20" t="s">
        <v>2125</v>
      </c>
      <c r="C4" s="20" t="s">
        <v>2126</v>
      </c>
      <c r="D4" s="20" t="s">
        <v>2127</v>
      </c>
      <c r="E4" s="20" t="s">
        <v>2128</v>
      </c>
      <c r="F4" s="9"/>
      <c r="G4" s="20" t="str">
        <f>IFERROR(__xludf.DUMMYFUNCTION("GOOGLETRANSLATE(B4,""ar"",""en"")"),"During the cowfight, I noticed that the cow started showing signs of extreme fatigue. What should I do?")</f>
        <v>During the cowfight, I noticed that the cow started showing signs of extreme fatigue. What should I do?</v>
      </c>
      <c r="H4" s="20" t="str">
        <f>IFERROR(__xludf.DUMMYFUNCTION("GOOGLETRANSLATE(C4,""ar"",""en"")"),"a) Slows down and gives her a short rest; b) Continues fighting cautiously; c) Asks the referee to end the fight; d) Requests an immediate medical examination")</f>
        <v>a) Slows down and gives her a short rest; b) Continues fighting cautiously; c) Asks the referee to end the fight; d) Requests an immediate medical examination</v>
      </c>
      <c r="I4" s="20" t="str">
        <f>IFERROR(__xludf.DUMMYFUNCTION("GOOGLETRANSLATE(D4,""ar"",""en"")"),"a) Slow it down and give it a short rest period")</f>
        <v>a) Slow it down and give it a short rest period</v>
      </c>
      <c r="J4" s="20" t="str">
        <f>IFERROR(__xludf.DUMMYFUNCTION("GOOGLETRANSLATE(E4,""ar"",""en"")"),"Short rests help the cow regain its strength and improve performance safely.")</f>
        <v>Short rests help the cow regain its strength and improve performance safely.</v>
      </c>
      <c r="K4" s="20"/>
      <c r="L4" s="20"/>
      <c r="M4" s="9"/>
      <c r="N4" s="9"/>
      <c r="O4" s="9"/>
      <c r="P4" s="9"/>
      <c r="Q4" s="9"/>
      <c r="R4" s="9"/>
      <c r="S4" s="9"/>
      <c r="T4" s="9"/>
      <c r="U4" s="9"/>
      <c r="V4" s="9"/>
      <c r="W4" s="9"/>
      <c r="X4" s="9"/>
      <c r="Y4" s="9"/>
      <c r="Z4" s="9"/>
    </row>
    <row r="5">
      <c r="A5" s="20">
        <v>4.0</v>
      </c>
      <c r="B5" s="20" t="s">
        <v>2129</v>
      </c>
      <c r="C5" s="20" t="s">
        <v>2130</v>
      </c>
      <c r="D5" s="20" t="s">
        <v>2131</v>
      </c>
      <c r="E5" s="20" t="s">
        <v>2132</v>
      </c>
      <c r="F5" s="9"/>
      <c r="G5" s="20" t="str">
        <f>IFERROR(__xludf.DUMMYFUNCTION("GOOGLETRANSLATE(B5,""ar"",""en"")"),"If the cow is trying to escape from the ring, what do you do?")</f>
        <v>If the cow is trying to escape from the ring, what do you do?</v>
      </c>
      <c r="H5" s="20" t="str">
        <f>IFERROR(__xludf.DUMMYFUNCTION("GOOGLETRANSLATE(C5,""ar"",""en"")"),"a) She tries to calmly stop her and lead her out; b) She asks for help from the team to stop her; c) She asks the referee to intervene immediately; d) She leaves the ring and withdraws")</f>
        <v>a) She tries to calmly stop her and lead her out; b) She asks for help from the team to stop her; c) She asks the referee to intervene immediately; d) She leaves the ring and withdraws</v>
      </c>
      <c r="I5" s="20" t="str">
        <f>IFERROR(__xludf.DUMMYFUNCTION("GOOGLETRANSLATE(D5,""ar"",""en"")"),"a) She tries to stop it calmly and guide it out")</f>
        <v>a) She tries to stop it calmly and guide it out</v>
      </c>
      <c r="J5" s="20" t="str">
        <f>IFERROR(__xludf.DUMMYFUNCTION("GOOGLETRANSLATE(E5,""ar"",""en"")"),"Calm guidance helps in controlling the cow without causing her stress or anxiety.")</f>
        <v>Calm guidance helps in controlling the cow without causing her stress or anxiety.</v>
      </c>
      <c r="K5" s="20"/>
      <c r="L5" s="20"/>
      <c r="M5" s="9"/>
      <c r="N5" s="9"/>
      <c r="O5" s="9"/>
      <c r="P5" s="9"/>
      <c r="Q5" s="9"/>
      <c r="R5" s="9"/>
      <c r="S5" s="9"/>
      <c r="T5" s="9"/>
      <c r="U5" s="9"/>
      <c r="V5" s="9"/>
      <c r="W5" s="9"/>
      <c r="X5" s="9"/>
      <c r="Y5" s="9"/>
      <c r="Z5" s="9"/>
    </row>
    <row r="6">
      <c r="A6" s="20">
        <v>5.0</v>
      </c>
      <c r="B6" s="20" t="s">
        <v>2133</v>
      </c>
      <c r="C6" s="20" t="s">
        <v>2134</v>
      </c>
      <c r="D6" s="20" t="s">
        <v>2135</v>
      </c>
      <c r="E6" s="20" t="s">
        <v>2136</v>
      </c>
      <c r="F6" s="9"/>
      <c r="G6" s="20" t="str">
        <f>IFERROR(__xludf.DUMMYFUNCTION("GOOGLETRANSLATE(B6,""ar"",""en"")"),"If there are signs of injury to the cow's leg during a fight, what do you do?")</f>
        <v>If there are signs of injury to the cow's leg during a fight, what do you do?</v>
      </c>
      <c r="H6" s="20" t="str">
        <f>IFERROR(__xludf.DUMMYFUNCTION("GOOGLETRANSLATE(C6,""ar"",""en"")"),"a) Seek immediate medical assistance; b) Continue fighting despite the injury; c) Request a ceasefire until the situation can be assessed; d) Continue fighting while attempting to relieve pressure on the leg")</f>
        <v>a) Seek immediate medical assistance; b) Continue fighting despite the injury; c) Request a ceasefire until the situation can be assessed; d) Continue fighting while attempting to relieve pressure on the leg</v>
      </c>
      <c r="I6" s="20" t="str">
        <f>IFERROR(__xludf.DUMMYFUNCTION("GOOGLETRANSLATE(D6,""ar"",""en"")"),"a) Seek immediate medical assistance")</f>
        <v>a) Seek immediate medical assistance</v>
      </c>
      <c r="J6" s="20" t="str">
        <f>IFERROR(__xludf.DUMMYFUNCTION("GOOGLETRANSLATE(E6,""ar"",""en"")"),"The injury may worsen if not treated properly, putting the cow at greater risk.")</f>
        <v>The injury may worsen if not treated properly, putting the cow at greater risk.</v>
      </c>
      <c r="K6" s="20"/>
      <c r="L6" s="20"/>
      <c r="M6" s="9"/>
      <c r="N6" s="9"/>
      <c r="O6" s="9"/>
      <c r="P6" s="9"/>
      <c r="Q6" s="9"/>
      <c r="R6" s="9"/>
      <c r="S6" s="9"/>
      <c r="T6" s="9"/>
      <c r="U6" s="9"/>
      <c r="V6" s="9"/>
      <c r="W6" s="9"/>
      <c r="X6" s="9"/>
      <c r="Y6" s="9"/>
      <c r="Z6" s="9"/>
    </row>
    <row r="7">
      <c r="A7" s="20">
        <v>6.0</v>
      </c>
      <c r="B7" s="20" t="s">
        <v>2137</v>
      </c>
      <c r="C7" s="20" t="s">
        <v>2138</v>
      </c>
      <c r="D7" s="20" t="s">
        <v>2139</v>
      </c>
      <c r="E7" s="20" t="s">
        <v>2140</v>
      </c>
      <c r="F7" s="9"/>
      <c r="G7" s="20" t="str">
        <f>IFERROR(__xludf.DUMMYFUNCTION("GOOGLETRANSLATE(B7,""ar"",""en"")"),"During the fight, I noticed the cow showing signs of fear due to the noise in the arena. What should I do?")</f>
        <v>During the fight, I noticed the cow showing signs of fear due to the noise in the arena. What should I do?</v>
      </c>
      <c r="H7" s="20" t="str">
        <f>IFERROR(__xludf.DUMMYFUNCTION("GOOGLETRANSLATE(C7,""ar"",""en"")"),"a) You calm her down with your voice and try to keep her quiet; b) You leave the ring and withdraw; c) You ask the organizers to reduce the noise; d) You pressure her to continue the fight")</f>
        <v>a) You calm her down with your voice and try to keep her quiet; b) You leave the ring and withdraw; c) You ask the organizers to reduce the noise; d) You pressure her to continue the fight</v>
      </c>
      <c r="I7" s="20" t="str">
        <f>IFERROR(__xludf.DUMMYFUNCTION("GOOGLETRANSLATE(D7,""ar"",""en"")"),"a) Calm her down with your voice and try to keep her calm")</f>
        <v>a) Calm her down with your voice and try to keep her calm</v>
      </c>
      <c r="J7" s="20" t="str">
        <f>IFERROR(__xludf.DUMMYFUNCTION("GOOGLETRANSLATE(E7,""ar"",""en"")"),"Soothing sounds help reduce stress and fear in cows.")</f>
        <v>Soothing sounds help reduce stress and fear in cows.</v>
      </c>
      <c r="K7" s="20"/>
      <c r="L7" s="20"/>
      <c r="M7" s="9"/>
      <c r="N7" s="9"/>
      <c r="O7" s="9"/>
      <c r="P7" s="9"/>
      <c r="Q7" s="9"/>
      <c r="R7" s="9"/>
      <c r="S7" s="9"/>
      <c r="T7" s="9"/>
      <c r="U7" s="9"/>
      <c r="V7" s="9"/>
      <c r="W7" s="9"/>
      <c r="X7" s="9"/>
      <c r="Y7" s="9"/>
      <c r="Z7" s="9"/>
    </row>
    <row r="8">
      <c r="A8" s="20">
        <v>7.0</v>
      </c>
      <c r="B8" s="20" t="s">
        <v>2141</v>
      </c>
      <c r="C8" s="20" t="s">
        <v>2142</v>
      </c>
      <c r="D8" s="20" t="s">
        <v>2143</v>
      </c>
      <c r="E8" s="20" t="s">
        <v>2144</v>
      </c>
      <c r="F8" s="9"/>
      <c r="G8" s="20" t="str">
        <f>IFERROR(__xludf.DUMMYFUNCTION("GOOGLETRANSLATE(B8,""ar"",""en"")"),"If the cow is in poor health before the fight, what do you do?")</f>
        <v>If the cow is in poor health before the fight, what do you do?</v>
      </c>
      <c r="H8" s="20" t="str">
        <f>IFERROR(__xludf.DUMMYFUNCTION("GOOGLETRANSLATE(C8,""ar"",""en"")"),"a) The fight is postponed to a later time; b) A medical examination of the cow is requested before starting; c) The cow continues fighting despite her condition; d) The cow is replaced with another, if possible.")</f>
        <v>a) The fight is postponed to a later time; b) A medical examination of the cow is requested before starting; c) The cow continues fighting despite her condition; d) The cow is replaced with another, if possible.</v>
      </c>
      <c r="I8" s="20" t="str">
        <f>IFERROR(__xludf.DUMMYFUNCTION("GOOGLETRANSLATE(D8,""ar"",""en"")"),"b) A medical examination of the cow is required before starting")</f>
        <v>b) A medical examination of the cow is required before starting</v>
      </c>
      <c r="J8" s="20" t="str">
        <f>IFERROR(__xludf.DUMMYFUNCTION("GOOGLETRANSLATE(E8,""ar"",""en"")"),"Ensuring the cow's health is essential to maintaining its safety during the fight.")</f>
        <v>Ensuring the cow's health is essential to maintaining its safety during the fight.</v>
      </c>
      <c r="K8" s="20"/>
      <c r="L8" s="20"/>
      <c r="M8" s="9"/>
      <c r="N8" s="9"/>
      <c r="O8" s="9"/>
      <c r="P8" s="9"/>
      <c r="Q8" s="9"/>
      <c r="R8" s="9"/>
      <c r="S8" s="9"/>
      <c r="T8" s="9"/>
      <c r="U8" s="9"/>
      <c r="V8" s="9"/>
      <c r="W8" s="9"/>
      <c r="X8" s="9"/>
      <c r="Y8" s="9"/>
      <c r="Z8" s="9"/>
    </row>
    <row r="9">
      <c r="A9" s="20">
        <v>8.0</v>
      </c>
      <c r="B9" s="20" t="s">
        <v>2145</v>
      </c>
      <c r="C9" s="20" t="s">
        <v>2146</v>
      </c>
      <c r="D9" s="20" t="s">
        <v>2147</v>
      </c>
      <c r="E9" s="20" t="s">
        <v>2148</v>
      </c>
      <c r="F9" s="9"/>
      <c r="G9" s="20" t="str">
        <f>IFERROR(__xludf.DUMMYFUNCTION("GOOGLETRANSLATE(B9,""ar"",""en"")"),"If you are facing a very strong competitor, what do you do?")</f>
        <v>If you are facing a very strong competitor, what do you do?</v>
      </c>
      <c r="H9" s="20" t="str">
        <f>IFERROR(__xludf.DUMMYFUNCTION("GOOGLETRANSLATE(C9,""ar"",""en"")"),"a) Focus on defensive strategies to calm the situation; b) Apply strong pressure to win; c) Try to confuse him using unexpected tactics; d) Ask for help from the team")</f>
        <v>a) Focus on defensive strategies to calm the situation; b) Apply strong pressure to win; c) Try to confuse him using unexpected tactics; d) Ask for help from the team</v>
      </c>
      <c r="I9" s="20" t="str">
        <f>IFERROR(__xludf.DUMMYFUNCTION("GOOGLETRANSLATE(D9,""ar"",""en"")"),"a) Focuses on defensive strategies to calm the situation")</f>
        <v>a) Focuses on defensive strategies to calm the situation</v>
      </c>
      <c r="J9" s="20" t="str">
        <f>IFERROR(__xludf.DUMMYFUNCTION("GOOGLETRANSLATE(E9,""ar"",""en"")"),"Strategic thinking helps to reduce risk and increase opportunities.")</f>
        <v>Strategic thinking helps to reduce risk and increase opportunities.</v>
      </c>
      <c r="K9" s="20"/>
      <c r="L9" s="20"/>
      <c r="M9" s="9"/>
      <c r="N9" s="9"/>
      <c r="O9" s="9"/>
      <c r="P9" s="9"/>
      <c r="Q9" s="9"/>
      <c r="R9" s="9"/>
      <c r="S9" s="9"/>
      <c r="T9" s="9"/>
      <c r="U9" s="9"/>
      <c r="V9" s="9"/>
      <c r="W9" s="9"/>
      <c r="X9" s="9"/>
      <c r="Y9" s="9"/>
      <c r="Z9" s="9"/>
    </row>
    <row r="10">
      <c r="A10" s="20">
        <v>9.0</v>
      </c>
      <c r="B10" s="20" t="s">
        <v>2149</v>
      </c>
      <c r="C10" s="20" t="s">
        <v>2150</v>
      </c>
      <c r="D10" s="20" t="s">
        <v>2151</v>
      </c>
      <c r="E10" s="20" t="s">
        <v>2152</v>
      </c>
      <c r="F10" s="9"/>
      <c r="G10" s="20" t="str">
        <f>IFERROR(__xludf.DUMMYFUNCTION("GOOGLETRANSLATE(B10,""ar"",""en"")"),"If a cow is under strong attack from another competitor, what should it do?")</f>
        <v>If a cow is under strong attack from another competitor, what should it do?</v>
      </c>
      <c r="H10" s="20" t="str">
        <f>IFERROR(__xludf.DUMMYFUNCTION("GOOGLETRANSLATE(C10,""ar"",""en"")"),"a) She tries to intervene and protect the cow; b) She lets the cow continue fighting as is; c) She immediately calls for the referee's intervention; d) She continues fighting cautiously.")</f>
        <v>a) She tries to intervene and protect the cow; b) She lets the cow continue fighting as is; c) She immediately calls for the referee's intervention; d) She continues fighting cautiously.</v>
      </c>
      <c r="I10" s="20" t="str">
        <f>IFERROR(__xludf.DUMMYFUNCTION("GOOGLETRANSLATE(D10,""ar"",""en"")"),"a) She tries to enter and protect the cow")</f>
        <v>a) She tries to enter and protect the cow</v>
      </c>
      <c r="J10" s="20" t="str">
        <f>IFERROR(__xludf.DUMMYFUNCTION("GOOGLETRANSLATE(E10,""ar"",""en"")"),"Protection is important to ensure the safety of the cow and prevent it from being injured.")</f>
        <v>Protection is important to ensure the safety of the cow and prevent it from being injured.</v>
      </c>
      <c r="K10" s="20"/>
      <c r="L10" s="20"/>
      <c r="M10" s="9"/>
      <c r="N10" s="9"/>
      <c r="O10" s="9"/>
      <c r="P10" s="9"/>
      <c r="Q10" s="9"/>
      <c r="R10" s="9"/>
      <c r="S10" s="9"/>
      <c r="T10" s="9"/>
      <c r="U10" s="9"/>
      <c r="V10" s="9"/>
      <c r="W10" s="9"/>
      <c r="X10" s="9"/>
      <c r="Y10" s="9"/>
      <c r="Z10" s="9"/>
    </row>
    <row r="11">
      <c r="A11" s="20">
        <v>10.0</v>
      </c>
      <c r="B11" s="20" t="s">
        <v>2153</v>
      </c>
      <c r="C11" s="20" t="s">
        <v>2154</v>
      </c>
      <c r="D11" s="20" t="s">
        <v>2155</v>
      </c>
      <c r="E11" s="20" t="s">
        <v>2156</v>
      </c>
      <c r="F11" s="9"/>
      <c r="G11" s="20" t="str">
        <f>IFERROR(__xludf.DUMMYFUNCTION("GOOGLETRANSLATE(B11,""ar"",""en"")"),"During the fight, I noticed the cow showing signs of extreme stress. What should I do?")</f>
        <v>During the fight, I noticed the cow showing signs of extreme stress. What should I do?</v>
      </c>
      <c r="H11" s="20" t="str">
        <f>IFERROR(__xludf.DUMMYFUNCTION("GOOGLETRANSLATE(C11,""ar"",""en"")"),"a) She gives her a short rest and helps her regain her energy; b) She continues fighting to shorten the time; c) She asks the team to stop the battle immediately; d) She tries to change her fighting style.")</f>
        <v>a) She gives her a short rest and helps her regain her energy; b) She continues fighting to shorten the time; c) She asks the team to stop the battle immediately; d) She tries to change her fighting style.</v>
      </c>
      <c r="I11" s="20" t="str">
        <f>IFERROR(__xludf.DUMMYFUNCTION("GOOGLETRANSLATE(D11,""ar"",""en"")"),"a) It gives her a short rest period and helps her regain her energy")</f>
        <v>a) It gives her a short rest period and helps her regain her energy</v>
      </c>
      <c r="J11" s="20" t="str">
        <f>IFERROR(__xludf.DUMMYFUNCTION("GOOGLETRANSLATE(E11,""ar"",""en"")"),"Excessive stress affects the cow's performance, and giving it a rest period helps it return to good performance.")</f>
        <v>Excessive stress affects the cow's performance, and giving it a rest period helps it return to good performance.</v>
      </c>
      <c r="K11" s="20"/>
      <c r="L11" s="20"/>
      <c r="M11" s="9"/>
      <c r="N11" s="9"/>
      <c r="O11" s="9"/>
      <c r="P11" s="9"/>
      <c r="Q11" s="9"/>
      <c r="R11" s="9"/>
      <c r="S11" s="9"/>
      <c r="T11" s="9"/>
      <c r="U11" s="9"/>
      <c r="V11" s="9"/>
      <c r="W11" s="9"/>
      <c r="X11" s="9"/>
      <c r="Y11" s="9"/>
      <c r="Z11" s="9"/>
    </row>
    <row r="12">
      <c r="A12" s="20">
        <v>11.0</v>
      </c>
      <c r="B12" s="20" t="s">
        <v>2157</v>
      </c>
      <c r="C12" s="20" t="s">
        <v>2158</v>
      </c>
      <c r="D12" s="20" t="s">
        <v>2159</v>
      </c>
      <c r="E12" s="20" t="s">
        <v>2160</v>
      </c>
      <c r="F12" s="9"/>
      <c r="G12" s="20" t="str">
        <f>IFERROR(__xludf.DUMMYFUNCTION("GOOGLETRANSLATE(B12,""ar"",""en"")"),"If a cow shows signs of anxiety because of another competitor nearby, what should you do?")</f>
        <v>If a cow shows signs of anxiety because of another competitor nearby, what should you do?</v>
      </c>
      <c r="H12" s="20" t="str">
        <f>IFERROR(__xludf.DUMMYFUNCTION("GOOGLETRANSLATE(C12,""ar"",""en"")"),"a) Calm her down and keep her focused on the fight; b) Ask for help from the team to keep the opponent at bay; c) Push her to continue the fight; d) Ask the referee to intervene")</f>
        <v>a) Calm her down and keep her focused on the fight; b) Ask for help from the team to keep the opponent at bay; c) Push her to continue the fight; d) Ask the referee to intervene</v>
      </c>
      <c r="I12" s="20" t="str">
        <f>IFERROR(__xludf.DUMMYFUNCTION("GOOGLETRANSLATE(D12,""ar"",""en"")"),"a) Calm her down and keep her focused on the battle")</f>
        <v>a) Calm her down and keep her focused on the battle</v>
      </c>
      <c r="J12" s="20" t="str">
        <f>IFERROR(__xludf.DUMMYFUNCTION("GOOGLETRANSLATE(E12,""ar"",""en"")"),"Stress affects the cow's concentration, and calming helps reduce anxiety.")</f>
        <v>Stress affects the cow's concentration, and calming helps reduce anxiety.</v>
      </c>
      <c r="K12" s="20"/>
      <c r="L12" s="20"/>
      <c r="M12" s="9"/>
      <c r="N12" s="9"/>
      <c r="O12" s="9"/>
      <c r="P12" s="9"/>
      <c r="Q12" s="9"/>
      <c r="R12" s="9"/>
      <c r="S12" s="9"/>
      <c r="T12" s="9"/>
      <c r="U12" s="9"/>
      <c r="V12" s="9"/>
      <c r="W12" s="9"/>
      <c r="X12" s="9"/>
      <c r="Y12" s="9"/>
      <c r="Z12" s="9"/>
    </row>
    <row r="13">
      <c r="A13" s="20">
        <v>12.0</v>
      </c>
      <c r="B13" s="20" t="s">
        <v>2161</v>
      </c>
      <c r="C13" s="20" t="s">
        <v>2162</v>
      </c>
      <c r="D13" s="20" t="s">
        <v>2135</v>
      </c>
      <c r="E13" s="20" t="s">
        <v>2163</v>
      </c>
      <c r="F13" s="9"/>
      <c r="G13" s="20" t="str">
        <f>IFERROR(__xludf.DUMMYFUNCTION("GOOGLETRANSLATE(B13,""ar"",""en"")"),"If a cow is traumatized by a fall, what should you do?")</f>
        <v>If a cow is traumatized by a fall, what should you do?</v>
      </c>
      <c r="H13" s="20" t="str">
        <f>IFERROR(__xludf.DUMMYFUNCTION("GOOGLETRANSLATE(C13,""ar"",""en"")"),"a) She immediately calls for medical assistance; b) She tries to force her to her feet quickly; c) She checks for injuries and resumes fighting; d) She requests a medical examination before continuing the fight.")</f>
        <v>a) She immediately calls for medical assistance; b) She tries to force her to her feet quickly; c) She checks for injuries and resumes fighting; d) She requests a medical examination before continuing the fight.</v>
      </c>
      <c r="I13" s="20" t="str">
        <f>IFERROR(__xludf.DUMMYFUNCTION("GOOGLETRANSLATE(D13,""ar"",""en"")"),"a) Seek immediate medical assistance")</f>
        <v>a) Seek immediate medical assistance</v>
      </c>
      <c r="J13" s="20" t="str">
        <f>IFERROR(__xludf.DUMMYFUNCTION("GOOGLETRANSLATE(E13,""ar"",""en"")"),"Falls can cause serious injuries, and the cow should be examined immediately to ensure her safety.")</f>
        <v>Falls can cause serious injuries, and the cow should be examined immediately to ensure her safety.</v>
      </c>
      <c r="K13" s="20"/>
      <c r="L13" s="20"/>
      <c r="M13" s="9"/>
      <c r="N13" s="9"/>
      <c r="O13" s="9"/>
      <c r="P13" s="9"/>
      <c r="Q13" s="9"/>
      <c r="R13" s="9"/>
      <c r="S13" s="9"/>
      <c r="T13" s="9"/>
      <c r="U13" s="9"/>
      <c r="V13" s="9"/>
      <c r="W13" s="9"/>
      <c r="X13" s="9"/>
      <c r="Y13" s="9"/>
      <c r="Z13" s="9"/>
    </row>
    <row r="14">
      <c r="A14" s="20">
        <v>13.0</v>
      </c>
      <c r="B14" s="20" t="s">
        <v>2164</v>
      </c>
      <c r="C14" s="20" t="s">
        <v>2165</v>
      </c>
      <c r="D14" s="20" t="s">
        <v>2166</v>
      </c>
      <c r="E14" s="20" t="s">
        <v>2167</v>
      </c>
      <c r="F14" s="9"/>
      <c r="G14" s="20" t="str">
        <f>IFERROR(__xludf.DUMMYFUNCTION("GOOGLETRANSLATE(B14,""ar"",""en"")"),"If the cow shows signs of disinterest during the fight, what should you do?")</f>
        <v>If the cow shows signs of disinterest during the fight, what should you do?</v>
      </c>
      <c r="H14" s="20" t="str">
        <f>IFERROR(__xludf.DUMMYFUNCTION("GOOGLETRANSLATE(C14,""ar"",""en"")"),"a) She tries to motivate herself in different ways; b) She stops and rests for a while; c) She asks the coach to intervene to improve her focus; d) She continues fighting and waits for things to improve.")</f>
        <v>a) She tries to motivate herself in different ways; b) She stops and rests for a while; c) She asks the coach to intervene to improve her focus; d) She continues fighting and waits for things to improve.</v>
      </c>
      <c r="I14" s="20" t="str">
        <f>IFERROR(__xludf.DUMMYFUNCTION("GOOGLETRANSLATE(D14,""ar"",""en"")"),"a) She tries to stimulate her in different ways")</f>
        <v>a) She tries to stimulate her in different ways</v>
      </c>
      <c r="J14" s="20" t="str">
        <f>IFERROR(__xludf.DUMMYFUNCTION("GOOGLETRANSLATE(E14,""ar"",""en"")"),"Stimulation can help the cow return to its normal performance and increase its enthusiasm.")</f>
        <v>Stimulation can help the cow return to its normal performance and increase its enthusiasm.</v>
      </c>
      <c r="K14" s="20"/>
      <c r="L14" s="20"/>
      <c r="M14" s="9"/>
      <c r="N14" s="9"/>
      <c r="O14" s="9"/>
      <c r="P14" s="9"/>
      <c r="Q14" s="9"/>
      <c r="R14" s="9"/>
      <c r="S14" s="9"/>
      <c r="T14" s="9"/>
      <c r="U14" s="9"/>
      <c r="V14" s="9"/>
      <c r="W14" s="9"/>
      <c r="X14" s="9"/>
      <c r="Y14" s="9"/>
      <c r="Z14" s="9"/>
    </row>
    <row r="15">
      <c r="A15" s="20">
        <v>14.0</v>
      </c>
      <c r="B15" s="20" t="s">
        <v>2168</v>
      </c>
      <c r="C15" s="20" t="s">
        <v>2169</v>
      </c>
      <c r="D15" s="20" t="s">
        <v>2170</v>
      </c>
      <c r="E15" s="20" t="s">
        <v>2171</v>
      </c>
      <c r="F15" s="9"/>
      <c r="G15" s="20" t="str">
        <f>IFERROR(__xludf.DUMMYFUNCTION("GOOGLETRANSLATE(B15,""ar"",""en"")"),"If the cow does not follow commands correctly during a fight, what do you do?")</f>
        <v>If the cow does not follow commands correctly during a fight, what do you do?</v>
      </c>
      <c r="H15" s="20" t="str">
        <f>IFERROR(__xludf.DUMMYFUNCTION("GOOGLETRANSLATE(C15,""ar"",""en"")"),"a) Retrain her in individual sessions; b) Pressure her to respond; c) Seek help from the trainer to improve performance; d) Continue fighting randomly")</f>
        <v>a) Retrain her in individual sessions; b) Pressure her to respond; c) Seek help from the trainer to improve performance; d) Continue fighting randomly</v>
      </c>
      <c r="I15" s="20" t="str">
        <f>IFERROR(__xludf.DUMMYFUNCTION("GOOGLETRANSLATE(D15,""ar"",""en"")"),"a) Retrain her in individual sessions")</f>
        <v>a) Retrain her in individual sessions</v>
      </c>
      <c r="J15" s="20" t="str">
        <f>IFERROR(__xludf.DUMMYFUNCTION("GOOGLETRANSLATE(E15,""ar"",""en"")"),"Retraining the commands enhances performance and helps the cow concentrate.")</f>
        <v>Retraining the commands enhances performance and helps the cow concentrate.</v>
      </c>
      <c r="K15" s="20"/>
      <c r="L15" s="20"/>
      <c r="M15" s="9"/>
      <c r="N15" s="9"/>
      <c r="O15" s="9"/>
      <c r="P15" s="9"/>
      <c r="Q15" s="9"/>
      <c r="R15" s="9"/>
      <c r="S15" s="9"/>
      <c r="T15" s="9"/>
      <c r="U15" s="9"/>
      <c r="V15" s="9"/>
      <c r="W15" s="9"/>
      <c r="X15" s="9"/>
      <c r="Y15" s="9"/>
      <c r="Z15" s="9"/>
    </row>
    <row r="16">
      <c r="A16" s="20">
        <v>15.0</v>
      </c>
      <c r="B16" s="20" t="s">
        <v>2172</v>
      </c>
      <c r="C16" s="20" t="s">
        <v>2173</v>
      </c>
      <c r="D16" s="20" t="s">
        <v>2174</v>
      </c>
      <c r="E16" s="20" t="s">
        <v>2175</v>
      </c>
      <c r="F16" s="9"/>
      <c r="G16" s="20" t="str">
        <f>IFERROR(__xludf.DUMMYFUNCTION("GOOGLETRANSLATE(B16,""ar"",""en"")"),"If you notice that the cow is having difficulty adapting to the conditions of the arena, what do you do?")</f>
        <v>If you notice that the cow is having difficulty adapting to the conditions of the arena, what do you do?</v>
      </c>
      <c r="H16" s="20" t="str">
        <f>IFERROR(__xludf.DUMMYFUNCTION("GOOGLETRANSLATE(C16,""ar"",""en"")"),"a) She tries to change course to avoid difficulties; b) She pushes her to adapt to the conditions; c) She asks the team to adjust the arena; d) She calms her down and gives her time to adjust")</f>
        <v>a) She tries to change course to avoid difficulties; b) She pushes her to adapt to the conditions; c) She asks the team to adjust the arena; d) She calms her down and gives her time to adjust</v>
      </c>
      <c r="I16" s="20" t="str">
        <f>IFERROR(__xludf.DUMMYFUNCTION("GOOGLETRANSLATE(D16,""ar"",""en"")"),"d) Calm her down and give her time to adjust")</f>
        <v>d) Calm her down and give her time to adjust</v>
      </c>
      <c r="J16" s="20" t="str">
        <f>IFERROR(__xludf.DUMMYFUNCTION("GOOGLETRANSLATE(E16,""ar"",""en"")"),"Adapting to the conditions requires patience and assistance to ensure the cow's safety and achieve good performance.")</f>
        <v>Adapting to the conditions requires patience and assistance to ensure the cow's safety and achieve good performance.</v>
      </c>
      <c r="K16" s="20"/>
      <c r="L16" s="20"/>
      <c r="M16" s="9"/>
      <c r="N16" s="9"/>
      <c r="O16" s="9"/>
      <c r="P16" s="9"/>
      <c r="Q16" s="9"/>
      <c r="R16" s="9"/>
      <c r="S16" s="9"/>
      <c r="T16" s="9"/>
      <c r="U16" s="9"/>
      <c r="V16" s="9"/>
      <c r="W16" s="9"/>
      <c r="X16" s="9"/>
      <c r="Y16" s="9"/>
      <c r="Z16" s="9"/>
    </row>
    <row r="17">
      <c r="A17" s="20">
        <v>16.0</v>
      </c>
      <c r="B17" s="20" t="s">
        <v>2176</v>
      </c>
      <c r="C17" s="20" t="s">
        <v>2177</v>
      </c>
      <c r="D17" s="20" t="s">
        <v>2178</v>
      </c>
      <c r="E17" s="20" t="s">
        <v>2179</v>
      </c>
      <c r="F17" s="9"/>
      <c r="G17" s="20" t="str">
        <f>IFERROR(__xludf.DUMMYFUNCTION("GOOGLETRANSLATE(B17,""ar"",""en"")"),"If the cow makes abnormal noises during the fight, what should you do?")</f>
        <v>If the cow makes abnormal noises during the fight, what should you do?</v>
      </c>
      <c r="H17" s="20" t="str">
        <f>IFERROR(__xludf.DUMMYFUNCTION("GOOGLETRANSLATE(C17,""ar"",""en"")"),"a) Stop the fight and call the veterinarian; b) Continue the fight while monitoring the situation; c) Request the trainer's intervention; d) Ask the team for support.")</f>
        <v>a) Stop the fight and call the veterinarian; b) Continue the fight while monitoring the situation; c) Request the trainer's intervention; d) Ask the team for support.</v>
      </c>
      <c r="I17" s="20" t="str">
        <f>IFERROR(__xludf.DUMMYFUNCTION("GOOGLETRANSLATE(D17,""ar"",""en"")"),"a) Stop the fight and call the veterinarian")</f>
        <v>a) Stop the fight and call the veterinarian</v>
      </c>
      <c r="J17" s="20" t="str">
        <f>IFERROR(__xludf.DUMMYFUNCTION("GOOGLETRANSLATE(E17,""ar"",""en"")"),"Abnormal sounds may be a sign of a health problem that needs immediate examination.")</f>
        <v>Abnormal sounds may be a sign of a health problem that needs immediate examination.</v>
      </c>
      <c r="K17" s="20"/>
      <c r="L17" s="20"/>
      <c r="M17" s="9"/>
      <c r="N17" s="9"/>
      <c r="O17" s="9"/>
      <c r="P17" s="9"/>
      <c r="Q17" s="9"/>
      <c r="R17" s="9"/>
      <c r="S17" s="9"/>
      <c r="T17" s="9"/>
      <c r="U17" s="9"/>
      <c r="V17" s="9"/>
      <c r="W17" s="9"/>
      <c r="X17" s="9"/>
      <c r="Y17" s="9"/>
      <c r="Z17" s="9"/>
    </row>
    <row r="18">
      <c r="A18" s="20">
        <v>17.0</v>
      </c>
      <c r="B18" s="20" t="s">
        <v>2180</v>
      </c>
      <c r="C18" s="20" t="s">
        <v>2181</v>
      </c>
      <c r="D18" s="20" t="s">
        <v>2182</v>
      </c>
      <c r="E18" s="20" t="s">
        <v>2183</v>
      </c>
      <c r="F18" s="9"/>
      <c r="G18" s="20" t="str">
        <f>IFERROR(__xludf.DUMMYFUNCTION("GOOGLETRANSLATE(B18,""ar"",""en"")"),"If a cow is shocked by another animal in the ring, what should it do?")</f>
        <v>If a cow is shocked by another animal in the ring, what should it do?</v>
      </c>
      <c r="H18" s="20" t="str">
        <f>IFERROR(__xludf.DUMMYFUNCTION("GOOGLETRANSLATE(C18,""ar"",""en"")"),"a) She tries to calm the cow and checks her health; b) She asks the referee to stop the fight immediately; c) She continues fighting to shorten the time; d) She immediately requests medical assistance.")</f>
        <v>a) She tries to calm the cow and checks her health; b) She asks the referee to stop the fight immediately; c) She continues fighting to shorten the time; d) She immediately requests medical assistance.</v>
      </c>
      <c r="I18" s="20" t="str">
        <f>IFERROR(__xludf.DUMMYFUNCTION("GOOGLETRANSLATE(D18,""ar"",""en"")"),"a) She tries to calm the cow and checks her health.")</f>
        <v>a) She tries to calm the cow and checks her health.</v>
      </c>
      <c r="J18" s="20" t="str">
        <f>IFERROR(__xludf.DUMMYFUNCTION("GOOGLETRANSLATE(E18,""ar"",""en"")"),"Checking the cow's health status after the shock is essential to determine if she needs treatment or rest.")</f>
        <v>Checking the cow's health status after the shock is essential to determine if she needs treatment or rest.</v>
      </c>
      <c r="K18" s="20"/>
      <c r="L18" s="20"/>
      <c r="M18" s="9"/>
      <c r="N18" s="9"/>
      <c r="O18" s="9"/>
      <c r="P18" s="9"/>
      <c r="Q18" s="9"/>
      <c r="R18" s="9"/>
      <c r="S18" s="9"/>
      <c r="T18" s="9"/>
      <c r="U18" s="9"/>
      <c r="V18" s="9"/>
      <c r="W18" s="9"/>
      <c r="X18" s="9"/>
      <c r="Y18" s="9"/>
      <c r="Z18" s="9"/>
    </row>
    <row r="19">
      <c r="A19" s="20">
        <v>18.0</v>
      </c>
      <c r="B19" s="20" t="s">
        <v>2184</v>
      </c>
      <c r="C19" s="20" t="s">
        <v>2185</v>
      </c>
      <c r="D19" s="20" t="s">
        <v>2186</v>
      </c>
      <c r="E19" s="20" t="s">
        <v>2187</v>
      </c>
      <c r="F19" s="9"/>
      <c r="G19" s="20" t="str">
        <f>IFERROR(__xludf.DUMMYFUNCTION("GOOGLETRANSLATE(B19,""ar"",""en"")"),"If the cow is behaving unusually before a fight, what should you do?")</f>
        <v>If the cow is behaving unusually before a fight, what should you do?</v>
      </c>
      <c r="H19" s="20" t="str">
        <f>IFERROR(__xludf.DUMMYFUNCTION("GOOGLETRANSLATE(C19,""ar"",""en"")"),"a) Asks the vet to examine her before starting; b) Forces her to start fighting; c) Asks the team to ensure she is properly equipped; d) Ignores the symptoms and starts fighting")</f>
        <v>a) Asks the vet to examine her before starting; b) Forces her to start fighting; c) Asks the team to ensure she is properly equipped; d) Ignores the symptoms and starts fighting</v>
      </c>
      <c r="I19" s="20" t="str">
        <f>IFERROR(__xludf.DUMMYFUNCTION("GOOGLETRANSLATE(D19,""ar"",""en"")"),"a) Ask the veterinarian to examine her before starting")</f>
        <v>a) Ask the veterinarian to examine her before starting</v>
      </c>
      <c r="J19" s="20" t="str">
        <f>IFERROR(__xludf.DUMMYFUNCTION("GOOGLETRANSLATE(E19,""ar"",""en"")"),"Good health is essential for fighting, and a medical examination ensures that the cow is ready to participate.")</f>
        <v>Good health is essential for fighting, and a medical examination ensures that the cow is ready to participate.</v>
      </c>
      <c r="K19" s="20"/>
      <c r="L19" s="20"/>
      <c r="M19" s="9"/>
      <c r="N19" s="9"/>
      <c r="O19" s="9"/>
      <c r="P19" s="9"/>
      <c r="Q19" s="9"/>
      <c r="R19" s="9"/>
      <c r="S19" s="9"/>
      <c r="T19" s="9"/>
      <c r="U19" s="9"/>
      <c r="V19" s="9"/>
      <c r="W19" s="9"/>
      <c r="X19" s="9"/>
      <c r="Y19" s="9"/>
      <c r="Z19" s="9"/>
    </row>
    <row r="20">
      <c r="A20" s="20">
        <v>19.0</v>
      </c>
      <c r="B20" s="20" t="s">
        <v>2188</v>
      </c>
      <c r="C20" s="20" t="s">
        <v>2189</v>
      </c>
      <c r="D20" s="20" t="s">
        <v>2190</v>
      </c>
      <c r="E20" s="20" t="s">
        <v>2191</v>
      </c>
      <c r="F20" s="9"/>
      <c r="G20" s="20" t="str">
        <f>IFERROR(__xludf.DUMMYFUNCTION("GOOGLETRANSLATE(B20,""ar"",""en"")"),"If you notice that the cow is extremely tired after a long fight, what do you do?")</f>
        <v>If you notice that the cow is extremely tired after a long fight, what do you do?</v>
      </c>
      <c r="H20" s="20" t="str">
        <f>IFERROR(__xludf.DUMMYFUNCTION("GOOGLETRANSLATE(C20,""ar"",""en"")"),"a) Give her a rest and provide her with water and food; b) Continue fighting to finish the battle; c) Seek immediate medical assistance; d) Request an examination to ascertain her health status")</f>
        <v>a) Give her a rest and provide her with water and food; b) Continue fighting to finish the battle; c) Seek immediate medical assistance; d) Request an examination to ascertain her health status</v>
      </c>
      <c r="I20" s="20" t="str">
        <f>IFERROR(__xludf.DUMMYFUNCTION("GOOGLETRANSLATE(D20,""ar"",""en"")"),"a) Give her a rest period and provide her with water and food")</f>
        <v>a) Give her a rest period and provide her with water and food</v>
      </c>
      <c r="J20" s="20" t="str">
        <f>IFERROR(__xludf.DUMMYFUNCTION("GOOGLETRANSLATE(E20,""ar"",""en"")"),"Fatigue requires time to recover, and providing proper care promotes the cow's health and performance.")</f>
        <v>Fatigue requires time to recover, and providing proper care promotes the cow's health and performance.</v>
      </c>
      <c r="K20" s="20"/>
      <c r="L20" s="20"/>
      <c r="M20" s="9"/>
      <c r="N20" s="9"/>
      <c r="O20" s="9"/>
      <c r="P20" s="9"/>
      <c r="Q20" s="9"/>
      <c r="R20" s="9"/>
      <c r="S20" s="9"/>
      <c r="T20" s="9"/>
      <c r="U20" s="9"/>
      <c r="V20" s="9"/>
      <c r="W20" s="9"/>
      <c r="X20" s="9"/>
      <c r="Y20" s="9"/>
      <c r="Z20" s="9"/>
    </row>
    <row r="21">
      <c r="A21" s="20">
        <v>20.0</v>
      </c>
      <c r="B21" s="20" t="s">
        <v>2192</v>
      </c>
      <c r="C21" s="20" t="s">
        <v>2193</v>
      </c>
      <c r="D21" s="20" t="s">
        <v>2194</v>
      </c>
      <c r="E21" s="20" t="s">
        <v>2195</v>
      </c>
      <c r="F21" s="9"/>
      <c r="G21" s="20" t="str">
        <f>IFERROR(__xludf.DUMMYFUNCTION("GOOGLETRANSLATE(B21,""ar"",""en"")"),"If a cow is having difficulty breathing after a fight, what should you do?")</f>
        <v>If a cow is having difficulty breathing after a fight, what should you do?</v>
      </c>
      <c r="H21" s="20" t="str">
        <f>IFERROR(__xludf.DUMMYFUNCTION("GOOGLETRANSLATE(C21,""ar"",""en"")"),"a) She immediately seeks medical assistance to check her breathing; b) She continues fighting despite difficulty breathing; c) She remains calm and closely monitors her condition; d) She leaves the fight and withdraws")</f>
        <v>a) She immediately seeks medical assistance to check her breathing; b) She continues fighting despite difficulty breathing; c) She remains calm and closely monitors her condition; d) She leaves the fight and withdraws</v>
      </c>
      <c r="I21" s="20" t="str">
        <f>IFERROR(__xludf.DUMMYFUNCTION("GOOGLETRANSLATE(D21,""ar"",""en"")"),"a) Seek immediate medical assistance for a breathing examination")</f>
        <v>a) Seek immediate medical assistance for a breathing examination</v>
      </c>
      <c r="J21" s="20" t="str">
        <f>IFERROR(__xludf.DUMMYFUNCTION("GOOGLETRANSLATE(E21,""ar"",""en"")"),"Breathing problems require immediate medical evaluation to determine the cause and take appropriate action.")</f>
        <v>Breathing problems require immediate medical evaluation to determine the cause and take appropriate action.</v>
      </c>
      <c r="K21" s="20"/>
      <c r="L21" s="20"/>
      <c r="M21" s="9"/>
      <c r="N21" s="9"/>
      <c r="O21" s="9"/>
      <c r="P21" s="9"/>
      <c r="Q21" s="9"/>
      <c r="R21" s="9"/>
      <c r="S21" s="9"/>
      <c r="T21" s="9"/>
      <c r="U21" s="9"/>
      <c r="V21" s="9"/>
      <c r="W21" s="9"/>
      <c r="X21" s="9"/>
      <c r="Y21" s="9"/>
      <c r="Z21" s="9"/>
    </row>
    <row r="22">
      <c r="A22" s="20">
        <v>21.0</v>
      </c>
      <c r="B22" s="20" t="s">
        <v>2196</v>
      </c>
      <c r="C22" s="20" t="s">
        <v>2197</v>
      </c>
      <c r="D22" s="20" t="s">
        <v>2198</v>
      </c>
      <c r="E22" s="20" t="s">
        <v>2199</v>
      </c>
      <c r="F22" s="9"/>
      <c r="G22" s="20" t="str">
        <f>IFERROR(__xludf.DUMMYFUNCTION("GOOGLETRANSLATE(B22,""ar"",""en"")"),"If the cow is showing signs of aggression towards another competitor, what should you do?")</f>
        <v>If the cow is showing signs of aggression towards another competitor, what should you do?</v>
      </c>
      <c r="H22" s="20" t="str">
        <f>IFERROR(__xludf.DUMMYFUNCTION("GOOGLETRANSLATE(C22,""ar"",""en"")"),"a) She tries to calm her down gently; b) She rushes to avoid the attack; c) She pushes the opponent away; d) She ignores the situation and continues.")</f>
        <v>a) She tries to calm her down gently; b) She rushes to avoid the attack; c) She pushes the opponent away; d) She ignores the situation and continues.</v>
      </c>
      <c r="I22" s="20" t="str">
        <f>IFERROR(__xludf.DUMMYFUNCTION("GOOGLETRANSLATE(D22,""ar"",""en"")"),"a) She tries to calm her down gently")</f>
        <v>a) She tries to calm her down gently</v>
      </c>
      <c r="J22" s="20" t="str">
        <f>IFERROR(__xludf.DUMMYFUNCTION("GOOGLETRANSLATE(E22,""ar"",""en"")"),"Calm and peaceful de-escalation helps reduce aggression and maintain everyone's safety.")</f>
        <v>Calm and peaceful de-escalation helps reduce aggression and maintain everyone's safety.</v>
      </c>
      <c r="K22" s="20"/>
      <c r="L22" s="20"/>
      <c r="M22" s="9"/>
      <c r="N22" s="9"/>
      <c r="O22" s="9"/>
      <c r="P22" s="9"/>
      <c r="Q22" s="9"/>
      <c r="R22" s="9"/>
      <c r="S22" s="9"/>
      <c r="T22" s="9"/>
      <c r="U22" s="9"/>
      <c r="V22" s="9"/>
      <c r="W22" s="9"/>
      <c r="X22" s="9"/>
      <c r="Y22" s="9"/>
      <c r="Z22" s="9"/>
    </row>
    <row r="23">
      <c r="A23" s="20">
        <v>22.0</v>
      </c>
      <c r="B23" s="20" t="s">
        <v>2200</v>
      </c>
      <c r="C23" s="20" t="s">
        <v>2201</v>
      </c>
      <c r="D23" s="20" t="s">
        <v>2202</v>
      </c>
      <c r="E23" s="20" t="s">
        <v>2203</v>
      </c>
      <c r="F23" s="9"/>
      <c r="G23" s="20" t="str">
        <f>IFERROR(__xludf.DUMMYFUNCTION("GOOGLETRANSLATE(B23,""ar"",""en"")"),"If the cow behaves unusually while entering the arena, what should you do?")</f>
        <v>If the cow behaves unusually while entering the arena, what should you do?</v>
      </c>
      <c r="H23" s="20" t="str">
        <f>IFERROR(__xludf.DUMMYFUNCTION("GOOGLETRANSLATE(C23,""ar"",""en"")"),"a) Requests a quick medical examination; b) Requests the trainer's intervention to guide her; c) Continues to enter while attempting to control her; d) Changes course immediately")</f>
        <v>a) Requests a quick medical examination; b) Requests the trainer's intervention to guide her; c) Continues to enter while attempting to control her; d) Changes course immediately</v>
      </c>
      <c r="I23" s="20" t="str">
        <f>IFERROR(__xludf.DUMMYFUNCTION("GOOGLETRANSLATE(D23,""ar"",""en"")"),"a) Requires a quick medical examination")</f>
        <v>a) Requires a quick medical examination</v>
      </c>
      <c r="J23" s="20" t="str">
        <f>IFERROR(__xludf.DUMMYFUNCTION("GOOGLETRANSLATE(E23,""ar"",""en"")"),"Unusual behavior may indicate a health problem that needs immediate examination.")</f>
        <v>Unusual behavior may indicate a health problem that needs immediate examination.</v>
      </c>
      <c r="K23" s="20"/>
      <c r="L23" s="20"/>
      <c r="M23" s="9"/>
      <c r="N23" s="9"/>
      <c r="O23" s="9"/>
      <c r="P23" s="9"/>
      <c r="Q23" s="9"/>
      <c r="R23" s="9"/>
      <c r="S23" s="9"/>
      <c r="T23" s="9"/>
      <c r="U23" s="9"/>
      <c r="V23" s="9"/>
      <c r="W23" s="9"/>
      <c r="X23" s="9"/>
      <c r="Y23" s="9"/>
      <c r="Z23" s="9"/>
    </row>
    <row r="24">
      <c r="A24" s="20">
        <v>23.0</v>
      </c>
      <c r="B24" s="20" t="s">
        <v>2204</v>
      </c>
      <c r="C24" s="20" t="s">
        <v>2205</v>
      </c>
      <c r="D24" s="20" t="s">
        <v>2206</v>
      </c>
      <c r="E24" s="20" t="s">
        <v>2207</v>
      </c>
      <c r="F24" s="9"/>
      <c r="G24" s="20" t="str">
        <f>IFERROR(__xludf.DUMMYFUNCTION("GOOGLETRANSLATE(B24,""ar"",""en"")"),"If there is a delay in starting the battle due to an equipment problem, what do you do?")</f>
        <v>If there is a delay in starting the battle due to an equipment problem, what do you do?</v>
      </c>
      <c r="H24" s="20" t="str">
        <f>IFERROR(__xludf.DUMMYFUNCTION("GOOGLETRANSLATE(C24,""ar"",""en"")"),"a) Remain calm and wait for the problem to be resolved; b) Demand an end to the fight; c) Change arena immediately; d) Pressure the team to expedite the solution.")</f>
        <v>a) Remain calm and wait for the problem to be resolved; b) Demand an end to the fight; c) Change arena immediately; d) Pressure the team to expedite the solution.</v>
      </c>
      <c r="I24" s="20" t="str">
        <f>IFERROR(__xludf.DUMMYFUNCTION("GOOGLETRANSLATE(D24,""ar"",""en"")"),"a) Remain calm and wait for the problem to be solved")</f>
        <v>a) Remain calm and wait for the problem to be solved</v>
      </c>
      <c r="J24" s="20" t="str">
        <f>IFERROR(__xludf.DUMMYFUNCTION("GOOGLETRANSLATE(E24,""ar"",""en"")"),"Staying calm in such situations helps maintain balance and focus.")</f>
        <v>Staying calm in such situations helps maintain balance and focus.</v>
      </c>
      <c r="K24" s="20"/>
      <c r="L24" s="20"/>
      <c r="M24" s="9"/>
      <c r="N24" s="9"/>
      <c r="O24" s="9"/>
      <c r="P24" s="9"/>
      <c r="Q24" s="9"/>
      <c r="R24" s="9"/>
      <c r="S24" s="9"/>
      <c r="T24" s="9"/>
      <c r="U24" s="9"/>
      <c r="V24" s="9"/>
      <c r="W24" s="9"/>
      <c r="X24" s="9"/>
      <c r="Y24" s="9"/>
      <c r="Z24" s="9"/>
    </row>
    <row r="25">
      <c r="A25" s="20">
        <v>24.0</v>
      </c>
      <c r="B25" s="20" t="s">
        <v>2208</v>
      </c>
      <c r="C25" s="20" t="s">
        <v>2209</v>
      </c>
      <c r="D25" s="20" t="s">
        <v>2210</v>
      </c>
      <c r="E25" s="20" t="s">
        <v>2211</v>
      </c>
      <c r="F25" s="9"/>
      <c r="G25" s="20" t="str">
        <f>IFERROR(__xludf.DUMMYFUNCTION("GOOGLETRANSLATE(B25,""ar"",""en"")"),"If the cow is unable to continue the fight due to extreme fatigue, what do you do?")</f>
        <v>If the cow is unable to continue the fight due to extreme fatigue, what do you do?</v>
      </c>
      <c r="H25" s="20" t="str">
        <f>IFERROR(__xludf.DUMMYFUNCTION("GOOGLETRANSLATE(C25,""ar"",""en"")"),"a) Give her a rest and prevent her from continuing the fight; b) Pressure her to continue; c) Ask the trainer to assess her condition; d) Request immediate medical assistance")</f>
        <v>a) Give her a rest and prevent her from continuing the fight; b) Pressure her to continue; c) Ask the trainer to assess her condition; d) Request immediate medical assistance</v>
      </c>
      <c r="I25" s="20" t="str">
        <f>IFERROR(__xludf.DUMMYFUNCTION("GOOGLETRANSLATE(D25,""ar"",""en"")"),"a) It gives her a rest period and prevents her from continuing the battle")</f>
        <v>a) It gives her a rest period and prevents her from continuing the battle</v>
      </c>
      <c r="J25" s="20" t="str">
        <f>IFERROR(__xludf.DUMMYFUNCTION("GOOGLETRANSLATE(E25,""ar"",""en"")"),"Providing comfort helps to avoid injuries and ensure the cow's well-being.")</f>
        <v>Providing comfort helps to avoid injuries and ensure the cow's well-being.</v>
      </c>
      <c r="K25" s="20"/>
      <c r="L25" s="20"/>
      <c r="M25" s="9"/>
      <c r="N25" s="9"/>
      <c r="O25" s="9"/>
      <c r="P25" s="9"/>
      <c r="Q25" s="9"/>
      <c r="R25" s="9"/>
      <c r="S25" s="9"/>
      <c r="T25" s="9"/>
      <c r="U25" s="9"/>
      <c r="V25" s="9"/>
      <c r="W25" s="9"/>
      <c r="X25" s="9"/>
      <c r="Y25" s="9"/>
      <c r="Z25" s="9"/>
    </row>
    <row r="26">
      <c r="A26" s="20">
        <v>25.0</v>
      </c>
      <c r="B26" s="20" t="s">
        <v>2212</v>
      </c>
      <c r="C26" s="20" t="s">
        <v>2213</v>
      </c>
      <c r="D26" s="20" t="s">
        <v>2214</v>
      </c>
      <c r="E26" s="20" t="s">
        <v>2215</v>
      </c>
      <c r="F26" s="9"/>
      <c r="G26" s="20" t="str">
        <f>IFERROR(__xludf.DUMMYFUNCTION("GOOGLETRANSLATE(B26,""ar"",""en"")"),"During the fight, can you help the cow avoid the next blow?")</f>
        <v>During the fight, can you help the cow avoid the next blow?</v>
      </c>
      <c r="H26" s="20" t="str">
        <f>IFERROR(__xludf.DUMMYFUNCTION("GOOGLETRANSLATE(C26,""ar"",""en"")"),"a) Attempts to stop the attack using a defensive technique; b) Retreats and waits for a suitable opportunity to attack; c) Calls on the team to intervene; d) Continues fighting without change")</f>
        <v>a) Attempts to stop the attack using a defensive technique; b) Retreats and waits for a suitable opportunity to attack; c) Calls on the team to intervene; d) Continues fighting without change</v>
      </c>
      <c r="I26" s="20" t="str">
        <f>IFERROR(__xludf.DUMMYFUNCTION("GOOGLETRANSLATE(D26,""ar"",""en"")"),"a) You attempt to stop the attack using a defensive technique")</f>
        <v>a) You attempt to stop the attack using a defensive technique</v>
      </c>
      <c r="J26" s="20" t="str">
        <f>IFERROR(__xludf.DUMMYFUNCTION("GOOGLETRANSLATE(E26,""ar"",""en"")"),"Proper defense helps avoid injuries and increases the chances of success.")</f>
        <v>Proper defense helps avoid injuries and increases the chances of success.</v>
      </c>
      <c r="K26" s="20"/>
      <c r="L26" s="20"/>
      <c r="M26" s="9"/>
      <c r="N26" s="9"/>
      <c r="O26" s="9"/>
      <c r="P26" s="9"/>
      <c r="Q26" s="9"/>
      <c r="R26" s="9"/>
      <c r="S26" s="9"/>
      <c r="T26" s="9"/>
      <c r="U26" s="9"/>
      <c r="V26" s="9"/>
      <c r="W26" s="9"/>
      <c r="X26" s="9"/>
      <c r="Y26" s="9"/>
      <c r="Z26" s="9"/>
    </row>
    <row r="27">
      <c r="A27" s="20">
        <v>26.0</v>
      </c>
      <c r="B27" s="20" t="s">
        <v>2141</v>
      </c>
      <c r="C27" s="20" t="s">
        <v>2216</v>
      </c>
      <c r="D27" s="20" t="s">
        <v>2217</v>
      </c>
      <c r="E27" s="20" t="s">
        <v>2218</v>
      </c>
      <c r="F27" s="9"/>
      <c r="G27" s="20" t="str">
        <f>IFERROR(__xludf.DUMMYFUNCTION("GOOGLETRANSLATE(B27,""ar"",""en"")"),"If the cow is in poor health before the fight, what do you do?")</f>
        <v>If the cow is in poor health before the fight, what do you do?</v>
      </c>
      <c r="H27" s="20" t="str">
        <f>IFERROR(__xludf.DUMMYFUNCTION("GOOGLETRANSLATE(C27,""ar"",""en"")"),"a) Postpone the fight until the cow is better; b) Request an immediate medical examination; c) Force the cow to participate anyway; d) Replace the cow, if possible")</f>
        <v>a) Postpone the fight until the cow is better; b) Request an immediate medical examination; c) Force the cow to participate anyway; d) Replace the cow, if possible</v>
      </c>
      <c r="I27" s="20" t="str">
        <f>IFERROR(__xludf.DUMMYFUNCTION("GOOGLETRANSLATE(D27,""ar"",""en"")"),"b) Request an immediate medical examination")</f>
        <v>b) Request an immediate medical examination</v>
      </c>
      <c r="J27" s="20" t="str">
        <f>IFERROR(__xludf.DUMMYFUNCTION("GOOGLETRANSLATE(E27,""ar"",""en"")"),"The medical examination helps to ensure that the cow is able to participate safely.")</f>
        <v>The medical examination helps to ensure that the cow is able to participate safely.</v>
      </c>
      <c r="K27" s="20"/>
      <c r="L27" s="20"/>
      <c r="M27" s="9"/>
      <c r="N27" s="9"/>
      <c r="O27" s="9"/>
      <c r="P27" s="9"/>
      <c r="Q27" s="9"/>
      <c r="R27" s="9"/>
      <c r="S27" s="9"/>
      <c r="T27" s="9"/>
      <c r="U27" s="9"/>
      <c r="V27" s="9"/>
      <c r="W27" s="9"/>
      <c r="X27" s="9"/>
      <c r="Y27" s="9"/>
      <c r="Z27" s="9"/>
    </row>
    <row r="28">
      <c r="A28" s="20">
        <v>27.0</v>
      </c>
      <c r="B28" s="20" t="s">
        <v>2219</v>
      </c>
      <c r="C28" s="20" t="s">
        <v>2220</v>
      </c>
      <c r="D28" s="20" t="s">
        <v>2221</v>
      </c>
      <c r="E28" s="20" t="s">
        <v>2222</v>
      </c>
      <c r="F28" s="9"/>
      <c r="G28" s="20" t="str">
        <f>IFERROR(__xludf.DUMMYFUNCTION("GOOGLETRANSLATE(B28,""ar"",""en"")"),"If your opponent uses an unsportsmanlike fighting style, what do you do?")</f>
        <v>If your opponent uses an unsportsmanlike fighting style, what do you do?</v>
      </c>
      <c r="H28" s="20" t="str">
        <f>IFERROR(__xludf.DUMMYFUNCTION("GOOGLETRANSLATE(C28,""ar"",""en"")"),"a) You immediately request the referee's intervention; b) You continue fighting unchanged; c) You use your own technique to counter these tactics; d) You stop and leave the ring")</f>
        <v>a) You immediately request the referee's intervention; b) You continue fighting unchanged; c) You use your own technique to counter these tactics; d) You stop and leave the ring</v>
      </c>
      <c r="I28" s="20" t="str">
        <f>IFERROR(__xludf.DUMMYFUNCTION("GOOGLETRANSLATE(D28,""ar"",""en"")"),"a) Request the immediate intervention of the judge")</f>
        <v>a) Request the immediate intervention of the judge</v>
      </c>
      <c r="J28" s="20" t="str">
        <f>IFERROR(__xludf.DUMMYFUNCTION("GOOGLETRANSLATE(E28,""ar"",""en"")"),"Ensuring that the rules of the game are respected maintains the integrity of the fight and the safety of the participants.")</f>
        <v>Ensuring that the rules of the game are respected maintains the integrity of the fight and the safety of the participants.</v>
      </c>
      <c r="K28" s="20"/>
      <c r="L28" s="20"/>
      <c r="M28" s="9"/>
      <c r="N28" s="9"/>
      <c r="O28" s="9"/>
      <c r="P28" s="9"/>
      <c r="Q28" s="9"/>
      <c r="R28" s="9"/>
      <c r="S28" s="9"/>
      <c r="T28" s="9"/>
      <c r="U28" s="9"/>
      <c r="V28" s="9"/>
      <c r="W28" s="9"/>
      <c r="X28" s="9"/>
      <c r="Y28" s="9"/>
      <c r="Z28" s="9"/>
    </row>
    <row r="29">
      <c r="A29" s="20">
        <v>28.0</v>
      </c>
      <c r="B29" s="20" t="s">
        <v>2223</v>
      </c>
      <c r="C29" s="20" t="s">
        <v>2224</v>
      </c>
      <c r="D29" s="20" t="s">
        <v>2225</v>
      </c>
      <c r="E29" s="20" t="s">
        <v>2226</v>
      </c>
      <c r="F29" s="9"/>
      <c r="G29" s="20" t="str">
        <f>IFERROR(__xludf.DUMMYFUNCTION("GOOGLETRANSLATE(B29,""ar"",""en"")"),"During the fight, if the cow shows signs of exhaustion, what do you do?")</f>
        <v>During the fight, if the cow shows signs of exhaustion, what do you do?</v>
      </c>
      <c r="H29" s="20" t="str">
        <f>IFERROR(__xludf.DUMMYFUNCTION("GOOGLETRANSLATE(C29,""ar"",""en"")"),"a) Take a break and give her water and food; b) Push her to continue fighting; c) Call for medical help immediately; d) Ask the team for help, then continue fighting")</f>
        <v>a) Take a break and give her water and food; b) Push her to continue fighting; c) Call for medical help immediately; d) Ask the team for help, then continue fighting</v>
      </c>
      <c r="I29" s="20" t="str">
        <f>IFERROR(__xludf.DUMMYFUNCTION("GOOGLETRANSLATE(D29,""ar"",""en"")"),"a) Take a break and give her water and food")</f>
        <v>a) Take a break and give her water and food</v>
      </c>
      <c r="J29" s="20" t="str">
        <f>IFERROR(__xludf.DUMMYFUNCTION("GOOGLETRANSLATE(E29,""ar"",""en"")"),"Resting the cow and allowing it to regain energy helps maintain its ability to compete.")</f>
        <v>Resting the cow and allowing it to regain energy helps maintain its ability to compete.</v>
      </c>
      <c r="K29" s="20"/>
      <c r="L29" s="20"/>
      <c r="M29" s="9"/>
      <c r="N29" s="9"/>
      <c r="O29" s="9"/>
      <c r="P29" s="9"/>
      <c r="Q29" s="9"/>
      <c r="R29" s="9"/>
      <c r="S29" s="9"/>
      <c r="T29" s="9"/>
      <c r="U29" s="9"/>
      <c r="V29" s="9"/>
      <c r="W29" s="9"/>
      <c r="X29" s="9"/>
      <c r="Y29" s="9"/>
      <c r="Z29" s="9"/>
    </row>
    <row r="30">
      <c r="A30" s="20">
        <v>29.0</v>
      </c>
      <c r="B30" s="20" t="s">
        <v>2227</v>
      </c>
      <c r="C30" s="20" t="s">
        <v>2228</v>
      </c>
      <c r="D30" s="20" t="s">
        <v>2229</v>
      </c>
      <c r="E30" s="20" t="s">
        <v>2230</v>
      </c>
      <c r="F30" s="9"/>
      <c r="G30" s="20" t="str">
        <f>IFERROR(__xludf.DUMMYFUNCTION("GOOGLETRANSLATE(B30,""ar"",""en"")"),"If the cow is under severe psychological stress during the fight, what should she do?")</f>
        <v>If the cow is under severe psychological stress during the fight, what should she do?</v>
      </c>
      <c r="H30" s="20" t="str">
        <f>IFERROR(__xludf.DUMMYFUNCTION("GOOGLETRANSLATE(C30,""ar"",""en"")"),"a) Calm her down and try to keep her focused; b) Increase the pressure on her to continue; c) Ask the team for moral support; d) End the fight")</f>
        <v>a) Calm her down and try to keep her focused; b) Increase the pressure on her to continue; c) Ask the team for moral support; d) End the fight</v>
      </c>
      <c r="I30" s="20" t="str">
        <f>IFERROR(__xludf.DUMMYFUNCTION("GOOGLETRANSLATE(D30,""ar"",""en"")"),"a) Calm her down and try to keep her focused")</f>
        <v>a) Calm her down and try to keep her focused</v>
      </c>
      <c r="J30" s="20" t="str">
        <f>IFERROR(__xludf.DUMMYFUNCTION("GOOGLETRANSLATE(E30,""ar"",""en"")"),"Psychological calming contributes to increasing the cow's concentration and reducing the effect of stress.")</f>
        <v>Psychological calming contributes to increasing the cow's concentration and reducing the effect of stress.</v>
      </c>
      <c r="K30" s="20"/>
      <c r="L30" s="20"/>
      <c r="M30" s="9"/>
      <c r="N30" s="9"/>
      <c r="O30" s="9"/>
      <c r="P30" s="9"/>
      <c r="Q30" s="9"/>
      <c r="R30" s="9"/>
      <c r="S30" s="9"/>
      <c r="T30" s="9"/>
      <c r="U30" s="9"/>
      <c r="V30" s="9"/>
      <c r="W30" s="9"/>
      <c r="X30" s="9"/>
      <c r="Y30" s="9"/>
      <c r="Z30" s="9"/>
    </row>
    <row r="31">
      <c r="A31" s="20">
        <v>30.0</v>
      </c>
      <c r="B31" s="20" t="s">
        <v>2231</v>
      </c>
      <c r="C31" s="20" t="s">
        <v>2232</v>
      </c>
      <c r="D31" s="20" t="s">
        <v>2233</v>
      </c>
      <c r="E31" s="20" t="s">
        <v>2234</v>
      </c>
      <c r="F31" s="9"/>
      <c r="G31" s="20" t="str">
        <f>IFERROR(__xludf.DUMMYFUNCTION("GOOGLETRANSLATE(B31,""ar"",""en"")"),"If you notice that the cow is suffering a minor injury during the fight, what do you do?")</f>
        <v>If you notice that the cow is suffering a minor injury during the fight, what do you do?</v>
      </c>
      <c r="H31" s="20" t="str">
        <f>IFERROR(__xludf.DUMMYFUNCTION("GOOGLETRANSLATE(C31,""ar"",""en"")"),"a) Request medical assistance to examine the injury; b) Continue fighting while attempting to avoid the injured area; c) Request an immediate ceasefire; d) Request reinforcements for the team.")</f>
        <v>a) Request medical assistance to examine the injury; b) Continue fighting while attempting to avoid the injured area; c) Request an immediate ceasefire; d) Request reinforcements for the team.</v>
      </c>
      <c r="I31" s="20" t="str">
        <f>IFERROR(__xludf.DUMMYFUNCTION("GOOGLETRANSLATE(D31,""ar"",""en"")"),"a) Seek medical assistance to examine the injury")</f>
        <v>a) Seek medical assistance to examine the injury</v>
      </c>
      <c r="J31" s="20" t="str">
        <f>IFERROR(__xludf.DUMMYFUNCTION("GOOGLETRANSLATE(E31,""ar"",""en"")"),"Dealing with minor injuries immediately helps prevent the condition from worsening.")</f>
        <v>Dealing with minor injuries immediately helps prevent the condition from worsening.</v>
      </c>
      <c r="K31" s="20"/>
      <c r="L31" s="20"/>
      <c r="M31" s="9"/>
      <c r="N31" s="9"/>
      <c r="O31" s="9"/>
      <c r="P31" s="9"/>
      <c r="Q31" s="9"/>
      <c r="R31" s="9"/>
      <c r="S31" s="9"/>
      <c r="T31" s="9"/>
      <c r="U31" s="9"/>
      <c r="V31" s="9"/>
      <c r="W31" s="9"/>
      <c r="X31" s="9"/>
      <c r="Y31" s="9"/>
      <c r="Z31" s="9"/>
    </row>
    <row r="32">
      <c r="A32" s="20">
        <v>31.0</v>
      </c>
      <c r="B32" s="20" t="s">
        <v>2235</v>
      </c>
      <c r="C32" s="20" t="s">
        <v>2236</v>
      </c>
      <c r="D32" s="20" t="s">
        <v>2237</v>
      </c>
      <c r="E32" s="20" t="s">
        <v>2238</v>
      </c>
      <c r="F32" s="9"/>
      <c r="G32" s="20" t="str">
        <f>IFERROR(__xludf.DUMMYFUNCTION("GOOGLETRANSLATE(B32,""ar"",""en"")"),"If the cow is showing signs of anxiety due to the large crowds around the ring, what should you do?")</f>
        <v>If the cow is showing signs of anxiety due to the large crowds around the ring, what should you do?</v>
      </c>
      <c r="H32" s="20" t="str">
        <f>IFERROR(__xludf.DUMMYFUNCTION("GOOGLETRANSLATE(C32,""ar"",""en"")"),"a) She calms her down and tries to reduce the tension; b) She rushes to end the fight; c) She changes arena to avoid the crowds; d) She asks for the fight to be stopped.")</f>
        <v>a) She calms her down and tries to reduce the tension; b) She rushes to end the fight; c) She changes arena to avoid the crowds; d) She asks for the fight to be stopped.</v>
      </c>
      <c r="I32" s="20" t="str">
        <f>IFERROR(__xludf.DUMMYFUNCTION("GOOGLETRANSLATE(D32,""ar"",""en"")"),"a) Calm her down and try to reduce the tension")</f>
        <v>a) Calm her down and try to reduce the tension</v>
      </c>
      <c r="J32" s="20" t="str">
        <f>IFERROR(__xludf.DUMMYFUNCTION("GOOGLETRANSLATE(E32,""ar"",""en"")"),"Calming down helps keep the cow under control and focused on the fight.")</f>
        <v>Calming down helps keep the cow under control and focused on the fight.</v>
      </c>
      <c r="K32" s="20"/>
      <c r="L32" s="20"/>
      <c r="M32" s="9"/>
      <c r="N32" s="9"/>
      <c r="O32" s="9"/>
      <c r="P32" s="9"/>
      <c r="Q32" s="9"/>
      <c r="R32" s="9"/>
      <c r="S32" s="9"/>
      <c r="T32" s="9"/>
      <c r="U32" s="9"/>
      <c r="V32" s="9"/>
      <c r="W32" s="9"/>
      <c r="X32" s="9"/>
      <c r="Y32" s="9"/>
      <c r="Z32" s="9"/>
    </row>
    <row r="33">
      <c r="A33" s="20">
        <v>32.0</v>
      </c>
      <c r="B33" s="20" t="s">
        <v>2239</v>
      </c>
      <c r="C33" s="20" t="s">
        <v>2240</v>
      </c>
      <c r="D33" s="20" t="s">
        <v>2241</v>
      </c>
      <c r="E33" s="20" t="s">
        <v>2242</v>
      </c>
      <c r="F33" s="9"/>
      <c r="G33" s="20" t="str">
        <f>IFERROR(__xludf.DUMMYFUNCTION("GOOGLETRANSLATE(B33,""ar"",""en"")"),"If a cow is having difficulty moving because of the slippery floor, what should you do?")</f>
        <v>If a cow is having difficulty moving because of the slippery floor, what should you do?</v>
      </c>
      <c r="H33" s="20" t="str">
        <f>IFERROR(__xludf.DUMMYFUNCTION("GOOGLETRANSLATE(C33,""ar"",""en"")"),"a) Change course to avoid the slippery area; b) Slow down to reduce the risk to the cow; c) Ask your team to adjust the arena; d) Request that the fight be stopped")</f>
        <v>a) Change course to avoid the slippery area; b) Slow down to reduce the risk to the cow; c) Ask your team to adjust the arena; d) Request that the fight be stopped</v>
      </c>
      <c r="I33" s="20" t="str">
        <f>IFERROR(__xludf.DUMMYFUNCTION("GOOGLETRANSLATE(D33,""ar"",""en"")"),"b) Slow down to reduce the risk to the cow")</f>
        <v>b) Slow down to reduce the risk to the cow</v>
      </c>
      <c r="J33" s="20" t="str">
        <f>IFERROR(__xludf.DUMMYFUNCTION("GOOGLETRANSLATE(E33,""ar"",""en"")"),"Slowing down helps reduce the likelihood of falling or getting injured on a slippery floor.")</f>
        <v>Slowing down helps reduce the likelihood of falling or getting injured on a slippery floor.</v>
      </c>
      <c r="K33" s="20"/>
      <c r="L33" s="20"/>
      <c r="M33" s="9"/>
      <c r="N33" s="9"/>
      <c r="O33" s="9"/>
      <c r="P33" s="9"/>
      <c r="Q33" s="9"/>
      <c r="R33" s="9"/>
      <c r="S33" s="9"/>
      <c r="T33" s="9"/>
      <c r="U33" s="9"/>
      <c r="V33" s="9"/>
      <c r="W33" s="9"/>
      <c r="X33" s="9"/>
      <c r="Y33" s="9"/>
      <c r="Z33" s="9"/>
    </row>
    <row r="34">
      <c r="A34" s="20">
        <v>33.0</v>
      </c>
      <c r="B34" s="20" t="s">
        <v>2243</v>
      </c>
      <c r="C34" s="20" t="s">
        <v>2244</v>
      </c>
      <c r="D34" s="20" t="s">
        <v>2245</v>
      </c>
      <c r="E34" s="20" t="s">
        <v>2246</v>
      </c>
      <c r="F34" s="9"/>
      <c r="G34" s="20" t="str">
        <f>IFERROR(__xludf.DUMMYFUNCTION("GOOGLETRANSLATE(B34,""ar"",""en"")"),"If you notice that the cow has started to act aggressively towards you, what do you do?")</f>
        <v>If you notice that the cow has started to act aggressively towards you, what do you do?</v>
      </c>
      <c r="H34" s="20" t="str">
        <f>IFERROR(__xludf.DUMMYFUNCTION("GOOGLETRANSLATE(C34,""ar"",""en"")"),"a) She tries to calm her down gently and keeps a safe distance; b) She rushes and leaves the ring immediately; c) She asks the team for help; d) She increases the interaction to distract her")</f>
        <v>a) She tries to calm her down gently and keeps a safe distance; b) She rushes and leaves the ring immediately; c) She asks the team for help; d) She increases the interaction to distract her</v>
      </c>
      <c r="I34" s="20" t="str">
        <f>IFERROR(__xludf.DUMMYFUNCTION("GOOGLETRANSLATE(D34,""ar"",""en"")"),"a) Try to calm her down gently and keep a safe distance")</f>
        <v>a) Try to calm her down gently and keep a safe distance</v>
      </c>
      <c r="J34" s="20" t="str">
        <f>IFERROR(__xludf.DUMMYFUNCTION("GOOGLETRANSLATE(E34,""ar"",""en"")"),"Dealing calmly reduces aggressive behavior and ensures safety.")</f>
        <v>Dealing calmly reduces aggressive behavior and ensures safety.</v>
      </c>
      <c r="K34" s="20"/>
      <c r="L34" s="20"/>
      <c r="M34" s="9"/>
      <c r="N34" s="9"/>
      <c r="O34" s="9"/>
      <c r="P34" s="9"/>
      <c r="Q34" s="9"/>
      <c r="R34" s="9"/>
      <c r="S34" s="9"/>
      <c r="T34" s="9"/>
      <c r="U34" s="9"/>
      <c r="V34" s="9"/>
      <c r="W34" s="9"/>
      <c r="X34" s="9"/>
      <c r="Y34" s="9"/>
      <c r="Z34" s="9"/>
    </row>
    <row r="35">
      <c r="A35" s="20">
        <v>34.0</v>
      </c>
      <c r="B35" s="20" t="s">
        <v>2247</v>
      </c>
      <c r="C35" s="20" t="s">
        <v>2248</v>
      </c>
      <c r="D35" s="20" t="s">
        <v>2249</v>
      </c>
      <c r="E35" s="20" t="s">
        <v>2250</v>
      </c>
      <c r="F35" s="9"/>
      <c r="G35" s="20" t="str">
        <f>IFERROR(__xludf.DUMMYFUNCTION("GOOGLETRANSLATE(B35,""ar"",""en"")"),"If you feel psychologically stressed during a battle, what do you do?")</f>
        <v>If you feel psychologically stressed during a battle, what do you do?</v>
      </c>
      <c r="H35" s="20" t="str">
        <f>IFERROR(__xludf.DUMMYFUNCTION("GOOGLETRANSLATE(C35,""ar"",""en"")"),"a) You calm yourself down and try to focus on the cow's performance; b) You stop and ask the team to intervene; c) You push yourself to continue fighting; d) You suddenly change your strategy")</f>
        <v>a) You calm yourself down and try to focus on the cow's performance; b) You stop and ask the team to intervene; c) You push yourself to continue fighting; d) You suddenly change your strategy</v>
      </c>
      <c r="I35" s="20" t="str">
        <f>IFERROR(__xludf.DUMMYFUNCTION("GOOGLETRANSLATE(D35,""ar"",""en"")"),"a) Calm yourself down and try to focus on the cow's performance")</f>
        <v>a) Calm yourself down and try to focus on the cow's performance</v>
      </c>
      <c r="J35" s="20" t="str">
        <f>IFERROR(__xludf.DUMMYFUNCTION("GOOGLETRANSLATE(E35,""ar"",""en"")"),"Focus helps in maintaining calm and making the right decisions.")</f>
        <v>Focus helps in maintaining calm and making the right decisions.</v>
      </c>
      <c r="K35" s="20"/>
      <c r="L35" s="20"/>
      <c r="M35" s="9"/>
      <c r="N35" s="9"/>
      <c r="O35" s="9"/>
      <c r="P35" s="9"/>
      <c r="Q35" s="9"/>
      <c r="R35" s="9"/>
      <c r="S35" s="9"/>
      <c r="T35" s="9"/>
      <c r="U35" s="9"/>
      <c r="V35" s="9"/>
      <c r="W35" s="9"/>
      <c r="X35" s="9"/>
      <c r="Y35" s="9"/>
      <c r="Z35" s="9"/>
    </row>
    <row r="36">
      <c r="A36" s="20">
        <v>35.0</v>
      </c>
      <c r="B36" s="20" t="s">
        <v>2251</v>
      </c>
      <c r="C36" s="20" t="s">
        <v>2252</v>
      </c>
      <c r="D36" s="20" t="s">
        <v>2253</v>
      </c>
      <c r="E36" s="20" t="s">
        <v>2254</v>
      </c>
      <c r="F36" s="9"/>
      <c r="G36" s="20" t="str">
        <f>IFERROR(__xludf.DUMMYFUNCTION("GOOGLETRANSLATE(B36,""ar"",""en"")"),"If the cow refuses to respond to you after several attempts, what do you do?")</f>
        <v>If the cow refuses to respond to you after several attempts, what do you do?</v>
      </c>
      <c r="H36" s="20" t="str">
        <f>IFERROR(__xludf.DUMMYFUNCTION("GOOGLETRANSLATE(C36,""ar"",""en"")"),"a) She asks the trainer for new advice; b) She pressures her to respond; c) She completely changes her training method; d) She continues and waits for the situation to improve.")</f>
        <v>a) She asks the trainer for new advice; b) She pressures her to respond; c) She completely changes her training method; d) She continues and waits for the situation to improve.</v>
      </c>
      <c r="I36" s="20" t="str">
        <f>IFERROR(__xludf.DUMMYFUNCTION("GOOGLETRANSLATE(D36,""ar"",""en"")"),"a) Ask the coach to provide new advice")</f>
        <v>a) Ask the coach to provide new advice</v>
      </c>
      <c r="J36" s="20" t="str">
        <f>IFERROR(__xludf.DUMMYFUNCTION("GOOGLETRANSLATE(E36,""ar"",""en"")"),"Taking advantage of the coach's advice helps in identifying the most effective methods.")</f>
        <v>Taking advantage of the coach's advice helps in identifying the most effective methods.</v>
      </c>
      <c r="K36" s="20"/>
      <c r="L36" s="20"/>
      <c r="M36" s="9"/>
      <c r="N36" s="9"/>
      <c r="O36" s="9"/>
      <c r="P36" s="9"/>
      <c r="Q36" s="9"/>
      <c r="R36" s="9"/>
      <c r="S36" s="9"/>
      <c r="T36" s="9"/>
      <c r="U36" s="9"/>
      <c r="V36" s="9"/>
      <c r="W36" s="9"/>
      <c r="X36" s="9"/>
      <c r="Y36" s="9"/>
      <c r="Z36" s="9"/>
    </row>
    <row r="37">
      <c r="A37" s="20">
        <v>36.0</v>
      </c>
      <c r="B37" s="20" t="s">
        <v>2255</v>
      </c>
      <c r="C37" s="20" t="s">
        <v>2256</v>
      </c>
      <c r="D37" s="20" t="s">
        <v>2257</v>
      </c>
      <c r="E37" s="20" t="s">
        <v>2258</v>
      </c>
      <c r="F37" s="9"/>
      <c r="G37" s="20" t="str">
        <f>IFERROR(__xludf.DUMMYFUNCTION("GOOGLETRANSLATE(B37,""ar"",""en"")"),"If the cow shows signs of aggression before the fight begins, what do you do?")</f>
        <v>If the cow shows signs of aggression before the fight begins, what do you do?</v>
      </c>
      <c r="H37" s="20" t="str">
        <f>IFERROR(__xludf.DUMMYFUNCTION("GOOGLETRANSLATE(C37,""ar"",""en"")"),"a) She calms her down and tries to threaten the opponent to keep her away; b) She pressures her to fight directly; c) She demands that the fight be stopped immediately; d) She asks the team for help, then begins")</f>
        <v>a) She calms her down and tries to threaten the opponent to keep her away; b) She pressures her to fight directly; c) She demands that the fight be stopped immediately; d) She asks the team for help, then begins</v>
      </c>
      <c r="I37" s="20" t="str">
        <f>IFERROR(__xludf.DUMMYFUNCTION("GOOGLETRANSLATE(D37,""ar"",""en"")"),"a) She calms her down and tries to threaten the competitor to keep her away from him")</f>
        <v>a) She calms her down and tries to threaten the competitor to keep her away from him</v>
      </c>
      <c r="J37" s="20" t="str">
        <f>IFERROR(__xludf.DUMMYFUNCTION("GOOGLETRANSLATE(E37,""ar"",""en"")"),"Calming the cow and taking strategic steps improves the chances of success.")</f>
        <v>Calming the cow and taking strategic steps improves the chances of success.</v>
      </c>
      <c r="K37" s="20"/>
      <c r="L37" s="20"/>
      <c r="M37" s="9"/>
      <c r="N37" s="9"/>
      <c r="O37" s="9"/>
      <c r="P37" s="9"/>
      <c r="Q37" s="9"/>
      <c r="R37" s="9"/>
      <c r="S37" s="9"/>
      <c r="T37" s="9"/>
      <c r="U37" s="9"/>
      <c r="V37" s="9"/>
      <c r="W37" s="9"/>
      <c r="X37" s="9"/>
      <c r="Y37" s="9"/>
      <c r="Z37" s="9"/>
    </row>
    <row r="38">
      <c r="A38" s="20">
        <v>37.0</v>
      </c>
      <c r="B38" s="20" t="s">
        <v>2259</v>
      </c>
      <c r="C38" s="20" t="s">
        <v>2260</v>
      </c>
      <c r="D38" s="20" t="s">
        <v>2261</v>
      </c>
      <c r="E38" s="20" t="s">
        <v>2262</v>
      </c>
      <c r="F38" s="9"/>
      <c r="G38" s="20" t="str">
        <f>IFERROR(__xludf.DUMMYFUNCTION("GOOGLETRANSLATE(B38,""ar"",""en"")"),"If the cow appears noticeably tired during the fight, what do you do?")</f>
        <v>If the cow appears noticeably tired during the fight, what do you do?</v>
      </c>
      <c r="H38" s="20" t="str">
        <f>IFERROR(__xludf.DUMMYFUNCTION("GOOGLETRANSLATE(C38,""ar"",""en"")"),"a) Give her a break and provide her with water and food; b) Ask the team for help to finish the fight; c) Continue the fight quickly; d) Request medical assistance immediately")</f>
        <v>a) Give her a break and provide her with water and food; b) Ask the team for help to finish the fight; c) Continue the fight quickly; d) Request medical assistance immediately</v>
      </c>
      <c r="I38" s="20" t="str">
        <f>IFERROR(__xludf.DUMMYFUNCTION("GOOGLETRANSLATE(D38,""ar"",""en"")"),"a) Give her a break and provide her with water and food")</f>
        <v>a) Give her a break and provide her with water and food</v>
      </c>
      <c r="J38" s="20" t="str">
        <f>IFERROR(__xludf.DUMMYFUNCTION("GOOGLETRANSLATE(E38,""ar"",""en"")"),"Proper rest allows the cow to regain its strength and complete the battle with better performance.")</f>
        <v>Proper rest allows the cow to regain its strength and complete the battle with better performance.</v>
      </c>
      <c r="K38" s="20"/>
      <c r="L38" s="20"/>
      <c r="M38" s="9"/>
      <c r="N38" s="9"/>
      <c r="O38" s="9"/>
      <c r="P38" s="9"/>
      <c r="Q38" s="9"/>
      <c r="R38" s="9"/>
      <c r="S38" s="9"/>
      <c r="T38" s="9"/>
      <c r="U38" s="9"/>
      <c r="V38" s="9"/>
      <c r="W38" s="9"/>
      <c r="X38" s="9"/>
      <c r="Y38" s="9"/>
      <c r="Z38" s="9"/>
    </row>
    <row r="39">
      <c r="A39" s="20">
        <v>38.0</v>
      </c>
      <c r="B39" s="20" t="s">
        <v>2263</v>
      </c>
      <c r="C39" s="20" t="s">
        <v>2264</v>
      </c>
      <c r="D39" s="20" t="s">
        <v>2265</v>
      </c>
      <c r="E39" s="20" t="s">
        <v>2266</v>
      </c>
      <c r="F39" s="9"/>
      <c r="G39" s="20" t="str">
        <f>IFERROR(__xludf.DUMMYFUNCTION("GOOGLETRANSLATE(B39,""ar"",""en"")"),"If the cow shows clear signs of fear of loud noises, what should you do?")</f>
        <v>If the cow shows clear signs of fear of loud noises, what should you do?</v>
      </c>
      <c r="H39" s="20" t="str">
        <f>IFERROR(__xludf.DUMMYFUNCTION("GOOGLETRANSLATE(C39,""ar"",""en"")"),"a) She tries to calm her down and protect her from the noise; b) She pushes her to fight; c) She asks the team to reduce the noise; d) She stops fighting")</f>
        <v>a) She tries to calm her down and protect her from the noise; b) She pushes her to fight; c) She asks the team to reduce the noise; d) She stops fighting</v>
      </c>
      <c r="I39" s="20" t="str">
        <f>IFERROR(__xludf.DUMMYFUNCTION("GOOGLETRANSLATE(D39,""ar"",""en"")"),"a) She tries to calm her down and protect her from the noise")</f>
        <v>a) She tries to calm her down and protect her from the noise</v>
      </c>
      <c r="J39" s="20" t="str">
        <f>IFERROR(__xludf.DUMMYFUNCTION("GOOGLETRANSLATE(E39,""ar"",""en"")"),"Calming down and reducing noise helps the cow feel safe and focused.")</f>
        <v>Calming down and reducing noise helps the cow feel safe and focused.</v>
      </c>
      <c r="K39" s="20"/>
      <c r="L39" s="20"/>
      <c r="M39" s="9"/>
      <c r="N39" s="9"/>
      <c r="O39" s="9"/>
      <c r="P39" s="9"/>
      <c r="Q39" s="9"/>
      <c r="R39" s="9"/>
      <c r="S39" s="9"/>
      <c r="T39" s="9"/>
      <c r="U39" s="9"/>
      <c r="V39" s="9"/>
      <c r="W39" s="9"/>
      <c r="X39" s="9"/>
      <c r="Y39" s="9"/>
      <c r="Z39" s="9"/>
    </row>
    <row r="40">
      <c r="A40" s="20">
        <v>39.0</v>
      </c>
      <c r="B40" s="20" t="s">
        <v>2267</v>
      </c>
      <c r="C40" s="20" t="s">
        <v>2268</v>
      </c>
      <c r="D40" s="20" t="s">
        <v>2221</v>
      </c>
      <c r="E40" s="20" t="s">
        <v>2269</v>
      </c>
      <c r="F40" s="9"/>
      <c r="G40" s="20" t="str">
        <f>IFERROR(__xludf.DUMMYFUNCTION("GOOGLETRANSLATE(B40,""ar"",""en"")"),"If your opponent uses aggressive tactics against you during a fight, what do you do?")</f>
        <v>If your opponent uses aggressive tactics against you during a fight, what do you do?</v>
      </c>
      <c r="H40" s="20" t="str">
        <f>IFERROR(__xludf.DUMMYFUNCTION("GOOGLETRANSLATE(C40,""ar"",""en"")"),"a) Request immediate referee intervention; b) Continue the fight using your own style; c) Slow down to avoid further damage; d) Request additional support from the team")</f>
        <v>a) Request immediate referee intervention; b) Continue the fight using your own style; c) Slow down to avoid further damage; d) Request additional support from the team</v>
      </c>
      <c r="I40" s="20" t="str">
        <f>IFERROR(__xludf.DUMMYFUNCTION("GOOGLETRANSLATE(D40,""ar"",""en"")"),"a) Request the immediate intervention of the judge")</f>
        <v>a) Request the immediate intervention of the judge</v>
      </c>
      <c r="J40" s="20" t="str">
        <f>IFERROR(__xludf.DUMMYFUNCTION("GOOGLETRANSLATE(E40,""ar"",""en"")"),"Ensuring that the rules are followed maintains the integrity of the battle and protects everyone.")</f>
        <v>Ensuring that the rules are followed maintains the integrity of the battle and protects everyone.</v>
      </c>
      <c r="K40" s="20"/>
      <c r="L40" s="20"/>
      <c r="M40" s="9"/>
      <c r="N40" s="9"/>
      <c r="O40" s="9"/>
      <c r="P40" s="9"/>
      <c r="Q40" s="9"/>
      <c r="R40" s="9"/>
      <c r="S40" s="9"/>
      <c r="T40" s="9"/>
      <c r="U40" s="9"/>
      <c r="V40" s="9"/>
      <c r="W40" s="9"/>
      <c r="X40" s="9"/>
      <c r="Y40" s="9"/>
      <c r="Z40" s="9"/>
    </row>
    <row r="41">
      <c r="A41" s="20">
        <v>40.0</v>
      </c>
      <c r="B41" s="20" t="s">
        <v>2270</v>
      </c>
      <c r="C41" s="20" t="s">
        <v>2271</v>
      </c>
      <c r="D41" s="20" t="s">
        <v>2272</v>
      </c>
      <c r="E41" s="20" t="s">
        <v>2273</v>
      </c>
      <c r="F41" s="9"/>
      <c r="G41" s="20" t="str">
        <f>IFERROR(__xludf.DUMMYFUNCTION("GOOGLETRANSLATE(B41,""ar"",""en"")"),"If a cow is having difficulty adapting to the ring environment, what should you do?")</f>
        <v>If a cow is having difficulty adapting to the ring environment, what should you do?</v>
      </c>
      <c r="H41" s="20" t="str">
        <f>IFERROR(__xludf.DUMMYFUNCTION("GOOGLETRANSLATE(C41,""ar"",""en"")"),"a) Give it time to adapt to the environment; b) Pressure it to respond more quickly; c) Ask the team to modify the external environment; d) Ignore the situation and continue the fight")</f>
        <v>a) Give it time to adapt to the environment; b) Pressure it to respond more quickly; c) Ask the team to modify the external environment; d) Ignore the situation and continue the fight</v>
      </c>
      <c r="I41" s="20" t="str">
        <f>IFERROR(__xludf.DUMMYFUNCTION("GOOGLETRANSLATE(D41,""ar"",""en"")"),"a) It gives it time to adapt to the environment")</f>
        <v>a) It gives it time to adapt to the environment</v>
      </c>
      <c r="J41" s="20" t="str">
        <f>IFERROR(__xludf.DUMMYFUNCTION("GOOGLETRANSLATE(E41,""ar"",""en"")"),"Adapting to the environment is an important step to improve the cow's performance and ensure its safety.")</f>
        <v>Adapting to the environment is an important step to improve the cow's performance and ensure its safety.</v>
      </c>
      <c r="K41" s="20"/>
      <c r="L41" s="20"/>
      <c r="M41" s="9"/>
      <c r="N41" s="9"/>
      <c r="O41" s="9"/>
      <c r="P41" s="9"/>
      <c r="Q41" s="9"/>
      <c r="R41" s="9"/>
      <c r="S41" s="9"/>
      <c r="T41" s="9"/>
      <c r="U41" s="9"/>
      <c r="V41" s="9"/>
      <c r="W41" s="9"/>
      <c r="X41" s="9"/>
      <c r="Y41" s="9"/>
      <c r="Z41" s="9"/>
    </row>
    <row r="42">
      <c r="A42" s="20">
        <v>41.0</v>
      </c>
      <c r="B42" s="20" t="s">
        <v>2274</v>
      </c>
      <c r="C42" s="20" t="s">
        <v>2275</v>
      </c>
      <c r="D42" s="20" t="s">
        <v>2276</v>
      </c>
      <c r="E42" s="20" t="s">
        <v>2277</v>
      </c>
      <c r="F42" s="9"/>
      <c r="G42" s="20" t="str">
        <f>IFERROR(__xludf.DUMMYFUNCTION("GOOGLETRANSLATE(B42,""ar"",""en"")"),"If the cow shows signs of exhaustion in the middle of a fight, what do you do?")</f>
        <v>If the cow shows signs of exhaustion in the middle of a fight, what do you do?</v>
      </c>
      <c r="H42" s="20" t="str">
        <f>IFERROR(__xludf.DUMMYFUNCTION("GOOGLETRANSLATE(C42,""ar"",""en"")"),"a) She requests an immediate break and gives her some water; b) She pressures her to continue; c) She asks the team to switch; d) She continues the battle without changing.")</f>
        <v>a) She requests an immediate break and gives her some water; b) She pressures her to continue; c) She asks the team to switch; d) She continues the battle without changing.</v>
      </c>
      <c r="I42" s="20" t="str">
        <f>IFERROR(__xludf.DUMMYFUNCTION("GOOGLETRANSLATE(D42,""ar"",""en"")"),"a) She requests an immediate break and gives her some water")</f>
        <v>a) She requests an immediate break and gives her some water</v>
      </c>
      <c r="J42" s="20" t="str">
        <f>IFERROR(__xludf.DUMMYFUNCTION("GOOGLETRANSLATE(E42,""ar"",""en"")"),"Resting the cow helps it regain its energy and reduces the risk of injury.")</f>
        <v>Resting the cow helps it regain its energy and reduces the risk of injury.</v>
      </c>
      <c r="K42" s="20"/>
      <c r="L42" s="20"/>
      <c r="M42" s="9"/>
      <c r="N42" s="9"/>
      <c r="O42" s="9"/>
      <c r="P42" s="9"/>
      <c r="Q42" s="9"/>
      <c r="R42" s="9"/>
      <c r="S42" s="9"/>
      <c r="T42" s="9"/>
      <c r="U42" s="9"/>
      <c r="V42" s="9"/>
      <c r="W42" s="9"/>
      <c r="X42" s="9"/>
      <c r="Y42" s="9"/>
      <c r="Z42" s="9"/>
    </row>
    <row r="43">
      <c r="A43" s="20">
        <v>42.0</v>
      </c>
      <c r="B43" s="20" t="s">
        <v>2278</v>
      </c>
      <c r="C43" s="20" t="s">
        <v>2279</v>
      </c>
      <c r="D43" s="20" t="s">
        <v>2233</v>
      </c>
      <c r="E43" s="20" t="s">
        <v>2280</v>
      </c>
      <c r="F43" s="9"/>
      <c r="G43" s="20" t="str">
        <f>IFERROR(__xludf.DUMMYFUNCTION("GOOGLETRANSLATE(B43,""ar"",""en"")"),"If you notice that the cow has sustained minor injuries during the fight, what do you do?")</f>
        <v>If you notice that the cow has sustained minor injuries during the fight, what do you do?</v>
      </c>
      <c r="H43" s="20" t="str">
        <f>IFERROR(__xludf.DUMMYFUNCTION("GOOGLETRANSLATE(C43,""ar"",""en"")"),"a) Seek medical assistance to examine the injury; b) Continue the fight cautiously; c) Calm the cow and closely monitor her condition; d) Demand that the fight be stopped immediately")</f>
        <v>a) Seek medical assistance to examine the injury; b) Continue the fight cautiously; c) Calm the cow and closely monitor her condition; d) Demand that the fight be stopped immediately</v>
      </c>
      <c r="I43" s="20" t="str">
        <f>IFERROR(__xludf.DUMMYFUNCTION("GOOGLETRANSLATE(D43,""ar"",""en"")"),"a) Seek medical assistance to examine the injury")</f>
        <v>a) Seek medical assistance to examine the injury</v>
      </c>
      <c r="J43" s="20" t="str">
        <f>IFERROR(__xludf.DUMMYFUNCTION("GOOGLETRANSLATE(E43,""ar"",""en"")"),"Dealing with injuries immediately prevents the condition from worsening and ensures the cow's safety.")</f>
        <v>Dealing with injuries immediately prevents the condition from worsening and ensures the cow's safety.</v>
      </c>
      <c r="K43" s="20"/>
      <c r="L43" s="20"/>
      <c r="M43" s="9"/>
      <c r="N43" s="9"/>
      <c r="O43" s="9"/>
      <c r="P43" s="9"/>
      <c r="Q43" s="9"/>
      <c r="R43" s="9"/>
      <c r="S43" s="9"/>
      <c r="T43" s="9"/>
      <c r="U43" s="9"/>
      <c r="V43" s="9"/>
      <c r="W43" s="9"/>
      <c r="X43" s="9"/>
      <c r="Y43" s="9"/>
      <c r="Z43" s="9"/>
    </row>
    <row r="44">
      <c r="A44" s="20">
        <v>43.0</v>
      </c>
      <c r="B44" s="20" t="s">
        <v>2281</v>
      </c>
      <c r="C44" s="20" t="s">
        <v>2282</v>
      </c>
      <c r="D44" s="20" t="s">
        <v>2283</v>
      </c>
      <c r="E44" s="20" t="s">
        <v>2284</v>
      </c>
      <c r="F44" s="9"/>
      <c r="G44" s="20" t="str">
        <f>IFERROR(__xludf.DUMMYFUNCTION("GOOGLETRANSLATE(B44,""ar"",""en"")"),"If the cow shows signs of extreme anxiety before the start of the fight, what should you do?")</f>
        <v>If the cow shows signs of extreme anxiety before the start of the fight, what should you do?</v>
      </c>
      <c r="H44" s="20" t="str">
        <f>IFERROR(__xludf.DUMMYFUNCTION("GOOGLETRANSLATE(C44,""ar"",""en"")"),"a) She tries to calm her down and reduce her tension; b) She pressures her to participate immediately; c) She asks the coach to intervene; d) She ignores the concern and starts the fight.")</f>
        <v>a) She tries to calm her down and reduce her tension; b) She pressures her to participate immediately; c) She asks the coach to intervene; d) She ignores the concern and starts the fight.</v>
      </c>
      <c r="I44" s="20" t="str">
        <f>IFERROR(__xludf.DUMMYFUNCTION("GOOGLETRANSLATE(D44,""ar"",""en"")"),"a) She tries to calm her down and soothe her tension")</f>
        <v>a) She tries to calm her down and soothe her tension</v>
      </c>
      <c r="J44" s="20" t="str">
        <f>IFERROR(__xludf.DUMMYFUNCTION("GOOGLETRANSLATE(E44,""ar"",""en"")"),"Calming helps improve the cow's performance and reduce the impact of anxiety on the fight.")</f>
        <v>Calming helps improve the cow's performance and reduce the impact of anxiety on the fight.</v>
      </c>
      <c r="K44" s="20"/>
      <c r="L44" s="20"/>
      <c r="M44" s="9"/>
      <c r="N44" s="9"/>
      <c r="O44" s="9"/>
      <c r="P44" s="9"/>
      <c r="Q44" s="9"/>
      <c r="R44" s="9"/>
      <c r="S44" s="9"/>
      <c r="T44" s="9"/>
      <c r="U44" s="9"/>
      <c r="V44" s="9"/>
      <c r="W44" s="9"/>
      <c r="X44" s="9"/>
      <c r="Y44" s="9"/>
      <c r="Z44" s="9"/>
    </row>
    <row r="45">
      <c r="A45" s="20">
        <v>44.0</v>
      </c>
      <c r="B45" s="20" t="s">
        <v>2285</v>
      </c>
      <c r="C45" s="20" t="s">
        <v>2286</v>
      </c>
      <c r="D45" s="20" t="s">
        <v>2287</v>
      </c>
      <c r="E45" s="20" t="s">
        <v>2288</v>
      </c>
      <c r="F45" s="9"/>
      <c r="G45" s="20" t="str">
        <f>IFERROR(__xludf.DUMMYFUNCTION("GOOGLETRANSLATE(B45,""ar"",""en"")"),"If your opponent in the fight looks very tired, what do you do?")</f>
        <v>If your opponent in the fight looks very tired, what do you do?</v>
      </c>
      <c r="H45" s="20" t="str">
        <f>IFERROR(__xludf.DUMMYFUNCTION("GOOGLETRANSLATE(C45,""ar"",""en"")"),"a) You pressure him to take advantage of his vulnerability; b) You continue your fight calmly and without rushing; c) You stop and let him rest; d) You ask him to end the fight")</f>
        <v>a) You pressure him to take advantage of his vulnerability; b) You continue your fight calmly and without rushing; c) You stop and let him rest; d) You ask him to end the fight</v>
      </c>
      <c r="I45" s="20" t="str">
        <f>IFERROR(__xludf.DUMMYFUNCTION("GOOGLETRANSLATE(D45,""ar"",""en"")"),"b) Continue your fight calmly and without rushing")</f>
        <v>b) Continue your fight calmly and without rushing</v>
      </c>
      <c r="J45" s="20" t="str">
        <f>IFERROR(__xludf.DUMMYFUNCTION("GOOGLETRANSLATE(E45,""ar"",""en"")"),"Maintaining calm and waiting helps to end the battle safely and effectively.")</f>
        <v>Maintaining calm and waiting helps to end the battle safely and effectively.</v>
      </c>
      <c r="K45" s="20"/>
      <c r="L45" s="20"/>
      <c r="M45" s="9"/>
      <c r="N45" s="9"/>
      <c r="O45" s="9"/>
      <c r="P45" s="9"/>
      <c r="Q45" s="9"/>
      <c r="R45" s="9"/>
      <c r="S45" s="9"/>
      <c r="T45" s="9"/>
      <c r="U45" s="9"/>
      <c r="V45" s="9"/>
      <c r="W45" s="9"/>
      <c r="X45" s="9"/>
      <c r="Y45" s="9"/>
      <c r="Z45" s="9"/>
    </row>
    <row r="46">
      <c r="A46" s="20">
        <v>45.0</v>
      </c>
      <c r="B46" s="20" t="s">
        <v>2289</v>
      </c>
      <c r="C46" s="20" t="s">
        <v>2290</v>
      </c>
      <c r="D46" s="20" t="s">
        <v>2194</v>
      </c>
      <c r="E46" s="20" t="s">
        <v>2291</v>
      </c>
      <c r="F46" s="9"/>
      <c r="G46" s="20" t="str">
        <f>IFERROR(__xludf.DUMMYFUNCTION("GOOGLETRANSLATE(B46,""ar"",""en"")"),"If the cow is having difficulty breathing during the fight, what should you do?")</f>
        <v>If the cow is having difficulty breathing during the fight, what should you do?</v>
      </c>
      <c r="H46" s="20" t="str">
        <f>IFERROR(__xludf.DUMMYFUNCTION("GOOGLETRANSLATE(C46,""ar"",""en"")"),"a) She immediately calls for medical assistance to check her breathing; b) She continues fighting and waits for her condition to improve; c) She gives her some rest and temporarily stops the fight; d) She leaves the ring immediately")</f>
        <v>a) She immediately calls for medical assistance to check her breathing; b) She continues fighting and waits for her condition to improve; c) She gives her some rest and temporarily stops the fight; d) She leaves the ring immediately</v>
      </c>
      <c r="I46" s="20" t="str">
        <f>IFERROR(__xludf.DUMMYFUNCTION("GOOGLETRANSLATE(D46,""ar"",""en"")"),"a) Seek immediate medical assistance for a breathing examination")</f>
        <v>a) Seek immediate medical assistance for a breathing examination</v>
      </c>
      <c r="J46" s="20" t="str">
        <f>IFERROR(__xludf.DUMMYFUNCTION("GOOGLETRANSLATE(E46,""ar"",""en"")"),"Breathing problems require immediate medical intervention to avoid worsening the situation.")</f>
        <v>Breathing problems require immediate medical intervention to avoid worsening the situation.</v>
      </c>
      <c r="K46" s="20"/>
      <c r="L46" s="20"/>
      <c r="M46" s="9"/>
      <c r="N46" s="9"/>
      <c r="O46" s="9"/>
      <c r="P46" s="9"/>
      <c r="Q46" s="9"/>
      <c r="R46" s="9"/>
      <c r="S46" s="9"/>
      <c r="T46" s="9"/>
      <c r="U46" s="9"/>
      <c r="V46" s="9"/>
      <c r="W46" s="9"/>
      <c r="X46" s="9"/>
      <c r="Y46" s="9"/>
      <c r="Z46" s="9"/>
    </row>
    <row r="47">
      <c r="A47" s="20">
        <v>46.0</v>
      </c>
      <c r="B47" s="20" t="s">
        <v>2292</v>
      </c>
      <c r="C47" s="20" t="s">
        <v>2293</v>
      </c>
      <c r="D47" s="20" t="s">
        <v>2294</v>
      </c>
      <c r="E47" s="20" t="s">
        <v>2295</v>
      </c>
      <c r="F47" s="9"/>
      <c r="G47" s="20" t="str">
        <f>IFERROR(__xludf.DUMMYFUNCTION("GOOGLETRANSLATE(B47,""ar"",""en"")"),"If there is a delay in the battle due to an equipment problem, what do you do?")</f>
        <v>If there is a delay in the battle due to an equipment problem, what do you do?</v>
      </c>
      <c r="H47" s="20" t="str">
        <f>IFERROR(__xludf.DUMMYFUNCTION("GOOGLETRANSLATE(C47,""ar"",""en"")"),"a) Remain calm and wait for the problem to be fixed; b) Request that the fight be ended; c) Leave the ring and walk away; d) Ask the team to speed up the fix, but remain calm.")</f>
        <v>a) Remain calm and wait for the problem to be fixed; b) Request that the fight be ended; c) Leave the ring and walk away; d) Ask the team to speed up the fix, but remain calm.</v>
      </c>
      <c r="I47" s="20" t="str">
        <f>IFERROR(__xludf.DUMMYFUNCTION("GOOGLETRANSLATE(D47,""ar"",""en"")"),"a) Remain calm and wait for the problem to be fixed")</f>
        <v>a) Remain calm and wait for the problem to be fixed</v>
      </c>
      <c r="J47" s="20" t="str">
        <f>IFERROR(__xludf.DUMMYFUNCTION("GOOGLETRANSLATE(E47,""ar"",""en"")"),"Calmness helps maintain focus and positivity while waiting for a solution.")</f>
        <v>Calmness helps maintain focus and positivity while waiting for a solution.</v>
      </c>
      <c r="K47" s="20"/>
      <c r="L47" s="20"/>
      <c r="M47" s="9"/>
      <c r="N47" s="9"/>
      <c r="O47" s="9"/>
      <c r="P47" s="9"/>
      <c r="Q47" s="9"/>
      <c r="R47" s="9"/>
      <c r="S47" s="9"/>
      <c r="T47" s="9"/>
      <c r="U47" s="9"/>
      <c r="V47" s="9"/>
      <c r="W47" s="9"/>
      <c r="X47" s="9"/>
      <c r="Y47" s="9"/>
      <c r="Z47" s="9"/>
    </row>
    <row r="48">
      <c r="A48" s="20">
        <v>47.0</v>
      </c>
      <c r="B48" s="20" t="s">
        <v>2296</v>
      </c>
      <c r="C48" s="20" t="s">
        <v>2297</v>
      </c>
      <c r="D48" s="20" t="s">
        <v>2298</v>
      </c>
      <c r="E48" s="20" t="s">
        <v>2299</v>
      </c>
      <c r="F48" s="9"/>
      <c r="G48" s="20" t="str">
        <f>IFERROR(__xludf.DUMMYFUNCTION("GOOGLETRANSLATE(B48,""ar"",""en"")"),"If the cow looks tired but shows no obvious injuries, what do you do?")</f>
        <v>If the cow looks tired but shows no obvious injuries, what do you do?</v>
      </c>
      <c r="H48" s="20" t="str">
        <f>IFERROR(__xludf.DUMMYFUNCTION("GOOGLETRANSLATE(C48,""ar"",""en"")"),"a) Give her a short break to recover; b) Pressure her to continue; c) Request a medical examination to assess her condition; d) Leave the fight and withdraw.")</f>
        <v>a) Give her a short break to recover; b) Pressure her to continue; c) Request a medical examination to assess her condition; d) Leave the fight and withdraw.</v>
      </c>
      <c r="I48" s="20" t="str">
        <f>IFERROR(__xludf.DUMMYFUNCTION("GOOGLETRANSLATE(D48,""ar"",""en"")"),"a) It gives her a short break and allows her to regain her energy")</f>
        <v>a) It gives her a short break and allows her to regain her energy</v>
      </c>
      <c r="J48" s="20" t="str">
        <f>IFERROR(__xludf.DUMMYFUNCTION("GOOGLETRANSLATE(E48,""ar"",""en"")"),"Simple rest can help improve her performance and avoid excessive fatigue.")</f>
        <v>Simple rest can help improve her performance and avoid excessive fatigue.</v>
      </c>
      <c r="K48" s="20"/>
      <c r="L48" s="20"/>
      <c r="M48" s="9"/>
      <c r="N48" s="9"/>
      <c r="O48" s="9"/>
      <c r="P48" s="9"/>
      <c r="Q48" s="9"/>
      <c r="R48" s="9"/>
      <c r="S48" s="9"/>
      <c r="T48" s="9"/>
      <c r="U48" s="9"/>
      <c r="V48" s="9"/>
      <c r="W48" s="9"/>
      <c r="X48" s="9"/>
      <c r="Y48" s="9"/>
      <c r="Z48" s="9"/>
    </row>
    <row r="49">
      <c r="A49" s="20">
        <v>48.0</v>
      </c>
      <c r="B49" s="20" t="s">
        <v>2300</v>
      </c>
      <c r="C49" s="20" t="s">
        <v>2301</v>
      </c>
      <c r="D49" s="20" t="s">
        <v>2302</v>
      </c>
      <c r="E49" s="20" t="s">
        <v>2303</v>
      </c>
      <c r="F49" s="9"/>
      <c r="G49" s="20" t="str">
        <f>IFERROR(__xludf.DUMMYFUNCTION("GOOGLETRANSLATE(B49,""ar"",""en"")"),"If a cow is behaving very aggressively towards others in the ring, what do you do?")</f>
        <v>If a cow is behaving very aggressively towards others in the ring, what do you do?</v>
      </c>
      <c r="H49" s="20" t="str">
        <f>IFERROR(__xludf.DUMMYFUNCTION("GOOGLETRANSLATE(C49,""ar"",""en"")"),"a) Calms her down and tries to prevent aggression using a calm, controlled approach; b) Lets her continue; c) Immediately calls for the referee's intervention; d) Increases aggression to secure a victory")</f>
        <v>a) Calms her down and tries to prevent aggression using a calm, controlled approach; b) Lets her continue; c) Immediately calls for the referee's intervention; d) Increases aggression to secure a victory</v>
      </c>
      <c r="I49" s="20" t="str">
        <f>IFERROR(__xludf.DUMMYFUNCTION("GOOGLETRANSLATE(D49,""ar"",""en"")"),"a) Calm her down and try to prevent aggression using a calm control technique")</f>
        <v>a) Calm her down and try to prevent aggression using a calm control technique</v>
      </c>
      <c r="J49" s="20" t="str">
        <f>IFERROR(__xludf.DUMMYFUNCTION("GOOGLETRANSLATE(E49,""ar"",""en"")"),"Controlling aggression helps keep everyone safe in the ring.")</f>
        <v>Controlling aggression helps keep everyone safe in the ring.</v>
      </c>
      <c r="K49" s="20"/>
      <c r="L49" s="20"/>
      <c r="M49" s="9"/>
      <c r="N49" s="9"/>
      <c r="O49" s="9"/>
      <c r="P49" s="9"/>
      <c r="Q49" s="9"/>
      <c r="R49" s="9"/>
      <c r="S49" s="9"/>
      <c r="T49" s="9"/>
      <c r="U49" s="9"/>
      <c r="V49" s="9"/>
      <c r="W49" s="9"/>
      <c r="X49" s="9"/>
      <c r="Y49" s="9"/>
      <c r="Z49" s="9"/>
    </row>
    <row r="50">
      <c r="A50" s="20">
        <v>49.0</v>
      </c>
      <c r="B50" s="20" t="s">
        <v>2304</v>
      </c>
      <c r="C50" s="20" t="s">
        <v>2305</v>
      </c>
      <c r="D50" s="20" t="s">
        <v>2306</v>
      </c>
      <c r="E50" s="20" t="s">
        <v>2307</v>
      </c>
      <c r="F50" s="9"/>
      <c r="G50" s="20" t="str">
        <f>IFERROR(__xludf.DUMMYFUNCTION("GOOGLETRANSLATE(B50,""ar"",""en"")"),"If you notice that the cow has a major injury after the fight, what do you do?")</f>
        <v>If you notice that the cow has a major injury after the fight, what do you do?</v>
      </c>
      <c r="H50" s="20" t="str">
        <f>IFERROR(__xludf.DUMMYFUNCTION("GOOGLETRANSLATE(C50,""ar"",""en"")"),"a) She immediately seeks medical assistance for treatment; b) She continues fighting despite being injured; c) She waits for her condition to improve before taking action; d) She demands an immediate ceasefire.")</f>
        <v>a) She immediately seeks medical assistance for treatment; b) She continues fighting despite being injured; c) She waits for her condition to improve before taking action; d) She demands an immediate ceasefire.</v>
      </c>
      <c r="I50" s="20" t="str">
        <f>IFERROR(__xludf.DUMMYFUNCTION("GOOGLETRANSLATE(D50,""ar"",""en"")"),"a) Seek immediate medical assistance to provide treatment")</f>
        <v>a) Seek immediate medical assistance to provide treatment</v>
      </c>
      <c r="J50" s="20" t="str">
        <f>IFERROR(__xludf.DUMMYFUNCTION("GOOGLETRANSLATE(E50,""ar"",""en"")"),"Major injuries require urgent medical intervention to prevent the situation from worsening.")</f>
        <v>Major injuries require urgent medical intervention to prevent the situation from worsening.</v>
      </c>
      <c r="K50" s="20"/>
      <c r="L50" s="20"/>
      <c r="M50" s="9"/>
      <c r="N50" s="9"/>
      <c r="O50" s="9"/>
      <c r="P50" s="9"/>
      <c r="Q50" s="9"/>
      <c r="R50" s="9"/>
      <c r="S50" s="9"/>
      <c r="T50" s="9"/>
      <c r="U50" s="9"/>
      <c r="V50" s="9"/>
      <c r="W50" s="9"/>
      <c r="X50" s="9"/>
      <c r="Y50" s="9"/>
      <c r="Z50" s="9"/>
    </row>
    <row r="51">
      <c r="A51" s="20">
        <v>50.0</v>
      </c>
      <c r="B51" s="20" t="s">
        <v>2308</v>
      </c>
      <c r="C51" s="20" t="s">
        <v>2309</v>
      </c>
      <c r="D51" s="20" t="s">
        <v>2310</v>
      </c>
      <c r="E51" s="20" t="s">
        <v>2311</v>
      </c>
      <c r="F51" s="9"/>
      <c r="G51" s="20" t="str">
        <f>IFERROR(__xludf.DUMMYFUNCTION("GOOGLETRANSLATE(B51,""ar"",""en"")"),"If your opponent uses illegal tactics in the fight, what do you do?")</f>
        <v>If your opponent uses illegal tactics in the fight, what do you do?</v>
      </c>
      <c r="H51" s="20" t="str">
        <f>IFERROR(__xludf.DUMMYFUNCTION("GOOGLETRANSLATE(C51,""ar"",""en"")"),"a) You ask the referee to intervene immediately to take the necessary action; b) You continue the fight without objection; c) You avoid physical contact with your opponent; d) You change your strategy to combat illegal tactics")</f>
        <v>a) You ask the referee to intervene immediately to take the necessary action; b) You continue the fight without objection; c) You avoid physical contact with your opponent; d) You change your strategy to combat illegal tactics</v>
      </c>
      <c r="I51" s="20" t="str">
        <f>IFERROR(__xludf.DUMMYFUNCTION("GOOGLETRANSLATE(D51,""ar"",""en"")"),"a) It requests the referee to intervene immediately to take the necessary measures")</f>
        <v>a) It requests the referee to intervene immediately to take the necessary measures</v>
      </c>
      <c r="J51" s="20" t="str">
        <f>IFERROR(__xludf.DUMMYFUNCTION("GOOGLETRANSLATE(E51,""ar"",""en"")"),"Ensuring that the rules are applied helps to maintain the integrity of the fight.")</f>
        <v>Ensuring that the rules are applied helps to maintain the integrity of the fight.</v>
      </c>
      <c r="K51" s="20"/>
      <c r="L51" s="20"/>
      <c r="M51" s="9"/>
      <c r="N51" s="9"/>
      <c r="O51" s="9"/>
      <c r="P51" s="9"/>
      <c r="Q51" s="9"/>
      <c r="R51" s="9"/>
      <c r="S51" s="9"/>
      <c r="T51" s="9"/>
      <c r="U51" s="9"/>
      <c r="V51" s="9"/>
      <c r="W51" s="9"/>
      <c r="X51" s="9"/>
      <c r="Y51" s="9"/>
      <c r="Z51" s="9"/>
    </row>
    <row r="52">
      <c r="A52" s="20">
        <v>51.0</v>
      </c>
      <c r="B52" s="20" t="s">
        <v>2312</v>
      </c>
      <c r="C52" s="20" t="s">
        <v>2313</v>
      </c>
      <c r="D52" s="20" t="s">
        <v>2314</v>
      </c>
      <c r="E52" s="20" t="s">
        <v>2315</v>
      </c>
      <c r="F52" s="9"/>
      <c r="G52" s="20" t="str">
        <f>IFERROR(__xludf.DUMMYFUNCTION("GOOGLETRANSLATE(B52,""ar"",""en"")"),"If the cow shows clear signs of pain after the fight, what should you do?")</f>
        <v>If the cow shows clear signs of pain after the fight, what should you do?</v>
      </c>
      <c r="H52" s="20" t="str">
        <f>IFERROR(__xludf.DUMMYFUNCTION("GOOGLETRANSLATE(C52,""ar"",""en"")"),"a) Seek immediate medical assistance; b) Continue the fight; c) Calm the cow and closely monitor her condition; d) Allow her some time to rest before assessing her condition.")</f>
        <v>a) Seek immediate medical assistance; b) Continue the fight; c) Calm the cow and closely monitor her condition; d) Allow her some time to rest before assessing her condition.</v>
      </c>
      <c r="I52" s="20" t="str">
        <f>IFERROR(__xludf.DUMMYFUNCTION("GOOGLETRANSLATE(D52,""ar"",""en"")"),"a) Seek immediate medical assistance")</f>
        <v>a) Seek immediate medical assistance</v>
      </c>
      <c r="J52" s="20" t="str">
        <f>IFERROR(__xludf.DUMMYFUNCTION("GOOGLETRANSLATE(E52,""ar"",""en"")"),"Prompt medical treatment contributes to a correct diagnosis of the injury and provides appropriate treatment.")</f>
        <v>Prompt medical treatment contributes to a correct diagnosis of the injury and provides appropriate treatment.</v>
      </c>
      <c r="K52" s="20"/>
      <c r="L52" s="20"/>
      <c r="M52" s="9"/>
      <c r="N52" s="9"/>
      <c r="O52" s="9"/>
      <c r="P52" s="9"/>
      <c r="Q52" s="9"/>
      <c r="R52" s="9"/>
      <c r="S52" s="9"/>
      <c r="T52" s="9"/>
      <c r="U52" s="9"/>
      <c r="V52" s="9"/>
      <c r="W52" s="9"/>
      <c r="X52" s="9"/>
      <c r="Y52" s="9"/>
      <c r="Z52" s="9"/>
    </row>
    <row r="53">
      <c r="A53" s="20">
        <v>52.0</v>
      </c>
      <c r="B53" s="20" t="s">
        <v>2316</v>
      </c>
      <c r="C53" s="20" t="s">
        <v>2317</v>
      </c>
      <c r="D53" s="20" t="s">
        <v>2318</v>
      </c>
      <c r="E53" s="20" t="s">
        <v>2319</v>
      </c>
      <c r="F53" s="9"/>
      <c r="G53" s="20" t="str">
        <f>IFERROR(__xludf.DUMMYFUNCTION("GOOGLETRANSLATE(B53,""ar"",""en"")"),"If it gets very hot during the battle, what do you do?")</f>
        <v>If it gets very hot during the battle, what do you do?</v>
      </c>
      <c r="H53" s="20" t="str">
        <f>IFERROR(__xludf.DUMMYFUNCTION("GOOGLETRANSLATE(C53,""ar"",""en"")"),"a) Provides the cow with rest and water regularly; b) Continues the fight without offering assistance to the cow; c) Ends the fight immediately to avoid exhaustion; d) Asks the team for more help.")</f>
        <v>a) Provides the cow with rest and water regularly; b) Continues the fight without offering assistance to the cow; c) Ends the fight immediately to avoid exhaustion; d) Asks the team for more help.</v>
      </c>
      <c r="I53" s="20" t="str">
        <f>IFERROR(__xludf.DUMMYFUNCTION("GOOGLETRANSLATE(D53,""ar"",""en"")"),"a) Provide the cow with rest and water on a regular basis")</f>
        <v>a) Provide the cow with rest and water on a regular basis</v>
      </c>
      <c r="J53" s="20" t="str">
        <f>IFERROR(__xludf.DUMMYFUNCTION("GOOGLETRANSLATE(E53,""ar"",""en"")"),"Proper comfort and cooling for the cow helps maintain its performance and safety.")</f>
        <v>Proper comfort and cooling for the cow helps maintain its performance and safety.</v>
      </c>
      <c r="K53" s="20"/>
      <c r="L53" s="20"/>
      <c r="M53" s="9"/>
      <c r="N53" s="9"/>
      <c r="O53" s="9"/>
      <c r="P53" s="9"/>
      <c r="Q53" s="9"/>
      <c r="R53" s="9"/>
      <c r="S53" s="9"/>
      <c r="T53" s="9"/>
      <c r="U53" s="9"/>
      <c r="V53" s="9"/>
      <c r="W53" s="9"/>
      <c r="X53" s="9"/>
      <c r="Y53" s="9"/>
      <c r="Z53" s="9"/>
    </row>
    <row r="54">
      <c r="A54" s="20">
        <v>53.0</v>
      </c>
      <c r="B54" s="20" t="s">
        <v>2320</v>
      </c>
      <c r="C54" s="20" t="s">
        <v>2321</v>
      </c>
      <c r="D54" s="20" t="s">
        <v>2322</v>
      </c>
      <c r="E54" s="20" t="s">
        <v>2323</v>
      </c>
      <c r="F54" s="9"/>
      <c r="G54" s="20" t="str">
        <f>IFERROR(__xludf.DUMMYFUNCTION("GOOGLETRANSLATE(B54,""ar"",""en"")"),"If the cow shows signs of extreme exhaustion after a fight, what should you do?")</f>
        <v>If the cow shows signs of extreme exhaustion after a fight, what should you do?</v>
      </c>
      <c r="H54" s="20" t="str">
        <f>IFERROR(__xludf.DUMMYFUNCTION("GOOGLETRANSLATE(C54,""ar"",""en"")"),"a) Grants her rest and medical care; b) Continues working with her to improve her fitness; c) Threatens to withdraw if she does not improve; d) Asks the team to increase the effort.")</f>
        <v>a) Grants her rest and medical care; b) Continues working with her to improve her fitness; c) Threatens to withdraw if she does not improve; d) Asks the team to increase the effort.</v>
      </c>
      <c r="I54" s="20" t="str">
        <f>IFERROR(__xludf.DUMMYFUNCTION("GOOGLETRANSLATE(D54,""ar"",""en"")"),"a) Grant her a period of rest and provide medical care")</f>
        <v>a) Grant her a period of rest and provide medical care</v>
      </c>
      <c r="J54" s="20" t="str">
        <f>IFERROR(__xludf.DUMMYFUNCTION("GOOGLETRANSLATE(E54,""ar"",""en"")"),"Rest and medical care contribute to restoring the cow's health and improving its performance.")</f>
        <v>Rest and medical care contribute to restoring the cow's health and improving its performance.</v>
      </c>
      <c r="K54" s="20"/>
      <c r="L54" s="20"/>
      <c r="M54" s="9"/>
      <c r="N54" s="9"/>
      <c r="O54" s="9"/>
      <c r="P54" s="9"/>
      <c r="Q54" s="9"/>
      <c r="R54" s="9"/>
      <c r="S54" s="9"/>
      <c r="T54" s="9"/>
      <c r="U54" s="9"/>
      <c r="V54" s="9"/>
      <c r="W54" s="9"/>
      <c r="X54" s="9"/>
      <c r="Y54" s="9"/>
      <c r="Z54" s="9"/>
    </row>
    <row r="55">
      <c r="A55" s="20">
        <v>54.0</v>
      </c>
      <c r="B55" s="20" t="s">
        <v>2324</v>
      </c>
      <c r="C55" s="20" t="s">
        <v>2325</v>
      </c>
      <c r="D55" s="20" t="s">
        <v>2326</v>
      </c>
      <c r="E55" s="20" t="s">
        <v>2327</v>
      </c>
      <c r="F55" s="9"/>
      <c r="G55" s="20" t="str">
        <f>IFERROR(__xludf.DUMMYFUNCTION("GOOGLETRANSLATE(B55,""ar"",""en"")"),"If the cow resists cooperating with you before the fight, what do you do?")</f>
        <v>If the cow resists cooperating with you before the fight, what do you do?</v>
      </c>
      <c r="H55" s="20" t="str">
        <f>IFERROR(__xludf.DUMMYFUNCTION("GOOGLETRANSLATE(C55,""ar"",""en"")"),"a) You try to calm her down gently and communicate with her; b) You pressure her to participate immediately; c) You ask the coach to intervene to address the situation; d) You continue your attempts without changing course.")</f>
        <v>a) You try to calm her down gently and communicate with her; b) You pressure her to participate immediately; c) You ask the coach to intervene to address the situation; d) You continue your attempts without changing course.</v>
      </c>
      <c r="I55" s="20" t="str">
        <f>IFERROR(__xludf.DUMMYFUNCTION("GOOGLETRANSLATE(D55,""ar"",""en"")"),"a) Try to calm her down gently and communicate with her")</f>
        <v>a) Try to calm her down gently and communicate with her</v>
      </c>
      <c r="J55" s="20" t="str">
        <f>IFERROR(__xludf.DUMMYFUNCTION("GOOGLETRANSLATE(E55,""ar"",""en"")"),"Good communication helps improve the cow's relationship with the trainer and achieve better cooperation.")</f>
        <v>Good communication helps improve the cow's relationship with the trainer and achieve better cooperation.</v>
      </c>
      <c r="K55" s="20"/>
      <c r="L55" s="20"/>
      <c r="M55" s="9"/>
      <c r="N55" s="9"/>
      <c r="O55" s="9"/>
      <c r="P55" s="9"/>
      <c r="Q55" s="9"/>
      <c r="R55" s="9"/>
      <c r="S55" s="9"/>
      <c r="T55" s="9"/>
      <c r="U55" s="9"/>
      <c r="V55" s="9"/>
      <c r="W55" s="9"/>
      <c r="X55" s="9"/>
      <c r="Y55" s="9"/>
      <c r="Z55" s="9"/>
    </row>
    <row r="56">
      <c r="A56" s="20">
        <v>55.0</v>
      </c>
      <c r="B56" s="20" t="s">
        <v>2328</v>
      </c>
      <c r="C56" s="20" t="s">
        <v>2329</v>
      </c>
      <c r="D56" s="20" t="s">
        <v>2237</v>
      </c>
      <c r="E56" s="20" t="s">
        <v>2330</v>
      </c>
      <c r="F56" s="9"/>
      <c r="G56" s="20" t="str">
        <f>IFERROR(__xludf.DUMMYFUNCTION("GOOGLETRANSLATE(B56,""ar"",""en"")"),"If the cow seems nervous because of the large crowds, what do you do?")</f>
        <v>If the cow seems nervous because of the large crowds, what do you do?</v>
      </c>
      <c r="H56" s="20" t="str">
        <f>IFERROR(__xludf.DUMMYFUNCTION("GOOGLETRANSLATE(C56,""ar"",""en"")"),"a) She calms her down and tries to reduce the tension; b) She asks the crowd to move away; c) She asks to change location to participate in the fight; d) She ignores the situation and continues.")</f>
        <v>a) She calms her down and tries to reduce the tension; b) She asks the crowd to move away; c) She asks to change location to participate in the fight; d) She ignores the situation and continues.</v>
      </c>
      <c r="I56" s="20" t="str">
        <f>IFERROR(__xludf.DUMMYFUNCTION("GOOGLETRANSLATE(D56,""ar"",""en"")"),"a) Calm her down and try to reduce the tension")</f>
        <v>a) Calm her down and try to reduce the tension</v>
      </c>
      <c r="J56" s="20" t="str">
        <f>IFERROR(__xludf.DUMMYFUNCTION("GOOGLETRANSLATE(E56,""ar"",""en"")"),"Calming the cow helps in its concentration and improves its performance.")</f>
        <v>Calming the cow helps in its concentration and improves its performance.</v>
      </c>
      <c r="K56" s="20"/>
      <c r="L56" s="20"/>
      <c r="M56" s="9"/>
      <c r="N56" s="9"/>
      <c r="O56" s="9"/>
      <c r="P56" s="9"/>
      <c r="Q56" s="9"/>
      <c r="R56" s="9"/>
      <c r="S56" s="9"/>
      <c r="T56" s="9"/>
      <c r="U56" s="9"/>
      <c r="V56" s="9"/>
      <c r="W56" s="9"/>
      <c r="X56" s="9"/>
      <c r="Y56" s="9"/>
      <c r="Z56" s="9"/>
    </row>
    <row r="57">
      <c r="A57" s="20">
        <v>56.0</v>
      </c>
      <c r="B57" s="20" t="s">
        <v>2331</v>
      </c>
      <c r="C57" s="20" t="s">
        <v>2332</v>
      </c>
      <c r="D57" s="20" t="s">
        <v>2333</v>
      </c>
      <c r="E57" s="20" t="s">
        <v>2334</v>
      </c>
      <c r="F57" s="9"/>
      <c r="G57" s="20" t="str">
        <f>IFERROR(__xludf.DUMMYFUNCTION("GOOGLETRANSLATE(B57,""ar"",""en"")"),"If the cow shows signs of nervousness before a fight, what should you do?")</f>
        <v>If the cow shows signs of nervousness before a fight, what should you do?</v>
      </c>
      <c r="H57" s="20" t="str">
        <f>IFERROR(__xludf.DUMMYFUNCTION("GOOGLETRANSLATE(C57,""ar"",""en"")"),"a) Calm her down and give her time to adjust to the environment; b) Pressure her to respond quickly; c) Ask the trainer for additional instructions; d) Continue the fight unchanged")</f>
        <v>a) Calm her down and give her time to adjust to the environment; b) Pressure her to respond quickly; c) Ask the trainer for additional instructions; d) Continue the fight unchanged</v>
      </c>
      <c r="I57" s="20" t="str">
        <f>IFERROR(__xludf.DUMMYFUNCTION("GOOGLETRANSLATE(D57,""ar"",""en"")"),"a) Calm her down and give her time to adjust to the place")</f>
        <v>a) Calm her down and give her time to adjust to the place</v>
      </c>
      <c r="J57" s="20" t="str">
        <f>IFERROR(__xludf.DUMMYFUNCTION("GOOGLETRANSLATE(E57,""ar"",""en"")"),"Calming down helps to relieve tension and improve the ability to concentrate during battle.")</f>
        <v>Calming down helps to relieve tension and improve the ability to concentrate during battle.</v>
      </c>
      <c r="K57" s="20"/>
      <c r="L57" s="20"/>
      <c r="M57" s="9"/>
      <c r="N57" s="9"/>
      <c r="O57" s="9"/>
      <c r="P57" s="9"/>
      <c r="Q57" s="9"/>
      <c r="R57" s="9"/>
      <c r="S57" s="9"/>
      <c r="T57" s="9"/>
      <c r="U57" s="9"/>
      <c r="V57" s="9"/>
      <c r="W57" s="9"/>
      <c r="X57" s="9"/>
      <c r="Y57" s="9"/>
      <c r="Z57" s="9"/>
    </row>
    <row r="58">
      <c r="A58" s="20">
        <v>57.0</v>
      </c>
      <c r="B58" s="20" t="s">
        <v>2335</v>
      </c>
      <c r="C58" s="20" t="s">
        <v>2336</v>
      </c>
      <c r="D58" s="20" t="s">
        <v>2314</v>
      </c>
      <c r="E58" s="20" t="s">
        <v>2337</v>
      </c>
      <c r="F58" s="9"/>
      <c r="G58" s="20" t="str">
        <f>IFERROR(__xludf.DUMMYFUNCTION("GOOGLETRANSLATE(B58,""ar"",""en"")"),"If a cow is having difficulty breathing after a fight, what should you do?")</f>
        <v>If a cow is having difficulty breathing after a fight, what should you do?</v>
      </c>
      <c r="H58" s="20" t="str">
        <f>IFERROR(__xludf.DUMMYFUNCTION("GOOGLETRANSLATE(C58,""ar"",""en"")"),"a) Seek immediate medical attention; b) Continue to rest and recover; c) Offer the cow more food and water; d) Ignore the symptoms and wait for improvement")</f>
        <v>a) Seek immediate medical attention; b) Continue to rest and recover; c) Offer the cow more food and water; d) Ignore the symptoms and wait for improvement</v>
      </c>
      <c r="I58" s="20" t="str">
        <f>IFERROR(__xludf.DUMMYFUNCTION("GOOGLETRANSLATE(D58,""ar"",""en"")"),"a) Seek immediate medical assistance")</f>
        <v>a) Seek immediate medical assistance</v>
      </c>
      <c r="J58" s="20" t="str">
        <f>IFERROR(__xludf.DUMMYFUNCTION("GOOGLETRANSLATE(E58,""ar"",""en"")"),"Breathing problems require immediate attention from a specialist to avoid health complications.")</f>
        <v>Breathing problems require immediate attention from a specialist to avoid health complications.</v>
      </c>
      <c r="K58" s="20"/>
      <c r="L58" s="20"/>
      <c r="M58" s="9"/>
      <c r="N58" s="9"/>
      <c r="O58" s="9"/>
      <c r="P58" s="9"/>
      <c r="Q58" s="9"/>
      <c r="R58" s="9"/>
      <c r="S58" s="9"/>
      <c r="T58" s="9"/>
      <c r="U58" s="9"/>
      <c r="V58" s="9"/>
      <c r="W58" s="9"/>
      <c r="X58" s="9"/>
      <c r="Y58" s="9"/>
      <c r="Z58" s="9"/>
    </row>
    <row r="59">
      <c r="A59" s="20">
        <v>58.0</v>
      </c>
      <c r="B59" s="20" t="s">
        <v>2338</v>
      </c>
      <c r="C59" s="20" t="s">
        <v>2339</v>
      </c>
      <c r="D59" s="20" t="s">
        <v>2340</v>
      </c>
      <c r="E59" s="20" t="s">
        <v>2341</v>
      </c>
      <c r="F59" s="9"/>
      <c r="G59" s="20" t="str">
        <f>IFERROR(__xludf.DUMMYFUNCTION("GOOGLETRANSLATE(B59,""ar"",""en"")"),"If a cow is having difficulty adapting to a stronger competitor, what should it do?")</f>
        <v>If a cow is having difficulty adapting to a stronger competitor, what should it do?</v>
      </c>
      <c r="H59" s="20" t="str">
        <f>IFERROR(__xludf.DUMMYFUNCTION("GOOGLETRANSLATE(C59,""ar"",""en"")"),"a) Change your strategy to balance the power; b) Continue in the same way you started; c) Ask the coach for guidance; d) Threaten to withdraw")</f>
        <v>a) Change your strategy to balance the power; b) Continue in the same way you started; c) Ask the coach for guidance; d) Threaten to withdraw</v>
      </c>
      <c r="I59" s="20" t="str">
        <f>IFERROR(__xludf.DUMMYFUNCTION("GOOGLETRANSLATE(D59,""ar"",""en"")"),"a) Change your strategy to balance power")</f>
        <v>a) Change your strategy to balance power</v>
      </c>
      <c r="J59" s="20" t="str">
        <f>IFERROR(__xludf.DUMMYFUNCTION("GOOGLETRANSLATE(E59,""ar"",""en"")"),"Adapting to the opponent's fighting style helps improve the chances of winning.")</f>
        <v>Adapting to the opponent's fighting style helps improve the chances of winning.</v>
      </c>
      <c r="K59" s="20"/>
      <c r="L59" s="20"/>
      <c r="M59" s="9"/>
      <c r="N59" s="9"/>
      <c r="O59" s="9"/>
      <c r="P59" s="9"/>
      <c r="Q59" s="9"/>
      <c r="R59" s="9"/>
      <c r="S59" s="9"/>
      <c r="T59" s="9"/>
      <c r="U59" s="9"/>
      <c r="V59" s="9"/>
      <c r="W59" s="9"/>
      <c r="X59" s="9"/>
      <c r="Y59" s="9"/>
      <c r="Z59" s="9"/>
    </row>
    <row r="60">
      <c r="A60" s="20">
        <v>59.0</v>
      </c>
      <c r="B60" s="20" t="s">
        <v>2342</v>
      </c>
      <c r="C60" s="20" t="s">
        <v>2343</v>
      </c>
      <c r="D60" s="20" t="s">
        <v>2344</v>
      </c>
      <c r="E60" s="20" t="s">
        <v>2345</v>
      </c>
      <c r="F60" s="9"/>
      <c r="G60" s="20" t="str">
        <f>IFERROR(__xludf.DUMMYFUNCTION("GOOGLETRANSLATE(B60,""ar"",""en"")"),"If a cow is under violent attack from a competitor, what should it do?")</f>
        <v>If a cow is under violent attack from a competitor, what should it do?</v>
      </c>
      <c r="H60" s="20" t="str">
        <f>IFERROR(__xludf.DUMMYFUNCTION("GOOGLETRANSLATE(C60,""ar"",""en"")"),"a) Attempts to stop the attack using defensive techniques; b) Threatens to withdraw immediately; c) Increases its speed to attempt an attack; d) Continues fighting unchanged")</f>
        <v>a) Attempts to stop the attack using defensive techniques; b) Threatens to withdraw immediately; c) Increases its speed to attempt an attack; d) Continues fighting unchanged</v>
      </c>
      <c r="I60" s="20" t="str">
        <f>IFERROR(__xludf.DUMMYFUNCTION("GOOGLETRANSLATE(D60,""ar"",""en"")"),"a) She tries to stop the attack using defensive techniques")</f>
        <v>a) She tries to stop the attack using defensive techniques</v>
      </c>
      <c r="J60" s="20" t="str">
        <f>IFERROR(__xludf.DUMMYFUNCTION("GOOGLETRANSLATE(E60,""ar"",""en"")"),"Good defense techniques improve a cow's chances of survival and victory.")</f>
        <v>Good defense techniques improve a cow's chances of survival and victory.</v>
      </c>
      <c r="K60" s="20"/>
      <c r="L60" s="20"/>
      <c r="M60" s="9"/>
      <c r="N60" s="9"/>
      <c r="O60" s="9"/>
      <c r="P60" s="9"/>
      <c r="Q60" s="9"/>
      <c r="R60" s="9"/>
      <c r="S60" s="9"/>
      <c r="T60" s="9"/>
      <c r="U60" s="9"/>
      <c r="V60" s="9"/>
      <c r="W60" s="9"/>
      <c r="X60" s="9"/>
      <c r="Y60" s="9"/>
      <c r="Z60" s="9"/>
    </row>
    <row r="61">
      <c r="A61" s="20">
        <v>60.0</v>
      </c>
      <c r="B61" s="20" t="s">
        <v>2346</v>
      </c>
      <c r="C61" s="20" t="s">
        <v>2347</v>
      </c>
      <c r="D61" s="20" t="s">
        <v>2348</v>
      </c>
      <c r="E61" s="20" t="s">
        <v>2349</v>
      </c>
      <c r="F61" s="9"/>
      <c r="G61" s="20" t="str">
        <f>IFERROR(__xludf.DUMMYFUNCTION("GOOGLETRANSLATE(B61,""ar"",""en"")"),"If you feel exhausted during battle, what do you do?")</f>
        <v>If you feel exhausted during battle, what do you do?</v>
      </c>
      <c r="H61" s="20" t="str">
        <f>IFERROR(__xludf.DUMMYFUNCTION("GOOGLETRANSLATE(C61,""ar"",""en"")"),"a) You calm down and try to focus on the cow; b) You ask the team for help directly; c) You continue the fight unchanged; d) You end the fight early")</f>
        <v>a) You calm down and try to focus on the cow; b) You ask the team for help directly; c) You continue the fight unchanged; d) You end the fight early</v>
      </c>
      <c r="I61" s="20" t="str">
        <f>IFERROR(__xludf.DUMMYFUNCTION("GOOGLETRANSLATE(D61,""ar"",""en"")"),"a) Calm yourself down and try to focus on the cow")</f>
        <v>a) Calm yourself down and try to focus on the cow</v>
      </c>
      <c r="J61" s="20" t="str">
        <f>IFERROR(__xludf.DUMMYFUNCTION("GOOGLETRANSLATE(E61,""ar"",""en"")"),"Focus helps in maintaining calmness and making sound decisions.")</f>
        <v>Focus helps in maintaining calmness and making sound decisions.</v>
      </c>
      <c r="K61" s="20"/>
      <c r="L61" s="20"/>
      <c r="M61" s="9"/>
      <c r="N61" s="9"/>
      <c r="O61" s="9"/>
      <c r="P61" s="9"/>
      <c r="Q61" s="9"/>
      <c r="R61" s="9"/>
      <c r="S61" s="9"/>
      <c r="T61" s="9"/>
      <c r="U61" s="9"/>
      <c r="V61" s="9"/>
      <c r="W61" s="9"/>
      <c r="X61" s="9"/>
      <c r="Y61" s="9"/>
      <c r="Z61" s="9"/>
    </row>
    <row r="62">
      <c r="A62" s="20">
        <v>61.0</v>
      </c>
      <c r="B62" s="20" t="s">
        <v>2350</v>
      </c>
      <c r="C62" s="20" t="s">
        <v>2351</v>
      </c>
      <c r="D62" s="20" t="s">
        <v>2352</v>
      </c>
      <c r="E62" s="20" t="s">
        <v>2353</v>
      </c>
      <c r="F62" s="9"/>
      <c r="G62" s="20" t="str">
        <f>IFERROR(__xludf.DUMMYFUNCTION("GOOGLETRANSLATE(B62,""ar"",""en"")"),"If the cow shows signs of nervousness before a fight, what should you do?")</f>
        <v>If the cow shows signs of nervousness before a fight, what should you do?</v>
      </c>
      <c r="H62" s="20" t="str">
        <f>IFERROR(__xludf.DUMMYFUNCTION("GOOGLETRANSLATE(C62,""ar"",""en"")"),"a) Calm her down and give her some time to relax; b) Urge her to get ready immediately; c) Request medical intervention; d) Ask the team for help.")</f>
        <v>a) Calm her down and give her some time to relax; b) Urge her to get ready immediately; c) Request medical intervention; d) Ask the team for help.</v>
      </c>
      <c r="I62" s="20" t="str">
        <f>IFERROR(__xludf.DUMMYFUNCTION("GOOGLETRANSLATE(D62,""ar"",""en"")"),"a) Calm her down and give her some time to relax")</f>
        <v>a) Calm her down and give her some time to relax</v>
      </c>
      <c r="J62" s="20" t="str">
        <f>IFERROR(__xludf.DUMMYFUNCTION("GOOGLETRANSLATE(E62,""ar"",""en"")"),"Psychological comfort for the cow before a fight may help reduce nervousness and improve performance.")</f>
        <v>Psychological comfort for the cow before a fight may help reduce nervousness and improve performance.</v>
      </c>
      <c r="K62" s="20"/>
      <c r="L62" s="20"/>
      <c r="M62" s="9"/>
      <c r="N62" s="9"/>
      <c r="O62" s="9"/>
      <c r="P62" s="9"/>
      <c r="Q62" s="9"/>
      <c r="R62" s="9"/>
      <c r="S62" s="9"/>
      <c r="T62" s="9"/>
      <c r="U62" s="9"/>
      <c r="V62" s="9"/>
      <c r="W62" s="9"/>
      <c r="X62" s="9"/>
      <c r="Y62" s="9"/>
      <c r="Z62" s="9"/>
    </row>
    <row r="63">
      <c r="A63" s="20">
        <v>62.0</v>
      </c>
      <c r="B63" s="20" t="s">
        <v>2354</v>
      </c>
      <c r="C63" s="20" t="s">
        <v>2355</v>
      </c>
      <c r="D63" s="20" t="s">
        <v>2356</v>
      </c>
      <c r="E63" s="20" t="s">
        <v>2357</v>
      </c>
      <c r="F63" s="9"/>
      <c r="G63" s="20" t="str">
        <f>IFERROR(__xludf.DUMMYFUNCTION("GOOGLETRANSLATE(B63,""ar"",""en"")"),"If a cow is having difficulty interacting with a competitor due to poor eyesight, what should you do?")</f>
        <v>If a cow is having difficulty interacting with a competitor due to poor eyesight, what should you do?</v>
      </c>
      <c r="H63" s="20" t="str">
        <f>IFERROR(__xludf.DUMMYFUNCTION("GOOGLETRANSLATE(C63,""ar"",""en"")"),"a) Requests an immediate halt to the fight to examine the cow; b) Uses other techniques to try to avoid direct confrontation; c) Continues the fight unchanged; d) Requests a change of cow, if possible")</f>
        <v>a) Requests an immediate halt to the fight to examine the cow; b) Uses other techniques to try to avoid direct confrontation; c) Continues the fight unchanged; d) Requests a change of cow, if possible</v>
      </c>
      <c r="I63" s="20" t="str">
        <f>IFERROR(__xludf.DUMMYFUNCTION("GOOGLETRANSLATE(D63,""ar"",""en"")"),"a) He requested that the fight be stopped immediately to examine the cow")</f>
        <v>a) He requested that the fight be stopped immediately to examine the cow</v>
      </c>
      <c r="J63" s="20" t="str">
        <f>IFERROR(__xludf.DUMMYFUNCTION("GOOGLETRANSLATE(E63,""ar"",""en"")"),"Paying attention to the cow's physical health is essential, and any vision problems should be treated quickly.")</f>
        <v>Paying attention to the cow's physical health is essential, and any vision problems should be treated quickly.</v>
      </c>
      <c r="K63" s="20"/>
      <c r="L63" s="20"/>
      <c r="M63" s="9"/>
      <c r="N63" s="9"/>
      <c r="O63" s="9"/>
      <c r="P63" s="9"/>
      <c r="Q63" s="9"/>
      <c r="R63" s="9"/>
      <c r="S63" s="9"/>
      <c r="T63" s="9"/>
      <c r="U63" s="9"/>
      <c r="V63" s="9"/>
      <c r="W63" s="9"/>
      <c r="X63" s="9"/>
      <c r="Y63" s="9"/>
      <c r="Z63" s="9"/>
    </row>
    <row r="64">
      <c r="A64" s="20">
        <v>63.0</v>
      </c>
      <c r="B64" s="20" t="s">
        <v>2358</v>
      </c>
      <c r="C64" s="20" t="s">
        <v>2359</v>
      </c>
      <c r="D64" s="20" t="s">
        <v>2360</v>
      </c>
      <c r="E64" s="20" t="s">
        <v>2361</v>
      </c>
      <c r="F64" s="9"/>
      <c r="G64" s="20" t="str">
        <f>IFERROR(__xludf.DUMMYFUNCTION("GOOGLETRANSLATE(B64,""ar"",""en"")"),"If the cow is unwilling to enter the arena after training, what do you do?")</f>
        <v>If the cow is unwilling to enter the arena after training, what do you do?</v>
      </c>
      <c r="H64" s="20" t="str">
        <f>IFERROR(__xludf.DUMMYFUNCTION("GOOGLETRANSLATE(C64,""ar"",""en"")"),"a) She tries to calm her down with words and comfort; b) She pressures her to enter the arena; c) She ignores the problem and continues trying; d) She asks the coach to intervene")</f>
        <v>a) She tries to calm her down with words and comfort; b) She pressures her to enter the arena; c) She ignores the problem and continues trying; d) She asks the coach to intervene</v>
      </c>
      <c r="I64" s="20" t="str">
        <f>IFERROR(__xludf.DUMMYFUNCTION("GOOGLETRANSLATE(D64,""ar"",""en"")"),"a) She tries to calm her down with words and comfort")</f>
        <v>a) She tries to calm her down with words and comfort</v>
      </c>
      <c r="J64" s="20" t="str">
        <f>IFERROR(__xludf.DUMMYFUNCTION("GOOGLETRANSLATE(E64,""ar"",""en"")"),"Calm communication with the cow can help alleviate her anxiety and encourage her to participate.")</f>
        <v>Calm communication with the cow can help alleviate her anxiety and encourage her to participate.</v>
      </c>
      <c r="K64" s="20"/>
      <c r="L64" s="20"/>
      <c r="M64" s="9"/>
      <c r="N64" s="9"/>
      <c r="O64" s="9"/>
      <c r="P64" s="9"/>
      <c r="Q64" s="9"/>
      <c r="R64" s="9"/>
      <c r="S64" s="9"/>
      <c r="T64" s="9"/>
      <c r="U64" s="9"/>
      <c r="V64" s="9"/>
      <c r="W64" s="9"/>
      <c r="X64" s="9"/>
      <c r="Y64" s="9"/>
      <c r="Z64" s="9"/>
    </row>
    <row r="65">
      <c r="A65" s="20">
        <v>64.0</v>
      </c>
      <c r="B65" s="20" t="s">
        <v>2362</v>
      </c>
      <c r="C65" s="20" t="s">
        <v>2363</v>
      </c>
      <c r="D65" s="20" t="s">
        <v>2364</v>
      </c>
      <c r="E65" s="20" t="s">
        <v>2365</v>
      </c>
      <c r="F65" s="9"/>
      <c r="G65" s="20" t="str">
        <f>IFERROR(__xludf.DUMMYFUNCTION("GOOGLETRANSLATE(B65,""ar"",""en"")"),"If your opponent in a fight is behaving badly, what do you do?")</f>
        <v>If your opponent in a fight is behaving badly, what do you do?</v>
      </c>
      <c r="H65" s="20" t="str">
        <f>IFERROR(__xludf.DUMMYFUNCTION("GOOGLETRANSLATE(C65,""ar"",""en"")"),"a) Requests immediate referee intervention to stop the illegal actions; b) Ignores the action and continues the fight; c) Attacks the opponent in response to the action; d) Asks the team to handle the situation")</f>
        <v>a) Requests immediate referee intervention to stop the illegal actions; b) Ignores the action and continues the fight; c) Attacks the opponent in response to the action; d) Asks the team to handle the situation</v>
      </c>
      <c r="I65" s="20" t="str">
        <f>IFERROR(__xludf.DUMMYFUNCTION("GOOGLETRANSLATE(D65,""ar"",""en"")"),"a) The judge's intervention is required immediately to stop the illegal actions.")</f>
        <v>a) The judge's intervention is required immediately to stop the illegal actions.</v>
      </c>
      <c r="J65" s="20" t="str">
        <f>IFERROR(__xludf.DUMMYFUNCTION("GOOGLETRANSLATE(E65,""ar"",""en"")"),"Ensuring that the rules are applied preserves the integrity of the fight and protects the safety of the participants.")</f>
        <v>Ensuring that the rules are applied preserves the integrity of the fight and protects the safety of the participants.</v>
      </c>
      <c r="K65" s="20"/>
      <c r="L65" s="20"/>
      <c r="M65" s="9"/>
      <c r="N65" s="9"/>
      <c r="O65" s="9"/>
      <c r="P65" s="9"/>
      <c r="Q65" s="9"/>
      <c r="R65" s="9"/>
      <c r="S65" s="9"/>
      <c r="T65" s="9"/>
      <c r="U65" s="9"/>
      <c r="V65" s="9"/>
      <c r="W65" s="9"/>
      <c r="X65" s="9"/>
      <c r="Y65" s="9"/>
      <c r="Z65" s="9"/>
    </row>
    <row r="66">
      <c r="A66" s="20">
        <v>65.0</v>
      </c>
      <c r="B66" s="20" t="s">
        <v>2366</v>
      </c>
      <c r="C66" s="20" t="s">
        <v>2367</v>
      </c>
      <c r="D66" s="20" t="s">
        <v>2368</v>
      </c>
      <c r="E66" s="20" t="s">
        <v>2369</v>
      </c>
      <c r="F66" s="9"/>
      <c r="G66" s="20" t="str">
        <f>IFERROR(__xludf.DUMMYFUNCTION("GOOGLETRANSLATE(B66,""ar"",""en"")"),"If you feel you have lost focus during a battle, what do you do?")</f>
        <v>If you feel you have lost focus during a battle, what do you do?</v>
      </c>
      <c r="H66" s="20" t="str">
        <f>IFERROR(__xludf.DUMMYFUNCTION("GOOGLETRANSLATE(C66,""ar"",""en"")"),"a) Take a moment to adjust your strategy and regain your composure; b) Ask the team for help immediately; c) Continue in the same manner and wait for the situation to improve; d) Stop fighting immediately")</f>
        <v>a) Take a moment to adjust your strategy and regain your composure; b) Ask the team for help immediately; c) Continue in the same manner and wait for the situation to improve; d) Stop fighting immediately</v>
      </c>
      <c r="I66" s="20" t="str">
        <f>IFERROR(__xludf.DUMMYFUNCTION("GOOGLETRANSLATE(D66,""ar"",""en"")"),"a) Take a moment to adjust your strategy and regain your composure")</f>
        <v>a) Take a moment to adjust your strategy and regain your composure</v>
      </c>
      <c r="J66" s="20" t="str">
        <f>IFERROR(__xludf.DUMMYFUNCTION("GOOGLETRANSLATE(E66,""ar"",""en"")"),"Focusing on a new strategy can help improve your performance in battle.")</f>
        <v>Focusing on a new strategy can help improve your performance in battle.</v>
      </c>
      <c r="K66" s="20"/>
      <c r="L66" s="20"/>
      <c r="M66" s="9"/>
      <c r="N66" s="9"/>
      <c r="O66" s="9"/>
      <c r="P66" s="9"/>
      <c r="Q66" s="9"/>
      <c r="R66" s="9"/>
      <c r="S66" s="9"/>
      <c r="T66" s="9"/>
      <c r="U66" s="9"/>
      <c r="V66" s="9"/>
      <c r="W66" s="9"/>
      <c r="X66" s="9"/>
      <c r="Y66" s="9"/>
      <c r="Z66" s="9"/>
    </row>
    <row r="67">
      <c r="A67" s="20">
        <v>66.0</v>
      </c>
      <c r="B67" s="20" t="s">
        <v>2370</v>
      </c>
      <c r="C67" s="20" t="s">
        <v>2371</v>
      </c>
      <c r="D67" s="20" t="s">
        <v>2372</v>
      </c>
      <c r="E67" s="20" t="s">
        <v>2373</v>
      </c>
      <c r="F67" s="9"/>
      <c r="G67" s="20" t="str">
        <f>IFERROR(__xludf.DUMMYFUNCTION("GOOGLETRANSLATE(B67,""ar"",""en"")"),"If you notice that the cow is showing signs of extreme fatigue in the middle of a fight, what do you do?")</f>
        <v>If you notice that the cow is showing signs of extreme fatigue in the middle of a fight, what do you do?</v>
      </c>
      <c r="H67" s="20" t="str">
        <f>IFERROR(__xludf.DUMMYFUNCTION("GOOGLETRANSLATE(C67,""ar"",""en"")"),"a) She requests a short break for the cow; b) She continues the fight and urges her to keep going; c) She asks the referee to end the fight immediately; d) She requests immediate medical intervention")</f>
        <v>a) She requests a short break for the cow; b) She continues the fight and urges her to keep going; c) She asks the referee to end the fight immediately; d) She requests immediate medical intervention</v>
      </c>
      <c r="I67" s="20" t="str">
        <f>IFERROR(__xludf.DUMMYFUNCTION("GOOGLETRANSLATE(D67,""ar"",""en"")"),"a) The cow requires a short break")</f>
        <v>a) The cow requires a short break</v>
      </c>
      <c r="J67" s="20" t="str">
        <f>IFERROR(__xludf.DUMMYFUNCTION("GOOGLETRANSLATE(E67,""ar"",""en"")"),"Giving the cow time to rest can help avoid overexertion and protect it from injuries.")</f>
        <v>Giving the cow time to rest can help avoid overexertion and protect it from injuries.</v>
      </c>
      <c r="K67" s="20"/>
      <c r="L67" s="20"/>
      <c r="M67" s="9"/>
      <c r="N67" s="9"/>
      <c r="O67" s="9"/>
      <c r="P67" s="9"/>
      <c r="Q67" s="9"/>
      <c r="R67" s="9"/>
      <c r="S67" s="9"/>
      <c r="T67" s="9"/>
      <c r="U67" s="9"/>
      <c r="V67" s="9"/>
      <c r="W67" s="9"/>
      <c r="X67" s="9"/>
      <c r="Y67" s="9"/>
      <c r="Z67" s="9"/>
    </row>
    <row r="68">
      <c r="A68" s="20">
        <v>67.0</v>
      </c>
      <c r="B68" s="20" t="s">
        <v>2374</v>
      </c>
      <c r="C68" s="20" t="s">
        <v>2375</v>
      </c>
      <c r="D68" s="20" t="s">
        <v>2376</v>
      </c>
      <c r="E68" s="20" t="s">
        <v>2377</v>
      </c>
      <c r="F68" s="9"/>
      <c r="G68" s="20" t="str">
        <f>IFERROR(__xludf.DUMMYFUNCTION("GOOGLETRANSLATE(B68,""ar"",""en"")"),"If a cow is being insulted by rivals during a fight, what should it do?")</f>
        <v>If a cow is being insulted by rivals during a fight, what should it do?</v>
      </c>
      <c r="H68" s="20" t="str">
        <f>IFERROR(__xludf.DUMMYFUNCTION("GOOGLETRANSLATE(C68,""ar"",""en"")"),"a) Remain calm and continue the fight; b) Attack your opponents in response to the insult; c) Ask the referee to intervene immediately; d) Threaten to withdraw your cow")</f>
        <v>a) Remain calm and continue the fight; b) Attack your opponents in response to the insult; c) Ask the referee to intervene immediately; d) Threaten to withdraw your cow</v>
      </c>
      <c r="I68" s="20" t="str">
        <f>IFERROR(__xludf.DUMMYFUNCTION("GOOGLETRANSLATE(D68,""ar"",""en"")"),"a) Remain calm and continue the fight")</f>
        <v>a) Remain calm and continue the fight</v>
      </c>
      <c r="J68" s="20" t="str">
        <f>IFERROR(__xludf.DUMMYFUNCTION("GOOGLETRANSLATE(E68,""ar"",""en"")"),"Calmness and discipline help ensure that insults do not affect your performance or safety.")</f>
        <v>Calmness and discipline help ensure that insults do not affect your performance or safety.</v>
      </c>
      <c r="K68" s="20"/>
      <c r="L68" s="20"/>
      <c r="M68" s="9"/>
      <c r="N68" s="9"/>
      <c r="O68" s="9"/>
      <c r="P68" s="9"/>
      <c r="Q68" s="9"/>
      <c r="R68" s="9"/>
      <c r="S68" s="9"/>
      <c r="T68" s="9"/>
      <c r="U68" s="9"/>
      <c r="V68" s="9"/>
      <c r="W68" s="9"/>
      <c r="X68" s="9"/>
      <c r="Y68" s="9"/>
      <c r="Z68" s="9"/>
    </row>
    <row r="69">
      <c r="A69" s="20">
        <v>68.0</v>
      </c>
      <c r="B69" s="20" t="s">
        <v>2378</v>
      </c>
      <c r="C69" s="20" t="s">
        <v>2379</v>
      </c>
      <c r="D69" s="20" t="s">
        <v>2380</v>
      </c>
      <c r="E69" s="20" t="s">
        <v>2381</v>
      </c>
      <c r="F69" s="9"/>
      <c r="G69" s="20" t="str">
        <f>IFERROR(__xludf.DUMMYFUNCTION("GOOGLETRANSLATE(B69,""ar"",""en"")"),"If your competitor is using illegal techniques against you, what do you do?")</f>
        <v>If your competitor is using illegal techniques against you, what do you do?</v>
      </c>
      <c r="H69" s="20" t="str">
        <f>IFERROR(__xludf.DUMMYFUNCTION("GOOGLETRANSLATE(C69,""ar"",""en"")"),"a) Asks the referee to take action against the opponent; b) Continues the fight in the same manner; c) Increases her aggression in response; d) Demands the fight be ended immediately")</f>
        <v>a) Asks the referee to take action against the opponent; b) Continues the fight in the same manner; c) Increases her aggression in response; d) Demands the fight be ended immediately</v>
      </c>
      <c r="I69" s="20" t="str">
        <f>IFERROR(__xludf.DUMMYFUNCTION("GOOGLETRANSLATE(D69,""ar"",""en"")"),"a) Requests the referee to take action against the competitor")</f>
        <v>a) Requests the referee to take action against the competitor</v>
      </c>
      <c r="J69" s="20" t="str">
        <f>IFERROR(__xludf.DUMMYFUNCTION("GOOGLETRANSLATE(E69,""ar"",""en"")"),"Ensuring that the rules are applied helps to guarantee fair competition and enhances security.")</f>
        <v>Ensuring that the rules are applied helps to guarantee fair competition and enhances security.</v>
      </c>
      <c r="K69" s="20"/>
      <c r="L69" s="20"/>
      <c r="M69" s="9"/>
      <c r="N69" s="9"/>
      <c r="O69" s="9"/>
      <c r="P69" s="9"/>
      <c r="Q69" s="9"/>
      <c r="R69" s="9"/>
      <c r="S69" s="9"/>
      <c r="T69" s="9"/>
      <c r="U69" s="9"/>
      <c r="V69" s="9"/>
      <c r="W69" s="9"/>
      <c r="X69" s="9"/>
      <c r="Y69" s="9"/>
      <c r="Z69" s="9"/>
    </row>
    <row r="70">
      <c r="A70" s="20">
        <v>69.0</v>
      </c>
      <c r="B70" s="20" t="s">
        <v>2382</v>
      </c>
      <c r="C70" s="20" t="s">
        <v>2383</v>
      </c>
      <c r="D70" s="20" t="s">
        <v>2384</v>
      </c>
      <c r="E70" s="20" t="s">
        <v>2385</v>
      </c>
      <c r="F70" s="9"/>
      <c r="G70" s="20" t="str">
        <f>IFERROR(__xludf.DUMMYFUNCTION("GOOGLETRANSLATE(B70,""ar"",""en"")"),"If you are in a difficult situation in a battle with a competitor, what do you do?")</f>
        <v>If you are in a difficult situation in a battle with a competitor, what do you do?</v>
      </c>
      <c r="H70" s="20" t="str">
        <f>IFERROR(__xludf.DUMMYFUNCTION("GOOGLETRANSLATE(C70,""ar"",""en"")"),"a) You reassess your strategy and look for weaknesses in the opponent; b) You continue to attack with maximum force; c) You immediately call on the team for help; d) You threaten to withdraw")</f>
        <v>a) You reassess your strategy and look for weaknesses in the opponent; b) You continue to attack with maximum force; c) You immediately call on the team for help; d) You threaten to withdraw</v>
      </c>
      <c r="I70" s="20" t="str">
        <f>IFERROR(__xludf.DUMMYFUNCTION("GOOGLETRANSLATE(D70,""ar"",""en"")"),"a) Reassess your strategy and look for weaknesses in the competitor")</f>
        <v>a) Reassess your strategy and look for weaknesses in the competitor</v>
      </c>
      <c r="J70" s="20" t="str">
        <f>IFERROR(__xludf.DUMMYFUNCTION("GOOGLETRANSLATE(E70,""ar"",""en"")"),"Strategic thinking helps to find new opportunities to win, even in difficult situations.")</f>
        <v>Strategic thinking helps to find new opportunities to win, even in difficult situations.</v>
      </c>
      <c r="K70" s="20"/>
      <c r="L70" s="20"/>
      <c r="M70" s="9"/>
      <c r="N70" s="9"/>
      <c r="O70" s="9"/>
      <c r="P70" s="9"/>
      <c r="Q70" s="9"/>
      <c r="R70" s="9"/>
      <c r="S70" s="9"/>
      <c r="T70" s="9"/>
      <c r="U70" s="9"/>
      <c r="V70" s="9"/>
      <c r="W70" s="9"/>
      <c r="X70" s="9"/>
      <c r="Y70" s="9"/>
      <c r="Z70" s="9"/>
    </row>
    <row r="71">
      <c r="A71" s="20">
        <v>70.0</v>
      </c>
      <c r="B71" s="20" t="s">
        <v>2316</v>
      </c>
      <c r="C71" s="20" t="s">
        <v>2386</v>
      </c>
      <c r="D71" s="20" t="s">
        <v>2387</v>
      </c>
      <c r="E71" s="20" t="s">
        <v>2388</v>
      </c>
      <c r="F71" s="9"/>
      <c r="G71" s="20" t="str">
        <f>IFERROR(__xludf.DUMMYFUNCTION("GOOGLETRANSLATE(B71,""ar"",""en"")"),"If it gets very hot during the battle, what do you do?")</f>
        <v>If it gets very hot during the battle, what do you do?</v>
      </c>
      <c r="H71" s="20" t="str">
        <f>IFERROR(__xludf.DUMMYFUNCTION("GOOGLETRANSLATE(C71,""ar"",""en"")"),"a) She asks the team to provide water and rest for the cow; b) She continues the fight unchanged; c) She asks the referee to end the fight early; d) She makes a greater effort to improve her performance despite the weather.")</f>
        <v>a) She asks the team to provide water and rest for the cow; b) She continues the fight unchanged; c) She asks the referee to end the fight early; d) She makes a greater effort to improve her performance despite the weather.</v>
      </c>
      <c r="I71" s="20" t="str">
        <f>IFERROR(__xludf.DUMMYFUNCTION("GOOGLETRANSLATE(D71,""ar"",""en"")"),"a) The team is required to provide water and rest for the cow")</f>
        <v>a) The team is required to provide water and rest for the cow</v>
      </c>
      <c r="J71" s="20" t="str">
        <f>IFERROR(__xludf.DUMMYFUNCTION("GOOGLETRANSLATE(E71,""ar"",""en"")"),"Comfort and cooling help reduce the effect of heat on the cow and improve its performance.")</f>
        <v>Comfort and cooling help reduce the effect of heat on the cow and improve its performance.</v>
      </c>
      <c r="K71" s="20"/>
      <c r="L71" s="20"/>
      <c r="M71" s="9"/>
      <c r="N71" s="9"/>
      <c r="O71" s="9"/>
      <c r="P71" s="9"/>
      <c r="Q71" s="9"/>
      <c r="R71" s="9"/>
      <c r="S71" s="9"/>
      <c r="T71" s="9"/>
      <c r="U71" s="9"/>
      <c r="V71" s="9"/>
      <c r="W71" s="9"/>
      <c r="X71" s="9"/>
      <c r="Y71" s="9"/>
      <c r="Z71" s="9"/>
    </row>
    <row r="72">
      <c r="A72" s="20">
        <v>71.0</v>
      </c>
      <c r="B72" s="20" t="s">
        <v>2389</v>
      </c>
      <c r="C72" s="20" t="s">
        <v>2390</v>
      </c>
      <c r="D72" s="20" t="s">
        <v>2391</v>
      </c>
      <c r="E72" s="20" t="s">
        <v>2392</v>
      </c>
      <c r="F72" s="9"/>
      <c r="G72" s="20" t="str">
        <f>IFERROR(__xludf.DUMMYFUNCTION("GOOGLETRANSLATE(B72,""ar"",""en"")"),"If the cow shows signs of extreme anxiety before a fight, what should you do?")</f>
        <v>If the cow shows signs of extreme anxiety before a fight, what should you do?</v>
      </c>
      <c r="H72" s="20" t="str">
        <f>IFERROR(__xludf.DUMMYFUNCTION("GOOGLETRANSLATE(C72,""ar"",""en"")"),"a) Try to calm her down and give her some time to relax; b) Press her to participate immediately; c) Ask the trainer to step in and give her additional instructions; d) Request that the fight be postponed, if possible")</f>
        <v>a) Try to calm her down and give her some time to relax; b) Press her to participate immediately; c) Ask the trainer to step in and give her additional instructions; d) Request that the fight be postponed, if possible</v>
      </c>
      <c r="I72" s="20" t="str">
        <f>IFERROR(__xludf.DUMMYFUNCTION("GOOGLETRANSLATE(D72,""ar"",""en"")"),"a) She tries to calm her down and gives her some time to relax")</f>
        <v>a) She tries to calm her down and gives her some time to relax</v>
      </c>
      <c r="J72" s="20" t="str">
        <f>IFERROR(__xludf.DUMMYFUNCTION("GOOGLETRANSLATE(E72,""ar"",""en"")"),"Dealing with anxiety helps reduce stress and contributes to better performance during combat.")</f>
        <v>Dealing with anxiety helps reduce stress and contributes to better performance during combat.</v>
      </c>
      <c r="K72" s="20"/>
      <c r="L72" s="20"/>
      <c r="M72" s="9"/>
      <c r="N72" s="9"/>
      <c r="O72" s="9"/>
      <c r="P72" s="9"/>
      <c r="Q72" s="9"/>
      <c r="R72" s="9"/>
      <c r="S72" s="9"/>
      <c r="T72" s="9"/>
      <c r="U72" s="9"/>
      <c r="V72" s="9"/>
      <c r="W72" s="9"/>
      <c r="X72" s="9"/>
      <c r="Y72" s="9"/>
      <c r="Z72" s="9"/>
    </row>
    <row r="73">
      <c r="A73" s="20">
        <v>72.0</v>
      </c>
      <c r="B73" s="20" t="s">
        <v>2393</v>
      </c>
      <c r="C73" s="20" t="s">
        <v>2394</v>
      </c>
      <c r="D73" s="20" t="s">
        <v>2233</v>
      </c>
      <c r="E73" s="20" t="s">
        <v>2395</v>
      </c>
      <c r="F73" s="9"/>
      <c r="G73" s="20" t="str">
        <f>IFERROR(__xludf.DUMMYFUNCTION("GOOGLETRANSLATE(B73,""ar"",""en"")"),"If the cow sustained a minor injury to her feet during the fight, what should she do?")</f>
        <v>If the cow sustained a minor injury to her feet during the fight, what should she do?</v>
      </c>
      <c r="H73" s="20" t="str">
        <f>IFERROR(__xludf.DUMMYFUNCTION("GOOGLETRANSLATE(C73,""ar"",""en"")"),"a) Seek medical assistance to examine the injury; b) Continue the fight cautiously; c) Demand an immediate halt to the fight to avoid further injury; d) Ask the cow to continue despite the pain")</f>
        <v>a) Seek medical assistance to examine the injury; b) Continue the fight cautiously; c) Demand an immediate halt to the fight to avoid further injury; d) Ask the cow to continue despite the pain</v>
      </c>
      <c r="I73" s="20" t="str">
        <f>IFERROR(__xludf.DUMMYFUNCTION("GOOGLETRANSLATE(D73,""ar"",""en"")"),"a) Seek medical assistance to examine the injury")</f>
        <v>a) Seek medical assistance to examine the injury</v>
      </c>
      <c r="J73" s="20" t="str">
        <f>IFERROR(__xludf.DUMMYFUNCTION("GOOGLETRANSLATE(E73,""ar"",""en"")"),"Paying attention to injuries, however minor, helps prevent deterioration and ensures the cow's well-being.")</f>
        <v>Paying attention to injuries, however minor, helps prevent deterioration and ensures the cow's well-being.</v>
      </c>
      <c r="K73" s="20"/>
      <c r="L73" s="20"/>
      <c r="M73" s="9"/>
      <c r="N73" s="9"/>
      <c r="O73" s="9"/>
      <c r="P73" s="9"/>
      <c r="Q73" s="9"/>
      <c r="R73" s="9"/>
      <c r="S73" s="9"/>
      <c r="T73" s="9"/>
      <c r="U73" s="9"/>
      <c r="V73" s="9"/>
      <c r="W73" s="9"/>
      <c r="X73" s="9"/>
      <c r="Y73" s="9"/>
      <c r="Z73" s="9"/>
    </row>
    <row r="74">
      <c r="A74" s="20">
        <v>73.0</v>
      </c>
      <c r="B74" s="20" t="s">
        <v>2396</v>
      </c>
      <c r="C74" s="20" t="s">
        <v>2397</v>
      </c>
      <c r="D74" s="20" t="s">
        <v>2398</v>
      </c>
      <c r="E74" s="20" t="s">
        <v>2399</v>
      </c>
      <c r="F74" s="9"/>
      <c r="G74" s="20" t="str">
        <f>IFERROR(__xludf.DUMMYFUNCTION("GOOGLETRANSLATE(B74,""ar"",""en"")"),"If the cow shows no response to your signals during the fight, what do you do?")</f>
        <v>If the cow shows no response to your signals during the fight, what do you do?</v>
      </c>
      <c r="H74" s="20" t="str">
        <f>IFERROR(__xludf.DUMMYFUNCTION("GOOGLETRANSLATE(C74,""ar"",""en"")"),"a) She tries to guide her again using different signals; b) She ignores the problem and continues as is; c) She asks the trainer to intervene and guide the cow; d) She asks for the fight to be stopped, if the cow is in danger.")</f>
        <v>a) She tries to guide her again using different signals; b) She ignores the problem and continues as is; c) She asks the trainer to intervene and guide the cow; d) She asks for the fight to be stopped, if the cow is in danger.</v>
      </c>
      <c r="I74" s="20" t="str">
        <f>IFERROR(__xludf.DUMMYFUNCTION("GOOGLETRANSLATE(D74,""ar"",""en"")"),"a) She tries to guide it again using different signals")</f>
        <v>a) She tries to guide it again using different signals</v>
      </c>
      <c r="J74" s="20" t="str">
        <f>IFERROR(__xludf.DUMMYFUNCTION("GOOGLETRANSLATE(E74,""ar"",""en"")"),"Effective communication with the cow helps improve her responsiveness and better guidance.")</f>
        <v>Effective communication with the cow helps improve her responsiveness and better guidance.</v>
      </c>
      <c r="K74" s="20"/>
      <c r="L74" s="20"/>
      <c r="M74" s="9"/>
      <c r="N74" s="9"/>
      <c r="O74" s="9"/>
      <c r="P74" s="9"/>
      <c r="Q74" s="9"/>
      <c r="R74" s="9"/>
      <c r="S74" s="9"/>
      <c r="T74" s="9"/>
      <c r="U74" s="9"/>
      <c r="V74" s="9"/>
      <c r="W74" s="9"/>
      <c r="X74" s="9"/>
      <c r="Y74" s="9"/>
      <c r="Z74" s="9"/>
    </row>
    <row r="75">
      <c r="A75" s="20">
        <v>74.0</v>
      </c>
      <c r="B75" s="20" t="s">
        <v>2400</v>
      </c>
      <c r="C75" s="20" t="s">
        <v>2401</v>
      </c>
      <c r="D75" s="20" t="s">
        <v>2402</v>
      </c>
      <c r="E75" s="20" t="s">
        <v>2403</v>
      </c>
      <c r="F75" s="9"/>
      <c r="G75" s="20" t="str">
        <f>IFERROR(__xludf.DUMMYFUNCTION("GOOGLETRANSLATE(B75,""ar"",""en"")"),"If the battle continues for a long time, what do you do?")</f>
        <v>If the battle continues for a long time, what do you do?</v>
      </c>
      <c r="H75" s="20" t="str">
        <f>IFERROR(__xludf.DUMMYFUNCTION("GOOGLETRANSLATE(C75,""ar"",""en"")"),"a) Continue the fight at the same level while remaining calm; b) Ask the team for additional assistance; c) Request a rest for the cow to conserve her strength; d) Request an early end to the fight")</f>
        <v>a) Continue the fight at the same level while remaining calm; b) Ask the team for additional assistance; c) Request a rest for the cow to conserve her strength; d) Request an early end to the fight</v>
      </c>
      <c r="I75" s="20" t="str">
        <f>IFERROR(__xludf.DUMMYFUNCTION("GOOGLETRANSLATE(D75,""ar"",""en"")"),"a) Continue fighting at the same level while maintaining composure")</f>
        <v>a) Continue fighting at the same level while maintaining composure</v>
      </c>
      <c r="J75" s="20" t="str">
        <f>IFERROR(__xludf.DUMMYFUNCTION("GOOGLETRANSLATE(E75,""ar"",""en"")"),"Calmness can help conserve the cow's energy and achieve victory.")</f>
        <v>Calmness can help conserve the cow's energy and achieve victory.</v>
      </c>
      <c r="K75" s="20"/>
      <c r="L75" s="20"/>
      <c r="M75" s="9"/>
      <c r="N75" s="9"/>
      <c r="O75" s="9"/>
      <c r="P75" s="9"/>
      <c r="Q75" s="9"/>
      <c r="R75" s="9"/>
      <c r="S75" s="9"/>
      <c r="T75" s="9"/>
      <c r="U75" s="9"/>
      <c r="V75" s="9"/>
      <c r="W75" s="9"/>
      <c r="X75" s="9"/>
      <c r="Y75" s="9"/>
      <c r="Z75" s="9"/>
    </row>
    <row r="76">
      <c r="A76" s="20">
        <v>75.0</v>
      </c>
      <c r="B76" s="20" t="s">
        <v>2404</v>
      </c>
      <c r="C76" s="20" t="s">
        <v>2405</v>
      </c>
      <c r="D76" s="20" t="s">
        <v>2406</v>
      </c>
      <c r="E76" s="20" t="s">
        <v>2407</v>
      </c>
      <c r="F76" s="9"/>
      <c r="G76" s="20" t="str">
        <f>IFERROR(__xludf.DUMMYFUNCTION("GOOGLETRANSLATE(B76,""ar"",""en"")"),"If the opponent is using a very fast attacking style, what do you do?")</f>
        <v>If the opponent is using a very fast attacking style, what do you do?</v>
      </c>
      <c r="H76" s="20" t="str">
        <f>IFERROR(__xludf.DUMMYFUNCTION("GOOGLETRANSLATE(C76,""ar"",""en"")"),"a) Observe his weaknesses and try to exploit them; b) Avoid attacking and play only defensively; c) Attack cautiously to minimize the risk; d) Request a complete change of strategy.")</f>
        <v>a) Observe his weaknesses and try to exploit them; b) Avoid attacking and play only defensively; c) Attack cautiously to minimize the risk; d) Request a complete change of strategy.</v>
      </c>
      <c r="I76" s="20" t="str">
        <f>IFERROR(__xludf.DUMMYFUNCTION("GOOGLETRANSLATE(D76,""ar"",""en"")"),"a) She observes his weaknesses and tries to exploit them")</f>
        <v>a) She observes his weaknesses and tries to exploit them</v>
      </c>
      <c r="J76" s="20" t="str">
        <f>IFERROR(__xludf.DUMMYFUNCTION("GOOGLETRANSLATE(E76,""ar"",""en"")"),"Searching for weaknesses can provide opportunities for effective attack and help in winning.")</f>
        <v>Searching for weaknesses can provide opportunities for effective attack and help in winning.</v>
      </c>
      <c r="K76" s="20"/>
      <c r="L76" s="20"/>
      <c r="M76" s="9"/>
      <c r="N76" s="9"/>
      <c r="O76" s="9"/>
      <c r="P76" s="9"/>
      <c r="Q76" s="9"/>
      <c r="R76" s="9"/>
      <c r="S76" s="9"/>
      <c r="T76" s="9"/>
      <c r="U76" s="9"/>
      <c r="V76" s="9"/>
      <c r="W76" s="9"/>
      <c r="X76" s="9"/>
      <c r="Y76" s="9"/>
      <c r="Z76" s="9"/>
    </row>
    <row r="77">
      <c r="A77" s="20">
        <v>76.0</v>
      </c>
      <c r="B77" s="20" t="s">
        <v>2408</v>
      </c>
      <c r="C77" s="20" t="s">
        <v>2409</v>
      </c>
      <c r="D77" s="20" t="s">
        <v>2410</v>
      </c>
      <c r="E77" s="20" t="s">
        <v>2411</v>
      </c>
      <c r="F77" s="9"/>
      <c r="G77" s="20" t="str">
        <f>IFERROR(__xludf.DUMMYFUNCTION("GOOGLETRANSLATE(B77,""ar"",""en"")"),"If the cow shows signs of extreme fear during the fight, what should you do?")</f>
        <v>If the cow shows signs of extreme fear during the fight, what should you do?</v>
      </c>
      <c r="H77" s="20" t="str">
        <f>IFERROR(__xludf.DUMMYFUNCTION("GOOGLETRANSLATE(C77,""ar"",""en"")"),"a) She tries to calm her down and gives her a break; b) She pressures her to continue fighting; c) She calls on the trainer to provide guidance to the cow; d) She demands that the fight be stopped immediately")</f>
        <v>a) She tries to calm her down and gives her a break; b) She pressures her to continue fighting; c) She calls on the trainer to provide guidance to the cow; d) She demands that the fight be stopped immediately</v>
      </c>
      <c r="I77" s="20" t="str">
        <f>IFERROR(__xludf.DUMMYFUNCTION("GOOGLETRANSLATE(D77,""ar"",""en"")"),"a) She tries to calm her down and gives her a rest period")</f>
        <v>a) She tries to calm her down and gives her a rest period</v>
      </c>
      <c r="J77" s="20" t="str">
        <f>IFERROR(__xludf.DUMMYFUNCTION("GOOGLETRANSLATE(E77,""ar"",""en"")"),"Calming helps reduce anxiety and fear and enhances the cow's performance.")</f>
        <v>Calming helps reduce anxiety and fear and enhances the cow's performance.</v>
      </c>
      <c r="K77" s="20"/>
      <c r="L77" s="20"/>
      <c r="M77" s="9"/>
      <c r="N77" s="9"/>
      <c r="O77" s="9"/>
      <c r="P77" s="9"/>
      <c r="Q77" s="9"/>
      <c r="R77" s="9"/>
      <c r="S77" s="9"/>
      <c r="T77" s="9"/>
      <c r="U77" s="9"/>
      <c r="V77" s="9"/>
      <c r="W77" s="9"/>
      <c r="X77" s="9"/>
      <c r="Y77" s="9"/>
      <c r="Z77" s="9"/>
    </row>
    <row r="78">
      <c r="A78" s="20">
        <v>77.0</v>
      </c>
      <c r="B78" s="20" t="s">
        <v>2412</v>
      </c>
      <c r="C78" s="20" t="s">
        <v>2413</v>
      </c>
      <c r="D78" s="20" t="s">
        <v>2414</v>
      </c>
      <c r="E78" s="20" t="s">
        <v>2415</v>
      </c>
      <c r="F78" s="9"/>
      <c r="G78" s="20" t="str">
        <f>IFERROR(__xludf.DUMMYFUNCTION("GOOGLETRANSLATE(B78,""ar"",""en"")"),"If the cow behaves aggressively towards you during training, what do you do?")</f>
        <v>If the cow behaves aggressively towards you during training, what do you do?</v>
      </c>
      <c r="H78" s="20" t="str">
        <f>IFERROR(__xludf.DUMMYFUNCTION("GOOGLETRANSLATE(C78,""ar"",""en"")"),"a) Remains calm and tries to modify her behavior; b) Attacks in response to the aggression; c) Requests the trainer's intervention to address the aggressive behavior; d) Leaves the ring immediately")</f>
        <v>a) Remains calm and tries to modify her behavior; b) Attacks in response to the aggression; c) Requests the trainer's intervention to address the aggressive behavior; d) Leaves the ring immediately</v>
      </c>
      <c r="I78" s="20" t="str">
        <f>IFERROR(__xludf.DUMMYFUNCTION("GOOGLETRANSLATE(D78,""ar"",""en"")"),"a) She remains calm and tries to rehabilitate her behavior")</f>
        <v>a) She remains calm and tries to rehabilitate her behavior</v>
      </c>
      <c r="J78" s="20" t="str">
        <f>IFERROR(__xludf.DUMMYFUNCTION("GOOGLETRANSLATE(E78,""ar"",""en"")"),"Handling aggression carefully enhances the cow's ability to adapt to the training environment.")</f>
        <v>Handling aggression carefully enhances the cow's ability to adapt to the training environment.</v>
      </c>
      <c r="K78" s="20"/>
      <c r="L78" s="20"/>
      <c r="M78" s="9"/>
      <c r="N78" s="9"/>
      <c r="O78" s="9"/>
      <c r="P78" s="9"/>
      <c r="Q78" s="9"/>
      <c r="R78" s="9"/>
      <c r="S78" s="9"/>
      <c r="T78" s="9"/>
      <c r="U78" s="9"/>
      <c r="V78" s="9"/>
      <c r="W78" s="9"/>
      <c r="X78" s="9"/>
      <c r="Y78" s="9"/>
      <c r="Z78" s="9"/>
    </row>
    <row r="79">
      <c r="A79" s="20">
        <v>78.0</v>
      </c>
      <c r="B79" s="20" t="s">
        <v>2416</v>
      </c>
      <c r="C79" s="20" t="s">
        <v>2417</v>
      </c>
      <c r="D79" s="20" t="s">
        <v>2418</v>
      </c>
      <c r="E79" s="20" t="s">
        <v>2419</v>
      </c>
      <c r="F79" s="9"/>
      <c r="G79" s="20" t="str">
        <f>IFERROR(__xludf.DUMMYFUNCTION("GOOGLETRANSLATE(B79,""ar"",""en"")"),"If you encounter a competitor who displays unexpected skills, what do you do?")</f>
        <v>If you encounter a competitor who displays unexpected skills, what do you do?</v>
      </c>
      <c r="H79" s="20" t="str">
        <f>IFERROR(__xludf.DUMMYFUNCTION("GOOGLETRANSLATE(C79,""ar"",""en"")"),"a) You observe closely and change your strategy accordingly; b) You continue with your previous attempts without change; c) You ask the coach to step in and guide you; d) You leave the ring")</f>
        <v>a) You observe closely and change your strategy accordingly; b) You continue with your previous attempts without change; c) You ask the coach to step in and guide you; d) You leave the ring</v>
      </c>
      <c r="I79" s="20" t="str">
        <f>IFERROR(__xludf.DUMMYFUNCTION("GOOGLETRANSLATE(D79,""ar"",""en"")"),"a) Monitor closely and change your strategy accordingly")</f>
        <v>a) Monitor closely and change your strategy accordingly</v>
      </c>
      <c r="J79" s="20" t="str">
        <f>IFERROR(__xludf.DUMMYFUNCTION("GOOGLETRANSLATE(E79,""ar"",""en"")"),"Adapting to the competitor's style enhances the chances of success and improves performance.")</f>
        <v>Adapting to the competitor's style enhances the chances of success and improves performance.</v>
      </c>
      <c r="K79" s="20"/>
      <c r="L79" s="20"/>
      <c r="M79" s="9"/>
      <c r="N79" s="9"/>
      <c r="O79" s="9"/>
      <c r="P79" s="9"/>
      <c r="Q79" s="9"/>
      <c r="R79" s="9"/>
      <c r="S79" s="9"/>
      <c r="T79" s="9"/>
      <c r="U79" s="9"/>
      <c r="V79" s="9"/>
      <c r="W79" s="9"/>
      <c r="X79" s="9"/>
      <c r="Y79" s="9"/>
      <c r="Z79" s="9"/>
    </row>
    <row r="80">
      <c r="A80" s="20">
        <v>79.0</v>
      </c>
      <c r="B80" s="20" t="s">
        <v>2420</v>
      </c>
      <c r="C80" s="20" t="s">
        <v>2421</v>
      </c>
      <c r="D80" s="20" t="s">
        <v>2422</v>
      </c>
      <c r="E80" s="20" t="s">
        <v>2423</v>
      </c>
      <c r="F80" s="9"/>
      <c r="G80" s="20" t="str">
        <f>IFERROR(__xludf.DUMMYFUNCTION("GOOGLETRANSLATE(B80,""ar"",""en"")"),"If the cow refuses to cooperate with you at the beginning of the fight, what do you do?")</f>
        <v>If the cow refuses to cooperate with you at the beginning of the fight, what do you do?</v>
      </c>
      <c r="H80" s="20" t="str">
        <f>IFERROR(__xludf.DUMMYFUNCTION("GOOGLETRANSLATE(C80,""ar"",""en"")"),"a) She tries to calm her gently and speaks to her softly; b) She pressures her to start the fight immediately; c) She asks the trainer for help in guiding the cow; d) She keeps trying while changing tactics.")</f>
        <v>a) She tries to calm her gently and speaks to her softly; b) She pressures her to start the fight immediately; c) She asks the trainer for help in guiding the cow; d) She keeps trying while changing tactics.</v>
      </c>
      <c r="I80" s="20" t="str">
        <f>IFERROR(__xludf.DUMMYFUNCTION("GOOGLETRANSLATE(D80,""ar"",""en"")"),"a) Try to calm her down gently and speak to her gently")</f>
        <v>a) Try to calm her down gently and speak to her gently</v>
      </c>
      <c r="J80" s="20" t="str">
        <f>IFERROR(__xludf.DUMMYFUNCTION("GOOGLETRANSLATE(E80,""ar"",""en"")"),"Handling the cow gently helps to reduce stress and make her more willing to participate.")</f>
        <v>Handling the cow gently helps to reduce stress and make her more willing to participate.</v>
      </c>
      <c r="K80" s="20"/>
      <c r="L80" s="20"/>
      <c r="M80" s="9"/>
      <c r="N80" s="9"/>
      <c r="O80" s="9"/>
      <c r="P80" s="9"/>
      <c r="Q80" s="9"/>
      <c r="R80" s="9"/>
      <c r="S80" s="9"/>
      <c r="T80" s="9"/>
      <c r="U80" s="9"/>
      <c r="V80" s="9"/>
      <c r="W80" s="9"/>
      <c r="X80" s="9"/>
      <c r="Y80" s="9"/>
      <c r="Z80" s="9"/>
    </row>
    <row r="81">
      <c r="A81" s="20">
        <v>80.0</v>
      </c>
      <c r="B81" s="20" t="s">
        <v>2424</v>
      </c>
      <c r="C81" s="20" t="s">
        <v>2425</v>
      </c>
      <c r="D81" s="20" t="s">
        <v>2426</v>
      </c>
      <c r="E81" s="20" t="s">
        <v>2427</v>
      </c>
      <c r="F81" s="9"/>
      <c r="G81" s="20" t="str">
        <f>IFERROR(__xludf.DUMMYFUNCTION("GOOGLETRANSLATE(B81,""ar"",""en"")"),"If the cow shows signs of extreme exhaustion during the fight, what should you do?")</f>
        <v>If the cow shows signs of extreme exhaustion during the fight, what should you do?</v>
      </c>
      <c r="H81" s="20" t="str">
        <f>IFERROR(__xludf.DUMMYFUNCTION("GOOGLETRANSLATE(C81,""ar"",""en"")"),"a) She asks the team to intervene and provide comfort to the cow; b) She pressures the cow to continue fighting; c) She asks the referee to end the fight immediately; d) She continues fighting until the end")</f>
        <v>a) She asks the team to intervene and provide comfort to the cow; b) She pressures the cow to continue fighting; c) She asks the referee to end the fight immediately; d) She continues fighting until the end</v>
      </c>
      <c r="I81" s="20" t="str">
        <f>IFERROR(__xludf.DUMMYFUNCTION("GOOGLETRANSLATE(D81,""ar"",""en"")"),"a) She asked the team to intervene and provide comfort to the cow")</f>
        <v>a) She asked the team to intervene and provide comfort to the cow</v>
      </c>
      <c r="J81" s="20" t="str">
        <f>IFERROR(__xludf.DUMMYFUNCTION("GOOGLETRANSLATE(E81,""ar"",""en"")"),"Immediate rest helps to maintain the cow's health and prevent excessive fatigue.")</f>
        <v>Immediate rest helps to maintain the cow's health and prevent excessive fatigue.</v>
      </c>
      <c r="K81" s="20"/>
      <c r="L81" s="20"/>
      <c r="M81" s="9"/>
      <c r="N81" s="9"/>
      <c r="O81" s="9"/>
      <c r="P81" s="9"/>
      <c r="Q81" s="9"/>
      <c r="R81" s="9"/>
      <c r="S81" s="9"/>
      <c r="T81" s="9"/>
      <c r="U81" s="9"/>
      <c r="V81" s="9"/>
      <c r="W81" s="9"/>
      <c r="X81" s="9"/>
      <c r="Y81" s="9"/>
      <c r="Z81" s="9"/>
    </row>
    <row r="82">
      <c r="A82" s="20">
        <v>81.0</v>
      </c>
      <c r="B82" s="20" t="s">
        <v>2428</v>
      </c>
      <c r="C82" s="20" t="s">
        <v>2429</v>
      </c>
      <c r="D82" s="20" t="s">
        <v>2430</v>
      </c>
      <c r="E82" s="20" t="s">
        <v>2431</v>
      </c>
      <c r="F82" s="9"/>
      <c r="G82" s="20" t="str">
        <f>IFERROR(__xludf.DUMMYFUNCTION("GOOGLETRANSLATE(B82,""ar"",""en"")"),"If the opponent consistently uses a defensive style, what do you do?")</f>
        <v>If the opponent consistently uses a defensive style, what do you do?</v>
      </c>
      <c r="H82" s="20" t="str">
        <f>IFERROR(__xludf.DUMMYFUNCTION("GOOGLETRANSLATE(C82,""ar"",""en"")"),"a) You try to change your attacking strategy suddenly; b) You continue with your usual attacking style; c) You ask the coach to change the style; d) You stick to defense only")</f>
        <v>a) You try to change your attacking strategy suddenly; b) You continue with your usual attacking style; c) You ask the coach to change the style; d) You stick to defense only</v>
      </c>
      <c r="I82" s="20" t="str">
        <f>IFERROR(__xludf.DUMMYFUNCTION("GOOGLETRANSLATE(D82,""ar"",""en"")"),"a) You try to change your attack strategy suddenly")</f>
        <v>a) You try to change your attack strategy suddenly</v>
      </c>
      <c r="J82" s="20" t="str">
        <f>IFERROR(__xludf.DUMMYFUNCTION("GOOGLETRANSLATE(E82,""ar"",""en"")"),"Innovation in attacking style can help break down the opponent's defense and achieve victory.")</f>
        <v>Innovation in attacking style can help break down the opponent's defense and achieve victory.</v>
      </c>
      <c r="K82" s="20"/>
      <c r="L82" s="20"/>
      <c r="M82" s="9"/>
      <c r="N82" s="9"/>
      <c r="O82" s="9"/>
      <c r="P82" s="9"/>
      <c r="Q82" s="9"/>
      <c r="R82" s="9"/>
      <c r="S82" s="9"/>
      <c r="T82" s="9"/>
      <c r="U82" s="9"/>
      <c r="V82" s="9"/>
      <c r="W82" s="9"/>
      <c r="X82" s="9"/>
      <c r="Y82" s="9"/>
      <c r="Z82" s="9"/>
    </row>
    <row r="83">
      <c r="A83" s="20">
        <v>82.0</v>
      </c>
      <c r="B83" s="20" t="s">
        <v>2432</v>
      </c>
      <c r="C83" s="20" t="s">
        <v>2433</v>
      </c>
      <c r="D83" s="20" t="s">
        <v>2434</v>
      </c>
      <c r="E83" s="20" t="s">
        <v>2435</v>
      </c>
      <c r="F83" s="9"/>
      <c r="G83" s="20" t="str">
        <f>IFERROR(__xludf.DUMMYFUNCTION("GOOGLETRANSLATE(B83,""ar"",""en"")"),"If the cow shows signs of unusual aggression before a fight, what should you do?")</f>
        <v>If the cow shows signs of unusual aggression before a fight, what should you do?</v>
      </c>
      <c r="H83" s="20" t="str">
        <f>IFERROR(__xludf.DUMMYFUNCTION("GOOGLETRANSLATE(C83,""ar"",""en"")"),"a) She tries to calm her down using non-violent methods; b) She lets her do as she pleases until the fight begins; c) She calls for the trainer's immediate intervention; d) She pushes the cow to prepare for the fight")</f>
        <v>a) She tries to calm her down using non-violent methods; b) She lets her do as she pleases until the fight begins; c) She calls for the trainer's immediate intervention; d) She pushes the cow to prepare for the fight</v>
      </c>
      <c r="I83" s="20" t="str">
        <f>IFERROR(__xludf.DUMMYFUNCTION("GOOGLETRANSLATE(D83,""ar"",""en"")"),"a) She tries to calm her down using non-violent methods")</f>
        <v>a) She tries to calm her down using non-violent methods</v>
      </c>
      <c r="J83" s="20" t="str">
        <f>IFERROR(__xludf.DUMMYFUNCTION("GOOGLETRANSLATE(E83,""ar"",""en"")"),"Early cooling-off helps avoid problems during battle and improves performance.")</f>
        <v>Early cooling-off helps avoid problems during battle and improves performance.</v>
      </c>
      <c r="K83" s="20"/>
      <c r="L83" s="20"/>
      <c r="M83" s="9"/>
      <c r="N83" s="9"/>
      <c r="O83" s="9"/>
      <c r="P83" s="9"/>
      <c r="Q83" s="9"/>
      <c r="R83" s="9"/>
      <c r="S83" s="9"/>
      <c r="T83" s="9"/>
      <c r="U83" s="9"/>
      <c r="V83" s="9"/>
      <c r="W83" s="9"/>
      <c r="X83" s="9"/>
      <c r="Y83" s="9"/>
      <c r="Z83" s="9"/>
    </row>
    <row r="84">
      <c r="A84" s="20">
        <v>83.0</v>
      </c>
      <c r="B84" s="20" t="s">
        <v>2436</v>
      </c>
      <c r="C84" s="20" t="s">
        <v>2437</v>
      </c>
      <c r="D84" s="20" t="s">
        <v>2438</v>
      </c>
      <c r="E84" s="20" t="s">
        <v>2439</v>
      </c>
      <c r="F84" s="9"/>
      <c r="G84" s="20" t="str">
        <f>IFERROR(__xludf.DUMMYFUNCTION("GOOGLETRANSLATE(B84,""ar"",""en"")"),"If a cow suffers a leg injury during a fight, what should you do?")</f>
        <v>If a cow suffers a leg injury during a fight, what should you do?</v>
      </c>
      <c r="H84" s="20" t="str">
        <f>IFERROR(__xludf.DUMMYFUNCTION("GOOGLETRANSLATE(C84,""ar"",""en"")"),"a) She asks the team to intervene and provide immediate treatment; b) She asks the referee to stop the fight due to the injury; c) She continues the fight and pressures the cow to continue; d) She asks her to rest immediately")</f>
        <v>a) She asks the team to intervene and provide immediate treatment; b) She asks the referee to stop the fight due to the injury; c) She continues the fight and pressures the cow to continue; d) She asks her to rest immediately</v>
      </c>
      <c r="I84" s="20" t="str">
        <f>IFERROR(__xludf.DUMMYFUNCTION("GOOGLETRANSLATE(D84,""ar"",""en"")"),"a) You request the team to intervene and provide treatment immediately")</f>
        <v>a) You request the team to intervene and provide treatment immediately</v>
      </c>
      <c r="J84" s="20" t="str">
        <f>IFERROR(__xludf.DUMMYFUNCTION("GOOGLETRANSLATE(E84,""ar"",""en"")"),"Taking care of the cow's physical health is important to prevent injuries from worsening and to protect it.")</f>
        <v>Taking care of the cow's physical health is important to prevent injuries from worsening and to protect it.</v>
      </c>
      <c r="K84" s="20"/>
      <c r="L84" s="20"/>
      <c r="M84" s="9"/>
      <c r="N84" s="9"/>
      <c r="O84" s="9"/>
      <c r="P84" s="9"/>
      <c r="Q84" s="9"/>
      <c r="R84" s="9"/>
      <c r="S84" s="9"/>
      <c r="T84" s="9"/>
      <c r="U84" s="9"/>
      <c r="V84" s="9"/>
      <c r="W84" s="9"/>
      <c r="X84" s="9"/>
      <c r="Y84" s="9"/>
      <c r="Z84" s="9"/>
    </row>
    <row r="85">
      <c r="A85" s="20">
        <v>84.0</v>
      </c>
      <c r="B85" s="20" t="s">
        <v>2440</v>
      </c>
      <c r="C85" s="20" t="s">
        <v>2441</v>
      </c>
      <c r="D85" s="20" t="s">
        <v>2442</v>
      </c>
      <c r="E85" s="20" t="s">
        <v>2443</v>
      </c>
      <c r="F85" s="9"/>
      <c r="G85" s="20" t="str">
        <f>IFERROR(__xludf.DUMMYFUNCTION("GOOGLETRANSLATE(B85,""ar"",""en"")"),"If the cow is uncooperative during training due to stress, what should you do?")</f>
        <v>If the cow is uncooperative during training due to stress, what should you do?</v>
      </c>
      <c r="H85" s="20" t="str">
        <f>IFERROR(__xludf.DUMMYFUNCTION("GOOGLETRANSLATE(C85,""ar"",""en"")"),"a) Calm her down using gradual methods; b) Pressure her to complete the exercise quickly; c) Ask the trainer to change the training method; d) Stop the training immediately")</f>
        <v>a) Calm her down using gradual methods; b) Pressure her to complete the exercise quickly; c) Ask the trainer to change the training method; d) Stop the training immediately</v>
      </c>
      <c r="I85" s="20" t="str">
        <f>IFERROR(__xludf.DUMMYFUNCTION("GOOGLETRANSLATE(D85,""ar"",""en"")"),"a) Calm her down using gradual methods")</f>
        <v>a) Calm her down using gradual methods</v>
      </c>
      <c r="J85" s="20" t="str">
        <f>IFERROR(__xludf.DUMMYFUNCTION("GOOGLETRANSLATE(E85,""ar"",""en"")"),"Calming techniques help reduce stress and improve the cow's response.")</f>
        <v>Calming techniques help reduce stress and improve the cow's response.</v>
      </c>
      <c r="K85" s="20"/>
      <c r="L85" s="20"/>
      <c r="M85" s="9"/>
      <c r="N85" s="9"/>
      <c r="O85" s="9"/>
      <c r="P85" s="9"/>
      <c r="Q85" s="9"/>
      <c r="R85" s="9"/>
      <c r="S85" s="9"/>
      <c r="T85" s="9"/>
      <c r="U85" s="9"/>
      <c r="V85" s="9"/>
      <c r="W85" s="9"/>
      <c r="X85" s="9"/>
      <c r="Y85" s="9"/>
      <c r="Z85" s="9"/>
    </row>
    <row r="86">
      <c r="A86" s="20">
        <v>85.0</v>
      </c>
      <c r="B86" s="20" t="s">
        <v>2444</v>
      </c>
      <c r="C86" s="20" t="s">
        <v>2445</v>
      </c>
      <c r="D86" s="20" t="s">
        <v>2446</v>
      </c>
      <c r="E86" s="20" t="s">
        <v>2447</v>
      </c>
      <c r="F86" s="9"/>
      <c r="G86" s="20" t="str">
        <f>IFERROR(__xludf.DUMMYFUNCTION("GOOGLETRANSLATE(B86,""ar"",""en"")"),"If the battle has lasted a long time and the cow begins to show signs of fatigue, what do you do?")</f>
        <v>If the battle has lasted a long time and the cow begins to show signs of fatigue, what do you do?</v>
      </c>
      <c r="H86" s="20" t="str">
        <f>IFERROR(__xludf.DUMMYFUNCTION("GOOGLETRANSLATE(C86,""ar"",""en"")"),"a) She requests a break for the cow to recharge; b) She continues the fight until the end; c) She asks the team to help her conserve her strength; d) She asks the referee to stop the fight, if permitted.")</f>
        <v>a) She requests a break for the cow to recharge; b) She continues the fight until the end; c) She asks the team to help her conserve her strength; d) She asks the referee to stop the fight, if permitted.</v>
      </c>
      <c r="I86" s="20" t="str">
        <f>IFERROR(__xludf.DUMMYFUNCTION("GOOGLETRANSLATE(D86,""ar"",""en"")"),"a) The cow needs a break to recharge its energy")</f>
        <v>a) The cow needs a break to recharge its energy</v>
      </c>
      <c r="J86" s="20" t="str">
        <f>IFERROR(__xludf.DUMMYFUNCTION("GOOGLETRANSLATE(E86,""ar"",""en"")"),"Temporary rest helps to avoid excessive fatigue and preserves the cow's fighting ability.")</f>
        <v>Temporary rest helps to avoid excessive fatigue and preserves the cow's fighting ability.</v>
      </c>
      <c r="K86" s="20"/>
      <c r="L86" s="20"/>
      <c r="M86" s="9"/>
      <c r="N86" s="9"/>
      <c r="O86" s="9"/>
      <c r="P86" s="9"/>
      <c r="Q86" s="9"/>
      <c r="R86" s="9"/>
      <c r="S86" s="9"/>
      <c r="T86" s="9"/>
      <c r="U86" s="9"/>
      <c r="V86" s="9"/>
      <c r="W86" s="9"/>
      <c r="X86" s="9"/>
      <c r="Y86" s="9"/>
      <c r="Z86" s="9"/>
    </row>
    <row r="87">
      <c r="A87" s="20">
        <v>86.0</v>
      </c>
      <c r="B87" s="20" t="s">
        <v>2448</v>
      </c>
      <c r="C87" s="20" t="s">
        <v>2449</v>
      </c>
      <c r="D87" s="20" t="s">
        <v>2450</v>
      </c>
      <c r="E87" s="20" t="s">
        <v>2451</v>
      </c>
      <c r="F87" s="9"/>
      <c r="G87" s="20" t="str">
        <f>IFERROR(__xludf.DUMMYFUNCTION("GOOGLETRANSLATE(B87,""ar"",""en"")"),"If the opponent uses very fast attacking techniques, what do you do?")</f>
        <v>If the opponent uses very fast attacking techniques, what do you do?</v>
      </c>
      <c r="H87" s="20" t="str">
        <f>IFERROR(__xludf.DUMMYFUNCTION("GOOGLETRANSLATE(C87,""ar"",""en"")"),"a) You attempt to control the battle using a defensive approach; b) You commit to a direct attack; c) You seek the coach's guidance to refine your strategy; d) You completely change your battle style")</f>
        <v>a) You attempt to control the battle using a defensive approach; b) You commit to a direct attack; c) You seek the coach's guidance to refine your strategy; d) You completely change your battle style</v>
      </c>
      <c r="I87" s="20" t="str">
        <f>IFERROR(__xludf.DUMMYFUNCTION("GOOGLETRANSLATE(D87,""ar"",""en"")"),"a) She tries to control the battle using a defensive strategy.")</f>
        <v>a) She tries to control the battle using a defensive strategy.</v>
      </c>
      <c r="J87" s="20" t="str">
        <f>IFERROR(__xludf.DUMMYFUNCTION("GOOGLETRANSLATE(E87,""ar"",""en"")"),"Using a defensive strategy can help reduce rapid attacks and give you a chance to control the battle.")</f>
        <v>Using a defensive strategy can help reduce rapid attacks and give you a chance to control the battle.</v>
      </c>
      <c r="K87" s="20"/>
      <c r="L87" s="20"/>
      <c r="M87" s="9"/>
      <c r="N87" s="9"/>
      <c r="O87" s="9"/>
      <c r="P87" s="9"/>
      <c r="Q87" s="9"/>
      <c r="R87" s="9"/>
      <c r="S87" s="9"/>
      <c r="T87" s="9"/>
      <c r="U87" s="9"/>
      <c r="V87" s="9"/>
      <c r="W87" s="9"/>
      <c r="X87" s="9"/>
      <c r="Y87" s="9"/>
      <c r="Z87" s="9"/>
    </row>
    <row r="88">
      <c r="A88" s="20">
        <v>87.0</v>
      </c>
      <c r="B88" s="20" t="s">
        <v>2452</v>
      </c>
      <c r="C88" s="20" t="s">
        <v>2453</v>
      </c>
      <c r="D88" s="20" t="s">
        <v>2454</v>
      </c>
      <c r="E88" s="20" t="s">
        <v>2455</v>
      </c>
      <c r="F88" s="9"/>
      <c r="G88" s="20" t="str">
        <f>IFERROR(__xludf.DUMMYFUNCTION("GOOGLETRANSLATE(B88,""ar"",""en"")"),"If the cow refuses to enter the arena after intensive training, what do you do?")</f>
        <v>If the cow refuses to enter the arena after intensive training, what do you do?</v>
      </c>
      <c r="H88" s="20" t="str">
        <f>IFERROR(__xludf.DUMMYFUNCTION("GOOGLETRANSLATE(C88,""ar"",""en"")"),"a) She tries to calm her down with kind and reassuring words; b) She pressures her to enter the arena immediately; c) She asks the trainer to change the training; d) She lets the cow take time to refocus")</f>
        <v>a) She tries to calm her down with kind and reassuring words; b) She pressures her to enter the arena immediately; c) She asks the trainer to change the training; d) She lets the cow take time to refocus</v>
      </c>
      <c r="I88" s="20" t="str">
        <f>IFERROR(__xludf.DUMMYFUNCTION("GOOGLETRANSLATE(D88,""ar"",""en"")"),"a) She tries to calm her down with kind and reassuring words.")</f>
        <v>a) She tries to calm her down with kind and reassuring words.</v>
      </c>
      <c r="J88" s="20" t="str">
        <f>IFERROR(__xludf.DUMMYFUNCTION("GOOGLETRANSLATE(E88,""ar"",""en"")"),"Calmness helps reduce stress and encourages the cow to participate more actively.")</f>
        <v>Calmness helps reduce stress and encourages the cow to participate more actively.</v>
      </c>
      <c r="K88" s="20"/>
      <c r="L88" s="20"/>
      <c r="M88" s="9"/>
      <c r="N88" s="9"/>
      <c r="O88" s="9"/>
      <c r="P88" s="9"/>
      <c r="Q88" s="9"/>
      <c r="R88" s="9"/>
      <c r="S88" s="9"/>
      <c r="T88" s="9"/>
      <c r="U88" s="9"/>
      <c r="V88" s="9"/>
      <c r="W88" s="9"/>
      <c r="X88" s="9"/>
      <c r="Y88" s="9"/>
      <c r="Z88" s="9"/>
    </row>
    <row r="89">
      <c r="A89" s="20">
        <v>88.0</v>
      </c>
      <c r="B89" s="20" t="s">
        <v>2456</v>
      </c>
      <c r="C89" s="20" t="s">
        <v>2457</v>
      </c>
      <c r="D89" s="20" t="s">
        <v>2458</v>
      </c>
      <c r="E89" s="20" t="s">
        <v>2459</v>
      </c>
      <c r="F89" s="9"/>
      <c r="G89" s="20" t="str">
        <f>IFERROR(__xludf.DUMMYFUNCTION("GOOGLETRANSLATE(B89,""ar"",""en"")"),"If the cow does not respond to your signals during the fight, what do you do?")</f>
        <v>If the cow does not respond to your signals during the fight, what do you do?</v>
      </c>
      <c r="H89" s="20" t="str">
        <f>IFERROR(__xludf.DUMMYFUNCTION("GOOGLETRANSLATE(C89,""ar"",""en"")"),"a) You change your signals and direct them differently; b) You press them to respond to commands; c) You ask the trainer for help in directing them; d) You ignore the problem and continue the fight")</f>
        <v>a) You change your signals and direct them differently; b) You press them to respond to commands; c) You ask the trainer for help in directing them; d) You ignore the problem and continue the fight</v>
      </c>
      <c r="I89" s="20" t="str">
        <f>IFERROR(__xludf.DUMMYFUNCTION("GOOGLETRANSLATE(D89,""ar"",""en"")"),"a) Change your signals and direct them differently")</f>
        <v>a) Change your signals and direct them differently</v>
      </c>
      <c r="J89" s="20" t="str">
        <f>IFERROR(__xludf.DUMMYFUNCTION("GOOGLETRANSLATE(E89,""ar"",""en"")"),"Effective communication with the cow contributes to improving its response to commands.")</f>
        <v>Effective communication with the cow contributes to improving its response to commands.</v>
      </c>
      <c r="K89" s="20"/>
      <c r="L89" s="20"/>
      <c r="M89" s="9"/>
      <c r="N89" s="9"/>
      <c r="O89" s="9"/>
      <c r="P89" s="9"/>
      <c r="Q89" s="9"/>
      <c r="R89" s="9"/>
      <c r="S89" s="9"/>
      <c r="T89" s="9"/>
      <c r="U89" s="9"/>
      <c r="V89" s="9"/>
      <c r="W89" s="9"/>
      <c r="X89" s="9"/>
      <c r="Y89" s="9"/>
      <c r="Z89" s="9"/>
    </row>
    <row r="90">
      <c r="A90" s="20">
        <v>89.0</v>
      </c>
      <c r="B90" s="20" t="s">
        <v>2460</v>
      </c>
      <c r="C90" s="20" t="s">
        <v>2461</v>
      </c>
      <c r="D90" s="20" t="s">
        <v>2462</v>
      </c>
      <c r="E90" s="20" t="s">
        <v>2463</v>
      </c>
      <c r="F90" s="9"/>
      <c r="G90" s="20" t="str">
        <f>IFERROR(__xludf.DUMMYFUNCTION("GOOGLETRANSLATE(B90,""ar"",""en"")"),"If the opponent uses a strange style of attack, what do you do?")</f>
        <v>If the opponent uses a strange style of attack, what do you do?</v>
      </c>
      <c r="H90" s="20" t="str">
        <f>IFERROR(__xludf.DUMMYFUNCTION("GOOGLETRANSLATE(C90,""ar"",""en"")"),"a) Observe closely and try to better understand his style; b) Continue with your usual style; c) Ask the coach for guidance on how to deal with his style; d) Avoid attacking altogether")</f>
        <v>a) Observe closely and try to better understand his style; b) Continue with your usual style; c) Ask the coach for guidance on how to deal with his style; d) Avoid attacking altogether</v>
      </c>
      <c r="I90" s="20" t="str">
        <f>IFERROR(__xludf.DUMMYFUNCTION("GOOGLETRANSLATE(D90,""ar"",""en"")"),"a) Observe closely and try to better understand his style")</f>
        <v>a) Observe closely and try to better understand his style</v>
      </c>
      <c r="J90" s="20" t="str">
        <f>IFERROR(__xludf.DUMMYFUNCTION("GOOGLETRANSLATE(E90,""ar"",""en"")"),"Analyzing your competitor's style gives you better opportunities to adapt to it and achieve superiority.")</f>
        <v>Analyzing your competitor's style gives you better opportunities to adapt to it and achieve superiority.</v>
      </c>
      <c r="K90" s="20"/>
      <c r="L90" s="20"/>
      <c r="M90" s="9"/>
      <c r="N90" s="9"/>
      <c r="O90" s="9"/>
      <c r="P90" s="9"/>
      <c r="Q90" s="9"/>
      <c r="R90" s="9"/>
      <c r="S90" s="9"/>
      <c r="T90" s="9"/>
      <c r="U90" s="9"/>
      <c r="V90" s="9"/>
      <c r="W90" s="9"/>
      <c r="X90" s="9"/>
      <c r="Y90" s="9"/>
      <c r="Z90" s="9"/>
    </row>
    <row r="91">
      <c r="A91" s="20">
        <v>90.0</v>
      </c>
      <c r="B91" s="20" t="s">
        <v>2464</v>
      </c>
      <c r="C91" s="20" t="s">
        <v>2465</v>
      </c>
      <c r="D91" s="20" t="s">
        <v>2466</v>
      </c>
      <c r="E91" s="20" t="s">
        <v>2467</v>
      </c>
      <c r="F91" s="9"/>
      <c r="G91" s="20" t="str">
        <f>IFERROR(__xludf.DUMMYFUNCTION("GOOGLETRANSLATE(B91,""ar"",""en"")"),"If you feel that the cow is starting to get agitated during the fight, what do you do?")</f>
        <v>If you feel that the cow is starting to get agitated during the fight, what do you do?</v>
      </c>
      <c r="H91" s="20" t="str">
        <f>IFERROR(__xludf.DUMMYFUNCTION("GOOGLETRANSLATE(C91,""ar"",""en"")"),"a) Attempts to calm her down immediately using reassuring signals; b) Continues the attack to the end; c) Requests the team's intervention to relieve the cow; d) Asks the referee to end the fight, if necessary")</f>
        <v>a) Attempts to calm her down immediately using reassuring signals; b) Continues the attack to the end; c) Requests the team's intervention to relieve the cow; d) Asks the referee to end the fight, if necessary</v>
      </c>
      <c r="I91" s="20" t="str">
        <f>IFERROR(__xludf.DUMMYFUNCTION("GOOGLETRANSLATE(D91,""ar"",""en"")"),"a) She tries to calm her down immediately using reassuring signals.")</f>
        <v>a) She tries to calm her down immediately using reassuring signals.</v>
      </c>
      <c r="J91" s="20" t="str">
        <f>IFERROR(__xludf.DUMMYFUNCTION("GOOGLETRANSLATE(E91,""ar"",""en"")"),"Immediate calming can help prevent the cow from becoming overly stressed and improve its performance.")</f>
        <v>Immediate calming can help prevent the cow from becoming overly stressed and improve its performance.</v>
      </c>
      <c r="K91" s="20"/>
      <c r="L91" s="20"/>
      <c r="M91" s="9"/>
      <c r="N91" s="9"/>
      <c r="O91" s="9"/>
      <c r="P91" s="9"/>
      <c r="Q91" s="9"/>
      <c r="R91" s="9"/>
      <c r="S91" s="9"/>
      <c r="T91" s="9"/>
      <c r="U91" s="9"/>
      <c r="V91" s="9"/>
      <c r="W91" s="9"/>
      <c r="X91" s="9"/>
      <c r="Y91" s="9"/>
      <c r="Z91" s="9"/>
    </row>
    <row r="92">
      <c r="A92" s="20">
        <v>91.0</v>
      </c>
      <c r="B92" s="20" t="s">
        <v>2468</v>
      </c>
      <c r="C92" s="20" t="s">
        <v>2469</v>
      </c>
      <c r="D92" s="20" t="s">
        <v>2470</v>
      </c>
      <c r="E92" s="20" t="s">
        <v>2471</v>
      </c>
      <c r="F92" s="9"/>
      <c r="G92" s="20" t="str">
        <f>IFERROR(__xludf.DUMMYFUNCTION("GOOGLETRANSLATE(B92,""ar"",""en"")"),"If the cow is behaving aggressively towards you during a fight, what do you do?")</f>
        <v>If the cow is behaving aggressively towards you during a fight, what do you do?</v>
      </c>
      <c r="H92" s="20" t="str">
        <f>IFERROR(__xludf.DUMMYFUNCTION("GOOGLETRANSLATE(C92,""ar"",""en"")"),"a) Remain calm and try to redirect her behavior; b) Attack her in response to the aggression; c) Ask the trainer to intervene and retrain her; d) Request that the fight be stopped, if necessary")</f>
        <v>a) Remain calm and try to redirect her behavior; b) Attack her in response to the aggression; c) Ask the trainer to intervene and retrain her; d) Request that the fight be stopped, if necessary</v>
      </c>
      <c r="I92" s="20" t="str">
        <f>IFERROR(__xludf.DUMMYFUNCTION("GOOGLETRANSLATE(D92,""ar"",""en"")"),"a) Remain calm and try to redirect her behavior")</f>
        <v>a) Remain calm and try to redirect her behavior</v>
      </c>
      <c r="J92" s="20" t="str">
        <f>IFERROR(__xludf.DUMMYFUNCTION("GOOGLETRANSLATE(E92,""ar"",""en"")"),"Being patient and dealing with aggression intelligently helps to reduce tension and regain control of the fight.")</f>
        <v>Being patient and dealing with aggression intelligently helps to reduce tension and regain control of the fight.</v>
      </c>
      <c r="K92" s="20"/>
      <c r="L92" s="20"/>
      <c r="M92" s="9"/>
      <c r="N92" s="9"/>
      <c r="O92" s="9"/>
      <c r="P92" s="9"/>
      <c r="Q92" s="9"/>
      <c r="R92" s="9"/>
      <c r="S92" s="9"/>
      <c r="T92" s="9"/>
      <c r="U92" s="9"/>
      <c r="V92" s="9"/>
      <c r="W92" s="9"/>
      <c r="X92" s="9"/>
      <c r="Y92" s="9"/>
      <c r="Z92" s="9"/>
    </row>
    <row r="93">
      <c r="A93" s="20">
        <v>92.0</v>
      </c>
      <c r="B93" s="20" t="s">
        <v>2472</v>
      </c>
      <c r="C93" s="20" t="s">
        <v>2473</v>
      </c>
      <c r="D93" s="20" t="s">
        <v>2474</v>
      </c>
      <c r="E93" s="20" t="s">
        <v>2475</v>
      </c>
      <c r="F93" s="9"/>
      <c r="G93" s="20" t="str">
        <f>IFERROR(__xludf.DUMMYFUNCTION("GOOGLETRANSLATE(B93,""ar"",""en"")"),"If you feel that the cow is not cooperating during training, what do you do?")</f>
        <v>If you feel that the cow is not cooperating during training, what do you do?</v>
      </c>
      <c r="H93" s="20" t="str">
        <f>IFERROR(__xludf.DUMMYFUNCTION("GOOGLETRANSLATE(C93,""ar"",""en"")"),"a) She tries to change the training method to make it more comfortable for her; b) She pressures her to complete the training quickly; c) She asks the trainer for help; d) She stops the training altogether.")</f>
        <v>a) She tries to change the training method to make it more comfortable for her; b) She pressures her to complete the training quickly; c) She asks the trainer for help; d) She stops the training altogether.</v>
      </c>
      <c r="I93" s="20" t="str">
        <f>IFERROR(__xludf.DUMMYFUNCTION("GOOGLETRANSLATE(D93,""ar"",""en"")"),"a) She tries to change the training method to make it more comfortable for her")</f>
        <v>a) She tries to change the training method to make it more comfortable for her</v>
      </c>
      <c r="J93" s="20" t="str">
        <f>IFERROR(__xludf.DUMMYFUNCTION("GOOGLETRANSLATE(E93,""ar"",""en"")"),"Modifying the training method helps to make the cow more responsive and contributes to enhancing cooperation.")</f>
        <v>Modifying the training method helps to make the cow more responsive and contributes to enhancing cooperation.</v>
      </c>
      <c r="K93" s="20"/>
      <c r="L93" s="20"/>
      <c r="M93" s="9"/>
      <c r="N93" s="9"/>
      <c r="O93" s="9"/>
      <c r="P93" s="9"/>
      <c r="Q93" s="9"/>
      <c r="R93" s="9"/>
      <c r="S93" s="9"/>
      <c r="T93" s="9"/>
      <c r="U93" s="9"/>
      <c r="V93" s="9"/>
      <c r="W93" s="9"/>
      <c r="X93" s="9"/>
      <c r="Y93" s="9"/>
      <c r="Z93" s="9"/>
    </row>
    <row r="94">
      <c r="A94" s="20">
        <v>93.0</v>
      </c>
      <c r="B94" s="20" t="s">
        <v>2476</v>
      </c>
      <c r="C94" s="20" t="s">
        <v>2477</v>
      </c>
      <c r="D94" s="20" t="s">
        <v>2478</v>
      </c>
      <c r="E94" s="20" t="s">
        <v>2479</v>
      </c>
      <c r="F94" s="9"/>
      <c r="G94" s="20" t="str">
        <f>IFERROR(__xludf.DUMMYFUNCTION("GOOGLETRANSLATE(B94,""ar"",""en"")"),"If the cow shows clear signs of stress before the fight, what should you do?")</f>
        <v>If the cow shows clear signs of stress before the fight, what should you do?</v>
      </c>
      <c r="H94" s="20" t="str">
        <f>IFERROR(__xludf.DUMMYFUNCTION("GOOGLETRANSLATE(C94,""ar"",""en"")"),"a) She tries to calm her down using deep breathing techniques; b) She pressures her to participate in the fight immediately; c) She asks the trainer to reinforce the cow with more training; d) She asks for the fight to be postponed to a later time.")</f>
        <v>a) She tries to calm her down using deep breathing techniques; b) She pressures her to participate in the fight immediately; c) She asks the trainer to reinforce the cow with more training; d) She asks for the fight to be postponed to a later time.</v>
      </c>
      <c r="I94" s="20" t="str">
        <f>IFERROR(__xludf.DUMMYFUNCTION("GOOGLETRANSLATE(D94,""ar"",""en"")"),"a) She tries to calm her down using deep breathing techniques")</f>
        <v>a) She tries to calm her down using deep breathing techniques</v>
      </c>
      <c r="J94" s="20" t="str">
        <f>IFERROR(__xludf.DUMMYFUNCTION("GOOGLETRANSLATE(E94,""ar"",""en"")"),"Breathing techniques help calm the nerves and improve focus before battle.")</f>
        <v>Breathing techniques help calm the nerves and improve focus before battle.</v>
      </c>
      <c r="K94" s="20"/>
      <c r="L94" s="20"/>
      <c r="M94" s="9"/>
      <c r="N94" s="9"/>
      <c r="O94" s="9"/>
      <c r="P94" s="9"/>
      <c r="Q94" s="9"/>
      <c r="R94" s="9"/>
      <c r="S94" s="9"/>
      <c r="T94" s="9"/>
      <c r="U94" s="9"/>
      <c r="V94" s="9"/>
      <c r="W94" s="9"/>
      <c r="X94" s="9"/>
      <c r="Y94" s="9"/>
      <c r="Z94" s="9"/>
    </row>
    <row r="95">
      <c r="A95" s="20">
        <v>94.0</v>
      </c>
      <c r="B95" s="20" t="s">
        <v>2480</v>
      </c>
      <c r="C95" s="20" t="s">
        <v>2481</v>
      </c>
      <c r="D95" s="20" t="s">
        <v>2482</v>
      </c>
      <c r="E95" s="20" t="s">
        <v>2483</v>
      </c>
      <c r="F95" s="9"/>
      <c r="G95" s="20" t="str">
        <f>IFERROR(__xludf.DUMMYFUNCTION("GOOGLETRANSLATE(B95,""ar"",""en"")"),"If a cow is having difficulty moving due to an injury to its foot, what should you do?")</f>
        <v>If a cow is having difficulty moving due to an injury to its foot, what should you do?</v>
      </c>
      <c r="H95" s="20" t="str">
        <f>IFERROR(__xludf.DUMMYFUNCTION("GOOGLETRANSLATE(C95,""ar"",""en"")"),"a) She asks the team to examine the cow immediately and give her appropriate treatment; b) She pressures the cow to continue fighting; c) She asks the referee to stop the fight because of the injury; d) She continues fighting despite the injuries")</f>
        <v>a) She asks the team to examine the cow immediately and give her appropriate treatment; b) She pressures the cow to continue fighting; c) She asks the referee to stop the fight because of the injury; d) She continues fighting despite the injuries</v>
      </c>
      <c r="I95" s="20" t="str">
        <f>IFERROR(__xludf.DUMMYFUNCTION("GOOGLETRANSLATE(D95,""ar"",""en"")"),"a) The team is asked to examine the cow immediately and give her the appropriate treatment.")</f>
        <v>a) The team is asked to examine the cow immediately and give her the appropriate treatment.</v>
      </c>
      <c r="J95" s="20" t="str">
        <f>IFERROR(__xludf.DUMMYFUNCTION("GOOGLETRANSLATE(E95,""ar"",""en"")"),"Health care is essential to protect the cow from serious injuries and enhance its endurance.")</f>
        <v>Health care is essential to protect the cow from serious injuries and enhance its endurance.</v>
      </c>
      <c r="K95" s="20"/>
      <c r="L95" s="20"/>
      <c r="M95" s="9"/>
      <c r="N95" s="9"/>
      <c r="O95" s="9"/>
      <c r="P95" s="9"/>
      <c r="Q95" s="9"/>
      <c r="R95" s="9"/>
      <c r="S95" s="9"/>
      <c r="T95" s="9"/>
      <c r="U95" s="9"/>
      <c r="V95" s="9"/>
      <c r="W95" s="9"/>
      <c r="X95" s="9"/>
      <c r="Y95" s="9"/>
      <c r="Z95" s="9"/>
    </row>
    <row r="96">
      <c r="A96" s="20">
        <v>95.0</v>
      </c>
      <c r="B96" s="20" t="s">
        <v>2484</v>
      </c>
      <c r="C96" s="20" t="s">
        <v>2485</v>
      </c>
      <c r="D96" s="20" t="s">
        <v>2486</v>
      </c>
      <c r="E96" s="20" t="s">
        <v>2487</v>
      </c>
      <c r="F96" s="9"/>
      <c r="G96" s="20" t="str">
        <f>IFERROR(__xludf.DUMMYFUNCTION("GOOGLETRANSLATE(B96,""ar"",""en"")"),"If the cow behaves unpredictably during a fight, what do you do?")</f>
        <v>If the cow behaves unpredictably during a fight, what do you do?</v>
      </c>
      <c r="H96" s="20" t="str">
        <f>IFERROR(__xludf.DUMMYFUNCTION("GOOGLETRANSLATE(C96,""ar"",""en"")"),"a) She tries to calm her down and redirect her behavior; b) She lets her act freely; c) She asks the trainer to intervene to modify her behavior; d) She demands that the fight be stopped immediately")</f>
        <v>a) She tries to calm her down and redirect her behavior; b) She lets her act freely; c) She asks the trainer to intervene to modify her behavior; d) She demands that the fight be stopped immediately</v>
      </c>
      <c r="I96" s="20" t="str">
        <f>IFERROR(__xludf.DUMMYFUNCTION("GOOGLETRANSLATE(D96,""ar"",""en"")"),"a) She tries to calm her down and redirect her behavior")</f>
        <v>a) She tries to calm her down and redirect her behavior</v>
      </c>
      <c r="J96" s="20" t="str">
        <f>IFERROR(__xludf.DUMMYFUNCTION("GOOGLETRANSLATE(E96,""ar"",""en"")"),"Controlling the cow's behavior is important to ensure an organized and successful fight.")</f>
        <v>Controlling the cow's behavior is important to ensure an organized and successful fight.</v>
      </c>
      <c r="K96" s="20"/>
      <c r="L96" s="20"/>
      <c r="M96" s="9"/>
      <c r="N96" s="9"/>
      <c r="O96" s="9"/>
      <c r="P96" s="9"/>
      <c r="Q96" s="9"/>
      <c r="R96" s="9"/>
      <c r="S96" s="9"/>
      <c r="T96" s="9"/>
      <c r="U96" s="9"/>
      <c r="V96" s="9"/>
      <c r="W96" s="9"/>
      <c r="X96" s="9"/>
      <c r="Y96" s="9"/>
      <c r="Z96" s="9"/>
    </row>
    <row r="97">
      <c r="A97" s="20">
        <v>96.0</v>
      </c>
      <c r="B97" s="20" t="s">
        <v>2488</v>
      </c>
      <c r="C97" s="20" t="s">
        <v>2489</v>
      </c>
      <c r="D97" s="20" t="s">
        <v>2490</v>
      </c>
      <c r="E97" s="20" t="s">
        <v>2491</v>
      </c>
      <c r="F97" s="9"/>
      <c r="G97" s="20" t="str">
        <f>IFERROR(__xludf.DUMMYFUNCTION("GOOGLETRANSLATE(B97,""ar"",""en"")"),"If the opponent suddenly starts using an attacking style, what do you do?")</f>
        <v>If the opponent suddenly starts using an attacking style, what do you do?</v>
      </c>
      <c r="H97" s="20" t="str">
        <f>IFERROR(__xludf.DUMMYFUNCTION("GOOGLETRANSLATE(C97,""ar"",""en"")"),"a) You try to adapt to his style and respond quickly; b) You stick to a defensive style; c) You ask the coach for guidance on how to deal with his sudden style; d) You avoid attacking and wait for other opportunities.")</f>
        <v>a) You try to adapt to his style and respond quickly; b) You stick to a defensive style; c) You ask the coach for guidance on how to deal with his sudden style; d) You avoid attacking and wait for other opportunities.</v>
      </c>
      <c r="I97" s="20" t="str">
        <f>IFERROR(__xludf.DUMMYFUNCTION("GOOGLETRANSLATE(D97,""ar"",""en"")"),"a) She tries to adapt to his style and respond quickly")</f>
        <v>a) She tries to adapt to his style and respond quickly</v>
      </c>
      <c r="J97" s="20" t="str">
        <f>IFERROR(__xludf.DUMMYFUNCTION("GOOGLETRANSLATE(E97,""ar"",""en"")"),"Adapting to sudden tactics increases your chances of minimizing the impact of the attack and improves your performance.")</f>
        <v>Adapting to sudden tactics increases your chances of minimizing the impact of the attack and improves your performance.</v>
      </c>
      <c r="K97" s="20"/>
      <c r="L97" s="20"/>
      <c r="M97" s="9"/>
      <c r="N97" s="9"/>
      <c r="O97" s="9"/>
      <c r="P97" s="9"/>
      <c r="Q97" s="9"/>
      <c r="R97" s="9"/>
      <c r="S97" s="9"/>
      <c r="T97" s="9"/>
      <c r="U97" s="9"/>
      <c r="V97" s="9"/>
      <c r="W97" s="9"/>
      <c r="X97" s="9"/>
      <c r="Y97" s="9"/>
      <c r="Z97" s="9"/>
    </row>
    <row r="98">
      <c r="A98" s="20">
        <v>97.0</v>
      </c>
      <c r="B98" s="20" t="s">
        <v>2492</v>
      </c>
      <c r="C98" s="20" t="s">
        <v>2493</v>
      </c>
      <c r="D98" s="20" t="s">
        <v>2494</v>
      </c>
      <c r="E98" s="20" t="s">
        <v>2495</v>
      </c>
      <c r="F98" s="9"/>
      <c r="G98" s="20" t="str">
        <f>IFERROR(__xludf.DUMMYFUNCTION("GOOGLETRANSLATE(B98,""ar"",""en"")"),"If you feel that the cow has started to back down during the fight, what do you do?")</f>
        <v>If you feel that the cow has started to back down during the fight, what do you do?</v>
      </c>
      <c r="H98" s="20" t="str">
        <f>IFERROR(__xludf.DUMMYFUNCTION("GOOGLETRANSLATE(C98,""ar"",""en"")"),"a) She tries to encourage her and boost her self-confidence; b) She continues attacking until the end; c) She asks the team to intervene immediately; d) She asks the referee to stop the fight, if necessary.")</f>
        <v>a) She tries to encourage her and boost her self-confidence; b) She continues attacking until the end; c) She asks the team to intervene immediately; d) She asks the referee to stop the fight, if necessary.</v>
      </c>
      <c r="I98" s="20" t="str">
        <f>IFERROR(__xludf.DUMMYFUNCTION("GOOGLETRANSLATE(D98,""ar"",""en"")"),"a) She tries to encourage her and boost her self-confidence")</f>
        <v>a) She tries to encourage her and boost her self-confidence</v>
      </c>
      <c r="J98" s="20" t="str">
        <f>IFERROR(__xludf.DUMMYFUNCTION("GOOGLETRANSLATE(E98,""ar"",""en"")"),"Boosting a cow's confidence can help raise her morale and restore her strength in battle.")</f>
        <v>Boosting a cow's confidence can help raise her morale and restore her strength in battle.</v>
      </c>
      <c r="K98" s="20"/>
      <c r="L98" s="20"/>
      <c r="M98" s="9"/>
      <c r="N98" s="9"/>
      <c r="O98" s="9"/>
      <c r="P98" s="9"/>
      <c r="Q98" s="9"/>
      <c r="R98" s="9"/>
      <c r="S98" s="9"/>
      <c r="T98" s="9"/>
      <c r="U98" s="9"/>
      <c r="V98" s="9"/>
      <c r="W98" s="9"/>
      <c r="X98" s="9"/>
      <c r="Y98" s="9"/>
      <c r="Z98" s="9"/>
    </row>
    <row r="99">
      <c r="A99" s="20">
        <v>98.0</v>
      </c>
      <c r="B99" s="20" t="s">
        <v>2496</v>
      </c>
      <c r="C99" s="20" t="s">
        <v>2497</v>
      </c>
      <c r="D99" s="20" t="s">
        <v>2498</v>
      </c>
      <c r="E99" s="20" t="s">
        <v>2499</v>
      </c>
      <c r="F99" s="9"/>
      <c r="G99" s="20" t="str">
        <f>IFERROR(__xludf.DUMMYFUNCTION("GOOGLETRANSLATE(B99,""ar"",""en"")"),"If the cow shows a decline in performance during a fight, what do you do?")</f>
        <v>If the cow shows a decline in performance during a fight, what do you do?</v>
      </c>
      <c r="H99" s="20" t="str">
        <f>IFERROR(__xludf.DUMMYFUNCTION("GOOGLETRANSLATE(C99,""ar"",""en"")"),"a) You try to change your strategy to boost the cow's performance; b) You ask the trainer for guidance on how to improve her performance; c) You ask the team to help her regain her strength; d) She continues the fight as is")</f>
        <v>a) You try to change your strategy to boost the cow's performance; b) You ask the trainer for guidance on how to improve her performance; c) You ask the team to help her regain her strength; d) She continues the fight as is</v>
      </c>
      <c r="I99" s="20" t="str">
        <f>IFERROR(__xludf.DUMMYFUNCTION("GOOGLETRANSLATE(D99,""ar"",""en"")"),"a) You are trying to change your strategy to improve the cow's performance")</f>
        <v>a) You are trying to change your strategy to improve the cow's performance</v>
      </c>
      <c r="J99" s="20" t="str">
        <f>IFERROR(__xludf.DUMMYFUNCTION("GOOGLETRANSLATE(E99,""ar"",""en"")"),"Strategic adjustments help restore the cow to its best performance and improve the chances of winning.")</f>
        <v>Strategic adjustments help restore the cow to its best performance and improve the chances of winning.</v>
      </c>
      <c r="K99" s="20"/>
      <c r="L99" s="20"/>
      <c r="M99" s="9"/>
      <c r="N99" s="9"/>
      <c r="O99" s="9"/>
      <c r="P99" s="9"/>
      <c r="Q99" s="9"/>
      <c r="R99" s="9"/>
      <c r="S99" s="9"/>
      <c r="T99" s="9"/>
      <c r="U99" s="9"/>
      <c r="V99" s="9"/>
      <c r="W99" s="9"/>
      <c r="X99" s="9"/>
      <c r="Y99" s="9"/>
      <c r="Z99" s="9"/>
    </row>
    <row r="100">
      <c r="A100" s="20">
        <v>99.0</v>
      </c>
      <c r="B100" s="20" t="s">
        <v>2500</v>
      </c>
      <c r="C100" s="20" t="s">
        <v>2501</v>
      </c>
      <c r="D100" s="20" t="s">
        <v>2502</v>
      </c>
      <c r="E100" s="20" t="s">
        <v>2503</v>
      </c>
      <c r="F100" s="9"/>
      <c r="G100" s="20" t="str">
        <f>IFERROR(__xludf.DUMMYFUNCTION("GOOGLETRANSLATE(B100,""ar"",""en"")"),"If a cow is under pressure from a competitor in a fight, what should it do?")</f>
        <v>If a cow is under pressure from a competitor in a fight, what should it do?</v>
      </c>
      <c r="H100" s="20" t="str">
        <f>IFERROR(__xludf.DUMMYFUNCTION("GOOGLETRANSLATE(C100,""ar"",""en"")"),"a) She tries to manage the pressure and control the fight using a defensive strategy; b) She pressures the cow to continue attacking; c) She asks the trainer to change the plan immediately; d) She retreats to a defensive position.")</f>
        <v>a) She tries to manage the pressure and control the fight using a defensive strategy; b) She pressures the cow to continue attacking; c) She asks the trainer to change the plan immediately; d) She retreats to a defensive position.</v>
      </c>
      <c r="I100" s="20" t="str">
        <f>IFERROR(__xludf.DUMMYFUNCTION("GOOGLETRANSLATE(D100,""ar"",""en"")"),"a) Attempt to manage pressure and control the battle using a defensive approach")</f>
        <v>a) Attempt to manage pressure and control the battle using a defensive approach</v>
      </c>
      <c r="J100" s="20" t="str">
        <f>IFERROR(__xludf.DUMMYFUNCTION("GOOGLETRANSLATE(E100,""ar"",""en"")"),"Managing stress well helps maintain balance in the battle.")</f>
        <v>Managing stress well helps maintain balance in the battle.</v>
      </c>
      <c r="K100" s="20"/>
      <c r="L100" s="20"/>
      <c r="M100" s="9"/>
      <c r="N100" s="9"/>
      <c r="O100" s="9"/>
      <c r="P100" s="9"/>
      <c r="Q100" s="9"/>
      <c r="R100" s="9"/>
      <c r="S100" s="9"/>
      <c r="T100" s="9"/>
      <c r="U100" s="9"/>
      <c r="V100" s="9"/>
      <c r="W100" s="9"/>
      <c r="X100" s="9"/>
      <c r="Y100" s="9"/>
      <c r="Z100" s="9"/>
    </row>
    <row r="101">
      <c r="A101" s="20">
        <v>100.0</v>
      </c>
      <c r="B101" s="20" t="s">
        <v>2504</v>
      </c>
      <c r="C101" s="20" t="s">
        <v>2505</v>
      </c>
      <c r="D101" s="20" t="s">
        <v>2506</v>
      </c>
      <c r="E101" s="20" t="s">
        <v>2507</v>
      </c>
      <c r="F101" s="9"/>
      <c r="G101" s="20" t="str">
        <f>IFERROR(__xludf.DUMMYFUNCTION("GOOGLETRANSLATE(B101,""ar"",""en"")"),"If your opponent starts using both legitimate and illegitimate tactics in the fight, what do you do?")</f>
        <v>If your opponent starts using both legitimate and illegitimate tactics in the fight, what do you do?</v>
      </c>
      <c r="H101" s="20" t="str">
        <f>IFERROR(__xludf.DUMMYFUNCTION("GOOGLETRANSLATE(C101,""ar"",""en"")"),"a) Asks the referee to intervene to ensure fair play; b) Responds only with legitimate means; c) Follows his style exactly; d) Avoids the fight")</f>
        <v>a) Asks the referee to intervene to ensure fair play; b) Responds only with legitimate means; c) Follows his style exactly; d) Avoids the fight</v>
      </c>
      <c r="I101" s="20" t="str">
        <f>IFERROR(__xludf.DUMMYFUNCTION("GOOGLETRANSLATE(D101,""ar"",""en"")"),"a) You ask the referee to intervene to ensure fair play")</f>
        <v>a) You ask the referee to intervene to ensure fair play</v>
      </c>
      <c r="J101" s="20" t="str">
        <f>IFERROR(__xludf.DUMMYFUNCTION("GOOGLETRANSLATE(E101,""ar"",""en"")"),"Adhering to the rules and maintaining fair play protects you from legal risks and keeps you safe.")</f>
        <v>Adhering to the rules and maintaining fair play protects you from legal risks and keeps you safe.</v>
      </c>
      <c r="K101" s="20"/>
      <c r="L101" s="20"/>
      <c r="M101" s="9"/>
      <c r="N101" s="9"/>
      <c r="O101" s="9"/>
      <c r="P101" s="9"/>
      <c r="Q101" s="9"/>
      <c r="R101" s="9"/>
      <c r="S101" s="9"/>
      <c r="T101" s="9"/>
      <c r="U101" s="9"/>
      <c r="V101" s="9"/>
      <c r="W101" s="9"/>
      <c r="X101" s="9"/>
      <c r="Y101" s="9"/>
      <c r="Z101" s="9"/>
    </row>
    <row r="102">
      <c r="A102" s="20">
        <v>101.0</v>
      </c>
      <c r="B102" s="20" t="s">
        <v>2508</v>
      </c>
      <c r="C102" s="20" t="s">
        <v>2509</v>
      </c>
      <c r="D102" s="20" t="s">
        <v>2510</v>
      </c>
      <c r="E102" s="20" t="s">
        <v>2511</v>
      </c>
      <c r="F102" s="9"/>
      <c r="G102" s="20" t="str">
        <f>IFERROR(__xludf.DUMMYFUNCTION("GOOGLETRANSLATE(B102,""ar"",""en"")"),"If you notice that the cow looks extremely exhausted due to lack of water before a fight, what is the best course of action?")</f>
        <v>If you notice that the cow looks extremely exhausted due to lack of water before a fight, what is the best course of action?</v>
      </c>
      <c r="H102" s="20" t="str">
        <f>IFERROR(__xludf.DUMMYFUNCTION("GOOGLETRANSLATE(C102,""ar"",""en"")"),"A. Give her a large amount of water immediately. B. Postpone the fight and give her water in intervals. C. Force her to drink fizzy drinks to energize her. D. Leave her as she is, because fatigue is part of the fight.")</f>
        <v>A. Give her a large amount of water immediately. B. Postpone the fight and give her water in intervals. C. Force her to drink fizzy drinks to energize her. D. Leave her as she is, because fatigue is part of the fight.</v>
      </c>
      <c r="I102" s="20" t="str">
        <f>IFERROR(__xludf.DUMMYFUNCTION("GOOGLETRANSLATE(D102,""ar"",""en"")"),"b. Postpone the battle and give her water at intervals.")</f>
        <v>b. Postpone the battle and give her water at intervals.</v>
      </c>
      <c r="J102" s="20" t="str">
        <f>IFERROR(__xludf.DUMMYFUNCTION("GOOGLETRANSLATE(E102,""ar"",""en"")"),"Giving a large amount of water all at once can shock a cow's digestive system. It's best to give it small amounts at intervals to prevent dehydration and ensure its well-being.")</f>
        <v>Giving a large amount of water all at once can shock a cow's digestive system. It's best to give it small amounts at intervals to prevent dehydration and ensure its well-being.</v>
      </c>
      <c r="K102" s="20"/>
      <c r="L102" s="20"/>
      <c r="M102" s="9"/>
      <c r="N102" s="9"/>
      <c r="O102" s="9"/>
      <c r="P102" s="9"/>
      <c r="Q102" s="9"/>
      <c r="R102" s="9"/>
      <c r="S102" s="9"/>
      <c r="T102" s="9"/>
      <c r="U102" s="9"/>
      <c r="V102" s="9"/>
      <c r="W102" s="9"/>
      <c r="X102" s="9"/>
      <c r="Y102" s="9"/>
      <c r="Z102" s="9"/>
    </row>
    <row r="103">
      <c r="A103" s="20">
        <v>102.0</v>
      </c>
      <c r="B103" s="20" t="s">
        <v>2512</v>
      </c>
      <c r="C103" s="20" t="s">
        <v>2513</v>
      </c>
      <c r="D103" s="20" t="s">
        <v>2514</v>
      </c>
      <c r="E103" s="20" t="s">
        <v>2515</v>
      </c>
      <c r="F103" s="9"/>
      <c r="G103" s="20" t="str">
        <f>IFERROR(__xludf.DUMMYFUNCTION("GOOGLETRANSLATE(B103,""ar"",""en"")"),"During the fight, you noticed that your opponent repeatedly struck the same part of your cow's body. What do you do?")</f>
        <v>During the fight, you noticed that your opponent repeatedly struck the same part of your cow's body. What do you do?</v>
      </c>
      <c r="H103" s="20" t="str">
        <f>IFERROR(__xludf.DUMMYFUNCTION("GOOGLETRANSLATE(C103,""ar"",""en"")"),"A. I demand a stop to the fight and protest the referee's decision. B. I shout at my opponent to stop his unfair tactics. C. I constantly change the angle of the fight to protect the cow from repeated blows. D. I continue fighting in the hope that my oppo"&amp;"nent will change his strategy.")</f>
        <v>A. I demand a stop to the fight and protest the referee's decision. B. I shout at my opponent to stop his unfair tactics. C. I constantly change the angle of the fight to protect the cow from repeated blows. D. I continue fighting in the hope that my opponent will change his strategy.</v>
      </c>
      <c r="I103" s="20" t="str">
        <f>IFERROR(__xludf.DUMMYFUNCTION("GOOGLETRANSLATE(D103,""ar"",""en"")"),"C. I constantly change the angle of the fight to protect the cow from repeated blows.")</f>
        <v>C. I constantly change the angle of the fight to protect the cow from repeated blows.</v>
      </c>
      <c r="J103" s="20" t="str">
        <f>IFERROR(__xludf.DUMMYFUNCTION("GOOGLETRANSLATE(E103,""ar"",""en"")"),"The farmer must be strategic during the fight. Changing the angle diverts the opponent's attacks and reduces damage to a specific area of ​​the cow's body, protecting it from serious injuries.")</f>
        <v>The farmer must be strategic during the fight. Changing the angle diverts the opponent's attacks and reduces damage to a specific area of ​​the cow's body, protecting it from serious injuries.</v>
      </c>
      <c r="K103" s="20"/>
      <c r="L103" s="20"/>
      <c r="M103" s="9"/>
      <c r="N103" s="9"/>
      <c r="O103" s="9"/>
      <c r="P103" s="9"/>
      <c r="Q103" s="9"/>
      <c r="R103" s="9"/>
      <c r="S103" s="9"/>
      <c r="T103" s="9"/>
      <c r="U103" s="9"/>
      <c r="V103" s="9"/>
      <c r="W103" s="9"/>
      <c r="X103" s="9"/>
      <c r="Y103" s="9"/>
      <c r="Z103" s="9"/>
    </row>
    <row r="104">
      <c r="A104" s="20">
        <v>103.0</v>
      </c>
      <c r="B104" s="20" t="s">
        <v>2516</v>
      </c>
      <c r="C104" s="20" t="s">
        <v>2517</v>
      </c>
      <c r="D104" s="20" t="s">
        <v>2518</v>
      </c>
      <c r="E104" s="20" t="s">
        <v>2519</v>
      </c>
      <c r="F104" s="9"/>
      <c r="G104" s="20" t="str">
        <f>IFERROR(__xludf.DUMMYFUNCTION("GOOGLETRANSLATE(B104,""ar"",""en"")"),"If your cow is showing signs of overconfidence and ignoring the opponent, what do you do?")</f>
        <v>If your cow is showing signs of overconfidence and ignoring the opponent, what do you do?</v>
      </c>
      <c r="H104" s="20" t="str">
        <f>IFERROR(__xludf.DUMMYFUNCTION("GOOGLETRANSLATE(C104,""ar"",""en"")"),"A. I let her be herself because confidence is good. B. I yell at her to give her orders. C. I give her a quick reward to encourage her to pay attention. D. I try to gently draw her attention to the competitor to avoid surprise.")</f>
        <v>A. I let her be herself because confidence is good. B. I yell at her to give her orders. C. I give her a quick reward to encourage her to pay attention. D. I try to gently draw her attention to the competitor to avoid surprise.</v>
      </c>
      <c r="I104" s="20" t="str">
        <f>IFERROR(__xludf.DUMMYFUNCTION("GOOGLETRANSLATE(D104,""ar"",""en"")"),"Dr. I try to gently draw her attention towards the competitor to avoid being surprised.")</f>
        <v>Dr. I try to gently draw her attention towards the competitor to avoid being surprised.</v>
      </c>
      <c r="J104" s="20" t="str">
        <f>IFERROR(__xludf.DUMMYFUNCTION("GOOGLETRANSLATE(E104,""ar"",""en"")"),"Overconfidence can lead to a loss of focus and expose the cow to an unexpected blow. The farmer must calmly and gently refocus her.")</f>
        <v>Overconfidence can lead to a loss of focus and expose the cow to an unexpected blow. The farmer must calmly and gently refocus her.</v>
      </c>
      <c r="K104" s="20"/>
      <c r="L104" s="20"/>
      <c r="M104" s="9"/>
      <c r="N104" s="9"/>
      <c r="O104" s="9"/>
      <c r="P104" s="9"/>
      <c r="Q104" s="9"/>
      <c r="R104" s="9"/>
      <c r="S104" s="9"/>
      <c r="T104" s="9"/>
      <c r="U104" s="9"/>
      <c r="V104" s="9"/>
      <c r="W104" s="9"/>
      <c r="X104" s="9"/>
      <c r="Y104" s="9"/>
      <c r="Z104" s="9"/>
    </row>
    <row r="105">
      <c r="A105" s="20">
        <v>104.0</v>
      </c>
      <c r="B105" s="20" t="s">
        <v>2520</v>
      </c>
      <c r="C105" s="20" t="s">
        <v>2521</v>
      </c>
      <c r="D105" s="20" t="s">
        <v>2522</v>
      </c>
      <c r="E105" s="20" t="s">
        <v>2523</v>
      </c>
      <c r="F105" s="9"/>
      <c r="G105" s="20" t="str">
        <f>IFERROR(__xludf.DUMMYFUNCTION("GOOGLETRANSLATE(B105,""ar"",""en"")"),"If the cow appears noticeably nervous due to the delayed start of the fight, what do you do?")</f>
        <v>If the cow appears noticeably nervous due to the delayed start of the fight, what do you do?</v>
      </c>
      <c r="H105" s="20" t="str">
        <f>IFERROR(__xludf.DUMMYFUNCTION("GOOGLETRANSLATE(C105,""ar"",""en"")"),"A. I leave her to deal with the stress on her own. B. I go and complain to the referee about the delay. C. I try to calm her down by speaking to her gently or offering her a snack. D. I leave her alone until she calms down.")</f>
        <v>A. I leave her to deal with the stress on her own. B. I go and complain to the referee about the delay. C. I try to calm her down by speaking to her gently or offering her a snack. D. I leave her alone until she calms down.</v>
      </c>
      <c r="I105" s="20" t="str">
        <f>IFERROR(__xludf.DUMMYFUNCTION("GOOGLETRANSLATE(D105,""ar"",""en"")"),"C. I try to calm her down by speaking to her gently or offering her a snack.")</f>
        <v>C. I try to calm her down by speaking to her gently or offering her a snack.</v>
      </c>
      <c r="J105" s="20" t="str">
        <f>IFERROR(__xludf.DUMMYFUNCTION("GOOGLETRANSLATE(E105,""ar"",""en"")"),"Pre-battle tension can negatively affect performance. The best approach is to calm the cow, keep her relaxed, and avoid any action that might increase her stress.")</f>
        <v>Pre-battle tension can negatively affect performance. The best approach is to calm the cow, keep her relaxed, and avoid any action that might increase her stress.</v>
      </c>
      <c r="K105" s="20"/>
      <c r="L105" s="20"/>
      <c r="M105" s="9"/>
      <c r="N105" s="9"/>
      <c r="O105" s="9"/>
      <c r="P105" s="9"/>
      <c r="Q105" s="9"/>
      <c r="R105" s="9"/>
      <c r="S105" s="9"/>
      <c r="T105" s="9"/>
      <c r="U105" s="9"/>
      <c r="V105" s="9"/>
      <c r="W105" s="9"/>
      <c r="X105" s="9"/>
      <c r="Y105" s="9"/>
      <c r="Z105" s="9"/>
    </row>
    <row r="106">
      <c r="A106" s="20">
        <v>105.0</v>
      </c>
      <c r="B106" s="20" t="s">
        <v>2524</v>
      </c>
      <c r="C106" s="20" t="s">
        <v>2525</v>
      </c>
      <c r="D106" s="20" t="s">
        <v>2526</v>
      </c>
      <c r="E106" s="20" t="s">
        <v>2527</v>
      </c>
      <c r="F106" s="9"/>
      <c r="G106" s="20" t="str">
        <f>IFERROR(__xludf.DUMMYFUNCTION("GOOGLETRANSLATE(B106,""ar"",""en"")"),"After the fight, I noticed the cow had a minor head injury. What is the best course of action?")</f>
        <v>After the fight, I noticed the cow had a minor head injury. What is the best course of action?</v>
      </c>
      <c r="H106" s="20" t="str">
        <f>IFERROR(__xludf.DUMMYFUNCTION("GOOGLETRANSLATE(C106,""ar"",""en"")"),"A. Leave it as is and assume it will heal on its own. B. Clean the wound with cold water and observe it. C. Take it immediately to the nearest veterinary clinic for examination. D. Use only a bandage without cleaning the wound.")</f>
        <v>A. Leave it as is and assume it will heal on its own. B. Clean the wound with cold water and observe it. C. Take it immediately to the nearest veterinary clinic for examination. D. Use only a bandage without cleaning the wound.</v>
      </c>
      <c r="I106" s="20" t="str">
        <f>IFERROR(__xludf.DUMMYFUNCTION("GOOGLETRANSLATE(D106,""ar"",""en"")"),"C. Take her immediately to the nearest veterinary clinic for examination.")</f>
        <v>C. Take her immediately to the nearest veterinary clinic for examination.</v>
      </c>
      <c r="J106" s="20" t="str">
        <f>IFERROR(__xludf.DUMMYFUNCTION("GOOGLETRANSLATE(E106,""ar"",""en"")"),"Head injuries can be serious even if they appear minor. The cow should be taken to a veterinarian to ensure there are no internal injuries.")</f>
        <v>Head injuries can be serious even if they appear minor. The cow should be taken to a veterinarian to ensure there are no internal injuries.</v>
      </c>
      <c r="K106" s="20"/>
      <c r="L106" s="20"/>
      <c r="M106" s="9"/>
      <c r="N106" s="9"/>
      <c r="O106" s="9"/>
      <c r="P106" s="9"/>
      <c r="Q106" s="9"/>
      <c r="R106" s="9"/>
      <c r="S106" s="9"/>
      <c r="T106" s="9"/>
      <c r="U106" s="9"/>
      <c r="V106" s="9"/>
      <c r="W106" s="9"/>
      <c r="X106" s="9"/>
      <c r="Y106" s="9"/>
      <c r="Z106" s="9"/>
    </row>
    <row r="107">
      <c r="A107" s="20">
        <v>106.0</v>
      </c>
      <c r="B107" s="20" t="s">
        <v>2528</v>
      </c>
      <c r="C107" s="20" t="s">
        <v>2529</v>
      </c>
      <c r="D107" s="20" t="s">
        <v>2530</v>
      </c>
      <c r="E107" s="20" t="s">
        <v>2531</v>
      </c>
      <c r="F107" s="9"/>
      <c r="G107" s="20" t="str">
        <f>IFERROR(__xludf.DUMMYFUNCTION("GOOGLETRANSLATE(B107,""ar"",""en"")"),"How should you act if a cow refuses to drink water after a fight, potentially leading to dehydration?")</f>
        <v>How should you act if a cow refuses to drink water after a fight, potentially leading to dehydration?</v>
      </c>
      <c r="H107" s="20" t="str">
        <f>IFERROR(__xludf.DUMMYFUNCTION("GOOGLETRANSLATE(C107,""ar"",""en"")"),"a. Leave it for a while, hoping she'll drink later. b. Force her to drink using a bowl. c. Offer her salty snacks to increase her desire to drink. d. Offer her warm water or a slightly sweetened liquid to encourage her to drink.")</f>
        <v>a. Leave it for a while, hoping she'll drink later. b. Force her to drink using a bowl. c. Offer her salty snacks to increase her desire to drink. d. Offer her warm water or a slightly sweetened liquid to encourage her to drink.</v>
      </c>
      <c r="I107" s="20" t="str">
        <f>IFERROR(__xludf.DUMMYFUNCTION("GOOGLETRANSLATE(D107,""ar"",""en"")"),"Dr. I offer her warm water or a slightly sweetened liquid to encourage her to drink.")</f>
        <v>Dr. I offer her warm water or a slightly sweetened liquid to encourage her to drink.</v>
      </c>
      <c r="J107" s="20" t="str">
        <f>IFERROR(__xludf.DUMMYFUNCTION("GOOGLETRANSLATE(E107,""ar"",""en"")"),"After a fight, a cow may be exhausted and confused. She may not want to drink cold water, while warm or slightly sweetened water may be more appealing.")</f>
        <v>After a fight, a cow may be exhausted and confused. She may not want to drink cold water, while warm or slightly sweetened water may be more appealing.</v>
      </c>
      <c r="K107" s="20"/>
      <c r="L107" s="20"/>
      <c r="M107" s="9"/>
      <c r="N107" s="9"/>
      <c r="O107" s="9"/>
      <c r="P107" s="9"/>
      <c r="Q107" s="9"/>
      <c r="R107" s="9"/>
      <c r="S107" s="9"/>
      <c r="T107" s="9"/>
      <c r="U107" s="9"/>
      <c r="V107" s="9"/>
      <c r="W107" s="9"/>
      <c r="X107" s="9"/>
      <c r="Y107" s="9"/>
      <c r="Z107" s="9"/>
    </row>
    <row r="108">
      <c r="A108" s="20">
        <v>107.0</v>
      </c>
      <c r="B108" s="20" t="s">
        <v>2532</v>
      </c>
      <c r="C108" s="20" t="s">
        <v>2533</v>
      </c>
      <c r="D108" s="20" t="s">
        <v>2534</v>
      </c>
      <c r="E108" s="20" t="s">
        <v>2535</v>
      </c>
      <c r="F108" s="9"/>
      <c r="G108" s="20" t="str">
        <f>IFERROR(__xludf.DUMMYFUNCTION("GOOGLETRANSLATE(B108,""ar"",""en"")"),"If you notice that the cow is showing signs of physical stress due to high ambient temperature, what should you do?")</f>
        <v>If you notice that the cow is showing signs of physical stress due to high ambient temperature, what should you do?</v>
      </c>
      <c r="H108" s="20" t="str">
        <f>IFERROR(__xludf.DUMMYFUNCTION("GOOGLETRANSLATE(C108,""ar"",""en"")"),"A. I continue fighting and expect her to get used to the weather. B. I order an immediate cease-fight. C. I move her to a shaded area and give her cold water to drink. D. I use a fan to cool her down during the fight.")</f>
        <v>A. I continue fighting and expect her to get used to the weather. B. I order an immediate cease-fight. C. I move her to a shaded area and give her cold water to drink. D. I use a fan to cool her down during the fight.</v>
      </c>
      <c r="I108" s="20" t="str">
        <f>IFERROR(__xludf.DUMMYFUNCTION("GOOGLETRANSLATE(D108,""ar"",""en"")"),"c. I move her to a shaded area and give her cold water to drink.")</f>
        <v>c. I move her to a shaded area and give her cold water to drink.</v>
      </c>
      <c r="J108" s="20" t="str">
        <f>IFERROR(__xludf.DUMMYFUNCTION("GOOGLETRANSLATE(E108,""ar"",""en"")"),"Heat stress is very dangerous for animals. Cows must be protected from excessive heat by providing shade and water.")</f>
        <v>Heat stress is very dangerous for animals. Cows must be protected from excessive heat by providing shade and water.</v>
      </c>
      <c r="K108" s="20"/>
      <c r="L108" s="20"/>
      <c r="M108" s="9"/>
      <c r="N108" s="9"/>
      <c r="O108" s="9"/>
      <c r="P108" s="9"/>
      <c r="Q108" s="9"/>
      <c r="R108" s="9"/>
      <c r="S108" s="9"/>
      <c r="T108" s="9"/>
      <c r="U108" s="9"/>
      <c r="V108" s="9"/>
      <c r="W108" s="9"/>
      <c r="X108" s="9"/>
      <c r="Y108" s="9"/>
      <c r="Z108" s="9"/>
    </row>
    <row r="109">
      <c r="A109" s="20">
        <v>108.0</v>
      </c>
      <c r="B109" s="20" t="s">
        <v>2536</v>
      </c>
      <c r="C109" s="20" t="s">
        <v>2537</v>
      </c>
      <c r="D109" s="20" t="s">
        <v>2538</v>
      </c>
      <c r="E109" s="20" t="s">
        <v>2539</v>
      </c>
      <c r="F109" s="9"/>
      <c r="G109" s="20" t="str">
        <f>IFERROR(__xludf.DUMMYFUNCTION("GOOGLETRANSLATE(B109,""ar"",""en"")"),"If the competitor is following a purely defensive strategy that prevents the cow from making any progress, what do you do?")</f>
        <v>If the competitor is following a purely defensive strategy that prevents the cow from making any progress, what do you do?</v>
      </c>
      <c r="H109" s="20" t="str">
        <f>IFERROR(__xludf.DUMMYFUNCTION("GOOGLETRANSLATE(C109,""ar"",""en"")"),"A. I ask the referee to intervene and force my opponent to attack. B. I try to provoke the cow into attacking randomly. C. I change my strategy to use innovative attacking tactics. D. I continue fighting in the same way, hoping that my opponent will chang"&amp;"e his plan.")</f>
        <v>A. I ask the referee to intervene and force my opponent to attack. B. I try to provoke the cow into attacking randomly. C. I change my strategy to use innovative attacking tactics. D. I continue fighting in the same way, hoping that my opponent will change his plan.</v>
      </c>
      <c r="I109" s="20" t="str">
        <f>IFERROR(__xludf.DUMMYFUNCTION("GOOGLETRANSLATE(D109,""ar"",""en"")"),"C. I change my strategy to use innovative offensive methods.")</f>
        <v>C. I change my strategy to use innovative offensive methods.</v>
      </c>
      <c r="J109" s="20" t="str">
        <f>IFERROR(__xludf.DUMMYFUNCTION("GOOGLETRANSLATE(E109,""ar"",""en"")"),"The trainer must be adaptable. Changing fighting strategy is the best way to confuse the defensive opponent and gain the upper hand.")</f>
        <v>The trainer must be adaptable. Changing fighting strategy is the best way to confuse the defensive opponent and gain the upper hand.</v>
      </c>
      <c r="K109" s="20"/>
      <c r="L109" s="20"/>
      <c r="M109" s="9"/>
      <c r="N109" s="9"/>
      <c r="O109" s="9"/>
      <c r="P109" s="9"/>
      <c r="Q109" s="9"/>
      <c r="R109" s="9"/>
      <c r="S109" s="9"/>
      <c r="T109" s="9"/>
      <c r="U109" s="9"/>
      <c r="V109" s="9"/>
      <c r="W109" s="9"/>
      <c r="X109" s="9"/>
      <c r="Y109" s="9"/>
      <c r="Z109" s="9"/>
    </row>
    <row r="110">
      <c r="A110" s="20">
        <v>109.0</v>
      </c>
      <c r="B110" s="20" t="s">
        <v>2540</v>
      </c>
      <c r="C110" s="20" t="s">
        <v>2541</v>
      </c>
      <c r="D110" s="20" t="s">
        <v>2542</v>
      </c>
      <c r="E110" s="20" t="s">
        <v>2543</v>
      </c>
      <c r="F110" s="9"/>
      <c r="G110" s="20" t="str">
        <f>IFERROR(__xludf.DUMMYFUNCTION("GOOGLETRANSLATE(B110,""ar"",""en"")"),"If the cow shows signs of fear of the competitor due to his enormous size, what should you do?")</f>
        <v>If the cow shows signs of fear of the competitor due to his enormous size, what should you do?</v>
      </c>
      <c r="H110" s="20" t="str">
        <f>IFERROR(__xludf.DUMMYFUNCTION("GOOGLETRANSLATE(C110,""ar"",""en"")"),"A. I ask the referee to replace the opponent. B. I shout at the cow to show courage. C. I use body language and encouraging words to boost her confidence. D. I let her escape from the ring.")</f>
        <v>A. I ask the referee to replace the opponent. B. I shout at the cow to show courage. C. I use body language and encouraging words to boost her confidence. D. I let her escape from the ring.</v>
      </c>
      <c r="I110" s="20" t="str">
        <f>IFERROR(__xludf.DUMMYFUNCTION("GOOGLETRANSLATE(D110,""ar"",""en"")"),"C. I use body language and encouraging words to boost her self-confidence.")</f>
        <v>C. I use body language and encouraging words to boost her self-confidence.</v>
      </c>
      <c r="J110" s="20" t="str">
        <f>IFERROR(__xludf.DUMMYFUNCTION("GOOGLETRANSLATE(E110,""ar"",""en"")"),"The farmer must be a source of security and confidence for the cow. Encouraging her helps her overcome her fear and focus on fighting.")</f>
        <v>The farmer must be a source of security and confidence for the cow. Encouraging her helps her overcome her fear and focus on fighting.</v>
      </c>
      <c r="K110" s="20"/>
      <c r="L110" s="20"/>
      <c r="M110" s="9"/>
      <c r="N110" s="9"/>
      <c r="O110" s="9"/>
      <c r="P110" s="9"/>
      <c r="Q110" s="9"/>
      <c r="R110" s="9"/>
      <c r="S110" s="9"/>
      <c r="T110" s="9"/>
      <c r="U110" s="9"/>
      <c r="V110" s="9"/>
      <c r="W110" s="9"/>
      <c r="X110" s="9"/>
      <c r="Y110" s="9"/>
      <c r="Z110" s="9"/>
    </row>
    <row r="111">
      <c r="A111" s="20">
        <v>110.0</v>
      </c>
      <c r="B111" s="20" t="s">
        <v>2544</v>
      </c>
      <c r="C111" s="20" t="s">
        <v>2545</v>
      </c>
      <c r="D111" s="20" t="s">
        <v>2546</v>
      </c>
      <c r="E111" s="20" t="s">
        <v>2547</v>
      </c>
      <c r="F111" s="9"/>
      <c r="G111" s="20" t="str">
        <f>IFERROR(__xludf.DUMMYFUNCTION("GOOGLETRANSLATE(B111,""ar"",""en"")"),"If a cow does not follow your commands due to hearing impairment, what do you do?")</f>
        <v>If a cow does not follow your commands due to hearing impairment, what do you do?</v>
      </c>
      <c r="H111" s="20" t="str">
        <f>IFERROR(__xludf.DUMMYFUNCTION("GOOGLETRANSLATE(C111,""ar"",""en"")"),"A. I use stronger vocal cues. B. I rely entirely on physical signals. C. I demand that the fight stop. D. I let it be.")</f>
        <v>A. I use stronger vocal cues. B. I rely entirely on physical signals. C. I demand that the fight stop. D. I let it be.</v>
      </c>
      <c r="I111" s="20" t="str">
        <f>IFERROR(__xludf.DUMMYFUNCTION("GOOGLETRANSLATE(D111,""ar"",""en"")"),"B. I rely entirely on body language.")</f>
        <v>B. I rely entirely on body language.</v>
      </c>
      <c r="J111" s="20" t="str">
        <f>IFERROR(__xludf.DUMMYFUNCTION("GOOGLETRANSLATE(E111,""ar"",""en"")"),"If the cow has hearing loss, voice commands will not be effective. The farmer must rely on the physical cues the cow has been trained to use.")</f>
        <v>If the cow has hearing loss, voice commands will not be effective. The farmer must rely on the physical cues the cow has been trained to use.</v>
      </c>
      <c r="K111" s="20"/>
      <c r="L111" s="20"/>
      <c r="M111" s="9"/>
      <c r="N111" s="9"/>
      <c r="O111" s="9"/>
      <c r="P111" s="9"/>
      <c r="Q111" s="9"/>
      <c r="R111" s="9"/>
      <c r="S111" s="9"/>
      <c r="T111" s="9"/>
      <c r="U111" s="9"/>
      <c r="V111" s="9"/>
      <c r="W111" s="9"/>
      <c r="X111" s="9"/>
      <c r="Y111" s="9"/>
      <c r="Z111" s="9"/>
    </row>
    <row r="112">
      <c r="A112" s="20">
        <v>111.0</v>
      </c>
      <c r="B112" s="20" t="s">
        <v>2548</v>
      </c>
      <c r="C112" s="20" t="s">
        <v>2549</v>
      </c>
      <c r="D112" s="20" t="s">
        <v>2550</v>
      </c>
      <c r="E112" s="20" t="s">
        <v>2551</v>
      </c>
      <c r="F112" s="9"/>
      <c r="G112" s="20" t="str">
        <f>IFERROR(__xludf.DUMMYFUNCTION("GOOGLETRANSLATE(B112,""ar"",""en"")"),"If the cow is acting aggressively towards you during training due to fatigue, what should you do?")</f>
        <v>If the cow is acting aggressively towards you during training due to fatigue, what should you do?</v>
      </c>
      <c r="H112" s="20" t="str">
        <f>IFERROR(__xludf.DUMMYFUNCTION("GOOGLETRANSLATE(C112,""ar"",""en"")"),"A. I continue the training and force her to keep going. B. I ask for help from another trainer. C. I stop the training immediately and give her a break. D. I use punishment to prevent aggressive behavior.")</f>
        <v>A. I continue the training and force her to keep going. B. I ask for help from another trainer. C. I stop the training immediately and give her a break. D. I use punishment to prevent aggressive behavior.</v>
      </c>
      <c r="I112" s="20" t="str">
        <f>IFERROR(__xludf.DUMMYFUNCTION("GOOGLETRANSLATE(D112,""ar"",""en"")"),"C. Stop the training immediately and give her a rest.")</f>
        <v>C. Stop the training immediately and give her a rest.</v>
      </c>
      <c r="J112" s="20" t="str">
        <f>IFERROR(__xludf.DUMMYFUNCTION("GOOGLETRANSLATE(E112,""ar"",""en"")"),"Aggressive behavior can be a sign of extreme exhaustion or stress. Giving her rest is the best option to avoid injury and maintain a good relationship.")</f>
        <v>Aggressive behavior can be a sign of extreme exhaustion or stress. Giving her rest is the best option to avoid injury and maintain a good relationship.</v>
      </c>
      <c r="K112" s="20"/>
      <c r="L112" s="20"/>
      <c r="M112" s="9"/>
      <c r="N112" s="9"/>
      <c r="O112" s="9"/>
      <c r="P112" s="9"/>
      <c r="Q112" s="9"/>
      <c r="R112" s="9"/>
      <c r="S112" s="9"/>
      <c r="T112" s="9"/>
      <c r="U112" s="9"/>
      <c r="V112" s="9"/>
      <c r="W112" s="9"/>
      <c r="X112" s="9"/>
      <c r="Y112" s="9"/>
      <c r="Z112" s="9"/>
    </row>
    <row r="113">
      <c r="A113" s="20">
        <v>112.0</v>
      </c>
      <c r="B113" s="20" t="s">
        <v>2552</v>
      </c>
      <c r="C113" s="20" t="s">
        <v>2553</v>
      </c>
      <c r="D113" s="20" t="s">
        <v>2554</v>
      </c>
      <c r="E113" s="20" t="s">
        <v>2555</v>
      </c>
      <c r="F113" s="9"/>
      <c r="G113" s="20" t="str">
        <f>IFERROR(__xludf.DUMMYFUNCTION("GOOGLETRANSLATE(B113,""ar"",""en"")"),"If a cow shows clear signs of physical exhaustion in the middle of a fight, what do you do?")</f>
        <v>If a cow shows clear signs of physical exhaustion in the middle of a fight, what do you do?</v>
      </c>
      <c r="H113" s="20" t="str">
        <f>IFERROR(__xludf.DUMMYFUNCTION("GOOGLETRANSLATE(C113,""ar"",""en"")"),"A. I continue fighting and encourage her. B. I ask her to stop fighting to assess her condition. C. I try to change my fighting style to reduce the strain. D. I use cold water to revitalize her.")</f>
        <v>A. I continue fighting and encourage her. B. I ask her to stop fighting to assess her condition. C. I try to change my fighting style to reduce the strain. D. I use cold water to revitalize her.</v>
      </c>
      <c r="I113" s="20" t="str">
        <f>IFERROR(__xludf.DUMMYFUNCTION("GOOGLETRANSLATE(D113,""ar"",""en"")"),"b. I request a cessation of hostilities to assess her condition.")</f>
        <v>b. I request a cessation of hostilities to assess her condition.</v>
      </c>
      <c r="J113" s="20" t="str">
        <f>IFERROR(__xludf.DUMMYFUNCTION("GOOGLETRANSLATE(E113,""ar"",""en"")"),"Exhaustion in the middle of a battle requires immediate intervention. Continuing to fight could lead to serious injuries. The fight must be stopped and her condition assessed before any decision is made.")</f>
        <v>Exhaustion in the middle of a battle requires immediate intervention. Continuing to fight could lead to serious injuries. The fight must be stopped and her condition assessed before any decision is made.</v>
      </c>
      <c r="K113" s="20"/>
      <c r="L113" s="20"/>
      <c r="M113" s="9"/>
      <c r="N113" s="9"/>
      <c r="O113" s="9"/>
      <c r="P113" s="9"/>
      <c r="Q113" s="9"/>
      <c r="R113" s="9"/>
      <c r="S113" s="9"/>
      <c r="T113" s="9"/>
      <c r="U113" s="9"/>
      <c r="V113" s="9"/>
      <c r="W113" s="9"/>
      <c r="X113" s="9"/>
      <c r="Y113" s="9"/>
      <c r="Z113" s="9"/>
    </row>
    <row r="114">
      <c r="A114" s="20">
        <v>113.0</v>
      </c>
      <c r="B114" s="20" t="s">
        <v>2556</v>
      </c>
      <c r="C114" s="20" t="s">
        <v>2557</v>
      </c>
      <c r="D114" s="20" t="s">
        <v>2558</v>
      </c>
      <c r="E114" s="20" t="s">
        <v>2559</v>
      </c>
      <c r="F114" s="9"/>
      <c r="G114" s="20" t="str">
        <f>IFERROR(__xludf.DUMMYFUNCTION("GOOGLETRANSLATE(B114,""ar"",""en"")"),"If the cow is showing signs of anxiety because of the presence of another competitor in the ring, what should you do?")</f>
        <v>If the cow is showing signs of anxiety because of the presence of another competitor in the ring, what should you do?</v>
      </c>
      <c r="H114" s="20" t="str">
        <f>IFERROR(__xludf.DUMMYFUNCTION("GOOGLETRANSLATE(C114,""ar"",""en"")"),"A. I ask the referee to remove the competitor. B. I use calming methods such as speaking softly. C. I leave her alone to calm down. D. I yell at her to ignore the competitor.")</f>
        <v>A. I ask the referee to remove the competitor. B. I use calming methods such as speaking softly. C. I leave her alone to calm down. D. I yell at her to ignore the competitor.</v>
      </c>
      <c r="I114" s="20" t="str">
        <f>IFERROR(__xludf.DUMMYFUNCTION("GOOGLETRANSLATE(D114,""ar"",""en"")"),"b. I use calming methods such as speaking softly.")</f>
        <v>b. I use calming methods such as speaking softly.</v>
      </c>
      <c r="J114" s="20" t="str">
        <f>IFERROR(__xludf.DUMMYFUNCTION("GOOGLETRANSLATE(E114,""ar"",""en"")"),"The presence of another competitor may cause anxiety in the cow. Speaking to her calmly can help her relax and focus.")</f>
        <v>The presence of another competitor may cause anxiety in the cow. Speaking to her calmly can help her relax and focus.</v>
      </c>
      <c r="K114" s="20"/>
      <c r="L114" s="20"/>
      <c r="M114" s="9"/>
      <c r="N114" s="9"/>
      <c r="O114" s="9"/>
      <c r="P114" s="9"/>
      <c r="Q114" s="9"/>
      <c r="R114" s="9"/>
      <c r="S114" s="9"/>
      <c r="T114" s="9"/>
      <c r="U114" s="9"/>
      <c r="V114" s="9"/>
      <c r="W114" s="9"/>
      <c r="X114" s="9"/>
      <c r="Y114" s="9"/>
      <c r="Z114" s="9"/>
    </row>
    <row r="115">
      <c r="A115" s="20">
        <v>114.0</v>
      </c>
      <c r="B115" s="20" t="s">
        <v>2560</v>
      </c>
      <c r="C115" s="20" t="s">
        <v>2561</v>
      </c>
      <c r="D115" s="20" t="s">
        <v>2562</v>
      </c>
      <c r="E115" s="20" t="s">
        <v>2563</v>
      </c>
      <c r="F115" s="9"/>
      <c r="G115" s="20" t="str">
        <f>IFERROR(__xludf.DUMMYFUNCTION("GOOGLETRANSLATE(B115,""ar"",""en"")"),"If a cow sustains a minor injury to its hooves during a fight, what should you do?")</f>
        <v>If a cow sustains a minor injury to its hooves during a fight, what should you do?</v>
      </c>
      <c r="H115" s="20" t="str">
        <f>IFERROR(__xludf.DUMMYFUNCTION("GOOGLETRANSLATE(C115,""ar"",""en"")"),"A. I continue fighting, hoping the injury is superficial. B. I call for a break in the fight to examine the hoof. C. I use painkillers to finish the fight. D. I apply pressure to the hoof to stop the bleeding.")</f>
        <v>A. I continue fighting, hoping the injury is superficial. B. I call for a break in the fight to examine the hoof. C. I use painkillers to finish the fight. D. I apply pressure to the hoof to stop the bleeding.</v>
      </c>
      <c r="I115" s="20" t="str">
        <f>IFERROR(__xludf.DUMMYFUNCTION("GOOGLETRANSLATE(D115,""ar"",""en"")"),"b. I request that the fighting be stopped in order to examine the hoof.")</f>
        <v>b. I request that the fighting be stopped in order to examine the hoof.</v>
      </c>
      <c r="J115" s="20" t="str">
        <f>IFERROR(__xludf.DUMMYFUNCTION("GOOGLETRANSLATE(E115,""ar"",""en"")"),"Hoof injuries can be serious and affect a cow's mobility. Fighting should be stopped to examine the hooves and prevent further damage.")</f>
        <v>Hoof injuries can be serious and affect a cow's mobility. Fighting should be stopped to examine the hooves and prevent further damage.</v>
      </c>
      <c r="K115" s="20"/>
      <c r="L115" s="20"/>
      <c r="M115" s="9"/>
      <c r="N115" s="9"/>
      <c r="O115" s="9"/>
      <c r="P115" s="9"/>
      <c r="Q115" s="9"/>
      <c r="R115" s="9"/>
      <c r="S115" s="9"/>
      <c r="T115" s="9"/>
      <c r="U115" s="9"/>
      <c r="V115" s="9"/>
      <c r="W115" s="9"/>
      <c r="X115" s="9"/>
      <c r="Y115" s="9"/>
      <c r="Z115" s="9"/>
    </row>
    <row r="116">
      <c r="A116" s="20">
        <v>115.0</v>
      </c>
      <c r="B116" s="20" t="s">
        <v>2564</v>
      </c>
      <c r="C116" s="20" t="s">
        <v>2565</v>
      </c>
      <c r="D116" s="20" t="s">
        <v>2566</v>
      </c>
      <c r="E116" s="20" t="s">
        <v>2567</v>
      </c>
      <c r="F116" s="9"/>
      <c r="G116" s="20" t="str">
        <f>IFERROR(__xludf.DUMMYFUNCTION("GOOGLETRANSLATE(B116,""ar"",""en"")"),"If the cow refuses to enter the ring, what do you do?")</f>
        <v>If the cow refuses to enter the ring, what do you do?</v>
      </c>
      <c r="H116" s="20" t="str">
        <f>IFERROR(__xludf.DUMMYFUNCTION("GOOGLETRANSLATE(C116,""ar"",""en"")"),"A. Force her to enter. B. Leave her alone. C. Use calming and rewards to encourage her to enter. D. Give up the fight.")</f>
        <v>A. Force her to enter. B. Leave her alone. C. Use calming and rewards to encourage her to enter. D. Give up the fight.</v>
      </c>
      <c r="I116" s="20" t="str">
        <f>IFERROR(__xludf.DUMMYFUNCTION("GOOGLETRANSLATE(D116,""ar"",""en"")"),"C. I use soothing and rewards to encourage her to come in.")</f>
        <v>C. I use soothing and rewards to encourage her to come in.</v>
      </c>
      <c r="J116" s="20" t="str">
        <f>IFERROR(__xludf.DUMMYFUNCTION("GOOGLETRANSLATE(E116,""ar"",""en"")"),"Refusal to enter may be a sign of fear or anxiety. Using force will only exacerbate this. The best approach is to use positive methods to encourage her.")</f>
        <v>Refusal to enter may be a sign of fear or anxiety. Using force will only exacerbate this. The best approach is to use positive methods to encourage her.</v>
      </c>
      <c r="K116" s="20"/>
      <c r="L116" s="20"/>
      <c r="M116" s="9"/>
      <c r="N116" s="9"/>
      <c r="O116" s="9"/>
      <c r="P116" s="9"/>
      <c r="Q116" s="9"/>
      <c r="R116" s="9"/>
      <c r="S116" s="9"/>
      <c r="T116" s="9"/>
      <c r="U116" s="9"/>
      <c r="V116" s="9"/>
      <c r="W116" s="9"/>
      <c r="X116" s="9"/>
      <c r="Y116" s="9"/>
      <c r="Z116" s="9"/>
    </row>
    <row r="117">
      <c r="A117" s="20">
        <v>116.0</v>
      </c>
      <c r="B117" s="20" t="s">
        <v>2568</v>
      </c>
      <c r="C117" s="20" t="s">
        <v>2569</v>
      </c>
      <c r="D117" s="20" t="s">
        <v>2570</v>
      </c>
      <c r="E117" s="20" t="s">
        <v>2515</v>
      </c>
      <c r="F117" s="9"/>
      <c r="G117" s="20" t="str">
        <f>IFERROR(__xludf.DUMMYFUNCTION("GOOGLETRANSLATE(B117,""ar"",""en"")"),"If your opponent uses an illegal fighting technique, what do you do?")</f>
        <v>If your opponent uses an illegal fighting technique, what do you do?</v>
      </c>
      <c r="H117" s="20" t="str">
        <f>IFERROR(__xludf.DUMMYFUNCTION("GOOGLETRANSLATE(C117,""ar"",""en"")"),"A. I confront my opponent and attack him. B. I continue fighting and expect the referee to intervene. C. I file a formal complaint with the referee and request that the fight be stopped. D. I retaliate and use illegal tactics as well.")</f>
        <v>A. I confront my opponent and attack him. B. I continue fighting and expect the referee to intervene. C. I file a formal complaint with the referee and request that the fight be stopped. D. I retaliate and use illegal tactics as well.</v>
      </c>
      <c r="I117" s="20" t="str">
        <f>IFERROR(__xludf.DUMMYFUNCTION("GOOGLETRANSLATE(D117,""ar"",""en"")"),"C. I will file a formal complaint with the referee and request that the fight be stopped.")</f>
        <v>C. I will file a formal complaint with the referee and request that the fight be stopped.</v>
      </c>
      <c r="J117" s="20" t="str">
        <f>IFERROR(__xludf.DUMMYFUNCTION("GOOGLETRANSLATE(E117,""ar"",""en"")"),"The farmer must be strategic during the fight. Changing the angle diverts the opponent's attacks and reduces damage to a specific area of ​​the cow's body, protecting it from serious injuries.")</f>
        <v>The farmer must be strategic during the fight. Changing the angle diverts the opponent's attacks and reduces damage to a specific area of ​​the cow's body, protecting it from serious injuries.</v>
      </c>
      <c r="K117" s="20"/>
      <c r="L117" s="20"/>
      <c r="M117" s="9"/>
      <c r="N117" s="9"/>
      <c r="O117" s="9"/>
      <c r="P117" s="9"/>
      <c r="Q117" s="9"/>
      <c r="R117" s="9"/>
      <c r="S117" s="9"/>
      <c r="T117" s="9"/>
      <c r="U117" s="9"/>
      <c r="V117" s="9"/>
      <c r="W117" s="9"/>
      <c r="X117" s="9"/>
      <c r="Y117" s="9"/>
      <c r="Z117" s="9"/>
    </row>
    <row r="118">
      <c r="A118" s="20">
        <v>117.0</v>
      </c>
      <c r="B118" s="20" t="s">
        <v>2235</v>
      </c>
      <c r="C118" s="20" t="s">
        <v>2571</v>
      </c>
      <c r="D118" s="20" t="s">
        <v>2572</v>
      </c>
      <c r="E118" s="20" t="s">
        <v>2573</v>
      </c>
      <c r="F118" s="9"/>
      <c r="G118" s="20" t="str">
        <f>IFERROR(__xludf.DUMMYFUNCTION("GOOGLETRANSLATE(B118,""ar"",""en"")"),"If the cow is showing signs of anxiety due to the large crowds around the ring, what should you do?")</f>
        <v>If the cow is showing signs of anxiety due to the large crowds around the ring, what should you do?</v>
      </c>
      <c r="H118" s="20" t="str">
        <f>IFERROR(__xludf.DUMMYFUNCTION("GOOGLETRANSLATE(C118,""ar"",""en"")"),"A. I ask the crowd to move away. B. I shout at the crowd to be quiet. C. I use calming techniques and cover her eyes for a few moments. D. I continue fighting and ignore the crowd.")</f>
        <v>A. I ask the crowd to move away. B. I shout at the crowd to be quiet. C. I use calming techniques and cover her eyes for a few moments. D. I continue fighting and ignore the crowd.</v>
      </c>
      <c r="I118" s="20" t="str">
        <f>IFERROR(__xludf.DUMMYFUNCTION("GOOGLETRANSLATE(D118,""ar"",""en"")"),"C. I use calming techniques and cover her eyes for a few moments.")</f>
        <v>C. I use calming techniques and cover her eyes for a few moments.</v>
      </c>
      <c r="J118" s="20" t="str">
        <f>IFERROR(__xludf.DUMMYFUNCTION("GOOGLETRANSLATE(E118,""ar"",""en"")"),"The stress caused by the crowd can distract the cow. Covering her eyes for a few moments can help her calm down and focus.")</f>
        <v>The stress caused by the crowd can distract the cow. Covering her eyes for a few moments can help her calm down and focus.</v>
      </c>
      <c r="K118" s="20"/>
      <c r="L118" s="20"/>
      <c r="M118" s="9"/>
      <c r="N118" s="9"/>
      <c r="O118" s="9"/>
      <c r="P118" s="9"/>
      <c r="Q118" s="9"/>
      <c r="R118" s="9"/>
      <c r="S118" s="9"/>
      <c r="T118" s="9"/>
      <c r="U118" s="9"/>
      <c r="V118" s="9"/>
      <c r="W118" s="9"/>
      <c r="X118" s="9"/>
      <c r="Y118" s="9"/>
      <c r="Z118" s="9"/>
    </row>
    <row r="119">
      <c r="A119" s="20">
        <v>118.0</v>
      </c>
      <c r="B119" s="20" t="s">
        <v>2574</v>
      </c>
      <c r="C119" s="20" t="s">
        <v>2575</v>
      </c>
      <c r="D119" s="20" t="s">
        <v>2576</v>
      </c>
      <c r="E119" s="20" t="s">
        <v>2577</v>
      </c>
      <c r="F119" s="9"/>
      <c r="G119" s="20" t="str">
        <f>IFERROR(__xludf.DUMMYFUNCTION("GOOGLETRANSLATE(B119,""ar"",""en"")"),"If the cow shows signs of extreme fatigue after a long fight, what should you do?")</f>
        <v>If the cow shows signs of extreme fatigue after a long fight, what should you do?</v>
      </c>
      <c r="H119" s="20" t="str">
        <f>IFERROR(__xludf.DUMMYFUNCTION("GOOGLETRANSLATE(C119,""ar"",""en"")"),"A. Let her rest on her own. B. Give her water and nutritional supplements immediately. C. Encourage her to move around to prevent muscle stiffness. D. Ask the referee to assess her condition.")</f>
        <v>A. Let her rest on her own. B. Give her water and nutritional supplements immediately. C. Encourage her to move around to prevent muscle stiffness. D. Ask the referee to assess her condition.</v>
      </c>
      <c r="I119" s="20" t="str">
        <f>IFERROR(__xludf.DUMMYFUNCTION("GOOGLETRANSLATE(D119,""ar"",""en"")"),"b. I will give her water and nutritional supplements immediately.")</f>
        <v>b. I will give her water and nutritional supplements immediately.</v>
      </c>
      <c r="J119" s="20" t="str">
        <f>IFERROR(__xludf.DUMMYFUNCTION("GOOGLETRANSLATE(E119,""ar"",""en"")"),"After the fight, the cow needs to regain its strength. Providing water and nutritional supplements helps restore lost fluids and minerals.")</f>
        <v>After the fight, the cow needs to regain its strength. Providing water and nutritional supplements helps restore lost fluids and minerals.</v>
      </c>
      <c r="K119" s="20"/>
      <c r="L119" s="20"/>
      <c r="M119" s="9"/>
      <c r="N119" s="9"/>
      <c r="O119" s="9"/>
      <c r="P119" s="9"/>
      <c r="Q119" s="9"/>
      <c r="R119" s="9"/>
      <c r="S119" s="9"/>
      <c r="T119" s="9"/>
      <c r="U119" s="9"/>
      <c r="V119" s="9"/>
      <c r="W119" s="9"/>
      <c r="X119" s="9"/>
      <c r="Y119" s="9"/>
      <c r="Z119" s="9"/>
    </row>
    <row r="120">
      <c r="A120" s="20">
        <v>119.0</v>
      </c>
      <c r="B120" s="20" t="s">
        <v>2456</v>
      </c>
      <c r="C120" s="20" t="s">
        <v>2578</v>
      </c>
      <c r="D120" s="20" t="s">
        <v>2579</v>
      </c>
      <c r="E120" s="20" t="s">
        <v>2580</v>
      </c>
      <c r="F120" s="9"/>
      <c r="G120" s="20" t="str">
        <f>IFERROR(__xludf.DUMMYFUNCTION("GOOGLETRANSLATE(B120,""ar"",""en"")"),"If the cow does not respond to your signals during the fight, what do you do?")</f>
        <v>If the cow does not respond to your signals during the fight, what do you do?</v>
      </c>
      <c r="H120" s="20" t="str">
        <f>IFERROR(__xludf.DUMMYFUNCTION("GOOGLETRANSLATE(C120,""ar"",""en"")"),"A. I use stronger signals. B. I ask for help from someone else. C. I stop fighting and review my training techniques. D. I change my fighting style.")</f>
        <v>A. I use stronger signals. B. I ask for help from someone else. C. I stop fighting and review my training techniques. D. I change my fighting style.</v>
      </c>
      <c r="I120" s="20" t="str">
        <f>IFERROR(__xludf.DUMMYFUNCTION("GOOGLETRANSLATE(D120,""ar"",""en"")"),"C. Stop the fighting and review the training methods.")</f>
        <v>C. Stop the fighting and review the training methods.</v>
      </c>
      <c r="J120" s="20" t="str">
        <f>IFERROR(__xludf.DUMMYFUNCTION("GOOGLETRANSLATE(E120,""ar"",""en"")"),"Lack of response may be a sign of poor training or a communication problem. The fight should be stopped and the reasons investigated.")</f>
        <v>Lack of response may be a sign of poor training or a communication problem. The fight should be stopped and the reasons investigated.</v>
      </c>
      <c r="K120" s="20"/>
      <c r="L120" s="20"/>
      <c r="M120" s="9"/>
      <c r="N120" s="9"/>
      <c r="O120" s="9"/>
      <c r="P120" s="9"/>
      <c r="Q120" s="9"/>
      <c r="R120" s="9"/>
      <c r="S120" s="9"/>
      <c r="T120" s="9"/>
      <c r="U120" s="9"/>
      <c r="V120" s="9"/>
      <c r="W120" s="9"/>
      <c r="X120" s="9"/>
      <c r="Y120" s="9"/>
      <c r="Z120" s="9"/>
    </row>
    <row r="121">
      <c r="A121" s="20">
        <v>120.0</v>
      </c>
      <c r="B121" s="20" t="s">
        <v>2581</v>
      </c>
      <c r="C121" s="20" t="s">
        <v>2582</v>
      </c>
      <c r="D121" s="20" t="s">
        <v>2583</v>
      </c>
      <c r="E121" s="20" t="s">
        <v>2584</v>
      </c>
      <c r="F121" s="9"/>
      <c r="G121" s="20" t="str">
        <f>IFERROR(__xludf.DUMMYFUNCTION("GOOGLETRANSLATE(B121,""ar"",""en"")"),"If the cow shows signs of fear of loud noises, what should you do?")</f>
        <v>If the cow shows signs of fear of loud noises, what should you do?</v>
      </c>
      <c r="H121" s="20" t="str">
        <f>IFERROR(__xludf.DUMMYFUNCTION("GOOGLETRANSLATE(C121,""ar"",""en"")"),"A. I continue fighting. B. I try to cover her ears. C. I ask her to stop fighting. D. I use calming techniques and move her away from the source of the noise.")</f>
        <v>A. I continue fighting. B. I try to cover her ears. C. I ask her to stop fighting. D. I use calming techniques and move her away from the source of the noise.</v>
      </c>
      <c r="I121" s="20" t="str">
        <f>IFERROR(__xludf.DUMMYFUNCTION("GOOGLETRANSLATE(D121,""ar"",""en"")"),"Dr. I use calming techniques and move her away from the source of the sound.")</f>
        <v>Dr. I use calming techniques and move her away from the source of the sound.</v>
      </c>
      <c r="J121" s="20" t="str">
        <f>IFERROR(__xludf.DUMMYFUNCTION("GOOGLETRANSLATE(E121,""ar"",""en"")"),"Loud noises can cause fear and stress. The cow should be calmed and moved away from the source of the noise.")</f>
        <v>Loud noises can cause fear and stress. The cow should be calmed and moved away from the source of the noise.</v>
      </c>
      <c r="K121" s="20"/>
      <c r="L121" s="20"/>
      <c r="M121" s="9"/>
      <c r="N121" s="9"/>
      <c r="O121" s="9"/>
      <c r="P121" s="9"/>
      <c r="Q121" s="9"/>
      <c r="R121" s="9"/>
      <c r="S121" s="9"/>
      <c r="T121" s="9"/>
      <c r="U121" s="9"/>
      <c r="V121" s="9"/>
      <c r="W121" s="9"/>
      <c r="X121" s="9"/>
      <c r="Y121" s="9"/>
      <c r="Z121" s="9"/>
    </row>
    <row r="122">
      <c r="A122" s="20">
        <v>121.0</v>
      </c>
      <c r="B122" s="20" t="s">
        <v>2585</v>
      </c>
      <c r="C122" s="20" t="s">
        <v>2586</v>
      </c>
      <c r="D122" s="20" t="s">
        <v>2587</v>
      </c>
      <c r="E122" s="20" t="s">
        <v>2588</v>
      </c>
      <c r="F122" s="9"/>
      <c r="G122" s="20" t="str">
        <f>IFERROR(__xludf.DUMMYFUNCTION("GOOGLETRANSLATE(B122,""ar"",""en"")"),"If the cow is behaving aggressively towards you during a fight, what do you do?")</f>
        <v>If the cow is behaving aggressively towards you during a fight, what do you do?</v>
      </c>
      <c r="H122" s="20" t="str">
        <f>IFERROR(__xludf.DUMMYFUNCTION("GOOGLETRANSLATE(C122,""ar"",""en"")"),"A. I hit her to subdue her. B. I yell at her. C. I ask the referee for help and try to calm her down. D. I leave her alone.")</f>
        <v>A. I hit her to subdue her. B. I yell at her. C. I ask the referee for help and try to calm her down. D. I leave her alone.</v>
      </c>
      <c r="I122" s="20" t="str">
        <f>IFERROR(__xludf.DUMMYFUNCTION("GOOGLETRANSLATE(D122,""ar"",""en"")"),"C. I ask for help from the referee and try to calm her down.")</f>
        <v>C. I ask for help from the referee and try to calm her down.</v>
      </c>
      <c r="J122" s="20" t="str">
        <f>IFERROR(__xludf.DUMMYFUNCTION("GOOGLETRANSLATE(E122,""ar"",""en"")"),"Aggressive behavior towards the farmer is very dangerous. The stylist must be informed and the cow calmed to avoid injury.")</f>
        <v>Aggressive behavior towards the farmer is very dangerous. The stylist must be informed and the cow calmed to avoid injury.</v>
      </c>
      <c r="K122" s="20"/>
      <c r="L122" s="20"/>
      <c r="M122" s="9"/>
      <c r="N122" s="9"/>
      <c r="O122" s="9"/>
      <c r="P122" s="9"/>
      <c r="Q122" s="9"/>
      <c r="R122" s="9"/>
      <c r="S122" s="9"/>
      <c r="T122" s="9"/>
      <c r="U122" s="9"/>
      <c r="V122" s="9"/>
      <c r="W122" s="9"/>
      <c r="X122" s="9"/>
      <c r="Y122" s="9"/>
      <c r="Z122" s="9"/>
    </row>
    <row r="123">
      <c r="A123" s="20">
        <v>122.0</v>
      </c>
      <c r="B123" s="20" t="s">
        <v>2289</v>
      </c>
      <c r="C123" s="20" t="s">
        <v>2589</v>
      </c>
      <c r="D123" s="20" t="s">
        <v>2554</v>
      </c>
      <c r="E123" s="20" t="s">
        <v>2590</v>
      </c>
      <c r="F123" s="9"/>
      <c r="G123" s="20" t="str">
        <f>IFERROR(__xludf.DUMMYFUNCTION("GOOGLETRANSLATE(B123,""ar"",""en"")"),"If the cow is having difficulty breathing during the fight, what should you do?")</f>
        <v>If the cow is having difficulty breathing during the fight, what should you do?</v>
      </c>
      <c r="H123" s="20" t="str">
        <f>IFERROR(__xludf.DUMMYFUNCTION("GOOGLETRANSLATE(C123,""ar"",""en"")"),"A. I continue fighting. B. I call for a cease-fight to assess her condition. C. I offer her cold water. D. I force her to move to prevent her from choking.")</f>
        <v>A. I continue fighting. B. I call for a cease-fight to assess her condition. C. I offer her cold water. D. I force her to move to prevent her from choking.</v>
      </c>
      <c r="I123" s="20" t="str">
        <f>IFERROR(__xludf.DUMMYFUNCTION("GOOGLETRANSLATE(D123,""ar"",""en"")"),"b. I request a cessation of hostilities to assess her condition.")</f>
        <v>b. I request a cessation of hostilities to assess her condition.</v>
      </c>
      <c r="J123" s="20" t="str">
        <f>IFERROR(__xludf.DUMMYFUNCTION("GOOGLETRANSLATE(E123,""ar"",""en"")"),"Difficulty breathing could be a sign of a serious health problem. The fight should be stopped immediately to assess her condition.")</f>
        <v>Difficulty breathing could be a sign of a serious health problem. The fight should be stopped immediately to assess her condition.</v>
      </c>
      <c r="K123" s="20"/>
      <c r="L123" s="20"/>
      <c r="M123" s="9"/>
      <c r="N123" s="9"/>
      <c r="O123" s="9"/>
      <c r="P123" s="9"/>
      <c r="Q123" s="9"/>
      <c r="R123" s="9"/>
      <c r="S123" s="9"/>
      <c r="T123" s="9"/>
      <c r="U123" s="9"/>
      <c r="V123" s="9"/>
      <c r="W123" s="9"/>
      <c r="X123" s="9"/>
      <c r="Y123" s="9"/>
      <c r="Z123" s="9"/>
    </row>
    <row r="124">
      <c r="A124" s="20">
        <v>123.0</v>
      </c>
      <c r="B124" s="20" t="s">
        <v>2591</v>
      </c>
      <c r="C124" s="20" t="s">
        <v>2592</v>
      </c>
      <c r="D124" s="20" t="s">
        <v>2593</v>
      </c>
      <c r="E124" s="20" t="s">
        <v>2594</v>
      </c>
      <c r="F124" s="9"/>
      <c r="G124" s="20" t="str">
        <f>IFERROR(__xludf.DUMMYFUNCTION("GOOGLETRANSLATE(B124,""ar"",""en"")"),"If a cow is showing a decline in performance due to fatigue, what should you do?")</f>
        <v>If a cow is showing a decline in performance due to fatigue, what should you do?</v>
      </c>
      <c r="H124" s="20" t="str">
        <f>IFERROR(__xludf.DUMMYFUNCTION("GOOGLETRANSLATE(C124,""ar"",""en"")"),"A. I push her to continue. B. I offer her a snack. C. I stop the fight to avoid injury. D. I continue the fight and expect her to regain her strength.")</f>
        <v>A. I push her to continue. B. I offer her a snack. C. I stop the fight to avoid injury. D. I continue the fight and expect her to regain her strength.</v>
      </c>
      <c r="I124" s="20" t="str">
        <f>IFERROR(__xludf.DUMMYFUNCTION("GOOGLETRANSLATE(D124,""ar"",""en"")"),"C. Stop fighting to avoid injury.")</f>
        <v>C. Stop fighting to avoid injury.</v>
      </c>
      <c r="J124" s="20" t="str">
        <f>IFERROR(__xludf.DUMMYFUNCTION("GOOGLETRANSLATE(E124,""ar"",""en"")"),"A decline in performance due to fatigue could lead to serious injury. It's best to stop the fight for her safety.")</f>
        <v>A decline in performance due to fatigue could lead to serious injury. It's best to stop the fight for her safety.</v>
      </c>
      <c r="K124" s="20"/>
      <c r="L124" s="20"/>
      <c r="M124" s="9"/>
      <c r="N124" s="9"/>
      <c r="O124" s="9"/>
      <c r="P124" s="9"/>
      <c r="Q124" s="9"/>
      <c r="R124" s="9"/>
      <c r="S124" s="9"/>
      <c r="T124" s="9"/>
      <c r="U124" s="9"/>
      <c r="V124" s="9"/>
      <c r="W124" s="9"/>
      <c r="X124" s="9"/>
      <c r="Y124" s="9"/>
      <c r="Z124" s="9"/>
    </row>
    <row r="125">
      <c r="A125" s="20">
        <v>124.0</v>
      </c>
      <c r="B125" s="20" t="s">
        <v>2338</v>
      </c>
      <c r="C125" s="20" t="s">
        <v>2595</v>
      </c>
      <c r="D125" s="20" t="s">
        <v>2596</v>
      </c>
      <c r="E125" s="20" t="s">
        <v>2597</v>
      </c>
      <c r="F125" s="9"/>
      <c r="G125" s="20" t="str">
        <f>IFERROR(__xludf.DUMMYFUNCTION("GOOGLETRANSLATE(B125,""ar"",""en"")"),"If a cow is having difficulty adapting to a stronger competitor, what should it do?")</f>
        <v>If a cow is having difficulty adapting to a stronger competitor, what should it do?</v>
      </c>
      <c r="H125" s="20" t="str">
        <f>IFERROR(__xludf.DUMMYFUNCTION("GOOGLETRANSLATE(C125,""ar"",""en"")"),"A. I continue fighting and expect her to get used to it. B. I try to change my fighting style. C. I ask her to stop fighting to avoid hurting her. D. I push her to fight harder.")</f>
        <v>A. I continue fighting and expect her to get used to it. B. I try to change my fighting style. C. I ask her to stop fighting to avoid hurting her. D. I push her to fight harder.</v>
      </c>
      <c r="I125" s="20" t="str">
        <f>IFERROR(__xludf.DUMMYFUNCTION("GOOGLETRANSLATE(D125,""ar"",""en"")"),"C. I request that the fighting be stopped to avoid injuring her.")</f>
        <v>C. I request that the fighting be stopped to avoid injuring her.</v>
      </c>
      <c r="J125" s="20" t="str">
        <f>IFERROR(__xludf.DUMMYFUNCTION("GOOGLETRANSLATE(E125,""ar"",""en"")"),"When the difference in strength is significant, it can lead to serious injury to the weaker cow. It's best to stop the fight.")</f>
        <v>When the difference in strength is significant, it can lead to serious injury to the weaker cow. It's best to stop the fight.</v>
      </c>
      <c r="K125" s="20"/>
      <c r="L125" s="20"/>
      <c r="M125" s="9"/>
      <c r="N125" s="9"/>
      <c r="O125" s="9"/>
      <c r="P125" s="9"/>
      <c r="Q125" s="9"/>
      <c r="R125" s="9"/>
      <c r="S125" s="9"/>
      <c r="T125" s="9"/>
      <c r="U125" s="9"/>
      <c r="V125" s="9"/>
      <c r="W125" s="9"/>
      <c r="X125" s="9"/>
      <c r="Y125" s="9"/>
      <c r="Z125" s="9"/>
    </row>
    <row r="126">
      <c r="A126" s="20">
        <v>125.0</v>
      </c>
      <c r="B126" s="20" t="s">
        <v>2598</v>
      </c>
      <c r="C126" s="20" t="s">
        <v>2599</v>
      </c>
      <c r="D126" s="20" t="s">
        <v>2600</v>
      </c>
      <c r="E126" s="20" t="s">
        <v>2601</v>
      </c>
      <c r="F126" s="9"/>
      <c r="G126" s="20" t="str">
        <f>IFERROR(__xludf.DUMMYFUNCTION("GOOGLETRANSLATE(B126,""ar"",""en"")"),"If your opponent uses illegal fighting techniques, what do you do?")</f>
        <v>If your opponent uses illegal fighting techniques, what do you do?</v>
      </c>
      <c r="H126" s="20" t="str">
        <f>IFERROR(__xludf.DUMMYFUNCTION("GOOGLETRANSLATE(C126,""ar"",""en"")"),"A. I retaliate. B. I file a formal complaint with the referee. C. I shout at my opponent. D. I continue fighting.")</f>
        <v>A. I retaliate. B. I file a formal complaint with the referee. C. I shout at my opponent. D. I continue fighting.</v>
      </c>
      <c r="I126" s="20" t="str">
        <f>IFERROR(__xludf.DUMMYFUNCTION("GOOGLETRANSLATE(D126,""ar"",""en"")"),"b. I will submit a formal complaint to the judge.")</f>
        <v>b. I will submit a formal complaint to the judge.</v>
      </c>
      <c r="J126" s="20" t="str">
        <f>IFERROR(__xludf.DUMMYFUNCTION("GOOGLETRANSLATE(E126,""ar"",""en"")"),"The rules must be followed. Filing a formal complaint with the referee is the correct procedure.")</f>
        <v>The rules must be followed. Filing a formal complaint with the referee is the correct procedure.</v>
      </c>
      <c r="K126" s="20"/>
      <c r="L126" s="20"/>
      <c r="M126" s="9"/>
      <c r="N126" s="9"/>
      <c r="O126" s="9"/>
      <c r="P126" s="9"/>
      <c r="Q126" s="9"/>
      <c r="R126" s="9"/>
      <c r="S126" s="9"/>
      <c r="T126" s="9"/>
      <c r="U126" s="9"/>
      <c r="V126" s="9"/>
      <c r="W126" s="9"/>
      <c r="X126" s="9"/>
      <c r="Y126" s="9"/>
      <c r="Z126" s="9"/>
    </row>
    <row r="127">
      <c r="A127" s="20">
        <v>126.0</v>
      </c>
      <c r="B127" s="20" t="s">
        <v>2602</v>
      </c>
      <c r="C127" s="20" t="s">
        <v>2603</v>
      </c>
      <c r="D127" s="20" t="s">
        <v>2604</v>
      </c>
      <c r="E127" s="20" t="s">
        <v>2605</v>
      </c>
      <c r="F127" s="9"/>
      <c r="G127" s="20" t="str">
        <f>IFERROR(__xludf.DUMMYFUNCTION("GOOGLETRANSLATE(B127,""ar"",""en"")"),"If the cow shows signs of extreme anxiety before the fight, what should you do?")</f>
        <v>If the cow shows signs of extreme anxiety before the fight, what should you do?</v>
      </c>
      <c r="H127" s="20" t="str">
        <f>IFERROR(__xludf.DUMMYFUNCTION("GOOGLETRANSLATE(C127,""ar"",""en"")"),"A. Leave her alone. B. Use calming methods. C. Offer her a large meal. D. Ask for a postponement of the fight.")</f>
        <v>A. Leave her alone. B. Use calming methods. C. Offer her a large meal. D. Ask for a postponement of the fight.</v>
      </c>
      <c r="I127" s="20" t="str">
        <f>IFERROR(__xludf.DUMMYFUNCTION("GOOGLETRANSLATE(D127,""ar"",""en"")"),"b. I use calming techniques.")</f>
        <v>b. I use calming techniques.</v>
      </c>
      <c r="J127" s="20" t="str">
        <f>IFERROR(__xludf.DUMMYFUNCTION("GOOGLETRANSLATE(E127,""ar"",""en"")"),"Pre-battle tension can affect performance. The cow must be calmed down to start the fight with a clear mind.")</f>
        <v>Pre-battle tension can affect performance. The cow must be calmed down to start the fight with a clear mind.</v>
      </c>
      <c r="K127" s="20"/>
      <c r="L127" s="20"/>
      <c r="M127" s="9"/>
      <c r="N127" s="9"/>
      <c r="O127" s="9"/>
      <c r="P127" s="9"/>
      <c r="Q127" s="9"/>
      <c r="R127" s="9"/>
      <c r="S127" s="9"/>
      <c r="T127" s="9"/>
      <c r="U127" s="9"/>
      <c r="V127" s="9"/>
      <c r="W127" s="9"/>
      <c r="X127" s="9"/>
      <c r="Y127" s="9"/>
      <c r="Z127" s="9"/>
    </row>
    <row r="128">
      <c r="A128" s="20">
        <v>127.0</v>
      </c>
      <c r="B128" s="20" t="s">
        <v>2496</v>
      </c>
      <c r="C128" s="20" t="s">
        <v>2606</v>
      </c>
      <c r="D128" s="20" t="s">
        <v>2607</v>
      </c>
      <c r="E128" s="20" t="s">
        <v>2608</v>
      </c>
      <c r="F128" s="9"/>
      <c r="G128" s="20" t="str">
        <f>IFERROR(__xludf.DUMMYFUNCTION("GOOGLETRANSLATE(B128,""ar"",""en"")"),"If the cow shows a decline in performance during a fight, what do you do?")</f>
        <v>If the cow shows a decline in performance during a fight, what do you do?</v>
      </c>
      <c r="H128" s="20" t="str">
        <f>IFERROR(__xludf.DUMMYFUNCTION("GOOGLETRANSLATE(C128,""ar"",""en"")"),"A. Press it to continue. B. Request a fight to stop. C. Change your fighting style to reduce effort. D. Continue fighting.")</f>
        <v>A. Press it to continue. B. Request a fight to stop. C. Change your fighting style to reduce effort. D. Continue fighting.</v>
      </c>
      <c r="I128" s="20" t="str">
        <f>IFERROR(__xludf.DUMMYFUNCTION("GOOGLETRANSLATE(D128,""ar"",""en"")"),"C. I change my fighting style to reduce the effort.")</f>
        <v>C. I change my fighting style to reduce the effort.</v>
      </c>
      <c r="J128" s="20" t="str">
        <f>IFERROR(__xludf.DUMMYFUNCTION("GOOGLETRANSLATE(E128,""ar"",""en"")"),"A decline in performance could be a sign of fatigue. Changing her routine might help her regain her energy.")</f>
        <v>A decline in performance could be a sign of fatigue. Changing her routine might help her regain her energy.</v>
      </c>
      <c r="K128" s="20"/>
      <c r="L128" s="20"/>
      <c r="M128" s="9"/>
      <c r="N128" s="9"/>
      <c r="O128" s="9"/>
      <c r="P128" s="9"/>
      <c r="Q128" s="9"/>
      <c r="R128" s="9"/>
      <c r="S128" s="9"/>
      <c r="T128" s="9"/>
      <c r="U128" s="9"/>
      <c r="V128" s="9"/>
      <c r="W128" s="9"/>
      <c r="X128" s="9"/>
      <c r="Y128" s="9"/>
      <c r="Z128" s="9"/>
    </row>
    <row r="129">
      <c r="A129" s="20">
        <v>128.0</v>
      </c>
      <c r="B129" s="20" t="s">
        <v>2500</v>
      </c>
      <c r="C129" s="20" t="s">
        <v>2609</v>
      </c>
      <c r="D129" s="20" t="s">
        <v>2610</v>
      </c>
      <c r="E129" s="20" t="s">
        <v>2611</v>
      </c>
      <c r="F129" s="9"/>
      <c r="G129" s="20" t="str">
        <f>IFERROR(__xludf.DUMMYFUNCTION("GOOGLETRANSLATE(B129,""ar"",""en"")"),"If a cow is under pressure from a competitor in a fight, what should it do?")</f>
        <v>If a cow is under pressure from a competitor in a fight, what should it do?</v>
      </c>
      <c r="H129" s="20" t="str">
        <f>IFERROR(__xludf.DUMMYFUNCTION("GOOGLETRANSLATE(C129,""ar"",""en"")"),"A. I apply pressure to help her resist the pressure. B. I give her space to move and escape the pressure. C. I ask her to stop fighting. D. I use calming techniques.")</f>
        <v>A. I apply pressure to help her resist the pressure. B. I give her space to move and escape the pressure. C. I ask her to stop fighting. D. I use calming techniques.</v>
      </c>
      <c r="I129" s="20" t="str">
        <f>IFERROR(__xludf.DUMMYFUNCTION("GOOGLETRANSLATE(D129,""ar"",""en"")"),"b. I give her space to move around and escape the pressure.")</f>
        <v>b. I give her space to move around and escape the pressure.</v>
      </c>
      <c r="J129" s="20" t="str">
        <f>IFERROR(__xludf.DUMMYFUNCTION("GOOGLETRANSLATE(E129,""ar"",""en"")"),"The farmer should help the cow avoid stress. Providing space for movement helps her regain control.")</f>
        <v>The farmer should help the cow avoid stress. Providing space for movement helps her regain control.</v>
      </c>
      <c r="K129" s="20"/>
      <c r="L129" s="20"/>
      <c r="M129" s="9"/>
      <c r="N129" s="9"/>
      <c r="O129" s="9"/>
      <c r="P129" s="9"/>
      <c r="Q129" s="9"/>
      <c r="R129" s="9"/>
      <c r="S129" s="9"/>
      <c r="T129" s="9"/>
      <c r="U129" s="9"/>
      <c r="V129" s="9"/>
      <c r="W129" s="9"/>
      <c r="X129" s="9"/>
      <c r="Y129" s="9"/>
      <c r="Z129" s="9"/>
    </row>
    <row r="130">
      <c r="A130" s="20">
        <v>129.0</v>
      </c>
      <c r="B130" s="20" t="s">
        <v>2312</v>
      </c>
      <c r="C130" s="20" t="s">
        <v>2612</v>
      </c>
      <c r="D130" s="20" t="s">
        <v>2613</v>
      </c>
      <c r="E130" s="20" t="s">
        <v>2614</v>
      </c>
      <c r="F130" s="9"/>
      <c r="G130" s="20" t="str">
        <f>IFERROR(__xludf.DUMMYFUNCTION("GOOGLETRANSLATE(B130,""ar"",""en"")"),"If the cow shows clear signs of pain after the fight, what should you do?")</f>
        <v>If the cow shows clear signs of pain after the fight, what should you do?</v>
      </c>
      <c r="H130" s="20" t="str">
        <f>IFERROR(__xludf.DUMMYFUNCTION("GOOGLETRANSLATE(C130,""ar"",""en"")"),"A. Let her rest. B. Give her pain medication. C. Seek immediate veterinary assistance. D. Apply a cold compress to the affected area.")</f>
        <v>A. Let her rest. B. Give her pain medication. C. Seek immediate veterinary assistance. D. Apply a cold compress to the affected area.</v>
      </c>
      <c r="I130" s="20" t="str">
        <f>IFERROR(__xludf.DUMMYFUNCTION("GOOGLETRANSLATE(D130,""ar"",""en"")"),"C. Seek veterinary assistance immediately.")</f>
        <v>C. Seek veterinary assistance immediately.</v>
      </c>
      <c r="J130" s="20" t="str">
        <f>IFERROR(__xludf.DUMMYFUNCTION("GOOGLETRANSLATE(E130,""ar"",""en"")"),"Pain after a fight could be a sign of a serious injury. A veterinarian should be consulted to assess her condition.")</f>
        <v>Pain after a fight could be a sign of a serious injury. A veterinarian should be consulted to assess her condition.</v>
      </c>
      <c r="K130" s="20"/>
      <c r="L130" s="20"/>
      <c r="M130" s="9"/>
      <c r="N130" s="9"/>
      <c r="O130" s="9"/>
      <c r="P130" s="9"/>
      <c r="Q130" s="9"/>
      <c r="R130" s="9"/>
      <c r="S130" s="9"/>
      <c r="T130" s="9"/>
      <c r="U130" s="9"/>
      <c r="V130" s="9"/>
      <c r="W130" s="9"/>
      <c r="X130" s="9"/>
      <c r="Y130" s="9"/>
      <c r="Z130" s="9"/>
    </row>
    <row r="131">
      <c r="A131" s="20">
        <v>130.0</v>
      </c>
      <c r="B131" s="20" t="s">
        <v>2316</v>
      </c>
      <c r="C131" s="20" t="s">
        <v>2615</v>
      </c>
      <c r="D131" s="20" t="s">
        <v>2616</v>
      </c>
      <c r="E131" s="20" t="s">
        <v>2617</v>
      </c>
      <c r="F131" s="9"/>
      <c r="G131" s="20" t="str">
        <f>IFERROR(__xludf.DUMMYFUNCTION("GOOGLETRANSLATE(B131,""ar"",""en"")"),"If it gets very hot during the battle, what do you do?")</f>
        <v>If it gets very hot during the battle, what do you do?</v>
      </c>
      <c r="H131" s="20" t="str">
        <f>IFERROR(__xludf.DUMMYFUNCTION("GOOGLETRANSLATE(C131,""ar"",""en"")"),"A. I continue fighting. B. I offer her cold water. C. I stop fighting and ask for a break. D. I use a fan to cool her down.")</f>
        <v>A. I continue fighting. B. I offer her cold water. C. I stop fighting and ask for a break. D. I use a fan to cool her down.</v>
      </c>
      <c r="I131" s="20" t="str">
        <f>IFERROR(__xludf.DUMMYFUNCTION("GOOGLETRANSLATE(D131,""ar"",""en"")"),"C. Stop the fighting and request a rest period.")</f>
        <v>C. Stop the fighting and request a rest period.</v>
      </c>
      <c r="J131" s="20" t="str">
        <f>IFERROR(__xludf.DUMMYFUNCTION("GOOGLETRANSLATE(E131,""ar"",""en"")"),"Excessive heat can cause heat stress. Fighting should be stopped to allow the cow to rest.")</f>
        <v>Excessive heat can cause heat stress. Fighting should be stopped to allow the cow to rest.</v>
      </c>
      <c r="K131" s="20"/>
      <c r="L131" s="20"/>
      <c r="M131" s="9"/>
      <c r="N131" s="9"/>
      <c r="O131" s="9"/>
      <c r="P131" s="9"/>
      <c r="Q131" s="9"/>
      <c r="R131" s="9"/>
      <c r="S131" s="9"/>
      <c r="T131" s="9"/>
      <c r="U131" s="9"/>
      <c r="V131" s="9"/>
      <c r="W131" s="9"/>
      <c r="X131" s="9"/>
      <c r="Y131" s="9"/>
      <c r="Z131" s="9"/>
    </row>
    <row r="132">
      <c r="A132" s="20">
        <v>131.0</v>
      </c>
      <c r="B132" s="20" t="s">
        <v>2320</v>
      </c>
      <c r="C132" s="20" t="s">
        <v>2618</v>
      </c>
      <c r="D132" s="20" t="s">
        <v>2619</v>
      </c>
      <c r="E132" s="20" t="s">
        <v>2620</v>
      </c>
      <c r="F132" s="9"/>
      <c r="G132" s="20" t="str">
        <f>IFERROR(__xludf.DUMMYFUNCTION("GOOGLETRANSLATE(B132,""ar"",""en"")"),"If the cow shows signs of extreme exhaustion after a fight, what should you do?")</f>
        <v>If the cow shows signs of extreme exhaustion after a fight, what should you do?</v>
      </c>
      <c r="H132" s="20" t="str">
        <f>IFERROR(__xludf.DUMMYFUNCTION("GOOGLETRANSLATE(C132,""ar"",""en"")"),"A. Leave her as she is. B. Give her water and nutritional supplements. C. Force her to move. D. Leave her in a secluded place.")</f>
        <v>A. Leave her as she is. B. Give her water and nutritional supplements. C. Force her to move. D. Leave her in a secluded place.</v>
      </c>
      <c r="I132" s="20" t="str">
        <f>IFERROR(__xludf.DUMMYFUNCTION("GOOGLETRANSLATE(D132,""ar"",""en"")"),"b. I give her water and nutritional supplements.")</f>
        <v>b. I give her water and nutritional supplements.</v>
      </c>
      <c r="J132" s="20" t="str">
        <f>IFERROR(__xludf.DUMMYFUNCTION("GOOGLETRANSLATE(E132,""ar"",""en"")"),"Extreme fatigue requires immediate intervention. Water and nutritional supplements help restore energy.")</f>
        <v>Extreme fatigue requires immediate intervention. Water and nutritional supplements help restore energy.</v>
      </c>
      <c r="K132" s="20"/>
      <c r="L132" s="20"/>
      <c r="M132" s="9"/>
      <c r="N132" s="9"/>
      <c r="O132" s="9"/>
      <c r="P132" s="9"/>
      <c r="Q132" s="9"/>
      <c r="R132" s="9"/>
      <c r="S132" s="9"/>
      <c r="T132" s="9"/>
      <c r="U132" s="9"/>
      <c r="V132" s="9"/>
      <c r="W132" s="9"/>
      <c r="X132" s="9"/>
      <c r="Y132" s="9"/>
      <c r="Z132" s="9"/>
    </row>
    <row r="133">
      <c r="A133" s="20">
        <v>132.0</v>
      </c>
      <c r="B133" s="20" t="s">
        <v>2324</v>
      </c>
      <c r="C133" s="20" t="s">
        <v>2621</v>
      </c>
      <c r="D133" s="20" t="s">
        <v>2622</v>
      </c>
      <c r="E133" s="20" t="s">
        <v>2623</v>
      </c>
      <c r="F133" s="9"/>
      <c r="G133" s="20" t="str">
        <f>IFERROR(__xludf.DUMMYFUNCTION("GOOGLETRANSLATE(B133,""ar"",""en"")"),"If the cow resists cooperating with you before the fight, what do you do?")</f>
        <v>If the cow resists cooperating with you before the fight, what do you do?</v>
      </c>
      <c r="H133" s="20" t="str">
        <f>IFERROR(__xludf.DUMMYFUNCTION("GOOGLETRANSLATE(C133,""ar"",""en"")"),"A. Force her to cooperate. B. Leave her alone. C. Use calming tactics. D. Ask for a postponement of the fight.")</f>
        <v>A. Force her to cooperate. B. Leave her alone. C. Use calming tactics. D. Ask for a postponement of the fight.</v>
      </c>
      <c r="I133" s="20" t="str">
        <f>IFERROR(__xludf.DUMMYFUNCTION("GOOGLETRANSLATE(D133,""ar"",""en"")"),"C. I use calming techniques.")</f>
        <v>C. I use calming techniques.</v>
      </c>
      <c r="J133" s="20" t="str">
        <f>IFERROR(__xludf.DUMMYFUNCTION("GOOGLETRANSLATE(E133,""ar"",""en"")"),"Resistance to cooperation may be a sign of tension. The cow must be calmed down so the battle can begin with a clear mind.")</f>
        <v>Resistance to cooperation may be a sign of tension. The cow must be calmed down so the battle can begin with a clear mind.</v>
      </c>
      <c r="K133" s="20"/>
      <c r="L133" s="20"/>
      <c r="M133" s="9"/>
      <c r="N133" s="9"/>
      <c r="O133" s="9"/>
      <c r="P133" s="9"/>
      <c r="Q133" s="9"/>
      <c r="R133" s="9"/>
      <c r="S133" s="9"/>
      <c r="T133" s="9"/>
      <c r="U133" s="9"/>
      <c r="V133" s="9"/>
      <c r="W133" s="9"/>
      <c r="X133" s="9"/>
      <c r="Y133" s="9"/>
      <c r="Z133" s="9"/>
    </row>
    <row r="134">
      <c r="A134" s="20">
        <v>133.0</v>
      </c>
      <c r="B134" s="20" t="s">
        <v>2328</v>
      </c>
      <c r="C134" s="20" t="s">
        <v>2624</v>
      </c>
      <c r="D134" s="20" t="s">
        <v>2625</v>
      </c>
      <c r="E134" s="20" t="s">
        <v>2626</v>
      </c>
      <c r="F134" s="9"/>
      <c r="G134" s="20" t="str">
        <f>IFERROR(__xludf.DUMMYFUNCTION("GOOGLETRANSLATE(B134,""ar"",""en"")"),"If the cow seems nervous because of the large crowds, what do you do?")</f>
        <v>If the cow seems nervous because of the large crowds, what do you do?</v>
      </c>
      <c r="H134" s="20" t="str">
        <f>IFERROR(__xludf.DUMMYFUNCTION("GOOGLETRANSLATE(C134,""ar"",""en"")"),"A. I ask the crowd to move away. B. I shout at the crowd. C. I use calming techniques. D. I continue fighting.")</f>
        <v>A. I ask the crowd to move away. B. I shout at the crowd. C. I use calming techniques. D. I continue fighting.</v>
      </c>
      <c r="I134" s="20" t="str">
        <f>IFERROR(__xludf.DUMMYFUNCTION("GOOGLETRANSLATE(D134,""ar"",""en"")"),"C. I use calming techniques.")</f>
        <v>C. I use calming techniques.</v>
      </c>
      <c r="J134" s="20" t="str">
        <f>IFERROR(__xludf.DUMMYFUNCTION("GOOGLETRANSLATE(E134,""ar"",""en"")"),"The stress caused by the crowd can affect performance. The cow needs to be calmed down.")</f>
        <v>The stress caused by the crowd can affect performance. The cow needs to be calmed down.</v>
      </c>
      <c r="K134" s="20"/>
      <c r="L134" s="20"/>
      <c r="M134" s="9"/>
      <c r="N134" s="9"/>
      <c r="O134" s="9"/>
      <c r="P134" s="9"/>
      <c r="Q134" s="9"/>
      <c r="R134" s="9"/>
      <c r="S134" s="9"/>
      <c r="T134" s="9"/>
      <c r="U134" s="9"/>
      <c r="V134" s="9"/>
      <c r="W134" s="9"/>
      <c r="X134" s="9"/>
      <c r="Y134" s="9"/>
      <c r="Z134" s="9"/>
    </row>
    <row r="135">
      <c r="A135" s="20">
        <v>134.0</v>
      </c>
      <c r="B135" s="20" t="s">
        <v>2331</v>
      </c>
      <c r="C135" s="20" t="s">
        <v>2627</v>
      </c>
      <c r="D135" s="20" t="s">
        <v>2622</v>
      </c>
      <c r="E135" s="20" t="s">
        <v>2628</v>
      </c>
      <c r="F135" s="9"/>
      <c r="G135" s="20" t="str">
        <f>IFERROR(__xludf.DUMMYFUNCTION("GOOGLETRANSLATE(B135,""ar"",""en"")"),"If the cow shows signs of nervousness before a fight, what should you do?")</f>
        <v>If the cow shows signs of nervousness before a fight, what should you do?</v>
      </c>
      <c r="H135" s="20" t="str">
        <f>IFERROR(__xludf.DUMMYFUNCTION("GOOGLETRANSLATE(C135,""ar"",""en"")"),"A. Leave it as it is. B. Give it a reward. C. Use calming methods. D. Ask for a postponement of the fight.")</f>
        <v>A. Leave it as it is. B. Give it a reward. C. Use calming methods. D. Ask for a postponement of the fight.</v>
      </c>
      <c r="I135" s="20" t="str">
        <f>IFERROR(__xludf.DUMMYFUNCTION("GOOGLETRANSLATE(D135,""ar"",""en"")"),"C. I use calming techniques.")</f>
        <v>C. I use calming techniques.</v>
      </c>
      <c r="J135" s="20" t="str">
        <f>IFERROR(__xludf.DUMMYFUNCTION("GOOGLETRANSLATE(E135,""ar"",""en"")"),"Nervousness before a fight can affect performance. The cow must be calmed.")</f>
        <v>Nervousness before a fight can affect performance. The cow must be calmed.</v>
      </c>
      <c r="K135" s="20"/>
      <c r="L135" s="20"/>
      <c r="M135" s="9"/>
      <c r="N135" s="9"/>
      <c r="O135" s="9"/>
      <c r="P135" s="9"/>
      <c r="Q135" s="9"/>
      <c r="R135" s="9"/>
      <c r="S135" s="9"/>
      <c r="T135" s="9"/>
      <c r="U135" s="9"/>
      <c r="V135" s="9"/>
      <c r="W135" s="9"/>
      <c r="X135" s="9"/>
      <c r="Y135" s="9"/>
      <c r="Z135" s="9"/>
    </row>
    <row r="136">
      <c r="A136" s="20">
        <v>135.0</v>
      </c>
      <c r="B136" s="20" t="s">
        <v>2335</v>
      </c>
      <c r="C136" s="20" t="s">
        <v>2629</v>
      </c>
      <c r="D136" s="20" t="s">
        <v>2613</v>
      </c>
      <c r="E136" s="20" t="s">
        <v>2630</v>
      </c>
      <c r="F136" s="9"/>
      <c r="G136" s="20" t="str">
        <f>IFERROR(__xludf.DUMMYFUNCTION("GOOGLETRANSLATE(B136,""ar"",""en"")"),"If a cow is having difficulty breathing after a fight, what should you do?")</f>
        <v>If a cow is having difficulty breathing after a fight, what should you do?</v>
      </c>
      <c r="H136" s="20" t="str">
        <f>IFERROR(__xludf.DUMMYFUNCTION("GOOGLETRANSLATE(C136,""ar"",""en"")"),"A. Let her rest. B. Give her water. C. Seek immediate veterinary assistance. D. Force her to move.")</f>
        <v>A. Let her rest. B. Give her water. C. Seek immediate veterinary assistance. D. Force her to move.</v>
      </c>
      <c r="I136" s="20" t="str">
        <f>IFERROR(__xludf.DUMMYFUNCTION("GOOGLETRANSLATE(D136,""ar"",""en"")"),"C. Seek veterinary assistance immediately.")</f>
        <v>C. Seek veterinary assistance immediately.</v>
      </c>
      <c r="J136" s="20" t="str">
        <f>IFERROR(__xludf.DUMMYFUNCTION("GOOGLETRANSLATE(E136,""ar"",""en"")"),"Difficulty breathing may be a sign of a serious problem. A veterinarian should be consulted.")</f>
        <v>Difficulty breathing may be a sign of a serious problem. A veterinarian should be consulted.</v>
      </c>
      <c r="K136" s="20"/>
      <c r="L136" s="20"/>
      <c r="M136" s="9"/>
      <c r="N136" s="9"/>
      <c r="O136" s="9"/>
      <c r="P136" s="9"/>
      <c r="Q136" s="9"/>
      <c r="R136" s="9"/>
      <c r="S136" s="9"/>
      <c r="T136" s="9"/>
      <c r="U136" s="9"/>
      <c r="V136" s="9"/>
      <c r="W136" s="9"/>
      <c r="X136" s="9"/>
      <c r="Y136" s="9"/>
      <c r="Z136" s="9"/>
    </row>
    <row r="137">
      <c r="A137" s="20">
        <v>136.0</v>
      </c>
      <c r="B137" s="20" t="s">
        <v>2338</v>
      </c>
      <c r="C137" s="20" t="s">
        <v>2631</v>
      </c>
      <c r="D137" s="20" t="s">
        <v>2632</v>
      </c>
      <c r="E137" s="20" t="s">
        <v>2633</v>
      </c>
      <c r="F137" s="9"/>
      <c r="G137" s="20" t="str">
        <f>IFERROR(__xludf.DUMMYFUNCTION("GOOGLETRANSLATE(B137,""ar"",""en"")"),"If a cow is having difficulty adapting to a stronger competitor, what should it do?")</f>
        <v>If a cow is having difficulty adapting to a stronger competitor, what should it do?</v>
      </c>
      <c r="H137" s="20" t="str">
        <f>IFERROR(__xludf.DUMMYFUNCTION("GOOGLETRANSLATE(C137,""ar"",""en"")"),"A. I continue fighting. B. I ask for the fight to stop. C. I change my fighting style. D. I ask the referee to intervene.")</f>
        <v>A. I continue fighting. B. I ask for the fight to stop. C. I change my fighting style. D. I ask the referee to intervene.</v>
      </c>
      <c r="I137" s="20" t="str">
        <f>IFERROR(__xludf.DUMMYFUNCTION("GOOGLETRANSLATE(D137,""ar"",""en"")"),"b. I request a ceasefire.")</f>
        <v>b. I request a ceasefire.</v>
      </c>
      <c r="J137" s="20" t="str">
        <f>IFERROR(__xludf.DUMMYFUNCTION("GOOGLETRANSLATE(E137,""ar"",""en"")"),"When the difference in strength is significant, it can lead to serious injury. It's best to stop the fight.")</f>
        <v>When the difference in strength is significant, it can lead to serious injury. It's best to stop the fight.</v>
      </c>
      <c r="K137" s="20"/>
      <c r="L137" s="20"/>
      <c r="M137" s="9"/>
      <c r="N137" s="9"/>
      <c r="O137" s="9"/>
      <c r="P137" s="9"/>
      <c r="Q137" s="9"/>
      <c r="R137" s="9"/>
      <c r="S137" s="9"/>
      <c r="T137" s="9"/>
      <c r="U137" s="9"/>
      <c r="V137" s="9"/>
      <c r="W137" s="9"/>
      <c r="X137" s="9"/>
      <c r="Y137" s="9"/>
      <c r="Z137" s="9"/>
    </row>
    <row r="138">
      <c r="A138" s="20">
        <v>137.0</v>
      </c>
      <c r="B138" s="20" t="s">
        <v>2342</v>
      </c>
      <c r="C138" s="20" t="s">
        <v>2634</v>
      </c>
      <c r="D138" s="20" t="s">
        <v>2632</v>
      </c>
      <c r="E138" s="20" t="s">
        <v>2635</v>
      </c>
      <c r="F138" s="9"/>
      <c r="G138" s="20" t="str">
        <f>IFERROR(__xludf.DUMMYFUNCTION("GOOGLETRANSLATE(B138,""ar"",""en"")"),"If a cow is under violent attack from a competitor, what should it do?")</f>
        <v>If a cow is under violent attack from a competitor, what should it do?</v>
      </c>
      <c r="H138" s="20" t="str">
        <f>IFERROR(__xludf.DUMMYFUNCTION("GOOGLETRANSLATE(C138,""ar"",""en"")"),"A. I continue fighting. B. I ask her to stop fighting. C. I give her space to escape. D. I yell at my opponent.")</f>
        <v>A. I continue fighting. B. I ask her to stop fighting. C. I give her space to escape. D. I yell at my opponent.</v>
      </c>
      <c r="I138" s="20" t="str">
        <f>IFERROR(__xludf.DUMMYFUNCTION("GOOGLETRANSLATE(D138,""ar"",""en"")"),"b. I request a ceasefire.")</f>
        <v>b. I request a ceasefire.</v>
      </c>
      <c r="J138" s="20" t="str">
        <f>IFERROR(__xludf.DUMMYFUNCTION("GOOGLETRANSLATE(E138,""ar"",""en"")"),"A violent attack could cause serious injuries. The fight must be stopped for the cow's safety.")</f>
        <v>A violent attack could cause serious injuries. The fight must be stopped for the cow's safety.</v>
      </c>
      <c r="K138" s="20"/>
      <c r="L138" s="20"/>
      <c r="M138" s="9"/>
      <c r="N138" s="9"/>
      <c r="O138" s="9"/>
      <c r="P138" s="9"/>
      <c r="Q138" s="9"/>
      <c r="R138" s="9"/>
      <c r="S138" s="9"/>
      <c r="T138" s="9"/>
      <c r="U138" s="9"/>
      <c r="V138" s="9"/>
      <c r="W138" s="9"/>
      <c r="X138" s="9"/>
      <c r="Y138" s="9"/>
      <c r="Z138" s="9"/>
    </row>
    <row r="139">
      <c r="A139" s="20">
        <v>138.0</v>
      </c>
      <c r="B139" s="20" t="s">
        <v>2346</v>
      </c>
      <c r="C139" s="20" t="s">
        <v>2636</v>
      </c>
      <c r="D139" s="20" t="s">
        <v>2637</v>
      </c>
      <c r="E139" s="20" t="s">
        <v>2638</v>
      </c>
      <c r="F139" s="9"/>
      <c r="G139" s="20" t="str">
        <f>IFERROR(__xludf.DUMMYFUNCTION("GOOGLETRANSLATE(B139,""ar"",""en"")"),"If you feel exhausted during battle, what do you do?")</f>
        <v>If you feel exhausted during battle, what do you do?</v>
      </c>
      <c r="H139" s="20" t="str">
        <f>IFERROR(__xludf.DUMMYFUNCTION("GOOGLETRANSLATE(C139,""ar"",""en"")"),"A. I continue fighting. B. I ask for a short rest. C. I rely on the cow. D. I leave the fight.")</f>
        <v>A. I continue fighting. B. I ask for a short rest. C. I rely on the cow. D. I leave the fight.</v>
      </c>
      <c r="I139" s="20" t="str">
        <f>IFERROR(__xludf.DUMMYFUNCTION("GOOGLETRANSLATE(D139,""ar"",""en"")"),"b. I request a short break.")</f>
        <v>b. I request a short break.</v>
      </c>
      <c r="J139" s="20" t="str">
        <f>IFERROR(__xludf.DUMMYFUNCTION("GOOGLETRANSLATE(E139,""ar"",""en"")"),"Fatigue can affect your ability to make decisions. Taking a break helps you regain focus.")</f>
        <v>Fatigue can affect your ability to make decisions. Taking a break helps you regain focus.</v>
      </c>
      <c r="K139" s="20"/>
      <c r="L139" s="20"/>
      <c r="M139" s="9"/>
      <c r="N139" s="9"/>
      <c r="O139" s="9"/>
      <c r="P139" s="9"/>
      <c r="Q139" s="9"/>
      <c r="R139" s="9"/>
      <c r="S139" s="9"/>
      <c r="T139" s="9"/>
      <c r="U139" s="9"/>
      <c r="V139" s="9"/>
      <c r="W139" s="9"/>
      <c r="X139" s="9"/>
      <c r="Y139" s="9"/>
      <c r="Z139" s="9"/>
    </row>
    <row r="140">
      <c r="A140" s="20">
        <v>139.0</v>
      </c>
      <c r="B140" s="20" t="s">
        <v>2354</v>
      </c>
      <c r="C140" s="20" t="s">
        <v>2639</v>
      </c>
      <c r="D140" s="20" t="s">
        <v>2640</v>
      </c>
      <c r="E140" s="20" t="s">
        <v>2641</v>
      </c>
      <c r="F140" s="9"/>
      <c r="G140" s="20" t="str">
        <f>IFERROR(__xludf.DUMMYFUNCTION("GOOGLETRANSLATE(B140,""ar"",""en"")"),"If a cow is having difficulty interacting with a competitor due to poor eyesight, what should you do?")</f>
        <v>If a cow is having difficulty interacting with a competitor due to poor eyesight, what should you do?</v>
      </c>
      <c r="H140" s="20" t="str">
        <f>IFERROR(__xludf.DUMMYFUNCTION("GOOGLETRANSLATE(C140,""ar"",""en"")"),"A. I continue fighting. B. I change my fighting style. C. I demand a cease-fight. D. I use loud vocal signals.")</f>
        <v>A. I continue fighting. B. I change my fighting style. C. I demand a cease-fight. D. I use loud vocal signals.</v>
      </c>
      <c r="I140" s="20" t="str">
        <f>IFERROR(__xludf.DUMMYFUNCTION("GOOGLETRANSLATE(D140,""ar"",""en"")"),"C. I request a ceasefire.")</f>
        <v>C. I request a ceasefire.</v>
      </c>
      <c r="J140" s="20" t="str">
        <f>IFERROR(__xludf.DUMMYFUNCTION("GOOGLETRANSLATE(E140,""ar"",""en"")"),"Poor eyesight could endanger the cow. The fight must be stopped for her safety.")</f>
        <v>Poor eyesight could endanger the cow. The fight must be stopped for her safety.</v>
      </c>
      <c r="K140" s="20"/>
      <c r="L140" s="20"/>
      <c r="M140" s="9"/>
      <c r="N140" s="9"/>
      <c r="O140" s="9"/>
      <c r="P140" s="9"/>
      <c r="Q140" s="9"/>
      <c r="R140" s="9"/>
      <c r="S140" s="9"/>
      <c r="T140" s="9"/>
      <c r="U140" s="9"/>
      <c r="V140" s="9"/>
      <c r="W140" s="9"/>
      <c r="X140" s="9"/>
      <c r="Y140" s="9"/>
      <c r="Z140" s="9"/>
    </row>
    <row r="141">
      <c r="A141" s="20">
        <v>140.0</v>
      </c>
      <c r="B141" s="20" t="s">
        <v>2362</v>
      </c>
      <c r="C141" s="20" t="s">
        <v>2642</v>
      </c>
      <c r="D141" s="20" t="s">
        <v>2600</v>
      </c>
      <c r="E141" s="20" t="s">
        <v>2601</v>
      </c>
      <c r="F141" s="9"/>
      <c r="G141" s="20" t="str">
        <f>IFERROR(__xludf.DUMMYFUNCTION("GOOGLETRANSLATE(B141,""ar"",""en"")"),"If your opponent in a fight is behaving badly, what do you do?")</f>
        <v>If your opponent in a fight is behaving badly, what do you do?</v>
      </c>
      <c r="H141" s="20" t="str">
        <f>IFERROR(__xludf.DUMMYFUNCTION("GOOGLETRANSLATE(C141,""ar"",""en"")"),"A. I retaliate. B. I file a formal complaint with the referee. C. I shout at him. D. I continue fighting.")</f>
        <v>A. I retaliate. B. I file a formal complaint with the referee. C. I shout at him. D. I continue fighting.</v>
      </c>
      <c r="I141" s="20" t="str">
        <f>IFERROR(__xludf.DUMMYFUNCTION("GOOGLETRANSLATE(D141,""ar"",""en"")"),"b. I will submit a formal complaint to the judge.")</f>
        <v>b. I will submit a formal complaint to the judge.</v>
      </c>
      <c r="J141" s="20" t="str">
        <f>IFERROR(__xludf.DUMMYFUNCTION("GOOGLETRANSLATE(E141,""ar"",""en"")"),"The rules must be followed. Filing a formal complaint with the referee is the correct procedure.")</f>
        <v>The rules must be followed. Filing a formal complaint with the referee is the correct procedure.</v>
      </c>
      <c r="K141" s="20"/>
      <c r="L141" s="20"/>
      <c r="M141" s="9"/>
      <c r="N141" s="9"/>
      <c r="O141" s="9"/>
      <c r="P141" s="9"/>
      <c r="Q141" s="9"/>
      <c r="R141" s="9"/>
      <c r="S141" s="9"/>
      <c r="T141" s="9"/>
      <c r="U141" s="9"/>
      <c r="V141" s="9"/>
      <c r="W141" s="9"/>
      <c r="X141" s="9"/>
      <c r="Y141" s="9"/>
      <c r="Z141" s="9"/>
    </row>
    <row r="142">
      <c r="A142" s="20">
        <v>141.0</v>
      </c>
      <c r="B142" s="20" t="s">
        <v>2366</v>
      </c>
      <c r="C142" s="20" t="s">
        <v>2643</v>
      </c>
      <c r="D142" s="20" t="s">
        <v>2644</v>
      </c>
      <c r="E142" s="20" t="s">
        <v>2645</v>
      </c>
      <c r="F142" s="9"/>
      <c r="G142" s="20" t="str">
        <f>IFERROR(__xludf.DUMMYFUNCTION("GOOGLETRANSLATE(B142,""ar"",""en"")"),"If you feel you have lost focus during a battle, what do you do?")</f>
        <v>If you feel you have lost focus during a battle, what do you do?</v>
      </c>
      <c r="H142" s="20" t="str">
        <f>IFERROR(__xludf.DUMMYFUNCTION("GOOGLETRANSLATE(C142,""ar"",""en"")"),"A. I continue fighting. B. I ask for a break. C. I rely on the cow. D. I leave the fight.")</f>
        <v>A. I continue fighting. B. I ask for a break. C. I rely on the cow. D. I leave the fight.</v>
      </c>
      <c r="I142" s="20" t="str">
        <f>IFERROR(__xludf.DUMMYFUNCTION("GOOGLETRANSLATE(D142,""ar"",""en"")"),"b. I request a break.")</f>
        <v>b. I request a break.</v>
      </c>
      <c r="J142" s="20" t="str">
        <f>IFERROR(__xludf.DUMMYFUNCTION("GOOGLETRANSLATE(E142,""ar"",""en"")"),"Loss of focus can affect your performance. Taking a break helps you regain focus.")</f>
        <v>Loss of focus can affect your performance. Taking a break helps you regain focus.</v>
      </c>
      <c r="K142" s="20"/>
      <c r="L142" s="20"/>
      <c r="M142" s="9"/>
      <c r="N142" s="9"/>
      <c r="O142" s="9"/>
      <c r="P142" s="9"/>
      <c r="Q142" s="9"/>
      <c r="R142" s="9"/>
      <c r="S142" s="9"/>
      <c r="T142" s="9"/>
      <c r="U142" s="9"/>
      <c r="V142" s="9"/>
      <c r="W142" s="9"/>
      <c r="X142" s="9"/>
      <c r="Y142" s="9"/>
      <c r="Z142" s="9"/>
    </row>
    <row r="143">
      <c r="A143" s="20">
        <v>142.0</v>
      </c>
      <c r="B143" s="20" t="s">
        <v>2374</v>
      </c>
      <c r="C143" s="20" t="s">
        <v>2646</v>
      </c>
      <c r="D143" s="20" t="s">
        <v>2600</v>
      </c>
      <c r="E143" s="20" t="s">
        <v>2601</v>
      </c>
      <c r="F143" s="9"/>
      <c r="G143" s="20" t="str">
        <f>IFERROR(__xludf.DUMMYFUNCTION("GOOGLETRANSLATE(B143,""ar"",""en"")"),"If a cow is being insulted by rivals during a fight, what should it do?")</f>
        <v>If a cow is being insulted by rivals during a fight, what should it do?</v>
      </c>
      <c r="H143" s="20" t="str">
        <f>IFERROR(__xludf.DUMMYFUNCTION("GOOGLETRANSLATE(C143,""ar"",""en"")"),"A. I retaliate. B. I file a formal complaint with the referee. C. I shout at my opponents. D. I continue fighting.")</f>
        <v>A. I retaliate. B. I file a formal complaint with the referee. C. I shout at my opponents. D. I continue fighting.</v>
      </c>
      <c r="I143" s="20" t="str">
        <f>IFERROR(__xludf.DUMMYFUNCTION("GOOGLETRANSLATE(D143,""ar"",""en"")"),"b. I will submit a formal complaint to the judge.")</f>
        <v>b. I will submit a formal complaint to the judge.</v>
      </c>
      <c r="J143" s="20" t="str">
        <f>IFERROR(__xludf.DUMMYFUNCTION("GOOGLETRANSLATE(E143,""ar"",""en"")"),"The rules must be followed. Filing a formal complaint with the referee is the correct procedure.")</f>
        <v>The rules must be followed. Filing a formal complaint with the referee is the correct procedure.</v>
      </c>
      <c r="K143" s="20"/>
      <c r="L143" s="20"/>
      <c r="M143" s="9"/>
      <c r="N143" s="9"/>
      <c r="O143" s="9"/>
      <c r="P143" s="9"/>
      <c r="Q143" s="9"/>
      <c r="R143" s="9"/>
      <c r="S143" s="9"/>
      <c r="T143" s="9"/>
      <c r="U143" s="9"/>
      <c r="V143" s="9"/>
      <c r="W143" s="9"/>
      <c r="X143" s="9"/>
      <c r="Y143" s="9"/>
      <c r="Z143" s="9"/>
    </row>
    <row r="144">
      <c r="A144" s="20">
        <v>143.0</v>
      </c>
      <c r="B144" s="20" t="s">
        <v>2382</v>
      </c>
      <c r="C144" s="20" t="s">
        <v>2647</v>
      </c>
      <c r="D144" s="20" t="s">
        <v>2648</v>
      </c>
      <c r="E144" s="20" t="s">
        <v>2649</v>
      </c>
      <c r="F144" s="9"/>
      <c r="G144" s="20" t="str">
        <f>IFERROR(__xludf.DUMMYFUNCTION("GOOGLETRANSLATE(B144,""ar"",""en"")"),"If you are in a difficult situation in a battle with a competitor, what do you do?")</f>
        <v>If you are in a difficult situation in a battle with a competitor, what do you do?</v>
      </c>
      <c r="H144" s="20" t="str">
        <f>IFERROR(__xludf.DUMMYFUNCTION("GOOGLETRANSLATE(C144,""ar"",""en"")"),"A. I press the cow to attack. B. I request a cease-fight. C. I change my fighting style. D. I continue fighting.")</f>
        <v>A. I press the cow to attack. B. I request a cease-fight. C. I change my fighting style. D. I continue fighting.</v>
      </c>
      <c r="I144" s="20" t="str">
        <f>IFERROR(__xludf.DUMMYFUNCTION("GOOGLETRANSLATE(D144,""ar"",""en"")"),"C. I change my fighting style.")</f>
        <v>C. I change my fighting style.</v>
      </c>
      <c r="J144" s="20" t="str">
        <f>IFERROR(__xludf.DUMMYFUNCTION("GOOGLETRANSLATE(E144,""ar"",""en"")"),"In critical situations, the approach must be changed to find a solution.")</f>
        <v>In critical situations, the approach must be changed to find a solution.</v>
      </c>
      <c r="K144" s="20"/>
      <c r="L144" s="20"/>
      <c r="M144" s="9"/>
      <c r="N144" s="9"/>
      <c r="O144" s="9"/>
      <c r="P144" s="9"/>
      <c r="Q144" s="9"/>
      <c r="R144" s="9"/>
      <c r="S144" s="9"/>
      <c r="T144" s="9"/>
      <c r="U144" s="9"/>
      <c r="V144" s="9"/>
      <c r="W144" s="9"/>
      <c r="X144" s="9"/>
      <c r="Y144" s="9"/>
      <c r="Z144" s="9"/>
    </row>
    <row r="145">
      <c r="A145" s="20">
        <v>144.0</v>
      </c>
      <c r="B145" s="20" t="s">
        <v>2650</v>
      </c>
      <c r="C145" s="20" t="s">
        <v>2627</v>
      </c>
      <c r="D145" s="20" t="s">
        <v>2622</v>
      </c>
      <c r="E145" s="20" t="s">
        <v>2651</v>
      </c>
      <c r="F145" s="9"/>
      <c r="G145" s="20" t="str">
        <f>IFERROR(__xludf.DUMMYFUNCTION("GOOGLETRANSLATE(B145,""ar"",""en"")"),"If the cow shows signs of stress before a fight, what should you do?")</f>
        <v>If the cow shows signs of stress before a fight, what should you do?</v>
      </c>
      <c r="H145" s="20" t="str">
        <f>IFERROR(__xludf.DUMMYFUNCTION("GOOGLETRANSLATE(C145,""ar"",""en"")"),"A. Leave it as it is. B. Give it a reward. C. Use calming methods. D. Ask for a postponement of the fight.")</f>
        <v>A. Leave it as it is. B. Give it a reward. C. Use calming methods. D. Ask for a postponement of the fight.</v>
      </c>
      <c r="I145" s="20" t="str">
        <f>IFERROR(__xludf.DUMMYFUNCTION("GOOGLETRANSLATE(D145,""ar"",""en"")"),"C. I use calming techniques.")</f>
        <v>C. I use calming techniques.</v>
      </c>
      <c r="J145" s="20" t="str">
        <f>IFERROR(__xludf.DUMMYFUNCTION("GOOGLETRANSLATE(E145,""ar"",""en"")"),"Pre-fighting anxiety can affect performance. The cow needs to be calmed down.")</f>
        <v>Pre-fighting anxiety can affect performance. The cow needs to be calmed down.</v>
      </c>
      <c r="K145" s="20"/>
      <c r="L145" s="20"/>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2652</v>
      </c>
      <c r="B1" s="18" t="s">
        <v>969</v>
      </c>
      <c r="C1" s="18" t="s">
        <v>2113</v>
      </c>
      <c r="D1" s="18" t="s">
        <v>2653</v>
      </c>
      <c r="E1" s="18" t="s">
        <v>968</v>
      </c>
      <c r="F1" s="9"/>
      <c r="G1" s="9"/>
      <c r="H1" s="23" t="s">
        <v>2652</v>
      </c>
      <c r="I1" s="24" t="s">
        <v>5</v>
      </c>
      <c r="J1" s="24" t="s">
        <v>6</v>
      </c>
      <c r="K1" s="24" t="s">
        <v>7</v>
      </c>
      <c r="L1" s="23" t="s">
        <v>968</v>
      </c>
      <c r="M1" s="9"/>
      <c r="N1" s="9"/>
      <c r="O1" s="9"/>
      <c r="P1" s="9"/>
      <c r="Q1" s="9"/>
      <c r="R1" s="9"/>
      <c r="S1" s="9"/>
      <c r="T1" s="9"/>
      <c r="U1" s="9"/>
      <c r="V1" s="9"/>
      <c r="W1" s="9"/>
      <c r="X1" s="9"/>
      <c r="Y1" s="9"/>
      <c r="Z1" s="9"/>
      <c r="AA1" s="9"/>
      <c r="AB1" s="9"/>
      <c r="AC1" s="9"/>
      <c r="AD1" s="9"/>
      <c r="AE1" s="9"/>
      <c r="AF1" s="9"/>
      <c r="AG1" s="9"/>
    </row>
    <row r="2">
      <c r="A2" s="20" t="s">
        <v>2654</v>
      </c>
      <c r="B2" s="20" t="s">
        <v>2655</v>
      </c>
      <c r="C2" s="20" t="s">
        <v>2656</v>
      </c>
      <c r="D2" s="20" t="s">
        <v>2657</v>
      </c>
      <c r="E2" s="20" t="s">
        <v>2658</v>
      </c>
      <c r="F2" s="9"/>
      <c r="G2" s="9"/>
      <c r="H2" s="25" t="s">
        <v>2654</v>
      </c>
      <c r="I2" s="9" t="str">
        <f>IFERROR(__xludf.DUMMYFUNCTION("GOOGLETRANSLATE(B2,""en"",""ar"")"),"هذا الشكل من القتال بالعصا، والذي يتم أداؤه أمام معبد قديم، هو أحد فنون القتال التقليدية من أي بلد؟")</f>
        <v>هذا الشكل من القتال بالعصا، والذي يتم أداؤه أمام معبد قديم، هو أحد فنون القتال التقليدية من أي بلد؟</v>
      </c>
      <c r="J2" s="9" t="str">
        <f>IFERROR(__xludf.DUMMYFUNCTION("GOOGLETRANSLATE(C2,""en"",""ar"")"),"أ) السودان، ب) إثيوبيا، ج) نيجيريا، د) مصر")</f>
        <v>أ) السودان، ب) إثيوبيا، ج) نيجيريا، د) مصر</v>
      </c>
      <c r="K2" s="9" t="str">
        <f>IFERROR(__xludf.DUMMYFUNCTION("GOOGLETRANSLATE(D2,""en"",""ar"")"),"د) مصر")</f>
        <v>د) مصر</v>
      </c>
      <c r="L2" s="9" t="str">
        <f>IFERROR(__xludf.DUMMYFUNCTION("GOOGLETRANSLATE(E2,""en"",""ar"")"),"هذا هو التحطيب، وهو فن قتالي مصري قديم. تبدو الخلفية وكأنها مجمع معبد الكرنك أو الأقصر، مما يؤكد الطابع المصري.")</f>
        <v>هذا هو التحطيب، وهو فن قتالي مصري قديم. تبدو الخلفية وكأنها مجمع معبد الكرنك أو الأقصر، مما يؤكد الطابع المصري.</v>
      </c>
      <c r="M2" s="9"/>
      <c r="N2" s="9"/>
      <c r="O2" s="9"/>
      <c r="P2" s="9"/>
      <c r="Q2" s="9"/>
      <c r="R2" s="9"/>
      <c r="S2" s="9"/>
      <c r="T2" s="9"/>
      <c r="U2" s="9"/>
      <c r="V2" s="9"/>
      <c r="W2" s="9"/>
      <c r="X2" s="9"/>
      <c r="Y2" s="9"/>
      <c r="Z2" s="9"/>
      <c r="AA2" s="9"/>
      <c r="AB2" s="9"/>
      <c r="AC2" s="9"/>
      <c r="AD2" s="9"/>
      <c r="AE2" s="9"/>
      <c r="AF2" s="9"/>
      <c r="AG2" s="9"/>
    </row>
    <row r="3">
      <c r="A3" s="20" t="s">
        <v>2654</v>
      </c>
      <c r="B3" s="20" t="s">
        <v>2659</v>
      </c>
      <c r="C3" s="20" t="s">
        <v>2660</v>
      </c>
      <c r="D3" s="20" t="s">
        <v>2661</v>
      </c>
      <c r="E3" s="20" t="s">
        <v>2662</v>
      </c>
      <c r="F3" s="9"/>
      <c r="G3" s="9"/>
      <c r="H3" s="26" t="s">
        <v>2654</v>
      </c>
      <c r="I3" s="9" t="str">
        <f>IFERROR(__xludf.DUMMYFUNCTION("GOOGLETRANSLATE(B3,""en"",""ar"")"),"ما هو اسم الثوب الطويل التقليدي الذي يرتديه الممارس؟")</f>
        <v>ما هو اسم الثوب الطويل التقليدي الذي يرتديه الممارس؟</v>
      </c>
      <c r="J3" s="9" t="str">
        <f>IFERROR(__xludf.DUMMYFUNCTION("GOOGLETRANSLATE(C3,""en"",""ar"")"),"أ) توغا، ب) كيمونو، ج) جلابية، د) نقبة")</f>
        <v>أ) توغا، ب) كيمونو، ج) جلابية، د) نقبة</v>
      </c>
      <c r="K3" s="9" t="str">
        <f>IFERROR(__xludf.DUMMYFUNCTION("GOOGLETRANSLATE(D3,""en"",""ar"")"),"ج) جلابية")</f>
        <v>ج) جلابية</v>
      </c>
      <c r="L3" s="9" t="str">
        <f>IFERROR(__xludf.DUMMYFUNCTION("GOOGLETRANSLATE(E3,""en"",""ar"")"),"الجلابية هي رداء تقليدي يصل إلى الكاحل، وهو شائع في مصر والسودان.")</f>
        <v>الجلابية هي رداء تقليدي يصل إلى الكاحل، وهو شائع في مصر والسودان.</v>
      </c>
      <c r="M3" s="9"/>
      <c r="N3" s="9"/>
      <c r="O3" s="9"/>
      <c r="P3" s="9"/>
      <c r="Q3" s="9"/>
      <c r="R3" s="9"/>
      <c r="S3" s="9"/>
      <c r="T3" s="9"/>
      <c r="U3" s="9"/>
      <c r="V3" s="9"/>
      <c r="W3" s="9"/>
      <c r="X3" s="9"/>
      <c r="Y3" s="9"/>
      <c r="Z3" s="9"/>
      <c r="AA3" s="9"/>
      <c r="AB3" s="9"/>
      <c r="AC3" s="9"/>
      <c r="AD3" s="9"/>
      <c r="AE3" s="9"/>
      <c r="AF3" s="9"/>
      <c r="AG3" s="9"/>
    </row>
    <row r="4">
      <c r="A4" s="20" t="s">
        <v>2654</v>
      </c>
      <c r="B4" s="20" t="s">
        <v>2663</v>
      </c>
      <c r="C4" s="20" t="s">
        <v>2664</v>
      </c>
      <c r="D4" s="20" t="s">
        <v>2665</v>
      </c>
      <c r="E4" s="20" t="s">
        <v>2666</v>
      </c>
      <c r="F4" s="9"/>
      <c r="G4" s="9"/>
      <c r="H4" s="25" t="s">
        <v>2654</v>
      </c>
      <c r="I4" s="9" t="str">
        <f>IFERROR(__xludf.DUMMYFUNCTION("GOOGLETRANSLATE(B4,""en"",""ar"")"),"العصا الخشبية الطويلة المستخدمة في هذا الفن القتالي تعرف باسم...")</f>
        <v>العصا الخشبية الطويلة المستخدمة في هذا الفن القتالي تعرف باسم...</v>
      </c>
      <c r="J4" s="9" t="str">
        <f>IFERROR(__xludf.DUMMYFUNCTION("GOOGLETRANSLATE(C4,""en"",""ar"")"),"أ) أسيجاي، ب) آسا، ج) إيكو، د) بو")</f>
        <v>أ) أسيجاي، ب) آسا، ج) إيكو، د) بو</v>
      </c>
      <c r="K4" s="9" t="str">
        <f>IFERROR(__xludf.DUMMYFUNCTION("GOOGLETRANSLATE(D4,""en"",""ar"")"),"ب) آسا")</f>
        <v>ب) آسا</v>
      </c>
      <c r="L4" s="9" t="str">
        <f>IFERROR(__xludf.DUMMYFUNCTION("GOOGLETRANSLATE(E4,""en"",""ar"")"),"في التحطيب، يُطلق على العصا تقليديًا اسم ""آسا"".")</f>
        <v>في التحطيب، يُطلق على العصا تقليديًا اسم "آسا".</v>
      </c>
      <c r="M4" s="9"/>
      <c r="N4" s="9"/>
      <c r="O4" s="9"/>
      <c r="P4" s="9"/>
      <c r="Q4" s="9"/>
      <c r="R4" s="9"/>
      <c r="S4" s="9"/>
      <c r="T4" s="9"/>
      <c r="U4" s="9"/>
      <c r="V4" s="9"/>
      <c r="W4" s="9"/>
      <c r="X4" s="9"/>
      <c r="Y4" s="9"/>
      <c r="Z4" s="9"/>
      <c r="AA4" s="9"/>
      <c r="AB4" s="9"/>
      <c r="AC4" s="9"/>
      <c r="AD4" s="9"/>
      <c r="AE4" s="9"/>
      <c r="AF4" s="9"/>
      <c r="AG4" s="9"/>
    </row>
    <row r="5">
      <c r="A5" s="20" t="s">
        <v>2654</v>
      </c>
      <c r="B5" s="20" t="s">
        <v>2667</v>
      </c>
      <c r="C5" s="20" t="s">
        <v>2668</v>
      </c>
      <c r="D5" s="20" t="s">
        <v>2669</v>
      </c>
      <c r="E5" s="20" t="s">
        <v>2670</v>
      </c>
      <c r="F5" s="9"/>
      <c r="G5" s="9"/>
      <c r="H5" s="26" t="s">
        <v>2654</v>
      </c>
      <c r="I5" s="9" t="str">
        <f>IFERROR(__xludf.DUMMYFUNCTION("GOOGLETRANSLATE(B5,""en"",""ar"")"),"تشكل وضعية الرجل الديناميكية جزءًا من...")</f>
        <v>تشكل وضعية الرجل الديناميكية جزءًا من...</v>
      </c>
      <c r="J5" s="9" t="str">
        <f>IFERROR(__xludf.DUMMYFUNCTION("GOOGLETRANSLATE(C5,""en"",""ar"")"),"أ) الرقص الطقسي وفنون القتال، ب) الأداء المسرحي الحديث، ج) الاحتفال الديني، د) تمرين الإحماء فقط")</f>
        <v>أ) الرقص الطقسي وفنون القتال، ب) الأداء المسرحي الحديث، ج) الاحتفال الديني، د) تمرين الإحماء فقط</v>
      </c>
      <c r="K5" s="9" t="str">
        <f>IFERROR(__xludf.DUMMYFUNCTION("GOOGLETRANSLATE(D5,""en"",""ar"")"),"أ) الرقص الطقسي وفنون القتال")</f>
        <v>أ) الرقص الطقسي وفنون القتال</v>
      </c>
      <c r="L5" s="9" t="str">
        <f>IFERROR(__xludf.DUMMYFUNCTION("GOOGLETRANSLATE(E5,""en"",""ar"")"),"التحطيب هو شكل من أشكال القتال والرقص، وغالبًا ما يكون مصحوبًا بالموسيقى، ويجمع بين المهارات القتالية والتعبير الفني.")</f>
        <v>التحطيب هو شكل من أشكال القتال والرقص، وغالبًا ما يكون مصحوبًا بالموسيقى، ويجمع بين المهارات القتالية والتعبير الفني.</v>
      </c>
      <c r="M5" s="9"/>
      <c r="N5" s="9"/>
      <c r="O5" s="9"/>
      <c r="P5" s="9"/>
      <c r="Q5" s="9"/>
      <c r="R5" s="9"/>
      <c r="S5" s="9"/>
      <c r="T5" s="9"/>
      <c r="U5" s="9"/>
      <c r="V5" s="9"/>
      <c r="W5" s="9"/>
      <c r="X5" s="9"/>
      <c r="Y5" s="9"/>
      <c r="Z5" s="9"/>
      <c r="AA5" s="9"/>
      <c r="AB5" s="9"/>
      <c r="AC5" s="9"/>
      <c r="AD5" s="9"/>
      <c r="AE5" s="9"/>
      <c r="AF5" s="9"/>
      <c r="AG5" s="9"/>
    </row>
    <row r="6">
      <c r="A6" s="20" t="s">
        <v>2654</v>
      </c>
      <c r="B6" s="20" t="s">
        <v>2671</v>
      </c>
      <c r="C6" s="20" t="s">
        <v>2672</v>
      </c>
      <c r="D6" s="20" t="s">
        <v>2673</v>
      </c>
      <c r="E6" s="20" t="s">
        <v>2674</v>
      </c>
      <c r="F6" s="9"/>
      <c r="G6" s="9"/>
      <c r="H6" s="25" t="s">
        <v>2654</v>
      </c>
      <c r="I6" s="9" t="str">
        <f>IFERROR(__xludf.DUMMYFUNCTION("GOOGLETRANSLATE(B6,""en"",""ar"")"),"ماذا يفعل الأشخاص الجالسين في الخلفية؟")</f>
        <v>ماذا يفعل الأشخاص الجالسين في الخلفية؟</v>
      </c>
      <c r="J6" s="9" t="str">
        <f>IFERROR(__xludf.DUMMYFUNCTION("GOOGLETRANSLATE(C6,""en"",""ar"")"),"أ) يشاركون في القتال، ب) يشاهدون العرض أو المباراة، ج) يبيعون الهدايا التذكارية، د) ينتظرون الحافلة")</f>
        <v>أ) يشاركون في القتال، ب) يشاهدون العرض أو المباراة، ج) يبيعون الهدايا التذكارية، د) ينتظرون الحافلة</v>
      </c>
      <c r="K6" s="9" t="str">
        <f>IFERROR(__xludf.DUMMYFUNCTION("GOOGLETRANSLATE(D6,""en"",""ar"")"),"ب) يشاهدون الأداء أو المباراة")</f>
        <v>ب) يشاهدون الأداء أو المباراة</v>
      </c>
      <c r="L6" s="9" t="str">
        <f>IFERROR(__xludf.DUMMYFUNCTION("GOOGLETRANSLATE(E6,""en"",""ar"")"),"إنهم متفرجون، وبعضهم يحمل عصيًا أيضًا، مما يوحي بأنهم زملاء ممارسين.")</f>
        <v>إنهم متفرجون، وبعضهم يحمل عصيًا أيضًا، مما يوحي بأنهم زملاء ممارسين.</v>
      </c>
      <c r="M6" s="9"/>
      <c r="N6" s="9"/>
      <c r="O6" s="9"/>
      <c r="P6" s="9"/>
      <c r="Q6" s="9"/>
      <c r="R6" s="9"/>
      <c r="S6" s="9"/>
      <c r="T6" s="9"/>
      <c r="U6" s="9"/>
      <c r="V6" s="9"/>
      <c r="W6" s="9"/>
      <c r="X6" s="9"/>
      <c r="Y6" s="9"/>
      <c r="Z6" s="9"/>
      <c r="AA6" s="9"/>
      <c r="AB6" s="9"/>
      <c r="AC6" s="9"/>
      <c r="AD6" s="9"/>
      <c r="AE6" s="9"/>
      <c r="AF6" s="9"/>
      <c r="AG6" s="9"/>
    </row>
    <row r="7">
      <c r="A7" s="20" t="s">
        <v>2654</v>
      </c>
      <c r="B7" s="20" t="s">
        <v>2675</v>
      </c>
      <c r="C7" s="20" t="s">
        <v>2676</v>
      </c>
      <c r="D7" s="20" t="s">
        <v>2677</v>
      </c>
      <c r="E7" s="20" t="s">
        <v>2678</v>
      </c>
      <c r="F7" s="9"/>
      <c r="G7" s="9"/>
      <c r="H7" s="26" t="s">
        <v>2654</v>
      </c>
      <c r="I7" s="9" t="str">
        <f>IFERROR(__xludf.DUMMYFUNCTION("GOOGLETRANSLATE(B7,""en"",""ar"")"),"الغطاء الأبيض الذي يرتديه الرجل على الرأس هو نوع من...")</f>
        <v>الغطاء الأبيض الذي يرتديه الرجل على الرأس هو نوع من...</v>
      </c>
      <c r="J7" s="9" t="str">
        <f>IFERROR(__xludf.DUMMYFUNCTION("GOOGLETRANSLATE(C7,""en"",""ar"")"),"أ) خوذة، ب) عمامة، ج) قبعة بيسبول، د) تاج")</f>
        <v>أ) خوذة، ب) عمامة، ج) قبعة بيسبول، د) تاج</v>
      </c>
      <c r="K7" s="9" t="str">
        <f>IFERROR(__xludf.DUMMYFUNCTION("GOOGLETRANSLATE(D7,""en"",""ar"")"),"ب) عمامة")</f>
        <v>ب) عمامة</v>
      </c>
      <c r="L7" s="9" t="str">
        <f>IFERROR(__xludf.DUMMYFUNCTION("GOOGLETRANSLATE(E7,""en"",""ar"")"),"وهو يرتدي عمامة تقليدية، وهو شكل شائع من غطاء الرأس في المنطقة.")</f>
        <v>وهو يرتدي عمامة تقليدية، وهو شكل شائع من غطاء الرأس في المنطقة.</v>
      </c>
      <c r="M7" s="9"/>
      <c r="N7" s="9"/>
      <c r="O7" s="9"/>
      <c r="P7" s="9"/>
      <c r="Q7" s="9"/>
      <c r="R7" s="9"/>
      <c r="S7" s="9"/>
      <c r="T7" s="9"/>
      <c r="U7" s="9"/>
      <c r="V7" s="9"/>
      <c r="W7" s="9"/>
      <c r="X7" s="9"/>
      <c r="Y7" s="9"/>
      <c r="Z7" s="9"/>
      <c r="AA7" s="9"/>
      <c r="AB7" s="9"/>
      <c r="AC7" s="9"/>
      <c r="AD7" s="9"/>
      <c r="AE7" s="9"/>
      <c r="AF7" s="9"/>
      <c r="AG7" s="9"/>
    </row>
    <row r="8">
      <c r="A8" s="20" t="s">
        <v>2654</v>
      </c>
      <c r="B8" s="20" t="s">
        <v>2679</v>
      </c>
      <c r="C8" s="20" t="s">
        <v>2680</v>
      </c>
      <c r="D8" s="20" t="s">
        <v>2681</v>
      </c>
      <c r="E8" s="20" t="s">
        <v>2682</v>
      </c>
      <c r="F8" s="9"/>
      <c r="G8" s="9"/>
      <c r="H8" s="25" t="s">
        <v>2654</v>
      </c>
      <c r="I8" s="9" t="str">
        <f>IFERROR(__xludf.DUMMYFUNCTION("GOOGLETRANSLATE(B8,""en"",""ar"")"),"يمكن إرجاع أصول التحطيب إلى...")</f>
        <v>يمكن إرجاع أصول التحطيب إلى...</v>
      </c>
      <c r="J8" s="9" t="str">
        <f>IFERROR(__xludf.DUMMYFUNCTION("GOOGLETRANSLATE(C8,""en"",""ar"")"),"أ) القرن العشرين، ب) الإمبراطورية الرومانية، ج) مصر القديمة، مع النقوش البارزة الموجودة في المقابر، د) أوروبا في العصور الوسطى")</f>
        <v>أ) القرن العشرين، ب) الإمبراطورية الرومانية، ج) مصر القديمة، مع النقوش البارزة الموجودة في المقابر، د) أوروبا في العصور الوسطى</v>
      </c>
      <c r="K8" s="9" t="str">
        <f>IFERROR(__xludf.DUMMYFUNCTION("GOOGLETRANSLATE(D8,""en"",""ar"")"),"ج) مصر القديمة، مع النقوش الموجودة في المقابر")</f>
        <v>ج) مصر القديمة، مع النقوش الموجودة في المقابر</v>
      </c>
      <c r="L8" s="9" t="str">
        <f>IFERROR(__xludf.DUMMYFUNCTION("GOOGLETRANSLATE(E8,""en"",""ar"")"),"تم العثور على صور قتال بالعصي تشبه التحطيب على جدران المقابر المصرية القديمة التي يعود تاريخها إلى آلاف السنين.")</f>
        <v>تم العثور على صور قتال بالعصي تشبه التحطيب على جدران المقابر المصرية القديمة التي يعود تاريخها إلى آلاف السنين.</v>
      </c>
      <c r="M8" s="9"/>
      <c r="N8" s="9"/>
      <c r="O8" s="9"/>
      <c r="P8" s="9"/>
      <c r="Q8" s="9"/>
      <c r="R8" s="9"/>
      <c r="S8" s="9"/>
      <c r="T8" s="9"/>
      <c r="U8" s="9"/>
      <c r="V8" s="9"/>
      <c r="W8" s="9"/>
      <c r="X8" s="9"/>
      <c r="Y8" s="9"/>
      <c r="Z8" s="9"/>
      <c r="AA8" s="9"/>
      <c r="AB8" s="9"/>
      <c r="AC8" s="9"/>
      <c r="AD8" s="9"/>
      <c r="AE8" s="9"/>
      <c r="AF8" s="9"/>
      <c r="AG8" s="9"/>
    </row>
    <row r="9">
      <c r="A9" s="20" t="s">
        <v>2654</v>
      </c>
      <c r="B9" s="20" t="s">
        <v>2683</v>
      </c>
      <c r="C9" s="20" t="s">
        <v>2684</v>
      </c>
      <c r="D9" s="20" t="s">
        <v>2685</v>
      </c>
      <c r="E9" s="20" t="s">
        <v>2686</v>
      </c>
      <c r="F9" s="9"/>
      <c r="G9" s="9"/>
      <c r="H9" s="26" t="s">
        <v>2654</v>
      </c>
      <c r="I9" s="9" t="str">
        <f>IFERROR(__xludf.DUMMYFUNCTION("GOOGLETRANSLATE(B9,""en"",""ar"")"),"هذا الأداء يجري في...")</f>
        <v>هذا الأداء يجري في...</v>
      </c>
      <c r="J9" s="9" t="str">
        <f>IFERROR(__xludf.DUMMYFUNCTION("GOOGLETRANSLATE(C9,""en"",""ar"")"),"أ) حقل عشبي، ب) ساحة عامة أو فناء مرصوف، ج) صحراء رملية، د) إزالة الغابات")</f>
        <v>أ) حقل عشبي، ب) ساحة عامة أو فناء مرصوف، ج) صحراء رملية، د) إزالة الغابات</v>
      </c>
      <c r="K9" s="9" t="str">
        <f>IFERROR(__xludf.DUMMYFUNCTION("GOOGLETRANSLATE(D9,""en"",""ar"")"),"ب) ساحة عامة أو فناء مرصوف")</f>
        <v>ب) ساحة عامة أو فناء مرصوف</v>
      </c>
      <c r="L9" s="9" t="str">
        <f>IFERROR(__xludf.DUMMYFUNCTION("GOOGLETRANSLATE(E9,""en"",""ar"")"),"تتكون الأرض من حجارة رصف مسطحة وكبيرة، وهي نموذجية للمنطقة أمام موقع تاريخي كبير.")</f>
        <v>تتكون الأرض من حجارة رصف مسطحة وكبيرة، وهي نموذجية للمنطقة أمام موقع تاريخي كبير.</v>
      </c>
      <c r="M9" s="9"/>
      <c r="N9" s="9"/>
      <c r="O9" s="9"/>
      <c r="P9" s="9"/>
      <c r="Q9" s="9"/>
      <c r="R9" s="9"/>
      <c r="S9" s="9"/>
      <c r="T9" s="9"/>
      <c r="U9" s="9"/>
      <c r="V9" s="9"/>
      <c r="W9" s="9"/>
      <c r="X9" s="9"/>
      <c r="Y9" s="9"/>
      <c r="Z9" s="9"/>
      <c r="AA9" s="9"/>
      <c r="AB9" s="9"/>
      <c r="AC9" s="9"/>
      <c r="AD9" s="9"/>
      <c r="AE9" s="9"/>
      <c r="AF9" s="9"/>
      <c r="AG9" s="9"/>
    </row>
    <row r="10">
      <c r="A10" s="20" t="s">
        <v>2654</v>
      </c>
      <c r="B10" s="20" t="s">
        <v>2687</v>
      </c>
      <c r="C10" s="20" t="s">
        <v>2688</v>
      </c>
      <c r="D10" s="20" t="s">
        <v>2689</v>
      </c>
      <c r="E10" s="20" t="s">
        <v>2690</v>
      </c>
      <c r="F10" s="9"/>
      <c r="G10" s="9"/>
      <c r="H10" s="25" t="s">
        <v>2654</v>
      </c>
      <c r="I10" s="9" t="str">
        <f>IFERROR(__xludf.DUMMYFUNCTION("GOOGLETRANSLATE(B10,""en"",""ar"")"),"ماذا يفعل الرجل الموجود في أقصى اليمين؟")</f>
        <v>ماذا يفعل الرجل الموجود في أقصى اليمين؟</v>
      </c>
      <c r="J10" s="9" t="str">
        <f>IFERROR(__xludf.DUMMYFUNCTION("GOOGLETRANSLATE(C10,""en"",""ar"")"),"أ) يشارك في القتال، ب) يصور أو يلتقط صورة للحدث، ج) نائم، د) يعزف على آلة موسيقية")</f>
        <v>أ) يشارك في القتال، ب) يصور أو يلتقط صورة للحدث، ج) نائم، د) يعزف على آلة موسيقية</v>
      </c>
      <c r="K10" s="9" t="str">
        <f>IFERROR(__xludf.DUMMYFUNCTION("GOOGLETRANSLATE(D10,""en"",""ar"")"),"ب) يقوم بتصوير أو التقاط صورة للحدث")</f>
        <v>ب) يقوم بتصوير أو التقاط صورة للحدث</v>
      </c>
      <c r="L10" s="9" t="str">
        <f>IFERROR(__xludf.DUMMYFUNCTION("GOOGLETRANSLATE(E10,""en"",""ar"")"),"وهو يحمل جهازًا، ربما كاميرا أو هاتفًا محمولًا، لالتقاط الأداء.")</f>
        <v>وهو يحمل جهازًا، ربما كاميرا أو هاتفًا محمولًا، لالتقاط الأداء.</v>
      </c>
      <c r="M10" s="9"/>
      <c r="N10" s="9"/>
      <c r="O10" s="9"/>
      <c r="P10" s="9"/>
      <c r="Q10" s="9"/>
      <c r="R10" s="9"/>
      <c r="S10" s="9"/>
      <c r="T10" s="9"/>
      <c r="U10" s="9"/>
      <c r="V10" s="9"/>
      <c r="W10" s="9"/>
      <c r="X10" s="9"/>
      <c r="Y10" s="9"/>
      <c r="Z10" s="9"/>
      <c r="AA10" s="9"/>
      <c r="AB10" s="9"/>
      <c r="AC10" s="9"/>
      <c r="AD10" s="9"/>
      <c r="AE10" s="9"/>
      <c r="AF10" s="9"/>
      <c r="AG10" s="9"/>
    </row>
    <row r="11">
      <c r="A11" s="20" t="s">
        <v>2654</v>
      </c>
      <c r="B11" s="20" t="s">
        <v>2691</v>
      </c>
      <c r="C11" s="20" t="s">
        <v>2692</v>
      </c>
      <c r="D11" s="20" t="s">
        <v>2693</v>
      </c>
      <c r="E11" s="20" t="s">
        <v>2694</v>
      </c>
      <c r="F11" s="9"/>
      <c r="G11" s="9"/>
      <c r="H11" s="26" t="s">
        <v>2654</v>
      </c>
      <c r="I11" s="9" t="str">
        <f>IFERROR(__xludf.DUMMYFUNCTION("GOOGLETRANSLATE(B11,""en"",""ar"")"),"تم الاعتراف بالتحطيب من قبل اليونسكو كـ...")</f>
        <v>تم الاعتراف بالتحطيب من قبل اليونسكو كـ...</v>
      </c>
      <c r="J11" s="9" t="str">
        <f>IFERROR(__xludf.DUMMYFUNCTION("GOOGLETRANSLATE(C11,""en"",""ar"")"),"أ) الرياضة الأكثر خطورة في العالم، ب) تراث ثقافي غير مادي للبشرية، ج) رياضة أوليمبية، د) شكل من أشكال التأمل")</f>
        <v>أ) الرياضة الأكثر خطورة في العالم، ب) تراث ثقافي غير مادي للبشرية، ج) رياضة أوليمبية، د) شكل من أشكال التأمل</v>
      </c>
      <c r="K11" s="9" t="str">
        <f>IFERROR(__xludf.DUMMYFUNCTION("GOOGLETRANSLATE(D11,""en"",""ar"")"),"ب) التراث الثقافي غير المادي للبشرية")</f>
        <v>ب) التراث الثقافي غير المادي للبشرية</v>
      </c>
      <c r="L11" s="9" t="str">
        <f>IFERROR(__xludf.DUMMYFUNCTION("GOOGLETRANSLATE(E11,""en"",""ar"")"),"في عام 2016، اعترفت منظمة اليونسكو رسميًا بمنطقة التحطيب لأهميتها الثقافية وقيمتها التاريخية.")</f>
        <v>في عام 2016، اعترفت منظمة اليونسكو رسميًا بمنطقة التحطيب لأهميتها الثقافية وقيمتها التاريخية.</v>
      </c>
      <c r="M11" s="9"/>
      <c r="N11" s="9"/>
      <c r="O11" s="9"/>
      <c r="P11" s="9"/>
      <c r="Q11" s="9"/>
      <c r="R11" s="9"/>
      <c r="S11" s="9"/>
      <c r="T11" s="9"/>
      <c r="U11" s="9"/>
      <c r="V11" s="9"/>
      <c r="W11" s="9"/>
      <c r="X11" s="9"/>
      <c r="Y11" s="9"/>
      <c r="Z11" s="9"/>
      <c r="AA11" s="9"/>
      <c r="AB11" s="9"/>
      <c r="AC11" s="9"/>
      <c r="AD11" s="9"/>
      <c r="AE11" s="9"/>
      <c r="AF11" s="9"/>
      <c r="AG11" s="9"/>
    </row>
    <row r="12">
      <c r="A12" s="20" t="s">
        <v>2695</v>
      </c>
      <c r="B12" s="20" t="s">
        <v>2696</v>
      </c>
      <c r="C12" s="20" t="s">
        <v>2697</v>
      </c>
      <c r="D12" s="20" t="s">
        <v>2698</v>
      </c>
      <c r="E12" s="20" t="s">
        <v>2699</v>
      </c>
      <c r="F12" s="9"/>
      <c r="G12" s="9"/>
      <c r="H12" s="25" t="s">
        <v>2695</v>
      </c>
      <c r="I12" s="9" t="str">
        <f>IFERROR(__xludf.DUMMYFUNCTION("GOOGLETRANSLATE(B12,""en"",""ar"")"),"ما هو المعلم الأيقوني الذي يظهر في خلفية هذه الصورة؟")</f>
        <v>ما هو المعلم الأيقوني الذي يظهر في خلفية هذه الصورة؟</v>
      </c>
      <c r="J12" s="9" t="str">
        <f>IFERROR(__xludf.DUMMYFUNCTION("GOOGLETRANSLATE(C12,""en"",""ar"")"),"أ) برج إيفل، ب) الكولوسيوم، ج) الهرم الأكبر في الجيزة، د) تاج محل")</f>
        <v>أ) برج إيفل، ب) الكولوسيوم، ج) الهرم الأكبر في الجيزة، د) تاج محل</v>
      </c>
      <c r="K12" s="9" t="str">
        <f>IFERROR(__xludf.DUMMYFUNCTION("GOOGLETRANSLATE(D12,""en"",""ar"")"),"ج) الهرم الأكبر بالجيزة")</f>
        <v>ج) الهرم الأكبر بالجيزة</v>
      </c>
      <c r="L12" s="9" t="str">
        <f>IFERROR(__xludf.DUMMYFUNCTION("GOOGLETRANSLATE(E12,""en"",""ar"")"),"يظهر الشكل المميز لأحد أهرامات الجيزة في الخلفية الضبابية، مما يضع هذا المشهد في مصر. 🇪🇬")</f>
        <v>يظهر الشكل المميز لأحد أهرامات الجيزة في الخلفية الضبابية، مما يضع هذا المشهد في مصر. 🇪🇬</v>
      </c>
      <c r="M12" s="9"/>
      <c r="N12" s="9"/>
      <c r="O12" s="9"/>
      <c r="P12" s="9"/>
      <c r="Q12" s="9"/>
      <c r="R12" s="9"/>
      <c r="S12" s="9"/>
      <c r="T12" s="9"/>
      <c r="U12" s="9"/>
      <c r="V12" s="9"/>
      <c r="W12" s="9"/>
      <c r="X12" s="9"/>
      <c r="Y12" s="9"/>
      <c r="Z12" s="9"/>
      <c r="AA12" s="9"/>
      <c r="AB12" s="9"/>
      <c r="AC12" s="9"/>
      <c r="AD12" s="9"/>
      <c r="AE12" s="9"/>
      <c r="AF12" s="9"/>
      <c r="AG12" s="9"/>
    </row>
    <row r="13">
      <c r="A13" s="20" t="s">
        <v>2695</v>
      </c>
      <c r="B13" s="20" t="s">
        <v>2700</v>
      </c>
      <c r="C13" s="20" t="s">
        <v>2701</v>
      </c>
      <c r="D13" s="20" t="s">
        <v>2702</v>
      </c>
      <c r="E13" s="20" t="s">
        <v>2703</v>
      </c>
      <c r="F13" s="9"/>
      <c r="G13" s="9"/>
      <c r="H13" s="26" t="s">
        <v>2695</v>
      </c>
      <c r="I13" s="9" t="str">
        <f>IFERROR(__xludf.DUMMYFUNCTION("GOOGLETRANSLATE(B13,""en"",""ar"")"),"يمارس الرجلان شكلًا من أشكال القتال بالعصا يسمى ...")</f>
        <v>يمارس الرجلان شكلًا من أشكال القتال بالعصا يسمى ...</v>
      </c>
      <c r="J13" s="9" t="str">
        <f>IFERROR(__xludf.DUMMYFUNCTION("GOOGLETRANSLATE(C13,""en"",""ar"")"),"أ) مصارعة النوبة، ب) قتال الزولو بالعصا، ج) التحطيب، د) الكابويرا")</f>
        <v>أ) مصارعة النوبة، ب) قتال الزولو بالعصا، ج) التحطيب، د) الكابويرا</v>
      </c>
      <c r="K13" s="9" t="str">
        <f>IFERROR(__xludf.DUMMYFUNCTION("GOOGLETRANSLATE(D13,""en"",""ar"")"),"ج) التحطيب")</f>
        <v>ج) التحطيب</v>
      </c>
      <c r="L13" s="9" t="str">
        <f>IFERROR(__xludf.DUMMYFUNCTION("GOOGLETRANSLATE(E13,""en"",""ar"")"),"هذا هو فن القتال بالعصا المصري التقليدي.")</f>
        <v>هذا هو فن القتال بالعصا المصري التقليدي.</v>
      </c>
      <c r="M13" s="9"/>
      <c r="N13" s="9"/>
      <c r="O13" s="9"/>
      <c r="P13" s="9"/>
      <c r="Q13" s="9"/>
      <c r="R13" s="9"/>
      <c r="S13" s="9"/>
      <c r="T13" s="9"/>
      <c r="U13" s="9"/>
      <c r="V13" s="9"/>
      <c r="W13" s="9"/>
      <c r="X13" s="9"/>
      <c r="Y13" s="9"/>
      <c r="Z13" s="9"/>
      <c r="AA13" s="9"/>
      <c r="AB13" s="9"/>
      <c r="AC13" s="9"/>
      <c r="AD13" s="9"/>
      <c r="AE13" s="9"/>
      <c r="AF13" s="9"/>
      <c r="AG13" s="9"/>
    </row>
    <row r="14">
      <c r="A14" s="20" t="s">
        <v>2695</v>
      </c>
      <c r="B14" s="20" t="s">
        <v>2704</v>
      </c>
      <c r="C14" s="20" t="s">
        <v>2705</v>
      </c>
      <c r="D14" s="20" t="s">
        <v>2706</v>
      </c>
      <c r="E14" s="20" t="s">
        <v>2707</v>
      </c>
      <c r="F14" s="9"/>
      <c r="G14" s="9"/>
      <c r="H14" s="25" t="s">
        <v>2695</v>
      </c>
      <c r="I14" s="9" t="str">
        <f>IFERROR(__xludf.DUMMYFUNCTION("GOOGLETRANSLATE(B14,""en"",""ar"")"),"ما هو الغرض من الأحزمة الحمراء التي يرتديها الرجال؟")</f>
        <v>ما هو الغرض من الأحزمة الحمراء التي يرتديها الرجال؟</v>
      </c>
      <c r="J14" s="9" t="str">
        <f>IFERROR(__xludf.DUMMYFUNCTION("GOOGLETRANSLATE(C14,""en"",""ar"")"),"أ) إنها زخرفية بحتة، ب) يمكن أن تكون جزءًا من الزي التقليدي وتدل على الرتبة أو الانتماء، ج) تُستخدم لحمل الأسلحة، د) إنها شكل من أشكال ضمادة الإسعافات الأولية")</f>
        <v>أ) إنها زخرفية بحتة، ب) يمكن أن تكون جزءًا من الزي التقليدي وتدل على الرتبة أو الانتماء، ج) تُستخدم لحمل الأسلحة، د) إنها شكل من أشكال ضمادة الإسعافات الأولية</v>
      </c>
      <c r="K14" s="9" t="str">
        <f>IFERROR(__xludf.DUMMYFUNCTION("GOOGLETRANSLATE(D14,""en"",""ar"")"),"ب) يمكن أن تكون جزءًا من الزي التقليدي وتدل على الرتبة أو الانتماء")</f>
        <v>ب) يمكن أن تكون جزءًا من الزي التقليدي وتدل على الرتبة أو الانتماء</v>
      </c>
      <c r="L14" s="9" t="str">
        <f>IFERROR(__xludf.DUMMYFUNCTION("GOOGLETRANSLATE(E14,""en"",""ar"")"),"في العديد من الفنون القتالية، يتم استخدام الأحزمة أو الشرائط للإشارة إلى مستوى المهارة أو ببساطة كجزء من الزي التقليدي.")</f>
        <v>في العديد من الفنون القتالية، يتم استخدام الأحزمة أو الشرائط للإشارة إلى مستوى المهارة أو ببساطة كجزء من الزي التقليدي.</v>
      </c>
      <c r="M14" s="9"/>
      <c r="N14" s="9"/>
      <c r="O14" s="9"/>
      <c r="P14" s="9"/>
      <c r="Q14" s="9"/>
      <c r="R14" s="9"/>
      <c r="S14" s="9"/>
      <c r="T14" s="9"/>
      <c r="U14" s="9"/>
      <c r="V14" s="9"/>
      <c r="W14" s="9"/>
      <c r="X14" s="9"/>
      <c r="Y14" s="9"/>
      <c r="Z14" s="9"/>
      <c r="AA14" s="9"/>
      <c r="AB14" s="9"/>
      <c r="AC14" s="9"/>
      <c r="AD14" s="9"/>
      <c r="AE14" s="9"/>
      <c r="AF14" s="9"/>
      <c r="AG14" s="9"/>
    </row>
    <row r="15">
      <c r="A15" s="20" t="s">
        <v>2695</v>
      </c>
      <c r="B15" s="20" t="s">
        <v>2708</v>
      </c>
      <c r="C15" s="20" t="s">
        <v>2709</v>
      </c>
      <c r="D15" s="20" t="s">
        <v>2710</v>
      </c>
      <c r="E15" s="20" t="s">
        <v>2711</v>
      </c>
      <c r="F15" s="9"/>
      <c r="G15" s="9"/>
      <c r="H15" s="26" t="s">
        <v>2695</v>
      </c>
      <c r="I15" s="9" t="str">
        <f>IFERROR(__xludf.DUMMYFUNCTION("GOOGLETRANSLATE(B15,""en"",""ar"")"),"السلاح الخشبي الطويل الذي يستخدمونه يسمى ...")</f>
        <v>السلاح الخشبي الطويل الذي يستخدمونه يسمى ...</v>
      </c>
      <c r="J15" s="9" t="str">
        <f>IFERROR(__xludf.DUMMYFUNCTION("GOOGLETRANSLATE(C15,""en"",""ar"")"),"أ) عصا إسكريما، ب) جو، ج) آسا، د) كوارترستاف")</f>
        <v>أ) عصا إسكريما، ب) جو، ج) آسا، د) كوارترستاف</v>
      </c>
      <c r="K15" s="9" t="str">
        <f>IFERROR(__xludf.DUMMYFUNCTION("GOOGLETRANSLATE(D15,""en"",""ar"")"),"ج) آسا")</f>
        <v>ج) آسا</v>
      </c>
      <c r="L15" s="9" t="str">
        <f>IFERROR(__xludf.DUMMYFUNCTION("GOOGLETRANSLATE(E15,""en"",""ar"")"),"العصا الطويلة المستخدمة في التحطيب تعرف باسم الآسا.")</f>
        <v>العصا الطويلة المستخدمة في التحطيب تعرف باسم الآسا.</v>
      </c>
      <c r="M15" s="9"/>
      <c r="N15" s="9"/>
      <c r="O15" s="9"/>
      <c r="P15" s="9"/>
      <c r="Q15" s="9"/>
      <c r="R15" s="9"/>
      <c r="S15" s="9"/>
      <c r="T15" s="9"/>
      <c r="U15" s="9"/>
      <c r="V15" s="9"/>
      <c r="W15" s="9"/>
      <c r="X15" s="9"/>
      <c r="Y15" s="9"/>
      <c r="Z15" s="9"/>
      <c r="AA15" s="9"/>
      <c r="AB15" s="9"/>
      <c r="AC15" s="9"/>
      <c r="AD15" s="9"/>
      <c r="AE15" s="9"/>
      <c r="AF15" s="9"/>
      <c r="AG15" s="9"/>
    </row>
    <row r="16">
      <c r="A16" s="20" t="s">
        <v>2695</v>
      </c>
      <c r="B16" s="20" t="s">
        <v>2712</v>
      </c>
      <c r="C16" s="20" t="s">
        <v>2713</v>
      </c>
      <c r="D16" s="20" t="s">
        <v>2714</v>
      </c>
      <c r="E16" s="20" t="s">
        <v>2715</v>
      </c>
      <c r="F16" s="9"/>
      <c r="G16" s="9"/>
      <c r="H16" s="25" t="s">
        <v>2695</v>
      </c>
      <c r="I16" s="9" t="str">
        <f>IFERROR(__xludf.DUMMYFUNCTION("GOOGLETRANSLATE(B16,""en"",""ar"")"),"تظهر هذه الصورة...")</f>
        <v>تظهر هذه الصورة...</v>
      </c>
      <c r="J16" s="9" t="str">
        <f>IFERROR(__xludf.DUMMYFUNCTION("GOOGLETRANSLATE(C16,""en"",""ar"")"),"أ) معركة تاريخية قديمة، ب) جلسة تدريب حديثة لأحد فنون القتال التقليدية، ج) مشهد من فيلم، د) إعادة تمثيل للسياح")</f>
        <v>أ) معركة تاريخية قديمة، ب) جلسة تدريب حديثة لأحد فنون القتال التقليدية، ج) مشهد من فيلم، د) إعادة تمثيل للسياح</v>
      </c>
      <c r="K16" s="9" t="str">
        <f>IFERROR(__xludf.DUMMYFUNCTION("GOOGLETRANSLATE(D16,""en"",""ar"")"),"ب) جلسة تدريب حديثة لأحد فنون القتال التقليدية")</f>
        <v>ب) جلسة تدريب حديثة لأحد فنون القتال التقليدية</v>
      </c>
      <c r="L16" s="9" t="str">
        <f>IFERROR(__xludf.DUMMYFUNCTION("GOOGLETRANSLATE(E16,""en"",""ar"")"),"يرتدي الرجال ملابس رياضية حديثة، ويمارسون الفن القديم على سطح حديث، مما يدل على استمرار أهميته.")</f>
        <v>يرتدي الرجال ملابس رياضية حديثة، ويمارسون الفن القديم على سطح حديث، مما يدل على استمرار أهميته.</v>
      </c>
      <c r="M16" s="9"/>
      <c r="N16" s="9"/>
      <c r="O16" s="9"/>
      <c r="P16" s="9"/>
      <c r="Q16" s="9"/>
      <c r="R16" s="9"/>
      <c r="S16" s="9"/>
      <c r="T16" s="9"/>
      <c r="U16" s="9"/>
      <c r="V16" s="9"/>
      <c r="W16" s="9"/>
      <c r="X16" s="9"/>
      <c r="Y16" s="9"/>
      <c r="Z16" s="9"/>
      <c r="AA16" s="9"/>
      <c r="AB16" s="9"/>
      <c r="AC16" s="9"/>
      <c r="AD16" s="9"/>
      <c r="AE16" s="9"/>
      <c r="AF16" s="9"/>
      <c r="AG16" s="9"/>
    </row>
    <row r="17">
      <c r="A17" s="20" t="s">
        <v>2695</v>
      </c>
      <c r="B17" s="20" t="s">
        <v>2716</v>
      </c>
      <c r="C17" s="20" t="s">
        <v>2717</v>
      </c>
      <c r="D17" s="20" t="s">
        <v>2718</v>
      </c>
      <c r="E17" s="20" t="s">
        <v>2719</v>
      </c>
      <c r="F17" s="9"/>
      <c r="G17" s="9"/>
      <c r="H17" s="26" t="s">
        <v>2695</v>
      </c>
      <c r="I17" s="9" t="str">
        <f>IFERROR(__xludf.DUMMYFUNCTION("GOOGLETRANSLATE(B17,""en"",""ar"")"),"الرجل على اليمين يمسك عصاه بأي نوع من القبضة؟")</f>
        <v>الرجل على اليمين يمسك عصاه بأي نوع من القبضة؟</v>
      </c>
      <c r="J17" s="9" t="str">
        <f>IFERROR(__xludf.DUMMYFUNCTION("GOOGLETRANSLATE(C17,""en"",""ar"")"),"أ) قبضة بيد واحدة في النهاية، ب) قبضة بكلتا اليدين في المنتصف، ج) قبضة بيد واحدة في المنتصف، د) إنه لا يمسكه")</f>
        <v>أ) قبضة بيد واحدة في النهاية، ب) قبضة بكلتا اليدين في المنتصف، ج) قبضة بيد واحدة في المنتصف، د) إنه لا يمسكه</v>
      </c>
      <c r="K17" s="9" t="str">
        <f>IFERROR(__xludf.DUMMYFUNCTION("GOOGLETRANSLATE(D17,""en"",""ar"")"),"ج) قبضة بيد واحدة في المنتصف")</f>
        <v>ج) قبضة بيد واحدة في المنتصف</v>
      </c>
      <c r="L17" s="9" t="str">
        <f>IFERROR(__xludf.DUMMYFUNCTION("GOOGLETRANSLATE(E17,""en"",""ar"")"),"تسمح هذه القبضة بحركات سريعة وسلسة، وصد وضربات.")</f>
        <v>تسمح هذه القبضة بحركات سريعة وسلسة، وصد وضربات.</v>
      </c>
      <c r="M17" s="9"/>
      <c r="N17" s="9"/>
      <c r="O17" s="9"/>
      <c r="P17" s="9"/>
      <c r="Q17" s="9"/>
      <c r="R17" s="9"/>
      <c r="S17" s="9"/>
      <c r="T17" s="9"/>
      <c r="U17" s="9"/>
      <c r="V17" s="9"/>
      <c r="W17" s="9"/>
      <c r="X17" s="9"/>
      <c r="Y17" s="9"/>
      <c r="Z17" s="9"/>
      <c r="AA17" s="9"/>
      <c r="AB17" s="9"/>
      <c r="AC17" s="9"/>
      <c r="AD17" s="9"/>
      <c r="AE17" s="9"/>
      <c r="AF17" s="9"/>
      <c r="AG17" s="9"/>
    </row>
    <row r="18">
      <c r="A18" s="20" t="s">
        <v>2695</v>
      </c>
      <c r="B18" s="20" t="s">
        <v>2720</v>
      </c>
      <c r="C18" s="20" t="s">
        <v>2721</v>
      </c>
      <c r="D18" s="20" t="s">
        <v>2722</v>
      </c>
      <c r="E18" s="20" t="s">
        <v>2723</v>
      </c>
      <c r="F18" s="9"/>
      <c r="G18" s="9"/>
      <c r="H18" s="25" t="s">
        <v>2695</v>
      </c>
      <c r="I18" s="9" t="str">
        <f>IFERROR(__xludf.DUMMYFUNCTION("GOOGLETRANSLATE(B18,""en"",""ar"")"),"تم إعداد جلسة التدريب هذه في ...")</f>
        <v>تم إعداد جلسة التدريب هذه في ...</v>
      </c>
      <c r="J18" s="9" t="str">
        <f>IFERROR(__xludf.DUMMYFUNCTION("GOOGLETRANSLATE(C18,""en"",""ar"")"),"أ) الصحراء، ب) الحديقة العامة، ج) السطح، د) الساحة الرسمية")</f>
        <v>أ) الصحراء، ب) الحديقة العامة، ج) السطح، د) الساحة الرسمية</v>
      </c>
      <c r="K18" s="9" t="str">
        <f>IFERROR(__xludf.DUMMYFUNCTION("GOOGLETRANSLATE(D18,""en"",""ar"")"),"ج) سطح")</f>
        <v>ج) سطح</v>
      </c>
      <c r="L18" s="9" t="str">
        <f>IFERROR(__xludf.DUMMYFUNCTION("GOOGLETRANSLATE(E18,""en"",""ar"")"),"إنهم على سطح مرصوف، مع جدار منخفض، ويطلون على المنطقة المحيطة.")</f>
        <v>إنهم على سطح مرصوف، مع جدار منخفض، ويطلون على المنطقة المحيطة.</v>
      </c>
      <c r="M18" s="9"/>
      <c r="N18" s="9"/>
      <c r="O18" s="9"/>
      <c r="P18" s="9"/>
      <c r="Q18" s="9"/>
      <c r="R18" s="9"/>
      <c r="S18" s="9"/>
      <c r="T18" s="9"/>
      <c r="U18" s="9"/>
      <c r="V18" s="9"/>
      <c r="W18" s="9"/>
      <c r="X18" s="9"/>
      <c r="Y18" s="9"/>
      <c r="Z18" s="9"/>
      <c r="AA18" s="9"/>
      <c r="AB18" s="9"/>
      <c r="AC18" s="9"/>
      <c r="AD18" s="9"/>
      <c r="AE18" s="9"/>
      <c r="AF18" s="9"/>
      <c r="AG18" s="9"/>
    </row>
    <row r="19">
      <c r="A19" s="20" t="s">
        <v>2695</v>
      </c>
      <c r="B19" s="20" t="s">
        <v>2724</v>
      </c>
      <c r="C19" s="20" t="s">
        <v>2725</v>
      </c>
      <c r="D19" s="20" t="s">
        <v>2726</v>
      </c>
      <c r="E19" s="20" t="s">
        <v>2727</v>
      </c>
      <c r="F19" s="9"/>
      <c r="G19" s="9"/>
      <c r="H19" s="26" t="s">
        <v>2695</v>
      </c>
      <c r="I19" s="9" t="str">
        <f>IFERROR(__xludf.DUMMYFUNCTION("GOOGLETRANSLATE(B19,""en"",""ar"")"),"الرجل الموجود على اليسار في وضعية توحي بأنه...")</f>
        <v>الرجل الموجود على اليسار في وضعية توحي بأنه...</v>
      </c>
      <c r="J19" s="9" t="str">
        <f>IFERROR(__xludf.DUMMYFUNCTION("GOOGLETRANSLATE(C19,""en"",""ar"")"),"أ) على وشك الضرب من الأعلى، ب) الدفاع ضد ضربة عالية، ج) الراحة، د) الاستسلام")</f>
        <v>أ) على وشك الضرب من الأعلى، ب) الدفاع ضد ضربة عالية، ج) الراحة، د) الاستسلام</v>
      </c>
      <c r="K19" s="9" t="str">
        <f>IFERROR(__xludf.DUMMYFUNCTION("GOOGLETRANSLATE(D19,""en"",""ar"")"),"أ) على وشك الضرب من الأعلى")</f>
        <v>أ) على وشك الضرب من الأعلى</v>
      </c>
      <c r="L19" s="9" t="str">
        <f>IFERROR(__xludf.DUMMYFUNCTION("GOOGLETRANSLATE(E19,""en"",""ar"")"),"إنه يحمل العصا عالياً، ويستعد لإسقاطها بضربة قوية فوق رأسه.")</f>
        <v>إنه يحمل العصا عالياً، ويستعد لإسقاطها بضربة قوية فوق رأسه.</v>
      </c>
      <c r="M19" s="9"/>
      <c r="N19" s="9"/>
      <c r="O19" s="9"/>
      <c r="P19" s="9"/>
      <c r="Q19" s="9"/>
      <c r="R19" s="9"/>
      <c r="S19" s="9"/>
      <c r="T19" s="9"/>
      <c r="U19" s="9"/>
      <c r="V19" s="9"/>
      <c r="W19" s="9"/>
      <c r="X19" s="9"/>
      <c r="Y19" s="9"/>
      <c r="Z19" s="9"/>
      <c r="AA19" s="9"/>
      <c r="AB19" s="9"/>
      <c r="AC19" s="9"/>
      <c r="AD19" s="9"/>
      <c r="AE19" s="9"/>
      <c r="AF19" s="9"/>
      <c r="AG19" s="9"/>
    </row>
    <row r="20">
      <c r="A20" s="20" t="s">
        <v>2695</v>
      </c>
      <c r="B20" s="20" t="s">
        <v>2728</v>
      </c>
      <c r="C20" s="20" t="s">
        <v>2729</v>
      </c>
      <c r="D20" s="20" t="s">
        <v>2730</v>
      </c>
      <c r="E20" s="20" t="s">
        <v>2731</v>
      </c>
      <c r="F20" s="9"/>
      <c r="G20" s="9"/>
      <c r="H20" s="25" t="s">
        <v>2695</v>
      </c>
      <c r="I20" s="9" t="str">
        <f>IFERROR(__xludf.DUMMYFUNCTION("GOOGLETRANSLATE(B20,""en"",""ar"")"),"تشير التعبيرات الودية والمركزة على وجوه الرجال إلى أن هذا ...")</f>
        <v>تشير التعبيرات الودية والمركزة على وجوه الرجال إلى أن هذا ...</v>
      </c>
      <c r="J20" s="9" t="str">
        <f>IFERROR(__xludf.DUMMYFUNCTION("GOOGLETRANSLATE(C20,""en"",""ar"")"),"أ) القتال حتى الموت، ب) جلسة تدريب أو تدريب، ج) جدال حاد، د) عرض رقص")</f>
        <v>أ) القتال حتى الموت، ب) جلسة تدريب أو تدريب، ج) جدال حاد، د) عرض رقص</v>
      </c>
      <c r="K20" s="9" t="str">
        <f>IFERROR(__xludf.DUMMYFUNCTION("GOOGLETRANSLATE(D20,""en"",""ar"")"),"ب) جلسة تدريب أو تدريب")</f>
        <v>ب) جلسة تدريب أو تدريب</v>
      </c>
      <c r="L20" s="9" t="str">
        <f>IFERROR(__xludf.DUMMYFUNCTION("GOOGLETRANSLATE(E20,""en"",""ar"")"),"إنهم يمارسون تقنياتهم مع شريك، وليسوا منخرطين في معركة حقيقية بين الحياة والموت.")</f>
        <v>إنهم يمارسون تقنياتهم مع شريك، وليسوا منخرطين في معركة حقيقية بين الحياة والموت.</v>
      </c>
      <c r="M20" s="9"/>
      <c r="N20" s="9"/>
      <c r="O20" s="9"/>
      <c r="P20" s="9"/>
      <c r="Q20" s="9"/>
      <c r="R20" s="9"/>
      <c r="S20" s="9"/>
      <c r="T20" s="9"/>
      <c r="U20" s="9"/>
      <c r="V20" s="9"/>
      <c r="W20" s="9"/>
      <c r="X20" s="9"/>
      <c r="Y20" s="9"/>
      <c r="Z20" s="9"/>
      <c r="AA20" s="9"/>
      <c r="AB20" s="9"/>
      <c r="AC20" s="9"/>
      <c r="AD20" s="9"/>
      <c r="AE20" s="9"/>
      <c r="AF20" s="9"/>
      <c r="AG20" s="9"/>
    </row>
    <row r="21">
      <c r="A21" s="20" t="s">
        <v>2695</v>
      </c>
      <c r="B21" s="20" t="s">
        <v>2732</v>
      </c>
      <c r="C21" s="20" t="s">
        <v>2733</v>
      </c>
      <c r="D21" s="20" t="s">
        <v>2734</v>
      </c>
      <c r="E21" s="20" t="s">
        <v>2735</v>
      </c>
      <c r="F21" s="9"/>
      <c r="G21" s="9"/>
      <c r="H21" s="26" t="s">
        <v>2695</v>
      </c>
      <c r="I21" s="9" t="str">
        <f>IFERROR(__xludf.DUMMYFUNCTION("GOOGLETRANSLATE(B21,""en"",""ar"")"),"تُظهر هذه الصورة أن فنون القتال التقليدية مثل التحطيب هي...")</f>
        <v>تُظهر هذه الصورة أن فنون القتال التقليدية مثل التحطيب هي...</v>
      </c>
      <c r="J21" s="9" t="str">
        <f>IFERROR(__xludf.DUMMYFUNCTION("GOOGLETRANSLATE(C21,""en"",""ar"")"),"أ) لم تعد تمارس، ب) تمارس فقط في شكلها الأصلي القديم، ج) لا تزال حية من قبل الممارسين المعاصرين، د) جزء منسي من التاريخ")</f>
        <v>أ) لم تعد تمارس، ب) تمارس فقط في شكلها الأصلي القديم، ج) لا تزال حية من قبل الممارسين المعاصرين، د) جزء منسي من التاريخ</v>
      </c>
      <c r="K21" s="9" t="str">
        <f>IFERROR(__xludf.DUMMYFUNCTION("GOOGLETRANSLATE(D21,""en"",""ar"")"),"ج) تم الحفاظ عليها من قبل الممارسين المعاصرين")</f>
        <v>ج) تم الحفاظ عليها من قبل الممارسين المعاصرين</v>
      </c>
      <c r="L21" s="9" t="str">
        <f>IFERROR(__xludf.DUMMYFUNCTION("GOOGLETRANSLATE(E21,""en"",""ar"")"),"ويستمر الناس في تدريب هذه الفنون القديمة والحفاظ عليها في العالم الحديث.")</f>
        <v>ويستمر الناس في تدريب هذه الفنون القديمة والحفاظ عليها في العالم الحديث.</v>
      </c>
      <c r="M21" s="9"/>
      <c r="N21" s="9"/>
      <c r="O21" s="9"/>
      <c r="P21" s="9"/>
      <c r="Q21" s="9"/>
      <c r="R21" s="9"/>
      <c r="S21" s="9"/>
      <c r="T21" s="9"/>
      <c r="U21" s="9"/>
      <c r="V21" s="9"/>
      <c r="W21" s="9"/>
      <c r="X21" s="9"/>
      <c r="Y21" s="9"/>
      <c r="Z21" s="9"/>
      <c r="AA21" s="9"/>
      <c r="AB21" s="9"/>
      <c r="AC21" s="9"/>
      <c r="AD21" s="9"/>
      <c r="AE21" s="9"/>
      <c r="AF21" s="9"/>
      <c r="AG21" s="9"/>
    </row>
    <row r="22">
      <c r="A22" s="20" t="s">
        <v>2736</v>
      </c>
      <c r="B22" s="20" t="s">
        <v>2737</v>
      </c>
      <c r="C22" s="20" t="s">
        <v>2738</v>
      </c>
      <c r="D22" s="20" t="s">
        <v>2739</v>
      </c>
      <c r="E22" s="20" t="s">
        <v>2740</v>
      </c>
      <c r="F22" s="9"/>
      <c r="G22" s="9"/>
      <c r="H22" s="25" t="s">
        <v>2736</v>
      </c>
      <c r="I22" s="9" t="str">
        <f>IFERROR(__xludf.DUMMYFUNCTION("GOOGLETRANSLATE(B22,""en"",""ar"")"),"تظهر هذه الصورة شكلاً من أشكال القتال بالعصا التقليدي في أي منطقة من أفريقيا؟")</f>
        <v>تظهر هذه الصورة شكلاً من أشكال القتال بالعصا التقليدي في أي منطقة من أفريقيا؟</v>
      </c>
      <c r="J22" s="9" t="str">
        <f>IFERROR(__xludf.DUMMYFUNCTION("GOOGLETRANSLATE(C22,""en"",""ar"")"),"أ) شمال أفريقيا (مثل مصر)، ب) غرب أفريقيا (مثل نيجيريا)، ج) جنوب أفريقيا (مثل جنوب أفريقيا، زولولاند)، د) شرق أفريقيا (مثل إثيوبيا)")</f>
        <v>أ) شمال أفريقيا (مثل مصر)، ب) غرب أفريقيا (مثل نيجيريا)، ج) جنوب أفريقيا (مثل جنوب أفريقيا، زولولاند)، د) شرق أفريقيا (مثل إثيوبيا)</v>
      </c>
      <c r="K22" s="9" t="str">
        <f>IFERROR(__xludf.DUMMYFUNCTION("GOOGLETRANSLATE(D22,""en"",""ar"")"),"ج) جنوب أفريقيا (على سبيل المثال، جنوب أفريقيا، زولولاند)")</f>
        <v>ج) جنوب أفريقيا (على سبيل المثال، جنوب أفريقيا، زولولاند)</v>
      </c>
      <c r="L22" s="9" t="str">
        <f>IFERROR(__xludf.DUMMYFUNCTION("GOOGLETRANSLATE(E22,""en"",""ar"")"),"الملابس، بما في ذلك مآزر من جلود الحيوانات (أوموتشا) والدرع الصغير، هي من سمات شعب الزولو وشعوب نجوني ذات الصلة.")</f>
        <v>الملابس، بما في ذلك مآزر من جلود الحيوانات (أوموتشا) والدرع الصغير، هي من سمات شعب الزولو وشعوب نجوني ذات الصلة.</v>
      </c>
      <c r="M22" s="9"/>
      <c r="N22" s="9"/>
      <c r="O22" s="9"/>
      <c r="P22" s="9"/>
      <c r="Q22" s="9"/>
      <c r="R22" s="9"/>
      <c r="S22" s="9"/>
      <c r="T22" s="9"/>
      <c r="U22" s="9"/>
      <c r="V22" s="9"/>
      <c r="W22" s="9"/>
      <c r="X22" s="9"/>
      <c r="Y22" s="9"/>
      <c r="Z22" s="9"/>
      <c r="AA22" s="9"/>
      <c r="AB22" s="9"/>
      <c r="AC22" s="9"/>
      <c r="AD22" s="9"/>
      <c r="AE22" s="9"/>
      <c r="AF22" s="9"/>
      <c r="AG22" s="9"/>
    </row>
    <row r="23">
      <c r="A23" s="20" t="s">
        <v>2736</v>
      </c>
      <c r="B23" s="20" t="s">
        <v>2741</v>
      </c>
      <c r="C23" s="20" t="s">
        <v>2742</v>
      </c>
      <c r="D23" s="20" t="s">
        <v>2743</v>
      </c>
      <c r="E23" s="20" t="s">
        <v>2744</v>
      </c>
      <c r="F23" s="9"/>
      <c r="G23" s="9"/>
      <c r="H23" s="26" t="s">
        <v>2736</v>
      </c>
      <c r="I23" s="9" t="str">
        <f>IFERROR(__xludf.DUMMYFUNCTION("GOOGLETRANSLATE(B23,""en"",""ar"")"),"ما هو اسم الدرع الصغير الذي يحمله المقاتل على اليمين؟")</f>
        <v>ما هو اسم الدرع الصغير الذي يحمله المقاتل على اليمين؟</v>
      </c>
      <c r="J23" s="9" t="str">
        <f>IFERROR(__xludf.DUMMYFUNCTION("GOOGLETRANSLATE(C23,""en"",""ar"")"),"أ) الترس، ب) الإيهاو، ج) الدرع، د) التارج")</f>
        <v>أ) الترس، ب) الإيهاو، ج) الدرع، د) التارج</v>
      </c>
      <c r="K23" s="9" t="str">
        <f>IFERROR(__xludf.DUMMYFUNCTION("GOOGLETRANSLATE(D23,""en"",""ar"")"),"ب) أن إهاوو")</f>
        <v>ب) أن إهاوو</v>
      </c>
      <c r="L23" s="9" t="str">
        <f>IFERROR(__xludf.DUMMYFUNCTION("GOOGLETRANSLATE(E23,""en"",""ar"")"),"هذا هو الدرع الصغير التقليدي المستخدم في قتال العصا نغوني، ويستخدم لصد الضربات.")</f>
        <v>هذا هو الدرع الصغير التقليدي المستخدم في قتال العصا نغوني، ويستخدم لصد الضربات.</v>
      </c>
      <c r="M23" s="9"/>
      <c r="N23" s="9"/>
      <c r="O23" s="9"/>
      <c r="P23" s="9"/>
      <c r="Q23" s="9"/>
      <c r="R23" s="9"/>
      <c r="S23" s="9"/>
      <c r="T23" s="9"/>
      <c r="U23" s="9"/>
      <c r="V23" s="9"/>
      <c r="W23" s="9"/>
      <c r="X23" s="9"/>
      <c r="Y23" s="9"/>
      <c r="Z23" s="9"/>
      <c r="AA23" s="9"/>
      <c r="AB23" s="9"/>
      <c r="AC23" s="9"/>
      <c r="AD23" s="9"/>
      <c r="AE23" s="9"/>
      <c r="AF23" s="9"/>
      <c r="AG23" s="9"/>
    </row>
    <row r="24">
      <c r="A24" s="20" t="s">
        <v>2736</v>
      </c>
      <c r="B24" s="20" t="s">
        <v>2745</v>
      </c>
      <c r="C24" s="20" t="s">
        <v>2746</v>
      </c>
      <c r="D24" s="20" t="s">
        <v>2747</v>
      </c>
      <c r="E24" s="20" t="s">
        <v>2748</v>
      </c>
      <c r="F24" s="9"/>
      <c r="G24" s="9"/>
      <c r="H24" s="25" t="s">
        <v>2736</v>
      </c>
      <c r="I24" s="9" t="str">
        <f>IFERROR(__xludf.DUMMYFUNCTION("GOOGLETRANSLATE(B24,""en"",""ar"")"),"بالإضافة إلى عصا القتال الطويلة (إندوكو)، ما هو العنصر الآخر الذي يحمله المقاتل الموجود على اليمين؟")</f>
        <v>بالإضافة إلى عصا القتال الطويلة (إندوكو)، ما هو العنصر الآخر الذي يحمله المقاتل الموجود على اليمين؟</v>
      </c>
      <c r="J24" s="9" t="str">
        <f>IFERROR(__xludf.DUMMYFUNCTION("GOOGLETRANSLATE(C24,""en"",""ar"")"),"أ) عصا صغيرة للصد (إسيخويلي)، ب) رمح، ج) سكين، د) حبل")</f>
        <v>أ) عصا صغيرة للصد (إسيخويلي)، ب) رمح، ج) سكين، د) حبل</v>
      </c>
      <c r="K24" s="9" t="str">
        <f>IFERROR(__xludf.DUMMYFUNCTION("GOOGLETRANSLATE(D24,""en"",""ar"")"),"أ) عصا أصغر للصد (إسيخويلي)")</f>
        <v>أ) عصا أصغر للصد (إسيخويلي)</v>
      </c>
      <c r="L24" s="9" t="str">
        <f>IFERROR(__xludf.DUMMYFUNCTION("GOOGLETRANSLATE(E24,""en"",""ar"")"),"يستخدم المقاتلون تقليديًا عصا أطول للهجوم وعصا أقصر وأكثر سمكًا للدفاع.")</f>
        <v>يستخدم المقاتلون تقليديًا عصا أطول للهجوم وعصا أقصر وأكثر سمكًا للدفاع.</v>
      </c>
      <c r="M24" s="9"/>
      <c r="N24" s="9"/>
      <c r="O24" s="9"/>
      <c r="P24" s="9"/>
      <c r="Q24" s="9"/>
      <c r="R24" s="9"/>
      <c r="S24" s="9"/>
      <c r="T24" s="9"/>
      <c r="U24" s="9"/>
      <c r="V24" s="9"/>
      <c r="W24" s="9"/>
      <c r="X24" s="9"/>
      <c r="Y24" s="9"/>
      <c r="Z24" s="9"/>
      <c r="AA24" s="9"/>
      <c r="AB24" s="9"/>
      <c r="AC24" s="9"/>
      <c r="AD24" s="9"/>
      <c r="AE24" s="9"/>
      <c r="AF24" s="9"/>
      <c r="AG24" s="9"/>
    </row>
    <row r="25">
      <c r="A25" s="20" t="s">
        <v>2736</v>
      </c>
      <c r="B25" s="20" t="s">
        <v>2749</v>
      </c>
      <c r="C25" s="20" t="s">
        <v>2750</v>
      </c>
      <c r="D25" s="20" t="s">
        <v>2751</v>
      </c>
      <c r="E25" s="20" t="s">
        <v>2752</v>
      </c>
      <c r="F25" s="9"/>
      <c r="G25" s="9"/>
      <c r="H25" s="26" t="s">
        <v>2736</v>
      </c>
      <c r="I25" s="9" t="str">
        <f>IFERROR(__xludf.DUMMYFUNCTION("GOOGLETRANSLATE(B25,""en"",""ar"")"),"تُظهر الخلفية منازل تقليدية ذات شكل مميز. هذه...")</f>
        <v>تُظهر الخلفية منازل تقليدية ذات شكل مميز. هذه...</v>
      </c>
      <c r="J25" s="9" t="str">
        <f>IFERROR(__xludf.DUMMYFUNCTION("GOOGLETRANSLATE(C25,""en"",""ar"")"),"أ) منازل من الطوب الحديث، ب) أكواخ ذات أسقف من القش في مزارع صغيرة أو مساكن ريفية، ج) خيام، د) كبائن خشبية")</f>
        <v>أ) منازل من الطوب الحديث، ب) أكواخ ذات أسقف من القش في مزارع صغيرة أو مساكن ريفية، ج) خيام، د) كبائن خشبية</v>
      </c>
      <c r="K25" s="9" t="str">
        <f>IFERROR(__xludf.DUMMYFUNCTION("GOOGLETRANSLATE(D25,""en"",""ar"")"),"ب) أكواخ ذات أسقف من القش في كرال أو مزرعة")</f>
        <v>ب) أكواخ ذات أسقف من القش في كرال أو مزرعة</v>
      </c>
      <c r="L25" s="9" t="str">
        <f>IFERROR(__xludf.DUMMYFUNCTION("GOOGLETRANSLATE(E25,""en"",""ar"")"),"تعتبر الأكواخ المصممة على شكل خلية النحل والسياج الخشبي من السمات المميزة لمزرعة الزولو التقليدية.")</f>
        <v>تعتبر الأكواخ المصممة على شكل خلية النحل والسياج الخشبي من السمات المميزة لمزرعة الزولو التقليدية.</v>
      </c>
      <c r="M25" s="9"/>
      <c r="N25" s="9"/>
      <c r="O25" s="9"/>
      <c r="P25" s="9"/>
      <c r="Q25" s="9"/>
      <c r="R25" s="9"/>
      <c r="S25" s="9"/>
      <c r="T25" s="9"/>
      <c r="U25" s="9"/>
      <c r="V25" s="9"/>
      <c r="W25" s="9"/>
      <c r="X25" s="9"/>
      <c r="Y25" s="9"/>
      <c r="Z25" s="9"/>
      <c r="AA25" s="9"/>
      <c r="AB25" s="9"/>
      <c r="AC25" s="9"/>
      <c r="AD25" s="9"/>
      <c r="AE25" s="9"/>
      <c r="AF25" s="9"/>
      <c r="AG25" s="9"/>
    </row>
    <row r="26">
      <c r="A26" s="20" t="s">
        <v>2736</v>
      </c>
      <c r="B26" s="20" t="s">
        <v>2753</v>
      </c>
      <c r="C26" s="20" t="s">
        <v>2754</v>
      </c>
      <c r="D26" s="20" t="s">
        <v>2755</v>
      </c>
      <c r="E26" s="20" t="s">
        <v>2756</v>
      </c>
      <c r="F26" s="9"/>
      <c r="G26" s="9"/>
      <c r="H26" s="25" t="s">
        <v>2736</v>
      </c>
      <c r="I26" s="9" t="str">
        <f>IFERROR(__xludf.DUMMYFUNCTION("GOOGLETRANSLATE(B26,""en"",""ar"")"),"كان هذا الشكل من القتال بالعصا تقليديًا وسيلة للشباب...")</f>
        <v>كان هذا الشكل من القتال بالعصا تقليديًا وسيلة للشباب...</v>
      </c>
      <c r="J26" s="9" t="str">
        <f>IFERROR(__xludf.DUMMYFUNCTION("GOOGLETRANSLATE(C26,""en"",""ar"")"),"أ) تسوية النزاعات القانونية، ب) إثبات رجولتهم وكسب الاحترام، ج) البحث عن الطعام، د) ترفيه الزوار الأجانب")</f>
        <v>أ) تسوية النزاعات القانونية، ب) إثبات رجولتهم وكسب الاحترام، ج) البحث عن الطعام، د) ترفيه الزوار الأجانب</v>
      </c>
      <c r="K26" s="9" t="str">
        <f>IFERROR(__xludf.DUMMYFUNCTION("GOOGLETRANSLATE(D26,""en"",""ar"")"),"ب) لإثبات رجولتهم وكسب الاحترام")</f>
        <v>ب) لإثبات رجولتهم وكسب الاحترام</v>
      </c>
      <c r="L26" s="9" t="str">
        <f>IFERROR(__xludf.DUMMYFUNCTION("GOOGLETRANSLATE(E26,""en"",""ar"")"),"كان القتال بالعصا بمثابة طقوس العبور، وطريقة لإظهار الشجاعة والمهارة والقوة، وهو أمر مهم لجذب العرائس وكسب المكانة الاجتماعية.")</f>
        <v>كان القتال بالعصا بمثابة طقوس العبور، وطريقة لإظهار الشجاعة والمهارة والقوة، وهو أمر مهم لجذب العرائس وكسب المكانة الاجتماعية.</v>
      </c>
      <c r="M26" s="9"/>
      <c r="N26" s="9"/>
      <c r="O26" s="9"/>
      <c r="P26" s="9"/>
      <c r="Q26" s="9"/>
      <c r="R26" s="9"/>
      <c r="S26" s="9"/>
      <c r="T26" s="9"/>
      <c r="U26" s="9"/>
      <c r="V26" s="9"/>
      <c r="W26" s="9"/>
      <c r="X26" s="9"/>
      <c r="Y26" s="9"/>
      <c r="Z26" s="9"/>
      <c r="AA26" s="9"/>
      <c r="AB26" s="9"/>
      <c r="AC26" s="9"/>
      <c r="AD26" s="9"/>
      <c r="AE26" s="9"/>
      <c r="AF26" s="9"/>
      <c r="AG26" s="9"/>
    </row>
    <row r="27">
      <c r="A27" s="20" t="s">
        <v>2736</v>
      </c>
      <c r="B27" s="20" t="s">
        <v>2757</v>
      </c>
      <c r="C27" s="20" t="s">
        <v>2758</v>
      </c>
      <c r="D27" s="20" t="s">
        <v>2759</v>
      </c>
      <c r="E27" s="20" t="s">
        <v>2760</v>
      </c>
      <c r="F27" s="9"/>
      <c r="G27" s="9"/>
      <c r="H27" s="26" t="s">
        <v>2736</v>
      </c>
      <c r="I27" s="9" t="str">
        <f>IFERROR(__xludf.DUMMYFUNCTION("GOOGLETRANSLATE(B27,""en"",""ar"")"),"موقف المقاتلين هو...")</f>
        <v>موقف المقاتلين هو...</v>
      </c>
      <c r="J27" s="9" t="str">
        <f>IFERROR(__xludf.DUMMYFUNCTION("GOOGLETRANSLATE(C27,""en"",""ar"")"),"أ) مستقيم ومتيبس، ب) منخفض، واسع، وديناميكي، ج) جالس على الأرض، د) مسترخٍ وغير رسمي")</f>
        <v>أ) مستقيم ومتيبس، ب) منخفض، واسع، وديناميكي، ج) جالس على الأرض، د) مسترخٍ وغير رسمي</v>
      </c>
      <c r="K27" s="9" t="str">
        <f>IFERROR(__xludf.DUMMYFUNCTION("GOOGLETRANSLATE(D27,""en"",""ar"")"),"ب) منخفضة، واسعة، وديناميكية")</f>
        <v>ب) منخفضة، واسعة، وديناميكية</v>
      </c>
      <c r="L27" s="9" t="str">
        <f>IFERROR(__xludf.DUMMYFUNCTION("GOOGLETRANSLATE(E27,""en"",""ar"")"),"يوفر مركز الثقل المنخفض لديهم الاستقرار ويسمح بالحركات المتفجرة.")</f>
        <v>يوفر مركز الثقل المنخفض لديهم الاستقرار ويسمح بالحركات المتفجرة.</v>
      </c>
      <c r="M27" s="9"/>
      <c r="N27" s="9"/>
      <c r="O27" s="9"/>
      <c r="P27" s="9"/>
      <c r="Q27" s="9"/>
      <c r="R27" s="9"/>
      <c r="S27" s="9"/>
      <c r="T27" s="9"/>
      <c r="U27" s="9"/>
      <c r="V27" s="9"/>
      <c r="W27" s="9"/>
      <c r="X27" s="9"/>
      <c r="Y27" s="9"/>
      <c r="Z27" s="9"/>
      <c r="AA27" s="9"/>
      <c r="AB27" s="9"/>
      <c r="AC27" s="9"/>
      <c r="AD27" s="9"/>
      <c r="AE27" s="9"/>
      <c r="AF27" s="9"/>
      <c r="AG27" s="9"/>
    </row>
    <row r="28">
      <c r="A28" s="20" t="s">
        <v>2736</v>
      </c>
      <c r="B28" s="20" t="s">
        <v>2761</v>
      </c>
      <c r="C28" s="20" t="s">
        <v>2762</v>
      </c>
      <c r="D28" s="20" t="s">
        <v>2763</v>
      </c>
      <c r="E28" s="20" t="s">
        <v>2764</v>
      </c>
      <c r="F28" s="9"/>
      <c r="G28" s="9"/>
      <c r="H28" s="25" t="s">
        <v>2736</v>
      </c>
      <c r="I28" s="9" t="str">
        <f>IFERROR(__xludf.DUMMYFUNCTION("GOOGLETRANSLATE(B28,""en"",""ar"")"),"يرتدي المقاتلون ملابس تقليدية مصنوعة من...")</f>
        <v>يرتدي المقاتلون ملابس تقليدية مصنوعة من...</v>
      </c>
      <c r="J28" s="9" t="str">
        <f>IFERROR(__xludf.DUMMYFUNCTION("GOOGLETRANSLATE(C28,""en"",""ar"")"),"أ) القماش المنسوج، ب) جلود الحيوانات والفراء، ج) الأقمشة الاصطناعية الحديثة، د) الدروع المعدنية")</f>
        <v>أ) القماش المنسوج، ب) جلود الحيوانات والفراء، ج) الأقمشة الاصطناعية الحديثة، د) الدروع المعدنية</v>
      </c>
      <c r="K28" s="9" t="str">
        <f>IFERROR(__xludf.DUMMYFUNCTION("GOOGLETRANSLATE(D28,""en"",""ar"")"),"ب) جلود الحيوانات والفراء")</f>
        <v>ب) جلود الحيوانات والفراء</v>
      </c>
      <c r="L28" s="9" t="str">
        <f>IFERROR(__xludf.DUMMYFUNCTION("GOOGLETRANSLATE(E28,""en"",""ar"")"),"وتصنع ملابسهم من جلود الحيوانات، مما يعكس السياق الثقافي.")</f>
        <v>وتصنع ملابسهم من جلود الحيوانات، مما يعكس السياق الثقافي.</v>
      </c>
      <c r="M28" s="9"/>
      <c r="N28" s="9"/>
      <c r="O28" s="9"/>
      <c r="P28" s="9"/>
      <c r="Q28" s="9"/>
      <c r="R28" s="9"/>
      <c r="S28" s="9"/>
      <c r="T28" s="9"/>
      <c r="U28" s="9"/>
      <c r="V28" s="9"/>
      <c r="W28" s="9"/>
      <c r="X28" s="9"/>
      <c r="Y28" s="9"/>
      <c r="Z28" s="9"/>
      <c r="AA28" s="9"/>
      <c r="AB28" s="9"/>
      <c r="AC28" s="9"/>
      <c r="AD28" s="9"/>
      <c r="AE28" s="9"/>
      <c r="AF28" s="9"/>
      <c r="AG28" s="9"/>
    </row>
    <row r="29">
      <c r="A29" s="20" t="s">
        <v>2736</v>
      </c>
      <c r="B29" s="20" t="s">
        <v>2765</v>
      </c>
      <c r="C29" s="20" t="s">
        <v>2766</v>
      </c>
      <c r="D29" s="20" t="s">
        <v>2767</v>
      </c>
      <c r="E29" s="20" t="s">
        <v>2768</v>
      </c>
      <c r="F29" s="9"/>
      <c r="G29" s="9"/>
      <c r="H29" s="26" t="s">
        <v>2736</v>
      </c>
      <c r="I29" s="9" t="str">
        <f>IFERROR(__xludf.DUMMYFUNCTION("GOOGLETRANSLATE(B29,""en"",""ar"")"),"يُوصف هذا النوع من القتال في كثير من الأحيان بأنه ...")</f>
        <v>يُوصف هذا النوع من القتال في كثير من الأحيان بأنه ...</v>
      </c>
      <c r="J29" s="9" t="str">
        <f>IFERROR(__xludf.DUMMYFUNCTION("GOOGLETRANSLATE(C29,""en"",""ar"")"),"أ) ""رقصة قتالية""، ب) طقوس بطيئة الوتيرة، ج) رياضة لا تتضمن احتكاكًا جسديًا، د) اختراع حديث")</f>
        <v>أ) "رقصة قتالية"، ب) طقوس بطيئة الوتيرة، ج) رياضة لا تتضمن احتكاكًا جسديًا، د) اختراع حديث</v>
      </c>
      <c r="K29" s="9" t="str">
        <f>IFERROR(__xludf.DUMMYFUNCTION("GOOGLETRANSLATE(D29,""en"",""ar"")"),"أ) ""رقصة قتالية""")</f>
        <v>أ) "رقصة قتالية"</v>
      </c>
      <c r="L29" s="9" t="str">
        <f>IFERROR(__xludf.DUMMYFUNCTION("GOOGLETRANSLATE(E29,""en"",""ar"")"),"كما هو الحال مع العديد من تقاليد القتال بالعصا، فهو إيقاعي للغاية ويتضمن حركات قدم معقدة، مما يجعله يشبه الرقص.")</f>
        <v>كما هو الحال مع العديد من تقاليد القتال بالعصا، فهو إيقاعي للغاية ويتضمن حركات قدم معقدة، مما يجعله يشبه الرقص.</v>
      </c>
      <c r="M29" s="9"/>
      <c r="N29" s="9"/>
      <c r="O29" s="9"/>
      <c r="P29" s="9"/>
      <c r="Q29" s="9"/>
      <c r="R29" s="9"/>
      <c r="S29" s="9"/>
      <c r="T29" s="9"/>
      <c r="U29" s="9"/>
      <c r="V29" s="9"/>
      <c r="W29" s="9"/>
      <c r="X29" s="9"/>
      <c r="Y29" s="9"/>
      <c r="Z29" s="9"/>
      <c r="AA29" s="9"/>
      <c r="AB29" s="9"/>
      <c r="AC29" s="9"/>
      <c r="AD29" s="9"/>
      <c r="AE29" s="9"/>
      <c r="AF29" s="9"/>
      <c r="AG29" s="9"/>
    </row>
    <row r="30">
      <c r="A30" s="20" t="s">
        <v>2736</v>
      </c>
      <c r="B30" s="20" t="s">
        <v>2769</v>
      </c>
      <c r="C30" s="20" t="s">
        <v>2770</v>
      </c>
      <c r="D30" s="20" t="s">
        <v>2771</v>
      </c>
      <c r="E30" s="20" t="s">
        <v>2772</v>
      </c>
      <c r="F30" s="9"/>
      <c r="G30" s="9"/>
      <c r="H30" s="25" t="s">
        <v>2736</v>
      </c>
      <c r="I30" s="9" t="str">
        <f>IFERROR(__xludf.DUMMYFUNCTION("GOOGLETRANSLATE(B30,""en"",""ar"")"),"المقاتلون يتنافسون...")</f>
        <v>المقاتلون يتنافسون...</v>
      </c>
      <c r="J30" s="9" t="str">
        <f>IFERROR(__xludf.DUMMYFUNCTION("GOOGLETRANSLATE(C30,""en"",""ar"")"),"أ) بأحذية ثقيلة، ب) حافي القدمين، ج) بأحذية رياضية حديثة، د) بصنادل")</f>
        <v>أ) بأحذية ثقيلة، ب) حافي القدمين، ج) بأحذية رياضية حديثة، د) بصنادل</v>
      </c>
      <c r="K30" s="9" t="str">
        <f>IFERROR(__xludf.DUMMYFUNCTION("GOOGLETRANSLATE(D30,""en"",""ar"")"),"ب) حافي القدمين")</f>
        <v>ب) حافي القدمين</v>
      </c>
      <c r="L30" s="9" t="str">
        <f>IFERROR(__xludf.DUMMYFUNCTION("GOOGLETRANSLATE(E30,""en"",""ar"")"),"إن التنافس حافي القدمين يسمح باتصال أفضل بالأرض وخفة الحركة.")</f>
        <v>إن التنافس حافي القدمين يسمح باتصال أفضل بالأرض وخفة الحركة.</v>
      </c>
      <c r="M30" s="9"/>
      <c r="N30" s="9"/>
      <c r="O30" s="9"/>
      <c r="P30" s="9"/>
      <c r="Q30" s="9"/>
      <c r="R30" s="9"/>
      <c r="S30" s="9"/>
      <c r="T30" s="9"/>
      <c r="U30" s="9"/>
      <c r="V30" s="9"/>
      <c r="W30" s="9"/>
      <c r="X30" s="9"/>
      <c r="Y30" s="9"/>
      <c r="Z30" s="9"/>
      <c r="AA30" s="9"/>
      <c r="AB30" s="9"/>
      <c r="AC30" s="9"/>
      <c r="AD30" s="9"/>
      <c r="AE30" s="9"/>
      <c r="AF30" s="9"/>
      <c r="AG30" s="9"/>
    </row>
    <row r="31">
      <c r="A31" s="20" t="s">
        <v>2736</v>
      </c>
      <c r="B31" s="20" t="s">
        <v>2773</v>
      </c>
      <c r="C31" s="20" t="s">
        <v>2774</v>
      </c>
      <c r="D31" s="20" t="s">
        <v>2775</v>
      </c>
      <c r="E31" s="20" t="s">
        <v>2776</v>
      </c>
      <c r="F31" s="9"/>
      <c r="G31" s="9"/>
      <c r="H31" s="26" t="s">
        <v>2736</v>
      </c>
      <c r="I31" s="9" t="str">
        <f>IFERROR(__xludf.DUMMYFUNCTION("GOOGLETRANSLATE(B31,""en"",""ar"")"),"هذه الصورة تلتقط...")</f>
        <v>هذه الصورة تلتقط...</v>
      </c>
      <c r="J31" s="9" t="str">
        <f>IFERROR(__xludf.DUMMYFUNCTION("GOOGLETRANSLATE(C31,""en"",""ar"")"),"أ) حدث رياضي حديث برعاية الدولة، ب) تقليد ثقافي خالد، ج) مشهد من فيلم، د) تدريب عسكري")</f>
        <v>أ) حدث رياضي حديث برعاية الدولة، ب) تقليد ثقافي خالد، ج) مشهد من فيلم، د) تدريب عسكري</v>
      </c>
      <c r="K31" s="9" t="str">
        <f>IFERROR(__xludf.DUMMYFUNCTION("GOOGLETRANSLATE(D31,""en"",""ar"")"),"ب) تقليد ثقافي خالد")</f>
        <v>ب) تقليد ثقافي خالد</v>
      </c>
      <c r="L31" s="9" t="str">
        <f>IFERROR(__xludf.DUMMYFUNCTION("GOOGLETRANSLATE(E31,""en"",""ar"")"),"تُظهر الصورة ممارسة ثقافية أصيلة في محيطها التقليدي.")</f>
        <v>تُظهر الصورة ممارسة ثقافية أصيلة في محيطها التقليدي.</v>
      </c>
      <c r="M31" s="9"/>
      <c r="N31" s="9"/>
      <c r="O31" s="9"/>
      <c r="P31" s="9"/>
      <c r="Q31" s="9"/>
      <c r="R31" s="9"/>
      <c r="S31" s="9"/>
      <c r="T31" s="9"/>
      <c r="U31" s="9"/>
      <c r="V31" s="9"/>
      <c r="W31" s="9"/>
      <c r="X31" s="9"/>
      <c r="Y31" s="9"/>
      <c r="Z31" s="9"/>
      <c r="AA31" s="9"/>
      <c r="AB31" s="9"/>
      <c r="AC31" s="9"/>
      <c r="AD31" s="9"/>
      <c r="AE31" s="9"/>
      <c r="AF31" s="9"/>
      <c r="AG31" s="9"/>
    </row>
    <row r="32">
      <c r="A32" s="20" t="s">
        <v>2777</v>
      </c>
      <c r="B32" s="20" t="s">
        <v>2778</v>
      </c>
      <c r="C32" s="20" t="s">
        <v>2779</v>
      </c>
      <c r="D32" s="20" t="s">
        <v>2780</v>
      </c>
      <c r="E32" s="20" t="s">
        <v>2781</v>
      </c>
      <c r="F32" s="9"/>
      <c r="G32" s="9"/>
      <c r="H32" s="25" t="s">
        <v>2777</v>
      </c>
      <c r="I32" s="9" t="str">
        <f>IFERROR(__xludf.DUMMYFUNCTION("GOOGLETRANSLATE(B32,""en"",""ar"")"),"هذه الصورة القوية بالأبيض والأسود لا تظهر القتال بالعصا، بل ما هي الفنون القتالية السودانية الأخرى؟")</f>
        <v>هذه الصورة القوية بالأبيض والأسود لا تظهر القتال بالعصا، بل ما هي الفنون القتالية السودانية الأخرى؟</v>
      </c>
      <c r="J32" s="9" t="str">
        <f>IFERROR(__xludf.DUMMYFUNCTION("GOOGLETRANSLATE(C32,""en"",""ar"")"),"أ) التحطيب، ب) المصارعة النوبية، ج) الكيك بوكسينغ، د) الرماية")</f>
        <v>أ) التحطيب، ب) المصارعة النوبية، ج) الكيك بوكسينغ، د) الرماية</v>
      </c>
      <c r="K32" s="9" t="str">
        <f>IFERROR(__xludf.DUMMYFUNCTION("GOOGLETRANSLATE(D32,""en"",""ar"")"),"ب) المصارعة النوبية")</f>
        <v>ب) المصارعة النوبية</v>
      </c>
      <c r="L32" s="9" t="str">
        <f>IFERROR(__xludf.DUMMYFUNCTION("GOOGLETRANSLATE(E32,""en"",""ar"")"),"هذه صورة تاريخية كلاسيكية لمصارعة النوبة، وهو فن المصارعة الذي يركز على رمي الخصم.")</f>
        <v>هذه صورة تاريخية كلاسيكية لمصارعة النوبة، وهو فن المصارعة الذي يركز على رمي الخصم.</v>
      </c>
      <c r="M32" s="9"/>
      <c r="N32" s="9"/>
      <c r="O32" s="9"/>
      <c r="P32" s="9"/>
      <c r="Q32" s="9"/>
      <c r="R32" s="9"/>
      <c r="S32" s="9"/>
      <c r="T32" s="9"/>
      <c r="U32" s="9"/>
      <c r="V32" s="9"/>
      <c r="W32" s="9"/>
      <c r="X32" s="9"/>
      <c r="Y32" s="9"/>
      <c r="Z32" s="9"/>
      <c r="AA32" s="9"/>
      <c r="AB32" s="9"/>
      <c r="AC32" s="9"/>
      <c r="AD32" s="9"/>
      <c r="AE32" s="9"/>
      <c r="AF32" s="9"/>
      <c r="AG32" s="9"/>
    </row>
    <row r="33">
      <c r="A33" s="20" t="s">
        <v>2777</v>
      </c>
      <c r="B33" s="20" t="s">
        <v>2782</v>
      </c>
      <c r="C33" s="20" t="s">
        <v>2783</v>
      </c>
      <c r="D33" s="20" t="s">
        <v>2784</v>
      </c>
      <c r="E33" s="20" t="s">
        <v>2785</v>
      </c>
      <c r="F33" s="9"/>
      <c r="G33" s="9"/>
      <c r="H33" s="26" t="s">
        <v>2777</v>
      </c>
      <c r="I33" s="9" t="str">
        <f>IFERROR(__xludf.DUMMYFUNCTION("GOOGLETRANSLATE(B33,""en"",""ar"")"),"ما هو الحدث الرئيسي الذي يحدث في وسط الصورة؟")</f>
        <v>ما هو الحدث الرئيسي الذي يحدث في وسط الصورة؟</v>
      </c>
      <c r="J33" s="9" t="str">
        <f>IFERROR(__xludf.DUMMYFUNCTION("GOOGLETRANSLATE(C33,""en"",""ar"")"),"أ) يضرب مقاتلان بعضهما البعض بالعصي، ب) ينفذ المصارع رمية بهلوانية قوية، ج) يصافح المتنافسان، د) يتم أداء رقصة طقسية")</f>
        <v>أ) يضرب مقاتلان بعضهما البعض بالعصي، ب) ينفذ المصارع رمية بهلوانية قوية، ج) يصافح المتنافسان، د) يتم أداء رقصة طقسية</v>
      </c>
      <c r="K33" s="9" t="str">
        <f>IFERROR(__xludf.DUMMYFUNCTION("GOOGLETRANSLATE(D33,""en"",""ar"")"),"ب) يقوم المصارع بتنفيذ رمية بهلوانية قوية")</f>
        <v>ب) يقوم المصارع بتنفيذ رمية بهلوانية قوية</v>
      </c>
      <c r="L33" s="9" t="str">
        <f>IFERROR(__xludf.DUMMYFUNCTION("GOOGLETRANSLATE(E33,""en"",""ar"")"),"قام أحد المصارعين برفع خصمه عن الأرض بشكل كامل وهو بصدد رميه رأسًا على عقب.")</f>
        <v>قام أحد المصارعين برفع خصمه عن الأرض بشكل كامل وهو بصدد رميه رأسًا على عقب.</v>
      </c>
      <c r="M33" s="9"/>
      <c r="N33" s="9"/>
      <c r="O33" s="9"/>
      <c r="P33" s="9"/>
      <c r="Q33" s="9"/>
      <c r="R33" s="9"/>
      <c r="S33" s="9"/>
      <c r="T33" s="9"/>
      <c r="U33" s="9"/>
      <c r="V33" s="9"/>
      <c r="W33" s="9"/>
      <c r="X33" s="9"/>
      <c r="Y33" s="9"/>
      <c r="Z33" s="9"/>
      <c r="AA33" s="9"/>
      <c r="AB33" s="9"/>
      <c r="AC33" s="9"/>
      <c r="AD33" s="9"/>
      <c r="AE33" s="9"/>
      <c r="AF33" s="9"/>
      <c r="AG33" s="9"/>
    </row>
    <row r="34">
      <c r="A34" s="20" t="s">
        <v>2777</v>
      </c>
      <c r="B34" s="20" t="s">
        <v>2786</v>
      </c>
      <c r="C34" s="20" t="s">
        <v>2787</v>
      </c>
      <c r="D34" s="20" t="s">
        <v>2788</v>
      </c>
      <c r="E34" s="20" t="s">
        <v>2789</v>
      </c>
      <c r="F34" s="9"/>
      <c r="G34" s="9"/>
      <c r="H34" s="25" t="s">
        <v>2777</v>
      </c>
      <c r="I34" s="9" t="str">
        <f>IFERROR(__xludf.DUMMYFUNCTION("GOOGLETRANSLATE(B34,""en"",""ar"")"),"يشير تنسيق اللونين الأبيض والأسود والملابس التقليدية إلى أن هذه الصورة...")</f>
        <v>يشير تنسيق اللونين الأبيض والأسود والملابس التقليدية إلى أن هذه الصورة...</v>
      </c>
      <c r="J34" s="9" t="str">
        <f>IFERROR(__xludf.DUMMYFUNCTION("GOOGLETRANSLATE(C34,""en"",""ar"")"),"أ) صورة حديثة بفلتر، ب) وثيقة تاريخية للرياضة، ج) صورة مُعدّة لمجلة، د) صورة ثابتة من فيلم حديث")</f>
        <v>أ) صورة حديثة بفلتر، ب) وثيقة تاريخية للرياضة، ج) صورة مُعدّة لمجلة، د) صورة ثابتة من فيلم حديث</v>
      </c>
      <c r="K34" s="9" t="str">
        <f>IFERROR(__xludf.DUMMYFUNCTION("GOOGLETRANSLATE(D34,""en"",""ar"")"),"ب) وثيقة تاريخية للرياضة")</f>
        <v>ب) وثيقة تاريخية للرياضة</v>
      </c>
      <c r="L34" s="9" t="str">
        <f>IFERROR(__xludf.DUMMYFUNCTION("GOOGLETRANSLATE(E34,""en"",""ar"")"),"هذه صورة شهيرة من منتصف القرن العشرين، تلتقط الطاقة الخام لمصارعة النوبة التقليدية.")</f>
        <v>هذه صورة شهيرة من منتصف القرن العشرين، تلتقط الطاقة الخام لمصارعة النوبة التقليدية.</v>
      </c>
      <c r="M34" s="9"/>
      <c r="N34" s="9"/>
      <c r="O34" s="9"/>
      <c r="P34" s="9"/>
      <c r="Q34" s="9"/>
      <c r="R34" s="9"/>
      <c r="S34" s="9"/>
      <c r="T34" s="9"/>
      <c r="U34" s="9"/>
      <c r="V34" s="9"/>
      <c r="W34" s="9"/>
      <c r="X34" s="9"/>
      <c r="Y34" s="9"/>
      <c r="Z34" s="9"/>
      <c r="AA34" s="9"/>
      <c r="AB34" s="9"/>
      <c r="AC34" s="9"/>
      <c r="AD34" s="9"/>
      <c r="AE34" s="9"/>
      <c r="AF34" s="9"/>
      <c r="AG34" s="9"/>
    </row>
    <row r="35">
      <c r="A35" s="20" t="s">
        <v>2777</v>
      </c>
      <c r="B35" s="20" t="s">
        <v>2790</v>
      </c>
      <c r="C35" s="20" t="s">
        <v>2791</v>
      </c>
      <c r="D35" s="20" t="s">
        <v>2792</v>
      </c>
      <c r="E35" s="20" t="s">
        <v>2793</v>
      </c>
      <c r="F35" s="9"/>
      <c r="G35" s="9"/>
      <c r="H35" s="26" t="s">
        <v>2777</v>
      </c>
      <c r="I35" s="9" t="str">
        <f>IFERROR(__xludf.DUMMYFUNCTION("GOOGLETRANSLATE(B35,""en"",""ar"")"),"الأشخاص المحيطون بالمصارعين هم...")</f>
        <v>الأشخاص المحيطون بالمصارعين هم...</v>
      </c>
      <c r="J35" s="9" t="str">
        <f>IFERROR(__xludf.DUMMYFUNCTION("GOOGLETRANSLATE(C35,""en"",""ar"")"),"أ) المصارعون الآخرون وأعضاء المجتمع، ب) الشرطة، يحاولون إيقاف القتال، ج) السياح، د) الفرق المتنافسة بالزي الحديث")</f>
        <v>أ) المصارعون الآخرون وأعضاء المجتمع، ب) الشرطة، يحاولون إيقاف القتال، ج) السياح، د) الفرق المتنافسة بالزي الحديث</v>
      </c>
      <c r="K35" s="9" t="str">
        <f>IFERROR(__xludf.DUMMYFUNCTION("GOOGLETRANSLATE(D35,""en"",""ar"")"),"أ) المصارعون الآخرون وأعضاء المجتمع")</f>
        <v>أ) المصارعون الآخرون وأعضاء المجتمع</v>
      </c>
      <c r="L35" s="9" t="str">
        <f>IFERROR(__xludf.DUMMYFUNCTION("GOOGLETRANSLATE(E35,""en"",""ar"")"),"وتعد المباراة حدثًا مجتمعيًا مكثفًا، حيث يشارك الجميع عن كثب في الحدث.")</f>
        <v>وتعد المباراة حدثًا مجتمعيًا مكثفًا، حيث يشارك الجميع عن كثب في الحدث.</v>
      </c>
      <c r="M35" s="9"/>
      <c r="N35" s="9"/>
      <c r="O35" s="9"/>
      <c r="P35" s="9"/>
      <c r="Q35" s="9"/>
      <c r="R35" s="9"/>
      <c r="S35" s="9"/>
      <c r="T35" s="9"/>
      <c r="U35" s="9"/>
      <c r="V35" s="9"/>
      <c r="W35" s="9"/>
      <c r="X35" s="9"/>
      <c r="Y35" s="9"/>
      <c r="Z35" s="9"/>
      <c r="AA35" s="9"/>
      <c r="AB35" s="9"/>
      <c r="AC35" s="9"/>
      <c r="AD35" s="9"/>
      <c r="AE35" s="9"/>
      <c r="AF35" s="9"/>
      <c r="AG35" s="9"/>
    </row>
    <row r="36">
      <c r="A36" s="20" t="s">
        <v>2777</v>
      </c>
      <c r="B36" s="20" t="s">
        <v>2794</v>
      </c>
      <c r="C36" s="20" t="s">
        <v>2795</v>
      </c>
      <c r="D36" s="20" t="s">
        <v>2796</v>
      </c>
      <c r="E36" s="20" t="s">
        <v>2797</v>
      </c>
      <c r="F36" s="9"/>
      <c r="G36" s="9"/>
      <c r="H36" s="25" t="s">
        <v>2777</v>
      </c>
      <c r="I36" s="9" t="str">
        <f>IFERROR(__xludf.DUMMYFUNCTION("GOOGLETRANSLATE(B36,""en"",""ar"")"),"ما هو هدف الرمية التي يتم تنفيذها؟")</f>
        <v>ما هو هدف الرمية التي يتم تنفيذها؟</v>
      </c>
      <c r="J36" s="9" t="str">
        <f>IFERROR(__xludf.DUMMYFUNCTION("GOOGLETRANSLATE(C36,""en"",""ar"")"),"أ) إنزال الخصم على قدميه، ب) جعل ظهر الخصم يلامس الأرض، ج) رمي الخصم خارج الدائرة، د) إبقاء الخصم في الهواء لأطول فترة ممكنة")</f>
        <v>أ) إنزال الخصم على قدميه، ب) جعل ظهر الخصم يلامس الأرض، ج) رمي الخصم خارج الدائرة، د) إبقاء الخصم في الهواء لأطول فترة ممكنة</v>
      </c>
      <c r="K36" s="9" t="str">
        <f>IFERROR(__xludf.DUMMYFUNCTION("GOOGLETRANSLATE(D36,""en"",""ar"")"),"ب) جعل ظهر الخصم يلمس الأرض")</f>
        <v>ب) جعل ظهر الخصم يلمس الأرض</v>
      </c>
      <c r="L36" s="9" t="str">
        <f>IFERROR(__xludf.DUMMYFUNCTION("GOOGLETRANSLATE(E36,""en"",""ar"")"),"يتم تحقيق الفوز في المصارعة النوبية عن طريق جعل أي جزء من ظهر الخصم يلمس الأرض.")</f>
        <v>يتم تحقيق الفوز في المصارعة النوبية عن طريق جعل أي جزء من ظهر الخصم يلمس الأرض.</v>
      </c>
      <c r="M36" s="9"/>
      <c r="N36" s="9"/>
      <c r="O36" s="9"/>
      <c r="P36" s="9"/>
      <c r="Q36" s="9"/>
      <c r="R36" s="9"/>
      <c r="S36" s="9"/>
      <c r="T36" s="9"/>
      <c r="U36" s="9"/>
      <c r="V36" s="9"/>
      <c r="W36" s="9"/>
      <c r="X36" s="9"/>
      <c r="Y36" s="9"/>
      <c r="Z36" s="9"/>
      <c r="AA36" s="9"/>
      <c r="AB36" s="9"/>
      <c r="AC36" s="9"/>
      <c r="AD36" s="9"/>
      <c r="AE36" s="9"/>
      <c r="AF36" s="9"/>
      <c r="AG36" s="9"/>
    </row>
    <row r="37">
      <c r="A37" s="20" t="s">
        <v>2777</v>
      </c>
      <c r="B37" s="20" t="s">
        <v>2798</v>
      </c>
      <c r="C37" s="20" t="s">
        <v>2799</v>
      </c>
      <c r="D37" s="20" t="s">
        <v>2800</v>
      </c>
      <c r="E37" s="20" t="s">
        <v>2801</v>
      </c>
      <c r="F37" s="9"/>
      <c r="G37" s="9"/>
      <c r="H37" s="26" t="s">
        <v>2777</v>
      </c>
      <c r="I37" s="9" t="str">
        <f>IFERROR(__xludf.DUMMYFUNCTION("GOOGLETRANSLATE(B37,""en"",""ar"")"),"المصارع الذي يتم طرحه يرتدي ...")</f>
        <v>المصارع الذي يتم طرحه يرتدي ...</v>
      </c>
      <c r="J37" s="9" t="str">
        <f>IFERROR(__xludf.DUMMYFUNCTION("GOOGLETRANSLATE(C37,""en"",""ar"")"),"أ) شورت رياضي حديث، ب) مئزر تقليدي منقوش ومزخرف، ج) بنطلون جلدي ثقيل، د) لا شيء")</f>
        <v>أ) شورت رياضي حديث، ب) مئزر تقليدي منقوش ومزخرف، ج) بنطلون جلدي ثقيل، د) لا شيء</v>
      </c>
      <c r="K37" s="9" t="str">
        <f>IFERROR(__xludf.DUMMYFUNCTION("GOOGLETRANSLATE(D37,""en"",""ar"")"),"ب) مئزر تقليدي منقوش وزخارف")</f>
        <v>ب) مئزر تقليدي منقوش وزخارف</v>
      </c>
      <c r="L37" s="9" t="str">
        <f>IFERROR(__xludf.DUMMYFUNCTION("GOOGLETRANSLATE(E37,""en"",""ar"")"),"ملابسه تقليدية، بما في ذلك ما يبدو أنه نباتات مطوية في حزامه.")</f>
        <v>ملابسه تقليدية، بما في ذلك ما يبدو أنه نباتات مطوية في حزامه.</v>
      </c>
      <c r="M37" s="9"/>
      <c r="N37" s="9"/>
      <c r="O37" s="9"/>
      <c r="P37" s="9"/>
      <c r="Q37" s="9"/>
      <c r="R37" s="9"/>
      <c r="S37" s="9"/>
      <c r="T37" s="9"/>
      <c r="U37" s="9"/>
      <c r="V37" s="9"/>
      <c r="W37" s="9"/>
      <c r="X37" s="9"/>
      <c r="Y37" s="9"/>
      <c r="Z37" s="9"/>
      <c r="AA37" s="9"/>
      <c r="AB37" s="9"/>
      <c r="AC37" s="9"/>
      <c r="AD37" s="9"/>
      <c r="AE37" s="9"/>
      <c r="AF37" s="9"/>
      <c r="AG37" s="9"/>
    </row>
    <row r="38">
      <c r="A38" s="20" t="s">
        <v>2777</v>
      </c>
      <c r="B38" s="20" t="s">
        <v>2802</v>
      </c>
      <c r="C38" s="20" t="s">
        <v>2803</v>
      </c>
      <c r="D38" s="20" t="s">
        <v>2804</v>
      </c>
      <c r="E38" s="20" t="s">
        <v>2805</v>
      </c>
      <c r="F38" s="9"/>
      <c r="G38" s="9"/>
      <c r="H38" s="25" t="s">
        <v>2777</v>
      </c>
      <c r="I38" s="9" t="str">
        <f>IFERROR(__xludf.DUMMYFUNCTION("GOOGLETRANSLATE(B38,""en"",""ar"")"),"تسلط هذه الصورة الضوء على ___________ مصارعة النوبة.")</f>
        <v>تسلط هذه الصورة الضوء على ___________ مصارعة النوبة.</v>
      </c>
      <c r="J38" s="9" t="str">
        <f>IFERROR(__xludf.DUMMYFUNCTION("GOOGLETRANSLATE(C38,""en"",""ar"")"),"أ) الطبيعة البطيئة والمنهجية، ب) الافتقار إلى الاتصال الجسدي، ج) القوة البدنية والديناميكية الشديدة، د) استخدام الأسلحة")</f>
        <v>أ) الطبيعة البطيئة والمنهجية، ب) الافتقار إلى الاتصال الجسدي، ج) القوة البدنية والديناميكية الشديدة، د) استخدام الأسلحة</v>
      </c>
      <c r="K38" s="9" t="str">
        <f>IFERROR(__xludf.DUMMYFUNCTION("GOOGLETRANSLATE(D38,""en"",""ar"")"),"ج) القوة البدنية والديناميكية الشديدة")</f>
        <v>ج) القوة البدنية والديناميكية الشديدة</v>
      </c>
      <c r="L38" s="9" t="str">
        <f>IFERROR(__xludf.DUMMYFUNCTION("GOOGLETRANSLATE(E38,""en"",""ar"")"),"تُظهر الرمية البهلوانية عالية السعة القوة والمهارة المذهلة التي يتمتع بها المتنافسون.")</f>
        <v>تُظهر الرمية البهلوانية عالية السعة القوة والمهارة المذهلة التي يتمتع بها المتنافسون.</v>
      </c>
      <c r="M38" s="9"/>
      <c r="N38" s="9"/>
      <c r="O38" s="9"/>
      <c r="P38" s="9"/>
      <c r="Q38" s="9"/>
      <c r="R38" s="9"/>
      <c r="S38" s="9"/>
      <c r="T38" s="9"/>
      <c r="U38" s="9"/>
      <c r="V38" s="9"/>
      <c r="W38" s="9"/>
      <c r="X38" s="9"/>
      <c r="Y38" s="9"/>
      <c r="Z38" s="9"/>
      <c r="AA38" s="9"/>
      <c r="AB38" s="9"/>
      <c r="AC38" s="9"/>
      <c r="AD38" s="9"/>
      <c r="AE38" s="9"/>
      <c r="AF38" s="9"/>
      <c r="AG38" s="9"/>
    </row>
    <row r="39">
      <c r="A39" s="20" t="s">
        <v>2777</v>
      </c>
      <c r="B39" s="20" t="s">
        <v>2806</v>
      </c>
      <c r="C39" s="20" t="s">
        <v>2807</v>
      </c>
      <c r="D39" s="20" t="s">
        <v>2808</v>
      </c>
      <c r="E39" s="20" t="s">
        <v>2809</v>
      </c>
      <c r="F39" s="9"/>
      <c r="G39" s="9"/>
      <c r="H39" s="26" t="s">
        <v>2777</v>
      </c>
      <c r="I39" s="9" t="str">
        <f>IFERROR(__xludf.DUMMYFUNCTION("GOOGLETRANSLATE(B39,""en"",""ar"")"),"من أي زاوية تم التقاط الصورة؟")</f>
        <v>من أي زاوية تم التقاط الصورة؟</v>
      </c>
      <c r="J39" s="9" t="str">
        <f>IFERROR(__xludf.DUMMYFUNCTION("GOOGLETRANSLATE(C39,""en"",""ar"")"),"أ) زاوية عالية، النظر إلى الأسفل، ب) زاوية منخفضة، النظر إلى الأعلى، ج) من مسافة بعيدة جدًا، د) من خلف الحشد")</f>
        <v>أ) زاوية عالية، النظر إلى الأسفل، ب) زاوية منخفضة، النظر إلى الأعلى، ج) من مسافة بعيدة جدًا، د) من خلف الحشد</v>
      </c>
      <c r="K39" s="9" t="str">
        <f>IFERROR(__xludf.DUMMYFUNCTION("GOOGLETRANSLATE(D39,""en"",""ar"")"),"ب) زاوية منخفضة، والنظر إلى الأعلى")</f>
        <v>ب) زاوية منخفضة، والنظر إلى الأعلى</v>
      </c>
      <c r="L39" s="9" t="str">
        <f>IFERROR(__xludf.DUMMYFUNCTION("GOOGLETRANSLATE(E39,""en"",""ar"")"),"المنظور المنخفض يجعل الفعل يبدو أكثر قوة وبطولية.")</f>
        <v>المنظور المنخفض يجعل الفعل يبدو أكثر قوة وبطولية.</v>
      </c>
      <c r="M39" s="9"/>
      <c r="N39" s="9"/>
      <c r="O39" s="9"/>
      <c r="P39" s="9"/>
      <c r="Q39" s="9"/>
      <c r="R39" s="9"/>
      <c r="S39" s="9"/>
      <c r="T39" s="9"/>
      <c r="U39" s="9"/>
      <c r="V39" s="9"/>
      <c r="W39" s="9"/>
      <c r="X39" s="9"/>
      <c r="Y39" s="9"/>
      <c r="Z39" s="9"/>
      <c r="AA39" s="9"/>
      <c r="AB39" s="9"/>
      <c r="AC39" s="9"/>
      <c r="AD39" s="9"/>
      <c r="AE39" s="9"/>
      <c r="AF39" s="9"/>
      <c r="AG39" s="9"/>
    </row>
    <row r="40">
      <c r="A40" s="20" t="s">
        <v>2777</v>
      </c>
      <c r="B40" s="20" t="s">
        <v>2810</v>
      </c>
      <c r="C40" s="20" t="s">
        <v>2811</v>
      </c>
      <c r="D40" s="20" t="s">
        <v>2812</v>
      </c>
      <c r="E40" s="20" t="s">
        <v>2813</v>
      </c>
      <c r="F40" s="9"/>
      <c r="G40" s="9"/>
      <c r="H40" s="25" t="s">
        <v>2777</v>
      </c>
      <c r="I40" s="9" t="str">
        <f>IFERROR(__xludf.DUMMYFUNCTION("GOOGLETRANSLATE(B40,""en"",""ar"")"),"إن عدم وجود حلقة رسمية أو حواجز يدل على أن هذا ...")</f>
        <v>إن عدم وجود حلقة رسمية أو حواجز يدل على أن هذا ...</v>
      </c>
      <c r="J40" s="9" t="str">
        <f>IFERROR(__xludf.DUMMYFUNCTION("GOOGLETRANSLATE(C40,""en"",""ar"")"),"أ) مباراة بطولة حديثة، ب) مباراة تقليدية على طراز القرية، ج) جلسة تدريب خاصة، د) قتال غير قانوني وغير مصرح به")</f>
        <v>أ) مباراة بطولة حديثة، ب) مباراة تقليدية على طراز القرية، ج) جلسة تدريب خاصة، د) قتال غير قانوني وغير مصرح به</v>
      </c>
      <c r="K40" s="9" t="str">
        <f>IFERROR(__xludf.DUMMYFUNCTION("GOOGLETRANSLATE(D40,""en"",""ar"")"),"ب) مباراة تقليدية على طراز القرية")</f>
        <v>ب) مباراة تقليدية على طراز القرية</v>
      </c>
      <c r="L40" s="9" t="str">
        <f>IFERROR(__xludf.DUMMYFUNCTION("GOOGLETRANSLATE(E40,""en"",""ar"")"),"ويشكل المجتمع بحد ذاته ساحة للمنافسة.")</f>
        <v>ويشكل المجتمع بحد ذاته ساحة للمنافسة.</v>
      </c>
      <c r="M40" s="9"/>
      <c r="N40" s="9"/>
      <c r="O40" s="9"/>
      <c r="P40" s="9"/>
      <c r="Q40" s="9"/>
      <c r="R40" s="9"/>
      <c r="S40" s="9"/>
      <c r="T40" s="9"/>
      <c r="U40" s="9"/>
      <c r="V40" s="9"/>
      <c r="W40" s="9"/>
      <c r="X40" s="9"/>
      <c r="Y40" s="9"/>
      <c r="Z40" s="9"/>
      <c r="AA40" s="9"/>
      <c r="AB40" s="9"/>
      <c r="AC40" s="9"/>
      <c r="AD40" s="9"/>
      <c r="AE40" s="9"/>
      <c r="AF40" s="9"/>
      <c r="AG40" s="9"/>
    </row>
    <row r="41">
      <c r="A41" s="20" t="s">
        <v>2777</v>
      </c>
      <c r="B41" s="20" t="s">
        <v>2814</v>
      </c>
      <c r="C41" s="20" t="s">
        <v>2815</v>
      </c>
      <c r="D41" s="20" t="s">
        <v>2816</v>
      </c>
      <c r="E41" s="20" t="s">
        <v>2817</v>
      </c>
      <c r="F41" s="9"/>
      <c r="G41" s="9"/>
      <c r="H41" s="26" t="s">
        <v>2777</v>
      </c>
      <c r="I41" s="9" t="str">
        <f>IFERROR(__xludf.DUMMYFUNCTION("GOOGLETRANSLATE(B41,""en"",""ar"")"),"إن التباين العالي للصورة بالأبيض والأسود يساعد على...")</f>
        <v>إن التباين العالي للصورة بالأبيض والأسود يساعد على...</v>
      </c>
      <c r="J41" s="9" t="str">
        <f>IFERROR(__xludf.DUMMYFUNCTION("GOOGLETRANSLATE(C41,""en"",""ar"")"),"أ) إخفاء تفاصيل الحدث، ب) التأكيد على عضلات المصارعين والطاقة الخام في تلك اللحظة، ج) جعل المشهد يبدو هادئًا وسلميًا، د) إظهار أن الحدث يحدث في الليل")</f>
        <v>أ) إخفاء تفاصيل الحدث، ب) التأكيد على عضلات المصارعين والطاقة الخام في تلك اللحظة، ج) جعل المشهد يبدو هادئًا وسلميًا، د) إظهار أن الحدث يحدث في الليل</v>
      </c>
      <c r="K41" s="9" t="str">
        <f>IFERROR(__xludf.DUMMYFUNCTION("GOOGLETRANSLATE(D41,""en"",""ar"")"),"ب) التأكيد على عضلات المصارعين والطاقة الخام في تلك اللحظة")</f>
        <v>ب) التأكيد على عضلات المصارعين والطاقة الخام في تلك اللحظة</v>
      </c>
      <c r="L41" s="9" t="str">
        <f>IFERROR(__xludf.DUMMYFUNCTION("GOOGLETRANSLATE(E41,""en"",""ar"")"),"يضيف التباين الصارخ بين الضوء والظل إلى الدراما وقوة الصورة.")</f>
        <v>يضيف التباين الصارخ بين الضوء والظل إلى الدراما وقوة الصورة.</v>
      </c>
      <c r="M41" s="9"/>
      <c r="N41" s="9"/>
      <c r="O41" s="9"/>
      <c r="P41" s="9"/>
      <c r="Q41" s="9"/>
      <c r="R41" s="9"/>
      <c r="S41" s="9"/>
      <c r="T41" s="9"/>
      <c r="U41" s="9"/>
      <c r="V41" s="9"/>
      <c r="W41" s="9"/>
      <c r="X41" s="9"/>
      <c r="Y41" s="9"/>
      <c r="Z41" s="9"/>
      <c r="AA41" s="9"/>
      <c r="AB41" s="9"/>
      <c r="AC41" s="9"/>
      <c r="AD41" s="9"/>
      <c r="AE41" s="9"/>
      <c r="AF41" s="9"/>
      <c r="AG41" s="9"/>
    </row>
    <row r="42">
      <c r="A42" s="20" t="s">
        <v>2818</v>
      </c>
      <c r="B42" s="20" t="s">
        <v>2819</v>
      </c>
      <c r="C42" s="20" t="s">
        <v>2820</v>
      </c>
      <c r="D42" s="20" t="s">
        <v>2821</v>
      </c>
      <c r="E42" s="20" t="s">
        <v>2822</v>
      </c>
      <c r="F42" s="9"/>
      <c r="G42" s="9"/>
      <c r="H42" s="25" t="s">
        <v>2818</v>
      </c>
      <c r="I42" s="9" t="str">
        <f>IFERROR(__xludf.DUMMYFUNCTION("GOOGLETRANSLATE(B42,""en"",""ar"")"),"هذا الشكل من القتال بالعصا تقليدي في ثقافات المحاربين في أي منطقة من أفريقيا؟")</f>
        <v>هذا الشكل من القتال بالعصا تقليدي في ثقافات المحاربين في أي منطقة من أفريقيا؟</v>
      </c>
      <c r="J42" s="9" t="str">
        <f>IFERROR(__xludf.DUMMYFUNCTION("GOOGLETRANSLATE(C42,""en"",""ar"")"),"أ) شمال أفريقيا، ب) غرب أفريقيا، ج) جنوب أفريقيا، د) شرق أفريقيا (على سبيل المثال، كينيا وتنزانيا)")</f>
        <v>أ) شمال أفريقيا، ب) غرب أفريقيا، ج) جنوب أفريقيا، د) شرق أفريقيا (على سبيل المثال، كينيا وتنزانيا)</v>
      </c>
      <c r="K42" s="9" t="str">
        <f>IFERROR(__xludf.DUMMYFUNCTION("GOOGLETRANSLATE(D42,""en"",""ar"")"),"د) شرق أفريقيا (على سبيل المثال، كينيا وتنزانيا)")</f>
        <v>د) شرق أفريقيا (على سبيل المثال، كينيا وتنزانيا)</v>
      </c>
      <c r="L42" s="9" t="str">
        <f>IFERROR(__xludf.DUMMYFUNCTION("GOOGLETRANSLATE(E42,""en"",""ar"")"),"يرتبط الزي، وخاصة القماش الأحمر المربّع (شوكا)، ارتباطًا وثيقًا بشعب الماساي والشعوب ذات الصلة في شرق إفريقيا.")</f>
        <v>يرتبط الزي، وخاصة القماش الأحمر المربّع (شوكا)، ارتباطًا وثيقًا بشعب الماساي والشعوب ذات الصلة في شرق إفريقيا.</v>
      </c>
      <c r="M42" s="9"/>
      <c r="N42" s="9"/>
      <c r="O42" s="9"/>
      <c r="P42" s="9"/>
      <c r="Q42" s="9"/>
      <c r="R42" s="9"/>
      <c r="S42" s="9"/>
      <c r="T42" s="9"/>
      <c r="U42" s="9"/>
      <c r="V42" s="9"/>
      <c r="W42" s="9"/>
      <c r="X42" s="9"/>
      <c r="Y42" s="9"/>
      <c r="Z42" s="9"/>
      <c r="AA42" s="9"/>
      <c r="AB42" s="9"/>
      <c r="AC42" s="9"/>
      <c r="AD42" s="9"/>
      <c r="AE42" s="9"/>
      <c r="AF42" s="9"/>
      <c r="AG42" s="9"/>
    </row>
    <row r="43">
      <c r="A43" s="20" t="s">
        <v>2818</v>
      </c>
      <c r="B43" s="20" t="s">
        <v>2823</v>
      </c>
      <c r="C43" s="20" t="s">
        <v>2824</v>
      </c>
      <c r="D43" s="20" t="s">
        <v>2825</v>
      </c>
      <c r="E43" s="20" t="s">
        <v>2826</v>
      </c>
      <c r="F43" s="9"/>
      <c r="G43" s="9"/>
      <c r="H43" s="26" t="s">
        <v>2818</v>
      </c>
      <c r="I43" s="9" t="str">
        <f>IFERROR(__xludf.DUMMYFUNCTION("GOOGLETRANSLATE(B43,""en"",""ar"")"),"ماذا يرتدي الرجل على اليسار؟")</f>
        <v>ماذا يرتدي الرجل على اليسار؟</v>
      </c>
      <c r="J43" s="9" t="str">
        <f>IFERROR(__xludf.DUMMYFUNCTION("GOOGLETRANSLATE(C43,""en"",""ar"")"),"أ) بدلة عمل، ب) قطعة قماش حمراء تقليدية منقوشّة تُعرف باسم الشوكا، ج) معطف شتوي ثقيل، د) زي المصارع")</f>
        <v>أ) بدلة عمل، ب) قطعة قماش حمراء تقليدية منقوشّة تُعرف باسم الشوكا، ج) معطف شتوي ثقيل، د) زي المصارع</v>
      </c>
      <c r="K43" s="9" t="str">
        <f>IFERROR(__xludf.DUMMYFUNCTION("GOOGLETRANSLATE(D43,""en"",""ar"")"),"ب) قماش تقليدي أحمر منقوش يعرف باسم الشوكا")</f>
        <v>ب) قماش تقليدي أحمر منقوش يعرف باسم الشوكا</v>
      </c>
      <c r="L43" s="9" t="str">
        <f>IFERROR(__xludf.DUMMYFUNCTION("GOOGLETRANSLATE(E43,""en"",""ar"")"),"هذا هو الزي الأيقوني لشعب الماساي.")</f>
        <v>هذا هو الزي الأيقوني لشعب الماساي.</v>
      </c>
      <c r="M43" s="9"/>
      <c r="N43" s="9"/>
      <c r="O43" s="9"/>
      <c r="P43" s="9"/>
      <c r="Q43" s="9"/>
      <c r="R43" s="9"/>
      <c r="S43" s="9"/>
      <c r="T43" s="9"/>
      <c r="U43" s="9"/>
      <c r="V43" s="9"/>
      <c r="W43" s="9"/>
      <c r="X43" s="9"/>
      <c r="Y43" s="9"/>
      <c r="Z43" s="9"/>
      <c r="AA43" s="9"/>
      <c r="AB43" s="9"/>
      <c r="AC43" s="9"/>
      <c r="AD43" s="9"/>
      <c r="AE43" s="9"/>
      <c r="AF43" s="9"/>
      <c r="AG43" s="9"/>
    </row>
    <row r="44">
      <c r="A44" s="20" t="s">
        <v>2818</v>
      </c>
      <c r="B44" s="20" t="s">
        <v>2827</v>
      </c>
      <c r="C44" s="20" t="s">
        <v>2828</v>
      </c>
      <c r="D44" s="20" t="s">
        <v>2829</v>
      </c>
      <c r="E44" s="20" t="s">
        <v>2830</v>
      </c>
      <c r="F44" s="9"/>
      <c r="G44" s="9"/>
      <c r="H44" s="25" t="s">
        <v>2818</v>
      </c>
      <c r="I44" s="9" t="str">
        <f>IFERROR(__xludf.DUMMYFUNCTION("GOOGLETRANSLATE(B44,""en"",""ar"")"),"ما هي الأسلحة التي يستخدمها المقاتلون؟")</f>
        <v>ما هي الأسلحة التي يستخدمها المقاتلون؟</v>
      </c>
      <c r="J44" s="9" t="str">
        <f>IFERROR(__xludf.DUMMYFUNCTION("GOOGLETRANSLATE(C44,""en"",""ar"")"),"أ) الرماح الطويلة، ب) السيوف، ج) العصي الخشبية الطويلة والرفيعة، د) الأقواس والسهام")</f>
        <v>أ) الرماح الطويلة، ب) السيوف، ج) العصي الخشبية الطويلة والرفيعة، د) الأقواس والسهام</v>
      </c>
      <c r="K44" s="9" t="str">
        <f>IFERROR(__xludf.DUMMYFUNCTION("GOOGLETRANSLATE(D44,""en"",""ar"")"),"ج) العصي أو العصي الخشبية الطويلة والرفيعة")</f>
        <v>ج) العصي أو العصي الخشبية الطويلة والرفيعة</v>
      </c>
      <c r="L44" s="9" t="str">
        <f>IFERROR(__xludf.DUMMYFUNCTION("GOOGLETRANSLATE(E44,""en"",""ar"")"),"إنهم منخرطون في مبارزة باستخدام العصي القتالية التقليدية.")</f>
        <v>إنهم منخرطون في مبارزة باستخدام العصي القتالية التقليدية.</v>
      </c>
      <c r="M44" s="9"/>
      <c r="N44" s="9"/>
      <c r="O44" s="9"/>
      <c r="P44" s="9"/>
      <c r="Q44" s="9"/>
      <c r="R44" s="9"/>
      <c r="S44" s="9"/>
      <c r="T44" s="9"/>
      <c r="U44" s="9"/>
      <c r="V44" s="9"/>
      <c r="W44" s="9"/>
      <c r="X44" s="9"/>
      <c r="Y44" s="9"/>
      <c r="Z44" s="9"/>
      <c r="AA44" s="9"/>
      <c r="AB44" s="9"/>
      <c r="AC44" s="9"/>
      <c r="AD44" s="9"/>
      <c r="AE44" s="9"/>
      <c r="AF44" s="9"/>
      <c r="AG44" s="9"/>
    </row>
    <row r="45">
      <c r="A45" s="20" t="s">
        <v>2818</v>
      </c>
      <c r="B45" s="20" t="s">
        <v>2831</v>
      </c>
      <c r="C45" s="20" t="s">
        <v>2832</v>
      </c>
      <c r="D45" s="20" t="s">
        <v>2833</v>
      </c>
      <c r="E45" s="20" t="s">
        <v>2834</v>
      </c>
      <c r="F45" s="9"/>
      <c r="G45" s="9"/>
      <c r="H45" s="26" t="s">
        <v>2818</v>
      </c>
      <c r="I45" s="9" t="str">
        <f>IFERROR(__xludf.DUMMYFUNCTION("GOOGLETRANSLATE(B45,""en"",""ar"")"),"ما هو إطار هذه المواجهة؟")</f>
        <v>ما هو إطار هذه المواجهة؟</v>
      </c>
      <c r="J45" s="9" t="str">
        <f>IFERROR(__xludf.DUMMYFUNCTION("GOOGLETRANSLATE(C45,""en"",""ar"")"),"أ) مدينة حديثة، ب) غابة كثيفة، ج) سافانا مفتوحة قاحلة مع أشجار السنط، د) شاطئ")</f>
        <v>أ) مدينة حديثة، ب) غابة كثيفة، ج) سافانا مفتوحة قاحلة مع أشجار السنط، د) شاطئ</v>
      </c>
      <c r="K45" s="9" t="str">
        <f>IFERROR(__xludf.DUMMYFUNCTION("GOOGLETRANSLATE(D45,""en"",""ar"")"),"ج) السافانا المفتوحة القاحلة مع أشجار الأكاسيا")</f>
        <v>ج) السافانا المفتوحة القاحلة مع أشجار الأكاسيا</v>
      </c>
      <c r="L45" s="9" t="str">
        <f>IFERROR(__xludf.DUMMYFUNCTION("GOOGLETRANSLATE(E45,""en"",""ar"")"),"تشكل الأرض الجافة وأشجار الأكاسيا ذات القمة المسطحة السمات المميزة للسافانا في شرق إفريقيا.")</f>
        <v>تشكل الأرض الجافة وأشجار الأكاسيا ذات القمة المسطحة السمات المميزة للسافانا في شرق إفريقيا.</v>
      </c>
      <c r="M45" s="9"/>
      <c r="N45" s="9"/>
      <c r="O45" s="9"/>
      <c r="P45" s="9"/>
      <c r="Q45" s="9"/>
      <c r="R45" s="9"/>
      <c r="S45" s="9"/>
      <c r="T45" s="9"/>
      <c r="U45" s="9"/>
      <c r="V45" s="9"/>
      <c r="W45" s="9"/>
      <c r="X45" s="9"/>
      <c r="Y45" s="9"/>
      <c r="Z45" s="9"/>
      <c r="AA45" s="9"/>
      <c r="AB45" s="9"/>
      <c r="AC45" s="9"/>
      <c r="AD45" s="9"/>
      <c r="AE45" s="9"/>
      <c r="AF45" s="9"/>
      <c r="AG45" s="9"/>
    </row>
    <row r="46">
      <c r="A46" s="20" t="s">
        <v>2818</v>
      </c>
      <c r="B46" s="20" t="s">
        <v>2835</v>
      </c>
      <c r="C46" s="20" t="s">
        <v>2836</v>
      </c>
      <c r="D46" s="20" t="s">
        <v>2837</v>
      </c>
      <c r="E46" s="20" t="s">
        <v>2838</v>
      </c>
      <c r="F46" s="9"/>
      <c r="G46" s="9"/>
      <c r="H46" s="25" t="s">
        <v>2818</v>
      </c>
      <c r="I46" s="9" t="str">
        <f>IFERROR(__xludf.DUMMYFUNCTION("GOOGLETRANSLATE(B46,""en"",""ar"")"),"كان هذا النوع من القتال بالعصا يستخدم تقليديا ل...")</f>
        <v>كان هذا النوع من القتال بالعصا يستخدم تقليديا ل...</v>
      </c>
      <c r="J46" s="9" t="str">
        <f>IFERROR(__xludf.DUMMYFUNCTION("GOOGLETRANSLATE(C46,""en"",""ar"")"),"أ) تسوية النزاعات وكطقس مرور للمحاربين الشباب، ب) رعي الماشية فقط، ج) شكل من أشكال الترفيه للسياح، د) احتفال ديني")</f>
        <v>أ) تسوية النزاعات وكطقس مرور للمحاربين الشباب، ب) رعي الماشية فقط، ج) شكل من أشكال الترفيه للسياح، د) احتفال ديني</v>
      </c>
      <c r="K46" s="9" t="str">
        <f>IFERROR(__xludf.DUMMYFUNCTION("GOOGLETRANSLATE(D46,""en"",""ar"")"),"أ) لتسوية النزاعات وكطقوس مرور للمحاربين الشباب")</f>
        <v>أ) لتسوية النزاعات وكطقوس مرور للمحاربين الشباب</v>
      </c>
      <c r="L46" s="9" t="str">
        <f>IFERROR(__xludf.DUMMYFUNCTION("GOOGLETRANSLATE(E46,""en"",""ar"")"),"بالنسبة لشعوب مثل الماساي، كانت المهارة في القتال بالعصا جزءًا أساسيًا من تدريب الشاب كمحارب (موران).")</f>
        <v>بالنسبة لشعوب مثل الماساي، كانت المهارة في القتال بالعصا جزءًا أساسيًا من تدريب الشاب كمحارب (موران).</v>
      </c>
      <c r="M46" s="9"/>
      <c r="N46" s="9"/>
      <c r="O46" s="9"/>
      <c r="P46" s="9"/>
      <c r="Q46" s="9"/>
      <c r="R46" s="9"/>
      <c r="S46" s="9"/>
      <c r="T46" s="9"/>
      <c r="U46" s="9"/>
      <c r="V46" s="9"/>
      <c r="W46" s="9"/>
      <c r="X46" s="9"/>
      <c r="Y46" s="9"/>
      <c r="Z46" s="9"/>
      <c r="AA46" s="9"/>
      <c r="AB46" s="9"/>
      <c r="AC46" s="9"/>
      <c r="AD46" s="9"/>
      <c r="AE46" s="9"/>
      <c r="AF46" s="9"/>
      <c r="AG46" s="9"/>
    </row>
    <row r="47">
      <c r="A47" s="20" t="s">
        <v>2818</v>
      </c>
      <c r="B47" s="20" t="s">
        <v>2839</v>
      </c>
      <c r="C47" s="20" t="s">
        <v>2840</v>
      </c>
      <c r="D47" s="20" t="s">
        <v>2841</v>
      </c>
      <c r="E47" s="20" t="s">
        <v>2842</v>
      </c>
      <c r="F47" s="9"/>
      <c r="G47" s="9"/>
      <c r="H47" s="26" t="s">
        <v>2818</v>
      </c>
      <c r="I47" s="9" t="str">
        <f>IFERROR(__xludf.DUMMYFUNCTION("GOOGLETRANSLATE(B47,""en"",""ar"")"),"ماذا يظهر الموقف الديناميكي للمقاتلين؟")</f>
        <v>ماذا يظهر الموقف الديناميكي للمقاتلين؟</v>
      </c>
      <c r="J47" s="9" t="str">
        <f>IFERROR(__xludf.DUMMYFUNCTION("GOOGLETRANSLATE(C47,""en"",""ar"")"),"أ) إنهم متعبون وعلى وشك الراحة، ب) إنهم منخرطون في قتال رياضي وسريع، ج) إنهم يؤدون رقصة بطيئة ورسمية، د) إنهم يقفون لالتقاط صورة فوتوغرافية")</f>
        <v>أ) إنهم متعبون وعلى وشك الراحة، ب) إنهم منخرطون في قتال رياضي وسريع، ج) إنهم يؤدون رقصة بطيئة ورسمية، د) إنهم يقفون لالتقاط صورة فوتوغرافية</v>
      </c>
      <c r="K47" s="9" t="str">
        <f>IFERROR(__xludf.DUMMYFUNCTION("GOOGLETRANSLATE(D47,""en"",""ar"")"),"ب) إنهم منخرطون في قتال رياضي وسريع.")</f>
        <v>ب) إنهم منخرطون في قتال رياضي وسريع.</v>
      </c>
      <c r="L47" s="9" t="str">
        <f>IFERROR(__xludf.DUMMYFUNCTION("GOOGLETRANSLATE(E47,""en"",""ar"")"),"أجسادهم في حركة كاملة، مما يدل على تبادل ديناميكي للضربات والصد.")</f>
        <v>أجسادهم في حركة كاملة، مما يدل على تبادل ديناميكي للضربات والصد.</v>
      </c>
      <c r="M47" s="9"/>
      <c r="N47" s="9"/>
      <c r="O47" s="9"/>
      <c r="P47" s="9"/>
      <c r="Q47" s="9"/>
      <c r="R47" s="9"/>
      <c r="S47" s="9"/>
      <c r="T47" s="9"/>
      <c r="U47" s="9"/>
      <c r="V47" s="9"/>
      <c r="W47" s="9"/>
      <c r="X47" s="9"/>
      <c r="Y47" s="9"/>
      <c r="Z47" s="9"/>
      <c r="AA47" s="9"/>
      <c r="AB47" s="9"/>
      <c r="AC47" s="9"/>
      <c r="AD47" s="9"/>
      <c r="AE47" s="9"/>
      <c r="AF47" s="9"/>
      <c r="AG47" s="9"/>
    </row>
    <row r="48">
      <c r="A48" s="20" t="s">
        <v>2818</v>
      </c>
      <c r="B48" s="20" t="s">
        <v>2843</v>
      </c>
      <c r="C48" s="20" t="s">
        <v>2844</v>
      </c>
      <c r="D48" s="20" t="s">
        <v>2845</v>
      </c>
      <c r="E48" s="20" t="s">
        <v>2846</v>
      </c>
      <c r="F48" s="9"/>
      <c r="G48" s="9"/>
      <c r="H48" s="25" t="s">
        <v>2818</v>
      </c>
      <c r="I48" s="9" t="str">
        <f>IFERROR(__xludf.DUMMYFUNCTION("GOOGLETRANSLATE(B48,""en"",""ar"")"),"المقاتل على اليسار في عملية...")</f>
        <v>المقاتل على اليسار في عملية...</v>
      </c>
      <c r="J48" s="9" t="str">
        <f>IFERROR(__xludf.DUMMYFUNCTION("GOOGLETRANSLATE(C48,""en"",""ar"")"),"أ) التهرب من الضربة أو الانحناء بعيدًا عنها، ب) توجيه ضربة عالية، ج) الوقوف ساكنًا، د) السقوط")</f>
        <v>أ) التهرب من الضربة أو الانحناء بعيدًا عنها، ب) توجيه ضربة عالية، ج) الوقوف ساكنًا، د) السقوط</v>
      </c>
      <c r="K48" s="9" t="str">
        <f>IFERROR(__xludf.DUMMYFUNCTION("GOOGLETRANSLATE(D48,""en"",""ar"")"),"أ) التهرب من الضربة أو الابتعاد عنها")</f>
        <v>أ) التهرب من الضربة أو الابتعاد عنها</v>
      </c>
      <c r="L48" s="9" t="str">
        <f>IFERROR(__xludf.DUMMYFUNCTION("GOOGLETRANSLATE(E48,""en"",""ar"")"),"وهو يميل إلى الخلف بينما يستخدم في نفس الوقت عصاه لصد أي هجوم قادم.")</f>
        <v>وهو يميل إلى الخلف بينما يستخدم في نفس الوقت عصاه لصد أي هجوم قادم.</v>
      </c>
      <c r="M48" s="9"/>
      <c r="N48" s="9"/>
      <c r="O48" s="9"/>
      <c r="P48" s="9"/>
      <c r="Q48" s="9"/>
      <c r="R48" s="9"/>
      <c r="S48" s="9"/>
      <c r="T48" s="9"/>
      <c r="U48" s="9"/>
      <c r="V48" s="9"/>
      <c r="W48" s="9"/>
      <c r="X48" s="9"/>
      <c r="Y48" s="9"/>
      <c r="Z48" s="9"/>
      <c r="AA48" s="9"/>
      <c r="AB48" s="9"/>
      <c r="AC48" s="9"/>
      <c r="AD48" s="9"/>
      <c r="AE48" s="9"/>
      <c r="AF48" s="9"/>
      <c r="AG48" s="9"/>
    </row>
    <row r="49">
      <c r="A49" s="20" t="s">
        <v>2818</v>
      </c>
      <c r="B49" s="20" t="s">
        <v>2847</v>
      </c>
      <c r="C49" s="20" t="s">
        <v>2848</v>
      </c>
      <c r="D49" s="20" t="s">
        <v>2849</v>
      </c>
      <c r="E49" s="20" t="s">
        <v>2850</v>
      </c>
      <c r="F49" s="9"/>
      <c r="G49" s="9"/>
      <c r="H49" s="26" t="s">
        <v>2818</v>
      </c>
      <c r="I49" s="9" t="str">
        <f>IFERROR(__xludf.DUMMYFUNCTION("GOOGLETRANSLATE(B49,""en"",""ar"")"),"تلتقط هذه الصورة أحد الفنون القتالية التي ترتبط ارتباطًا وثيقًا بـ...")</f>
        <v>تلتقط هذه الصورة أحد الفنون القتالية التي ترتبط ارتباطًا وثيقًا بـ...</v>
      </c>
      <c r="J49" s="9" t="str">
        <f>IFERROR(__xludf.DUMMYFUNCTION("GOOGLETRANSLATE(C49,""en"",""ar"")"),"أ) أسلوب حياة حضري حديث، ب) ثقافة بحرية، ج) ثقافة رعوية محاربة، د) اقتصاد صناعي قائم على المصانع")</f>
        <v>أ) أسلوب حياة حضري حديث، ب) ثقافة بحرية، ج) ثقافة رعوية محاربة، د) اقتصاد صناعي قائم على المصانع</v>
      </c>
      <c r="K49" s="9" t="str">
        <f>IFERROR(__xludf.DUMMYFUNCTION("GOOGLETRANSLATE(D49,""en"",""ar"")"),"ج) ثقافة الرعي والمحارب")</f>
        <v>ج) ثقافة الرعي والمحارب</v>
      </c>
      <c r="L49" s="9" t="str">
        <f>IFERROR(__xludf.DUMMYFUNCTION("GOOGLETRANSLATE(E49,""en"",""ar"")"),"يعتبر الماساي والمجموعات ذات الصلة تقليديًا من رعاة الماشية شبه الرحل، وكانت طبقة المحاربين مسؤولة عن حماية القطعان والمجتمع.")</f>
        <v>يعتبر الماساي والمجموعات ذات الصلة تقليديًا من رعاة الماشية شبه الرحل، وكانت طبقة المحاربين مسؤولة عن حماية القطعان والمجتمع.</v>
      </c>
      <c r="M49" s="9"/>
      <c r="N49" s="9"/>
      <c r="O49" s="9"/>
      <c r="P49" s="9"/>
      <c r="Q49" s="9"/>
      <c r="R49" s="9"/>
      <c r="S49" s="9"/>
      <c r="T49" s="9"/>
      <c r="U49" s="9"/>
      <c r="V49" s="9"/>
      <c r="W49" s="9"/>
      <c r="X49" s="9"/>
      <c r="Y49" s="9"/>
      <c r="Z49" s="9"/>
      <c r="AA49" s="9"/>
      <c r="AB49" s="9"/>
      <c r="AC49" s="9"/>
      <c r="AD49" s="9"/>
      <c r="AE49" s="9"/>
      <c r="AF49" s="9"/>
      <c r="AG49" s="9"/>
    </row>
    <row r="50">
      <c r="A50" s="20" t="s">
        <v>2818</v>
      </c>
      <c r="B50" s="20" t="s">
        <v>2851</v>
      </c>
      <c r="C50" s="20" t="s">
        <v>2852</v>
      </c>
      <c r="D50" s="20" t="s">
        <v>2853</v>
      </c>
      <c r="E50" s="20" t="s">
        <v>2854</v>
      </c>
      <c r="F50" s="9"/>
      <c r="G50" s="9"/>
      <c r="H50" s="25" t="s">
        <v>2818</v>
      </c>
      <c r="I50" s="9" t="str">
        <f>IFERROR(__xludf.DUMMYFUNCTION("GOOGLETRANSLATE(B50,""en"",""ar"")"),"المقاتل على اليمين هو...")</f>
        <v>المقاتل على اليمين هو...</v>
      </c>
      <c r="J50" s="9" t="str">
        <f>IFERROR(__xludf.DUMMYFUNCTION("GOOGLETRANSLATE(C50,""en"",""ar"")"),"أ) الاستسلام، ب) في وضع هجومي قوي، وتوجيه ضربة من الأعلى، ج) النظر بعيدًا عن القتال، د) استخدام درع")</f>
        <v>أ) الاستسلام، ب) في وضع هجومي قوي، وتوجيه ضربة من الأعلى، ج) النظر بعيدًا عن القتال، د) استخدام درع</v>
      </c>
      <c r="K50" s="9" t="str">
        <f>IFERROR(__xludf.DUMMYFUNCTION("GOOGLETRANSLATE(D50,""en"",""ar"")"),"ب) في وضع هجومي قوي، توجيه ضربة من الأعلى")</f>
        <v>ب) في وضع هجومي قوي، توجيه ضربة من الأعلى</v>
      </c>
      <c r="L50" s="9" t="str">
        <f>IFERROR(__xludf.DUMMYFUNCTION("GOOGLETRANSLATE(E50,""en"",""ar"")"),"لقد رفع عصاه عالياً، وأسقطها في الهجوم.")</f>
        <v>لقد رفع عصاه عالياً، وأسقطها في الهجوم.</v>
      </c>
      <c r="M50" s="9"/>
      <c r="N50" s="9"/>
      <c r="O50" s="9"/>
      <c r="P50" s="9"/>
      <c r="Q50" s="9"/>
      <c r="R50" s="9"/>
      <c r="S50" s="9"/>
      <c r="T50" s="9"/>
      <c r="U50" s="9"/>
      <c r="V50" s="9"/>
      <c r="W50" s="9"/>
      <c r="X50" s="9"/>
      <c r="Y50" s="9"/>
      <c r="Z50" s="9"/>
      <c r="AA50" s="9"/>
      <c r="AB50" s="9"/>
      <c r="AC50" s="9"/>
      <c r="AD50" s="9"/>
      <c r="AE50" s="9"/>
      <c r="AF50" s="9"/>
      <c r="AG50" s="9"/>
    </row>
    <row r="51">
      <c r="A51" s="20" t="s">
        <v>2818</v>
      </c>
      <c r="B51" s="20" t="s">
        <v>2855</v>
      </c>
      <c r="C51" s="20" t="s">
        <v>2856</v>
      </c>
      <c r="D51" s="20" t="s">
        <v>2857</v>
      </c>
      <c r="E51" s="20" t="s">
        <v>2858</v>
      </c>
      <c r="F51" s="9"/>
      <c r="G51" s="9"/>
      <c r="H51" s="26" t="s">
        <v>2818</v>
      </c>
      <c r="I51" s="9" t="str">
        <f>IFERROR(__xludf.DUMMYFUNCTION("GOOGLETRANSLATE(B51,""en"",""ar"")"),"إن الغبار الذي تثيره أقدامهم يدل على ...")</f>
        <v>إن الغبار الذي تثيره أقدامهم يدل على ...</v>
      </c>
      <c r="J51" s="9" t="str">
        <f>IFERROR(__xludf.DUMMYFUNCTION("GOOGLETRANSLATE(C51,""en"",""ar"")"),"أ) الأرض مبللة، ب) شدة وسرعة حركتهم، ج) الجو عاصف للغاية، د) القتال ليس حقيقيًا")</f>
        <v>أ) الأرض مبللة، ب) شدة وسرعة حركتهم، ج) الجو عاصف للغاية، د) القتال ليس حقيقيًا</v>
      </c>
      <c r="K51" s="9" t="str">
        <f>IFERROR(__xludf.DUMMYFUNCTION("GOOGLETRANSLATE(D51,""en"",""ar"")"),"ب) شدة وسرعة حركتهم")</f>
        <v>ب) شدة وسرعة حركتهم</v>
      </c>
      <c r="L51" s="9" t="str">
        <f>IFERROR(__xludf.DUMMYFUNCTION("GOOGLETRANSLATE(E51,""en"",""ar"")"),"خطواتهم السريعة على الأرض الجافة تثير وراءها سلسلة من الغبار.")</f>
        <v>خطواتهم السريعة على الأرض الجافة تثير وراءها سلسلة من الغبار.</v>
      </c>
      <c r="M51" s="9"/>
      <c r="N51" s="9"/>
      <c r="O51" s="9"/>
      <c r="P51" s="9"/>
      <c r="Q51" s="9"/>
      <c r="R51" s="9"/>
      <c r="S51" s="9"/>
      <c r="T51" s="9"/>
      <c r="U51" s="9"/>
      <c r="V51" s="9"/>
      <c r="W51" s="9"/>
      <c r="X51" s="9"/>
      <c r="Y51" s="9"/>
      <c r="Z51" s="9"/>
      <c r="AA51" s="9"/>
      <c r="AB51" s="9"/>
      <c r="AC51" s="9"/>
      <c r="AD51" s="9"/>
      <c r="AE51" s="9"/>
      <c r="AF51" s="9"/>
      <c r="AG51" s="9"/>
    </row>
    <row r="52">
      <c r="A52" s="20" t="s">
        <v>2859</v>
      </c>
      <c r="B52" s="20" t="s">
        <v>2860</v>
      </c>
      <c r="C52" s="20" t="s">
        <v>2861</v>
      </c>
      <c r="D52" s="20" t="s">
        <v>2862</v>
      </c>
      <c r="E52" s="20" t="s">
        <v>2863</v>
      </c>
      <c r="F52" s="9"/>
      <c r="G52" s="9"/>
      <c r="H52" s="25" t="s">
        <v>2859</v>
      </c>
      <c r="I52" s="9" t="str">
        <f>IFERROR(__xludf.DUMMYFUNCTION("GOOGLETRANSLATE(B52,""en"",""ar"")"),"تُظهر هذه الصورة التاريخية مشهدًا فوضويًا. ما هو الفن القتالي الذي يُمارس؟")</f>
        <v>تُظهر هذه الصورة التاريخية مشهدًا فوضويًا. ما هو الفن القتالي الذي يُمارس؟</v>
      </c>
      <c r="J52" s="9" t="str">
        <f>IFERROR(__xludf.DUMMYFUNCTION("GOOGLETRANSLATE(C52,""en"",""ar"")"),"أ) القتال بالعصا، ب) المصارعة النوبية، ج) الرماية، د) شكل من أشكال الملاكمة")</f>
        <v>أ) القتال بالعصا، ب) المصارعة النوبية، ج) الرماية، د) شكل من أشكال الملاكمة</v>
      </c>
      <c r="K52" s="9" t="str">
        <f>IFERROR(__xludf.DUMMYFUNCTION("GOOGLETRANSLATE(D52,""en"",""ar"")"),"ب) المصارعة النوبية")</f>
        <v>ب) المصارعة النوبية</v>
      </c>
      <c r="L52" s="9" t="str">
        <f>IFERROR(__xludf.DUMMYFUNCTION("GOOGLETRANSLATE(E52,""en"",""ar"")"),"هذه صورة تاريخية أخرى لمصارعة النوبة. الشخصيات الرئيسية تتصارع، لا تستخدم العصي، ويحيط بها مسؤولون أو شيوخ.")</f>
        <v>هذه صورة تاريخية أخرى لمصارعة النوبة. الشخصيات الرئيسية تتصارع، لا تستخدم العصي، ويحيط بها مسؤولون أو شيوخ.</v>
      </c>
      <c r="M52" s="9"/>
      <c r="N52" s="9"/>
      <c r="O52" s="9"/>
      <c r="P52" s="9"/>
      <c r="Q52" s="9"/>
      <c r="R52" s="9"/>
      <c r="S52" s="9"/>
      <c r="T52" s="9"/>
      <c r="U52" s="9"/>
      <c r="V52" s="9"/>
      <c r="W52" s="9"/>
      <c r="X52" s="9"/>
      <c r="Y52" s="9"/>
      <c r="Z52" s="9"/>
      <c r="AA52" s="9"/>
      <c r="AB52" s="9"/>
      <c r="AC52" s="9"/>
      <c r="AD52" s="9"/>
      <c r="AE52" s="9"/>
      <c r="AF52" s="9"/>
      <c r="AG52" s="9"/>
    </row>
    <row r="53">
      <c r="A53" s="20" t="s">
        <v>2859</v>
      </c>
      <c r="B53" s="20" t="s">
        <v>2864</v>
      </c>
      <c r="C53" s="20" t="s">
        <v>2865</v>
      </c>
      <c r="D53" s="20" t="s">
        <v>2866</v>
      </c>
      <c r="E53" s="20" t="s">
        <v>2867</v>
      </c>
      <c r="F53" s="9"/>
      <c r="G53" s="9"/>
      <c r="H53" s="26" t="s">
        <v>2859</v>
      </c>
      <c r="I53" s="9" t="str">
        <f>IFERROR(__xludf.DUMMYFUNCTION("GOOGLETRANSLATE(B53,""en"",""ar"")"),"ما هو العمل المركزي للشخصيتين الرئيسيتين؟")</f>
        <v>ما هو العمل المركزي للشخصيتين الرئيسيتين؟</v>
      </c>
      <c r="J53" s="9" t="str">
        <f>IFERROR(__xludf.DUMMYFUNCTION("GOOGLETRANSLATE(C53,""en"",""ar"")"),"أ) إنهم يضربون بعضهم البعض بالرماح، ب) إنهم متشابكون، ج) إنهم يؤدون رقصة بالعصي، د) إنهم يتصافحون")</f>
        <v>أ) إنهم يضربون بعضهم البعض بالرماح، ب) إنهم متشابكون، ج) إنهم يؤدون رقصة بالعصي، د) إنهم يتصافحون</v>
      </c>
      <c r="K53" s="9" t="str">
        <f>IFERROR(__xludf.DUMMYFUNCTION("GOOGLETRANSLATE(D53,""en"",""ar"")"),"ب) يتم حبسهم في صراع")</f>
        <v>ب) يتم حبسهم في صراع</v>
      </c>
      <c r="L53" s="9" t="str">
        <f>IFERROR(__xludf.DUMMYFUNCTION("GOOGLETRANSLATE(E53,""en"",""ar"")"),"المصارعان في الوسط منخرطان في حركة مصارعة قريبة.")</f>
        <v>المصارعان في الوسط منخرطان في حركة مصارعة قريبة.</v>
      </c>
      <c r="M53" s="9"/>
      <c r="N53" s="9"/>
      <c r="O53" s="9"/>
      <c r="P53" s="9"/>
      <c r="Q53" s="9"/>
      <c r="R53" s="9"/>
      <c r="S53" s="9"/>
      <c r="T53" s="9"/>
      <c r="U53" s="9"/>
      <c r="V53" s="9"/>
      <c r="W53" s="9"/>
      <c r="X53" s="9"/>
      <c r="Y53" s="9"/>
      <c r="Z53" s="9"/>
      <c r="AA53" s="9"/>
      <c r="AB53" s="9"/>
      <c r="AC53" s="9"/>
      <c r="AD53" s="9"/>
      <c r="AE53" s="9"/>
      <c r="AF53" s="9"/>
      <c r="AG53" s="9"/>
    </row>
    <row r="54">
      <c r="A54" s="20" t="s">
        <v>2859</v>
      </c>
      <c r="B54" s="20" t="s">
        <v>2868</v>
      </c>
      <c r="C54" s="20" t="s">
        <v>2869</v>
      </c>
      <c r="D54" s="20" t="s">
        <v>2870</v>
      </c>
      <c r="E54" s="20" t="s">
        <v>2871</v>
      </c>
      <c r="F54" s="9"/>
      <c r="G54" s="9"/>
      <c r="H54" s="25" t="s">
        <v>2859</v>
      </c>
      <c r="I54" s="9" t="str">
        <f>IFERROR(__xludf.DUMMYFUNCTION("GOOGLETRANSLATE(B54,""en"",""ar"")"),"ما هي الميزة الأبرز في لباس المصارعين؟")</f>
        <v>ما هي الميزة الأبرز في لباس المصارعين؟</v>
      </c>
      <c r="J54" s="9" t="str">
        <f>IFERROR(__xludf.DUMMYFUNCTION("GOOGLETRANSLATE(C54,""en"",""ar"")"),"أ) يرتدون ملابس رياضية حديثة، ب) يرتدون زخارف احتفالية وشعائرية عالية، ج) يرتدون دروعًا ثقيلة، د) يرتدون مآزر بسيطة")</f>
        <v>أ) يرتدون ملابس رياضية حديثة، ب) يرتدون زخارف احتفالية وشعائرية عالية، ج) يرتدون دروعًا ثقيلة، د) يرتدون مآزر بسيطة</v>
      </c>
      <c r="K54" s="9" t="str">
        <f>IFERROR(__xludf.DUMMYFUNCTION("GOOGLETRANSLATE(D54,""en"",""ar"")"),"ب) يرتدون زينة احتفالية وشعائرية عالية")</f>
        <v>ب) يرتدون زينة احتفالية وشعائرية عالية</v>
      </c>
      <c r="L54" s="9" t="str">
        <f>IFERROR(__xludf.DUMMYFUNCTION("GOOGLETRANSLATE(E54,""en"",""ar"")"),"يتم تزيينها بالريش والخرز وأشياء أخرى، مما يشير إلى أن هذه مباراة احتفالية مهمة للغاية.")</f>
        <v>يتم تزيينها بالريش والخرز وأشياء أخرى، مما يشير إلى أن هذه مباراة احتفالية مهمة للغاية.</v>
      </c>
      <c r="M54" s="9"/>
      <c r="N54" s="9"/>
      <c r="O54" s="9"/>
      <c r="P54" s="9"/>
      <c r="Q54" s="9"/>
      <c r="R54" s="9"/>
      <c r="S54" s="9"/>
      <c r="T54" s="9"/>
      <c r="U54" s="9"/>
      <c r="V54" s="9"/>
      <c r="W54" s="9"/>
      <c r="X54" s="9"/>
      <c r="Y54" s="9"/>
      <c r="Z54" s="9"/>
      <c r="AA54" s="9"/>
      <c r="AB54" s="9"/>
      <c r="AC54" s="9"/>
      <c r="AD54" s="9"/>
      <c r="AE54" s="9"/>
      <c r="AF54" s="9"/>
      <c r="AG54" s="9"/>
    </row>
    <row r="55">
      <c r="A55" s="20" t="s">
        <v>2859</v>
      </c>
      <c r="B55" s="20" t="s">
        <v>2872</v>
      </c>
      <c r="C55" s="20" t="s">
        <v>2873</v>
      </c>
      <c r="D55" s="20" t="s">
        <v>2874</v>
      </c>
      <c r="E55" s="20" t="s">
        <v>2875</v>
      </c>
      <c r="F55" s="9"/>
      <c r="G55" s="9"/>
      <c r="H55" s="26" t="s">
        <v>2859</v>
      </c>
      <c r="I55" s="9" t="str">
        <f>IFERROR(__xludf.DUMMYFUNCTION("GOOGLETRANSLATE(B55,""en"",""ar"")"),"ماذا تعني ضبابية الحركة في الصورة؟")</f>
        <v>ماذا تعني ضبابية الحركة في الصورة؟</v>
      </c>
      <c r="J55" s="9" t="str">
        <f>IFERROR(__xludf.DUMMYFUNCTION("GOOGLETRANSLATE(C55,""en"",""ar"")"),"أ) كانت الكاميرا ذات جودة رديئة، ب) الحركة المكثفة والفوضوية والسريعة للحدث، ج) كان الحدث يجري بحركة بطيئة، د) كان المصور بعيدًا")</f>
        <v>أ) كانت الكاميرا ذات جودة رديئة، ب) الحركة المكثفة والفوضوية والسريعة للحدث، ج) كان الحدث يجري بحركة بطيئة، د) كان المصور بعيدًا</v>
      </c>
      <c r="K55" s="9" t="str">
        <f>IFERROR(__xludf.DUMMYFUNCTION("GOOGLETRANSLATE(D55,""en"",""ar"")"),"ب) الحركة المكثفة والفوضوية والسريعة للحدث")</f>
        <v>ب) الحركة المكثفة والفوضوية والسريعة للحدث</v>
      </c>
      <c r="L55" s="9" t="str">
        <f>IFERROR(__xludf.DUMMYFUNCTION("GOOGLETRANSLATE(E55,""en"",""ar"")"),"تلتقط الصورة الضبابية الطاقة المحمومة لكل من المصارعين والأشخاص المحيطين بهم.")</f>
        <v>تلتقط الصورة الضبابية الطاقة المحمومة لكل من المصارعين والأشخاص المحيطين بهم.</v>
      </c>
      <c r="M55" s="9"/>
      <c r="N55" s="9"/>
      <c r="O55" s="9"/>
      <c r="P55" s="9"/>
      <c r="Q55" s="9"/>
      <c r="R55" s="9"/>
      <c r="S55" s="9"/>
      <c r="T55" s="9"/>
      <c r="U55" s="9"/>
      <c r="V55" s="9"/>
      <c r="W55" s="9"/>
      <c r="X55" s="9"/>
      <c r="Y55" s="9"/>
      <c r="Z55" s="9"/>
      <c r="AA55" s="9"/>
      <c r="AB55" s="9"/>
      <c r="AC55" s="9"/>
      <c r="AD55" s="9"/>
      <c r="AE55" s="9"/>
      <c r="AF55" s="9"/>
      <c r="AG55" s="9"/>
    </row>
    <row r="56">
      <c r="A56" s="20" t="s">
        <v>2859</v>
      </c>
      <c r="B56" s="20" t="s">
        <v>2876</v>
      </c>
      <c r="C56" s="20" t="s">
        <v>2877</v>
      </c>
      <c r="D56" s="20" t="s">
        <v>2878</v>
      </c>
      <c r="E56" s="20" t="s">
        <v>2879</v>
      </c>
      <c r="F56" s="9"/>
      <c r="G56" s="9"/>
      <c r="H56" s="25" t="s">
        <v>2859</v>
      </c>
      <c r="I56" s="9" t="str">
        <f>IFERROR(__xludf.DUMMYFUNCTION("GOOGLETRANSLATE(B56,""en"",""ar"")"),"ويبدو أن الرجال المحيطين بالمصارعين هم...")</f>
        <v>ويبدو أن الرجال المحيطين بالمصارعين هم...</v>
      </c>
      <c r="J56" s="9" t="str">
        <f>IFERROR(__xludf.DUMMYFUNCTION("GOOGLETRANSLATE(C56,""en"",""ar"")"),"أ) المصارعون المتنافسون الذين يحاولون التدخل، ب) المسؤولون أو كبار السن، بعضهم يحمل مضارب الذباب، يشرفون على الطقوس، ج) المتفرجون الذين اندفعوا إلى الحلبة، د) الشرطة")</f>
        <v>أ) المصارعون المتنافسون الذين يحاولون التدخل، ب) المسؤولون أو كبار السن، بعضهم يحمل مضارب الذباب، يشرفون على الطقوس، ج) المتفرجون الذين اندفعوا إلى الحلبة، د) الشرطة</v>
      </c>
      <c r="K56" s="9" t="str">
        <f>IFERROR(__xludf.DUMMYFUNCTION("GOOGLETRANSLATE(D56,""en"",""ar"")"),"ب) المسؤولون أو الشيوخ، بعضهم يحمل ساحرات الذباب، ويشرفون على الطقوس")</f>
        <v>ب) المسؤولون أو الشيوخ، بعضهم يحمل ساحرات الذباب، ويشرفون على الطقوس</v>
      </c>
      <c r="L56" s="9" t="str">
        <f>IFERROR(__xludf.DUMMYFUNCTION("GOOGLETRANSLATE(E56,""en"",""ar"")"),"في المباريات التقليدية، يلعب كبار السن دورًا رئيسيًا في التحكيم والتأكد من مراعاة الطقوس بشكل صحيح.")</f>
        <v>في المباريات التقليدية، يلعب كبار السن دورًا رئيسيًا في التحكيم والتأكد من مراعاة الطقوس بشكل صحيح.</v>
      </c>
      <c r="M56" s="9"/>
      <c r="N56" s="9"/>
      <c r="O56" s="9"/>
      <c r="P56" s="9"/>
      <c r="Q56" s="9"/>
      <c r="R56" s="9"/>
      <c r="S56" s="9"/>
      <c r="T56" s="9"/>
      <c r="U56" s="9"/>
      <c r="V56" s="9"/>
      <c r="W56" s="9"/>
      <c r="X56" s="9"/>
      <c r="Y56" s="9"/>
      <c r="Z56" s="9"/>
      <c r="AA56" s="9"/>
      <c r="AB56" s="9"/>
      <c r="AC56" s="9"/>
      <c r="AD56" s="9"/>
      <c r="AE56" s="9"/>
      <c r="AF56" s="9"/>
      <c r="AG56" s="9"/>
    </row>
    <row r="57">
      <c r="A57" s="20" t="s">
        <v>2859</v>
      </c>
      <c r="B57" s="20" t="s">
        <v>2880</v>
      </c>
      <c r="C57" s="20" t="s">
        <v>2881</v>
      </c>
      <c r="D57" s="20" t="s">
        <v>2882</v>
      </c>
      <c r="E57" s="20" t="s">
        <v>2883</v>
      </c>
      <c r="F57" s="9"/>
      <c r="G57" s="9"/>
      <c r="H57" s="26" t="s">
        <v>2859</v>
      </c>
      <c r="I57" s="9" t="str">
        <f>IFERROR(__xludf.DUMMYFUNCTION("GOOGLETRANSLATE(B57,""en"",""ar"")"),"جو المشهد...")</f>
        <v>جو المشهد...</v>
      </c>
      <c r="J57" s="9" t="str">
        <f>IFERROR(__xludf.DUMMYFUNCTION("GOOGLETRANSLATE(C57,""en"",""ar"")"),"أ) هادئ وسلمي، ب) مكثف وفوضوي وروحاني، ج) حزين وحزين، د) منظم ومنظم")</f>
        <v>أ) هادئ وسلمي، ب) مكثف وفوضوي وروحاني، ج) حزين وحزين، د) منظم ومنظم</v>
      </c>
      <c r="K57" s="9" t="str">
        <f>IFERROR(__xludf.DUMMYFUNCTION("GOOGLETRANSLATE(D57,""en"",""ar"")"),"ب) مكثفة وفوضوية وروحية")</f>
        <v>ب) مكثفة وفوضوية وروحية</v>
      </c>
      <c r="L57" s="9" t="str">
        <f>IFERROR(__xludf.DUMMYFUNCTION("GOOGLETRANSLATE(E57,""en"",""ar"")"),"إنها ليست مجرد رياضة، بل حدث ثقافي وروحي قوي، مليء بالطاقة الخام.")</f>
        <v>إنها ليست مجرد رياضة، بل حدث ثقافي وروحي قوي، مليء بالطاقة الخام.</v>
      </c>
      <c r="M57" s="9"/>
      <c r="N57" s="9"/>
      <c r="O57" s="9"/>
      <c r="P57" s="9"/>
      <c r="Q57" s="9"/>
      <c r="R57" s="9"/>
      <c r="S57" s="9"/>
      <c r="T57" s="9"/>
      <c r="U57" s="9"/>
      <c r="V57" s="9"/>
      <c r="W57" s="9"/>
      <c r="X57" s="9"/>
      <c r="Y57" s="9"/>
      <c r="Z57" s="9"/>
      <c r="AA57" s="9"/>
      <c r="AB57" s="9"/>
      <c r="AC57" s="9"/>
      <c r="AD57" s="9"/>
      <c r="AE57" s="9"/>
      <c r="AF57" s="9"/>
      <c r="AG57" s="9"/>
    </row>
    <row r="58">
      <c r="A58" s="20" t="s">
        <v>2859</v>
      </c>
      <c r="B58" s="20" t="s">
        <v>2884</v>
      </c>
      <c r="C58" s="20" t="s">
        <v>2885</v>
      </c>
      <c r="D58" s="20" t="s">
        <v>2886</v>
      </c>
      <c r="E58" s="20" t="s">
        <v>2887</v>
      </c>
      <c r="F58" s="9"/>
      <c r="G58" s="9"/>
      <c r="H58" s="25" t="s">
        <v>2859</v>
      </c>
      <c r="I58" s="9" t="str">
        <f>IFERROR(__xludf.DUMMYFUNCTION("GOOGLETRANSLATE(B58,""en"",""ar"")"),"الصورة بالأبيض والأسود، مما يوحي بأنها...")</f>
        <v>الصورة بالأبيض والأسود، مما يوحي بأنها...</v>
      </c>
      <c r="J58" s="9" t="str">
        <f>IFERROR(__xludf.DUMMYFUNCTION("GOOGLETRANSLATE(C58,""en"",""ar"")"),"أ) صورة حديثة بفلتر، ب) وثيقة تاريخية لحفل تقليدي، ج) صورة ثابتة من فيلم، د) صورة ليلية")</f>
        <v>أ) صورة حديثة بفلتر، ب) وثيقة تاريخية لحفل تقليدي، ج) صورة ثابتة من فيلم، د) صورة ليلية</v>
      </c>
      <c r="K58" s="9" t="str">
        <f>IFERROR(__xludf.DUMMYFUNCTION("GOOGLETRANSLATE(D58,""en"",""ar"")"),"ب) وثيقة تاريخية للاحتفال التقليدي")</f>
        <v>ب) وثيقة تاريخية للاحتفال التقليدي</v>
      </c>
      <c r="L58" s="9" t="str">
        <f>IFERROR(__xludf.DUMMYFUNCTION("GOOGLETRANSLATE(E58,""en"",""ar"")"),"تُعد هذه الصورة سجلاً إثنوغرافيًا قيمًا لمصارعة النوبة في سياقها الاحتفالي الكامل من منتصف القرن العشرين.")</f>
        <v>تُعد هذه الصورة سجلاً إثنوغرافيًا قيمًا لمصارعة النوبة في سياقها الاحتفالي الكامل من منتصف القرن العشرين.</v>
      </c>
      <c r="M58" s="9"/>
      <c r="N58" s="9"/>
      <c r="O58" s="9"/>
      <c r="P58" s="9"/>
      <c r="Q58" s="9"/>
      <c r="R58" s="9"/>
      <c r="S58" s="9"/>
      <c r="T58" s="9"/>
      <c r="U58" s="9"/>
      <c r="V58" s="9"/>
      <c r="W58" s="9"/>
      <c r="X58" s="9"/>
      <c r="Y58" s="9"/>
      <c r="Z58" s="9"/>
      <c r="AA58" s="9"/>
      <c r="AB58" s="9"/>
      <c r="AC58" s="9"/>
      <c r="AD58" s="9"/>
      <c r="AE58" s="9"/>
      <c r="AF58" s="9"/>
      <c r="AG58" s="9"/>
    </row>
    <row r="59">
      <c r="A59" s="20" t="s">
        <v>2859</v>
      </c>
      <c r="B59" s="20" t="s">
        <v>2888</v>
      </c>
      <c r="C59" s="20" t="s">
        <v>2889</v>
      </c>
      <c r="D59" s="20" t="s">
        <v>2890</v>
      </c>
      <c r="E59" s="20" t="s">
        <v>2891</v>
      </c>
      <c r="F59" s="9"/>
      <c r="G59" s="9"/>
      <c r="H59" s="26" t="s">
        <v>2859</v>
      </c>
      <c r="I59" s="9" t="str">
        <f>IFERROR(__xludf.DUMMYFUNCTION("GOOGLETRANSLATE(B59,""en"",""ar"")"),"تؤكد هذه الصورة أن المصارعة النوبية ليست مجرد رياضة، بل هي أيضًا...")</f>
        <v>تؤكد هذه الصورة أن المصارعة النوبية ليست مجرد رياضة، بل هي أيضًا...</v>
      </c>
      <c r="J59" s="9" t="str">
        <f>IFERROR(__xludf.DUMMYFUNCTION("GOOGLETRANSLATE(C59,""en"",""ar"")"),"أ) شكل من أشكال التجارة، ب) طقوس معقدة، ج) وسيلة لتسوية النزاعات القانونية، د) اختراع حديث")</f>
        <v>أ) شكل من أشكال التجارة، ب) طقوس معقدة، ج) وسيلة لتسوية النزاعات القانونية، د) اختراع حديث</v>
      </c>
      <c r="K59" s="9" t="str">
        <f>IFERROR(__xludf.DUMMYFUNCTION("GOOGLETRANSLATE(D59,""en"",""ar"")"),"ب) طقوس معقدة")</f>
        <v>ب) طقوس معقدة</v>
      </c>
      <c r="L59" s="9" t="str">
        <f>IFERROR(__xludf.DUMMYFUNCTION("GOOGLETRANSLATE(E59,""en"",""ar"")"),"إن الأزياء المعقدة ووجود كبار السن الذين يقومون بالأعمال تظهر أن هناك طبقة عميقة من الطقوس والاحتفالات.")</f>
        <v>إن الأزياء المعقدة ووجود كبار السن الذين يقومون بالأعمال تظهر أن هناك طبقة عميقة من الطقوس والاحتفالات.</v>
      </c>
      <c r="M59" s="9"/>
      <c r="N59" s="9"/>
      <c r="O59" s="9"/>
      <c r="P59" s="9"/>
      <c r="Q59" s="9"/>
      <c r="R59" s="9"/>
      <c r="S59" s="9"/>
      <c r="T59" s="9"/>
      <c r="U59" s="9"/>
      <c r="V59" s="9"/>
      <c r="W59" s="9"/>
      <c r="X59" s="9"/>
      <c r="Y59" s="9"/>
      <c r="Z59" s="9"/>
      <c r="AA59" s="9"/>
      <c r="AB59" s="9"/>
      <c r="AC59" s="9"/>
      <c r="AD59" s="9"/>
      <c r="AE59" s="9"/>
      <c r="AF59" s="9"/>
      <c r="AG59" s="9"/>
    </row>
    <row r="60">
      <c r="A60" s="20" t="s">
        <v>2859</v>
      </c>
      <c r="B60" s="20" t="s">
        <v>2892</v>
      </c>
      <c r="C60" s="20" t="s">
        <v>2893</v>
      </c>
      <c r="D60" s="20" t="s">
        <v>2894</v>
      </c>
      <c r="E60" s="20" t="s">
        <v>2895</v>
      </c>
      <c r="F60" s="9"/>
      <c r="G60" s="9"/>
      <c r="H60" s="25" t="s">
        <v>2859</v>
      </c>
      <c r="I60" s="9" t="str">
        <f>IFERROR(__xludf.DUMMYFUNCTION("GOOGLETRANSLATE(B60,""en"",""ar"")"),"الأشياء التي يرتديها المصارعون على الكاحلين هي ...")</f>
        <v>الأشياء التي يرتديها المصارعون على الكاحلين هي ...</v>
      </c>
      <c r="J60" s="9" t="str">
        <f>IFERROR(__xludf.DUMMYFUNCTION("GOOGLETRANSLATE(C60,""en"",""ar"")"),"أ) دعامات رياضية حديثة، ب) أساور زخرفية بالريش أو الفراء، ج) أوزان للتدريب، د) أجهزة التتبع الإلكترونية")</f>
        <v>أ) دعامات رياضية حديثة، ب) أساور زخرفية بالريش أو الفراء، ج) أوزان للتدريب، د) أجهزة التتبع الإلكترونية</v>
      </c>
      <c r="K60" s="9" t="str">
        <f>IFERROR(__xludf.DUMMYFUNCTION("GOOGLETRANSLATE(D60,""en"",""ar"")"),"ب) أساور زخرفية بالريش أو الفراء")</f>
        <v>ب) أساور زخرفية بالريش أو الفراء</v>
      </c>
      <c r="L60" s="9" t="str">
        <f>IFERROR(__xludf.DUMMYFUNCTION("GOOGLETRANSLATE(E60,""en"",""ar"")"),"وهذه جزء من الزي الاحتفالي التقليدي للمباراة.")</f>
        <v>وهذه جزء من الزي الاحتفالي التقليدي للمباراة.</v>
      </c>
      <c r="M60" s="9"/>
      <c r="N60" s="9"/>
      <c r="O60" s="9"/>
      <c r="P60" s="9"/>
      <c r="Q60" s="9"/>
      <c r="R60" s="9"/>
      <c r="S60" s="9"/>
      <c r="T60" s="9"/>
      <c r="U60" s="9"/>
      <c r="V60" s="9"/>
      <c r="W60" s="9"/>
      <c r="X60" s="9"/>
      <c r="Y60" s="9"/>
      <c r="Z60" s="9"/>
      <c r="AA60" s="9"/>
      <c r="AB60" s="9"/>
      <c r="AC60" s="9"/>
      <c r="AD60" s="9"/>
      <c r="AE60" s="9"/>
      <c r="AF60" s="9"/>
      <c r="AG60" s="9"/>
    </row>
    <row r="61">
      <c r="A61" s="20" t="s">
        <v>2859</v>
      </c>
      <c r="B61" s="20" t="s">
        <v>2896</v>
      </c>
      <c r="C61" s="20" t="s">
        <v>2897</v>
      </c>
      <c r="D61" s="20" t="s">
        <v>2898</v>
      </c>
      <c r="E61" s="20" t="s">
        <v>2899</v>
      </c>
      <c r="F61" s="9"/>
      <c r="G61" s="9"/>
      <c r="H61" s="26" t="s">
        <v>2859</v>
      </c>
      <c r="I61" s="9" t="str">
        <f>IFERROR(__xludf.DUMMYFUNCTION("GOOGLETRANSLATE(B61,""en"",""ar"")"),"يضفي الهواء الضبابي والمغبر لمسة من الجمال على الصورة.")</f>
        <v>يضفي الهواء الضبابي والمغبر لمسة من الجمال على الصورة.</v>
      </c>
      <c r="J61" s="9" t="str">
        <f>IFERROR(__xludf.DUMMYFUNCTION("GOOGLETRANSLATE(C61,""en"",""ar"")"),"أ) الشعور بالنظام والنظافة، ب) الجمالية الحديثة، ج) الشعور الخالد والخارق للطبيعة، د) الشعور بالتواجد في الداخل")</f>
        <v>أ) الشعور بالنظام والنظافة، ب) الجمالية الحديثة، ج) الشعور الخالد والخارق للطبيعة، د) الشعور بالتواجد في الداخل</v>
      </c>
      <c r="K61" s="9" t="str">
        <f>IFERROR(__xludf.DUMMYFUNCTION("GOOGLETRANSLATE(D61,""en"",""ar"")"),"ج) شعور خالد وعالمي آخر")</f>
        <v>ج) شعور خالد وعالمي آخر</v>
      </c>
      <c r="L61" s="9" t="str">
        <f>IFERROR(__xludf.DUMMYFUNCTION("GOOGLETRANSLATE(E61,""en"",""ar"")"),"يساهم الضباب الجوي في إضفاء جودة قوية وأسطورية تقريبًا للمشهد.")</f>
        <v>يساهم الضباب الجوي في إضفاء جودة قوية وأسطورية تقريبًا للمشهد.</v>
      </c>
      <c r="M61" s="9"/>
      <c r="N61" s="9"/>
      <c r="O61" s="9"/>
      <c r="P61" s="9"/>
      <c r="Q61" s="9"/>
      <c r="R61" s="9"/>
      <c r="S61" s="9"/>
      <c r="T61" s="9"/>
      <c r="U61" s="9"/>
      <c r="V61" s="9"/>
      <c r="W61" s="9"/>
      <c r="X61" s="9"/>
      <c r="Y61" s="9"/>
      <c r="Z61" s="9"/>
      <c r="AA61" s="9"/>
      <c r="AB61" s="9"/>
      <c r="AC61" s="9"/>
      <c r="AD61" s="9"/>
      <c r="AE61" s="9"/>
      <c r="AF61" s="9"/>
      <c r="AG61" s="9"/>
    </row>
    <row r="62">
      <c r="A62" s="20" t="s">
        <v>2900</v>
      </c>
      <c r="B62" s="20" t="s">
        <v>2901</v>
      </c>
      <c r="C62" s="20" t="s">
        <v>2902</v>
      </c>
      <c r="D62" s="20" t="s">
        <v>2862</v>
      </c>
      <c r="E62" s="20" t="s">
        <v>2903</v>
      </c>
      <c r="F62" s="9"/>
      <c r="G62" s="9"/>
      <c r="H62" s="25" t="s">
        <v>2900</v>
      </c>
      <c r="I62" s="9" t="str">
        <f>IFERROR(__xludf.DUMMYFUNCTION("GOOGLETRANSLATE(B62,""en"",""ar"")"),"هذه الصورة التاريخية بالأبيض والأسود تظهر أي فنون القتال السودانية؟")</f>
        <v>هذه الصورة التاريخية بالأبيض والأسود تظهر أي فنون القتال السودانية؟</v>
      </c>
      <c r="J62" s="9" t="str">
        <f>IFERROR(__xludf.DUMMYFUNCTION("GOOGLETRANSLATE(C62,""en"",""ar"")"),"أ) التحطيب، ب) المصارعة النوبية، ج) القتال بالعصا، د) أحد أشكال الملاكمة")</f>
        <v>أ) التحطيب، ب) المصارعة النوبية، ج) القتال بالعصا، د) أحد أشكال الملاكمة</v>
      </c>
      <c r="K62" s="9" t="str">
        <f>IFERROR(__xludf.DUMMYFUNCTION("GOOGLETRANSLATE(D62,""en"",""ar"")"),"ب) المصارعة النوبية")</f>
        <v>ب) المصارعة النوبية</v>
      </c>
      <c r="L62" s="9" t="str">
        <f>IFERROR(__xludf.DUMMYFUNCTION("GOOGLETRANSLATE(E62,""en"",""ar"")"),"الرجال الأربعة في الوسط يتصارعون ويتخذون وضعيات مصارعة، دون استخدام العصي. هذه صورة كلاسيكية أخرى لمصارعة النوبة.")</f>
        <v>الرجال الأربعة في الوسط يتصارعون ويتخذون وضعيات مصارعة، دون استخدام العصي. هذه صورة كلاسيكية أخرى لمصارعة النوبة.</v>
      </c>
      <c r="M62" s="9"/>
      <c r="N62" s="9"/>
      <c r="O62" s="9"/>
      <c r="P62" s="9"/>
      <c r="Q62" s="9"/>
      <c r="R62" s="9"/>
      <c r="S62" s="9"/>
      <c r="T62" s="9"/>
      <c r="U62" s="9"/>
      <c r="V62" s="9"/>
      <c r="W62" s="9"/>
      <c r="X62" s="9"/>
      <c r="Y62" s="9"/>
      <c r="Z62" s="9"/>
      <c r="AA62" s="9"/>
      <c r="AB62" s="9"/>
      <c r="AC62" s="9"/>
      <c r="AD62" s="9"/>
      <c r="AE62" s="9"/>
      <c r="AF62" s="9"/>
      <c r="AG62" s="9"/>
    </row>
    <row r="63">
      <c r="A63" s="20" t="s">
        <v>2900</v>
      </c>
      <c r="B63" s="20" t="s">
        <v>2904</v>
      </c>
      <c r="C63" s="20" t="s">
        <v>2905</v>
      </c>
      <c r="D63" s="20" t="s">
        <v>2906</v>
      </c>
      <c r="E63" s="20" t="s">
        <v>2907</v>
      </c>
      <c r="F63" s="9"/>
      <c r="G63" s="9"/>
      <c r="H63" s="26" t="s">
        <v>2900</v>
      </c>
      <c r="I63" s="9" t="str">
        <f>IFERROR(__xludf.DUMMYFUNCTION("GOOGLETRANSLATE(B63,""en"",""ar"")"),"كم عدد المشاركين النشطين في وسط الحلبة؟")</f>
        <v>كم عدد المشاركين النشطين في وسط الحلبة؟</v>
      </c>
      <c r="J63" s="9" t="str">
        <f>IFERROR(__xludf.DUMMYFUNCTION("GOOGLETRANSLATE(C63,""en"",""ar"")"),"أ) واحد، ب) اثنان، ج) ثلاثة، د) أربعة")</f>
        <v>أ) واحد، ب) اثنان، ج) ثلاثة، د) أربعة</v>
      </c>
      <c r="K63" s="9" t="str">
        <f>IFERROR(__xludf.DUMMYFUNCTION("GOOGLETRANSLATE(D63,""en"",""ar"")"),"د) أربعة")</f>
        <v>د) أربعة</v>
      </c>
      <c r="L63" s="9" t="str">
        <f>IFERROR(__xludf.DUMMYFUNCTION("GOOGLETRANSLATE(E63,""en"",""ar"")"),"يبدو أن هناك زوجين من المصارعين يشاركون في نفس الحلبة في نفس الوقت.")</f>
        <v>يبدو أن هناك زوجين من المصارعين يشاركون في نفس الحلبة في نفس الوقت.</v>
      </c>
      <c r="M63" s="9"/>
      <c r="N63" s="9"/>
      <c r="O63" s="9"/>
      <c r="P63" s="9"/>
      <c r="Q63" s="9"/>
      <c r="R63" s="9"/>
      <c r="S63" s="9"/>
      <c r="T63" s="9"/>
      <c r="U63" s="9"/>
      <c r="V63" s="9"/>
      <c r="W63" s="9"/>
      <c r="X63" s="9"/>
      <c r="Y63" s="9"/>
      <c r="Z63" s="9"/>
      <c r="AA63" s="9"/>
      <c r="AB63" s="9"/>
      <c r="AC63" s="9"/>
      <c r="AD63" s="9"/>
      <c r="AE63" s="9"/>
      <c r="AF63" s="9"/>
      <c r="AG63" s="9"/>
    </row>
    <row r="64">
      <c r="A64" s="20" t="s">
        <v>2900</v>
      </c>
      <c r="B64" s="20" t="s">
        <v>2908</v>
      </c>
      <c r="C64" s="20" t="s">
        <v>2909</v>
      </c>
      <c r="D64" s="20" t="s">
        <v>2910</v>
      </c>
      <c r="E64" s="20" t="s">
        <v>2911</v>
      </c>
      <c r="F64" s="9"/>
      <c r="G64" s="9"/>
      <c r="H64" s="25" t="s">
        <v>2900</v>
      </c>
      <c r="I64" s="9" t="str">
        <f>IFERROR(__xludf.DUMMYFUNCTION("GOOGLETRANSLATE(B64,""en"",""ar"")"),"ما هو الإعداد لهذا الحدث؟")</f>
        <v>ما هو الإعداد لهذا الحدث؟</v>
      </c>
      <c r="J64" s="9" t="str">
        <f>IFERROR(__xludf.DUMMYFUNCTION("GOOGLETRANSLATE(C64,""en"",""ar"")"),"أ) ملعب حديث بسياج، ب) منطقة مفتوحة في قرية تقليدية محاطة بالمجتمع، ج) صالة ألعاب رياضية داخلية، د) غابة كثيفة")</f>
        <v>أ) ملعب حديث بسياج، ب) منطقة مفتوحة في قرية تقليدية محاطة بالمجتمع، ج) صالة ألعاب رياضية داخلية، د) غابة كثيفة</v>
      </c>
      <c r="K64" s="9" t="str">
        <f>IFERROR(__xludf.DUMMYFUNCTION("GOOGLETRANSLATE(D64,""en"",""ar"")"),"ب) قرية تقليدية خالية من الأشجار محاطة بالمجتمع")</f>
        <v>ب) قرية تقليدية خالية من الأشجار محاطة بالمجتمع</v>
      </c>
      <c r="L64" s="9" t="str">
        <f>IFERROR(__xludf.DUMMYFUNCTION("GOOGLETRANSLATE(E64,""en"",""ar"")"),"يتجمع المتفرجون حول رقعة مفتوحة من الأرض، مع وجود أكواخ تقليدية في الخلفية، مما يدل على حدث مجتمعي.")</f>
        <v>يتجمع المتفرجون حول رقعة مفتوحة من الأرض، مع وجود أكواخ تقليدية في الخلفية، مما يدل على حدث مجتمعي.</v>
      </c>
      <c r="M64" s="9"/>
      <c r="N64" s="9"/>
      <c r="O64" s="9"/>
      <c r="P64" s="9"/>
      <c r="Q64" s="9"/>
      <c r="R64" s="9"/>
      <c r="S64" s="9"/>
      <c r="T64" s="9"/>
      <c r="U64" s="9"/>
      <c r="V64" s="9"/>
      <c r="W64" s="9"/>
      <c r="X64" s="9"/>
      <c r="Y64" s="9"/>
      <c r="Z64" s="9"/>
      <c r="AA64" s="9"/>
      <c r="AB64" s="9"/>
      <c r="AC64" s="9"/>
      <c r="AD64" s="9"/>
      <c r="AE64" s="9"/>
      <c r="AF64" s="9"/>
      <c r="AG64" s="9"/>
    </row>
    <row r="65">
      <c r="A65" s="20" t="s">
        <v>2900</v>
      </c>
      <c r="B65" s="20" t="s">
        <v>2912</v>
      </c>
      <c r="C65" s="20" t="s">
        <v>2913</v>
      </c>
      <c r="D65" s="20" t="s">
        <v>2914</v>
      </c>
      <c r="E65" s="20" t="s">
        <v>2915</v>
      </c>
      <c r="F65" s="9"/>
      <c r="G65" s="9"/>
      <c r="H65" s="26" t="s">
        <v>2900</v>
      </c>
      <c r="I65" s="9" t="str">
        <f>IFERROR(__xludf.DUMMYFUNCTION("GOOGLETRANSLATE(B65,""en"",""ar"")"),"ما نوع الملابس التي يرتديها المصارعون؟")</f>
        <v>ما نوع الملابس التي يرتديها المصارعون؟</v>
      </c>
      <c r="J65" s="9" t="str">
        <f>IFERROR(__xludf.DUMMYFUNCTION("GOOGLETRANSLATE(C65,""en"",""ar"")"),"أ) أردية ثقيلة، ب) أزياء رياضية حديثة، ج) شورتات بسيطة أو مآزر، بعضها مزين بالساق، د) لا شيء على الإطلاق")</f>
        <v>أ) أردية ثقيلة، ب) أزياء رياضية حديثة، ج) شورتات بسيطة أو مآزر، بعضها مزين بالساق، د) لا شيء على الإطلاق</v>
      </c>
      <c r="K65" s="9" t="str">
        <f>IFERROR(__xludf.DUMMYFUNCTION("GOOGLETRANSLATE(D65,""en"",""ar"")"),"ج) شورتات بسيطة أو مآزر، بعضها مزين بالساق")</f>
        <v>ج) شورتات بسيطة أو مآزر، بعضها مزين بالساق</v>
      </c>
      <c r="L65" s="9" t="str">
        <f>IFERROR(__xludf.DUMMYFUNCTION("GOOGLETRANSLATE(E65,""en"",""ar"")"),"ملابسهم بسيطة وعملية للمصارعة، حيث يرتدي البعض منهم أربطة الساق التقليدية.")</f>
        <v>ملابسهم بسيطة وعملية للمصارعة، حيث يرتدي البعض منهم أربطة الساق التقليدية.</v>
      </c>
      <c r="M65" s="9"/>
      <c r="N65" s="9"/>
      <c r="O65" s="9"/>
      <c r="P65" s="9"/>
      <c r="Q65" s="9"/>
      <c r="R65" s="9"/>
      <c r="S65" s="9"/>
      <c r="T65" s="9"/>
      <c r="U65" s="9"/>
      <c r="V65" s="9"/>
      <c r="W65" s="9"/>
      <c r="X65" s="9"/>
      <c r="Y65" s="9"/>
      <c r="Z65" s="9"/>
      <c r="AA65" s="9"/>
      <c r="AB65" s="9"/>
      <c r="AC65" s="9"/>
      <c r="AD65" s="9"/>
      <c r="AE65" s="9"/>
      <c r="AF65" s="9"/>
      <c r="AG65" s="9"/>
    </row>
    <row r="66">
      <c r="A66" s="20" t="s">
        <v>2900</v>
      </c>
      <c r="B66" s="20" t="s">
        <v>2916</v>
      </c>
      <c r="C66" s="20" t="s">
        <v>2917</v>
      </c>
      <c r="D66" s="20" t="s">
        <v>2918</v>
      </c>
      <c r="E66" s="20" t="s">
        <v>2919</v>
      </c>
      <c r="F66" s="9"/>
      <c r="G66" s="9"/>
      <c r="H66" s="25" t="s">
        <v>2900</v>
      </c>
      <c r="I66" s="9" t="str">
        <f>IFERROR(__xludf.DUMMYFUNCTION("GOOGLETRANSLATE(B66,""en"",""ar"")"),"المصارعان على اليسار هما...")</f>
        <v>المصارعان على اليسار هما...</v>
      </c>
      <c r="J66" s="9" t="str">
        <f>IFERROR(__xludf.DUMMYFUNCTION("GOOGLETRANSLATE(C66,""en"",""ar"")"),"أ) المصافحة، ب) في مصارعة منخفضة وقوية، ج) أداء رقصة، د) الراحة")</f>
        <v>أ) المصافحة، ب) في مصارعة منخفضة وقوية، ج) أداء رقصة، د) الراحة</v>
      </c>
      <c r="K66" s="9" t="str">
        <f>IFERROR(__xludf.DUMMYFUNCTION("GOOGLETRANSLATE(D66,""en"",""ar"")"),"ب) في صراع منخفض وقوي")</f>
        <v>ب) في صراع منخفض وقوي</v>
      </c>
      <c r="L66" s="9" t="str">
        <f>IFERROR(__xludf.DUMMYFUNCTION("GOOGLETRANSLATE(E66,""en"",""ar"")"),"إنهم ينحنيون ويتشابكان في وضعية تشابك، كل واحد منهم يحاول التخلص من الآخر.")</f>
        <v>إنهم ينحنيون ويتشابكان في وضعية تشابك، كل واحد منهم يحاول التخلص من الآخر.</v>
      </c>
      <c r="M66" s="9"/>
      <c r="N66" s="9"/>
      <c r="O66" s="9"/>
      <c r="P66" s="9"/>
      <c r="Q66" s="9"/>
      <c r="R66" s="9"/>
      <c r="S66" s="9"/>
      <c r="T66" s="9"/>
      <c r="U66" s="9"/>
      <c r="V66" s="9"/>
      <c r="W66" s="9"/>
      <c r="X66" s="9"/>
      <c r="Y66" s="9"/>
      <c r="Z66" s="9"/>
      <c r="AA66" s="9"/>
      <c r="AB66" s="9"/>
      <c r="AC66" s="9"/>
      <c r="AD66" s="9"/>
      <c r="AE66" s="9"/>
      <c r="AF66" s="9"/>
      <c r="AG66" s="9"/>
    </row>
    <row r="67">
      <c r="A67" s="20" t="s">
        <v>2900</v>
      </c>
      <c r="B67" s="20" t="s">
        <v>2920</v>
      </c>
      <c r="C67" s="20" t="s">
        <v>2921</v>
      </c>
      <c r="D67" s="20" t="s">
        <v>2922</v>
      </c>
      <c r="E67" s="20" t="s">
        <v>2923</v>
      </c>
      <c r="F67" s="9"/>
      <c r="G67" s="9"/>
      <c r="H67" s="26" t="s">
        <v>2900</v>
      </c>
      <c r="I67" s="9" t="str">
        <f>IFERROR(__xludf.DUMMYFUNCTION("GOOGLETRANSLATE(B67,""en"",""ar"")"),"ماذا يعني الحشد الكبير والكثيف؟")</f>
        <v>ماذا يعني الحشد الكبير والكثيف؟</v>
      </c>
      <c r="J67" s="9" t="str">
        <f>IFERROR(__xludf.DUMMYFUNCTION("GOOGLETRANSLATE(C67,""en"",""ar"")"),"أ) الرياضة ليست شائعة جدًا، ب) مباراة المصارعة هي حدث اجتماعي كبير للمجتمع، ج) ينتظر الناس بدء حدث مختلف، د) الصورة لسوق، وليست مباراة مصارعة")</f>
        <v>أ) الرياضة ليست شائعة جدًا، ب) مباراة المصارعة هي حدث اجتماعي كبير للمجتمع، ج) ينتظر الناس بدء حدث مختلف، د) الصورة لسوق، وليست مباراة مصارعة</v>
      </c>
      <c r="K67" s="9" t="str">
        <f>IFERROR(__xludf.DUMMYFUNCTION("GOOGLETRANSLATE(D67,""en"",""ar"")"),"ب) تعتبر مباراة المصارعة حدثًا اجتماعيًا كبيرًا للمجتمع")</f>
        <v>ب) تعتبر مباراة المصارعة حدثًا اجتماعيًا كبيرًا للمجتمع</v>
      </c>
      <c r="L67" s="9" t="str">
        <f>IFERROR(__xludf.DUMMYFUNCTION("GOOGLETRANSLATE(E67,""en"",""ar"")"),"إن مشاركة المجتمع بأكمله تظهر مدى أهمية المصارعة في حياتهم الاجتماعية.")</f>
        <v>إن مشاركة المجتمع بأكمله تظهر مدى أهمية المصارعة في حياتهم الاجتماعية.</v>
      </c>
      <c r="M67" s="9"/>
      <c r="N67" s="9"/>
      <c r="O67" s="9"/>
      <c r="P67" s="9"/>
      <c r="Q67" s="9"/>
      <c r="R67" s="9"/>
      <c r="S67" s="9"/>
      <c r="T67" s="9"/>
      <c r="U67" s="9"/>
      <c r="V67" s="9"/>
      <c r="W67" s="9"/>
      <c r="X67" s="9"/>
      <c r="Y67" s="9"/>
      <c r="Z67" s="9"/>
      <c r="AA67" s="9"/>
      <c r="AB67" s="9"/>
      <c r="AC67" s="9"/>
      <c r="AD67" s="9"/>
      <c r="AE67" s="9"/>
      <c r="AF67" s="9"/>
      <c r="AG67" s="9"/>
    </row>
    <row r="68">
      <c r="A68" s="20" t="s">
        <v>2900</v>
      </c>
      <c r="B68" s="20" t="s">
        <v>2924</v>
      </c>
      <c r="C68" s="20" t="s">
        <v>2925</v>
      </c>
      <c r="D68" s="20" t="s">
        <v>2926</v>
      </c>
      <c r="E68" s="20" t="s">
        <v>2927</v>
      </c>
      <c r="F68" s="9"/>
      <c r="G68" s="9"/>
      <c r="H68" s="25" t="s">
        <v>2900</v>
      </c>
      <c r="I68" s="9" t="str">
        <f>IFERROR(__xludf.DUMMYFUNCTION("GOOGLETRANSLATE(B68,""en"",""ar"")"),"الرجلان على اليمين في أي مرحلة من المباراة؟")</f>
        <v>الرجلان على اليمين في أي مرحلة من المباراة؟</v>
      </c>
      <c r="J68" s="9" t="str">
        <f>IFERROR(__xludf.DUMMYFUNCTION("GOOGLETRANSLATE(C68,""en"",""ar"")"),"أ) لقد انتهيا للتو من مباراتهما، ب) إنهما منخرطان في مصارعة عالية، ج) إنهما في المرحلة الأولية قبل الاشتباك، د) أحدهما يهنئ الآخر على الفوز")</f>
        <v>أ) لقد انتهيا للتو من مباراتهما، ب) إنهما منخرطان في مصارعة عالية، ج) إنهما في المرحلة الأولية قبل الاشتباك، د) أحدهما يهنئ الآخر على الفوز</v>
      </c>
      <c r="K68" s="9" t="str">
        <f>IFERROR(__xludf.DUMMYFUNCTION("GOOGLETRANSLATE(D68,""en"",""ar"")"),"ج) هم في المرحلة الأولية، مرحلة ما قبل المشاركة")</f>
        <v>ج) هم في المرحلة الأولية، مرحلة ما قبل المشاركة</v>
      </c>
      <c r="L68" s="9" t="str">
        <f>IFERROR(__xludf.DUMMYFUNCTION("GOOGLETRANSLATE(E68,""en"",""ar"")"),"إنهم يمسكون بأيديهم/معصميهم، وهي نقطة بداية شائعة في العديد من أشكال المصارعة التقليدية، والتي سيحاولون من خلالها الحصول على قبضة أفضل.")</f>
        <v>إنهم يمسكون بأيديهم/معصميهم، وهي نقطة بداية شائعة في العديد من أشكال المصارعة التقليدية، والتي سيحاولون من خلالها الحصول على قبضة أفضل.</v>
      </c>
      <c r="M68" s="9"/>
      <c r="N68" s="9"/>
      <c r="O68" s="9"/>
      <c r="P68" s="9"/>
      <c r="Q68" s="9"/>
      <c r="R68" s="9"/>
      <c r="S68" s="9"/>
      <c r="T68" s="9"/>
      <c r="U68" s="9"/>
      <c r="V68" s="9"/>
      <c r="W68" s="9"/>
      <c r="X68" s="9"/>
      <c r="Y68" s="9"/>
      <c r="Z68" s="9"/>
      <c r="AA68" s="9"/>
      <c r="AB68" s="9"/>
      <c r="AC68" s="9"/>
      <c r="AD68" s="9"/>
      <c r="AE68" s="9"/>
      <c r="AF68" s="9"/>
      <c r="AG68" s="9"/>
    </row>
    <row r="69">
      <c r="A69" s="20" t="s">
        <v>2900</v>
      </c>
      <c r="B69" s="20" t="s">
        <v>2928</v>
      </c>
      <c r="C69" s="20" t="s">
        <v>2929</v>
      </c>
      <c r="D69" s="20" t="s">
        <v>2930</v>
      </c>
      <c r="E69" s="20" t="s">
        <v>2931</v>
      </c>
      <c r="F69" s="9"/>
      <c r="G69" s="9"/>
      <c r="H69" s="26" t="s">
        <v>2900</v>
      </c>
      <c r="I69" s="9" t="str">
        <f>IFERROR(__xludf.DUMMYFUNCTION("GOOGLETRANSLATE(B69,""en"",""ar"")"),"هذه الصورة تلتقط...")</f>
        <v>هذه الصورة تلتقط...</v>
      </c>
      <c r="J69" s="9" t="str">
        <f>IFERROR(__xludf.DUMMYFUNCTION("GOOGLETRANSLATE(C69,""en"",""ar"")"),"أ) لحظة واحدة حاسمة، ب) رؤية واسعة لحدث على مستوى المجتمع مع حدوث أشياء متعددة في وقت واحد، ج) صورة هادئة ومُرتبة، د) الجانب التجاري للرياضة")</f>
        <v>أ) لحظة واحدة حاسمة، ب) رؤية واسعة لحدث على مستوى المجتمع مع حدوث أشياء متعددة في وقت واحد، ج) صورة هادئة ومُرتبة، د) الجانب التجاري للرياضة</v>
      </c>
      <c r="K69" s="9" t="str">
        <f>IFERROR(__xludf.DUMMYFUNCTION("GOOGLETRANSLATE(D69,""en"",""ar"")"),"ب) رؤية واسعة لحدث على مستوى المجتمع يتضمن حدوث أشياء متعددة في وقت واحد")</f>
        <v>ب) رؤية واسعة لحدث على مستوى المجتمع يتضمن حدوث أشياء متعددة في وقت واحد</v>
      </c>
      <c r="L69" s="9" t="str">
        <f>IFERROR(__xludf.DUMMYFUNCTION("GOOGLETRANSLATE(E69,""en"",""ar"")"),"تُظهر الصورة مباريات متعددة والمجتمع المحيط بها بالكامل، مما يعطي إحساسًا بالحدث ككل.")</f>
        <v>تُظهر الصورة مباريات متعددة والمجتمع المحيط بها بالكامل، مما يعطي إحساسًا بالحدث ككل.</v>
      </c>
      <c r="M69" s="9"/>
      <c r="N69" s="9"/>
      <c r="O69" s="9"/>
      <c r="P69" s="9"/>
      <c r="Q69" s="9"/>
      <c r="R69" s="9"/>
      <c r="S69" s="9"/>
      <c r="T69" s="9"/>
      <c r="U69" s="9"/>
      <c r="V69" s="9"/>
      <c r="W69" s="9"/>
      <c r="X69" s="9"/>
      <c r="Y69" s="9"/>
      <c r="Z69" s="9"/>
      <c r="AA69" s="9"/>
      <c r="AB69" s="9"/>
      <c r="AC69" s="9"/>
      <c r="AD69" s="9"/>
      <c r="AE69" s="9"/>
      <c r="AF69" s="9"/>
      <c r="AG69" s="9"/>
    </row>
    <row r="70">
      <c r="A70" s="20" t="s">
        <v>2900</v>
      </c>
      <c r="B70" s="20" t="s">
        <v>2932</v>
      </c>
      <c r="C70" s="20" t="s">
        <v>2933</v>
      </c>
      <c r="D70" s="20" t="s">
        <v>2934</v>
      </c>
      <c r="E70" s="20" t="s">
        <v>2935</v>
      </c>
      <c r="F70" s="9"/>
      <c r="G70" s="9"/>
      <c r="H70" s="25" t="s">
        <v>2900</v>
      </c>
      <c r="I70" s="9" t="str">
        <f>IFERROR(__xludf.DUMMYFUNCTION("GOOGLETRANSLATE(B70,""en"",""ar"")"),"إن عدم وجود حكم في المنطقة المجاورة مباشرة للمصارعين يشير إلى ...")</f>
        <v>إن عدم وجود حكم في المنطقة المجاورة مباشرة للمصارعين يشير إلى ...</v>
      </c>
      <c r="J70" s="9" t="str">
        <f>IFERROR(__xludf.DUMMYFUNCTION("GOOGLETRANSLATE(C70,""en"",""ar"")"),"أ) القواعد ليست مهمة، ب) يمكن تحكيم المباريات من قبل كبار السن في الجمهور أو تنظيمها ذاتيًا، ج) الحكم في استراحة، د) إنها معركة بلا قواعد")</f>
        <v>أ) القواعد ليست مهمة، ب) يمكن تحكيم المباريات من قبل كبار السن في الجمهور أو تنظيمها ذاتيًا، ج) الحكم في استراحة، د) إنها معركة بلا قواعد</v>
      </c>
      <c r="K70" s="9" t="str">
        <f>IFERROR(__xludf.DUMMYFUNCTION("GOOGLETRANSLATE(D70,""en"",""ar"")"),"ب) يمكن أن يتم التحكيم في المباريات من قبل كبار السن في الجمهور أو يتم تنظيمها ذاتيًا")</f>
        <v>ب) يمكن أن يتم التحكيم في المباريات من قبل كبار السن في الجمهور أو يتم تنظيمها ذاتيًا</v>
      </c>
      <c r="L70" s="9" t="str">
        <f>IFERROR(__xludf.DUMMYFUNCTION("GOOGLETRANSLATE(E70,""en"",""ar"")"),"في المباريات التقليدية التي تقام في القرية، يكون التحكيم في كثير من الأحيان أقل رسمية من التحكيم في الساحات الحديثة.")</f>
        <v>في المباريات التقليدية التي تقام في القرية، يكون التحكيم في كثير من الأحيان أقل رسمية من التحكيم في الساحات الحديثة.</v>
      </c>
      <c r="M70" s="9"/>
      <c r="N70" s="9"/>
      <c r="O70" s="9"/>
      <c r="P70" s="9"/>
      <c r="Q70" s="9"/>
      <c r="R70" s="9"/>
      <c r="S70" s="9"/>
      <c r="T70" s="9"/>
      <c r="U70" s="9"/>
      <c r="V70" s="9"/>
      <c r="W70" s="9"/>
      <c r="X70" s="9"/>
      <c r="Y70" s="9"/>
      <c r="Z70" s="9"/>
      <c r="AA70" s="9"/>
      <c r="AB70" s="9"/>
      <c r="AC70" s="9"/>
      <c r="AD70" s="9"/>
      <c r="AE70" s="9"/>
      <c r="AF70" s="9"/>
      <c r="AG70" s="9"/>
    </row>
    <row r="71">
      <c r="A71" s="20" t="s">
        <v>2900</v>
      </c>
      <c r="B71" s="20" t="s">
        <v>2936</v>
      </c>
      <c r="C71" s="20" t="s">
        <v>2937</v>
      </c>
      <c r="D71" s="20" t="s">
        <v>2938</v>
      </c>
      <c r="E71" s="20" t="s">
        <v>2939</v>
      </c>
      <c r="F71" s="9"/>
      <c r="G71" s="9"/>
      <c r="H71" s="26" t="s">
        <v>2900</v>
      </c>
      <c r="I71" s="9" t="str">
        <f>IFERROR(__xludf.DUMMYFUNCTION("GOOGLETRANSLATE(B71,""en"",""ar"")"),"تعتبر هذه الصورة وثيقة تاريخية قيمة ...")</f>
        <v>تعتبر هذه الصورة وثيقة تاريخية قيمة ...</v>
      </c>
      <c r="J71" s="9" t="str">
        <f>IFERROR(__xludf.DUMMYFUNCTION("GOOGLETRANSLATE(C71,""en"",""ar"")"),"أ) تحديث السودان، ب) الحياة الثقافية لشعب النوبة، ج) الممارسات الزراعية في المنطقة، د) النظام السياسي للسودان في القرن العشرين")</f>
        <v>أ) تحديث السودان، ب) الحياة الثقافية لشعب النوبة، ج) الممارسات الزراعية في المنطقة، د) النظام السياسي للسودان في القرن العشرين</v>
      </c>
      <c r="K71" s="9" t="str">
        <f>IFERROR(__xludf.DUMMYFUNCTION("GOOGLETRANSLATE(D71,""en"",""ar"")"),"ب) الحياة الثقافية لشعب النوبة")</f>
        <v>ب) الحياة الثقافية لشعب النوبة</v>
      </c>
      <c r="L71" s="9" t="str">
        <f>IFERROR(__xludf.DUMMYFUNCTION("GOOGLETRANSLATE(E71,""en"",""ar"")"),"ويقدم الفيلم نظرة قوية على التقاليد الرياضية والاجتماعية التي تشكل جوهر هوية النوبة.")</f>
        <v>ويقدم الفيلم نظرة قوية على التقاليد الرياضية والاجتماعية التي تشكل جوهر هوية النوبة.</v>
      </c>
      <c r="M71" s="9"/>
      <c r="N71" s="9"/>
      <c r="O71" s="9"/>
      <c r="P71" s="9"/>
      <c r="Q71" s="9"/>
      <c r="R71" s="9"/>
      <c r="S71" s="9"/>
      <c r="T71" s="9"/>
      <c r="U71" s="9"/>
      <c r="V71" s="9"/>
      <c r="W71" s="9"/>
      <c r="X71" s="9"/>
      <c r="Y71" s="9"/>
      <c r="Z71" s="9"/>
      <c r="AA71" s="9"/>
      <c r="AB71" s="9"/>
      <c r="AC71" s="9"/>
      <c r="AD71" s="9"/>
      <c r="AE71" s="9"/>
      <c r="AF71" s="9"/>
      <c r="AG71" s="9"/>
    </row>
    <row r="72">
      <c r="A72" s="20" t="s">
        <v>2940</v>
      </c>
      <c r="B72" s="20" t="s">
        <v>2941</v>
      </c>
      <c r="C72" s="20" t="s">
        <v>2942</v>
      </c>
      <c r="D72" s="20" t="s">
        <v>2943</v>
      </c>
      <c r="E72" s="20" t="s">
        <v>2944</v>
      </c>
      <c r="F72" s="9"/>
      <c r="G72" s="9"/>
      <c r="H72" s="25" t="s">
        <v>2940</v>
      </c>
      <c r="I72" s="9" t="str">
        <f>IFERROR(__xludf.DUMMYFUNCTION("GOOGLETRANSLATE(B72,""en"",""ar"")"),"الرجل في المقدمة يمارس أي فنون قتالية؟")</f>
        <v>الرجل في المقدمة يمارس أي فنون قتالية؟</v>
      </c>
      <c r="J72" s="9" t="str">
        <f>IFERROR(__xludf.DUMMYFUNCTION("GOOGLETRANSLATE(C72,""en"",""ar"")"),"أ) مصارعة النوبة، ب) قتال الزولو بالعصا، ج) التحطيب المصري، د) الكابويرا")</f>
        <v>أ) مصارعة النوبة، ب) قتال الزولو بالعصا، ج) التحطيب المصري، د) الكابويرا</v>
      </c>
      <c r="K72" s="9" t="str">
        <f>IFERROR(__xludf.DUMMYFUNCTION("GOOGLETRANSLATE(D72,""en"",""ar"")"),"ج) التحطيب المصري")</f>
        <v>ج) التحطيب المصري</v>
      </c>
      <c r="L72" s="9" t="str">
        <f>IFERROR(__xludf.DUMMYFUNCTION("GOOGLETRANSLATE(E72,""en"",""ar"")"),"إن ملابسه (جلباب، عمامة) وعصاه الطويلة (آسا)، إلى جانب المعبد القديم في الخلفية، كلها من السمات المميزة لـ ""تحطيب"".")</f>
        <v>إن ملابسه (جلباب، عمامة) وعصاه الطويلة (آسا)، إلى جانب المعبد القديم في الخلفية، كلها من السمات المميزة لـ "تحطيب".</v>
      </c>
      <c r="M72" s="9"/>
      <c r="N72" s="9"/>
      <c r="O72" s="9"/>
      <c r="P72" s="9"/>
      <c r="Q72" s="9"/>
      <c r="R72" s="9"/>
      <c r="S72" s="9"/>
      <c r="T72" s="9"/>
      <c r="U72" s="9"/>
      <c r="V72" s="9"/>
      <c r="W72" s="9"/>
      <c r="X72" s="9"/>
      <c r="Y72" s="9"/>
      <c r="Z72" s="9"/>
      <c r="AA72" s="9"/>
      <c r="AB72" s="9"/>
      <c r="AC72" s="9"/>
      <c r="AD72" s="9"/>
      <c r="AE72" s="9"/>
      <c r="AF72" s="9"/>
      <c r="AG72" s="9"/>
    </row>
    <row r="73">
      <c r="A73" s="20" t="s">
        <v>2940</v>
      </c>
      <c r="B73" s="20" t="s">
        <v>2945</v>
      </c>
      <c r="C73" s="20" t="s">
        <v>2946</v>
      </c>
      <c r="D73" s="20" t="s">
        <v>2947</v>
      </c>
      <c r="E73" s="20" t="s">
        <v>2948</v>
      </c>
      <c r="F73" s="9"/>
      <c r="G73" s="9"/>
      <c r="H73" s="26" t="s">
        <v>2940</v>
      </c>
      <c r="I73" s="9" t="str">
        <f>IFERROR(__xludf.DUMMYFUNCTION("GOOGLETRANSLATE(B73,""en"",""ar"")"),"ما هو وضع الرجل؟")</f>
        <v>ما هو وضع الرجل؟</v>
      </c>
      <c r="J73" s="9" t="str">
        <f>IFERROR(__xludf.DUMMYFUNCTION("GOOGLETRANSLATE(C73,""en"",""ar"")"),"أ) يقف ساكنًا ويستريح، ب) يتخذ وضعية ديناميكية تشبه الرقص، ويحمل العصا عالياً، ج) يجلس على الأرض، د) ينحني للجمهور")</f>
        <v>أ) يقف ساكنًا ويستريح، ب) يتخذ وضعية ديناميكية تشبه الرقص، ويحمل العصا عالياً، ج) يجلس على الأرض، د) ينحني للجمهور</v>
      </c>
      <c r="K73" s="9" t="str">
        <f>IFERROR(__xludf.DUMMYFUNCTION("GOOGLETRANSLATE(D73,""en"",""ar"")"),"ب) إنه في وضع ديناميكي يشبه الرقص، ويحمل العصا عالياً")</f>
        <v>ب) إنه في وضع ديناميكي يشبه الرقص، ويحمل العصا عالياً</v>
      </c>
      <c r="L73" s="9" t="str">
        <f>IFERROR(__xludf.DUMMYFUNCTION("GOOGLETRANSLATE(E73,""en"",""ar"")"),"تعتبر هذه الوضعية بمثابة موقف قتالي تحضيري وحركة تعبيرية تشبه الرقص.")</f>
        <v>تعتبر هذه الوضعية بمثابة موقف قتالي تحضيري وحركة تعبيرية تشبه الرقص.</v>
      </c>
      <c r="M73" s="9"/>
      <c r="N73" s="9"/>
      <c r="O73" s="9"/>
      <c r="P73" s="9"/>
      <c r="Q73" s="9"/>
      <c r="R73" s="9"/>
      <c r="S73" s="9"/>
      <c r="T73" s="9"/>
      <c r="U73" s="9"/>
      <c r="V73" s="9"/>
      <c r="W73" s="9"/>
      <c r="X73" s="9"/>
      <c r="Y73" s="9"/>
      <c r="Z73" s="9"/>
      <c r="AA73" s="9"/>
      <c r="AB73" s="9"/>
      <c r="AC73" s="9"/>
      <c r="AD73" s="9"/>
      <c r="AE73" s="9"/>
      <c r="AF73" s="9"/>
      <c r="AG73" s="9"/>
    </row>
    <row r="74">
      <c r="A74" s="20" t="s">
        <v>2940</v>
      </c>
      <c r="B74" s="20" t="s">
        <v>2949</v>
      </c>
      <c r="C74" s="20" t="s">
        <v>2950</v>
      </c>
      <c r="D74" s="20" t="s">
        <v>2951</v>
      </c>
      <c r="E74" s="20" t="s">
        <v>2952</v>
      </c>
      <c r="F74" s="9"/>
      <c r="G74" s="9"/>
      <c r="H74" s="25" t="s">
        <v>2940</v>
      </c>
      <c r="I74" s="9" t="str">
        <f>IFERROR(__xludf.DUMMYFUNCTION("GOOGLETRANSLATE(B74,""en"",""ar"")"),"ما هي خلفية هذا المشهد؟")</f>
        <v>ما هي خلفية هذا المشهد؟</v>
      </c>
      <c r="J74" s="9" t="str">
        <f>IFERROR(__xludf.DUMMYFUNCTION("GOOGLETRANSLATE(C74,""en"",""ar"")"),"أ) أهرامات الجيزة، ب) مدينة حديثة، ج) المعابد القديمة في الأقصر أو الكرنك، د) واحة صحراوية")</f>
        <v>أ) أهرامات الجيزة، ب) مدينة حديثة، ج) المعابد القديمة في الأقصر أو الكرنك، د) واحة صحراوية</v>
      </c>
      <c r="K74" s="9" t="str">
        <f>IFERROR(__xludf.DUMMYFUNCTION("GOOGLETRANSLATE(D74,""en"",""ar"")"),"ج) المعابد القديمة في الأقصر أو الكرنك")</f>
        <v>ج) المعابد القديمة في الأقصر أو الكرنك</v>
      </c>
      <c r="L74" s="9" t="str">
        <f>IFERROR(__xludf.DUMMYFUNCTION("GOOGLETRANSLATE(E74,""en"",""ar"")"),"تشكل الجدران والأعمدة الحجرية المنحوتة جزءًا من مجمعات المعابد القديمة الشهيرة في صعيد مصر.")</f>
        <v>تشكل الجدران والأعمدة الحجرية المنحوتة جزءًا من مجمعات المعابد القديمة الشهيرة في صعيد مصر.</v>
      </c>
      <c r="M74" s="9"/>
      <c r="N74" s="9"/>
      <c r="O74" s="9"/>
      <c r="P74" s="9"/>
      <c r="Q74" s="9"/>
      <c r="R74" s="9"/>
      <c r="S74" s="9"/>
      <c r="T74" s="9"/>
      <c r="U74" s="9"/>
      <c r="V74" s="9"/>
      <c r="W74" s="9"/>
      <c r="X74" s="9"/>
      <c r="Y74" s="9"/>
      <c r="Z74" s="9"/>
      <c r="AA74" s="9"/>
      <c r="AB74" s="9"/>
      <c r="AC74" s="9"/>
      <c r="AD74" s="9"/>
      <c r="AE74" s="9"/>
      <c r="AF74" s="9"/>
      <c r="AG74" s="9"/>
    </row>
    <row r="75">
      <c r="A75" s="20" t="s">
        <v>2940</v>
      </c>
      <c r="B75" s="20" t="s">
        <v>2953</v>
      </c>
      <c r="C75" s="20" t="s">
        <v>2954</v>
      </c>
      <c r="D75" s="20" t="s">
        <v>2955</v>
      </c>
      <c r="E75" s="20" t="s">
        <v>2956</v>
      </c>
      <c r="F75" s="9"/>
      <c r="G75" s="9"/>
      <c r="H75" s="26" t="s">
        <v>2940</v>
      </c>
      <c r="I75" s="9" t="str">
        <f>IFERROR(__xludf.DUMMYFUNCTION("GOOGLETRANSLATE(B75,""en"",""ar"")"),"ماذا يفعل الأشخاص في الخلفية؟")</f>
        <v>ماذا يفعل الأشخاص في الخلفية؟</v>
      </c>
      <c r="J75" s="9" t="str">
        <f>IFERROR(__xludf.DUMMYFUNCTION("GOOGLETRANSLATE(C75,""en"",""ar"")"),"أ) إنهم نائمون، ب) إنهم يراقبون الممارس، ج) إنهم يزرعون، د) إنهم يهربون")</f>
        <v>أ) إنهم نائمون، ب) إنهم يراقبون الممارس، ج) إنهم يزرعون، د) إنهم يهربون</v>
      </c>
      <c r="K75" s="9" t="str">
        <f>IFERROR(__xludf.DUMMYFUNCTION("GOOGLETRANSLATE(D75,""en"",""ar"")"),"ب) إنهم يراقبون الممارس")</f>
        <v>ب) إنهم يراقبون الممارس</v>
      </c>
      <c r="L75" s="9" t="str">
        <f>IFERROR(__xludf.DUMMYFUNCTION("GOOGLETRANSLATE(E75,""en"",""ar"")"),"مجموعة من السكان المحليين والسياح يراقبون المظاهرة.")</f>
        <v>مجموعة من السكان المحليين والسياح يراقبون المظاهرة.</v>
      </c>
      <c r="M75" s="9"/>
      <c r="N75" s="9"/>
      <c r="O75" s="9"/>
      <c r="P75" s="9"/>
      <c r="Q75" s="9"/>
      <c r="R75" s="9"/>
      <c r="S75" s="9"/>
      <c r="T75" s="9"/>
      <c r="U75" s="9"/>
      <c r="V75" s="9"/>
      <c r="W75" s="9"/>
      <c r="X75" s="9"/>
      <c r="Y75" s="9"/>
      <c r="Z75" s="9"/>
      <c r="AA75" s="9"/>
      <c r="AB75" s="9"/>
      <c r="AC75" s="9"/>
      <c r="AD75" s="9"/>
      <c r="AE75" s="9"/>
      <c r="AF75" s="9"/>
      <c r="AG75" s="9"/>
    </row>
    <row r="76">
      <c r="A76" s="20" t="s">
        <v>2940</v>
      </c>
      <c r="B76" s="20" t="s">
        <v>2957</v>
      </c>
      <c r="C76" s="20" t="s">
        <v>2958</v>
      </c>
      <c r="D76" s="20" t="s">
        <v>2959</v>
      </c>
      <c r="E76" s="20" t="s">
        <v>2960</v>
      </c>
      <c r="F76" s="9"/>
      <c r="G76" s="9"/>
      <c r="H76" s="25" t="s">
        <v>2940</v>
      </c>
      <c r="I76" s="9" t="str">
        <f>IFERROR(__xludf.DUMMYFUNCTION("GOOGLETRANSLATE(B76,""en"",""ar"")"),"العصا الطويلة، أو ""آسا""، عادة ما تكون مصنوعة من...")</f>
        <v>العصا الطويلة، أو "آسا"، عادة ما تكون مصنوعة من...</v>
      </c>
      <c r="J76" s="9" t="str">
        <f>IFERROR(__xludf.DUMMYFUNCTION("GOOGLETRANSLATE(C76,""en"",""ar"")"),"أ) المعدن، ب) البلاستيك، ج) الروطان أو الخيزران، د) الزجاج")</f>
        <v>أ) المعدن، ب) البلاستيك، ج) الروطان أو الخيزران، د) الزجاج</v>
      </c>
      <c r="K76" s="9" t="str">
        <f>IFERROR(__xludf.DUMMYFUNCTION("GOOGLETRANSLATE(D76,""en"",""ar"")"),"ج) الروطان أو الخيزران")</f>
        <v>ج) الروطان أو الخيزران</v>
      </c>
      <c r="L76" s="9" t="str">
        <f>IFERROR(__xludf.DUMMYFUNCTION("GOOGLETRANSLATE(E76,""en"",""ar"")"),"تُصنع العصي من خشب قوي ومرن يمكنه تحمل تأثير ضرب عصا أخرى.")</f>
        <v>تُصنع العصي من خشب قوي ومرن يمكنه تحمل تأثير ضرب عصا أخرى.</v>
      </c>
      <c r="M76" s="9"/>
      <c r="N76" s="9"/>
      <c r="O76" s="9"/>
      <c r="P76" s="9"/>
      <c r="Q76" s="9"/>
      <c r="R76" s="9"/>
      <c r="S76" s="9"/>
      <c r="T76" s="9"/>
      <c r="U76" s="9"/>
      <c r="V76" s="9"/>
      <c r="W76" s="9"/>
      <c r="X76" s="9"/>
      <c r="Y76" s="9"/>
      <c r="Z76" s="9"/>
      <c r="AA76" s="9"/>
      <c r="AB76" s="9"/>
      <c r="AC76" s="9"/>
      <c r="AD76" s="9"/>
      <c r="AE76" s="9"/>
      <c r="AF76" s="9"/>
      <c r="AG76" s="9"/>
    </row>
    <row r="77">
      <c r="A77" s="20" t="s">
        <v>2940</v>
      </c>
      <c r="B77" s="20" t="s">
        <v>2961</v>
      </c>
      <c r="C77" s="20" t="s">
        <v>2962</v>
      </c>
      <c r="D77" s="20" t="s">
        <v>2963</v>
      </c>
      <c r="E77" s="20" t="s">
        <v>2964</v>
      </c>
      <c r="F77" s="9"/>
      <c r="G77" s="9"/>
      <c r="H77" s="26" t="s">
        <v>2940</v>
      </c>
      <c r="I77" s="9" t="str">
        <f>IFERROR(__xludf.DUMMYFUNCTION("GOOGLETRANSLATE(B77,""en"",""ar"")"),"غالبًا ما يتم أداء التحطيب بمصاحبة ...")</f>
        <v>غالبًا ما يتم أداء التحطيب بمصاحبة ...</v>
      </c>
      <c r="J77" s="9" t="str">
        <f>IFERROR(__xludf.DUMMYFUNCTION("GOOGLETRANSLATE(C77,""en"",""ar"")"),"أ) الصمت، ب) موسيقى البوب ​​المسجلة، ج) الموسيقى الحية التقليدية، د) صوت الريح")</f>
        <v>أ) الصمت، ب) موسيقى البوب ​​المسجلة، ج) الموسيقى الحية التقليدية، د) صوت الريح</v>
      </c>
      <c r="K77" s="9" t="str">
        <f>IFERROR(__xludf.DUMMYFUNCTION("GOOGLETRANSLATE(D77,""en"",""ar"")"),"ج) الموسيقى الحية التقليدية")</f>
        <v>ج) الموسيقى الحية التقليدية</v>
      </c>
      <c r="L77" s="9" t="str">
        <f>IFERROR(__xludf.DUMMYFUNCTION("GOOGLETRANSLATE(E77,""en"",""ar"")"),"تتم العروض بشكل تقليدي مصحوبة بموسيقيين يعزفون على آلات موسيقية مثل المزمار (المزمار) والطبول.")</f>
        <v>تتم العروض بشكل تقليدي مصحوبة بموسيقيين يعزفون على آلات موسيقية مثل المزمار (المزمار) والطبول.</v>
      </c>
      <c r="M77" s="9"/>
      <c r="N77" s="9"/>
      <c r="O77" s="9"/>
      <c r="P77" s="9"/>
      <c r="Q77" s="9"/>
      <c r="R77" s="9"/>
      <c r="S77" s="9"/>
      <c r="T77" s="9"/>
      <c r="U77" s="9"/>
      <c r="V77" s="9"/>
      <c r="W77" s="9"/>
      <c r="X77" s="9"/>
      <c r="Y77" s="9"/>
      <c r="Z77" s="9"/>
      <c r="AA77" s="9"/>
      <c r="AB77" s="9"/>
      <c r="AC77" s="9"/>
      <c r="AD77" s="9"/>
      <c r="AE77" s="9"/>
      <c r="AF77" s="9"/>
      <c r="AG77" s="9"/>
    </row>
    <row r="78">
      <c r="A78" s="20" t="s">
        <v>2940</v>
      </c>
      <c r="B78" s="20" t="s">
        <v>2965</v>
      </c>
      <c r="C78" s="20" t="s">
        <v>2966</v>
      </c>
      <c r="D78" s="20" t="s">
        <v>2967</v>
      </c>
      <c r="E78" s="20" t="s">
        <v>2968</v>
      </c>
      <c r="F78" s="9"/>
      <c r="G78" s="9"/>
      <c r="H78" s="25" t="s">
        <v>2940</v>
      </c>
      <c r="I78" s="9" t="str">
        <f>IFERROR(__xludf.DUMMYFUNCTION("GOOGLETRANSLATE(B78,""en"",""ar"")"),"ملابس الممارس، الجلابية، مناسبة تمامًا لـ...")</f>
        <v>ملابس الممارس، الجلابية، مناسبة تمامًا لـ...</v>
      </c>
      <c r="J78" s="9" t="str">
        <f>IFERROR(__xludf.DUMMYFUNCTION("GOOGLETRANSLATE(C78,""en"",""ar"")"),"أ) مناخ بارد ثلجي، ب) مناخ حار، لأنه فضفاض ويسمح بتدوير الهواء، ج) السباحة، د) المنافسة الرياضية الحديثة")</f>
        <v>أ) مناخ بارد ثلجي، ب) مناخ حار، لأنه فضفاض ويسمح بتدوير الهواء، ج) السباحة، د) المنافسة الرياضية الحديثة</v>
      </c>
      <c r="K78" s="9" t="str">
        <f>IFERROR(__xludf.DUMMYFUNCTION("GOOGLETRANSLATE(D78,""en"",""ar"")"),"ب) مناخ حار، فهو فضفاض ويسمح بتدوير الهواء.")</f>
        <v>ب) مناخ حار، فهو فضفاض ويسمح بتدوير الهواء.</v>
      </c>
      <c r="L78" s="9" t="str">
        <f>IFERROR(__xludf.DUMMYFUNCTION("GOOGLETRANSLATE(E78,""en"",""ar"")"),"الرداء التقليدي الفضفاض عملي بالنسبة للمناخ المصري.")</f>
        <v>الرداء التقليدي الفضفاض عملي بالنسبة للمناخ المصري.</v>
      </c>
      <c r="M78" s="9"/>
      <c r="N78" s="9"/>
      <c r="O78" s="9"/>
      <c r="P78" s="9"/>
      <c r="Q78" s="9"/>
      <c r="R78" s="9"/>
      <c r="S78" s="9"/>
      <c r="T78" s="9"/>
      <c r="U78" s="9"/>
      <c r="V78" s="9"/>
      <c r="W78" s="9"/>
      <c r="X78" s="9"/>
      <c r="Y78" s="9"/>
      <c r="Z78" s="9"/>
      <c r="AA78" s="9"/>
      <c r="AB78" s="9"/>
      <c r="AC78" s="9"/>
      <c r="AD78" s="9"/>
      <c r="AE78" s="9"/>
      <c r="AF78" s="9"/>
      <c r="AG78" s="9"/>
    </row>
    <row r="79">
      <c r="A79" s="20" t="s">
        <v>2940</v>
      </c>
      <c r="B79" s="20" t="s">
        <v>2969</v>
      </c>
      <c r="C79" s="20" t="s">
        <v>2970</v>
      </c>
      <c r="D79" s="20" t="s">
        <v>2971</v>
      </c>
      <c r="E79" s="20" t="s">
        <v>2972</v>
      </c>
      <c r="F79" s="9"/>
      <c r="G79" s="9"/>
      <c r="H79" s="26" t="s">
        <v>2940</v>
      </c>
      <c r="I79" s="9" t="str">
        <f>IFERROR(__xludf.DUMMYFUNCTION("GOOGLETRANSLATE(B79,""en"",""ar"")"),"يبدو أن هذا الحدث هو ...")</f>
        <v>يبدو أن هذا الحدث هو ...</v>
      </c>
      <c r="J79" s="9" t="str">
        <f>IFERROR(__xludf.DUMMYFUNCTION("GOOGLETRANSLATE(C79,""en"",""ar"")"),"أ) جلسة تدريب سرية، ب) قتال عنيف في الشارع، ج) عرض أو مظاهرة عامة، د) خدمة دينية")</f>
        <v>أ) جلسة تدريب سرية، ب) قتال عنيف في الشارع، ج) عرض أو مظاهرة عامة، د) خدمة دينية</v>
      </c>
      <c r="K79" s="9" t="str">
        <f>IFERROR(__xludf.DUMMYFUNCTION("GOOGLETRANSLATE(D79,""en"",""ar"")"),"ج) الأداء أو العرض العام")</f>
        <v>ج) الأداء أو العرض العام</v>
      </c>
      <c r="L79" s="9" t="str">
        <f>IFERROR(__xludf.DUMMYFUNCTION("GOOGLETRANSLATE(E79,""en"",""ar"")"),"يشير وجود جمهور جالس ومتفرجين عاديين إلى أن هذا عرض عام مخطط له.")</f>
        <v>يشير وجود جمهور جالس ومتفرجين عاديين إلى أن هذا عرض عام مخطط له.</v>
      </c>
      <c r="M79" s="9"/>
      <c r="N79" s="9"/>
      <c r="O79" s="9"/>
      <c r="P79" s="9"/>
      <c r="Q79" s="9"/>
      <c r="R79" s="9"/>
      <c r="S79" s="9"/>
      <c r="T79" s="9"/>
      <c r="U79" s="9"/>
      <c r="V79" s="9"/>
      <c r="W79" s="9"/>
      <c r="X79" s="9"/>
      <c r="Y79" s="9"/>
      <c r="Z79" s="9"/>
      <c r="AA79" s="9"/>
      <c r="AB79" s="9"/>
      <c r="AC79" s="9"/>
      <c r="AD79" s="9"/>
      <c r="AE79" s="9"/>
      <c r="AF79" s="9"/>
      <c r="AG79" s="9"/>
    </row>
    <row r="80">
      <c r="A80" s="20" t="s">
        <v>2940</v>
      </c>
      <c r="B80" s="20" t="s">
        <v>2973</v>
      </c>
      <c r="C80" s="20" t="s">
        <v>2974</v>
      </c>
      <c r="D80" s="20" t="s">
        <v>2975</v>
      </c>
      <c r="E80" s="20" t="s">
        <v>2976</v>
      </c>
      <c r="F80" s="9"/>
      <c r="G80" s="9"/>
      <c r="H80" s="25" t="s">
        <v>2940</v>
      </c>
      <c r="I80" s="9" t="str">
        <f>IFERROR(__xludf.DUMMYFUNCTION("GOOGLETRANSLATE(B80,""en"",""ar"")"),"تطور فن التحطيب من...")</f>
        <v>تطور فن التحطيب من...</v>
      </c>
      <c r="J80" s="9" t="str">
        <f>IFERROR(__xludf.DUMMYFUNCTION("GOOGLETRANSLATE(C80,""en"",""ar"")"),"أ) التدريب العسكري القديم، ب) شكل من أشكال الرقص الشعبي، ج) أداة يستخدمها المزارع لرعي الحيوانات، د) كل ما سبق")</f>
        <v>أ) التدريب العسكري القديم، ب) شكل من أشكال الرقص الشعبي، ج) أداة يستخدمها المزارع لرعي الحيوانات، د) كل ما سبق</v>
      </c>
      <c r="K80" s="9" t="str">
        <f>IFERROR(__xludf.DUMMYFUNCTION("GOOGLETRANSLATE(D80,""en"",""ar"")"),"د) كل ما سبق")</f>
        <v>د) كل ما سبق</v>
      </c>
      <c r="L80" s="9" t="str">
        <f>IFERROR(__xludf.DUMMYFUNCTION("GOOGLETRANSLATE(E80,""en"",""ar"")"),"التحطيب له جذور في كل هذه المناطق؛ فهو مهارة قتالية قديمة، ويؤدى على شكل رقص، والعصا هي أداة متعددة الاستخدامات.")</f>
        <v>التحطيب له جذور في كل هذه المناطق؛ فهو مهارة قتالية قديمة، ويؤدى على شكل رقص، والعصا هي أداة متعددة الاستخدامات.</v>
      </c>
      <c r="M80" s="9"/>
      <c r="N80" s="9"/>
      <c r="O80" s="9"/>
      <c r="P80" s="9"/>
      <c r="Q80" s="9"/>
      <c r="R80" s="9"/>
      <c r="S80" s="9"/>
      <c r="T80" s="9"/>
      <c r="U80" s="9"/>
      <c r="V80" s="9"/>
      <c r="W80" s="9"/>
      <c r="X80" s="9"/>
      <c r="Y80" s="9"/>
      <c r="Z80" s="9"/>
      <c r="AA80" s="9"/>
      <c r="AB80" s="9"/>
      <c r="AC80" s="9"/>
      <c r="AD80" s="9"/>
      <c r="AE80" s="9"/>
      <c r="AF80" s="9"/>
      <c r="AG80" s="9"/>
    </row>
    <row r="81">
      <c r="A81" s="20" t="s">
        <v>2940</v>
      </c>
      <c r="B81" s="20" t="s">
        <v>2977</v>
      </c>
      <c r="C81" s="20" t="s">
        <v>2978</v>
      </c>
      <c r="D81" s="20" t="s">
        <v>2979</v>
      </c>
      <c r="E81" s="20" t="s">
        <v>2980</v>
      </c>
      <c r="F81" s="9"/>
      <c r="G81" s="9"/>
      <c r="H81" s="26" t="s">
        <v>2940</v>
      </c>
      <c r="I81" s="9" t="str">
        <f>IFERROR(__xludf.DUMMYFUNCTION("GOOGLETRANSLATE(B81,""en"",""ar"")"),"إن التركيز الشديد للممارس يظهر أن التحطيب يتطلب...")</f>
        <v>إن التركيز الشديد للممارس يظهر أن التحطيب يتطلب...</v>
      </c>
      <c r="J81" s="9" t="str">
        <f>IFERROR(__xludf.DUMMYFUNCTION("GOOGLETRANSLATE(C81,""en"",""ar"")"),"أ) مهارة قليلة جدًا، ب) قوة بدنية فقط، ج) درجة عالية من التركيز والمهارة، د) صوت مرتفع")</f>
        <v>أ) مهارة قليلة جدًا، ب) قوة بدنية فقط، ج) درجة عالية من التركيز والمهارة، د) صوت مرتفع</v>
      </c>
      <c r="K81" s="9" t="str">
        <f>IFERROR(__xludf.DUMMYFUNCTION("GOOGLETRANSLATE(D81,""en"",""ar"")"),"ج) درجة عالية من التركيز والمهارة")</f>
        <v>ج) درجة عالية من التركيز والمهارة</v>
      </c>
      <c r="L81" s="9" t="str">
        <f>IFERROR(__xludf.DUMMYFUNCTION("GOOGLETRANSLATE(E81,""en"",""ar"")"),"وعلى الرغم من خصائصها الشبيهة بالرقص، فهي فن قتالي حقيقي يتطلب التركيز والدقة والتحكم.")</f>
        <v>وعلى الرغم من خصائصها الشبيهة بالرقص، فهي فن قتالي حقيقي يتطلب التركيز والدقة والتحكم.</v>
      </c>
      <c r="M81" s="9"/>
      <c r="N81" s="9"/>
      <c r="O81" s="9"/>
      <c r="P81" s="9"/>
      <c r="Q81" s="9"/>
      <c r="R81" s="9"/>
      <c r="S81" s="9"/>
      <c r="T81" s="9"/>
      <c r="U81" s="9"/>
      <c r="V81" s="9"/>
      <c r="W81" s="9"/>
      <c r="X81" s="9"/>
      <c r="Y81" s="9"/>
      <c r="Z81" s="9"/>
      <c r="AA81" s="9"/>
      <c r="AB81" s="9"/>
      <c r="AC81" s="9"/>
      <c r="AD81" s="9"/>
      <c r="AE81" s="9"/>
      <c r="AF81" s="9"/>
      <c r="AG81" s="9"/>
    </row>
    <row r="82">
      <c r="A82" s="20" t="s">
        <v>2981</v>
      </c>
      <c r="B82" s="20" t="s">
        <v>2982</v>
      </c>
      <c r="C82" s="20" t="s">
        <v>2983</v>
      </c>
      <c r="D82" s="20" t="s">
        <v>2702</v>
      </c>
      <c r="E82" s="20" t="s">
        <v>2984</v>
      </c>
      <c r="F82" s="9"/>
      <c r="G82" s="9"/>
      <c r="H82" s="25" t="s">
        <v>2981</v>
      </c>
      <c r="I82" s="9" t="str">
        <f>IFERROR(__xludf.DUMMYFUNCTION("GOOGLETRANSLATE(B82,""en"",""ar"")"),"الفنون القتالية التي تمارس هنا، مع رجلين يرتديان الجلباب ويقاتلان بعصي طويلة، تسمى...")</f>
        <v>الفنون القتالية التي تمارس هنا، مع رجلين يرتديان الجلباب ويقاتلان بعصي طويلة، تسمى...</v>
      </c>
      <c r="J82" s="9" t="str">
        <f>IFERROR(__xludf.DUMMYFUNCTION("GOOGLETRANSLATE(C82,""en"",""ar"")"),"أ) مصارعة النوبة، ب) المبارزة، ج) التحطيب، د) الكندو")</f>
        <v>أ) مصارعة النوبة، ب) المبارزة، ج) التحطيب، د) الكندو</v>
      </c>
      <c r="K82" s="9" t="str">
        <f>IFERROR(__xludf.DUMMYFUNCTION("GOOGLETRANSLATE(D82,""en"",""ar"")"),"ج) التحطيب")</f>
        <v>ج) التحطيب</v>
      </c>
      <c r="L82" s="9" t="str">
        <f>IFERROR(__xludf.DUMMYFUNCTION("GOOGLETRANSLATE(E82,""en"",""ar"")"),"هذا عرض ليلي لفن القتال بالعصا المصرية المعروف باسم التحطيب.")</f>
        <v>هذا عرض ليلي لفن القتال بالعصا المصرية المعروف باسم التحطيب.</v>
      </c>
      <c r="M82" s="9"/>
      <c r="N82" s="9"/>
      <c r="O82" s="9"/>
      <c r="P82" s="9"/>
      <c r="Q82" s="9"/>
      <c r="R82" s="9"/>
      <c r="S82" s="9"/>
      <c r="T82" s="9"/>
      <c r="U82" s="9"/>
      <c r="V82" s="9"/>
      <c r="W82" s="9"/>
      <c r="X82" s="9"/>
      <c r="Y82" s="9"/>
      <c r="Z82" s="9"/>
      <c r="AA82" s="9"/>
      <c r="AB82" s="9"/>
      <c r="AC82" s="9"/>
      <c r="AD82" s="9"/>
      <c r="AE82" s="9"/>
      <c r="AF82" s="9"/>
      <c r="AG82" s="9"/>
    </row>
    <row r="83">
      <c r="A83" s="20" t="s">
        <v>2981</v>
      </c>
      <c r="B83" s="20" t="s">
        <v>2908</v>
      </c>
      <c r="C83" s="20" t="s">
        <v>2985</v>
      </c>
      <c r="D83" s="20" t="s">
        <v>2986</v>
      </c>
      <c r="E83" s="20" t="s">
        <v>2987</v>
      </c>
      <c r="F83" s="9"/>
      <c r="G83" s="9"/>
      <c r="H83" s="26" t="s">
        <v>2981</v>
      </c>
      <c r="I83" s="9" t="str">
        <f>IFERROR(__xludf.DUMMYFUNCTION("GOOGLETRANSLATE(B83,""en"",""ar"")"),"ما هو الإعداد لهذا الحدث؟")</f>
        <v>ما هو الإعداد لهذا الحدث؟</v>
      </c>
      <c r="J83" s="9" t="str">
        <f>IFERROR(__xludf.DUMMYFUNCTION("GOOGLETRANSLATE(C83,""en"",""ar"")"),"أ) ساحة رياضية رسمية حديثة، ب) تجمع مجتمعي غير رسمي في الهواء الطلق ليلاً، ج) قاعة تدريب خاصة داخلية، د) معسكر صحراوي")</f>
        <v>أ) ساحة رياضية رسمية حديثة، ب) تجمع مجتمعي غير رسمي في الهواء الطلق ليلاً، ج) قاعة تدريب خاصة داخلية، د) معسكر صحراوي</v>
      </c>
      <c r="K83" s="9" t="str">
        <f>IFERROR(__xludf.DUMMYFUNCTION("GOOGLETRANSLATE(D83,""en"",""ar"")"),"ب) تجمع مجتمعي غير رسمي في الهواء الطلق ليلاً")</f>
        <v>ب) تجمع مجتمعي غير رسمي في الهواء الطلق ليلاً</v>
      </c>
      <c r="L83" s="9" t="str">
        <f>IFERROR(__xludf.DUMMYFUNCTION("GOOGLETRANSLATE(E83,""en"",""ar"")"),"ويقام الحدث في الليل، مع تجمع المجتمع المحلي لمشاهدته.")</f>
        <v>ويقام الحدث في الليل، مع تجمع المجتمع المحلي لمشاهدته.</v>
      </c>
      <c r="M83" s="9"/>
      <c r="N83" s="9"/>
      <c r="O83" s="9"/>
      <c r="P83" s="9"/>
      <c r="Q83" s="9"/>
      <c r="R83" s="9"/>
      <c r="S83" s="9"/>
      <c r="T83" s="9"/>
      <c r="U83" s="9"/>
      <c r="V83" s="9"/>
      <c r="W83" s="9"/>
      <c r="X83" s="9"/>
      <c r="Y83" s="9"/>
      <c r="Z83" s="9"/>
      <c r="AA83" s="9"/>
      <c r="AB83" s="9"/>
      <c r="AC83" s="9"/>
      <c r="AD83" s="9"/>
      <c r="AE83" s="9"/>
      <c r="AF83" s="9"/>
      <c r="AG83" s="9"/>
    </row>
    <row r="84">
      <c r="A84" s="20" t="s">
        <v>2981</v>
      </c>
      <c r="B84" s="20" t="s">
        <v>2988</v>
      </c>
      <c r="C84" s="20" t="s">
        <v>2989</v>
      </c>
      <c r="D84" s="20" t="s">
        <v>2990</v>
      </c>
      <c r="E84" s="20" t="s">
        <v>2991</v>
      </c>
      <c r="F84" s="9"/>
      <c r="G84" s="9"/>
      <c r="H84" s="25" t="s">
        <v>2981</v>
      </c>
      <c r="I84" s="9" t="str">
        <f>IFERROR(__xludf.DUMMYFUNCTION("GOOGLETRANSLATE(B84,""en"",""ar"")"),"كيف يتم إضاءة المشهد؟")</f>
        <v>كيف يتم إضاءة المشهد؟</v>
      </c>
      <c r="J84" s="9" t="str">
        <f>IFERROR(__xludf.DUMMYFUNCTION("GOOGLETRANSLATE(C84,""en"",""ar"")"),"أ) بالقمر المكتمل، ب) بنار المخيم، ج) بالإضاءة الاصطناعية البسيطة، د) لا يتم إضاءته؛ استخدمت الصورة فلاشًا")</f>
        <v>أ) بالقمر المكتمل، ب) بنار المخيم، ج) بالإضاءة الاصطناعية البسيطة، د) لا يتم إضاءته؛ استخدمت الصورة فلاشًا</v>
      </c>
      <c r="K84" s="9" t="str">
        <f>IFERROR(__xludf.DUMMYFUNCTION("GOOGLETRANSLATE(D84,""en"",""ar"")"),"ج) عن طريق الإضاءة الاصطناعية البسيطة")</f>
        <v>ج) عن طريق الإضاءة الاصطناعية البسيطة</v>
      </c>
      <c r="L84" s="9" t="str">
        <f>IFERROR(__xludf.DUMMYFUNCTION("GOOGLETRANSLATE(E84,""en"",""ar"")"),"الإضاءة قاسية ومباشرة، ومن المحتمل أنها تأتي من مصباح واحد أو كشاف ضوء بسيط، كما يشير الفلاش الساطع على بعض المتفرجين.")</f>
        <v>الإضاءة قاسية ومباشرة، ومن المحتمل أنها تأتي من مصباح واحد أو كشاف ضوء بسيط، كما يشير الفلاش الساطع على بعض المتفرجين.</v>
      </c>
      <c r="M84" s="9"/>
      <c r="N84" s="9"/>
      <c r="O84" s="9"/>
      <c r="P84" s="9"/>
      <c r="Q84" s="9"/>
      <c r="R84" s="9"/>
      <c r="S84" s="9"/>
      <c r="T84" s="9"/>
      <c r="U84" s="9"/>
      <c r="V84" s="9"/>
      <c r="W84" s="9"/>
      <c r="X84" s="9"/>
      <c r="Y84" s="9"/>
      <c r="Z84" s="9"/>
      <c r="AA84" s="9"/>
      <c r="AB84" s="9"/>
      <c r="AC84" s="9"/>
      <c r="AD84" s="9"/>
      <c r="AE84" s="9"/>
      <c r="AF84" s="9"/>
      <c r="AG84" s="9"/>
    </row>
    <row r="85">
      <c r="A85" s="20" t="s">
        <v>2981</v>
      </c>
      <c r="B85" s="20" t="s">
        <v>2992</v>
      </c>
      <c r="C85" s="20" t="s">
        <v>2993</v>
      </c>
      <c r="D85" s="20" t="s">
        <v>2994</v>
      </c>
      <c r="E85" s="20" t="s">
        <v>2995</v>
      </c>
      <c r="F85" s="9"/>
      <c r="G85" s="9"/>
      <c r="H85" s="26" t="s">
        <v>2981</v>
      </c>
      <c r="I85" s="9" t="str">
        <f>IFERROR(__xludf.DUMMYFUNCTION("GOOGLETRANSLATE(B85,""en"",""ar"")"),"ماذا يرتدي المقاتلان؟")</f>
        <v>ماذا يرتدي المقاتلان؟</v>
      </c>
      <c r="J85" s="9" t="str">
        <f>IFERROR(__xludf.DUMMYFUNCTION("GOOGLETRANSLATE(C85,""en"",""ar"")"),"أ) الملابس الرياضية الحديثة، ب) الجلابيب التقليدية الطويلة (الجلابيات)، ج) الدروع الثقيلة، د) جلود الحيوانات")</f>
        <v>أ) الملابس الرياضية الحديثة، ب) الجلابيب التقليدية الطويلة (الجلابيات)، ج) الدروع الثقيلة، د) جلود الحيوانات</v>
      </c>
      <c r="K85" s="9" t="str">
        <f>IFERROR(__xludf.DUMMYFUNCTION("GOOGLETRANSLATE(D85,""en"",""ar"")"),"ب) الجلابيب التقليدية الطويلة (الجلابيات)")</f>
        <v>ب) الجلابيب التقليدية الطويلة (الجلابيات)</v>
      </c>
      <c r="L85" s="9" t="str">
        <f>IFERROR(__xludf.DUMMYFUNCTION("GOOGLETRANSLATE(E85,""en"",""ar"")"),"كلاهما يرتديان الجلابية المصرية التقليدية، واحدة داكنة والأخرى زرقاء.")</f>
        <v>كلاهما يرتديان الجلابية المصرية التقليدية، واحدة داكنة والأخرى زرقاء.</v>
      </c>
      <c r="M85" s="9"/>
      <c r="N85" s="9"/>
      <c r="O85" s="9"/>
      <c r="P85" s="9"/>
      <c r="Q85" s="9"/>
      <c r="R85" s="9"/>
      <c r="S85" s="9"/>
      <c r="T85" s="9"/>
      <c r="U85" s="9"/>
      <c r="V85" s="9"/>
      <c r="W85" s="9"/>
      <c r="X85" s="9"/>
      <c r="Y85" s="9"/>
      <c r="Z85" s="9"/>
      <c r="AA85" s="9"/>
      <c r="AB85" s="9"/>
      <c r="AC85" s="9"/>
      <c r="AD85" s="9"/>
      <c r="AE85" s="9"/>
      <c r="AF85" s="9"/>
      <c r="AG85" s="9"/>
    </row>
    <row r="86">
      <c r="A86" s="20" t="s">
        <v>2981</v>
      </c>
      <c r="B86" s="20" t="s">
        <v>2996</v>
      </c>
      <c r="C86" s="20" t="s">
        <v>2997</v>
      </c>
      <c r="D86" s="20" t="s">
        <v>2998</v>
      </c>
      <c r="E86" s="20" t="s">
        <v>2999</v>
      </c>
      <c r="F86" s="9"/>
      <c r="G86" s="9"/>
      <c r="H86" s="25" t="s">
        <v>2981</v>
      </c>
      <c r="I86" s="9" t="str">
        <f>IFERROR(__xludf.DUMMYFUNCTION("GOOGLETRANSLATE(B86,""en"",""ar"")"),"ماذا يفعل الحشد في الخلفية؟")</f>
        <v>ماذا يفعل الحشد في الخلفية؟</v>
      </c>
      <c r="J86" s="9" t="str">
        <f>IFERROR(__xludf.DUMMYFUNCTION("GOOGLETRANSLATE(C86,""en"",""ar"")"),"أ) إنهم يشاركون في القتال، ب) إنهم جميعًا يغادرون، ج) إنهم يقفون في دائرة، ويراقبون المباراة عن كثب، د) إنهم نائمون")</f>
        <v>أ) إنهم يشاركون في القتال، ب) إنهم جميعًا يغادرون، ج) إنهم يقفون في دائرة، ويراقبون المباراة عن كثب، د) إنهم نائمون</v>
      </c>
      <c r="K86" s="9" t="str">
        <f>IFERROR(__xludf.DUMMYFUNCTION("GOOGLETRANSLATE(D86,""en"",""ar"")"),"ج) يقفون في دائرة، ويراقبون المباراة عن كثب")</f>
        <v>ج) يقفون في دائرة، ويراقبون المباراة عن كثب</v>
      </c>
      <c r="L86" s="9" t="str">
        <f>IFERROR(__xludf.DUMMYFUNCTION("GOOGLETRANSLATE(E86,""en"",""ar"")"),"وقد شكلت مجموعة كبيرة من رجال المجتمع حلقة لمراقبة المقاتلين.")</f>
        <v>وقد شكلت مجموعة كبيرة من رجال المجتمع حلقة لمراقبة المقاتلين.</v>
      </c>
      <c r="M86" s="9"/>
      <c r="N86" s="9"/>
      <c r="O86" s="9"/>
      <c r="P86" s="9"/>
      <c r="Q86" s="9"/>
      <c r="R86" s="9"/>
      <c r="S86" s="9"/>
      <c r="T86" s="9"/>
      <c r="U86" s="9"/>
      <c r="V86" s="9"/>
      <c r="W86" s="9"/>
      <c r="X86" s="9"/>
      <c r="Y86" s="9"/>
      <c r="Z86" s="9"/>
      <c r="AA86" s="9"/>
      <c r="AB86" s="9"/>
      <c r="AC86" s="9"/>
      <c r="AD86" s="9"/>
      <c r="AE86" s="9"/>
      <c r="AF86" s="9"/>
      <c r="AG86" s="9"/>
    </row>
    <row r="87">
      <c r="A87" s="20" t="s">
        <v>2981</v>
      </c>
      <c r="B87" s="20" t="s">
        <v>3000</v>
      </c>
      <c r="C87" s="20" t="s">
        <v>3001</v>
      </c>
      <c r="D87" s="20" t="s">
        <v>3002</v>
      </c>
      <c r="E87" s="20" t="s">
        <v>3003</v>
      </c>
      <c r="F87" s="9"/>
      <c r="G87" s="9"/>
      <c r="H87" s="26" t="s">
        <v>2981</v>
      </c>
      <c r="I87" s="9" t="str">
        <f>IFERROR(__xludf.DUMMYFUNCTION("GOOGLETRANSLATE(B87,""en"",""ar"")"),"وضعيات المقاتلين هي...")</f>
        <v>وضعيات المقاتلين هي...</v>
      </c>
      <c r="J87" s="9" t="str">
        <f>IFERROR(__xludf.DUMMYFUNCTION("GOOGLETRANSLATE(C87,""en"",""ar"")"),"أ) جامدة وثابتة، ب) ديناميكية ومتحركة، ج) مريحة وغير رسمية، د) متطابقة مع بعضها البعض")</f>
        <v>أ) جامدة وثابتة، ب) ديناميكية ومتحركة، ج) مريحة وغير رسمية، د) متطابقة مع بعضها البعض</v>
      </c>
      <c r="K87" s="9" t="str">
        <f>IFERROR(__xludf.DUMMYFUNCTION("GOOGLETRANSLATE(D87,""en"",""ar"")"),"ب) ديناميكي ومتحرك")</f>
        <v>ب) ديناميكي ومتحرك</v>
      </c>
      <c r="L87" s="9" t="str">
        <f>IFERROR(__xludf.DUMMYFUNCTION("GOOGLETRANSLATE(E87,""en"",""ar"")"),"يتخذ كلا الرجلين وضعيات رياضية، ويشاركان بنشاط في تبادل سريع الخطى.")</f>
        <v>يتخذ كلا الرجلين وضعيات رياضية، ويشاركان بنشاط في تبادل سريع الخطى.</v>
      </c>
      <c r="M87" s="9"/>
      <c r="N87" s="9"/>
      <c r="O87" s="9"/>
      <c r="P87" s="9"/>
      <c r="Q87" s="9"/>
      <c r="R87" s="9"/>
      <c r="S87" s="9"/>
      <c r="T87" s="9"/>
      <c r="U87" s="9"/>
      <c r="V87" s="9"/>
      <c r="W87" s="9"/>
      <c r="X87" s="9"/>
      <c r="Y87" s="9"/>
      <c r="Z87" s="9"/>
      <c r="AA87" s="9"/>
      <c r="AB87" s="9"/>
      <c r="AC87" s="9"/>
      <c r="AD87" s="9"/>
      <c r="AE87" s="9"/>
      <c r="AF87" s="9"/>
      <c r="AG87" s="9"/>
    </row>
    <row r="88">
      <c r="A88" s="20" t="s">
        <v>2981</v>
      </c>
      <c r="B88" s="20" t="s">
        <v>3004</v>
      </c>
      <c r="C88" s="20" t="s">
        <v>3005</v>
      </c>
      <c r="D88" s="20" t="s">
        <v>3006</v>
      </c>
      <c r="E88" s="20" t="s">
        <v>3007</v>
      </c>
      <c r="F88" s="9"/>
      <c r="G88" s="9"/>
      <c r="H88" s="25" t="s">
        <v>2981</v>
      </c>
      <c r="I88" s="9" t="str">
        <f>IFERROR(__xludf.DUMMYFUNCTION("GOOGLETRANSLATE(B88,""en"",""ar"")"),"الرجل ذو العمامة البيضاء يُدير ظهره جزئيًا للكاميرا. إنه...")</f>
        <v>الرجل ذو العمامة البيضاء يُدير ظهره جزئيًا للكاميرا. إنه...</v>
      </c>
      <c r="J88" s="9" t="str">
        <f>IFERROR(__xludf.DUMMYFUNCTION("GOOGLETRANSLATE(C88,""en"",""ar"")"),"أ) في الهجوم، مهاجمة الرجل باللون الأزرق، ب) في الدفاع، منع ضربة من الرجل باللون الأزرق، ج) مجرد متفرج، د) الحكم")</f>
        <v>أ) في الهجوم، مهاجمة الرجل باللون الأزرق، ب) في الدفاع، منع ضربة من الرجل باللون الأزرق، ج) مجرد متفرج، د) الحكم</v>
      </c>
      <c r="K88" s="9" t="str">
        <f>IFERROR(__xludf.DUMMYFUNCTION("GOOGLETRANSLATE(D88,""en"",""ar"")"),"ب) في الدفاع، منع ضربة من الرجل باللون الأزرق")</f>
        <v>ب) في الدفاع، منع ضربة من الرجل باللون الأزرق</v>
      </c>
      <c r="L88" s="9" t="str">
        <f>IFERROR(__xludf.DUMMYFUNCTION("GOOGLETRANSLATE(E88,""en"",""ar"")"),"يتم وضع عصاه لصد الضربة الأفقية القادمة من خصمه.")</f>
        <v>يتم وضع عصاه لصد الضربة الأفقية القادمة من خصمه.</v>
      </c>
      <c r="M88" s="9"/>
      <c r="N88" s="9"/>
      <c r="O88" s="9"/>
      <c r="P88" s="9"/>
      <c r="Q88" s="9"/>
      <c r="R88" s="9"/>
      <c r="S88" s="9"/>
      <c r="T88" s="9"/>
      <c r="U88" s="9"/>
      <c r="V88" s="9"/>
      <c r="W88" s="9"/>
      <c r="X88" s="9"/>
      <c r="Y88" s="9"/>
      <c r="Z88" s="9"/>
      <c r="AA88" s="9"/>
      <c r="AB88" s="9"/>
      <c r="AC88" s="9"/>
      <c r="AD88" s="9"/>
      <c r="AE88" s="9"/>
      <c r="AF88" s="9"/>
      <c r="AG88" s="9"/>
    </row>
    <row r="89">
      <c r="A89" s="20" t="s">
        <v>2981</v>
      </c>
      <c r="B89" s="20" t="s">
        <v>3008</v>
      </c>
      <c r="C89" s="20" t="s">
        <v>3009</v>
      </c>
      <c r="D89" s="20" t="s">
        <v>3010</v>
      </c>
      <c r="E89" s="20" t="s">
        <v>3011</v>
      </c>
      <c r="F89" s="9"/>
      <c r="G89" s="9"/>
      <c r="H89" s="26" t="s">
        <v>2981</v>
      </c>
      <c r="I89" s="9" t="str">
        <f>IFERROR(__xludf.DUMMYFUNCTION("GOOGLETRANSLATE(B89,""en"",""ar"")"),"تظهر هذه الصورة أن التحطيب جزء مهم من...")</f>
        <v>تظهر هذه الصورة أن التحطيب جزء مهم من...</v>
      </c>
      <c r="J89" s="9" t="str">
        <f>IFERROR(__xludf.DUMMYFUNCTION("GOOGLETRANSLATE(C89,""en"",""ar"")"),"أ) التدريب العسكري الحديث، ب) الحياة الاجتماعية والترفيهية في المجتمعات المصرية، ج) المناهج الدراسية في مصر، د) الألعاب الأولمبية")</f>
        <v>أ) التدريب العسكري الحديث، ب) الحياة الاجتماعية والترفيهية في المجتمعات المصرية، ج) المناهج الدراسية في مصر، د) الألعاب الأولمبية</v>
      </c>
      <c r="K89" s="9" t="str">
        <f>IFERROR(__xludf.DUMMYFUNCTION("GOOGLETRANSLATE(D89,""en"",""ar"")"),"ب) الحياة الاجتماعية والترفيهية في المجتمعات المصرية")</f>
        <v>ب) الحياة الاجتماعية والترفيهية في المجتمعات المصرية</v>
      </c>
      <c r="L89" s="9" t="str">
        <f>IFERROR(__xludf.DUMMYFUNCTION("GOOGLETRANSLATE(E89,""en"",""ar"")"),"وتُعد مثل هذه الأحداث شكلاً شائعًا للترفيه والتعبير الثقافي في حفلات الزفاف والمهرجانات والتجمعات الاجتماعية الأخرى.")</f>
        <v>وتُعد مثل هذه الأحداث شكلاً شائعًا للترفيه والتعبير الثقافي في حفلات الزفاف والمهرجانات والتجمعات الاجتماعية الأخرى.</v>
      </c>
      <c r="M89" s="9"/>
      <c r="N89" s="9"/>
      <c r="O89" s="9"/>
      <c r="P89" s="9"/>
      <c r="Q89" s="9"/>
      <c r="R89" s="9"/>
      <c r="S89" s="9"/>
      <c r="T89" s="9"/>
      <c r="U89" s="9"/>
      <c r="V89" s="9"/>
      <c r="W89" s="9"/>
      <c r="X89" s="9"/>
      <c r="Y89" s="9"/>
      <c r="Z89" s="9"/>
      <c r="AA89" s="9"/>
      <c r="AB89" s="9"/>
      <c r="AC89" s="9"/>
      <c r="AD89" s="9"/>
      <c r="AE89" s="9"/>
      <c r="AF89" s="9"/>
      <c r="AG89" s="9"/>
    </row>
    <row r="90">
      <c r="A90" s="20" t="s">
        <v>2981</v>
      </c>
      <c r="B90" s="20" t="s">
        <v>3012</v>
      </c>
      <c r="C90" s="20" t="s">
        <v>3013</v>
      </c>
      <c r="D90" s="20" t="s">
        <v>3014</v>
      </c>
      <c r="E90" s="20" t="s">
        <v>3015</v>
      </c>
      <c r="F90" s="9"/>
      <c r="G90" s="9"/>
      <c r="H90" s="25" t="s">
        <v>2981</v>
      </c>
      <c r="I90" s="9" t="str">
        <f>IFERROR(__xludf.DUMMYFUNCTION("GOOGLETRANSLATE(B90,""en"",""ar"")"),"يشير الإعداد البسيط إلى أن هذا ...")</f>
        <v>يشير الإعداد البسيط إلى أن هذا ...</v>
      </c>
      <c r="J90" s="9" t="str">
        <f>IFERROR(__xludf.DUMMYFUNCTION("GOOGLETRANSLATE(C90,""en"",""ar"")"),"أ) بطولة دولية عالية المخاطر، ب) حدث محلي شعبي، ج) عرض للسياح، د) إعادة تمثيل تاريخي")</f>
        <v>أ) بطولة دولية عالية المخاطر، ب) حدث محلي شعبي، ج) عرض للسياح، د) إعادة تمثيل تاريخي</v>
      </c>
      <c r="K90" s="9" t="str">
        <f>IFERROR(__xludf.DUMMYFUNCTION("GOOGLETRANSLATE(D90,""en"",""ar"")"),"ب) حدث شعبي محلي")</f>
        <v>ب) حدث شعبي محلي</v>
      </c>
      <c r="L90" s="9" t="str">
        <f>IFERROR(__xludf.DUMMYFUNCTION("GOOGLETRANSLATE(E90,""en"",""ar"")"),"يشير الإطار غير الرسمي والجمهور المحلي إلى حدث مجتمعي حقيقي، وليس إنتاجًا تجاريًا كبيرًا.")</f>
        <v>يشير الإطار غير الرسمي والجمهور المحلي إلى حدث مجتمعي حقيقي، وليس إنتاجًا تجاريًا كبيرًا.</v>
      </c>
      <c r="M90" s="9"/>
      <c r="N90" s="9"/>
      <c r="O90" s="9"/>
      <c r="P90" s="9"/>
      <c r="Q90" s="9"/>
      <c r="R90" s="9"/>
      <c r="S90" s="9"/>
      <c r="T90" s="9"/>
      <c r="U90" s="9"/>
      <c r="V90" s="9"/>
      <c r="W90" s="9"/>
      <c r="X90" s="9"/>
      <c r="Y90" s="9"/>
      <c r="Z90" s="9"/>
      <c r="AA90" s="9"/>
      <c r="AB90" s="9"/>
      <c r="AC90" s="9"/>
      <c r="AD90" s="9"/>
      <c r="AE90" s="9"/>
      <c r="AF90" s="9"/>
      <c r="AG90" s="9"/>
    </row>
    <row r="91">
      <c r="A91" s="20" t="s">
        <v>2981</v>
      </c>
      <c r="B91" s="20" t="s">
        <v>3016</v>
      </c>
      <c r="C91" s="20" t="s">
        <v>3017</v>
      </c>
      <c r="D91" s="20" t="s">
        <v>3018</v>
      </c>
      <c r="E91" s="20" t="s">
        <v>3019</v>
      </c>
      <c r="F91" s="9"/>
      <c r="G91" s="9"/>
      <c r="H91" s="26" t="s">
        <v>2981</v>
      </c>
      <c r="I91" s="9" t="str">
        <f>IFERROR(__xludf.DUMMYFUNCTION("GOOGLETRANSLATE(B91,""en"",""ar"")"),"تشير الحركة الضبابية للمقاتل باللون الأسود إلى ...")</f>
        <v>تشير الحركة الضبابية للمقاتل باللون الأسود إلى ...</v>
      </c>
      <c r="J91" s="9" t="str">
        <f>IFERROR(__xludf.DUMMYFUNCTION("GOOGLETRANSLATE(C91,""en"",""ar"")"),"أ) إنه يتحرك بسرعة كبيرة، ب) إنه يقف ساكنًا تمامًا، ج) الصورة ذات جودة رديئة، د) إنه شبح")</f>
        <v>أ) إنه يتحرك بسرعة كبيرة، ب) إنه يقف ساكنًا تمامًا، ج) الصورة ذات جودة رديئة، د) إنه شبح</v>
      </c>
      <c r="K91" s="9" t="str">
        <f>IFERROR(__xludf.DUMMYFUNCTION("GOOGLETRANSLATE(D91,""en"",""ar"")"),"أ) إنه يتحرك بسرعة كبيرة")</f>
        <v>أ) إنه يتحرك بسرعة كبيرة</v>
      </c>
      <c r="L91" s="9" t="str">
        <f>IFERROR(__xludf.DUMMYFUNCTION("GOOGLETRANSLATE(E91,""en"",""ar"")"),"يحدث ضباب الحركة بسبب حركته السريعة أثناء تعرض الكاميرا، مما يضيف إلى ديناميكية المشهد.")</f>
        <v>يحدث ضباب الحركة بسبب حركته السريعة أثناء تعرض الكاميرا، مما يضيف إلى ديناميكية المشهد.</v>
      </c>
      <c r="M91" s="9"/>
      <c r="N91" s="9"/>
      <c r="O91" s="9"/>
      <c r="P91" s="9"/>
      <c r="Q91" s="9"/>
      <c r="R91" s="9"/>
      <c r="S91" s="9"/>
      <c r="T91" s="9"/>
      <c r="U91" s="9"/>
      <c r="V91" s="9"/>
      <c r="W91" s="9"/>
      <c r="X91" s="9"/>
      <c r="Y91" s="9"/>
      <c r="Z91" s="9"/>
      <c r="AA91" s="9"/>
      <c r="AB91" s="9"/>
      <c r="AC91" s="9"/>
      <c r="AD91" s="9"/>
      <c r="AE91" s="9"/>
      <c r="AF91" s="9"/>
      <c r="AG91" s="9"/>
    </row>
    <row r="92">
      <c r="A92" s="20" t="s">
        <v>3020</v>
      </c>
      <c r="B92" s="20" t="s">
        <v>3021</v>
      </c>
      <c r="C92" s="20" t="s">
        <v>3022</v>
      </c>
      <c r="D92" s="20" t="s">
        <v>2862</v>
      </c>
      <c r="E92" s="20" t="s">
        <v>3023</v>
      </c>
      <c r="F92" s="9"/>
      <c r="G92" s="9"/>
      <c r="H92" s="25" t="s">
        <v>3020</v>
      </c>
      <c r="I92" s="9" t="str">
        <f>IFERROR(__xludf.DUMMYFUNCTION("GOOGLETRANSLATE(B92,""en"",""ar"")"),"ما هو أحد فنون القتال السودانية التقليدية التي تصورها هذه الصورة التاريخية؟")</f>
        <v>ما هو أحد فنون القتال السودانية التقليدية التي تصورها هذه الصورة التاريخية؟</v>
      </c>
      <c r="J92" s="9" t="str">
        <f>IFERROR(__xludf.DUMMYFUNCTION("GOOGLETRANSLATE(C92,""en"",""ar"")"),"أ) القتال بالعصا، ب) المصارعة النوبية، ج) الرماية، د) أحد أشكال المبارزة")</f>
        <v>أ) القتال بالعصا، ب) المصارعة النوبية، ج) الرماية، د) أحد أشكال المبارزة</v>
      </c>
      <c r="K92" s="9" t="str">
        <f>IFERROR(__xludf.DUMMYFUNCTION("GOOGLETRANSLATE(D92,""en"",""ar"")"),"ب) المصارعة النوبية")</f>
        <v>ب) المصارعة النوبية</v>
      </c>
      <c r="L92" s="9" t="str">
        <f>IFERROR(__xludf.DUMMYFUNCTION("GOOGLETRANSLATE(E92,""en"",""ar"")"),"تظهر هذه الصورة مسابقة مصارعة، وهي من سمات مصارعة النوبة، وليس قتال العصا، على الرغم من وجود الرمح.")</f>
        <v>تظهر هذه الصورة مسابقة مصارعة، وهي من سمات مصارعة النوبة، وليس قتال العصا، على الرغم من وجود الرمح.</v>
      </c>
      <c r="M92" s="9"/>
      <c r="N92" s="9"/>
      <c r="O92" s="9"/>
      <c r="P92" s="9"/>
      <c r="Q92" s="9"/>
      <c r="R92" s="9"/>
      <c r="S92" s="9"/>
      <c r="T92" s="9"/>
      <c r="U92" s="9"/>
      <c r="V92" s="9"/>
      <c r="W92" s="9"/>
      <c r="X92" s="9"/>
      <c r="Y92" s="9"/>
      <c r="Z92" s="9"/>
      <c r="AA92" s="9"/>
      <c r="AB92" s="9"/>
      <c r="AC92" s="9"/>
      <c r="AD92" s="9"/>
      <c r="AE92" s="9"/>
      <c r="AF92" s="9"/>
      <c r="AG92" s="9"/>
    </row>
    <row r="93">
      <c r="A93" s="20" t="s">
        <v>3020</v>
      </c>
      <c r="B93" s="20" t="s">
        <v>3024</v>
      </c>
      <c r="C93" s="20" t="s">
        <v>3025</v>
      </c>
      <c r="D93" s="20" t="s">
        <v>3026</v>
      </c>
      <c r="E93" s="20" t="s">
        <v>3027</v>
      </c>
      <c r="F93" s="9"/>
      <c r="G93" s="9"/>
      <c r="H93" s="26" t="s">
        <v>3020</v>
      </c>
      <c r="I93" s="9" t="str">
        <f>IFERROR(__xludf.DUMMYFUNCTION("GOOGLETRANSLATE(B93,""en"",""ar"")"),"ما هو العمل المركزي للرجلين في الوسط؟")</f>
        <v>ما هو العمل المركزي للرجلين في الوسط؟</v>
      </c>
      <c r="J93" s="9" t="str">
        <f>IFERROR(__xludf.DUMMYFUNCTION("GOOGLETRANSLATE(C93,""en"",""ar"")"),"أ) إنهم يتقاتلون بالرمح الطويل، ب) إنهم محاصرون في مصارعة منخفضة وقوية، ج) إنهم يؤدون رقصة احتفالية، د) إنهم يتصافحون")</f>
        <v>أ) إنهم يتقاتلون بالرمح الطويل، ب) إنهم محاصرون في مصارعة منخفضة وقوية، ج) إنهم يؤدون رقصة احتفالية، د) إنهم يتصافحون</v>
      </c>
      <c r="K93" s="9" t="str">
        <f>IFERROR(__xludf.DUMMYFUNCTION("GOOGLETRANSLATE(D93,""en"",""ar"")"),"ب) يتم حبسهم في مصارعة منخفضة وقوية")</f>
        <v>ب) يتم حبسهم في مصارعة منخفضة وقوية</v>
      </c>
      <c r="L93" s="9" t="str">
        <f>IFERROR(__xludf.DUMMYFUNCTION("GOOGLETRANSLATE(E93,""en"",""ar"")"),"إنهم ينحنون ويشاركون في وضعية المصارعة التي تتطلب التلامس الوثيق، والتي تشكل جوهر هذه الرياضة.")</f>
        <v>إنهم ينحنون ويشاركون في وضعية المصارعة التي تتطلب التلامس الوثيق، والتي تشكل جوهر هذه الرياضة.</v>
      </c>
      <c r="M93" s="9"/>
      <c r="N93" s="9"/>
      <c r="O93" s="9"/>
      <c r="P93" s="9"/>
      <c r="Q93" s="9"/>
      <c r="R93" s="9"/>
      <c r="S93" s="9"/>
      <c r="T93" s="9"/>
      <c r="U93" s="9"/>
      <c r="V93" s="9"/>
      <c r="W93" s="9"/>
      <c r="X93" s="9"/>
      <c r="Y93" s="9"/>
      <c r="Z93" s="9"/>
      <c r="AA93" s="9"/>
      <c r="AB93" s="9"/>
      <c r="AC93" s="9"/>
      <c r="AD93" s="9"/>
      <c r="AE93" s="9"/>
      <c r="AF93" s="9"/>
      <c r="AG93" s="9"/>
    </row>
    <row r="94">
      <c r="A94" s="20" t="s">
        <v>3020</v>
      </c>
      <c r="B94" s="20" t="s">
        <v>3028</v>
      </c>
      <c r="C94" s="20" t="s">
        <v>3029</v>
      </c>
      <c r="D94" s="20" t="s">
        <v>3030</v>
      </c>
      <c r="E94" s="20" t="s">
        <v>3031</v>
      </c>
      <c r="F94" s="9"/>
      <c r="G94" s="9"/>
      <c r="H94" s="25" t="s">
        <v>3020</v>
      </c>
      <c r="I94" s="9" t="str">
        <f>IFERROR(__xludf.DUMMYFUNCTION("GOOGLETRANSLATE(B94,""en"",""ar"")"),"من هو الرجل الموجود على اليمين والذي يرتدي ملابس احتفالية معقدة؟")</f>
        <v>من هو الرجل الموجود على اليمين والذي يرتدي ملابس احتفالية معقدة؟</v>
      </c>
      <c r="J94" s="9" t="str">
        <f>IFERROR(__xludf.DUMMYFUNCTION("GOOGLETRANSLATE(C94,""en"",""ar"")"),"أ) هو المصارع التالي الذي سيتنافس، ب) هو متفرج، ج) من المرجح أن يكون مسؤولاً أو بطلاً أو قائداً طقوسياً، د) هو الخاسر في المباراة السابقة")</f>
        <v>أ) هو المصارع التالي الذي سيتنافس، ب) هو متفرج، ج) من المرجح أن يكون مسؤولاً أو بطلاً أو قائداً طقوسياً، د) هو الخاسر في المباراة السابقة</v>
      </c>
      <c r="K94" s="9" t="str">
        <f>IFERROR(__xludf.DUMMYFUNCTION("GOOGLETRANSLATE(D94,""en"",""ar"")"),"ج) من المرجح أن يكون مسؤولاً أو بطلاً أو قائداً طقسياً")</f>
        <v>ج) من المرجح أن يكون مسؤولاً أو بطلاً أو قائداً طقسياً</v>
      </c>
      <c r="L94" s="9" t="str">
        <f>IFERROR(__xludf.DUMMYFUNCTION("GOOGLETRANSLATE(E94,""en"",""ar"")"),"إن غطاء رأسه المزخرف وملابسه تجعله متميزًا عن المنافسين، مما يشير إلى أنه يتمتع بدور خاص وعالي المستوى في الإجراءات.")</f>
        <v>إن غطاء رأسه المزخرف وملابسه تجعله متميزًا عن المنافسين، مما يشير إلى أنه يتمتع بدور خاص وعالي المستوى في الإجراءات.</v>
      </c>
      <c r="M94" s="9"/>
      <c r="N94" s="9"/>
      <c r="O94" s="9"/>
      <c r="P94" s="9"/>
      <c r="Q94" s="9"/>
      <c r="R94" s="9"/>
      <c r="S94" s="9"/>
      <c r="T94" s="9"/>
      <c r="U94" s="9"/>
      <c r="V94" s="9"/>
      <c r="W94" s="9"/>
      <c r="X94" s="9"/>
      <c r="Y94" s="9"/>
      <c r="Z94" s="9"/>
      <c r="AA94" s="9"/>
      <c r="AB94" s="9"/>
      <c r="AC94" s="9"/>
      <c r="AD94" s="9"/>
      <c r="AE94" s="9"/>
      <c r="AF94" s="9"/>
      <c r="AG94" s="9"/>
    </row>
    <row r="95">
      <c r="A95" s="20" t="s">
        <v>3020</v>
      </c>
      <c r="B95" s="20" t="s">
        <v>3032</v>
      </c>
      <c r="C95" s="20" t="s">
        <v>3033</v>
      </c>
      <c r="D95" s="20" t="s">
        <v>3034</v>
      </c>
      <c r="E95" s="20" t="s">
        <v>3035</v>
      </c>
      <c r="F95" s="9"/>
      <c r="G95" s="9"/>
      <c r="H95" s="26" t="s">
        <v>3020</v>
      </c>
      <c r="I95" s="9" t="str">
        <f>IFERROR(__xludf.DUMMYFUNCTION("GOOGLETRANSLATE(B95,""en"",""ar"")"),"الرجل على اليسار يحمل رمحًا طويلًا. ما الغرض المحتمل منه؟")</f>
        <v>الرجل على اليسار يحمل رمحًا طويلًا. ما الغرض المحتمل منه؟</v>
      </c>
      <c r="J95" s="9" t="str">
        <f>IFERROR(__xludf.DUMMYFUNCTION("GOOGLETRANSLATE(C95,""en"",""ar"")"),"أ) إنه السلاح الأساسي للقتال، ب) إنه شيء رمزي أو طقسي، ربما جائزة أو علامة، ج) إنه أداة للزراعة نسي أن يضعها، د) إنه يستخدمها لفصل المصارعين")</f>
        <v>أ) إنه السلاح الأساسي للقتال، ب) إنه شيء رمزي أو طقسي، ربما جائزة أو علامة، ج) إنه أداة للزراعة نسي أن يضعها، د) إنه يستخدمها لفصل المصارعين</v>
      </c>
      <c r="K95" s="9" t="str">
        <f>IFERROR(__xludf.DUMMYFUNCTION("GOOGLETRANSLATE(D95,""en"",""ar"")"),"ب) إنه شيء رمزي أو طقسي، ربما جائزة أو علامة")</f>
        <v>ب) إنه شيء رمزي أو طقسي، ربما جائزة أو علامة</v>
      </c>
      <c r="L95" s="9" t="str">
        <f>IFERROR(__xludf.DUMMYFUNCTION("GOOGLETRANSLATE(E95,""en"",""ar"")"),"رغم أن ثقافة النوبة لها تاريخ في القتال بالرمح (الفروسية)، إلا أنه في سياق المصارعة هذا، من المرجح أن يكون الرمح احتفاليًا.")</f>
        <v>رغم أن ثقافة النوبة لها تاريخ في القتال بالرمح (الفروسية)، إلا أنه في سياق المصارعة هذا، من المرجح أن يكون الرمح احتفاليًا.</v>
      </c>
      <c r="M95" s="9"/>
      <c r="N95" s="9"/>
      <c r="O95" s="9"/>
      <c r="P95" s="9"/>
      <c r="Q95" s="9"/>
      <c r="R95" s="9"/>
      <c r="S95" s="9"/>
      <c r="T95" s="9"/>
      <c r="U95" s="9"/>
      <c r="V95" s="9"/>
      <c r="W95" s="9"/>
      <c r="X95" s="9"/>
      <c r="Y95" s="9"/>
      <c r="Z95" s="9"/>
      <c r="AA95" s="9"/>
      <c r="AB95" s="9"/>
      <c r="AC95" s="9"/>
      <c r="AD95" s="9"/>
      <c r="AE95" s="9"/>
      <c r="AF95" s="9"/>
      <c r="AG95" s="9"/>
    </row>
    <row r="96">
      <c r="A96" s="20" t="s">
        <v>3020</v>
      </c>
      <c r="B96" s="20" t="s">
        <v>3036</v>
      </c>
      <c r="C96" s="20" t="s">
        <v>3037</v>
      </c>
      <c r="D96" s="20" t="s">
        <v>3038</v>
      </c>
      <c r="E96" s="20" t="s">
        <v>3039</v>
      </c>
      <c r="F96" s="9"/>
      <c r="G96" s="9"/>
      <c r="H96" s="25" t="s">
        <v>3020</v>
      </c>
      <c r="I96" s="9" t="str">
        <f>IFERROR(__xludf.DUMMYFUNCTION("GOOGLETRANSLATE(B96,""en"",""ar"")"),"يشير الشكل بالأبيض والأسود والبيئة الريفية إلى...")</f>
        <v>يشير الشكل بالأبيض والأسود والبيئة الريفية إلى...</v>
      </c>
      <c r="J96" s="9" t="str">
        <f>IFERROR(__xludf.DUMMYFUNCTION("GOOGLETRANSLATE(C96,""en"",""ar"")"),"أ) حدث حديث في مدينة كبيرة، ب) توثيق تاريخي لمهرجان قرية تقليدية، ج) مشهد سينمائي، د) جلسة تدريب في صالة ألعاب رياضية")</f>
        <v>أ) حدث حديث في مدينة كبيرة، ب) توثيق تاريخي لمهرجان قرية تقليدية، ج) مشهد سينمائي، د) جلسة تدريب في صالة ألعاب رياضية</v>
      </c>
      <c r="K96" s="9" t="str">
        <f>IFERROR(__xludf.DUMMYFUNCTION("GOOGLETRANSLATE(D96,""en"",""ar"")"),"ب) توثيق تاريخي لمهرجان القرية التقليدية")</f>
        <v>ب) توثيق تاريخي لمهرجان القرية التقليدية</v>
      </c>
      <c r="L96" s="9" t="str">
        <f>IFERROR(__xludf.DUMMYFUNCTION("GOOGLETRANSLATE(E96,""en"",""ar"")"),"هذه صورة قديمة تلتقط هذه الرياضة في بيئتها الثقافية التقليدية الأصيلة.")</f>
        <v>هذه صورة قديمة تلتقط هذه الرياضة في بيئتها الثقافية التقليدية الأصيلة.</v>
      </c>
      <c r="M96" s="9"/>
      <c r="N96" s="9"/>
      <c r="O96" s="9"/>
      <c r="P96" s="9"/>
      <c r="Q96" s="9"/>
      <c r="R96" s="9"/>
      <c r="S96" s="9"/>
      <c r="T96" s="9"/>
      <c r="U96" s="9"/>
      <c r="V96" s="9"/>
      <c r="W96" s="9"/>
      <c r="X96" s="9"/>
      <c r="Y96" s="9"/>
      <c r="Z96" s="9"/>
      <c r="AA96" s="9"/>
      <c r="AB96" s="9"/>
      <c r="AC96" s="9"/>
      <c r="AD96" s="9"/>
      <c r="AE96" s="9"/>
      <c r="AF96" s="9"/>
      <c r="AG96" s="9"/>
    </row>
    <row r="97">
      <c r="A97" s="20" t="s">
        <v>3020</v>
      </c>
      <c r="B97" s="20" t="s">
        <v>3040</v>
      </c>
      <c r="C97" s="20" t="s">
        <v>3041</v>
      </c>
      <c r="D97" s="20" t="s">
        <v>3042</v>
      </c>
      <c r="E97" s="20" t="s">
        <v>3043</v>
      </c>
      <c r="F97" s="9"/>
      <c r="G97" s="9"/>
      <c r="H97" s="26" t="s">
        <v>3020</v>
      </c>
      <c r="I97" s="9" t="str">
        <f>IFERROR(__xludf.DUMMYFUNCTION("GOOGLETRANSLATE(B97,""en"",""ar"")"),"يتكون لباس المصارعين من ...")</f>
        <v>يتكون لباس المصارعين من ...</v>
      </c>
      <c r="J97" s="9" t="str">
        <f>IFERROR(__xludf.DUMMYFUNCTION("GOOGLETRANSLATE(C97,""en"",""ar"")"),"أ) السراويل القصيرة والقمصان الحديثة، ب) مآزر وأردفة تقليدية بسيطة، ج) دروع ثقيلة، د) لا شيء على الإطلاق")</f>
        <v>أ) السراويل القصيرة والقمصان الحديثة، ب) مآزر وأردفة تقليدية بسيطة، ج) دروع ثقيلة، د) لا شيء على الإطلاق</v>
      </c>
      <c r="K97" s="9" t="str">
        <f>IFERROR(__xludf.DUMMYFUNCTION("GOOGLETRANSLATE(D97,""en"",""ar"")"),"ب) مآزر وأوشحة تقليدية بسيطة")</f>
        <v>ب) مآزر وأوشحة تقليدية بسيطة</v>
      </c>
      <c r="L97" s="9" t="str">
        <f>IFERROR(__xludf.DUMMYFUNCTION("GOOGLETRANSLATE(E97,""en"",""ar"")"),"ملابسهم بسيطة، وعملية للمصارعة، وتقليدية في الأسلوب.")</f>
        <v>ملابسهم بسيطة، وعملية للمصارعة، وتقليدية في الأسلوب.</v>
      </c>
      <c r="M97" s="9"/>
      <c r="N97" s="9"/>
      <c r="O97" s="9"/>
      <c r="P97" s="9"/>
      <c r="Q97" s="9"/>
      <c r="R97" s="9"/>
      <c r="S97" s="9"/>
      <c r="T97" s="9"/>
      <c r="U97" s="9"/>
      <c r="V97" s="9"/>
      <c r="W97" s="9"/>
      <c r="X97" s="9"/>
      <c r="Y97" s="9"/>
      <c r="Z97" s="9"/>
      <c r="AA97" s="9"/>
      <c r="AB97" s="9"/>
      <c r="AC97" s="9"/>
      <c r="AD97" s="9"/>
      <c r="AE97" s="9"/>
      <c r="AF97" s="9"/>
      <c r="AG97" s="9"/>
    </row>
    <row r="98">
      <c r="A98" s="20" t="s">
        <v>3020</v>
      </c>
      <c r="B98" s="20" t="s">
        <v>3044</v>
      </c>
      <c r="C98" s="20" t="s">
        <v>3045</v>
      </c>
      <c r="D98" s="20" t="s">
        <v>3046</v>
      </c>
      <c r="E98" s="20" t="s">
        <v>3047</v>
      </c>
      <c r="F98" s="9"/>
      <c r="G98" s="9"/>
      <c r="H98" s="25" t="s">
        <v>3020</v>
      </c>
      <c r="I98" s="9" t="str">
        <f>IFERROR(__xludf.DUMMYFUNCTION("GOOGLETRANSLATE(B98,""en"",""ar"")"),"الرجل الموجود في الوسط والذي ينحني هو في وضع ضعيف، مما يشير إلى...")</f>
        <v>الرجل الموجود في الوسط والذي ينحني هو في وضع ضعيف، مما يشير إلى...</v>
      </c>
      <c r="J98" s="9" t="str">
        <f>IFERROR(__xludf.DUMMYFUNCTION("GOOGLETRANSLATE(C98,""en"",""ar"")"),"أ) إنه يفوز بالمباراة، ب) إنه على وشك أن يُرمى من قبل خصمه، ج) إنه يأخذ قسطًا من الراحة، د) إنه الحكم")</f>
        <v>أ) إنه يفوز بالمباراة، ب) إنه على وشك أن يُرمى من قبل خصمه، ج) إنه يأخذ قسطًا من الراحة، د) إنه الحكم</v>
      </c>
      <c r="K98" s="9" t="str">
        <f>IFERROR(__xludf.DUMMYFUNCTION("GOOGLETRANSLATE(D98,""en"",""ar"")"),"ب) هو على وشك أن يتم رميه من قبل خصمه")</f>
        <v>ب) هو على وشك أن يتم رميه من قبل خصمه</v>
      </c>
      <c r="L98" s="9" t="str">
        <f>IFERROR(__xludf.DUMMYFUNCTION("GOOGLETRANSLATE(E98,""en"",""ar"")"),"يتمتع خصمه بقبضة مهيمنة وهو في وضع يسمح له بتنفيذ عملية إسقاط.")</f>
        <v>يتمتع خصمه بقبضة مهيمنة وهو في وضع يسمح له بتنفيذ عملية إسقاط.</v>
      </c>
      <c r="M98" s="9"/>
      <c r="N98" s="9"/>
      <c r="O98" s="9"/>
      <c r="P98" s="9"/>
      <c r="Q98" s="9"/>
      <c r="R98" s="9"/>
      <c r="S98" s="9"/>
      <c r="T98" s="9"/>
      <c r="U98" s="9"/>
      <c r="V98" s="9"/>
      <c r="W98" s="9"/>
      <c r="X98" s="9"/>
      <c r="Y98" s="9"/>
      <c r="Z98" s="9"/>
      <c r="AA98" s="9"/>
      <c r="AB98" s="9"/>
      <c r="AC98" s="9"/>
      <c r="AD98" s="9"/>
      <c r="AE98" s="9"/>
      <c r="AF98" s="9"/>
      <c r="AG98" s="9"/>
    </row>
    <row r="99">
      <c r="A99" s="20" t="s">
        <v>3020</v>
      </c>
      <c r="B99" s="20" t="s">
        <v>3048</v>
      </c>
      <c r="C99" s="20" t="s">
        <v>3049</v>
      </c>
      <c r="D99" s="20" t="s">
        <v>3050</v>
      </c>
      <c r="E99" s="20" t="s">
        <v>3051</v>
      </c>
      <c r="F99" s="9"/>
      <c r="G99" s="9"/>
      <c r="H99" s="26" t="s">
        <v>3020</v>
      </c>
      <c r="I99" s="9" t="str">
        <f>IFERROR(__xludf.DUMMYFUNCTION("GOOGLETRANSLATE(B99,""en"",""ar"")"),"تسلط هذه الصورة الضوء على العلاقة بين المصارعة النوبية و...")</f>
        <v>تسلط هذه الصورة الضوء على العلاقة بين المصارعة النوبية و...</v>
      </c>
      <c r="J99" s="9" t="str">
        <f>IFERROR(__xludf.DUMMYFUNCTION("GOOGLETRANSLATE(C99,""en"",""ar"")"),"أ) التكنولوجيا الحديثة، ب) ثقافة المحارب الأوسع وطقوسها، ج) المواسم الزراعية، د) اللجان الرياضية الدولية")</f>
        <v>أ) التكنولوجيا الحديثة، ب) ثقافة المحارب الأوسع وطقوسها، ج) المواسم الزراعية، د) اللجان الرياضية الدولية</v>
      </c>
      <c r="K99" s="9" t="str">
        <f>IFERROR(__xludf.DUMMYFUNCTION("GOOGLETRANSLATE(D99,""en"",""ar"")"),"ب) ثقافة المحارب الأوسع وطقوسها")</f>
        <v>ب) ثقافة المحارب الأوسع وطقوسها</v>
      </c>
      <c r="L99" s="9" t="str">
        <f>IFERROR(__xludf.DUMMYFUNCTION("GOOGLETRANSLATE(E99,""en"",""ar"")"),"يشير وجود الرماح والشخصيات الاحتفالية إلى أن المصارعة هي جزء من مجموعة أكبر من تقاليد المحاربين والطقوس الاجتماعية.")</f>
        <v>يشير وجود الرماح والشخصيات الاحتفالية إلى أن المصارعة هي جزء من مجموعة أكبر من تقاليد المحاربين والطقوس الاجتماعية.</v>
      </c>
      <c r="M99" s="9"/>
      <c r="N99" s="9"/>
      <c r="O99" s="9"/>
      <c r="P99" s="9"/>
      <c r="Q99" s="9"/>
      <c r="R99" s="9"/>
      <c r="S99" s="9"/>
      <c r="T99" s="9"/>
      <c r="U99" s="9"/>
      <c r="V99" s="9"/>
      <c r="W99" s="9"/>
      <c r="X99" s="9"/>
      <c r="Y99" s="9"/>
      <c r="Z99" s="9"/>
      <c r="AA99" s="9"/>
      <c r="AB99" s="9"/>
      <c r="AC99" s="9"/>
      <c r="AD99" s="9"/>
      <c r="AE99" s="9"/>
      <c r="AF99" s="9"/>
      <c r="AG99" s="9"/>
    </row>
    <row r="100">
      <c r="A100" s="20" t="s">
        <v>3020</v>
      </c>
      <c r="B100" s="20" t="s">
        <v>3052</v>
      </c>
      <c r="C100" s="20" t="s">
        <v>3053</v>
      </c>
      <c r="D100" s="20" t="s">
        <v>3054</v>
      </c>
      <c r="E100" s="20" t="s">
        <v>3055</v>
      </c>
      <c r="F100" s="9"/>
      <c r="G100" s="9"/>
      <c r="H100" s="25" t="s">
        <v>3020</v>
      </c>
      <c r="I100" s="9" t="str">
        <f>IFERROR(__xludf.DUMMYFUNCTION("GOOGLETRANSLATE(B100,""en"",""ar"")"),"الحشد في الخلفية هو...")</f>
        <v>الحشد في الخلفية هو...</v>
      </c>
      <c r="J100" s="9" t="str">
        <f>IFERROR(__xludf.DUMMYFUNCTION("GOOGLETRANSLATE(C100,""en"",""ar"")"),"أ) يجلسون في المدرجات، ب) يتجمعون بشكل وثيق حول المنافسين، ج) لا ينتبهون، د) صغار جدًا")</f>
        <v>أ) يجلسون في المدرجات، ب) يتجمعون بشكل وثيق حول المنافسين، ج) لا ينتبهون، د) صغار جدًا</v>
      </c>
      <c r="K100" s="9" t="str">
        <f>IFERROR(__xludf.DUMMYFUNCTION("GOOGLETRANSLATE(D100,""en"",""ar"")"),"ب) تجمعوا حول المنافسين بشكل وثيق")</f>
        <v>ب) تجمعوا حول المنافسين بشكل وثيق</v>
      </c>
      <c r="L100" s="9" t="str">
        <f>IFERROR(__xludf.DUMMYFUNCTION("GOOGLETRANSLATE(E100,""en"",""ar"")"),"يشكل المجتمع بأكمله الحلقة، مما يخلق جوًا مكثفًا وتشاركيًا.")</f>
        <v>يشكل المجتمع بأكمله الحلقة، مما يخلق جوًا مكثفًا وتشاركيًا.</v>
      </c>
      <c r="M100" s="9"/>
      <c r="N100" s="9"/>
      <c r="O100" s="9"/>
      <c r="P100" s="9"/>
      <c r="Q100" s="9"/>
      <c r="R100" s="9"/>
      <c r="S100" s="9"/>
      <c r="T100" s="9"/>
      <c r="U100" s="9"/>
      <c r="V100" s="9"/>
      <c r="W100" s="9"/>
      <c r="X100" s="9"/>
      <c r="Y100" s="9"/>
      <c r="Z100" s="9"/>
      <c r="AA100" s="9"/>
      <c r="AB100" s="9"/>
      <c r="AC100" s="9"/>
      <c r="AD100" s="9"/>
      <c r="AE100" s="9"/>
      <c r="AF100" s="9"/>
      <c r="AG100" s="9"/>
    </row>
    <row r="101">
      <c r="A101" s="20" t="s">
        <v>3020</v>
      </c>
      <c r="B101" s="20" t="s">
        <v>3056</v>
      </c>
      <c r="C101" s="20" t="s">
        <v>3057</v>
      </c>
      <c r="D101" s="20" t="s">
        <v>3058</v>
      </c>
      <c r="E101" s="20" t="s">
        <v>3059</v>
      </c>
      <c r="F101" s="9"/>
      <c r="G101" s="9"/>
      <c r="H101" s="26" t="s">
        <v>3020</v>
      </c>
      <c r="I101" s="9" t="str">
        <f>IFERROR(__xludf.DUMMYFUNCTION("GOOGLETRANSLATE(B101,""en"",""ar"")"),"الهدف الرئيسي للمصارع على اليسار هو...")</f>
        <v>الهدف الرئيسي للمصارع على اليسار هو...</v>
      </c>
      <c r="J101" s="9" t="str">
        <f>IFERROR(__xludf.DUMMYFUNCTION("GOOGLETRANSLATE(C101,""en"",""ar"")"),"أ) إجبار خصمه على النزول على ظهره، ب) أخذ الرمح من الرجل الآخر، ج) دفع خصمه خارج الدائرة، د) الإمساك بالمصارع لأطول فترة ممكنة")</f>
        <v>أ) إجبار خصمه على النزول على ظهره، ب) أخذ الرمح من الرجل الآخر، ج) دفع خصمه خارج الدائرة، د) الإمساك بالمصارع لأطول فترة ممكنة</v>
      </c>
      <c r="K101" s="9" t="str">
        <f>IFERROR(__xludf.DUMMYFUNCTION("GOOGLETRANSLATE(D101,""en"",""ar"")"),"أ) إجبار خصمه على السقوط على ظهره")</f>
        <v>أ) إجبار خصمه على السقوط على ظهره</v>
      </c>
      <c r="L101" s="9" t="str">
        <f>IFERROR(__xludf.DUMMYFUNCTION("GOOGLETRANSLATE(E101,""en"",""ar"")"),"وعلى الرغم من الأغراض الطقسية، فإن هدف مباراة المصارعة يبقى تحقيق رمية ناجحة.")</f>
        <v>وعلى الرغم من الأغراض الطقسية، فإن هدف مباراة المصارعة يبقى تحقيق رمية ناجحة.</v>
      </c>
      <c r="M101" s="9"/>
      <c r="N101" s="9"/>
      <c r="O101" s="9"/>
      <c r="P101" s="9"/>
      <c r="Q101" s="9"/>
      <c r="R101" s="9"/>
      <c r="S101" s="9"/>
      <c r="T101" s="9"/>
      <c r="U101" s="9"/>
      <c r="V101" s="9"/>
      <c r="W101" s="9"/>
      <c r="X101" s="9"/>
      <c r="Y101" s="9"/>
      <c r="Z101" s="9"/>
      <c r="AA101" s="9"/>
      <c r="AB101" s="9"/>
      <c r="AC101" s="9"/>
      <c r="AD101" s="9"/>
      <c r="AE101" s="9"/>
      <c r="AF101" s="9"/>
      <c r="AG101" s="9"/>
    </row>
    <row r="102">
      <c r="A102" s="20" t="s">
        <v>3060</v>
      </c>
      <c r="B102" s="20" t="s">
        <v>3061</v>
      </c>
      <c r="C102" s="20" t="s">
        <v>3062</v>
      </c>
      <c r="D102" s="20" t="s">
        <v>3063</v>
      </c>
      <c r="E102" s="20" t="s">
        <v>3064</v>
      </c>
      <c r="F102" s="9"/>
      <c r="G102" s="9"/>
      <c r="H102" s="25" t="s">
        <v>3060</v>
      </c>
      <c r="I102" s="9" t="str">
        <f>IFERROR(__xludf.DUMMYFUNCTION("GOOGLETRANSLATE(B102,""en"",""ar"")"),"الرجل في المقدمة يؤدي رقصة تقليدية للقتال بالعصا تعرف باسم التحطيب، وهي من أي بلد؟")</f>
        <v>الرجل في المقدمة يؤدي رقصة تقليدية للقتال بالعصا تعرف باسم التحطيب، وهي من أي بلد؟</v>
      </c>
      <c r="J102" s="9" t="str">
        <f>IFERROR(__xludf.DUMMYFUNCTION("GOOGLETRANSLATE(C102,""en"",""ar"")"),"أ) السودان، ب) إثيوبيا، ج) مصر، د) نيجيريا")</f>
        <v>أ) السودان، ب) إثيوبيا، ج) مصر، د) نيجيريا</v>
      </c>
      <c r="K102" s="9" t="str">
        <f>IFERROR(__xludf.DUMMYFUNCTION("GOOGLETRANSLATE(D102,""en"",""ar"")"),"ج) مصر")</f>
        <v>ج) مصر</v>
      </c>
      <c r="L102" s="9" t="str">
        <f>IFERROR(__xludf.DUMMYFUNCTION("GOOGLETRANSLATE(E102,""en"",""ar"")"),"التحطيب فن قتالي ورقصة مصرية تقليدية، تُؤدى غالبًا في المهرجانات والفعاليات الثقافية. أما الهندسة المعمارية الخلفية، فهي مصرية بامتياز.")</f>
        <v>التحطيب فن قتالي ورقصة مصرية تقليدية، تُؤدى غالبًا في المهرجانات والفعاليات الثقافية. أما الهندسة المعمارية الخلفية، فهي مصرية بامتياز.</v>
      </c>
      <c r="M102" s="9"/>
      <c r="N102" s="9"/>
      <c r="O102" s="9"/>
      <c r="P102" s="9"/>
      <c r="Q102" s="9"/>
      <c r="R102" s="9"/>
      <c r="S102" s="9"/>
      <c r="T102" s="9"/>
      <c r="U102" s="9"/>
      <c r="V102" s="9"/>
      <c r="W102" s="9"/>
      <c r="X102" s="9"/>
      <c r="Y102" s="9"/>
      <c r="Z102" s="9"/>
      <c r="AA102" s="9"/>
      <c r="AB102" s="9"/>
      <c r="AC102" s="9"/>
      <c r="AD102" s="9"/>
      <c r="AE102" s="9"/>
      <c r="AF102" s="9"/>
      <c r="AG102" s="9"/>
    </row>
    <row r="103">
      <c r="A103" s="20" t="s">
        <v>3060</v>
      </c>
      <c r="B103" s="20" t="s">
        <v>3065</v>
      </c>
      <c r="C103" s="20" t="s">
        <v>3066</v>
      </c>
      <c r="D103" s="20" t="s">
        <v>3067</v>
      </c>
      <c r="E103" s="20" t="s">
        <v>3068</v>
      </c>
      <c r="F103" s="9"/>
      <c r="G103" s="9"/>
      <c r="H103" s="26" t="s">
        <v>3060</v>
      </c>
      <c r="I103" s="9" t="str">
        <f>IFERROR(__xludf.DUMMYFUNCTION("GOOGLETRANSLATE(B103,""en"",""ar"")"),"ما هو اسم الثوب الطويل التقليدي الذي يرتديه الرجل؟")</f>
        <v>ما هو اسم الثوب الطويل التقليدي الذي يرتديه الرجل؟</v>
      </c>
      <c r="J103" s="9" t="str">
        <f>IFERROR(__xludf.DUMMYFUNCTION("GOOGLETRANSLATE(C103,""en"",""ar"")"),"أ) جلابية، ب) نقبة، ج) توغا، د) كيمونو")</f>
        <v>أ) جلابية، ب) نقبة، ج) توغا، د) كيمونو</v>
      </c>
      <c r="K103" s="9" t="str">
        <f>IFERROR(__xludf.DUMMYFUNCTION("GOOGLETRANSLATE(D103,""en"",""ar"")"),"أ) جلابية")</f>
        <v>أ) جلابية</v>
      </c>
      <c r="L103" s="9" t="str">
        <f>IFERROR(__xludf.DUMMYFUNCTION("GOOGLETRANSLATE(E103,""en"",""ar"")"),"الجلابية هي رداء فضفاض يصل إلى الكاحل يرتديه الرجال في مصر والمناطق المحيطة بها.")</f>
        <v>الجلابية هي رداء فضفاض يصل إلى الكاحل يرتديه الرجال في مصر والمناطق المحيطة بها.</v>
      </c>
      <c r="M103" s="9"/>
      <c r="N103" s="9"/>
      <c r="O103" s="9"/>
      <c r="P103" s="9"/>
      <c r="Q103" s="9"/>
      <c r="R103" s="9"/>
      <c r="S103" s="9"/>
      <c r="T103" s="9"/>
      <c r="U103" s="9"/>
      <c r="V103" s="9"/>
      <c r="W103" s="9"/>
      <c r="X103" s="9"/>
      <c r="Y103" s="9"/>
      <c r="Z103" s="9"/>
      <c r="AA103" s="9"/>
      <c r="AB103" s="9"/>
      <c r="AC103" s="9"/>
      <c r="AD103" s="9"/>
      <c r="AE103" s="9"/>
      <c r="AF103" s="9"/>
      <c r="AG103" s="9"/>
    </row>
    <row r="104">
      <c r="A104" s="20" t="s">
        <v>3060</v>
      </c>
      <c r="B104" s="20" t="s">
        <v>3069</v>
      </c>
      <c r="C104" s="20" t="s">
        <v>3070</v>
      </c>
      <c r="D104" s="20" t="s">
        <v>3071</v>
      </c>
      <c r="E104" s="20" t="s">
        <v>3072</v>
      </c>
      <c r="F104" s="9"/>
      <c r="G104" s="9"/>
      <c r="H104" s="25" t="s">
        <v>3060</v>
      </c>
      <c r="I104" s="9" t="str">
        <f>IFERROR(__xludf.DUMMYFUNCTION("GOOGLETRANSLATE(B104,""en"",""ar"")"),"ما هو الهدف الأساسي لهذا الحدث؟")</f>
        <v>ما هو الهدف الأساسي لهذا الحدث؟</v>
      </c>
      <c r="J104" s="9" t="str">
        <f>IFERROR(__xludf.DUMMYFUNCTION("GOOGLETRANSLATE(C104,""en"",""ar"")"),"أ) قتال شوارع حقيقي وعنيف، ب) عرض عام أو مظاهرة ثقافية، ج) تدريب عسكري، د) احتفال ديني")</f>
        <v>أ) قتال شوارع حقيقي وعنيف، ب) عرض عام أو مظاهرة ثقافية، ج) تدريب عسكري، د) احتفال ديني</v>
      </c>
      <c r="K104" s="9" t="str">
        <f>IFERROR(__xludf.DUMMYFUNCTION("GOOGLETRANSLATE(D104,""en"",""ar"")"),"ب) عرض عام أو مظاهرة ثقافية")</f>
        <v>ب) عرض عام أو مظاهرة ثقافية</v>
      </c>
      <c r="L104" s="9" t="str">
        <f>IFERROR(__xludf.DUMMYFUNCTION("GOOGLETRANSLATE(E104,""en"",""ar"")"),"إن وجود الجمهور الجالس والوضعية التمثيلية للرجل يشيران إلى عرض ثقافي، وليس قتالًا حقيقيًا.")</f>
        <v>إن وجود الجمهور الجالس والوضعية التمثيلية للرجل يشيران إلى عرض ثقافي، وليس قتالًا حقيقيًا.</v>
      </c>
      <c r="M104" s="9"/>
      <c r="N104" s="9"/>
      <c r="O104" s="9"/>
      <c r="P104" s="9"/>
      <c r="Q104" s="9"/>
      <c r="R104" s="9"/>
      <c r="S104" s="9"/>
      <c r="T104" s="9"/>
      <c r="U104" s="9"/>
      <c r="V104" s="9"/>
      <c r="W104" s="9"/>
      <c r="X104" s="9"/>
      <c r="Y104" s="9"/>
      <c r="Z104" s="9"/>
      <c r="AA104" s="9"/>
      <c r="AB104" s="9"/>
      <c r="AC104" s="9"/>
      <c r="AD104" s="9"/>
      <c r="AE104" s="9"/>
      <c r="AF104" s="9"/>
      <c r="AG104" s="9"/>
    </row>
    <row r="105">
      <c r="A105" s="20" t="s">
        <v>3060</v>
      </c>
      <c r="B105" s="20" t="s">
        <v>3073</v>
      </c>
      <c r="C105" s="20" t="s">
        <v>3074</v>
      </c>
      <c r="D105" s="20" t="s">
        <v>3075</v>
      </c>
      <c r="E105" s="20" t="s">
        <v>3076</v>
      </c>
      <c r="F105" s="9"/>
      <c r="G105" s="9"/>
      <c r="H105" s="26" t="s">
        <v>3060</v>
      </c>
      <c r="I105" s="9" t="str">
        <f>IFERROR(__xludf.DUMMYFUNCTION("GOOGLETRANSLATE(B105,""en"",""ar"")"),"العصا الخشبية الطويلة المستخدمة في هذا الشكل الفني تسمى ...")</f>
        <v>العصا الخشبية الطويلة المستخدمة في هذا الشكل الفني تسمى ...</v>
      </c>
      <c r="J105" s="9" t="str">
        <f>IFERROR(__xludf.DUMMYFUNCTION("GOOGLETRANSLATE(C105,""en"",""ar"")"),"أ) آسا، ب) إندوكو، ج) طاقم بو، د) إيكو")</f>
        <v>أ) آسا، ب) إندوكو، ج) طاقم بو، د) إيكو</v>
      </c>
      <c r="K105" s="9" t="str">
        <f>IFERROR(__xludf.DUMMYFUNCTION("GOOGLETRANSLATE(D105,""en"",""ar"")"),"أ) آسا")</f>
        <v>أ) آسا</v>
      </c>
      <c r="L105" s="9" t="str">
        <f>IFERROR(__xludf.DUMMYFUNCTION("GOOGLETRANSLATE(E105,""en"",""ar"")"),"الاسم التقليدي للعصا التي يبلغ طولها 4 أقدام والمستخدمة في التحطيب هو الآسا.")</f>
        <v>الاسم التقليدي للعصا التي يبلغ طولها 4 أقدام والمستخدمة في التحطيب هو الآسا.</v>
      </c>
      <c r="M105" s="9"/>
      <c r="N105" s="9"/>
      <c r="O105" s="9"/>
      <c r="P105" s="9"/>
      <c r="Q105" s="9"/>
      <c r="R105" s="9"/>
      <c r="S105" s="9"/>
      <c r="T105" s="9"/>
      <c r="U105" s="9"/>
      <c r="V105" s="9"/>
      <c r="W105" s="9"/>
      <c r="X105" s="9"/>
      <c r="Y105" s="9"/>
      <c r="Z105" s="9"/>
      <c r="AA105" s="9"/>
      <c r="AB105" s="9"/>
      <c r="AC105" s="9"/>
      <c r="AD105" s="9"/>
      <c r="AE105" s="9"/>
      <c r="AF105" s="9"/>
      <c r="AG105" s="9"/>
    </row>
    <row r="106">
      <c r="A106" s="20" t="s">
        <v>3060</v>
      </c>
      <c r="B106" s="20" t="s">
        <v>3077</v>
      </c>
      <c r="C106" s="20" t="s">
        <v>3078</v>
      </c>
      <c r="D106" s="20" t="s">
        <v>3079</v>
      </c>
      <c r="E106" s="20" t="s">
        <v>3080</v>
      </c>
      <c r="F106" s="9"/>
      <c r="G106" s="9"/>
      <c r="H106" s="25" t="s">
        <v>3060</v>
      </c>
      <c r="I106" s="9" t="str">
        <f>IFERROR(__xludf.DUMMYFUNCTION("GOOGLETRANSLATE(B106,""en"",""ar"")"),"ماذا يفعل الرجل ذو الرداء الرمادي الفاتح على اليمين؟")</f>
        <v>ماذا يفعل الرجل ذو الرداء الرمادي الفاتح على اليمين؟</v>
      </c>
      <c r="J106" s="9" t="str">
        <f>IFERROR(__xludf.DUMMYFUNCTION("GOOGLETRANSLATE(C106,""en"",""ar"")"),"أ) هو المتسابق التالي، ب) هو متفرج يشاهد الأداء، ج) هو حكم، د) هو يعزف الموسيقى")</f>
        <v>أ) هو المتسابق التالي، ب) هو متفرج يشاهد الأداء، ج) هو حكم، د) هو يعزف الموسيقى</v>
      </c>
      <c r="K106" s="9" t="str">
        <f>IFERROR(__xludf.DUMMYFUNCTION("GOOGLETRANSLATE(D106,""en"",""ar"")"),"ب) هو متفرج يشاهد الأداء")</f>
        <v>ب) هو متفرج يشاهد الأداء</v>
      </c>
      <c r="L106" s="9" t="str">
        <f>IFERROR(__xludf.DUMMYFUNCTION("GOOGLETRANSLATE(E106,""en"",""ar"")"),"مثل الآخرين الجالسين والواقفين، فهو جزء من الجمهور الذي يراقب الممارس.")</f>
        <v>مثل الآخرين الجالسين والواقفين، فهو جزء من الجمهور الذي يراقب الممارس.</v>
      </c>
      <c r="M106" s="9"/>
      <c r="N106" s="9"/>
      <c r="O106" s="9"/>
      <c r="P106" s="9"/>
      <c r="Q106" s="9"/>
      <c r="R106" s="9"/>
      <c r="S106" s="9"/>
      <c r="T106" s="9"/>
      <c r="U106" s="9"/>
      <c r="V106" s="9"/>
      <c r="W106" s="9"/>
      <c r="X106" s="9"/>
      <c r="Y106" s="9"/>
      <c r="Z106" s="9"/>
      <c r="AA106" s="9"/>
      <c r="AB106" s="9"/>
      <c r="AC106" s="9"/>
      <c r="AD106" s="9"/>
      <c r="AE106" s="9"/>
      <c r="AF106" s="9"/>
      <c r="AG106" s="9"/>
    </row>
    <row r="107">
      <c r="A107" s="20" t="s">
        <v>3060</v>
      </c>
      <c r="B107" s="20" t="s">
        <v>3081</v>
      </c>
      <c r="C107" s="20" t="s">
        <v>3082</v>
      </c>
      <c r="D107" s="20" t="s">
        <v>3083</v>
      </c>
      <c r="E107" s="20" t="s">
        <v>3084</v>
      </c>
      <c r="F107" s="9"/>
      <c r="G107" s="9"/>
      <c r="H107" s="26" t="s">
        <v>3060</v>
      </c>
      <c r="I107" s="9" t="str">
        <f>IFERROR(__xludf.DUMMYFUNCTION("GOOGLETRANSLATE(B107,""en"",""ar"")"),"غطاء الرأس الأبيض للممارس هو نوع من...")</f>
        <v>غطاء الرأس الأبيض للممارس هو نوع من...</v>
      </c>
      <c r="J107" s="9" t="str">
        <f>IFERROR(__xludf.DUMMYFUNCTION("GOOGLETRANSLATE(C107,""en"",""ar"")"),"أ) خوذة، ب) تاج، ج) عمامة، د) قبعة بيسبول")</f>
        <v>أ) خوذة، ب) تاج، ج) عمامة، د) قبعة بيسبول</v>
      </c>
      <c r="K107" s="9" t="str">
        <f>IFERROR(__xludf.DUMMYFUNCTION("GOOGLETRANSLATE(D107,""en"",""ar"")"),"ج) العمامة")</f>
        <v>ج) العمامة</v>
      </c>
      <c r="L107" s="9" t="str">
        <f>IFERROR(__xludf.DUMMYFUNCTION("GOOGLETRANSLATE(E107,""en"",""ar"")"),"أما القماش الملفوف بأناقة على رأسه فهو عمامة تقليدية.")</f>
        <v>أما القماش الملفوف بأناقة على رأسه فهو عمامة تقليدية.</v>
      </c>
      <c r="M107" s="9"/>
      <c r="N107" s="9"/>
      <c r="O107" s="9"/>
      <c r="P107" s="9"/>
      <c r="Q107" s="9"/>
      <c r="R107" s="9"/>
      <c r="S107" s="9"/>
      <c r="T107" s="9"/>
      <c r="U107" s="9"/>
      <c r="V107" s="9"/>
      <c r="W107" s="9"/>
      <c r="X107" s="9"/>
      <c r="Y107" s="9"/>
      <c r="Z107" s="9"/>
      <c r="AA107" s="9"/>
      <c r="AB107" s="9"/>
      <c r="AC107" s="9"/>
      <c r="AD107" s="9"/>
      <c r="AE107" s="9"/>
      <c r="AF107" s="9"/>
      <c r="AG107" s="9"/>
    </row>
    <row r="108">
      <c r="A108" s="20" t="s">
        <v>3060</v>
      </c>
      <c r="B108" s="20" t="s">
        <v>3085</v>
      </c>
      <c r="C108" s="20" t="s">
        <v>3086</v>
      </c>
      <c r="D108" s="20" t="s">
        <v>3087</v>
      </c>
      <c r="E108" s="20" t="s">
        <v>3088</v>
      </c>
      <c r="F108" s="9"/>
      <c r="G108" s="9"/>
      <c r="H108" s="25" t="s">
        <v>3060</v>
      </c>
      <c r="I108" s="9" t="str">
        <f>IFERROR(__xludf.DUMMYFUNCTION("GOOGLETRANSLATE(B108,""en"",""ar"")"),"إن تعبير الرجل المركّز ووضعيته الديناميكية يُظهران أن التحطيب يتطلب...")</f>
        <v>إن تعبير الرجل المركّز ووضعيته الديناميكية يُظهران أن التحطيب يتطلب...</v>
      </c>
      <c r="J108" s="9" t="str">
        <f>IFERROR(__xludf.DUMMYFUNCTION("GOOGLETRANSLATE(C108,""en"",""ar"")"),"أ) مهارة قليلة أو معدومة، ب) درجة عالية من المهارة والتركيز والاستعراض، ج) القوة فقط، د) السرعة فقط")</f>
        <v>أ) مهارة قليلة أو معدومة، ب) درجة عالية من المهارة والتركيز والاستعراض، ج) القوة فقط، د) السرعة فقط</v>
      </c>
      <c r="K108" s="9" t="str">
        <f>IFERROR(__xludf.DUMMYFUNCTION("GOOGLETRANSLATE(D108,""en"",""ar"")"),"ب) درجة عالية من المهارة والتركيز والاستعراض")</f>
        <v>ب) درجة عالية من المهارة والتركيز والاستعراض</v>
      </c>
      <c r="L108" s="9" t="str">
        <f>IFERROR(__xludf.DUMMYFUNCTION("GOOGLETRANSLATE(E108,""en"",""ar"")"),"التحطيب هو فن قتالي حقيقي يجمع بين البراعة الرياضية والتعبير الفني.")</f>
        <v>التحطيب هو فن قتالي حقيقي يجمع بين البراعة الرياضية والتعبير الفني.</v>
      </c>
      <c r="M108" s="9"/>
      <c r="N108" s="9"/>
      <c r="O108" s="9"/>
      <c r="P108" s="9"/>
      <c r="Q108" s="9"/>
      <c r="R108" s="9"/>
      <c r="S108" s="9"/>
      <c r="T108" s="9"/>
      <c r="U108" s="9"/>
      <c r="V108" s="9"/>
      <c r="W108" s="9"/>
      <c r="X108" s="9"/>
      <c r="Y108" s="9"/>
      <c r="Z108" s="9"/>
      <c r="AA108" s="9"/>
      <c r="AB108" s="9"/>
      <c r="AC108" s="9"/>
      <c r="AD108" s="9"/>
      <c r="AE108" s="9"/>
      <c r="AF108" s="9"/>
      <c r="AG108" s="9"/>
    </row>
    <row r="109">
      <c r="A109" s="20" t="s">
        <v>3060</v>
      </c>
      <c r="B109" s="20" t="s">
        <v>3089</v>
      </c>
      <c r="C109" s="20" t="s">
        <v>3090</v>
      </c>
      <c r="D109" s="20" t="s">
        <v>3091</v>
      </c>
      <c r="E109" s="20" t="s">
        <v>3092</v>
      </c>
      <c r="F109" s="9"/>
      <c r="G109" s="9"/>
      <c r="H109" s="26" t="s">
        <v>3060</v>
      </c>
      <c r="I109" s="9" t="str">
        <f>IFERROR(__xludf.DUMMYFUNCTION("GOOGLETRANSLATE(B109,""en"",""ar"")"),"أين يقام هذا الأداء؟")</f>
        <v>أين يقام هذا الأداء؟</v>
      </c>
      <c r="J109" s="9" t="str">
        <f>IFERROR(__xludf.DUMMYFUNCTION("GOOGLETRANSLATE(C109,""en"",""ar"")"),"أ) في الصحراء، ب) في ساحة داخلية حديثة، ج) في فناء مرصوف أمام مبنى تاريخي، د) في غابة")</f>
        <v>أ) في الصحراء، ب) في ساحة داخلية حديثة، ج) في فناء مرصوف أمام مبنى تاريخي، د) في غابة</v>
      </c>
      <c r="K109" s="9" t="str">
        <f>IFERROR(__xludf.DUMMYFUNCTION("GOOGLETRANSLATE(D109,""en"",""ar"")"),"ج) في ساحة مرصوفة أمام مبنى تاريخي")</f>
        <v>ج) في ساحة مرصوفة أمام مبنى تاريخي</v>
      </c>
      <c r="L109" s="9" t="str">
        <f>IFERROR(__xludf.DUMMYFUNCTION("GOOGLETRANSLATE(E109,""en"",""ar"")"),"المكان عبارة عن منطقة واسعة مفتوحة وممهدة، وهي نموذجية للعروض العامة في المدن المصرية مثل الأقصر.")</f>
        <v>المكان عبارة عن منطقة واسعة مفتوحة وممهدة، وهي نموذجية للعروض العامة في المدن المصرية مثل الأقصر.</v>
      </c>
      <c r="M109" s="9"/>
      <c r="N109" s="9"/>
      <c r="O109" s="9"/>
      <c r="P109" s="9"/>
      <c r="Q109" s="9"/>
      <c r="R109" s="9"/>
      <c r="S109" s="9"/>
      <c r="T109" s="9"/>
      <c r="U109" s="9"/>
      <c r="V109" s="9"/>
      <c r="W109" s="9"/>
      <c r="X109" s="9"/>
      <c r="Y109" s="9"/>
      <c r="Z109" s="9"/>
      <c r="AA109" s="9"/>
      <c r="AB109" s="9"/>
      <c r="AC109" s="9"/>
      <c r="AD109" s="9"/>
      <c r="AE109" s="9"/>
      <c r="AF109" s="9"/>
      <c r="AG109" s="9"/>
    </row>
    <row r="110">
      <c r="A110" s="20" t="s">
        <v>3060</v>
      </c>
      <c r="B110" s="20" t="s">
        <v>3093</v>
      </c>
      <c r="C110" s="20" t="s">
        <v>3094</v>
      </c>
      <c r="D110" s="20" t="s">
        <v>3095</v>
      </c>
      <c r="E110" s="20" t="s">
        <v>3096</v>
      </c>
      <c r="F110" s="9"/>
      <c r="G110" s="9"/>
      <c r="H110" s="25" t="s">
        <v>3060</v>
      </c>
      <c r="I110" s="9" t="str">
        <f>IFERROR(__xludf.DUMMYFUNCTION("GOOGLETRANSLATE(B110,""en"",""ar"")"),"الرجال الجالسين في الخلفية هم...")</f>
        <v>الرجال الجالسين في الخلفية هم...</v>
      </c>
      <c r="J110" s="9" t="str">
        <f>IFERROR(__xludf.DUMMYFUNCTION("GOOGLETRANSLATE(C110,""en"",""ar"")"),"أ) انتظار دورهم للأداء، ب) حكام الحدث، ج) مجموعة من الموسيقيين، د) كل ما سبق ممكن")</f>
        <v>أ) انتظار دورهم للأداء، ب) حكام الحدث، ج) مجموعة من الموسيقيين، د) كل ما سبق ممكن</v>
      </c>
      <c r="K110" s="9" t="str">
        <f>IFERROR(__xludf.DUMMYFUNCTION("GOOGLETRANSLATE(D110,""en"",""ar"")"),"د) كل ما سبق ممكن")</f>
        <v>د) كل ما سبق ممكن</v>
      </c>
      <c r="L110" s="9" t="str">
        <f>IFERROR(__xludf.DUMMYFUNCTION("GOOGLETRANSLATE(E110,""en"",""ar"")"),"في أداء التحطيب، عادة ما يجلس المشاركون الآخرون (الموسيقيون والراقصون الآخرون) ويشاهدون حتى يأتي دورهم.")</f>
        <v>في أداء التحطيب، عادة ما يجلس المشاركون الآخرون (الموسيقيون والراقصون الآخرون) ويشاهدون حتى يأتي دورهم.</v>
      </c>
      <c r="M110" s="9"/>
      <c r="N110" s="9"/>
      <c r="O110" s="9"/>
      <c r="P110" s="9"/>
      <c r="Q110" s="9"/>
      <c r="R110" s="9"/>
      <c r="S110" s="9"/>
      <c r="T110" s="9"/>
      <c r="U110" s="9"/>
      <c r="V110" s="9"/>
      <c r="W110" s="9"/>
      <c r="X110" s="9"/>
      <c r="Y110" s="9"/>
      <c r="Z110" s="9"/>
      <c r="AA110" s="9"/>
      <c r="AB110" s="9"/>
      <c r="AC110" s="9"/>
      <c r="AD110" s="9"/>
      <c r="AE110" s="9"/>
      <c r="AF110" s="9"/>
      <c r="AG110" s="9"/>
    </row>
    <row r="111">
      <c r="A111" s="20" t="s">
        <v>3060</v>
      </c>
      <c r="B111" s="20" t="s">
        <v>2679</v>
      </c>
      <c r="C111" s="20" t="s">
        <v>3097</v>
      </c>
      <c r="D111" s="20" t="s">
        <v>3098</v>
      </c>
      <c r="E111" s="20" t="s">
        <v>3099</v>
      </c>
      <c r="F111" s="9"/>
      <c r="G111" s="9"/>
      <c r="H111" s="26" t="s">
        <v>3060</v>
      </c>
      <c r="I111" s="9" t="str">
        <f>IFERROR(__xludf.DUMMYFUNCTION("GOOGLETRANSLATE(B111,""en"",""ar"")"),"يمكن إرجاع أصول التحطيب إلى...")</f>
        <v>يمكن إرجاع أصول التحطيب إلى...</v>
      </c>
      <c r="J111" s="9" t="str">
        <f>IFERROR(__xludf.DUMMYFUNCTION("GOOGLETRANSLATE(C111,""en"",""ar"")"),"أ) الإمبراطورية الرومانية، ب) مصر القديمة، ج) أوروبا في العصور الوسطى، د) اليابان في القرن التاسع عشر")</f>
        <v>أ) الإمبراطورية الرومانية، ب) مصر القديمة، ج) أوروبا في العصور الوسطى، د) اليابان في القرن التاسع عشر</v>
      </c>
      <c r="K111" s="9" t="str">
        <f>IFERROR(__xludf.DUMMYFUNCTION("GOOGLETRANSLATE(D111,""en"",""ar"")"),"ب) مصر القديمة")</f>
        <v>ب) مصر القديمة</v>
      </c>
      <c r="L111" s="9" t="str">
        <f>IFERROR(__xludf.DUMMYFUNCTION("GOOGLETRANSLATE(E111,""en"",""ar"")"),"تُظهر النقوش البارزة من المقابر المصرية القديمة التي يعود تاريخها إلى آلاف السنين جنودًا ورياضيين يمارسون القتال بالعصي بأسلوب يشبه إلى حد كبير أسلوب التحطيب الحديث.")</f>
        <v>تُظهر النقوش البارزة من المقابر المصرية القديمة التي يعود تاريخها إلى آلاف السنين جنودًا ورياضيين يمارسون القتال بالعصي بأسلوب يشبه إلى حد كبير أسلوب التحطيب الحديث.</v>
      </c>
      <c r="M111" s="9"/>
      <c r="N111" s="9"/>
      <c r="O111" s="9"/>
      <c r="P111" s="9"/>
      <c r="Q111" s="9"/>
      <c r="R111" s="9"/>
      <c r="S111" s="9"/>
      <c r="T111" s="9"/>
      <c r="U111" s="9"/>
      <c r="V111" s="9"/>
      <c r="W111" s="9"/>
      <c r="X111" s="9"/>
      <c r="Y111" s="9"/>
      <c r="Z111" s="9"/>
      <c r="AA111" s="9"/>
      <c r="AB111" s="9"/>
      <c r="AC111" s="9"/>
      <c r="AD111" s="9"/>
      <c r="AE111" s="9"/>
      <c r="AF111" s="9"/>
      <c r="AG111" s="9"/>
    </row>
    <row r="112">
      <c r="A112" s="20" t="s">
        <v>3100</v>
      </c>
      <c r="B112" s="20" t="s">
        <v>3101</v>
      </c>
      <c r="C112" s="20" t="s">
        <v>3102</v>
      </c>
      <c r="D112" s="20" t="s">
        <v>3103</v>
      </c>
      <c r="E112" s="20" t="s">
        <v>3104</v>
      </c>
      <c r="F112" s="9"/>
      <c r="G112" s="9"/>
      <c r="H112" s="25" t="s">
        <v>3100</v>
      </c>
      <c r="I112" s="9" t="str">
        <f>IFERROR(__xludf.DUMMYFUNCTION("GOOGLETRANSLATE(B112,""en"",""ar"")"),"ماذا تظهر هذه الصورة بالأبيض والأسود؟")</f>
        <v>ماذا تظهر هذه الصورة بالأبيض والأسود؟</v>
      </c>
      <c r="J112" s="9" t="str">
        <f>IFERROR(__xludf.DUMMYFUNCTION("GOOGLETRANSLATE(C112,""en"",""ar"")"),"أ) صورة حديثة لمباراة مصارعة، ب) لوحة قبر مصرية قديمة، ج) قطعة فخار يونانية، د) زخرفة مخطوطة من العصور الوسطى")</f>
        <v>أ) صورة حديثة لمباراة مصارعة، ب) لوحة قبر مصرية قديمة، ج) قطعة فخار يونانية، د) زخرفة مخطوطة من العصور الوسطى</v>
      </c>
      <c r="K112" s="9" t="str">
        <f>IFERROR(__xludf.DUMMYFUNCTION("GOOGLETRANSLATE(D112,""en"",""ar"")"),"ب) لوحة مقبرة مصرية قديمة")</f>
        <v>ب) لوحة مقبرة مصرية قديمة</v>
      </c>
      <c r="L112" s="9" t="str">
        <f>IFERROR(__xludf.DUMMYFUNCTION("GOOGLETRANSLATE(E112,""en"",""ar"")"),"هذه صورة لنقش بارز من مقبرة مصرية قديمة، يظهر فيه مجموعة من الجنود.")</f>
        <v>هذه صورة لنقش بارز من مقبرة مصرية قديمة، يظهر فيه مجموعة من الجنود.</v>
      </c>
      <c r="M112" s="9"/>
      <c r="N112" s="9"/>
      <c r="O112" s="9"/>
      <c r="P112" s="9"/>
      <c r="Q112" s="9"/>
      <c r="R112" s="9"/>
      <c r="S112" s="9"/>
      <c r="T112" s="9"/>
      <c r="U112" s="9"/>
      <c r="V112" s="9"/>
      <c r="W112" s="9"/>
      <c r="X112" s="9"/>
      <c r="Y112" s="9"/>
      <c r="Z112" s="9"/>
      <c r="AA112" s="9"/>
      <c r="AB112" s="9"/>
      <c r="AC112" s="9"/>
      <c r="AD112" s="9"/>
      <c r="AE112" s="9"/>
      <c r="AF112" s="9"/>
      <c r="AG112" s="9"/>
    </row>
    <row r="113">
      <c r="A113" s="20" t="s">
        <v>3100</v>
      </c>
      <c r="B113" s="20" t="s">
        <v>3105</v>
      </c>
      <c r="C113" s="20" t="s">
        <v>3106</v>
      </c>
      <c r="D113" s="20" t="s">
        <v>3107</v>
      </c>
      <c r="E113" s="20" t="s">
        <v>3108</v>
      </c>
      <c r="F113" s="9"/>
      <c r="G113" s="9"/>
      <c r="H113" s="26" t="s">
        <v>3100</v>
      </c>
      <c r="I113" s="9" t="str">
        <f>IFERROR(__xludf.DUMMYFUNCTION("GOOGLETRANSLATE(B113,""en"",""ar"")"),"يُعتقد أن الجنود المصورين في هذه اللوحة هم...")</f>
        <v>يُعتقد أن الجنود المصورين في هذه اللوحة هم...</v>
      </c>
      <c r="J113" s="9" t="str">
        <f>IFERROR(__xludf.DUMMYFUNCTION("GOOGLETRANSLATE(C113,""en"",""ar"")"),"أ) الفيلق الروماني، ب) جنود الهوبليت اليونانيون، ج) المرتزقة النوبيون، د) الخالدون الفرس")</f>
        <v>أ) الفيلق الروماني، ب) جنود الهوبليت اليونانيون، ج) المرتزقة النوبيون، د) الخالدون الفرس</v>
      </c>
      <c r="K113" s="9" t="str">
        <f>IFERROR(__xludf.DUMMYFUNCTION("GOOGLETRANSLATE(D113,""en"",""ar"")"),"ج) المرتزقة النوبيون")</f>
        <v>ج) المرتزقة النوبيون</v>
      </c>
      <c r="L113" s="9" t="str">
        <f>IFERROR(__xludf.DUMMYFUNCTION("GOOGLETRANSLATE(E113,""en"",""ar"")"),"إن البشرة الداكنة للجنود، وتسريحات الشعر، ودورهم كمقاتلين من النخبة هي من السمات المميزة لكيفية تصوير النوبيين أثناء خدمتهم في الجيش المصري.")</f>
        <v>إن البشرة الداكنة للجنود، وتسريحات الشعر، ودورهم كمقاتلين من النخبة هي من السمات المميزة لكيفية تصوير النوبيين أثناء خدمتهم في الجيش المصري.</v>
      </c>
      <c r="M113" s="9"/>
      <c r="N113" s="9"/>
      <c r="O113" s="9"/>
      <c r="P113" s="9"/>
      <c r="Q113" s="9"/>
      <c r="R113" s="9"/>
      <c r="S113" s="9"/>
      <c r="T113" s="9"/>
      <c r="U113" s="9"/>
      <c r="V113" s="9"/>
      <c r="W113" s="9"/>
      <c r="X113" s="9"/>
      <c r="Y113" s="9"/>
      <c r="Z113" s="9"/>
      <c r="AA113" s="9"/>
      <c r="AB113" s="9"/>
      <c r="AC113" s="9"/>
      <c r="AD113" s="9"/>
      <c r="AE113" s="9"/>
      <c r="AF113" s="9"/>
      <c r="AG113" s="9"/>
    </row>
    <row r="114">
      <c r="A114" s="20" t="s">
        <v>3100</v>
      </c>
      <c r="B114" s="20" t="s">
        <v>3109</v>
      </c>
      <c r="C114" s="20" t="s">
        <v>3110</v>
      </c>
      <c r="D114" s="20" t="s">
        <v>3111</v>
      </c>
      <c r="E114" s="20" t="s">
        <v>3112</v>
      </c>
      <c r="F114" s="9"/>
      <c r="G114" s="9"/>
      <c r="H114" s="25" t="s">
        <v>3100</v>
      </c>
      <c r="I114" s="9" t="str">
        <f>IFERROR(__xludf.DUMMYFUNCTION("GOOGLETRANSLATE(B114,""en"",""ar"")"),"كانت منطقة النوبة تقع في __________ من مصر القديمة.")</f>
        <v>كانت منطقة النوبة تقع في __________ من مصر القديمة.</v>
      </c>
      <c r="J114" s="9" t="str">
        <f>IFERROR(__xludf.DUMMYFUNCTION("GOOGLETRANSLATE(C114,""en"",""ar"")"),"أ) الشمال، ب) الجنوب، ج) الشرق، د) الغرب")</f>
        <v>أ) الشمال، ب) الجنوب، ج) الشرق، د) الغرب</v>
      </c>
      <c r="K114" s="9" t="str">
        <f>IFERROR(__xludf.DUMMYFUNCTION("GOOGLETRANSLATE(D114,""en"",""ar"")"),"ب) الجنوب")</f>
        <v>ب) الجنوب</v>
      </c>
      <c r="L114" s="9" t="str">
        <f>IFERROR(__xludf.DUMMYFUNCTION("GOOGLETRANSLATE(E114,""en"",""ar"")"),"النوبة هي المنطقة التاريخية الواقعة على طول نهر النيل، جنوب مصر، في ما يعرف الآن بشمال السودان.")</f>
        <v>النوبة هي المنطقة التاريخية الواقعة على طول نهر النيل، جنوب مصر، في ما يعرف الآن بشمال السودان.</v>
      </c>
      <c r="M114" s="9"/>
      <c r="N114" s="9"/>
      <c r="O114" s="9"/>
      <c r="P114" s="9"/>
      <c r="Q114" s="9"/>
      <c r="R114" s="9"/>
      <c r="S114" s="9"/>
      <c r="T114" s="9"/>
      <c r="U114" s="9"/>
      <c r="V114" s="9"/>
      <c r="W114" s="9"/>
      <c r="X114" s="9"/>
      <c r="Y114" s="9"/>
      <c r="Z114" s="9"/>
      <c r="AA114" s="9"/>
      <c r="AB114" s="9"/>
      <c r="AC114" s="9"/>
      <c r="AD114" s="9"/>
      <c r="AE114" s="9"/>
      <c r="AF114" s="9"/>
      <c r="AG114" s="9"/>
    </row>
    <row r="115">
      <c r="A115" s="20" t="s">
        <v>3100</v>
      </c>
      <c r="B115" s="20" t="s">
        <v>3113</v>
      </c>
      <c r="C115" s="20" t="s">
        <v>3114</v>
      </c>
      <c r="D115" s="20" t="s">
        <v>3115</v>
      </c>
      <c r="E115" s="20" t="s">
        <v>3116</v>
      </c>
      <c r="F115" s="9"/>
      <c r="G115" s="9"/>
      <c r="H115" s="26" t="s">
        <v>3100</v>
      </c>
      <c r="I115" s="9" t="str">
        <f>IFERROR(__xludf.DUMMYFUNCTION("GOOGLETRANSLATE(B115,""en"",""ar"")"),"ماذا يحمل الجنود؟")</f>
        <v>ماذا يحمل الجنود؟</v>
      </c>
      <c r="J115" s="9" t="str">
        <f>IFERROR(__xludf.DUMMYFUNCTION("GOOGLETRANSLATE(C115,""en"",""ar"")"),"أ) أدوات الزراعة، ب) شبكات الصيد، ج) الرماح أو العصي القتالية، د) الآلات الموسيقية")</f>
        <v>أ) أدوات الزراعة، ب) شبكات الصيد، ج) الرماح أو العصي القتالية، د) الآلات الموسيقية</v>
      </c>
      <c r="K115" s="9" t="str">
        <f>IFERROR(__xludf.DUMMYFUNCTION("GOOGLETRANSLATE(D115,""en"",""ar"")"),"ج) الرماح أو العصي القتالية")</f>
        <v>ج) الرماح أو العصي القتالية</v>
      </c>
      <c r="L115" s="9" t="str">
        <f>IFERROR(__xludf.DUMMYFUNCTION("GOOGLETRANSLATE(E115,""en"",""ar"")"),"إنهم مسلحون للقتال، ويحمل كل منهم عصا طويلة أو رمحًا.")</f>
        <v>إنهم مسلحون للقتال، ويحمل كل منهم عصا طويلة أو رمحًا.</v>
      </c>
      <c r="M115" s="9"/>
      <c r="N115" s="9"/>
      <c r="O115" s="9"/>
      <c r="P115" s="9"/>
      <c r="Q115" s="9"/>
      <c r="R115" s="9"/>
      <c r="S115" s="9"/>
      <c r="T115" s="9"/>
      <c r="U115" s="9"/>
      <c r="V115" s="9"/>
      <c r="W115" s="9"/>
      <c r="X115" s="9"/>
      <c r="Y115" s="9"/>
      <c r="Z115" s="9"/>
      <c r="AA115" s="9"/>
      <c r="AB115" s="9"/>
      <c r="AC115" s="9"/>
      <c r="AD115" s="9"/>
      <c r="AE115" s="9"/>
      <c r="AF115" s="9"/>
      <c r="AG115" s="9"/>
    </row>
    <row r="116">
      <c r="A116" s="20" t="s">
        <v>3100</v>
      </c>
      <c r="B116" s="20" t="s">
        <v>3117</v>
      </c>
      <c r="C116" s="20" t="s">
        <v>3118</v>
      </c>
      <c r="D116" s="20" t="s">
        <v>3119</v>
      </c>
      <c r="E116" s="20" t="s">
        <v>3120</v>
      </c>
      <c r="F116" s="9"/>
      <c r="G116" s="9"/>
      <c r="H116" s="25" t="s">
        <v>3100</v>
      </c>
      <c r="I116" s="9" t="str">
        <f>IFERROR(__xludf.DUMMYFUNCTION("GOOGLETRANSLATE(B116,""en"",""ar"")"),"ماذا يرتدي الجنود؟")</f>
        <v>ماذا يرتدي الجنود؟</v>
      </c>
      <c r="J116" s="9" t="str">
        <f>IFERROR(__xludf.DUMMYFUNCTION("GOOGLETRANSLATE(C116,""en"",""ar"")"),"أ) درع معدني كامل، ب) معاطف فرو ثقيلة، ج) مآزر بسيطة، بعضها بذيول حيوانات، د) لا شيء")</f>
        <v>أ) درع معدني كامل، ب) معاطف فرو ثقيلة، ج) مآزر بسيطة، بعضها بذيول حيوانات، د) لا شيء</v>
      </c>
      <c r="K116" s="9" t="str">
        <f>IFERROR(__xludf.DUMMYFUNCTION("GOOGLETRANSLATE(D116,""en"",""ar"")"),"ج) مآزر بسيطة، بعضها بذيول حيوانات")</f>
        <v>ج) مآزر بسيطة، بعضها بذيول حيوانات</v>
      </c>
      <c r="L116" s="9" t="str">
        <f>IFERROR(__xludf.DUMMYFUNCTION("GOOGLETRANSLATE(E116,""en"",""ar"")"),"يرتدون التنورات الاسكتلندية البسيطة أو المآزر التي كانت الزي العسكري التقليدي. قد تدل ذيولها على رتبتهم أو قد تكون زينة طقسية.")</f>
        <v>يرتدون التنورات الاسكتلندية البسيطة أو المآزر التي كانت الزي العسكري التقليدي. قد تدل ذيولها على رتبتهم أو قد تكون زينة طقسية.</v>
      </c>
      <c r="M116" s="9"/>
      <c r="N116" s="9"/>
      <c r="O116" s="9"/>
      <c r="P116" s="9"/>
      <c r="Q116" s="9"/>
      <c r="R116" s="9"/>
      <c r="S116" s="9"/>
      <c r="T116" s="9"/>
      <c r="U116" s="9"/>
      <c r="V116" s="9"/>
      <c r="W116" s="9"/>
      <c r="X116" s="9"/>
      <c r="Y116" s="9"/>
      <c r="Z116" s="9"/>
      <c r="AA116" s="9"/>
      <c r="AB116" s="9"/>
      <c r="AC116" s="9"/>
      <c r="AD116" s="9"/>
      <c r="AE116" s="9"/>
      <c r="AF116" s="9"/>
      <c r="AG116" s="9"/>
    </row>
    <row r="117">
      <c r="A117" s="20" t="s">
        <v>3100</v>
      </c>
      <c r="B117" s="20" t="s">
        <v>3121</v>
      </c>
      <c r="C117" s="20" t="s">
        <v>3122</v>
      </c>
      <c r="D117" s="20" t="s">
        <v>3123</v>
      </c>
      <c r="E117" s="20" t="s">
        <v>3124</v>
      </c>
      <c r="F117" s="9"/>
      <c r="G117" s="9"/>
      <c r="H117" s="26" t="s">
        <v>3100</v>
      </c>
      <c r="I117" s="9" t="str">
        <f>IFERROR(__xludf.DUMMYFUNCTION("GOOGLETRANSLATE(B117,""en"",""ar"")"),"هذه القطعة الأثرية مهمة لأنها توفر دليلاً تاريخيًا على...")</f>
        <v>هذه القطعة الأثرية مهمة لأنها توفر دليلاً تاريخيًا على...</v>
      </c>
      <c r="J117" s="9" t="str">
        <f>IFERROR(__xludf.DUMMYFUNCTION("GOOGLETRANSLATE(C117,""en"",""ar"")"),"أ) النظام الغذائي عند المصريين القدماء، ب) دور النوبيين في الجيش المصري، ج) اختراع الكتابة، د) تقنيات الزراعة عند المصريين القدماء")</f>
        <v>أ) النظام الغذائي عند المصريين القدماء، ب) دور النوبيين في الجيش المصري، ج) اختراع الكتابة، د) تقنيات الزراعة عند المصريين القدماء</v>
      </c>
      <c r="K117" s="9" t="str">
        <f>IFERROR(__xludf.DUMMYFUNCTION("GOOGLETRANSLATE(D117,""en"",""ar"")"),"ب) دور النوبيين في الجيش المصري")</f>
        <v>ب) دور النوبيين في الجيش المصري</v>
      </c>
      <c r="L117" s="9" t="str">
        <f>IFERROR(__xludf.DUMMYFUNCTION("GOOGLETRANSLATE(E117,""en"",""ar"")"),"يعد الفن مثل هذا المصدر الأساسي الذي يخبر المؤرخين عن تكوين ومظهر جيوش الفرعون.")</f>
        <v>يعد الفن مثل هذا المصدر الأساسي الذي يخبر المؤرخين عن تكوين ومظهر جيوش الفرعون.</v>
      </c>
      <c r="M117" s="9"/>
      <c r="N117" s="9"/>
      <c r="O117" s="9"/>
      <c r="P117" s="9"/>
      <c r="Q117" s="9"/>
      <c r="R117" s="9"/>
      <c r="S117" s="9"/>
      <c r="T117" s="9"/>
      <c r="U117" s="9"/>
      <c r="V117" s="9"/>
      <c r="W117" s="9"/>
      <c r="X117" s="9"/>
      <c r="Y117" s="9"/>
      <c r="Z117" s="9"/>
      <c r="AA117" s="9"/>
      <c r="AB117" s="9"/>
      <c r="AC117" s="9"/>
      <c r="AD117" s="9"/>
      <c r="AE117" s="9"/>
      <c r="AF117" s="9"/>
      <c r="AG117" s="9"/>
    </row>
    <row r="118">
      <c r="A118" s="20" t="s">
        <v>3100</v>
      </c>
      <c r="B118" s="20" t="s">
        <v>3125</v>
      </c>
      <c r="C118" s="20" t="s">
        <v>3126</v>
      </c>
      <c r="D118" s="20" t="s">
        <v>3127</v>
      </c>
      <c r="E118" s="20" t="s">
        <v>3128</v>
      </c>
      <c r="F118" s="9"/>
      <c r="G118" s="9"/>
      <c r="H118" s="25" t="s">
        <v>3100</v>
      </c>
      <c r="I118" s="9" t="str">
        <f>IFERROR(__xludf.DUMMYFUNCTION("GOOGLETRANSLATE(B118,""en"",""ar"")"),"أسلوب الرسم، مع جميع الشخصيات في وضع جانبي وتتحرك في انسجام، هو سمة من سمات...")</f>
        <v>أسلوب الرسم، مع جميع الشخصيات في وضع جانبي وتتحرك في انسجام، هو سمة من سمات...</v>
      </c>
      <c r="J118" s="9" t="str">
        <f>IFERROR(__xludf.DUMMYFUNCTION("GOOGLETRANSLATE(C118,""en"",""ar"")"),"أ) الفن التجريدي الحديث، ب) الفن المصري القديم، ج) فن عصر النهضة، د) لوحات الكهوف")</f>
        <v>أ) الفن التجريدي الحديث، ب) الفن المصري القديم، ج) فن عصر النهضة، د) لوحات الكهوف</v>
      </c>
      <c r="K118" s="9" t="str">
        <f>IFERROR(__xludf.DUMMYFUNCTION("GOOGLETRANSLATE(D118,""en"",""ar"")"),"ب) الفن المصري القديم")</f>
        <v>ب) الفن المصري القديم</v>
      </c>
      <c r="L118" s="9" t="str">
        <f>IFERROR(__xludf.DUMMYFUNCTION("GOOGLETRANSLATE(E118,""en"",""ar"")"),"يعد هذا التصوير الأسلوبي والإيقاعي للشخصيات من السمات المميزة للاتفاقيات الفنية المصرية.")</f>
        <v>يعد هذا التصوير الأسلوبي والإيقاعي للشخصيات من السمات المميزة للاتفاقيات الفنية المصرية.</v>
      </c>
      <c r="M118" s="9"/>
      <c r="N118" s="9"/>
      <c r="O118" s="9"/>
      <c r="P118" s="9"/>
      <c r="Q118" s="9"/>
      <c r="R118" s="9"/>
      <c r="S118" s="9"/>
      <c r="T118" s="9"/>
      <c r="U118" s="9"/>
      <c r="V118" s="9"/>
      <c r="W118" s="9"/>
      <c r="X118" s="9"/>
      <c r="Y118" s="9"/>
      <c r="Z118" s="9"/>
      <c r="AA118" s="9"/>
      <c r="AB118" s="9"/>
      <c r="AC118" s="9"/>
      <c r="AD118" s="9"/>
      <c r="AE118" s="9"/>
      <c r="AF118" s="9"/>
      <c r="AG118" s="9"/>
    </row>
    <row r="119">
      <c r="A119" s="20" t="s">
        <v>3100</v>
      </c>
      <c r="B119" s="20" t="s">
        <v>3129</v>
      </c>
      <c r="C119" s="20" t="s">
        <v>3130</v>
      </c>
      <c r="D119" s="20" t="s">
        <v>3131</v>
      </c>
      <c r="E119" s="20" t="s">
        <v>3132</v>
      </c>
      <c r="F119" s="9"/>
      <c r="G119" s="9"/>
      <c r="H119" s="26" t="s">
        <v>3100</v>
      </c>
      <c r="I119" s="9" t="str">
        <f>IFERROR(__xludf.DUMMYFUNCTION("GOOGLETRANSLATE(B119,""en"",""ar"")"),"ويبدو أن الجنود...")</f>
        <v>ويبدو أن الجنود...</v>
      </c>
      <c r="J119" s="9" t="str">
        <f>IFERROR(__xludf.DUMMYFUNCTION("GOOGLETRANSLATE(C119,""en"",""ar"")"),"أ) الوقوف ساكنًا لالتقاط صورة شخصية، ب) السير أو التقدم في تشكيل منضبط، ج) الفرار من معركة، د) بناء هرم")</f>
        <v>أ) الوقوف ساكنًا لالتقاط صورة شخصية، ب) السير أو التقدم في تشكيل منضبط، ج) الفرار من معركة، د) بناء هرم</v>
      </c>
      <c r="K119" s="9" t="str">
        <f>IFERROR(__xludf.DUMMYFUNCTION("GOOGLETRANSLATE(D119,""en"",""ar"")"),"ب) السير أو التقدم في تشكيل منضبط")</f>
        <v>ب) السير أو التقدم في تشكيل منضبط</v>
      </c>
      <c r="L119" s="9" t="str">
        <f>IFERROR(__xludf.DUMMYFUNCTION("GOOGLETRANSLATE(E119,""en"",""ar"")"),"يشير وضعهم وحركتهم المتزامنة إلى وجود وحدة عسكرية في حالة تحرك.")</f>
        <v>يشير وضعهم وحركتهم المتزامنة إلى وجود وحدة عسكرية في حالة تحرك.</v>
      </c>
      <c r="M119" s="9"/>
      <c r="N119" s="9"/>
      <c r="O119" s="9"/>
      <c r="P119" s="9"/>
      <c r="Q119" s="9"/>
      <c r="R119" s="9"/>
      <c r="S119" s="9"/>
      <c r="T119" s="9"/>
      <c r="U119" s="9"/>
      <c r="V119" s="9"/>
      <c r="W119" s="9"/>
      <c r="X119" s="9"/>
      <c r="Y119" s="9"/>
      <c r="Z119" s="9"/>
      <c r="AA119" s="9"/>
      <c r="AB119" s="9"/>
      <c r="AC119" s="9"/>
      <c r="AD119" s="9"/>
      <c r="AE119" s="9"/>
      <c r="AF119" s="9"/>
      <c r="AG119" s="9"/>
    </row>
    <row r="120">
      <c r="A120" s="20" t="s">
        <v>3100</v>
      </c>
      <c r="B120" s="20" t="s">
        <v>3133</v>
      </c>
      <c r="C120" s="20" t="s">
        <v>3134</v>
      </c>
      <c r="D120" s="20" t="s">
        <v>3135</v>
      </c>
      <c r="E120" s="20" t="s">
        <v>3136</v>
      </c>
      <c r="F120" s="9"/>
      <c r="G120" s="9"/>
      <c r="H120" s="25" t="s">
        <v>3100</v>
      </c>
      <c r="I120" s="9" t="str">
        <f>IFERROR(__xludf.DUMMYFUNCTION("GOOGLETRANSLATE(B120,""en"",""ar"")"),"يبدو أن المشهد الصغير الموجود في المربع الموجود في الزاوية اليمنى العليا يُظهر...")</f>
        <v>يبدو أن المشهد الصغير الموجود في المربع الموجود في الزاوية اليمنى العليا يُظهر...</v>
      </c>
      <c r="J120" s="9" t="str">
        <f>IFERROR(__xludf.DUMMYFUNCTION("GOOGLETRANSLATE(C120,""en"",""ar"")"),"أ) خريطة لساحة المعركة، ب) شخصيتان تتصارعان، ج) رسالة بالهيروغليفية، د) تصوير للفرعون")</f>
        <v>أ) خريطة لساحة المعركة، ب) شخصيتان تتصارعان، ج) رسالة بالهيروغليفية، د) تصوير للفرعون</v>
      </c>
      <c r="K120" s="9" t="str">
        <f>IFERROR(__xludf.DUMMYFUNCTION("GOOGLETRANSLATE(D120,""en"",""ar"")"),"ب) مصارعة شخصين")</f>
        <v>ب) مصارعة شخصين</v>
      </c>
      <c r="L120" s="9" t="str">
        <f>IFERROR(__xludf.DUMMYFUNCTION("GOOGLETRANSLATE(E120,""en"",""ar"")"),"تُظهر هذه التفاصيل الصغيرة فنًا أو رياضة قتالية أخرى شائعة من نفس الفترة.")</f>
        <v>تُظهر هذه التفاصيل الصغيرة فنًا أو رياضة قتالية أخرى شائعة من نفس الفترة.</v>
      </c>
      <c r="M120" s="9"/>
      <c r="N120" s="9"/>
      <c r="O120" s="9"/>
      <c r="P120" s="9"/>
      <c r="Q120" s="9"/>
      <c r="R120" s="9"/>
      <c r="S120" s="9"/>
      <c r="T120" s="9"/>
      <c r="U120" s="9"/>
      <c r="V120" s="9"/>
      <c r="W120" s="9"/>
      <c r="X120" s="9"/>
      <c r="Y120" s="9"/>
      <c r="Z120" s="9"/>
      <c r="AA120" s="9"/>
      <c r="AB120" s="9"/>
      <c r="AC120" s="9"/>
      <c r="AD120" s="9"/>
      <c r="AE120" s="9"/>
      <c r="AF120" s="9"/>
      <c r="AG120" s="9"/>
    </row>
    <row r="121">
      <c r="A121" s="20" t="s">
        <v>3100</v>
      </c>
      <c r="B121" s="20" t="s">
        <v>3137</v>
      </c>
      <c r="C121" s="20" t="s">
        <v>3138</v>
      </c>
      <c r="D121" s="20" t="s">
        <v>3139</v>
      </c>
      <c r="E121" s="20" t="s">
        <v>3140</v>
      </c>
      <c r="F121" s="9"/>
      <c r="G121" s="9"/>
      <c r="H121" s="26" t="s">
        <v>3100</v>
      </c>
      <c r="I121" s="9" t="str">
        <f>IFERROR(__xludf.DUMMYFUNCTION("GOOGLETRANSLATE(B121,""en"",""ar"")"),"كان الجنود النوبيون محل تقدير خاص في الجيش المصري بسبب مهاراتهم في...")</f>
        <v>كان الجنود النوبيون محل تقدير خاص في الجيش المصري بسبب مهاراتهم في...</v>
      </c>
      <c r="J121" s="9" t="str">
        <f>IFERROR(__xludf.DUMMYFUNCTION("GOOGLETRANSLATE(C121,""en"",""ar"")"),"أ) سائقو المركبات، ب) البحارة، ج) الرماة، د) المسعفون")</f>
        <v>أ) سائقو المركبات، ب) البحارة، ج) الرماة، د) المسعفون</v>
      </c>
      <c r="K121" s="9" t="str">
        <f>IFERROR(__xludf.DUMMYFUNCTION("GOOGLETRANSLATE(D121,""en"",""ar"")"),"ج) الرماة")</f>
        <v>ج) الرماة</v>
      </c>
      <c r="L121" s="9" t="str">
        <f>IFERROR(__xludf.DUMMYFUNCTION("GOOGLETRANSLATE(E121,""en"",""ar"")"),"كان النوبيون مشهورين عالميًا بمهارتهم في استخدام القوس والسهم، وشكلوا فيلق الرماية النخبة للفراعنة.")</f>
        <v>كان النوبيون مشهورين عالميًا بمهارتهم في استخدام القوس والسهم، وشكلوا فيلق الرماية النخبة للفراعنة.</v>
      </c>
      <c r="M121" s="9"/>
      <c r="N121" s="9"/>
      <c r="O121" s="9"/>
      <c r="P121" s="9"/>
      <c r="Q121" s="9"/>
      <c r="R121" s="9"/>
      <c r="S121" s="9"/>
      <c r="T121" s="9"/>
      <c r="U121" s="9"/>
      <c r="V121" s="9"/>
      <c r="W121" s="9"/>
      <c r="X121" s="9"/>
      <c r="Y121" s="9"/>
      <c r="Z121" s="9"/>
      <c r="AA121" s="9"/>
      <c r="AB121" s="9"/>
      <c r="AC121" s="9"/>
      <c r="AD121" s="9"/>
      <c r="AE121" s="9"/>
      <c r="AF121" s="9"/>
      <c r="AG121" s="9"/>
    </row>
    <row r="122">
      <c r="A122" s="20" t="s">
        <v>3141</v>
      </c>
      <c r="B122" s="20" t="s">
        <v>3142</v>
      </c>
      <c r="C122" s="20" t="s">
        <v>3143</v>
      </c>
      <c r="D122" s="20" t="s">
        <v>3144</v>
      </c>
      <c r="E122" s="20" t="s">
        <v>3145</v>
      </c>
      <c r="F122" s="9"/>
      <c r="G122" s="9"/>
      <c r="H122" s="25" t="s">
        <v>3141</v>
      </c>
      <c r="I122" s="9" t="str">
        <f>IFERROR(__xludf.DUMMYFUNCTION("GOOGLETRANSLATE(B122,""en"",""ar"")"),"هذه صورة لشاب من مجموعة رعوية في أي منطقة من أفريقيا؟")</f>
        <v>هذه صورة لشاب من مجموعة رعوية في أي منطقة من أفريقيا؟</v>
      </c>
      <c r="J122" s="9" t="str">
        <f>IFERROR(__xludf.DUMMYFUNCTION("GOOGLETRANSLATE(C122,""en"",""ar"")"),"أ) شمال أفريقيا (الصحراء الكبرى)، ب) جنوب أفريقيا، ج) غرب أفريقيا، د) وادي الصدع في شرق أفريقيا (على سبيل المثال، إثيوبيا، وكينيا، وجنوب السودان)")</f>
        <v>أ) شمال أفريقيا (الصحراء الكبرى)، ب) جنوب أفريقيا، ج) غرب أفريقيا، د) وادي الصدع في شرق أفريقيا (على سبيل المثال، إثيوبيا، وكينيا، وجنوب السودان)</v>
      </c>
      <c r="K122" s="9" t="str">
        <f>IFERROR(__xludf.DUMMYFUNCTION("GOOGLETRANSLATE(D122,""en"",""ar"")"),"د) وادي الصدع في شرق أفريقيا (على سبيل المثال، إثيوبيا، وكينيا، وجنوب السودان)")</f>
        <v>د) وادي الصدع في شرق أفريقيا (على سبيل المثال، إثيوبيا، وكينيا، وجنوب السودان)</v>
      </c>
      <c r="L122" s="9" t="str">
        <f>IFERROR(__xludf.DUMMYFUNCTION("GOOGLETRANSLATE(E122,""en"",""ar"")"),"يعتبر مظهر الشاب وخلفية السافانا من السمات المميزة لشعوب مثل السوري أو المرسي ​​أو التركانا.")</f>
        <v>يعتبر مظهر الشاب وخلفية السافانا من السمات المميزة لشعوب مثل السوري أو المرسي ​​أو التركانا.</v>
      </c>
      <c r="M122" s="9"/>
      <c r="N122" s="9"/>
      <c r="O122" s="9"/>
      <c r="P122" s="9"/>
      <c r="Q122" s="9"/>
      <c r="R122" s="9"/>
      <c r="S122" s="9"/>
      <c r="T122" s="9"/>
      <c r="U122" s="9"/>
      <c r="V122" s="9"/>
      <c r="W122" s="9"/>
      <c r="X122" s="9"/>
      <c r="Y122" s="9"/>
      <c r="Z122" s="9"/>
      <c r="AA122" s="9"/>
      <c r="AB122" s="9"/>
      <c r="AC122" s="9"/>
      <c r="AD122" s="9"/>
      <c r="AE122" s="9"/>
      <c r="AF122" s="9"/>
      <c r="AG122" s="9"/>
    </row>
    <row r="123">
      <c r="A123" s="20" t="s">
        <v>3141</v>
      </c>
      <c r="B123" s="20" t="s">
        <v>3146</v>
      </c>
      <c r="C123" s="20" t="s">
        <v>3147</v>
      </c>
      <c r="D123" s="20" t="s">
        <v>3148</v>
      </c>
      <c r="E123" s="20" t="s">
        <v>3149</v>
      </c>
      <c r="F123" s="9"/>
      <c r="G123" s="9"/>
      <c r="H123" s="26" t="s">
        <v>3141</v>
      </c>
      <c r="I123" s="9" t="str">
        <f>IFERROR(__xludf.DUMMYFUNCTION("GOOGLETRANSLATE(B123,""en"",""ar"")"),"ما هو الهدف الأساسي من العصا الطويلة التي يحملها؟")</f>
        <v>ما هو الهدف الأساسي من العصا الطويلة التي يحملها؟</v>
      </c>
      <c r="J123" s="9" t="str">
        <f>IFERROR(__xludf.DUMMYFUNCTION("GOOGLETRANSLATE(C123,""en"",""ar"")"),"أ) إنها آلة موسيقية، ب) تُستخدم في رعي الماشية والدفاع عن النفس، ج) إنها رمز للملكية، د) تُستخدم في صيد الأسماك")</f>
        <v>أ) إنها آلة موسيقية، ب) تُستخدم في رعي الماشية والدفاع عن النفس، ج) إنها رمز للملكية، د) تُستخدم في صيد الأسماك</v>
      </c>
      <c r="K123" s="9" t="str">
        <f>IFERROR(__xludf.DUMMYFUNCTION("GOOGLETRANSLATE(D123,""en"",""ar"")"),"ب) يستخدم لرعي الماشية والدفاع عن النفس")</f>
        <v>ب) يستخدم لرعي الماشية والدفاع عن النفس</v>
      </c>
      <c r="L123" s="9" t="str">
        <f>IFERROR(__xludf.DUMMYFUNCTION("GOOGLETRANSLATE(E123,""en"",""ar"")"),"بالنسبة لشعوب الرعاة الذين يعيشون مع قطعان الماشية الخاصة بهم، فإن العصا هي أداة أساسية لتوجيه الحيوانات وحمايتها.")</f>
        <v>بالنسبة لشعوب الرعاة الذين يعيشون مع قطعان الماشية الخاصة بهم، فإن العصا هي أداة أساسية لتوجيه الحيوانات وحمايتها.</v>
      </c>
      <c r="M123" s="9"/>
      <c r="N123" s="9"/>
      <c r="O123" s="9"/>
      <c r="P123" s="9"/>
      <c r="Q123" s="9"/>
      <c r="R123" s="9"/>
      <c r="S123" s="9"/>
      <c r="T123" s="9"/>
      <c r="U123" s="9"/>
      <c r="V123" s="9"/>
      <c r="W123" s="9"/>
      <c r="X123" s="9"/>
      <c r="Y123" s="9"/>
      <c r="Z123" s="9"/>
      <c r="AA123" s="9"/>
      <c r="AB123" s="9"/>
      <c r="AC123" s="9"/>
      <c r="AD123" s="9"/>
      <c r="AE123" s="9"/>
      <c r="AF123" s="9"/>
      <c r="AG123" s="9"/>
    </row>
    <row r="124">
      <c r="A124" s="20" t="s">
        <v>3141</v>
      </c>
      <c r="B124" s="20" t="s">
        <v>3150</v>
      </c>
      <c r="C124" s="20" t="s">
        <v>3151</v>
      </c>
      <c r="D124" s="20" t="s">
        <v>3152</v>
      </c>
      <c r="E124" s="20" t="s">
        <v>3153</v>
      </c>
      <c r="F124" s="9"/>
      <c r="G124" s="9"/>
      <c r="H124" s="25" t="s">
        <v>3141</v>
      </c>
      <c r="I124" s="9" t="str">
        <f>IFERROR(__xludf.DUMMYFUNCTION("GOOGLETRANSLATE(B124,""en"",""ar"")"),"ماذا يرتدي حول رقبته؟")</f>
        <v>ماذا يرتدي حول رقبته؟</v>
      </c>
      <c r="J124" s="9" t="str">
        <f>IFERROR(__xludf.DUMMYFUNCTION("GOOGLETRANSLATE(C124,""en"",""ar"")"),"أ) ربطة عنق عصرية، ب) وشاح للحماية من البرد، ج) قلادات تقليدية من الخرز، د) سلسلة معدنية ثقيلة")</f>
        <v>أ) ربطة عنق عصرية، ب) وشاح للحماية من البرد، ج) قلادات تقليدية من الخرز، د) سلسلة معدنية ثقيلة</v>
      </c>
      <c r="K124" s="9" t="str">
        <f>IFERROR(__xludf.DUMMYFUNCTION("GOOGLETRANSLATE(D124,""en"",""ar"")"),"ج) القلائد التقليدية المصنوعة من الخرز")</f>
        <v>ج) القلائد التقليدية المصنوعة من الخرز</v>
      </c>
      <c r="L124" s="9" t="str">
        <f>IFERROR(__xludf.DUMMYFUNCTION("GOOGLETRANSLATE(E124,""en"",""ar"")"),"تشكل المجوهرات المصنوعة من الخرز الملون شكلاً شائعًا ومهمًا للتعبير الثقافي والزينة الشخصية في هذه المنطقة.")</f>
        <v>تشكل المجوهرات المصنوعة من الخرز الملون شكلاً شائعًا ومهمًا للتعبير الثقافي والزينة الشخصية في هذه المنطقة.</v>
      </c>
      <c r="M124" s="9"/>
      <c r="N124" s="9"/>
      <c r="O124" s="9"/>
      <c r="P124" s="9"/>
      <c r="Q124" s="9"/>
      <c r="R124" s="9"/>
      <c r="S124" s="9"/>
      <c r="T124" s="9"/>
      <c r="U124" s="9"/>
      <c r="V124" s="9"/>
      <c r="W124" s="9"/>
      <c r="X124" s="9"/>
      <c r="Y124" s="9"/>
      <c r="Z124" s="9"/>
      <c r="AA124" s="9"/>
      <c r="AB124" s="9"/>
      <c r="AC124" s="9"/>
      <c r="AD124" s="9"/>
      <c r="AE124" s="9"/>
      <c r="AF124" s="9"/>
      <c r="AG124" s="9"/>
    </row>
    <row r="125">
      <c r="A125" s="20" t="s">
        <v>3141</v>
      </c>
      <c r="B125" s="20" t="s">
        <v>3154</v>
      </c>
      <c r="C125" s="20" t="s">
        <v>3155</v>
      </c>
      <c r="D125" s="20" t="s">
        <v>3156</v>
      </c>
      <c r="E125" s="20" t="s">
        <v>3157</v>
      </c>
      <c r="F125" s="9"/>
      <c r="G125" s="9"/>
      <c r="H125" s="26" t="s">
        <v>3141</v>
      </c>
      <c r="I125" s="9" t="str">
        <f>IFERROR(__xludf.DUMMYFUNCTION("GOOGLETRANSLATE(B125,""en"",""ar"")"),"المشهد في الخلفية هو ...")</f>
        <v>المشهد في الخلفية هو ...</v>
      </c>
      <c r="J125" s="9" t="str">
        <f>IFERROR(__xludf.DUMMYFUNCTION("GOOGLETRANSLATE(C125,""en"",""ar"")"),"أ) الغابات المطيرة الاستوائية الكثيفة، ب) الشاطئ الرملي، ج) السافانا العشبية الجبلية، د) قمة جبلية ثلجية")</f>
        <v>أ) الغابات المطيرة الاستوائية الكثيفة، ب) الشاطئ الرملي، ج) السافانا العشبية الجبلية، د) قمة جبلية ثلجية</v>
      </c>
      <c r="K125" s="9" t="str">
        <f>IFERROR(__xludf.DUMMYFUNCTION("GOOGLETRANSLATE(D125,""en"",""ar"")"),"ج) السافانا العشبية الجبلية")</f>
        <v>ج) السافانا العشبية الجبلية</v>
      </c>
      <c r="L125" s="9" t="str">
        <f>IFERROR(__xludf.DUMMYFUNCTION("GOOGLETRANSLATE(E125,""en"",""ar"")"),"تشكل الأعشاب الجافة والتلال المتدحرجة سمة مميزة لبيئة السافانا في شرق إفريقيا.")</f>
        <v>تشكل الأعشاب الجافة والتلال المتدحرجة سمة مميزة لبيئة السافانا في شرق إفريقيا.</v>
      </c>
      <c r="M125" s="9"/>
      <c r="N125" s="9"/>
      <c r="O125" s="9"/>
      <c r="P125" s="9"/>
      <c r="Q125" s="9"/>
      <c r="R125" s="9"/>
      <c r="S125" s="9"/>
      <c r="T125" s="9"/>
      <c r="U125" s="9"/>
      <c r="V125" s="9"/>
      <c r="W125" s="9"/>
      <c r="X125" s="9"/>
      <c r="Y125" s="9"/>
      <c r="Z125" s="9"/>
      <c r="AA125" s="9"/>
      <c r="AB125" s="9"/>
      <c r="AC125" s="9"/>
      <c r="AD125" s="9"/>
      <c r="AE125" s="9"/>
      <c r="AF125" s="9"/>
      <c r="AG125" s="9"/>
    </row>
    <row r="126">
      <c r="A126" s="20" t="s">
        <v>3141</v>
      </c>
      <c r="B126" s="20" t="s">
        <v>3158</v>
      </c>
      <c r="C126" s="20" t="s">
        <v>3159</v>
      </c>
      <c r="D126" s="20" t="s">
        <v>3160</v>
      </c>
      <c r="E126" s="20" t="s">
        <v>3161</v>
      </c>
      <c r="F126" s="9"/>
      <c r="G126" s="9"/>
      <c r="H126" s="25" t="s">
        <v>3141</v>
      </c>
      <c r="I126" s="9" t="str">
        <f>IFERROR(__xludf.DUMMYFUNCTION("GOOGLETRANSLATE(B126,""en"",""ar"")"),"ما هو نمط الحياة الذي تعيشه الجماعات الرعوية؟")</f>
        <v>ما هو نمط الحياة الذي تعيشه الجماعات الرعوية؟</v>
      </c>
      <c r="J126" s="9" t="str">
        <f>IFERROR(__xludf.DUMMYFUNCTION("GOOGLETRANSLATE(C126,""en"",""ar"")"),"أ) حياة مستقرة في المدن الكبيرة، ب) حياة تتمحور حول زراعة المحاصيل، ج) حياة شبه بدوية تتمحور حول رعي الماشية، د) حياة تعتمد على صيد الأسماك والتجارة البحرية.")</f>
        <v>أ) حياة مستقرة في المدن الكبيرة، ب) حياة تتمحور حول زراعة المحاصيل، ج) حياة شبه بدوية تتمحور حول رعي الماشية، د) حياة تعتمد على صيد الأسماك والتجارة البحرية.</v>
      </c>
      <c r="K126" s="9" t="str">
        <f>IFERROR(__xludf.DUMMYFUNCTION("GOOGLETRANSLATE(D126,""en"",""ar"")"),"ج) حياة شبه بدوية تتمحور حول رعي الماشية")</f>
        <v>ج) حياة شبه بدوية تتمحور حول رعي الماشية</v>
      </c>
      <c r="L126" s="9" t="str">
        <f>IFERROR(__xludf.DUMMYFUNCTION("GOOGLETRANSLATE(E126,""en"",""ar"")"),"يتنقل الرعاة مع قطعانهم من الماشية أو الماعز أو الأغنام بحثًا عن المرعى والماء.")</f>
        <v>يتنقل الرعاة مع قطعانهم من الماشية أو الماعز أو الأغنام بحثًا عن المرعى والماء.</v>
      </c>
      <c r="M126" s="9"/>
      <c r="N126" s="9"/>
      <c r="O126" s="9"/>
      <c r="P126" s="9"/>
      <c r="Q126" s="9"/>
      <c r="R126" s="9"/>
      <c r="S126" s="9"/>
      <c r="T126" s="9"/>
      <c r="U126" s="9"/>
      <c r="V126" s="9"/>
      <c r="W126" s="9"/>
      <c r="X126" s="9"/>
      <c r="Y126" s="9"/>
      <c r="Z126" s="9"/>
      <c r="AA126" s="9"/>
      <c r="AB126" s="9"/>
      <c r="AC126" s="9"/>
      <c r="AD126" s="9"/>
      <c r="AE126" s="9"/>
      <c r="AF126" s="9"/>
      <c r="AG126" s="9"/>
    </row>
    <row r="127">
      <c r="A127" s="20" t="s">
        <v>3141</v>
      </c>
      <c r="B127" s="20" t="s">
        <v>3162</v>
      </c>
      <c r="C127" s="20" t="s">
        <v>3163</v>
      </c>
      <c r="D127" s="20" t="s">
        <v>3164</v>
      </c>
      <c r="E127" s="20" t="s">
        <v>3165</v>
      </c>
      <c r="F127" s="9"/>
      <c r="G127" s="9"/>
      <c r="H127" s="26" t="s">
        <v>3141</v>
      </c>
      <c r="I127" s="9" t="str">
        <f>IFERROR(__xludf.DUMMYFUNCTION("GOOGLETRANSLATE(B127,""en"",""ar"")"),"إن البنية الجسدية النحيفة والرياضية للرجل هي نتيجة ...")</f>
        <v>إن البنية الجسدية النحيفة والرياضية للرجل هي نتيجة ...</v>
      </c>
      <c r="J127" s="9" t="str">
        <f>IFERROR(__xludf.DUMMYFUNCTION("GOOGLETRANSLATE(C127,""en"",""ar"")"),"أ) نظام غذائي غني بالأطعمة المصنعة، ب) نمط حياة نشط يتطلب مجهودًا بدنيًا، ج) وظيفة مكتبية غير نشطة، د) العيش في مناخ بارد")</f>
        <v>أ) نظام غذائي غني بالأطعمة المصنعة، ب) نمط حياة نشط يتطلب مجهودًا بدنيًا، ج) وظيفة مكتبية غير نشطة، د) العيش في مناخ بارد</v>
      </c>
      <c r="K127" s="9" t="str">
        <f>IFERROR(__xludf.DUMMYFUNCTION("GOOGLETRANSLATE(D127,""en"",""ar"")"),"ب) نمط حياة نشط يتطلب جهدًا بدنيًا")</f>
        <v>ب) نمط حياة نشط يتطلب جهدًا بدنيًا</v>
      </c>
      <c r="L127" s="9" t="str">
        <f>IFERROR(__xludf.DUMMYFUNCTION("GOOGLETRANSLATE(E127,""en"",""ar"")"),"إن الحياة التي تتطلب المشي لمسافات طويلة وإدارة الماشية تؤدي إلى الحصول على جسم قوي ونحيف بشكل طبيعي.")</f>
        <v>إن الحياة التي تتطلب المشي لمسافات طويلة وإدارة الماشية تؤدي إلى الحصول على جسم قوي ونحيف بشكل طبيعي.</v>
      </c>
      <c r="M127" s="9"/>
      <c r="N127" s="9"/>
      <c r="O127" s="9"/>
      <c r="P127" s="9"/>
      <c r="Q127" s="9"/>
      <c r="R127" s="9"/>
      <c r="S127" s="9"/>
      <c r="T127" s="9"/>
      <c r="U127" s="9"/>
      <c r="V127" s="9"/>
      <c r="W127" s="9"/>
      <c r="X127" s="9"/>
      <c r="Y127" s="9"/>
      <c r="Z127" s="9"/>
      <c r="AA127" s="9"/>
      <c r="AB127" s="9"/>
      <c r="AC127" s="9"/>
      <c r="AD127" s="9"/>
      <c r="AE127" s="9"/>
      <c r="AF127" s="9"/>
      <c r="AG127" s="9"/>
    </row>
    <row r="128">
      <c r="A128" s="20" t="s">
        <v>3141</v>
      </c>
      <c r="B128" s="20" t="s">
        <v>3166</v>
      </c>
      <c r="C128" s="20" t="s">
        <v>3167</v>
      </c>
      <c r="D128" s="20" t="s">
        <v>3168</v>
      </c>
      <c r="E128" s="20" t="s">
        <v>3169</v>
      </c>
      <c r="F128" s="9"/>
      <c r="G128" s="9"/>
      <c r="H128" s="25" t="s">
        <v>3141</v>
      </c>
      <c r="I128" s="9" t="str">
        <f>IFERROR(__xludf.DUMMYFUNCTION("GOOGLETRANSLATE(B128,""en"",""ar"")"),"القماش الذي يلف حول خصره هو ...")</f>
        <v>القماش الذي يلف حول خصره هو ...</v>
      </c>
      <c r="J128" s="9" t="str">
        <f>IFERROR(__xludf.DUMMYFUNCTION("GOOGLETRANSLATE(C128,""en"",""ar"")"),"أ) قطعة الملابس الرئيسية، ب) بطانية للنوم، ج) منشفة للاستحمام، د) شكل من أشكال العملة")</f>
        <v>أ) قطعة الملابس الرئيسية، ب) بطانية للنوم، ج) منشفة للاستحمام، د) شكل من أشكال العملة</v>
      </c>
      <c r="K128" s="9" t="str">
        <f>IFERROR(__xludf.DUMMYFUNCTION("GOOGLETRANSLATE(D128,""en"",""ar"")"),"أ) قطعة ملابسه الرئيسية")</f>
        <v>أ) قطعة ملابسه الرئيسية</v>
      </c>
      <c r="L128" s="9" t="str">
        <f>IFERROR(__xludf.DUMMYFUNCTION("GOOGLETRANSLATE(E128,""en"",""ar"")"),"في المناخ الدافئ، غالبًا ما يكون القماش الملفوف البسيط هو الثوب الأساسي أو الوحيد الذي يتم ارتداؤه.")</f>
        <v>في المناخ الدافئ، غالبًا ما يكون القماش الملفوف البسيط هو الثوب الأساسي أو الوحيد الذي يتم ارتداؤه.</v>
      </c>
      <c r="M128" s="9"/>
      <c r="N128" s="9"/>
      <c r="O128" s="9"/>
      <c r="P128" s="9"/>
      <c r="Q128" s="9"/>
      <c r="R128" s="9"/>
      <c r="S128" s="9"/>
      <c r="T128" s="9"/>
      <c r="U128" s="9"/>
      <c r="V128" s="9"/>
      <c r="W128" s="9"/>
      <c r="X128" s="9"/>
      <c r="Y128" s="9"/>
      <c r="Z128" s="9"/>
      <c r="AA128" s="9"/>
      <c r="AB128" s="9"/>
      <c r="AC128" s="9"/>
      <c r="AD128" s="9"/>
      <c r="AE128" s="9"/>
      <c r="AF128" s="9"/>
      <c r="AG128" s="9"/>
    </row>
    <row r="129">
      <c r="A129" s="20" t="s">
        <v>3141</v>
      </c>
      <c r="B129" s="20" t="s">
        <v>3170</v>
      </c>
      <c r="C129" s="20" t="s">
        <v>3171</v>
      </c>
      <c r="D129" s="20" t="s">
        <v>3172</v>
      </c>
      <c r="E129" s="20" t="s">
        <v>3173</v>
      </c>
      <c r="F129" s="9"/>
      <c r="G129" s="9"/>
      <c r="H129" s="26" t="s">
        <v>3141</v>
      </c>
      <c r="I129" s="9" t="str">
        <f>IFERROR(__xludf.DUMMYFUNCTION("GOOGLETRANSLATE(B129,""en"",""ar"")"),"هذه الصورة هي...")</f>
        <v>هذه الصورة هي...</v>
      </c>
      <c r="J129" s="9" t="str">
        <f>IFERROR(__xludf.DUMMYFUNCTION("GOOGLETRANSLATE(C129,""en"",""ar"")"),"أ) لقطة عفوية لمعركة، ب) صورة شخصية، ج) صورة لمهرجان كبير، د) لوحة تاريخية")</f>
        <v>أ) لقطة عفوية لمعركة، ب) صورة شخصية، ج) صورة لمهرجان كبير، د) لوحة تاريخية</v>
      </c>
      <c r="K129" s="9" t="str">
        <f>IFERROR(__xludf.DUMMYFUNCTION("GOOGLETRANSLATE(D129,""en"",""ar"")"),"ب) صورة شخصية")</f>
        <v>ب) صورة شخصية</v>
      </c>
      <c r="L129" s="9" t="str">
        <f>IFERROR(__xludf.DUMMYFUNCTION("GOOGLETRANSLATE(E129,""en"",""ar"")"),"يقف الشاب بهدوء وينظر مباشرة إلى الكاميرا، مما يشير إلى أنه يقف أمام المصور.")</f>
        <v>يقف الشاب بهدوء وينظر مباشرة إلى الكاميرا، مما يشير إلى أنه يقف أمام المصور.</v>
      </c>
      <c r="M129" s="9"/>
      <c r="N129" s="9"/>
      <c r="O129" s="9"/>
      <c r="P129" s="9"/>
      <c r="Q129" s="9"/>
      <c r="R129" s="9"/>
      <c r="S129" s="9"/>
      <c r="T129" s="9"/>
      <c r="U129" s="9"/>
      <c r="V129" s="9"/>
      <c r="W129" s="9"/>
      <c r="X129" s="9"/>
      <c r="Y129" s="9"/>
      <c r="Z129" s="9"/>
      <c r="AA129" s="9"/>
      <c r="AB129" s="9"/>
      <c r="AC129" s="9"/>
      <c r="AD129" s="9"/>
      <c r="AE129" s="9"/>
      <c r="AF129" s="9"/>
      <c r="AG129" s="9"/>
    </row>
    <row r="130">
      <c r="A130" s="20" t="s">
        <v>3141</v>
      </c>
      <c r="B130" s="20" t="s">
        <v>3174</v>
      </c>
      <c r="C130" s="20" t="s">
        <v>3175</v>
      </c>
      <c r="D130" s="20" t="s">
        <v>3176</v>
      </c>
      <c r="E130" s="20" t="s">
        <v>3177</v>
      </c>
      <c r="F130" s="9"/>
      <c r="G130" s="9"/>
      <c r="H130" s="25" t="s">
        <v>3141</v>
      </c>
      <c r="I130" s="9" t="str">
        <f>IFERROR(__xludf.DUMMYFUNCTION("GOOGLETRANSLATE(B130,""en"",""ar"")"),"الموظفين رمز لماذا؟")</f>
        <v>الموظفين رمز لماذا؟</v>
      </c>
      <c r="J130" s="9" t="str">
        <f>IFERROR(__xludf.DUMMYFUNCTION("GOOGLETRANSLATE(C130,""en"",""ar"")"),"أ) السلام وعدم العنف، ب) دور الرجل كراعٍ وحامي، ج) الارتباط بالعالم الحديث، د) الثروة العظيمة")</f>
        <v>أ) السلام وعدم العنف، ب) دور الرجل كراعٍ وحامي، ج) الارتباط بالعالم الحديث، د) الثروة العظيمة</v>
      </c>
      <c r="K130" s="9" t="str">
        <f>IFERROR(__xludf.DUMMYFUNCTION("GOOGLETRANSLATE(D130,""en"",""ar"")"),"ب) دور الرجل كراعٍ وحامي")</f>
        <v>ب) دور الرجل كراعٍ وحامي</v>
      </c>
      <c r="L130" s="9" t="str">
        <f>IFERROR(__xludf.DUMMYFUNCTION("GOOGLETRANSLATE(E130,""en"",""ar"")"),"إن حمل العصا هو علامة على مسؤوليات الرجل واستعداده للدفاع عن قطيعه ومجتمعه.")</f>
        <v>إن حمل العصا هو علامة على مسؤوليات الرجل واستعداده للدفاع عن قطيعه ومجتمعه.</v>
      </c>
      <c r="M130" s="9"/>
      <c r="N130" s="9"/>
      <c r="O130" s="9"/>
      <c r="P130" s="9"/>
      <c r="Q130" s="9"/>
      <c r="R130" s="9"/>
      <c r="S130" s="9"/>
      <c r="T130" s="9"/>
      <c r="U130" s="9"/>
      <c r="V130" s="9"/>
      <c r="W130" s="9"/>
      <c r="X130" s="9"/>
      <c r="Y130" s="9"/>
      <c r="Z130" s="9"/>
      <c r="AA130" s="9"/>
      <c r="AB130" s="9"/>
      <c r="AC130" s="9"/>
      <c r="AD130" s="9"/>
      <c r="AE130" s="9"/>
      <c r="AF130" s="9"/>
      <c r="AG130" s="9"/>
    </row>
    <row r="131">
      <c r="A131" s="20" t="s">
        <v>3141</v>
      </c>
      <c r="B131" s="20" t="s">
        <v>3178</v>
      </c>
      <c r="C131" s="20" t="s">
        <v>3179</v>
      </c>
      <c r="D131" s="20" t="s">
        <v>3180</v>
      </c>
      <c r="E131" s="20" t="s">
        <v>3181</v>
      </c>
      <c r="F131" s="9"/>
      <c r="G131" s="9"/>
      <c r="H131" s="26" t="s">
        <v>3141</v>
      </c>
      <c r="I131" s="9" t="str">
        <f>IFERROR(__xludf.DUMMYFUNCTION("GOOGLETRANSLATE(B131,""en"",""ar"")"),"تركز الصورة على ...")</f>
        <v>تركز الصورة على ...</v>
      </c>
      <c r="J131" s="9" t="str">
        <f>IFERROR(__xludf.DUMMYFUNCTION("GOOGLETRANSLATE(C131,""en"",""ar"")"),"أ) جمال المناظر الطبيعية، ب) الشخص الفرد وهويته الثقافية، ج) قطيع الماشية في الخلفية، د) مهارة المصور")</f>
        <v>أ) جمال المناظر الطبيعية، ب) الشخص الفرد وهويته الثقافية، ج) قطيع الماشية في الخلفية، د) مهارة المصور</v>
      </c>
      <c r="K131" s="9" t="str">
        <f>IFERROR(__xludf.DUMMYFUNCTION("GOOGLETRANSLATE(D131,""en"",""ar"")"),"ب) الفرد وهويته الثقافية")</f>
        <v>ب) الفرد وهويته الثقافية</v>
      </c>
      <c r="L131" s="9" t="str">
        <f>IFERROR(__xludf.DUMMYFUNCTION("GOOGLETRANSLATE(E131,""en"",""ar"")"),"إنها صورة قوية تجسد كرامة وأسلوب الثقافة الفريد لهذا الشاب.")</f>
        <v>إنها صورة قوية تجسد كرامة وأسلوب الثقافة الفريد لهذا الشاب.</v>
      </c>
      <c r="M131" s="9"/>
      <c r="N131" s="9"/>
      <c r="O131" s="9"/>
      <c r="P131" s="9"/>
      <c r="Q131" s="9"/>
      <c r="R131" s="9"/>
      <c r="S131" s="9"/>
      <c r="T131" s="9"/>
      <c r="U131" s="9"/>
      <c r="V131" s="9"/>
      <c r="W131" s="9"/>
      <c r="X131" s="9"/>
      <c r="Y131" s="9"/>
      <c r="Z131" s="9"/>
      <c r="AA131" s="9"/>
      <c r="AB131" s="9"/>
      <c r="AC131" s="9"/>
      <c r="AD131" s="9"/>
      <c r="AE131" s="9"/>
      <c r="AF131" s="9"/>
      <c r="AG131" s="9"/>
    </row>
    <row r="132">
      <c r="A132" s="20" t="s">
        <v>3182</v>
      </c>
      <c r="B132" s="20" t="s">
        <v>3183</v>
      </c>
      <c r="C132" s="20" t="s">
        <v>3184</v>
      </c>
      <c r="D132" s="20" t="s">
        <v>3185</v>
      </c>
      <c r="E132" s="20" t="s">
        <v>3186</v>
      </c>
      <c r="F132" s="9"/>
      <c r="G132" s="9"/>
      <c r="H132" s="25" t="s">
        <v>3182</v>
      </c>
      <c r="I132" s="9" t="str">
        <f>IFERROR(__xludf.DUMMYFUNCTION("GOOGLETRANSLATE(B132,""en"",""ar"")"),"تظهر هذه الصورة أداءً عامًا لأي شكل من أشكال الفن التقليدي؟")</f>
        <v>تظهر هذه الصورة أداءً عامًا لأي شكل من أشكال الفن التقليدي؟</v>
      </c>
      <c r="J132" s="9" t="str">
        <f>IFERROR(__xludf.DUMMYFUNCTION("GOOGLETRANSLATE(C132,""en"",""ar"")"),"أ) المصارعة النوبية، ب) التحطيب المصري، ج) مسرحية حديثة، د) احتجاج سياسي")</f>
        <v>أ) المصارعة النوبية، ب) التحطيب المصري، ج) مسرحية حديثة، د) احتجاج سياسي</v>
      </c>
      <c r="K132" s="9" t="str">
        <f>IFERROR(__xludf.DUMMYFUNCTION("GOOGLETRANSLATE(D132,""en"",""ar"")"),"ب) التحطيب المصري")</f>
        <v>ب) التحطيب المصري</v>
      </c>
      <c r="L132" s="9" t="str">
        <f>IFERROR(__xludf.DUMMYFUNCTION("GOOGLETRANSLATE(E132,""en"",""ar"")"),"يرتدي الرجال الجلابيب المصرية التقليدية ويشاركون في رقصة قتال العصي الطقسية.")</f>
        <v>يرتدي الرجال الجلابيب المصرية التقليدية ويشاركون في رقصة قتال العصي الطقسية.</v>
      </c>
      <c r="M132" s="9"/>
      <c r="N132" s="9"/>
      <c r="O132" s="9"/>
      <c r="P132" s="9"/>
      <c r="Q132" s="9"/>
      <c r="R132" s="9"/>
      <c r="S132" s="9"/>
      <c r="T132" s="9"/>
      <c r="U132" s="9"/>
      <c r="V132" s="9"/>
      <c r="W132" s="9"/>
      <c r="X132" s="9"/>
      <c r="Y132" s="9"/>
      <c r="Z132" s="9"/>
      <c r="AA132" s="9"/>
      <c r="AB132" s="9"/>
      <c r="AC132" s="9"/>
      <c r="AD132" s="9"/>
      <c r="AE132" s="9"/>
      <c r="AF132" s="9"/>
      <c r="AG132" s="9"/>
    </row>
    <row r="133">
      <c r="A133" s="20" t="s">
        <v>3182</v>
      </c>
      <c r="B133" s="20" t="s">
        <v>3187</v>
      </c>
      <c r="C133" s="20" t="s">
        <v>3188</v>
      </c>
      <c r="D133" s="20" t="s">
        <v>3189</v>
      </c>
      <c r="E133" s="20" t="s">
        <v>3190</v>
      </c>
      <c r="F133" s="9"/>
      <c r="G133" s="9"/>
      <c r="H133" s="26" t="s">
        <v>3182</v>
      </c>
      <c r="I133" s="9" t="str">
        <f>IFERROR(__xludf.DUMMYFUNCTION("GOOGLETRANSLATE(B133,""en"",""ar"")"),"ما هو دور الرجال في الخلفية؟")</f>
        <v>ما هو دور الرجال في الخلفية؟</v>
      </c>
      <c r="J133" s="9" t="str">
        <f>IFERROR(__xludf.DUMMYFUNCTION("GOOGLETRANSLATE(C133,""en"",""ar"")"),"أ) إنهم ينتظرون القتال التالي، ب) إنهم يقدمون مرافقة موسيقية حية، ج) إنهم الحكام، د) إنهم حراس الأمن")</f>
        <v>أ) إنهم ينتظرون القتال التالي، ب) إنهم يقدمون مرافقة موسيقية حية، ج) إنهم الحكام، د) إنهم حراس الأمن</v>
      </c>
      <c r="K133" s="9" t="str">
        <f>IFERROR(__xludf.DUMMYFUNCTION("GOOGLETRANSLATE(D133,""en"",""ar"")"),"ب) يقدمون مرافقة موسيقية حية")</f>
        <v>ب) يقدمون مرافقة موسيقية حية</v>
      </c>
      <c r="L133" s="9" t="str">
        <f>IFERROR(__xludf.DUMMYFUNCTION("GOOGLETRANSLATE(E133,""en"",""ar"")"),"يتم دائمًا تقديم أداء التحطيب التقليدي مصحوبًا بالموسيقى الحية، التي يتم عزفها هنا من قبل فرقة صغيرة تضم الطبول وآلات النفخ.")</f>
        <v>يتم دائمًا تقديم أداء التحطيب التقليدي مصحوبًا بالموسيقى الحية، التي يتم عزفها هنا من قبل فرقة صغيرة تضم الطبول وآلات النفخ.</v>
      </c>
      <c r="M133" s="9"/>
      <c r="N133" s="9"/>
      <c r="O133" s="9"/>
      <c r="P133" s="9"/>
      <c r="Q133" s="9"/>
      <c r="R133" s="9"/>
      <c r="S133" s="9"/>
      <c r="T133" s="9"/>
      <c r="U133" s="9"/>
      <c r="V133" s="9"/>
      <c r="W133" s="9"/>
      <c r="X133" s="9"/>
      <c r="Y133" s="9"/>
      <c r="Z133" s="9"/>
      <c r="AA133" s="9"/>
      <c r="AB133" s="9"/>
      <c r="AC133" s="9"/>
      <c r="AD133" s="9"/>
      <c r="AE133" s="9"/>
      <c r="AF133" s="9"/>
      <c r="AG133" s="9"/>
    </row>
    <row r="134">
      <c r="A134" s="20" t="s">
        <v>3182</v>
      </c>
      <c r="B134" s="20" t="s">
        <v>3191</v>
      </c>
      <c r="C134" s="20" t="s">
        <v>3192</v>
      </c>
      <c r="D134" s="20" t="s">
        <v>3193</v>
      </c>
      <c r="E134" s="20" t="s">
        <v>3194</v>
      </c>
      <c r="F134" s="9"/>
      <c r="G134" s="9"/>
      <c r="H134" s="25" t="s">
        <v>3182</v>
      </c>
      <c r="I134" s="9" t="str">
        <f>IFERROR(__xludf.DUMMYFUNCTION("GOOGLETRANSLATE(B134,""en"",""ar"")"),"ماذا يفعل الممثلان الرئيسيان؟")</f>
        <v>ماذا يفعل الممثلان الرئيسيان؟</v>
      </c>
      <c r="J134" s="9" t="str">
        <f>IFERROR(__xludf.DUMMYFUNCTION("GOOGLETRANSLATE(C134,""en"",""ar"")"),"أ) إنهم منخرطون في قتال حقيقي وعنيف، ب) إنهم يتجادلون حول القواعد، ج) إنهم يؤدون مبارزة متزامنة تشبه الرقص، د) إنهم يقفون لالتقاط صورة فوتوغرافية")</f>
        <v>أ) إنهم منخرطون في قتال حقيقي وعنيف، ب) إنهم يتجادلون حول القواعد، ج) إنهم يؤدون مبارزة متزامنة تشبه الرقص، د) إنهم يقفون لالتقاط صورة فوتوغرافية</v>
      </c>
      <c r="K134" s="9" t="str">
        <f>IFERROR(__xludf.DUMMYFUNCTION("GOOGLETRANSLATE(D134,""en"",""ar"")"),"ج) إنهم يؤدون مبارزة متزامنة تشبه الرقص")</f>
        <v>ج) إنهم يؤدون مبارزة متزامنة تشبه الرقص</v>
      </c>
      <c r="L134" s="9" t="str">
        <f>IFERROR(__xludf.DUMMYFUNCTION("GOOGLETRANSLATE(E134,""en"",""ar"")"),"حركاتهم إيقاعية ومنسقة، وهي جزء من شكل الرقص التقليدي المعروف باسم التحطيب.")</f>
        <v>حركاتهم إيقاعية ومنسقة، وهي جزء من شكل الرقص التقليدي المعروف باسم التحطيب.</v>
      </c>
      <c r="M134" s="9"/>
      <c r="N134" s="9"/>
      <c r="O134" s="9"/>
      <c r="P134" s="9"/>
      <c r="Q134" s="9"/>
      <c r="R134" s="9"/>
      <c r="S134" s="9"/>
      <c r="T134" s="9"/>
      <c r="U134" s="9"/>
      <c r="V134" s="9"/>
      <c r="W134" s="9"/>
      <c r="X134" s="9"/>
      <c r="Y134" s="9"/>
      <c r="Z134" s="9"/>
      <c r="AA134" s="9"/>
      <c r="AB134" s="9"/>
      <c r="AC134" s="9"/>
      <c r="AD134" s="9"/>
      <c r="AE134" s="9"/>
      <c r="AF134" s="9"/>
      <c r="AG134" s="9"/>
    </row>
    <row r="135">
      <c r="A135" s="20" t="s">
        <v>3182</v>
      </c>
      <c r="B135" s="20" t="s">
        <v>3195</v>
      </c>
      <c r="C135" s="20" t="s">
        <v>3196</v>
      </c>
      <c r="D135" s="20" t="s">
        <v>3197</v>
      </c>
      <c r="E135" s="20" t="s">
        <v>3198</v>
      </c>
      <c r="F135" s="9"/>
      <c r="G135" s="9"/>
      <c r="H135" s="26" t="s">
        <v>3182</v>
      </c>
      <c r="I135" s="9" t="str">
        <f>IFERROR(__xludf.DUMMYFUNCTION("GOOGLETRANSLATE(B135,""en"",""ar"")"),"من المرجح أن يكون الإعداد...")</f>
        <v>من المرجح أن يكون الإعداد...</v>
      </c>
      <c r="J135" s="9" t="str">
        <f>IFERROR(__xludf.DUMMYFUNCTION("GOOGLETRANSLATE(C135,""en"",""ar"")"),"أ) قرية نائية، ب) ساحة عامة أو فناء في مدينة مصرية، ج) وسط الصحراء، د) مسرح داخلي")</f>
        <v>أ) قرية نائية، ب) ساحة عامة أو فناء في مدينة مصرية، ج) وسط الصحراء، د) مسرح داخلي</v>
      </c>
      <c r="K135" s="9" t="str">
        <f>IFERROR(__xludf.DUMMYFUNCTION("GOOGLETRANSLATE(D135,""en"",""ar"")"),"ب) ساحة عامة أو فناء في مدينة مصرية")</f>
        <v>ب) ساحة عامة أو فناء في مدينة مصرية</v>
      </c>
      <c r="L135" s="9" t="str">
        <f>IFERROR(__xludf.DUMMYFUNCTION("GOOGLETRANSLATE(E135,""en"",""ar"")"),"يعتبر الجدار الحجري والأرض المرصوفة من السمات المميزة للمناطق الحضرية التاريخية في مصر.")</f>
        <v>يعتبر الجدار الحجري والأرض المرصوفة من السمات المميزة للمناطق الحضرية التاريخية في مصر.</v>
      </c>
      <c r="M135" s="9"/>
      <c r="N135" s="9"/>
      <c r="O135" s="9"/>
      <c r="P135" s="9"/>
      <c r="Q135" s="9"/>
      <c r="R135" s="9"/>
      <c r="S135" s="9"/>
      <c r="T135" s="9"/>
      <c r="U135" s="9"/>
      <c r="V135" s="9"/>
      <c r="W135" s="9"/>
      <c r="X135" s="9"/>
      <c r="Y135" s="9"/>
      <c r="Z135" s="9"/>
      <c r="AA135" s="9"/>
      <c r="AB135" s="9"/>
      <c r="AC135" s="9"/>
      <c r="AD135" s="9"/>
      <c r="AE135" s="9"/>
      <c r="AF135" s="9"/>
      <c r="AG135" s="9"/>
    </row>
    <row r="136">
      <c r="A136" s="20" t="s">
        <v>3182</v>
      </c>
      <c r="B136" s="20" t="s">
        <v>3199</v>
      </c>
      <c r="C136" s="20" t="s">
        <v>3200</v>
      </c>
      <c r="D136" s="20" t="s">
        <v>3201</v>
      </c>
      <c r="E136" s="20" t="s">
        <v>2711</v>
      </c>
      <c r="F136" s="9"/>
      <c r="G136" s="9"/>
      <c r="H136" s="25" t="s">
        <v>3182</v>
      </c>
      <c r="I136" s="9" t="str">
        <f>IFERROR(__xludf.DUMMYFUNCTION("GOOGLETRANSLATE(B136,""en"",""ar"")"),"ما هو اسم السلاح الخشبي الطويل الذي يستخدمونه؟")</f>
        <v>ما هو اسم السلاح الخشبي الطويل الذي يستخدمونه؟</v>
      </c>
      <c r="J136" s="9" t="str">
        <f>IFERROR(__xludf.DUMMYFUNCTION("GOOGLETRANSLATE(C136,""en"",""ar"")"),"أ) رمح، ب) آسا، ج) سيف، د) هراوة")</f>
        <v>أ) رمح، ب) آسا، ج) سيف، د) هراوة</v>
      </c>
      <c r="K136" s="9" t="str">
        <f>IFERROR(__xludf.DUMMYFUNCTION("GOOGLETRANSLATE(D136,""en"",""ar"")"),"ب) آسا")</f>
        <v>ب) آسا</v>
      </c>
      <c r="L136" s="9" t="str">
        <f>IFERROR(__xludf.DUMMYFUNCTION("GOOGLETRANSLATE(E136,""en"",""ar"")"),"العصا الطويلة المستخدمة في التحطيب تعرف باسم الآسا.")</f>
        <v>العصا الطويلة المستخدمة في التحطيب تعرف باسم الآسا.</v>
      </c>
      <c r="M136" s="9"/>
      <c r="N136" s="9"/>
      <c r="O136" s="9"/>
      <c r="P136" s="9"/>
      <c r="Q136" s="9"/>
      <c r="R136" s="9"/>
      <c r="S136" s="9"/>
      <c r="T136" s="9"/>
      <c r="U136" s="9"/>
      <c r="V136" s="9"/>
      <c r="W136" s="9"/>
      <c r="X136" s="9"/>
      <c r="Y136" s="9"/>
      <c r="Z136" s="9"/>
      <c r="AA136" s="9"/>
      <c r="AB136" s="9"/>
      <c r="AC136" s="9"/>
      <c r="AD136" s="9"/>
      <c r="AE136" s="9"/>
      <c r="AF136" s="9"/>
      <c r="AG136" s="9"/>
    </row>
    <row r="137">
      <c r="A137" s="20" t="s">
        <v>3182</v>
      </c>
      <c r="B137" s="20" t="s">
        <v>3202</v>
      </c>
      <c r="C137" s="20" t="s">
        <v>3203</v>
      </c>
      <c r="D137" s="20" t="s">
        <v>3204</v>
      </c>
      <c r="E137" s="20" t="s">
        <v>3205</v>
      </c>
      <c r="F137" s="9"/>
      <c r="G137" s="9"/>
      <c r="H137" s="26" t="s">
        <v>3182</v>
      </c>
      <c r="I137" s="9" t="str">
        <f>IFERROR(__xludf.DUMMYFUNCTION("GOOGLETRANSLATE(B137,""en"",""ar"")"),"يرتدي المؤدون الجلباب التقليدي (الجلابيات) و...")</f>
        <v>يرتدي المؤدون الجلباب التقليدي (الجلابيات) و...</v>
      </c>
      <c r="J137" s="9" t="str">
        <f>IFERROR(__xludf.DUMMYFUNCTION("GOOGLETRANSLATE(C137,""en"",""ar"")"),"أ) الخوذات، ب) العمائم والأوشحة المنقوشة، ج) قبعات رعاة البقر، د) قبعات البيسبول")</f>
        <v>أ) الخوذات، ب) العمائم والأوشحة المنقوشة، ج) قبعات رعاة البقر، د) قبعات البيسبول</v>
      </c>
      <c r="K137" s="9" t="str">
        <f>IFERROR(__xludf.DUMMYFUNCTION("GOOGLETRANSLATE(D137,""en"",""ar"")"),"ب) العمائم والأوشحة المنقوشة")</f>
        <v>ب) العمائم والأوشحة المنقوشة</v>
      </c>
      <c r="L137" s="9" t="str">
        <f>IFERROR(__xludf.DUMMYFUNCTION("GOOGLETRANSLATE(E137,""en"",""ar"")"),"إنهم يرتدون العمائم البيضاء التقليدية ويضعون الأوشحة المزخرفة على أكتافهم.")</f>
        <v>إنهم يرتدون العمائم البيضاء التقليدية ويضعون الأوشحة المزخرفة على أكتافهم.</v>
      </c>
      <c r="M137" s="9"/>
      <c r="N137" s="9"/>
      <c r="O137" s="9"/>
      <c r="P137" s="9"/>
      <c r="Q137" s="9"/>
      <c r="R137" s="9"/>
      <c r="S137" s="9"/>
      <c r="T137" s="9"/>
      <c r="U137" s="9"/>
      <c r="V137" s="9"/>
      <c r="W137" s="9"/>
      <c r="X137" s="9"/>
      <c r="Y137" s="9"/>
      <c r="Z137" s="9"/>
      <c r="AA137" s="9"/>
      <c r="AB137" s="9"/>
      <c r="AC137" s="9"/>
      <c r="AD137" s="9"/>
      <c r="AE137" s="9"/>
      <c r="AF137" s="9"/>
      <c r="AG137" s="9"/>
    </row>
    <row r="138">
      <c r="A138" s="20" t="s">
        <v>3182</v>
      </c>
      <c r="B138" s="20" t="s">
        <v>3206</v>
      </c>
      <c r="C138" s="20" t="s">
        <v>3207</v>
      </c>
      <c r="D138" s="20" t="s">
        <v>3208</v>
      </c>
      <c r="E138" s="20" t="s">
        <v>3209</v>
      </c>
      <c r="F138" s="9"/>
      <c r="G138" s="9"/>
      <c r="H138" s="25" t="s">
        <v>3182</v>
      </c>
      <c r="I138" s="9" t="str">
        <f>IFERROR(__xludf.DUMMYFUNCTION("GOOGLETRANSLATE(B138,""en"",""ar"")"),"يبدو أن هذا الحدث هو...")</f>
        <v>يبدو أن هذا الحدث هو...</v>
      </c>
      <c r="J138" s="9" t="str">
        <f>IFERROR(__xludf.DUMMYFUNCTION("GOOGLETRANSLATE(C138,""en"",""ar"")"),"أ) حفل خاص، ب) مشاجرة عفوية في الشارع، ج) عرض عام تم التدرب عليه جيدًا، د) تدريب عسكري")</f>
        <v>أ) حفل خاص، ب) مشاجرة عفوية في الشارع، ج) عرض عام تم التدرب عليه جيدًا، د) تدريب عسكري</v>
      </c>
      <c r="K138" s="9" t="str">
        <f>IFERROR(__xludf.DUMMYFUNCTION("GOOGLETRANSLATE(D138,""en"",""ar"")"),"ج) أداء عام تم التدرب عليه جيدًا")</f>
        <v>ج) أداء عام تم التدرب عليه جيدًا</v>
      </c>
      <c r="L138" s="9" t="str">
        <f>IFERROR(__xludf.DUMMYFUNCTION("GOOGLETRANSLATE(E138,""en"",""ar"")"),"يشير وجود الموسيقيين والرقص القتالي المنسق إلى أداء مخطط للجمهور.")</f>
        <v>يشير وجود الموسيقيين والرقص القتالي المنسق إلى أداء مخطط للجمهور.</v>
      </c>
      <c r="M138" s="9"/>
      <c r="N138" s="9"/>
      <c r="O138" s="9"/>
      <c r="P138" s="9"/>
      <c r="Q138" s="9"/>
      <c r="R138" s="9"/>
      <c r="S138" s="9"/>
      <c r="T138" s="9"/>
      <c r="U138" s="9"/>
      <c r="V138" s="9"/>
      <c r="W138" s="9"/>
      <c r="X138" s="9"/>
      <c r="Y138" s="9"/>
      <c r="Z138" s="9"/>
      <c r="AA138" s="9"/>
      <c r="AB138" s="9"/>
      <c r="AC138" s="9"/>
      <c r="AD138" s="9"/>
      <c r="AE138" s="9"/>
      <c r="AF138" s="9"/>
      <c r="AG138" s="9"/>
    </row>
    <row r="139">
      <c r="A139" s="20" t="s">
        <v>3182</v>
      </c>
      <c r="B139" s="20" t="s">
        <v>3210</v>
      </c>
      <c r="C139" s="20" t="s">
        <v>3211</v>
      </c>
      <c r="D139" s="20" t="s">
        <v>3212</v>
      </c>
      <c r="E139" s="20" t="s">
        <v>3213</v>
      </c>
      <c r="F139" s="9"/>
      <c r="G139" s="9"/>
      <c r="H139" s="26" t="s">
        <v>3182</v>
      </c>
      <c r="I139" s="9" t="str">
        <f>IFERROR(__xludf.DUMMYFUNCTION("GOOGLETRANSLATE(B139,""en"",""ar"")"),"يعود أصل التحطيب إلى آلاف السنين ويتجذر في...")</f>
        <v>يعود أصل التحطيب إلى آلاف السنين ويتجذر في...</v>
      </c>
      <c r="J139" s="9" t="str">
        <f>IFERROR(__xludf.DUMMYFUNCTION("GOOGLETRANSLATE(C139,""en"",""ar"")"),"أ) التدريب العسكري المصري القديم، ب) شكل من أشكال الرقص الشعبي، ج) طقوس لرعي الحيوانات، د) كل من أ و ب")</f>
        <v>أ) التدريب العسكري المصري القديم، ب) شكل من أشكال الرقص الشعبي، ج) طقوس لرعي الحيوانات، د) كل من أ و ب</v>
      </c>
      <c r="K139" s="9" t="str">
        <f>IFERROR(__xludf.DUMMYFUNCTION("GOOGLETRANSLATE(D139,""en"",""ar"")"),"د) كلا من أ و ب")</f>
        <v>د) كلا من أ و ب</v>
      </c>
      <c r="L139" s="9" t="str">
        <f>IFERROR(__xludf.DUMMYFUNCTION("GOOGLETRANSLATE(E139,""en"",""ar"")"),"التحطيب له أصول مزدوجة فهو فن قتالي عملي للجنود وشكل من أشكال الرقص الشعبي الاحتفالي.")</f>
        <v>التحطيب له أصول مزدوجة فهو فن قتالي عملي للجنود وشكل من أشكال الرقص الشعبي الاحتفالي.</v>
      </c>
      <c r="M139" s="9"/>
      <c r="N139" s="9"/>
      <c r="O139" s="9"/>
      <c r="P139" s="9"/>
      <c r="Q139" s="9"/>
      <c r="R139" s="9"/>
      <c r="S139" s="9"/>
      <c r="T139" s="9"/>
      <c r="U139" s="9"/>
      <c r="V139" s="9"/>
      <c r="W139" s="9"/>
      <c r="X139" s="9"/>
      <c r="Y139" s="9"/>
      <c r="Z139" s="9"/>
      <c r="AA139" s="9"/>
      <c r="AB139" s="9"/>
      <c r="AC139" s="9"/>
      <c r="AD139" s="9"/>
      <c r="AE139" s="9"/>
      <c r="AF139" s="9"/>
      <c r="AG139" s="9"/>
    </row>
    <row r="140">
      <c r="A140" s="20" t="s">
        <v>3182</v>
      </c>
      <c r="B140" s="20" t="s">
        <v>3214</v>
      </c>
      <c r="C140" s="20" t="s">
        <v>3215</v>
      </c>
      <c r="D140" s="20" t="s">
        <v>3216</v>
      </c>
      <c r="E140" s="20" t="s">
        <v>3217</v>
      </c>
      <c r="F140" s="9"/>
      <c r="G140" s="9"/>
      <c r="H140" s="25" t="s">
        <v>3182</v>
      </c>
      <c r="I140" s="9" t="str">
        <f>IFERROR(__xludf.DUMMYFUNCTION("GOOGLETRANSLATE(B140,""en"",""ar"")"),"الرجل الموجود على اليمين يرفع عصاه عالياً، على الأرجح في منتصف...")</f>
        <v>الرجل الموجود على اليمين يرفع عصاه عالياً، على الأرجح في منتصف...</v>
      </c>
      <c r="J140" s="9" t="str">
        <f>IFERROR(__xludf.DUMMYFUNCTION("GOOGLETRANSLATE(C140,""en"",""ar"")"),"أ) صد دفاعي، ب) حركة دوران أو ضربة، ج) لفتة استسلام، د) انحناءة للجمهور")</f>
        <v>أ) صد دفاعي، ب) حركة دوران أو ضربة، ج) لفتة استسلام، د) انحناءة للجمهور</v>
      </c>
      <c r="K140" s="9" t="str">
        <f>IFERROR(__xludf.DUMMYFUNCTION("GOOGLETRANSLATE(D140,""en"",""ar"")"),"ب) دوارة أو ضربة")</f>
        <v>ب) دوارة أو ضربة</v>
      </c>
      <c r="L140" s="9" t="str">
        <f>IFERROR(__xludf.DUMMYFUNCTION("GOOGLETRANSLATE(E140,""en"",""ar"")"),"تشكل هذه الوضعية الديناميكية جزءًا من الرقص، وتمثل هجومًا.")</f>
        <v>تشكل هذه الوضعية الديناميكية جزءًا من الرقص، وتمثل هجومًا.</v>
      </c>
      <c r="M140" s="9"/>
      <c r="N140" s="9"/>
      <c r="O140" s="9"/>
      <c r="P140" s="9"/>
      <c r="Q140" s="9"/>
      <c r="R140" s="9"/>
      <c r="S140" s="9"/>
      <c r="T140" s="9"/>
      <c r="U140" s="9"/>
      <c r="V140" s="9"/>
      <c r="W140" s="9"/>
      <c r="X140" s="9"/>
      <c r="Y140" s="9"/>
      <c r="Z140" s="9"/>
      <c r="AA140" s="9"/>
      <c r="AB140" s="9"/>
      <c r="AC140" s="9"/>
      <c r="AD140" s="9"/>
      <c r="AE140" s="9"/>
      <c r="AF140" s="9"/>
      <c r="AG140" s="9"/>
    </row>
    <row r="141">
      <c r="A141" s="20" t="s">
        <v>3182</v>
      </c>
      <c r="B141" s="20" t="s">
        <v>3218</v>
      </c>
      <c r="C141" s="20" t="s">
        <v>3219</v>
      </c>
      <c r="D141" s="20" t="s">
        <v>3220</v>
      </c>
      <c r="E141" s="20" t="s">
        <v>3221</v>
      </c>
      <c r="F141" s="9"/>
      <c r="G141" s="9"/>
      <c r="H141" s="26" t="s">
        <v>3182</v>
      </c>
      <c r="I141" s="9" t="str">
        <f>IFERROR(__xludf.DUMMYFUNCTION("GOOGLETRANSLATE(B141,""en"",""ar"")"),"يعد هذا الأداء احتفالًا بـ...")</f>
        <v>يعد هذا الأداء احتفالًا بـ...</v>
      </c>
      <c r="J141" s="9" t="str">
        <f>IFERROR(__xludf.DUMMYFUNCTION("GOOGLETRANSLATE(C141,""en"",""ar"")"),"أ) معركة تاريخية، ب) موسم الحصاد، ج) الثقافة والتراث المصري، د) عطلة حديثة")</f>
        <v>أ) معركة تاريخية، ب) موسم الحصاد، ج) الثقافة والتراث المصري، د) عطلة حديثة</v>
      </c>
      <c r="K141" s="9" t="str">
        <f>IFERROR(__xludf.DUMMYFUNCTION("GOOGLETRANSLATE(D141,""en"",""ar"")"),"ج) الثقافة والتراث المصري")</f>
        <v>ج) الثقافة والتراث المصري</v>
      </c>
      <c r="L141" s="9" t="str">
        <f>IFERROR(__xludf.DUMMYFUNCTION("GOOGLETRANSLATE(E141,""en"",""ar"")"),"التحطيب هو تقليد حي وجزء مهم من التراث الثقافي غير المادي في مصر.")</f>
        <v>التحطيب هو تقليد حي وجزء مهم من التراث الثقافي غير المادي في مصر.</v>
      </c>
      <c r="M141" s="9"/>
      <c r="N141" s="9"/>
      <c r="O141" s="9"/>
      <c r="P141" s="9"/>
      <c r="Q141" s="9"/>
      <c r="R141" s="9"/>
      <c r="S141" s="9"/>
      <c r="T141" s="9"/>
      <c r="U141" s="9"/>
      <c r="V141" s="9"/>
      <c r="W141" s="9"/>
      <c r="X141" s="9"/>
      <c r="Y141" s="9"/>
      <c r="Z141" s="9"/>
      <c r="AA141" s="9"/>
      <c r="AB141" s="9"/>
      <c r="AC141" s="9"/>
      <c r="AD141" s="9"/>
      <c r="AE141" s="9"/>
      <c r="AF141" s="9"/>
      <c r="AG141" s="9"/>
    </row>
    <row r="142">
      <c r="A142" s="20" t="s">
        <v>3222</v>
      </c>
      <c r="B142" s="20" t="s">
        <v>2737</v>
      </c>
      <c r="C142" s="20" t="s">
        <v>2738</v>
      </c>
      <c r="D142" s="20" t="s">
        <v>2739</v>
      </c>
      <c r="E142" s="20" t="s">
        <v>2740</v>
      </c>
      <c r="F142" s="9"/>
      <c r="G142" s="9"/>
      <c r="H142" s="25" t="s">
        <v>3222</v>
      </c>
      <c r="I142" s="9" t="str">
        <f>IFERROR(__xludf.DUMMYFUNCTION("GOOGLETRANSLATE(B142,""en"",""ar"")"),"تظهر هذه الصورة شكلاً من أشكال القتال بالعصا التقليدي في أي منطقة من أفريقيا؟")</f>
        <v>تظهر هذه الصورة شكلاً من أشكال القتال بالعصا التقليدي في أي منطقة من أفريقيا؟</v>
      </c>
      <c r="J142" s="9" t="str">
        <f>IFERROR(__xludf.DUMMYFUNCTION("GOOGLETRANSLATE(C142,""en"",""ar"")"),"أ) شمال أفريقيا (مثل مصر)، ب) غرب أفريقيا (مثل نيجيريا)، ج) جنوب أفريقيا (مثل جنوب أفريقيا، زولولاند)، د) شرق أفريقيا (مثل إثيوبيا)")</f>
        <v>أ) شمال أفريقيا (مثل مصر)، ب) غرب أفريقيا (مثل نيجيريا)، ج) جنوب أفريقيا (مثل جنوب أفريقيا، زولولاند)، د) شرق أفريقيا (مثل إثيوبيا)</v>
      </c>
      <c r="K142" s="9" t="str">
        <f>IFERROR(__xludf.DUMMYFUNCTION("GOOGLETRANSLATE(D142,""en"",""ar"")"),"ج) جنوب أفريقيا (على سبيل المثال، جنوب أفريقيا، زولولاند)")</f>
        <v>ج) جنوب أفريقيا (على سبيل المثال، جنوب أفريقيا، زولولاند)</v>
      </c>
      <c r="L142" s="9" t="str">
        <f>IFERROR(__xludf.DUMMYFUNCTION("GOOGLETRANSLATE(E142,""en"",""ar"")"),"الملابس، بما في ذلك مآزر من جلود الحيوانات (أوموتشا) والدرع الصغير، هي من سمات شعب الزولو وشعوب نجوني ذات الصلة.")</f>
        <v>الملابس، بما في ذلك مآزر من جلود الحيوانات (أوموتشا) والدرع الصغير، هي من سمات شعب الزولو وشعوب نجوني ذات الصلة.</v>
      </c>
      <c r="M142" s="9"/>
      <c r="N142" s="9"/>
      <c r="O142" s="9"/>
      <c r="P142" s="9"/>
      <c r="Q142" s="9"/>
      <c r="R142" s="9"/>
      <c r="S142" s="9"/>
      <c r="T142" s="9"/>
      <c r="U142" s="9"/>
      <c r="V142" s="9"/>
      <c r="W142" s="9"/>
      <c r="X142" s="9"/>
      <c r="Y142" s="9"/>
      <c r="Z142" s="9"/>
      <c r="AA142" s="9"/>
      <c r="AB142" s="9"/>
      <c r="AC142" s="9"/>
      <c r="AD142" s="9"/>
      <c r="AE142" s="9"/>
      <c r="AF142" s="9"/>
      <c r="AG142" s="9"/>
    </row>
    <row r="143">
      <c r="A143" s="20" t="s">
        <v>3222</v>
      </c>
      <c r="B143" s="20" t="s">
        <v>2741</v>
      </c>
      <c r="C143" s="20" t="s">
        <v>2742</v>
      </c>
      <c r="D143" s="20" t="s">
        <v>2743</v>
      </c>
      <c r="E143" s="20" t="s">
        <v>2744</v>
      </c>
      <c r="F143" s="9"/>
      <c r="G143" s="9"/>
      <c r="H143" s="26" t="s">
        <v>3222</v>
      </c>
      <c r="I143" s="9" t="str">
        <f>IFERROR(__xludf.DUMMYFUNCTION("GOOGLETRANSLATE(B143,""en"",""ar"")"),"ما هو اسم الدرع الصغير الذي يحمله المقاتل على اليمين؟")</f>
        <v>ما هو اسم الدرع الصغير الذي يحمله المقاتل على اليمين؟</v>
      </c>
      <c r="J143" s="9" t="str">
        <f>IFERROR(__xludf.DUMMYFUNCTION("GOOGLETRANSLATE(C143,""en"",""ar"")"),"أ) الترس، ب) الإيهاو، ج) الدرع، د) التارج")</f>
        <v>أ) الترس، ب) الإيهاو، ج) الدرع، د) التارج</v>
      </c>
      <c r="K143" s="9" t="str">
        <f>IFERROR(__xludf.DUMMYFUNCTION("GOOGLETRANSLATE(D143,""en"",""ar"")"),"ب) أن إهاوو")</f>
        <v>ب) أن إهاوو</v>
      </c>
      <c r="L143" s="9" t="str">
        <f>IFERROR(__xludf.DUMMYFUNCTION("GOOGLETRANSLATE(E143,""en"",""ar"")"),"هذا هو الدرع الصغير التقليدي المستخدم في قتال العصا نغوني، ويستخدم لصد الضربات.")</f>
        <v>هذا هو الدرع الصغير التقليدي المستخدم في قتال العصا نغوني، ويستخدم لصد الضربات.</v>
      </c>
      <c r="M143" s="9"/>
      <c r="N143" s="9"/>
      <c r="O143" s="9"/>
      <c r="P143" s="9"/>
      <c r="Q143" s="9"/>
      <c r="R143" s="9"/>
      <c r="S143" s="9"/>
      <c r="T143" s="9"/>
      <c r="U143" s="9"/>
      <c r="V143" s="9"/>
      <c r="W143" s="9"/>
      <c r="X143" s="9"/>
      <c r="Y143" s="9"/>
      <c r="Z143" s="9"/>
      <c r="AA143" s="9"/>
      <c r="AB143" s="9"/>
      <c r="AC143" s="9"/>
      <c r="AD143" s="9"/>
      <c r="AE143" s="9"/>
      <c r="AF143" s="9"/>
      <c r="AG143" s="9"/>
    </row>
    <row r="144">
      <c r="A144" s="20" t="s">
        <v>3222</v>
      </c>
      <c r="B144" s="20" t="s">
        <v>2745</v>
      </c>
      <c r="C144" s="20" t="s">
        <v>2746</v>
      </c>
      <c r="D144" s="20" t="s">
        <v>2747</v>
      </c>
      <c r="E144" s="20" t="s">
        <v>2748</v>
      </c>
      <c r="F144" s="9"/>
      <c r="G144" s="9"/>
      <c r="H144" s="25" t="s">
        <v>3222</v>
      </c>
      <c r="I144" s="9" t="str">
        <f>IFERROR(__xludf.DUMMYFUNCTION("GOOGLETRANSLATE(B144,""en"",""ar"")"),"بالإضافة إلى عصا القتال الطويلة (إندوكو)، ما هو العنصر الآخر الذي يحمله المقاتل الموجود على اليمين؟")</f>
        <v>بالإضافة إلى عصا القتال الطويلة (إندوكو)، ما هو العنصر الآخر الذي يحمله المقاتل الموجود على اليمين؟</v>
      </c>
      <c r="J144" s="9" t="str">
        <f>IFERROR(__xludf.DUMMYFUNCTION("GOOGLETRANSLATE(C144,""en"",""ar"")"),"أ) عصا صغيرة للصد (إسيخويلي)، ب) رمح، ج) سكين، د) حبل")</f>
        <v>أ) عصا صغيرة للصد (إسيخويلي)، ب) رمح، ج) سكين، د) حبل</v>
      </c>
      <c r="K144" s="9" t="str">
        <f>IFERROR(__xludf.DUMMYFUNCTION("GOOGLETRANSLATE(D144,""en"",""ar"")"),"أ) عصا أصغر للصد (إسيخويلي)")</f>
        <v>أ) عصا أصغر للصد (إسيخويلي)</v>
      </c>
      <c r="L144" s="9" t="str">
        <f>IFERROR(__xludf.DUMMYFUNCTION("GOOGLETRANSLATE(E144,""en"",""ar"")"),"يستخدم المقاتلون تقليديًا عصا أطول للهجوم وعصا أقصر وأكثر سمكًا للدفاع.")</f>
        <v>يستخدم المقاتلون تقليديًا عصا أطول للهجوم وعصا أقصر وأكثر سمكًا للدفاع.</v>
      </c>
      <c r="M144" s="9"/>
      <c r="N144" s="9"/>
      <c r="O144" s="9"/>
      <c r="P144" s="9"/>
      <c r="Q144" s="9"/>
      <c r="R144" s="9"/>
      <c r="S144" s="9"/>
      <c r="T144" s="9"/>
      <c r="U144" s="9"/>
      <c r="V144" s="9"/>
      <c r="W144" s="9"/>
      <c r="X144" s="9"/>
      <c r="Y144" s="9"/>
      <c r="Z144" s="9"/>
      <c r="AA144" s="9"/>
      <c r="AB144" s="9"/>
      <c r="AC144" s="9"/>
      <c r="AD144" s="9"/>
      <c r="AE144" s="9"/>
      <c r="AF144" s="9"/>
      <c r="AG144" s="9"/>
    </row>
    <row r="145">
      <c r="A145" s="20" t="s">
        <v>3222</v>
      </c>
      <c r="B145" s="20" t="s">
        <v>2749</v>
      </c>
      <c r="C145" s="20" t="s">
        <v>2750</v>
      </c>
      <c r="D145" s="20" t="s">
        <v>2751</v>
      </c>
      <c r="E145" s="20" t="s">
        <v>2752</v>
      </c>
      <c r="F145" s="9"/>
      <c r="G145" s="9"/>
      <c r="H145" s="26" t="s">
        <v>3222</v>
      </c>
      <c r="I145" s="9" t="str">
        <f>IFERROR(__xludf.DUMMYFUNCTION("GOOGLETRANSLATE(B145,""en"",""ar"")"),"تُظهر الخلفية منازل تقليدية ذات شكل مميز. هذه...")</f>
        <v>تُظهر الخلفية منازل تقليدية ذات شكل مميز. هذه...</v>
      </c>
      <c r="J145" s="9" t="str">
        <f>IFERROR(__xludf.DUMMYFUNCTION("GOOGLETRANSLATE(C145,""en"",""ar"")"),"أ) منازل من الطوب الحديث، ب) أكواخ ذات أسقف من القش في مزارع صغيرة أو مساكن ريفية، ج) خيام، د) كبائن خشبية")</f>
        <v>أ) منازل من الطوب الحديث، ب) أكواخ ذات أسقف من القش في مزارع صغيرة أو مساكن ريفية، ج) خيام، د) كبائن خشبية</v>
      </c>
      <c r="K145" s="9" t="str">
        <f>IFERROR(__xludf.DUMMYFUNCTION("GOOGLETRANSLATE(D145,""en"",""ar"")"),"ب) أكواخ ذات أسقف من القش في كرال أو مزرعة")</f>
        <v>ب) أكواخ ذات أسقف من القش في كرال أو مزرعة</v>
      </c>
      <c r="L145" s="9" t="str">
        <f>IFERROR(__xludf.DUMMYFUNCTION("GOOGLETRANSLATE(E145,""en"",""ar"")"),"تعتبر الأكواخ المصممة على شكل خلية النحل والسياج الخشبي من السمات المميزة لمزرعة الزولو التقليدية.")</f>
        <v>تعتبر الأكواخ المصممة على شكل خلية النحل والسياج الخشبي من السمات المميزة لمزرعة الزولو التقليدية.</v>
      </c>
      <c r="M145" s="9"/>
      <c r="N145" s="9"/>
      <c r="O145" s="9"/>
      <c r="P145" s="9"/>
      <c r="Q145" s="9"/>
      <c r="R145" s="9"/>
      <c r="S145" s="9"/>
      <c r="T145" s="9"/>
      <c r="U145" s="9"/>
      <c r="V145" s="9"/>
      <c r="W145" s="9"/>
      <c r="X145" s="9"/>
      <c r="Y145" s="9"/>
      <c r="Z145" s="9"/>
      <c r="AA145" s="9"/>
      <c r="AB145" s="9"/>
      <c r="AC145" s="9"/>
      <c r="AD145" s="9"/>
      <c r="AE145" s="9"/>
      <c r="AF145" s="9"/>
      <c r="AG145" s="9"/>
    </row>
    <row r="146">
      <c r="A146" s="20" t="s">
        <v>3222</v>
      </c>
      <c r="B146" s="20" t="s">
        <v>2753</v>
      </c>
      <c r="C146" s="20" t="s">
        <v>2754</v>
      </c>
      <c r="D146" s="20" t="s">
        <v>2755</v>
      </c>
      <c r="E146" s="20" t="s">
        <v>2756</v>
      </c>
      <c r="F146" s="9"/>
      <c r="G146" s="9"/>
      <c r="H146" s="25" t="s">
        <v>3222</v>
      </c>
      <c r="I146" s="9" t="str">
        <f>IFERROR(__xludf.DUMMYFUNCTION("GOOGLETRANSLATE(B146,""en"",""ar"")"),"كان هذا الشكل من القتال بالعصا تقليديًا وسيلة للشباب...")</f>
        <v>كان هذا الشكل من القتال بالعصا تقليديًا وسيلة للشباب...</v>
      </c>
      <c r="J146" s="9" t="str">
        <f>IFERROR(__xludf.DUMMYFUNCTION("GOOGLETRANSLATE(C146,""en"",""ar"")"),"أ) تسوية النزاعات القانونية، ب) إثبات رجولتهم وكسب الاحترام، ج) البحث عن الطعام، د) ترفيه الزوار الأجانب")</f>
        <v>أ) تسوية النزاعات القانونية، ب) إثبات رجولتهم وكسب الاحترام، ج) البحث عن الطعام، د) ترفيه الزوار الأجانب</v>
      </c>
      <c r="K146" s="9" t="str">
        <f>IFERROR(__xludf.DUMMYFUNCTION("GOOGLETRANSLATE(D146,""en"",""ar"")"),"ب) لإثبات رجولتهم وكسب الاحترام")</f>
        <v>ب) لإثبات رجولتهم وكسب الاحترام</v>
      </c>
      <c r="L146" s="9" t="str">
        <f>IFERROR(__xludf.DUMMYFUNCTION("GOOGLETRANSLATE(E146,""en"",""ar"")"),"كان القتال بالعصا بمثابة طقوس العبور، وطريقة لإظهار الشجاعة والمهارة والقوة، وهو أمر مهم لجذب العرائس وكسب المكانة الاجتماعية.")</f>
        <v>كان القتال بالعصا بمثابة طقوس العبور، وطريقة لإظهار الشجاعة والمهارة والقوة، وهو أمر مهم لجذب العرائس وكسب المكانة الاجتماعية.</v>
      </c>
      <c r="M146" s="9"/>
      <c r="N146" s="9"/>
      <c r="O146" s="9"/>
      <c r="P146" s="9"/>
      <c r="Q146" s="9"/>
      <c r="R146" s="9"/>
      <c r="S146" s="9"/>
      <c r="T146" s="9"/>
      <c r="U146" s="9"/>
      <c r="V146" s="9"/>
      <c r="W146" s="9"/>
      <c r="X146" s="9"/>
      <c r="Y146" s="9"/>
      <c r="Z146" s="9"/>
      <c r="AA146" s="9"/>
      <c r="AB146" s="9"/>
      <c r="AC146" s="9"/>
      <c r="AD146" s="9"/>
      <c r="AE146" s="9"/>
      <c r="AF146" s="9"/>
      <c r="AG146" s="9"/>
    </row>
    <row r="147">
      <c r="A147" s="20" t="s">
        <v>3222</v>
      </c>
      <c r="B147" s="20" t="s">
        <v>2757</v>
      </c>
      <c r="C147" s="20" t="s">
        <v>2758</v>
      </c>
      <c r="D147" s="20" t="s">
        <v>2759</v>
      </c>
      <c r="E147" s="20" t="s">
        <v>2760</v>
      </c>
      <c r="F147" s="9"/>
      <c r="G147" s="9"/>
      <c r="H147" s="26" t="s">
        <v>3222</v>
      </c>
      <c r="I147" s="9" t="str">
        <f>IFERROR(__xludf.DUMMYFUNCTION("GOOGLETRANSLATE(B147,""en"",""ar"")"),"موقف المقاتلين هو...")</f>
        <v>موقف المقاتلين هو...</v>
      </c>
      <c r="J147" s="9" t="str">
        <f>IFERROR(__xludf.DUMMYFUNCTION("GOOGLETRANSLATE(C147,""en"",""ar"")"),"أ) مستقيم ومتيبس، ب) منخفض، واسع، وديناميكي، ج) جالس على الأرض، د) مسترخٍ وغير رسمي")</f>
        <v>أ) مستقيم ومتيبس، ب) منخفض، واسع، وديناميكي، ج) جالس على الأرض، د) مسترخٍ وغير رسمي</v>
      </c>
      <c r="K147" s="9" t="str">
        <f>IFERROR(__xludf.DUMMYFUNCTION("GOOGLETRANSLATE(D147,""en"",""ar"")"),"ب) منخفضة، واسعة، وديناميكية")</f>
        <v>ب) منخفضة، واسعة، وديناميكية</v>
      </c>
      <c r="L147" s="9" t="str">
        <f>IFERROR(__xludf.DUMMYFUNCTION("GOOGLETRANSLATE(E147,""en"",""ar"")"),"يوفر مركز الثقل المنخفض لديهم الاستقرار ويسمح بالحركات المتفجرة.")</f>
        <v>يوفر مركز الثقل المنخفض لديهم الاستقرار ويسمح بالحركات المتفجرة.</v>
      </c>
      <c r="M147" s="9"/>
      <c r="N147" s="9"/>
      <c r="O147" s="9"/>
      <c r="P147" s="9"/>
      <c r="Q147" s="9"/>
      <c r="R147" s="9"/>
      <c r="S147" s="9"/>
      <c r="T147" s="9"/>
      <c r="U147" s="9"/>
      <c r="V147" s="9"/>
      <c r="W147" s="9"/>
      <c r="X147" s="9"/>
      <c r="Y147" s="9"/>
      <c r="Z147" s="9"/>
      <c r="AA147" s="9"/>
      <c r="AB147" s="9"/>
      <c r="AC147" s="9"/>
      <c r="AD147" s="9"/>
      <c r="AE147" s="9"/>
      <c r="AF147" s="9"/>
      <c r="AG147" s="9"/>
    </row>
    <row r="148">
      <c r="A148" s="20" t="s">
        <v>3222</v>
      </c>
      <c r="B148" s="20" t="s">
        <v>2761</v>
      </c>
      <c r="C148" s="20" t="s">
        <v>2762</v>
      </c>
      <c r="D148" s="20" t="s">
        <v>2763</v>
      </c>
      <c r="E148" s="20" t="s">
        <v>2764</v>
      </c>
      <c r="F148" s="9"/>
      <c r="G148" s="9"/>
      <c r="H148" s="25" t="s">
        <v>3222</v>
      </c>
      <c r="I148" s="9" t="str">
        <f>IFERROR(__xludf.DUMMYFUNCTION("GOOGLETRANSLATE(B148,""en"",""ar"")"),"يرتدي المقاتلون ملابس تقليدية مصنوعة من...")</f>
        <v>يرتدي المقاتلون ملابس تقليدية مصنوعة من...</v>
      </c>
      <c r="J148" s="9" t="str">
        <f>IFERROR(__xludf.DUMMYFUNCTION("GOOGLETRANSLATE(C148,""en"",""ar"")"),"أ) القماش المنسوج، ب) جلود الحيوانات والفراء، ج) الأقمشة الاصطناعية الحديثة، د) الدروع المعدنية")</f>
        <v>أ) القماش المنسوج، ب) جلود الحيوانات والفراء، ج) الأقمشة الاصطناعية الحديثة، د) الدروع المعدنية</v>
      </c>
      <c r="K148" s="9" t="str">
        <f>IFERROR(__xludf.DUMMYFUNCTION("GOOGLETRANSLATE(D148,""en"",""ar"")"),"ب) جلود الحيوانات والفراء")</f>
        <v>ب) جلود الحيوانات والفراء</v>
      </c>
      <c r="L148" s="9" t="str">
        <f>IFERROR(__xludf.DUMMYFUNCTION("GOOGLETRANSLATE(E148,""en"",""ar"")"),"وتصنع ملابسهم من جلود الحيوانات، مما يعكس السياق الثقافي.")</f>
        <v>وتصنع ملابسهم من جلود الحيوانات، مما يعكس السياق الثقافي.</v>
      </c>
      <c r="M148" s="9"/>
      <c r="N148" s="9"/>
      <c r="O148" s="9"/>
      <c r="P148" s="9"/>
      <c r="Q148" s="9"/>
      <c r="R148" s="9"/>
      <c r="S148" s="9"/>
      <c r="T148" s="9"/>
      <c r="U148" s="9"/>
      <c r="V148" s="9"/>
      <c r="W148" s="9"/>
      <c r="X148" s="9"/>
      <c r="Y148" s="9"/>
      <c r="Z148" s="9"/>
      <c r="AA148" s="9"/>
      <c r="AB148" s="9"/>
      <c r="AC148" s="9"/>
      <c r="AD148" s="9"/>
      <c r="AE148" s="9"/>
      <c r="AF148" s="9"/>
      <c r="AG148" s="9"/>
    </row>
    <row r="149">
      <c r="A149" s="20" t="s">
        <v>3222</v>
      </c>
      <c r="B149" s="20" t="s">
        <v>2765</v>
      </c>
      <c r="C149" s="20" t="s">
        <v>2766</v>
      </c>
      <c r="D149" s="20" t="s">
        <v>2767</v>
      </c>
      <c r="E149" s="20" t="s">
        <v>2768</v>
      </c>
      <c r="F149" s="9"/>
      <c r="G149" s="9"/>
      <c r="H149" s="26" t="s">
        <v>3222</v>
      </c>
      <c r="I149" s="9" t="str">
        <f>IFERROR(__xludf.DUMMYFUNCTION("GOOGLETRANSLATE(B149,""en"",""ar"")"),"يُوصف هذا النوع من القتال في كثير من الأحيان بأنه ...")</f>
        <v>يُوصف هذا النوع من القتال في كثير من الأحيان بأنه ...</v>
      </c>
      <c r="J149" s="9" t="str">
        <f>IFERROR(__xludf.DUMMYFUNCTION("GOOGLETRANSLATE(C149,""en"",""ar"")"),"أ) ""رقصة قتالية""، ب) طقوس بطيئة الوتيرة، ج) رياضة لا تتضمن احتكاكًا جسديًا، د) اختراع حديث")</f>
        <v>أ) "رقصة قتالية"، ب) طقوس بطيئة الوتيرة، ج) رياضة لا تتضمن احتكاكًا جسديًا، د) اختراع حديث</v>
      </c>
      <c r="K149" s="9" t="str">
        <f>IFERROR(__xludf.DUMMYFUNCTION("GOOGLETRANSLATE(D149,""en"",""ar"")"),"أ) ""رقصة قتالية""")</f>
        <v>أ) "رقصة قتالية"</v>
      </c>
      <c r="L149" s="9" t="str">
        <f>IFERROR(__xludf.DUMMYFUNCTION("GOOGLETRANSLATE(E149,""en"",""ar"")"),"كما هو الحال مع العديد من تقاليد القتال بالعصا، فهو إيقاعي للغاية ويتضمن حركات قدم معقدة، مما يجعله يشبه الرقص.")</f>
        <v>كما هو الحال مع العديد من تقاليد القتال بالعصا، فهو إيقاعي للغاية ويتضمن حركات قدم معقدة، مما يجعله يشبه الرقص.</v>
      </c>
      <c r="M149" s="9"/>
      <c r="N149" s="9"/>
      <c r="O149" s="9"/>
      <c r="P149" s="9"/>
      <c r="Q149" s="9"/>
      <c r="R149" s="9"/>
      <c r="S149" s="9"/>
      <c r="T149" s="9"/>
      <c r="U149" s="9"/>
      <c r="V149" s="9"/>
      <c r="W149" s="9"/>
      <c r="X149" s="9"/>
      <c r="Y149" s="9"/>
      <c r="Z149" s="9"/>
      <c r="AA149" s="9"/>
      <c r="AB149" s="9"/>
      <c r="AC149" s="9"/>
      <c r="AD149" s="9"/>
      <c r="AE149" s="9"/>
      <c r="AF149" s="9"/>
      <c r="AG149" s="9"/>
    </row>
    <row r="150">
      <c r="A150" s="20" t="s">
        <v>3222</v>
      </c>
      <c r="B150" s="20" t="s">
        <v>2769</v>
      </c>
      <c r="C150" s="20" t="s">
        <v>3223</v>
      </c>
      <c r="D150" s="20" t="s">
        <v>3224</v>
      </c>
      <c r="E150" s="20" t="s">
        <v>3225</v>
      </c>
      <c r="F150" s="9"/>
      <c r="G150" s="9"/>
      <c r="H150" s="25" t="s">
        <v>3222</v>
      </c>
      <c r="I150" s="9" t="str">
        <f>IFERROR(__xludf.DUMMYFUNCTION("GOOGLETRANSLATE(B150,""en"",""ar"")"),"المقاتلون يتنافسون...")</f>
        <v>المقاتلون يتنافسون...</v>
      </c>
      <c r="J150" s="9" t="str">
        <f>IFERROR(__xludf.DUMMYFUNCTION("GOOGLETRANSLATE(C150,""en"",""ar"")"),"أ) بأحذية ثقيلة، ب) حافي القدمين أو بصندل بسيط، ج) بأحذية رياضية حديثة، د) بأحذية مطلية بالمعادن")</f>
        <v>أ) بأحذية ثقيلة، ب) حافي القدمين أو بصندل بسيط، ج) بأحذية رياضية حديثة، د) بأحذية مطلية بالمعادن</v>
      </c>
      <c r="K150" s="9" t="str">
        <f>IFERROR(__xludf.DUMMYFUNCTION("GOOGLETRANSLATE(D150,""en"",""ar"")"),"ب) حافي القدمين أو مع الصنادل البسيطة")</f>
        <v>ب) حافي القدمين أو مع الصنادل البسيطة</v>
      </c>
      <c r="L150" s="9" t="str">
        <f>IFERROR(__xludf.DUMMYFUNCTION("GOOGLETRANSLATE(E150,""en"",""ar"")"),"يتيح لك التنافس باستخدام الحد الأدنى من الأحذية الحصول على اتصال أفضل بالأرض وزيادة المرونة.")</f>
        <v>يتيح لك التنافس باستخدام الحد الأدنى من الأحذية الحصول على اتصال أفضل بالأرض وزيادة المرونة.</v>
      </c>
      <c r="M150" s="9"/>
      <c r="N150" s="9"/>
      <c r="O150" s="9"/>
      <c r="P150" s="9"/>
      <c r="Q150" s="9"/>
      <c r="R150" s="9"/>
      <c r="S150" s="9"/>
      <c r="T150" s="9"/>
      <c r="U150" s="9"/>
      <c r="V150" s="9"/>
      <c r="W150" s="9"/>
      <c r="X150" s="9"/>
      <c r="Y150" s="9"/>
      <c r="Z150" s="9"/>
      <c r="AA150" s="9"/>
      <c r="AB150" s="9"/>
      <c r="AC150" s="9"/>
      <c r="AD150" s="9"/>
      <c r="AE150" s="9"/>
      <c r="AF150" s="9"/>
      <c r="AG150" s="9"/>
    </row>
    <row r="151">
      <c r="A151" s="20" t="s">
        <v>3222</v>
      </c>
      <c r="B151" s="20" t="s">
        <v>2773</v>
      </c>
      <c r="C151" s="20" t="s">
        <v>2774</v>
      </c>
      <c r="D151" s="20" t="s">
        <v>2775</v>
      </c>
      <c r="E151" s="20" t="s">
        <v>2776</v>
      </c>
      <c r="F151" s="9"/>
      <c r="G151" s="9"/>
      <c r="H151" s="26" t="s">
        <v>3222</v>
      </c>
      <c r="I151" s="9" t="str">
        <f>IFERROR(__xludf.DUMMYFUNCTION("GOOGLETRANSLATE(B151,""en"",""ar"")"),"هذه الصورة تلتقط...")</f>
        <v>هذه الصورة تلتقط...</v>
      </c>
      <c r="J151" s="9" t="str">
        <f>IFERROR(__xludf.DUMMYFUNCTION("GOOGLETRANSLATE(C151,""en"",""ar"")"),"أ) حدث رياضي حديث برعاية الدولة، ب) تقليد ثقافي خالد، ج) مشهد من فيلم، د) تدريب عسكري")</f>
        <v>أ) حدث رياضي حديث برعاية الدولة، ب) تقليد ثقافي خالد، ج) مشهد من فيلم، د) تدريب عسكري</v>
      </c>
      <c r="K151" s="9" t="str">
        <f>IFERROR(__xludf.DUMMYFUNCTION("GOOGLETRANSLATE(D151,""en"",""ar"")"),"ب) تقليد ثقافي خالد")</f>
        <v>ب) تقليد ثقافي خالد</v>
      </c>
      <c r="L151" s="9" t="str">
        <f>IFERROR(__xludf.DUMMYFUNCTION("GOOGLETRANSLATE(E151,""en"",""ar"")"),"تُظهر الصورة ممارسة ثقافية أصيلة في محيطها التقليدي.")</f>
        <v>تُظهر الصورة ممارسة ثقافية أصيلة في محيطها التقليدي.</v>
      </c>
      <c r="M151" s="9"/>
      <c r="N151" s="9"/>
      <c r="O151" s="9"/>
      <c r="P151" s="9"/>
      <c r="Q151" s="9"/>
      <c r="R151" s="9"/>
      <c r="S151" s="9"/>
      <c r="T151" s="9"/>
      <c r="U151" s="9"/>
      <c r="V151" s="9"/>
      <c r="W151" s="9"/>
      <c r="X151" s="9"/>
      <c r="Y151" s="9"/>
      <c r="Z151" s="9"/>
      <c r="AA151" s="9"/>
      <c r="AB151" s="9"/>
      <c r="AC151" s="9"/>
      <c r="AD151" s="9"/>
      <c r="AE151" s="9"/>
      <c r="AF151" s="9"/>
      <c r="AG151" s="9"/>
    </row>
    <row r="152">
      <c r="A152" s="20" t="s">
        <v>3226</v>
      </c>
      <c r="B152" s="20" t="s">
        <v>3227</v>
      </c>
      <c r="C152" s="20" t="s">
        <v>3228</v>
      </c>
      <c r="D152" s="20" t="s">
        <v>3229</v>
      </c>
      <c r="E152" s="20" t="s">
        <v>3230</v>
      </c>
      <c r="F152" s="9"/>
      <c r="G152" s="9"/>
      <c r="H152" s="25" t="s">
        <v>3226</v>
      </c>
      <c r="I152" s="9" t="str">
        <f>IFERROR(__xludf.DUMMYFUNCTION("GOOGLETRANSLATE(B152,""en"",""ar"")"),"ما هي هذه الارقام؟")</f>
        <v>ما هي هذه الارقام؟</v>
      </c>
      <c r="J152" s="9" t="str">
        <f>IFERROR(__xludf.DUMMYFUNCTION("GOOGLETRANSLATE(C152,""en"",""ar"")"),"أ) الألعاب البلاستيكية الحديثة، ب) النماذج الخشبية المصرية القديمة، ج) التماثيل بالحجم الطبيعي، د) قطع الشطرنج")</f>
        <v>أ) الألعاب البلاستيكية الحديثة، ب) النماذج الخشبية المصرية القديمة، ج) التماثيل بالحجم الطبيعي، د) قطع الشطرنج</v>
      </c>
      <c r="K152" s="9" t="str">
        <f>IFERROR(__xludf.DUMMYFUNCTION("GOOGLETRANSLATE(D152,""en"",""ar"")"),"ب) النماذج الخشبية المصرية القديمة")</f>
        <v>ب) النماذج الخشبية المصرية القديمة</v>
      </c>
      <c r="L152" s="9" t="str">
        <f>IFERROR(__xludf.DUMMYFUNCTION("GOOGLETRANSLATE(E152,""en"",""ar"")"),"هذه نماذج جنائزية قديمة لجنود نوبيين، تم اكتشافها في مقبرة مسحتي، وهو حاكم محلي من عصر الدولة الوسطى (حوالي عام 2000 قبل الميلاد).")</f>
        <v>هذه نماذج جنائزية قديمة لجنود نوبيين، تم اكتشافها في مقبرة مسحتي، وهو حاكم محلي من عصر الدولة الوسطى (حوالي عام 2000 قبل الميلاد).</v>
      </c>
      <c r="M152" s="9"/>
      <c r="N152" s="9"/>
      <c r="O152" s="9"/>
      <c r="P152" s="9"/>
      <c r="Q152" s="9"/>
      <c r="R152" s="9"/>
      <c r="S152" s="9"/>
      <c r="T152" s="9"/>
      <c r="U152" s="9"/>
      <c r="V152" s="9"/>
      <c r="W152" s="9"/>
      <c r="X152" s="9"/>
      <c r="Y152" s="9"/>
      <c r="Z152" s="9"/>
      <c r="AA152" s="9"/>
      <c r="AB152" s="9"/>
      <c r="AC152" s="9"/>
      <c r="AD152" s="9"/>
      <c r="AE152" s="9"/>
      <c r="AF152" s="9"/>
      <c r="AG152" s="9"/>
    </row>
    <row r="153">
      <c r="A153" s="20" t="s">
        <v>3226</v>
      </c>
      <c r="B153" s="20" t="s">
        <v>3231</v>
      </c>
      <c r="C153" s="20" t="s">
        <v>3232</v>
      </c>
      <c r="D153" s="20" t="s">
        <v>3233</v>
      </c>
      <c r="E153" s="20" t="s">
        <v>3234</v>
      </c>
      <c r="F153" s="9"/>
      <c r="G153" s="9"/>
      <c r="H153" s="26" t="s">
        <v>3226</v>
      </c>
      <c r="I153" s="9" t="str">
        <f>IFERROR(__xludf.DUMMYFUNCTION("GOOGLETRANSLATE(B153,""en"",""ar"")"),"ما هو الهدف من وضع مثل هذه النماذج في مقبرة مصرية قديمة؟")</f>
        <v>ما هو الهدف من وضع مثل هذه النماذج في مقبرة مصرية قديمة؟</v>
      </c>
      <c r="J153" s="9" t="str">
        <f>IFERROR(__xludf.DUMMYFUNCTION("GOOGLETRANSLATE(C153,""en"",""ar"")"),"أ) كانت ألعاب أطفال، ب) كانت مخصصة لخدمة وحماية المتوفى في الحياة الآخرة، ج) كانت تستخدم للتخطيط العسكري، د) كانت أدوات موسيقية")</f>
        <v>أ) كانت ألعاب أطفال، ب) كانت مخصصة لخدمة وحماية المتوفى في الحياة الآخرة، ج) كانت تستخدم للتخطيط العسكري، د) كانت أدوات موسيقية</v>
      </c>
      <c r="K153" s="9" t="str">
        <f>IFERROR(__xludf.DUMMYFUNCTION("GOOGLETRANSLATE(D153,""en"",""ar"")"),"ب) كان من المفترض أن تخدم وتحمي المتوفى في الحياة الآخرة")</f>
        <v>ب) كان من المفترض أن تخدم وتحمي المتوفى في الحياة الآخرة</v>
      </c>
      <c r="L153" s="9" t="str">
        <f>IFERROR(__xludf.DUMMYFUNCTION("GOOGLETRANSLATE(E153,""en"",""ar"")"),"كان المصريون يعتقدون أن نماذج الخدم والجنود والممتلكات سوف تتحول بطريقة سحرية إلى حقيقة ليستخدمها صاحب القبر في الحياة الآخرة.")</f>
        <v>كان المصريون يعتقدون أن نماذج الخدم والجنود والممتلكات سوف تتحول بطريقة سحرية إلى حقيقة ليستخدمها صاحب القبر في الحياة الآخرة.</v>
      </c>
      <c r="M153" s="9"/>
      <c r="N153" s="9"/>
      <c r="O153" s="9"/>
      <c r="P153" s="9"/>
      <c r="Q153" s="9"/>
      <c r="R153" s="9"/>
      <c r="S153" s="9"/>
      <c r="T153" s="9"/>
      <c r="U153" s="9"/>
      <c r="V153" s="9"/>
      <c r="W153" s="9"/>
      <c r="X153" s="9"/>
      <c r="Y153" s="9"/>
      <c r="Z153" s="9"/>
      <c r="AA153" s="9"/>
      <c r="AB153" s="9"/>
      <c r="AC153" s="9"/>
      <c r="AD153" s="9"/>
      <c r="AE153" s="9"/>
      <c r="AF153" s="9"/>
      <c r="AG153" s="9"/>
    </row>
    <row r="154">
      <c r="A154" s="20" t="s">
        <v>3226</v>
      </c>
      <c r="B154" s="20" t="s">
        <v>3235</v>
      </c>
      <c r="C154" s="20" t="s">
        <v>3236</v>
      </c>
      <c r="D154" s="20" t="s">
        <v>3237</v>
      </c>
      <c r="E154" s="20" t="s">
        <v>3238</v>
      </c>
      <c r="F154" s="9"/>
      <c r="G154" s="9"/>
      <c r="H154" s="25" t="s">
        <v>3226</v>
      </c>
      <c r="I154" s="9" t="str">
        <f>IFERROR(__xludf.DUMMYFUNCTION("GOOGLETRANSLATE(B154,""en"",""ar"")"),"ويعتقد أن الجنود المصورين هم من النوبة، وهي المنطقة...")</f>
        <v>ويعتقد أن الجنود المصورين هم من النوبة، وهي المنطقة...</v>
      </c>
      <c r="J154" s="9" t="str">
        <f>IFERROR(__xludf.DUMMYFUNCTION("GOOGLETRANSLATE(C154,""en"",""ar"")"),"أ) إلى شمال مصر، ب) إلى جنوب مصر، ج) إلى شرق مصر، د) إلى غرب مصر")</f>
        <v>أ) إلى شمال مصر، ب) إلى جنوب مصر، ج) إلى شرق مصر، د) إلى غرب مصر</v>
      </c>
      <c r="K154" s="9" t="str">
        <f>IFERROR(__xludf.DUMMYFUNCTION("GOOGLETRANSLATE(D154,""en"",""ar"")"),"ب) إلى الجنوب من مصر")</f>
        <v>ب) إلى الجنوب من مصر</v>
      </c>
      <c r="L154" s="9" t="str">
        <f>IFERROR(__xludf.DUMMYFUNCTION("GOOGLETRANSLATE(E154,""en"",""ar"")"),"النوبة هي المنطقة التاريخية الواقعة على طول نهر النيل، وتقع في ما يعرف اليوم بشمال السودان وجنوب مصر.")</f>
        <v>النوبة هي المنطقة التاريخية الواقعة على طول نهر النيل، وتقع في ما يعرف اليوم بشمال السودان وجنوب مصر.</v>
      </c>
      <c r="M154" s="9"/>
      <c r="N154" s="9"/>
      <c r="O154" s="9"/>
      <c r="P154" s="9"/>
      <c r="Q154" s="9"/>
      <c r="R154" s="9"/>
      <c r="S154" s="9"/>
      <c r="T154" s="9"/>
      <c r="U154" s="9"/>
      <c r="V154" s="9"/>
      <c r="W154" s="9"/>
      <c r="X154" s="9"/>
      <c r="Y154" s="9"/>
      <c r="Z154" s="9"/>
      <c r="AA154" s="9"/>
      <c r="AB154" s="9"/>
      <c r="AC154" s="9"/>
      <c r="AD154" s="9"/>
      <c r="AE154" s="9"/>
      <c r="AF154" s="9"/>
      <c r="AG154" s="9"/>
    </row>
    <row r="155">
      <c r="A155" s="20" t="s">
        <v>3226</v>
      </c>
      <c r="B155" s="20" t="s">
        <v>3239</v>
      </c>
      <c r="C155" s="20" t="s">
        <v>3240</v>
      </c>
      <c r="D155" s="20" t="s">
        <v>3241</v>
      </c>
      <c r="E155" s="20" t="s">
        <v>3242</v>
      </c>
      <c r="F155" s="9"/>
      <c r="G155" s="9"/>
      <c r="H155" s="26" t="s">
        <v>3226</v>
      </c>
      <c r="I155" s="9" t="str">
        <f>IFERROR(__xludf.DUMMYFUNCTION("GOOGLETRANSLATE(B155,""en"",""ar"")"),"ما هي الأسلحة التي يحملها هؤلاء الجنود؟")</f>
        <v>ما هي الأسلحة التي يحملها هؤلاء الجنود؟</v>
      </c>
      <c r="J155" s="9" t="str">
        <f>IFERROR(__xludf.DUMMYFUNCTION("GOOGLETRANSLATE(C155,""en"",""ar"")"),"أ) السيوف والدروع، ب) الأقواس والسهام، ج) الرماح والدروع، د) إنها غير مسلحة")</f>
        <v>أ) السيوف والدروع، ب) الأقواس والسهام، ج) الرماح والدروع، د) إنها غير مسلحة</v>
      </c>
      <c r="K155" s="9" t="str">
        <f>IFERROR(__xludf.DUMMYFUNCTION("GOOGLETRANSLATE(D155,""en"",""ar"")"),"ج) الرماح والدروع")</f>
        <v>ج) الرماح والدروع</v>
      </c>
      <c r="L155" s="9" t="str">
        <f>IFERROR(__xludf.DUMMYFUNCTION("GOOGLETRANSLATE(E155,""en"",""ar"")"),"يتم تجهيز النماذج كجنود مشاة، حيث يحمل كل منهم رمحًا طويلًا ودرعًا.")</f>
        <v>يتم تجهيز النماذج كجنود مشاة، حيث يحمل كل منهم رمحًا طويلًا ودرعًا.</v>
      </c>
      <c r="M155" s="9"/>
      <c r="N155" s="9"/>
      <c r="O155" s="9"/>
      <c r="P155" s="9"/>
      <c r="Q155" s="9"/>
      <c r="R155" s="9"/>
      <c r="S155" s="9"/>
      <c r="T155" s="9"/>
      <c r="U155" s="9"/>
      <c r="V155" s="9"/>
      <c r="W155" s="9"/>
      <c r="X155" s="9"/>
      <c r="Y155" s="9"/>
      <c r="Z155" s="9"/>
      <c r="AA155" s="9"/>
      <c r="AB155" s="9"/>
      <c r="AC155" s="9"/>
      <c r="AD155" s="9"/>
      <c r="AE155" s="9"/>
      <c r="AF155" s="9"/>
      <c r="AG155" s="9"/>
    </row>
    <row r="156">
      <c r="A156" s="20" t="s">
        <v>3226</v>
      </c>
      <c r="B156" s="20" t="s">
        <v>3243</v>
      </c>
      <c r="C156" s="20" t="s">
        <v>3244</v>
      </c>
      <c r="D156" s="20" t="s">
        <v>3245</v>
      </c>
      <c r="E156" s="20" t="s">
        <v>3246</v>
      </c>
      <c r="F156" s="9"/>
      <c r="G156" s="9"/>
      <c r="H156" s="25" t="s">
        <v>3226</v>
      </c>
      <c r="I156" s="9" t="str">
        <f>IFERROR(__xludf.DUMMYFUNCTION("GOOGLETRANSLATE(B156,""en"",""ar"")"),"من المرجح أن تكون درجات لون البشرة المختلفة للجنود في النموذج الأصلي تمثل...")</f>
        <v>من المرجح أن تكون درجات لون البشرة المختلفة للجنود في النموذج الأصلي تمثل...</v>
      </c>
      <c r="J156" s="9" t="str">
        <f>IFERROR(__xludf.DUMMYFUNCTION("GOOGLETRANSLATE(C156,""en"",""ar"")"),"أ) رتب مختلفة، ب) جنود من مناطق مختلفة (على سبيل المثال، المصرية والنوبية)، ج) عمر الجنود، د) اختيار فني عشوائي")</f>
        <v>أ) رتب مختلفة، ب) جنود من مناطق مختلفة (على سبيل المثال، المصرية والنوبية)، ج) عمر الجنود، د) اختيار فني عشوائي</v>
      </c>
      <c r="K156" s="9" t="str">
        <f>IFERROR(__xludf.DUMMYFUNCTION("GOOGLETRANSLATE(D156,""en"",""ar"")"),"ب) جنود من مناطق مختلفة (مثل المصرية والنوبية)")</f>
        <v>ب) جنود من مناطق مختلفة (مثل المصرية والنوبية)</v>
      </c>
      <c r="L156" s="9" t="str">
        <f>IFERROR(__xludf.DUMMYFUNCTION("GOOGLETRANSLATE(E156,""en"",""ar"")"),"وأظهرت النماذج الأصلية جنودًا ذوي بشرة مصرية وبشرة نوبية داكنة، مما يعكس الطبيعة المتنوعة للجيش المصري.")</f>
        <v>وأظهرت النماذج الأصلية جنودًا ذوي بشرة مصرية وبشرة نوبية داكنة، مما يعكس الطبيعة المتنوعة للجيش المصري.</v>
      </c>
      <c r="M156" s="9"/>
      <c r="N156" s="9"/>
      <c r="O156" s="9"/>
      <c r="P156" s="9"/>
      <c r="Q156" s="9"/>
      <c r="R156" s="9"/>
      <c r="S156" s="9"/>
      <c r="T156" s="9"/>
      <c r="U156" s="9"/>
      <c r="V156" s="9"/>
      <c r="W156" s="9"/>
      <c r="X156" s="9"/>
      <c r="Y156" s="9"/>
      <c r="Z156" s="9"/>
      <c r="AA156" s="9"/>
      <c r="AB156" s="9"/>
      <c r="AC156" s="9"/>
      <c r="AD156" s="9"/>
      <c r="AE156" s="9"/>
      <c r="AF156" s="9"/>
      <c r="AG156" s="9"/>
    </row>
    <row r="157">
      <c r="A157" s="20" t="s">
        <v>3226</v>
      </c>
      <c r="B157" s="20" t="s">
        <v>3247</v>
      </c>
      <c r="C157" s="20" t="s">
        <v>3248</v>
      </c>
      <c r="D157" s="20" t="s">
        <v>3249</v>
      </c>
      <c r="E157" s="20" t="s">
        <v>3250</v>
      </c>
      <c r="F157" s="9"/>
      <c r="G157" s="9"/>
      <c r="H157" s="26" t="s">
        <v>3226</v>
      </c>
      <c r="I157" s="9" t="str">
        <f>IFERROR(__xludf.DUMMYFUNCTION("GOOGLETRANSLATE(B157,""en"",""ar"")"),"تشكل هذه النماذج مصدرًا تاريخيًا مهمًا لأنها...")</f>
        <v>تشكل هذه النماذج مصدرًا تاريخيًا مهمًا لأنها...</v>
      </c>
      <c r="J157" s="9" t="str">
        <f>IFERROR(__xludf.DUMMYFUNCTION("GOOGLETRANSLATE(C157,""en"",""ar"")"),"أ) تقديم معلومات مفصلة عن المعدات والتشكيلات العسكرية القديمة، ب) هي الأعمال الفنية الوحيدة التي تم العثور عليها في مقبرة مصرية، ج) تحتوي على خريطة سرية للبحث عنها، د) مصنوعة من الذهب الصلب")</f>
        <v>أ) تقديم معلومات مفصلة عن المعدات والتشكيلات العسكرية القديمة، ب) هي الأعمال الفنية الوحيدة التي تم العثور عليها في مقبرة مصرية، ج) تحتوي على خريطة سرية للبحث عنها، د) مصنوعة من الذهب الصلب</v>
      </c>
      <c r="K157" s="9" t="str">
        <f>IFERROR(__xludf.DUMMYFUNCTION("GOOGLETRANSLATE(D157,""en"",""ar"")"),"أ) أنها توفر معلومات مفصلة عن المعدات والتشكيلات العسكرية القديمة")</f>
        <v>أ) أنها توفر معلومات مفصلة عن المعدات والتشكيلات العسكرية القديمة</v>
      </c>
      <c r="L157" s="9" t="str">
        <f>IFERROR(__xludf.DUMMYFUNCTION("GOOGLETRANSLATE(E157,""en"",""ar"")"),"إنها مثل صورة ثلاثية الأبعاد، تُظهر لعلماء الآثار بالضبط كيف كانت تبدو الدروع والرماح والملابس في ذلك الوقت.")</f>
        <v>إنها مثل صورة ثلاثية الأبعاد، تُظهر لعلماء الآثار بالضبط كيف كانت تبدو الدروع والرماح والملابس في ذلك الوقت.</v>
      </c>
      <c r="M157" s="9"/>
      <c r="N157" s="9"/>
      <c r="O157" s="9"/>
      <c r="P157" s="9"/>
      <c r="Q157" s="9"/>
      <c r="R157" s="9"/>
      <c r="S157" s="9"/>
      <c r="T157" s="9"/>
      <c r="U157" s="9"/>
      <c r="V157" s="9"/>
      <c r="W157" s="9"/>
      <c r="X157" s="9"/>
      <c r="Y157" s="9"/>
      <c r="Z157" s="9"/>
      <c r="AA157" s="9"/>
      <c r="AB157" s="9"/>
      <c r="AC157" s="9"/>
      <c r="AD157" s="9"/>
      <c r="AE157" s="9"/>
      <c r="AF157" s="9"/>
      <c r="AG157" s="9"/>
    </row>
    <row r="158">
      <c r="A158" s="20" t="s">
        <v>3226</v>
      </c>
      <c r="B158" s="20" t="s">
        <v>3117</v>
      </c>
      <c r="C158" s="20" t="s">
        <v>3251</v>
      </c>
      <c r="D158" s="20" t="s">
        <v>3252</v>
      </c>
      <c r="E158" s="20" t="s">
        <v>3253</v>
      </c>
      <c r="F158" s="9"/>
      <c r="G158" s="9"/>
      <c r="H158" s="25" t="s">
        <v>3226</v>
      </c>
      <c r="I158" s="9" t="str">
        <f>IFERROR(__xludf.DUMMYFUNCTION("GOOGLETRANSLATE(B158,""en"",""ar"")"),"ماذا يرتدي الجنود؟")</f>
        <v>ماذا يرتدي الجنود؟</v>
      </c>
      <c r="J158" s="9" t="str">
        <f>IFERROR(__xludf.DUMMYFUNCTION("GOOGLETRANSLATE(C158,""en"",""ar"")"),"أ) درع معدني ثقيل، ب) مآزر بسيطة منقوشة، ج) أردية طويلة فضفاضة، د) لا شيء")</f>
        <v>أ) درع معدني ثقيل، ب) مآزر بسيطة منقوشة، ج) أردية طويلة فضفاضة، د) لا شيء</v>
      </c>
      <c r="K158" s="9" t="str">
        <f>IFERROR(__xludf.DUMMYFUNCTION("GOOGLETRANSLATE(D158,""en"",""ar"")"),"ب) مآزر بسيطة منقوشة")</f>
        <v>ب) مآزر بسيطة منقوشة</v>
      </c>
      <c r="L158" s="9" t="str">
        <f>IFERROR(__xludf.DUMMYFUNCTION("GOOGLETRANSLATE(E158,""en"",""ar"")"),"إنهم يرتدون التنورات الاسكتلندية البسيطة أو المآزر التي كانت تشكل الزي العسكري القياسي في المناخ الحار.")</f>
        <v>إنهم يرتدون التنورات الاسكتلندية البسيطة أو المآزر التي كانت تشكل الزي العسكري القياسي في المناخ الحار.</v>
      </c>
      <c r="M158" s="9"/>
      <c r="N158" s="9"/>
      <c r="O158" s="9"/>
      <c r="P158" s="9"/>
      <c r="Q158" s="9"/>
      <c r="R158" s="9"/>
      <c r="S158" s="9"/>
      <c r="T158" s="9"/>
      <c r="U158" s="9"/>
      <c r="V158" s="9"/>
      <c r="W158" s="9"/>
      <c r="X158" s="9"/>
      <c r="Y158" s="9"/>
      <c r="Z158" s="9"/>
      <c r="AA158" s="9"/>
      <c r="AB158" s="9"/>
      <c r="AC158" s="9"/>
      <c r="AD158" s="9"/>
      <c r="AE158" s="9"/>
      <c r="AF158" s="9"/>
      <c r="AG158" s="9"/>
    </row>
    <row r="159">
      <c r="A159" s="20" t="s">
        <v>3226</v>
      </c>
      <c r="B159" s="20" t="s">
        <v>3254</v>
      </c>
      <c r="C159" s="20" t="s">
        <v>3255</v>
      </c>
      <c r="D159" s="20" t="s">
        <v>3256</v>
      </c>
      <c r="E159" s="20" t="s">
        <v>3257</v>
      </c>
      <c r="F159" s="9"/>
      <c r="G159" s="9"/>
      <c r="H159" s="26" t="s">
        <v>3226</v>
      </c>
      <c r="I159" s="9" t="str">
        <f>IFERROR(__xludf.DUMMYFUNCTION("GOOGLETRANSLATE(B159,""en"",""ar"")"),"يتم ترتيب الجنود في ...")</f>
        <v>يتم ترتيب الجنود في ...</v>
      </c>
      <c r="J159" s="9" t="str">
        <f>IFERROR(__xludf.DUMMYFUNCTION("GOOGLETRANSLATE(C159,""en"",""ar"")"),"أ) مجموعة عشوائية وفوضوية، ب) خط صف واحد، ج) تشكيل منضبط ومستطيل الشكل، د) وضع دفاعي دائري")</f>
        <v>أ) مجموعة عشوائية وفوضوية، ب) خط صف واحد، ج) تشكيل منضبط ومستطيل الشكل، د) وضع دفاعي دائري</v>
      </c>
      <c r="K159" s="9" t="str">
        <f>IFERROR(__xludf.DUMMYFUNCTION("GOOGLETRANSLATE(D159,""en"",""ar"")"),"ج) تشكيل مستطيل منضبط")</f>
        <v>ج) تشكيل مستطيل منضبط</v>
      </c>
      <c r="L159" s="9" t="str">
        <f>IFERROR(__xludf.DUMMYFUNCTION("GOOGLETRANSLATE(E159,""en"",""ar"")"),"يتم تنظيمهم في صفوف وصفوف، مما يدل على الطبيعة المنظمة للجيش المصري القديم.")</f>
        <v>يتم تنظيمهم في صفوف وصفوف، مما يدل على الطبيعة المنظمة للجيش المصري القديم.</v>
      </c>
      <c r="M159" s="9"/>
      <c r="N159" s="9"/>
      <c r="O159" s="9"/>
      <c r="P159" s="9"/>
      <c r="Q159" s="9"/>
      <c r="R159" s="9"/>
      <c r="S159" s="9"/>
      <c r="T159" s="9"/>
      <c r="U159" s="9"/>
      <c r="V159" s="9"/>
      <c r="W159" s="9"/>
      <c r="X159" s="9"/>
      <c r="Y159" s="9"/>
      <c r="Z159" s="9"/>
      <c r="AA159" s="9"/>
      <c r="AB159" s="9"/>
      <c r="AC159" s="9"/>
      <c r="AD159" s="9"/>
      <c r="AE159" s="9"/>
      <c r="AF159" s="9"/>
      <c r="AG159" s="9"/>
    </row>
    <row r="160">
      <c r="A160" s="20" t="s">
        <v>3226</v>
      </c>
      <c r="B160" s="20" t="s">
        <v>3258</v>
      </c>
      <c r="C160" s="20" t="s">
        <v>3259</v>
      </c>
      <c r="D160" s="20" t="s">
        <v>3260</v>
      </c>
      <c r="E160" s="20" t="s">
        <v>3261</v>
      </c>
      <c r="F160" s="9"/>
      <c r="G160" s="9"/>
      <c r="H160" s="25" t="s">
        <v>3226</v>
      </c>
      <c r="I160" s="9" t="str">
        <f>IFERROR(__xludf.DUMMYFUNCTION("GOOGLETRANSLATE(B160,""en"",""ar"")"),"أين تم العثور على هذه النماذج؟")</f>
        <v>أين تم العثور على هذه النماذج؟</v>
      </c>
      <c r="J160" s="9" t="str">
        <f>IFERROR(__xludf.DUMMYFUNCTION("GOOGLETRANSLATE(C160,""en"",""ar"")"),"أ) في قاع نهر النيل، ب) في غرفة مخفية داخل هرم، ج) في مقبرة بالقرب من أسيوط، مصر، د) في غرفة تخزين متحف في لندن")</f>
        <v>أ) في قاع نهر النيل، ب) في غرفة مخفية داخل هرم، ج) في مقبرة بالقرب من أسيوط، مصر، د) في غرفة تخزين متحف في لندن</v>
      </c>
      <c r="K160" s="9" t="str">
        <f>IFERROR(__xludf.DUMMYFUNCTION("GOOGLETRANSLATE(D160,""en"",""ar"")"),"ج) في مقبرة بالقرب من أسيوط، مصر")</f>
        <v>ج) في مقبرة بالقرب من أسيوط، مصر</v>
      </c>
      <c r="L160" s="9" t="str">
        <f>IFERROR(__xludf.DUMMYFUNCTION("GOOGLETRANSLATE(E160,""en"",""ar"")"),"تم اكتشافها من قبل علماء الآثار الفرنسيين في مقبرة مسحتي في عام 1894.")</f>
        <v>تم اكتشافها من قبل علماء الآثار الفرنسيين في مقبرة مسحتي في عام 1894.</v>
      </c>
      <c r="M160" s="9"/>
      <c r="N160" s="9"/>
      <c r="O160" s="9"/>
      <c r="P160" s="9"/>
      <c r="Q160" s="9"/>
      <c r="R160" s="9"/>
      <c r="S160" s="9"/>
      <c r="T160" s="9"/>
      <c r="U160" s="9"/>
      <c r="V160" s="9"/>
      <c r="W160" s="9"/>
      <c r="X160" s="9"/>
      <c r="Y160" s="9"/>
      <c r="Z160" s="9"/>
      <c r="AA160" s="9"/>
      <c r="AB160" s="9"/>
      <c r="AC160" s="9"/>
      <c r="AD160" s="9"/>
      <c r="AE160" s="9"/>
      <c r="AF160" s="9"/>
      <c r="AG160" s="9"/>
    </row>
    <row r="161">
      <c r="A161" s="20" t="s">
        <v>3226</v>
      </c>
      <c r="B161" s="20" t="s">
        <v>3262</v>
      </c>
      <c r="C161" s="20" t="s">
        <v>3263</v>
      </c>
      <c r="D161" s="20" t="s">
        <v>3264</v>
      </c>
      <c r="E161" s="20" t="s">
        <v>3265</v>
      </c>
      <c r="F161" s="9"/>
      <c r="G161" s="9"/>
      <c r="H161" s="26" t="s">
        <v>3226</v>
      </c>
      <c r="I161" s="9" t="str">
        <f>IFERROR(__xludf.DUMMYFUNCTION("GOOGLETRANSLATE(B161,""en"",""ar"")"),"ماذا كان هؤلاء الجنود يخدمون لدى الفراعنة المصريين؟")</f>
        <v>ماذا كان هؤلاء الجنود يخدمون لدى الفراعنة المصريين؟</v>
      </c>
      <c r="J161" s="9" t="str">
        <f>IFERROR(__xludf.DUMMYFUNCTION("GOOGLETRANSLATE(C161,""en"",""ar"")"),"أ) المزارعون، ب) الكهنة، ج) المرتزقة والجنود النخبة، د) المستشارون الملكيون")</f>
        <v>أ) المزارعون، ب) الكهنة، ج) المرتزقة والجنود النخبة، د) المستشارون الملكيون</v>
      </c>
      <c r="K161" s="9" t="str">
        <f>IFERROR(__xludf.DUMMYFUNCTION("GOOGLETRANSLATE(D161,""en"",""ar"")"),"ج) المرتزقة والجنود النخبة")</f>
        <v>ج) المرتزقة والجنود النخبة</v>
      </c>
      <c r="L161" s="9" t="str">
        <f>IFERROR(__xludf.DUMMYFUNCTION("GOOGLETRANSLATE(E161,""en"",""ar"")"),"كان النوبيون موضع تقدير كبير باعتبارهم جنودًا مهرة ومخلصين، وخاصة في الرماية، وكثيراً ما خدموا في الجيش المصري.")</f>
        <v>كان النوبيون موضع تقدير كبير باعتبارهم جنودًا مهرة ومخلصين، وخاصة في الرماية، وكثيراً ما خدموا في الجيش المصري.</v>
      </c>
      <c r="M161" s="9"/>
      <c r="N161" s="9"/>
      <c r="O161" s="9"/>
      <c r="P161" s="9"/>
      <c r="Q161" s="9"/>
      <c r="R161" s="9"/>
      <c r="S161" s="9"/>
      <c r="T161" s="9"/>
      <c r="U161" s="9"/>
      <c r="V161" s="9"/>
      <c r="W161" s="9"/>
      <c r="X161" s="9"/>
      <c r="Y161" s="9"/>
      <c r="Z161" s="9"/>
      <c r="AA161" s="9"/>
      <c r="AB161" s="9"/>
      <c r="AC161" s="9"/>
      <c r="AD161" s="9"/>
      <c r="AE161" s="9"/>
      <c r="AF161" s="9"/>
      <c r="AG161" s="9"/>
    </row>
    <row r="162">
      <c r="A162" s="20" t="s">
        <v>3266</v>
      </c>
      <c r="B162" s="20" t="s">
        <v>3267</v>
      </c>
      <c r="C162" s="20" t="s">
        <v>3268</v>
      </c>
      <c r="D162" s="20" t="s">
        <v>3269</v>
      </c>
      <c r="E162" s="20" t="s">
        <v>3270</v>
      </c>
      <c r="F162" s="9"/>
      <c r="G162" s="9"/>
      <c r="H162" s="25" t="s">
        <v>3266</v>
      </c>
      <c r="I162" s="9" t="str">
        <f>IFERROR(__xludf.DUMMYFUNCTION("GOOGLETRANSLATE(B162,""en"",""ar"")"),"ما هذه الصورة؟")</f>
        <v>ما هذه الصورة؟</v>
      </c>
      <c r="J162" s="9" t="str">
        <f>IFERROR(__xludf.DUMMYFUNCTION("GOOGLETRANSLATE(C162,""en"",""ar"")"),"أ) صورة فوتوغرافية حديثة بفلتر عتيق، ب) قطعة من الفن المصري القديم على ورق البردي أو جدار مقبرة، ج) رسم طفل، د) نسيج أوروبي من العصور الوسطى")</f>
        <v>أ) صورة فوتوغرافية حديثة بفلتر عتيق، ب) قطعة من الفن المصري القديم على ورق البردي أو جدار مقبرة، ج) رسم طفل، د) نسيج أوروبي من العصور الوسطى</v>
      </c>
      <c r="K162" s="9" t="str">
        <f>IFERROR(__xludf.DUMMYFUNCTION("GOOGLETRANSLATE(D162,""en"",""ar"")"),"ب) قطعة من الفن المصري القديم على ورق البردي أو جدار القبر")</f>
        <v>ب) قطعة من الفن المصري القديم على ورق البردي أو جدار القبر</v>
      </c>
      <c r="L162" s="9" t="str">
        <f>IFERROR(__xludf.DUMMYFUNCTION("GOOGLETRANSLATE(E162,""en"",""ar"")"),"هذه نسخة طبق الأصل من لوحة مرسومة على الطراز الكلاسيكي في مصر القديمة.")</f>
        <v>هذه نسخة طبق الأصل من لوحة مرسومة على الطراز الكلاسيكي في مصر القديمة.</v>
      </c>
      <c r="M162" s="9"/>
      <c r="N162" s="9"/>
      <c r="O162" s="9"/>
      <c r="P162" s="9"/>
      <c r="Q162" s="9"/>
      <c r="R162" s="9"/>
      <c r="S162" s="9"/>
      <c r="T162" s="9"/>
      <c r="U162" s="9"/>
      <c r="V162" s="9"/>
      <c r="W162" s="9"/>
      <c r="X162" s="9"/>
      <c r="Y162" s="9"/>
      <c r="Z162" s="9"/>
      <c r="AA162" s="9"/>
      <c r="AB162" s="9"/>
      <c r="AC162" s="9"/>
      <c r="AD162" s="9"/>
      <c r="AE162" s="9"/>
      <c r="AF162" s="9"/>
      <c r="AG162" s="9"/>
    </row>
    <row r="163">
      <c r="A163" s="20" t="s">
        <v>3266</v>
      </c>
      <c r="B163" s="20" t="s">
        <v>3271</v>
      </c>
      <c r="C163" s="20" t="s">
        <v>3272</v>
      </c>
      <c r="D163" s="20" t="s">
        <v>3273</v>
      </c>
      <c r="E163" s="20" t="s">
        <v>3274</v>
      </c>
      <c r="F163" s="9"/>
      <c r="G163" s="9"/>
      <c r="H163" s="26" t="s">
        <v>3266</v>
      </c>
      <c r="I163" s="9" t="str">
        <f>IFERROR(__xludf.DUMMYFUNCTION("GOOGLETRANSLATE(B163,""en"",""ar"")"),"ما هو النشاط الذي يتم تصويره؟")</f>
        <v>ما هو النشاط الذي يتم تصويره؟</v>
      </c>
      <c r="J163" s="9" t="str">
        <f>IFERROR(__xludf.DUMMYFUNCTION("GOOGLETRANSLATE(C163,""en"",""ar"")"),"أ) الزراعة، ب) احتفال ديني، ج) قتال العصي، د) الرقص")</f>
        <v>أ) الزراعة، ب) احتفال ديني، ج) قتال العصي، د) الرقص</v>
      </c>
      <c r="K163" s="9" t="str">
        <f>IFERROR(__xludf.DUMMYFUNCTION("GOOGLETRANSLATE(D163,""en"",""ar"")"),"ج) القتال بالعصا")</f>
        <v>ج) القتال بالعصا</v>
      </c>
      <c r="L163" s="9" t="str">
        <f>IFERROR(__xludf.DUMMYFUNCTION("GOOGLETRANSLATE(E163,""en"",""ar"")"),"الشخصيات الثلاثة في أوضاع ديناميكية، يحملون العصي ويشاركون في القتال.")</f>
        <v>الشخصيات الثلاثة في أوضاع ديناميكية، يحملون العصي ويشاركون في القتال.</v>
      </c>
      <c r="M163" s="9"/>
      <c r="N163" s="9"/>
      <c r="O163" s="9"/>
      <c r="P163" s="9"/>
      <c r="Q163" s="9"/>
      <c r="R163" s="9"/>
      <c r="S163" s="9"/>
      <c r="T163" s="9"/>
      <c r="U163" s="9"/>
      <c r="V163" s="9"/>
      <c r="W163" s="9"/>
      <c r="X163" s="9"/>
      <c r="Y163" s="9"/>
      <c r="Z163" s="9"/>
      <c r="AA163" s="9"/>
      <c r="AB163" s="9"/>
      <c r="AC163" s="9"/>
      <c r="AD163" s="9"/>
      <c r="AE163" s="9"/>
      <c r="AF163" s="9"/>
      <c r="AG163" s="9"/>
    </row>
    <row r="164">
      <c r="A164" s="20" t="s">
        <v>3266</v>
      </c>
      <c r="B164" s="20" t="s">
        <v>3275</v>
      </c>
      <c r="C164" s="20" t="s">
        <v>3276</v>
      </c>
      <c r="D164" s="20" t="s">
        <v>3127</v>
      </c>
      <c r="E164" s="20" t="s">
        <v>3277</v>
      </c>
      <c r="F164" s="9"/>
      <c r="G164" s="9"/>
      <c r="H164" s="25" t="s">
        <v>3266</v>
      </c>
      <c r="I164" s="9" t="str">
        <f>IFERROR(__xludf.DUMMYFUNCTION("GOOGLETRANSLATE(B164,""en"",""ar"")"),"يعتبر أسلوب الشخصيات، مع الرؤوس والأرجل في وضع جانبي ولكن الجذوع متجهة للأمام، من السمات الأساسية...")</f>
        <v>يعتبر أسلوب الشخصيات، مع الرؤوس والأرجل في وضع جانبي ولكن الجذوع متجهة للأمام، من السمات الأساسية...</v>
      </c>
      <c r="J164" s="9" t="str">
        <f>IFERROR(__xludf.DUMMYFUNCTION("GOOGLETRANSLATE(C164,""en"",""ar"")"),"أ) فن عصر النهضة، ب) الفن المصري القديم، ج) الفن الانطباعي، د) الفن التجريدي الحديث")</f>
        <v>أ) فن عصر النهضة، ب) الفن المصري القديم، ج) الفن الانطباعي، د) الفن التجريدي الحديث</v>
      </c>
      <c r="K164" s="9" t="str">
        <f>IFERROR(__xludf.DUMMYFUNCTION("GOOGLETRANSLATE(D164,""en"",""ar"")"),"ب) الفن المصري القديم")</f>
        <v>ب) الفن المصري القديم</v>
      </c>
      <c r="L164" s="9" t="str">
        <f>IFERROR(__xludf.DUMMYFUNCTION("GOOGLETRANSLATE(E164,""en"",""ar"")"),"يعد هذا المنظر المركب، الذي يظهر كل جزء من الجسم من الزاوية الأكثر تميزًا، سمة مميزة للفن المصري ثنائي الأبعاد.")</f>
        <v>يعد هذا المنظر المركب، الذي يظهر كل جزء من الجسم من الزاوية الأكثر تميزًا، سمة مميزة للفن المصري ثنائي الأبعاد.</v>
      </c>
      <c r="M164" s="9"/>
      <c r="N164" s="9"/>
      <c r="O164" s="9"/>
      <c r="P164" s="9"/>
      <c r="Q164" s="9"/>
      <c r="R164" s="9"/>
      <c r="S164" s="9"/>
      <c r="T164" s="9"/>
      <c r="U164" s="9"/>
      <c r="V164" s="9"/>
      <c r="W164" s="9"/>
      <c r="X164" s="9"/>
      <c r="Y164" s="9"/>
      <c r="Z164" s="9"/>
      <c r="AA164" s="9"/>
      <c r="AB164" s="9"/>
      <c r="AC164" s="9"/>
      <c r="AD164" s="9"/>
      <c r="AE164" s="9"/>
      <c r="AF164" s="9"/>
      <c r="AG164" s="9"/>
    </row>
    <row r="165">
      <c r="A165" s="20" t="s">
        <v>3266</v>
      </c>
      <c r="B165" s="20" t="s">
        <v>3278</v>
      </c>
      <c r="C165" s="20" t="s">
        <v>3279</v>
      </c>
      <c r="D165" s="20" t="s">
        <v>3280</v>
      </c>
      <c r="E165" s="20" t="s">
        <v>3281</v>
      </c>
      <c r="F165" s="9"/>
      <c r="G165" s="9"/>
      <c r="H165" s="26" t="s">
        <v>3266</v>
      </c>
      <c r="I165" s="9" t="str">
        <f>IFERROR(__xludf.DUMMYFUNCTION("GOOGLETRANSLATE(B165,""en"",""ar"")"),"ما هي الخطوط العمودية للرموز في الخلفية؟")</f>
        <v>ما هي الخطوط العمودية للرموز في الخلفية؟</v>
      </c>
      <c r="J165" s="9" t="str">
        <f>IFERROR(__xludf.DUMMYFUNCTION("GOOGLETRANSLATE(C165,""en"",""ar"")"),"أ) نمط زخرفي، ب) توقيع الفنان، ج) كتابة هيروغليفية، د) شفرة سرية")</f>
        <v>أ) نمط زخرفي، ب) توقيع الفنان، ج) كتابة هيروغليفية، د) شفرة سرية</v>
      </c>
      <c r="K165" s="9" t="str">
        <f>IFERROR(__xludf.DUMMYFUNCTION("GOOGLETRANSLATE(D165,""en"",""ar"")"),"ج) الكتابة الهيروغليفية")</f>
        <v>ج) الكتابة الهيروغليفية</v>
      </c>
      <c r="L165" s="9" t="str">
        <f>IFERROR(__xludf.DUMMYFUNCTION("GOOGLETRANSLATE(E165,""en"",""ar"")"),"هذا هو نظام الكتابة المصري القديم.")</f>
        <v>هذا هو نظام الكتابة المصري القديم.</v>
      </c>
      <c r="M165" s="9"/>
      <c r="N165" s="9"/>
      <c r="O165" s="9"/>
      <c r="P165" s="9"/>
      <c r="Q165" s="9"/>
      <c r="R165" s="9"/>
      <c r="S165" s="9"/>
      <c r="T165" s="9"/>
      <c r="U165" s="9"/>
      <c r="V165" s="9"/>
      <c r="W165" s="9"/>
      <c r="X165" s="9"/>
      <c r="Y165" s="9"/>
      <c r="Z165" s="9"/>
      <c r="AA165" s="9"/>
      <c r="AB165" s="9"/>
      <c r="AC165" s="9"/>
      <c r="AD165" s="9"/>
      <c r="AE165" s="9"/>
      <c r="AF165" s="9"/>
      <c r="AG165" s="9"/>
    </row>
    <row r="166">
      <c r="A166" s="20" t="s">
        <v>3266</v>
      </c>
      <c r="B166" s="20" t="s">
        <v>3282</v>
      </c>
      <c r="C166" s="20" t="s">
        <v>3283</v>
      </c>
      <c r="D166" s="20" t="s">
        <v>3284</v>
      </c>
      <c r="E166" s="20" t="s">
        <v>3285</v>
      </c>
      <c r="F166" s="9"/>
      <c r="G166" s="9"/>
      <c r="H166" s="25" t="s">
        <v>3266</v>
      </c>
      <c r="I166" s="9" t="str">
        <f>IFERROR(__xludf.DUMMYFUNCTION("GOOGLETRANSLATE(B166,""en"",""ar"")"),"هذا النوع من الفن يدل على أن القتال بالعصا في هذه المنطقة هو...")</f>
        <v>هذا النوع من الفن يدل على أن القتال بالعصا في هذه المنطقة هو...</v>
      </c>
      <c r="J166" s="9" t="str">
        <f>IFERROR(__xludf.DUMMYFUNCTION("GOOGLETRANSLATE(C166,""en"",""ar"")"),"أ) رياضة جديدة جدًا، اخترعت في القرن العشرين، ب) ممارسة قديمة يعود تاريخها إلى آلاف السنين، ج) رياضة لم تكن شائعة جدًا، د) أسلوب قتال لم يُستخدم أبدًا في الجيش")</f>
        <v>أ) رياضة جديدة جدًا، اخترعت في القرن العشرين، ب) ممارسة قديمة يعود تاريخها إلى آلاف السنين، ج) رياضة لم تكن شائعة جدًا، د) أسلوب قتال لم يُستخدم أبدًا في الجيش</v>
      </c>
      <c r="K166" s="9" t="str">
        <f>IFERROR(__xludf.DUMMYFUNCTION("GOOGLETRANSLATE(D166,""en"",""ar"")"),"ب) ممارسة قديمة يعود تاريخها إلى آلاف السنين")</f>
        <v>ب) ممارسة قديمة يعود تاريخها إلى آلاف السنين</v>
      </c>
      <c r="L166" s="9" t="str">
        <f>IFERROR(__xludf.DUMMYFUNCTION("GOOGLETRANSLATE(E166,""en"",""ar"")"),"تظهر النقوش واللوحات من المقابر القديمة أن القتال بالعصا كان رياضة شعبية وشكلًا من أشكال التدريب العسكري منذ آلاف السنين.")</f>
        <v>تظهر النقوش واللوحات من المقابر القديمة أن القتال بالعصا كان رياضة شعبية وشكلًا من أشكال التدريب العسكري منذ آلاف السنين.</v>
      </c>
      <c r="M166" s="9"/>
      <c r="N166" s="9"/>
      <c r="O166" s="9"/>
      <c r="P166" s="9"/>
      <c r="Q166" s="9"/>
      <c r="R166" s="9"/>
      <c r="S166" s="9"/>
      <c r="T166" s="9"/>
      <c r="U166" s="9"/>
      <c r="V166" s="9"/>
      <c r="W166" s="9"/>
      <c r="X166" s="9"/>
      <c r="Y166" s="9"/>
      <c r="Z166" s="9"/>
      <c r="AA166" s="9"/>
      <c r="AB166" s="9"/>
      <c r="AC166" s="9"/>
      <c r="AD166" s="9"/>
      <c r="AE166" s="9"/>
      <c r="AF166" s="9"/>
      <c r="AG166" s="9"/>
    </row>
    <row r="167">
      <c r="A167" s="20" t="s">
        <v>3266</v>
      </c>
      <c r="B167" s="20" t="s">
        <v>3286</v>
      </c>
      <c r="C167" s="20" t="s">
        <v>3287</v>
      </c>
      <c r="D167" s="20" t="s">
        <v>3288</v>
      </c>
      <c r="E167" s="20" t="s">
        <v>3289</v>
      </c>
      <c r="F167" s="9"/>
      <c r="G167" s="9"/>
      <c r="H167" s="26" t="s">
        <v>3266</v>
      </c>
      <c r="I167" s="9" t="str">
        <f>IFERROR(__xludf.DUMMYFUNCTION("GOOGLETRANSLATE(B167,""en"",""ar"")"),"ما هي الميزة الموجودة في طرف العصي التي يستخدمها الرجال؟")</f>
        <v>ما هي الميزة الموجودة في طرف العصي التي يستخدمها الرجال؟</v>
      </c>
      <c r="J167" s="9" t="str">
        <f>IFERROR(__xludf.DUMMYFUNCTION("GOOGLETRANSLATE(C167,""en"",""ar"")"),"أ) يتم شحذها إلى نقطة، ب) لديها غطاء أو مقبض واقي، ج) لديها ريش متصل، د) إنها مشتعلة")</f>
        <v>أ) يتم شحذها إلى نقطة، ب) لديها غطاء أو مقبض واقي، ج) لديها ريش متصل، د) إنها مشتعلة</v>
      </c>
      <c r="K167" s="9" t="str">
        <f>IFERROR(__xludf.DUMMYFUNCTION("GOOGLETRANSLATE(D167,""en"",""ar"")"),"ب) لديهم غطاء أو مقبض واقي")</f>
        <v>ب) لديهم غطاء أو مقبض واقي</v>
      </c>
      <c r="L167" s="9" t="str">
        <f>IFERROR(__xludf.DUMMYFUNCTION("GOOGLETRANSLATE(E167,""en"",""ar"")"),"كانت العصي غالبًا ذات طرف مبطن أو محمي، مما يشير إلى أن هذا كان تمرينًا رياضيًا أو تدريبيًا، وليس قتالًا حتى الموت.")</f>
        <v>كانت العصي غالبًا ذات طرف مبطن أو محمي، مما يشير إلى أن هذا كان تمرينًا رياضيًا أو تدريبيًا، وليس قتالًا حتى الموت.</v>
      </c>
      <c r="M167" s="9"/>
      <c r="N167" s="9"/>
      <c r="O167" s="9"/>
      <c r="P167" s="9"/>
      <c r="Q167" s="9"/>
      <c r="R167" s="9"/>
      <c r="S167" s="9"/>
      <c r="T167" s="9"/>
      <c r="U167" s="9"/>
      <c r="V167" s="9"/>
      <c r="W167" s="9"/>
      <c r="X167" s="9"/>
      <c r="Y167" s="9"/>
      <c r="Z167" s="9"/>
      <c r="AA167" s="9"/>
      <c r="AB167" s="9"/>
      <c r="AC167" s="9"/>
      <c r="AD167" s="9"/>
      <c r="AE167" s="9"/>
      <c r="AF167" s="9"/>
      <c r="AG167" s="9"/>
    </row>
    <row r="168">
      <c r="A168" s="20" t="s">
        <v>3266</v>
      </c>
      <c r="B168" s="20" t="s">
        <v>3290</v>
      </c>
      <c r="C168" s="20" t="s">
        <v>3291</v>
      </c>
      <c r="D168" s="20" t="s">
        <v>3292</v>
      </c>
      <c r="E168" s="20" t="s">
        <v>3293</v>
      </c>
      <c r="F168" s="9"/>
      <c r="G168" s="9"/>
      <c r="H168" s="25" t="s">
        <v>3266</v>
      </c>
      <c r="I168" s="9" t="str">
        <f>IFERROR(__xludf.DUMMYFUNCTION("GOOGLETRANSLATE(B168,""en"",""ar"")"),"ماذا يرتدي الرجال على الجزء السفلي من أجسامهم؟")</f>
        <v>ماذا يرتدي الرجال على الجزء السفلي من أجسامهم؟</v>
      </c>
      <c r="J168" s="9" t="str">
        <f>IFERROR(__xludf.DUMMYFUNCTION("GOOGLETRANSLATE(C168,""en"",""ar"")"),"أ) سراويل طويلة، ب) جلود حيوانات، ج) مآزر أو تنانير اسكتلندية بسيطة، د) لا شيء")</f>
        <v>أ) سراويل طويلة، ب) جلود حيوانات، ج) مآزر أو تنانير اسكتلندية بسيطة، د) لا شيء</v>
      </c>
      <c r="K168" s="9" t="str">
        <f>IFERROR(__xludf.DUMMYFUNCTION("GOOGLETRANSLATE(D168,""en"",""ar"")"),"ج) مآزر أو تنانير بسيطة")</f>
        <v>ج) مآزر أو تنانير بسيطة</v>
      </c>
      <c r="L168" s="9" t="str">
        <f>IFERROR(__xludf.DUMMYFUNCTION("GOOGLETRANSLATE(E168,""en"",""ar"")"),"إنهم يرتدون التنورات الاسكتلندية البسيطة الملفوفة التي كانت الزي الشائع للعمال والجنود في مصر القديمة.")</f>
        <v>إنهم يرتدون التنورات الاسكتلندية البسيطة الملفوفة التي كانت الزي الشائع للعمال والجنود في مصر القديمة.</v>
      </c>
      <c r="M168" s="9"/>
      <c r="N168" s="9"/>
      <c r="O168" s="9"/>
      <c r="P168" s="9"/>
      <c r="Q168" s="9"/>
      <c r="R168" s="9"/>
      <c r="S168" s="9"/>
      <c r="T168" s="9"/>
      <c r="U168" s="9"/>
      <c r="V168" s="9"/>
      <c r="W168" s="9"/>
      <c r="X168" s="9"/>
      <c r="Y168" s="9"/>
      <c r="Z168" s="9"/>
      <c r="AA168" s="9"/>
      <c r="AB168" s="9"/>
      <c r="AC168" s="9"/>
      <c r="AD168" s="9"/>
      <c r="AE168" s="9"/>
      <c r="AF168" s="9"/>
      <c r="AG168" s="9"/>
    </row>
    <row r="169">
      <c r="A169" s="20" t="s">
        <v>3266</v>
      </c>
      <c r="B169" s="20" t="s">
        <v>3294</v>
      </c>
      <c r="C169" s="20" t="s">
        <v>3295</v>
      </c>
      <c r="D169" s="20" t="s">
        <v>3296</v>
      </c>
      <c r="E169" s="20" t="s">
        <v>3297</v>
      </c>
      <c r="F169" s="9"/>
      <c r="G169" s="9"/>
      <c r="H169" s="26" t="s">
        <v>3266</v>
      </c>
      <c r="I169" s="9" t="str">
        <f>IFERROR(__xludf.DUMMYFUNCTION("GOOGLETRANSLATE(B169,""en"",""ar"")"),"يعتبر فن التحطيب القتالي المصري الحديث سليلًا مباشرًا لـ...")</f>
        <v>يعتبر فن التحطيب القتالي المصري الحديث سليلًا مباشرًا لـ...</v>
      </c>
      <c r="J169" s="9" t="str">
        <f>IFERROR(__xludf.DUMMYFUNCTION("GOOGLETRANSLATE(C169,""en"",""ar"")"),"أ) الممارسات الموضحة في هذا العمل الفني القديم، ب) قتال المصارع الروماني، ج) تقنيات الساموراي الياباني، د) المبارزة الأولمبية الحديثة")</f>
        <v>أ) الممارسات الموضحة في هذا العمل الفني القديم، ب) قتال المصارع الروماني، ج) تقنيات الساموراي الياباني، د) المبارزة الأولمبية الحديثة</v>
      </c>
      <c r="K169" s="9" t="str">
        <f>IFERROR(__xludf.DUMMYFUNCTION("GOOGLETRANSLATE(D169,""en"",""ar"")"),"أ) الممارسات الموضحة في هذا العمل الفني القديم")</f>
        <v>أ) الممارسات الموضحة في هذا العمل الفني القديم</v>
      </c>
      <c r="L169" s="9" t="str">
        <f>IFERROR(__xludf.DUMMYFUNCTION("GOOGLETRANSLATE(E169,""en"",""ar"")"),"ويعتقد أن التحطيب تطور بشكل مباشر من التدريب العسكري والمسابقات الرياضية الموضحة في هذه النقوش واللوحات القديمة.")</f>
        <v>ويعتقد أن التحطيب تطور بشكل مباشر من التدريب العسكري والمسابقات الرياضية الموضحة في هذه النقوش واللوحات القديمة.</v>
      </c>
      <c r="M169" s="9"/>
      <c r="N169" s="9"/>
      <c r="O169" s="9"/>
      <c r="P169" s="9"/>
      <c r="Q169" s="9"/>
      <c r="R169" s="9"/>
      <c r="S169" s="9"/>
      <c r="T169" s="9"/>
      <c r="U169" s="9"/>
      <c r="V169" s="9"/>
      <c r="W169" s="9"/>
      <c r="X169" s="9"/>
      <c r="Y169" s="9"/>
      <c r="Z169" s="9"/>
      <c r="AA169" s="9"/>
      <c r="AB169" s="9"/>
      <c r="AC169" s="9"/>
      <c r="AD169" s="9"/>
      <c r="AE169" s="9"/>
      <c r="AF169" s="9"/>
      <c r="AG169" s="9"/>
    </row>
    <row r="170">
      <c r="A170" s="20" t="s">
        <v>3266</v>
      </c>
      <c r="B170" s="20" t="s">
        <v>3298</v>
      </c>
      <c r="C170" s="20" t="s">
        <v>3299</v>
      </c>
      <c r="D170" s="20" t="s">
        <v>3300</v>
      </c>
      <c r="E170" s="20" t="s">
        <v>3301</v>
      </c>
      <c r="F170" s="9"/>
      <c r="G170" s="9"/>
      <c r="H170" s="25" t="s">
        <v>3266</v>
      </c>
      <c r="I170" s="9" t="str">
        <f>IFERROR(__xludf.DUMMYFUNCTION("GOOGLETRANSLATE(B170,""en"",""ar"")"),"يمكن أن تمثل درجات لون البشرة المختلفة للأشكال...")</f>
        <v>يمكن أن تمثل درجات لون البشرة المختلفة للأشكال...</v>
      </c>
      <c r="J170" s="9" t="str">
        <f>IFERROR(__xludf.DUMMYFUNCTION("GOOGLETRANSLATE(C170,""en"",""ar"")"),"أ) فرق مختلفة، ب) أشخاص من مناطق مختلفة، مثل المصريين والنوبيين، ج) أعمار مختلفة، د) اختيار فني عشوائي")</f>
        <v>أ) فرق مختلفة، ب) أشخاص من مناطق مختلفة، مثل المصريين والنوبيين، ج) أعمار مختلفة، د) اختيار فني عشوائي</v>
      </c>
      <c r="K170" s="9" t="str">
        <f>IFERROR(__xludf.DUMMYFUNCTION("GOOGLETRANSLATE(D170,""en"",""ar"")"),"ب) أشخاص من مناطق مختلفة، مثل المصريين والنوبيين")</f>
        <v>ب) أشخاص من مناطق مختلفة، مثل المصريين والنوبيين</v>
      </c>
      <c r="L170" s="9" t="str">
        <f>IFERROR(__xludf.DUMMYFUNCTION("GOOGLETRANSLATE(E170,""en"",""ar"")"),"غالبًا ما استخدم الفن المصري اتفاقيات ألوان مختلفة لتصوير أشخاص من خلفيات عرقية مختلفة.")</f>
        <v>غالبًا ما استخدم الفن المصري اتفاقيات ألوان مختلفة لتصوير أشخاص من خلفيات عرقية مختلفة.</v>
      </c>
      <c r="M170" s="9"/>
      <c r="N170" s="9"/>
      <c r="O170" s="9"/>
      <c r="P170" s="9"/>
      <c r="Q170" s="9"/>
      <c r="R170" s="9"/>
      <c r="S170" s="9"/>
      <c r="T170" s="9"/>
      <c r="U170" s="9"/>
      <c r="V170" s="9"/>
      <c r="W170" s="9"/>
      <c r="X170" s="9"/>
      <c r="Y170" s="9"/>
      <c r="Z170" s="9"/>
      <c r="AA170" s="9"/>
      <c r="AB170" s="9"/>
      <c r="AC170" s="9"/>
      <c r="AD170" s="9"/>
      <c r="AE170" s="9"/>
      <c r="AF170" s="9"/>
      <c r="AG170" s="9"/>
    </row>
    <row r="171">
      <c r="A171" s="20" t="s">
        <v>3266</v>
      </c>
      <c r="B171" s="20" t="s">
        <v>3302</v>
      </c>
      <c r="C171" s="20" t="s">
        <v>3303</v>
      </c>
      <c r="D171" s="20" t="s">
        <v>3304</v>
      </c>
      <c r="E171" s="20" t="s">
        <v>3305</v>
      </c>
      <c r="F171" s="9"/>
      <c r="G171" s="9"/>
      <c r="H171" s="26" t="s">
        <v>3266</v>
      </c>
      <c r="I171" s="9" t="str">
        <f>IFERROR(__xludf.DUMMYFUNCTION("GOOGLETRANSLATE(B171,""en"",""ar"")"),"مواقف الشخصيات هي...")</f>
        <v>مواقف الشخصيات هي...</v>
      </c>
      <c r="J171" s="9" t="str">
        <f>IFERROR(__xludf.DUMMYFUNCTION("GOOGLETRANSLATE(C171,""en"",""ar"")"),"أ) ثابت ومتمركز، ب) ديناميكي ومليء بالحركة، ج) جالس ومسترخٍ، د) غير متوازن وخرقاء")</f>
        <v>أ) ثابت ومتمركز، ب) ديناميكي ومليء بالحركة، ج) جالس ومسترخٍ، د) غير متوازن وخرقاء</v>
      </c>
      <c r="K171" s="9" t="str">
        <f>IFERROR(__xludf.DUMMYFUNCTION("GOOGLETRANSLATE(D171,""en"",""ar"")"),"ب) ديناميكية ومليئة بالحركة")</f>
        <v>ب) ديناميكية ومليئة بالحركة</v>
      </c>
      <c r="L171" s="9" t="str">
        <f>IFERROR(__xludf.DUMMYFUNCTION("GOOGLETRANSLATE(E171,""en"",""ar"")"),"لقد نجح الفنان في التقاط طاقة وحركة القتال.")</f>
        <v>لقد نجح الفنان في التقاط طاقة وحركة القتال.</v>
      </c>
      <c r="M171" s="9"/>
      <c r="N171" s="9"/>
      <c r="O171" s="9"/>
      <c r="P171" s="9"/>
      <c r="Q171" s="9"/>
      <c r="R171" s="9"/>
      <c r="S171" s="9"/>
      <c r="T171" s="9"/>
      <c r="U171" s="9"/>
      <c r="V171" s="9"/>
      <c r="W171" s="9"/>
      <c r="X171" s="9"/>
      <c r="Y171" s="9"/>
      <c r="Z171" s="9"/>
      <c r="AA171" s="9"/>
      <c r="AB171" s="9"/>
      <c r="AC171" s="9"/>
      <c r="AD171" s="9"/>
      <c r="AE171" s="9"/>
      <c r="AF171" s="9"/>
      <c r="AG171" s="9"/>
    </row>
    <row r="172">
      <c r="A172" s="20" t="s">
        <v>3306</v>
      </c>
      <c r="B172" s="20" t="s">
        <v>3307</v>
      </c>
      <c r="C172" s="20" t="s">
        <v>3308</v>
      </c>
      <c r="D172" s="20" t="s">
        <v>3309</v>
      </c>
      <c r="E172" s="20" t="s">
        <v>3310</v>
      </c>
      <c r="F172" s="9"/>
      <c r="G172" s="9"/>
      <c r="H172" s="25" t="s">
        <v>3306</v>
      </c>
      <c r="I172" s="9" t="str">
        <f>IFERROR(__xludf.DUMMYFUNCTION("GOOGLETRANSLATE(B172,""en"",""ar"")"),"الفنون القتالية المعروضة هي عبارة عن شكل من أشكال رقصة القتال بالعصا، وتعرف باسم...")</f>
        <v>الفنون القتالية المعروضة هي عبارة عن شكل من أشكال رقصة القتال بالعصا، وتعرف باسم...</v>
      </c>
      <c r="J172" s="9" t="str">
        <f>IFERROR(__xludf.DUMMYFUNCTION("GOOGLETRANSLATE(C172,""en"",""ar"")"),"أ) مصارعة النوبة، ب) التحطيب، ج) الكابويرا، د) الكندو")</f>
        <v>أ) مصارعة النوبة، ب) التحطيب، ج) الكابويرا، د) الكندو</v>
      </c>
      <c r="K172" s="9" t="str">
        <f>IFERROR(__xludf.DUMMYFUNCTION("GOOGLETRANSLATE(D172,""en"",""ar"")"),"ب) التحطيب")</f>
        <v>ب) التحطيب</v>
      </c>
      <c r="L172" s="9" t="str">
        <f>IFERROR(__xludf.DUMMYFUNCTION("GOOGLETRANSLATE(E172,""en"",""ar"")"),"هذا أداء للتحطيب، وهو فن القتال بالعصا التقليدي المصري.")</f>
        <v>هذا أداء للتحطيب، وهو فن القتال بالعصا التقليدي المصري.</v>
      </c>
      <c r="M172" s="9"/>
      <c r="N172" s="9"/>
      <c r="O172" s="9"/>
      <c r="P172" s="9"/>
      <c r="Q172" s="9"/>
      <c r="R172" s="9"/>
      <c r="S172" s="9"/>
      <c r="T172" s="9"/>
      <c r="U172" s="9"/>
      <c r="V172" s="9"/>
      <c r="W172" s="9"/>
      <c r="X172" s="9"/>
      <c r="Y172" s="9"/>
      <c r="Z172" s="9"/>
      <c r="AA172" s="9"/>
      <c r="AB172" s="9"/>
      <c r="AC172" s="9"/>
      <c r="AD172" s="9"/>
      <c r="AE172" s="9"/>
      <c r="AF172" s="9"/>
      <c r="AG172" s="9"/>
    </row>
    <row r="173">
      <c r="A173" s="20" t="s">
        <v>3306</v>
      </c>
      <c r="B173" s="20" t="s">
        <v>3311</v>
      </c>
      <c r="C173" s="20" t="s">
        <v>3312</v>
      </c>
      <c r="D173" s="20" t="s">
        <v>3313</v>
      </c>
      <c r="E173" s="20" t="s">
        <v>3314</v>
      </c>
      <c r="F173" s="9"/>
      <c r="G173" s="9"/>
      <c r="H173" s="26" t="s">
        <v>3306</v>
      </c>
      <c r="I173" s="9" t="str">
        <f>IFERROR(__xludf.DUMMYFUNCTION("GOOGLETRANSLATE(B173,""en"",""ar"")"),"ما هو موقع هذا الأداء؟")</f>
        <v>ما هو موقع هذا الأداء؟</v>
      </c>
      <c r="J173" s="9" t="str">
        <f>IFERROR(__xludf.DUMMYFUNCTION("GOOGLETRANSLATE(C173,""en"",""ar"")"),"أ) في ملعب رياضي حديث، ب) أمام مجمع معبد مصري قديم، ربما في الأقصر، ج) في الصحراء المفتوحة، د) داخل متحف")</f>
        <v>أ) في ملعب رياضي حديث، ب) أمام مجمع معبد مصري قديم، ربما في الأقصر، ج) في الصحراء المفتوحة، د) داخل متحف</v>
      </c>
      <c r="K173" s="9" t="str">
        <f>IFERROR(__xludf.DUMMYFUNCTION("GOOGLETRANSLATE(D173,""en"",""ar"")"),"ب) أمام مجمع معبد مصري قديم، من المحتمل أنه في الأقصر")</f>
        <v>ب) أمام مجمع معبد مصري قديم، من المحتمل أنه في الأقصر</v>
      </c>
      <c r="L173" s="9" t="str">
        <f>IFERROR(__xludf.DUMMYFUNCTION("GOOGLETRANSLATE(E173,""en"",""ar"")"),"الأعمدة والعمارة المميزة في الخلفية هي تلك الموجودة في معبد الأقصر في مصر.")</f>
        <v>الأعمدة والعمارة المميزة في الخلفية هي تلك الموجودة في معبد الأقصر في مصر.</v>
      </c>
      <c r="M173" s="9"/>
      <c r="N173" s="9"/>
      <c r="O173" s="9"/>
      <c r="P173" s="9"/>
      <c r="Q173" s="9"/>
      <c r="R173" s="9"/>
      <c r="S173" s="9"/>
      <c r="T173" s="9"/>
      <c r="U173" s="9"/>
      <c r="V173" s="9"/>
      <c r="W173" s="9"/>
      <c r="X173" s="9"/>
      <c r="Y173" s="9"/>
      <c r="Z173" s="9"/>
      <c r="AA173" s="9"/>
      <c r="AB173" s="9"/>
      <c r="AC173" s="9"/>
      <c r="AD173" s="9"/>
      <c r="AE173" s="9"/>
      <c r="AF173" s="9"/>
      <c r="AG173" s="9"/>
    </row>
    <row r="174">
      <c r="A174" s="20" t="s">
        <v>3306</v>
      </c>
      <c r="B174" s="20" t="s">
        <v>3315</v>
      </c>
      <c r="C174" s="20" t="s">
        <v>3316</v>
      </c>
      <c r="D174" s="20" t="s">
        <v>3317</v>
      </c>
      <c r="E174" s="20" t="s">
        <v>3318</v>
      </c>
      <c r="F174" s="9"/>
      <c r="G174" s="9"/>
      <c r="H174" s="25" t="s">
        <v>3306</v>
      </c>
      <c r="I174" s="9" t="str">
        <f>IFERROR(__xludf.DUMMYFUNCTION("GOOGLETRANSLATE(B174,""en"",""ar"")"),"ماذا يرتدي الممثلون؟")</f>
        <v>ماذا يرتدي الممثلون؟</v>
      </c>
      <c r="J174" s="9" t="str">
        <f>IFERROR(__xludf.DUMMYFUNCTION("GOOGLETRANSLATE(C174,""en"",""ar"")"),"أ) الملابس الرياضية الحديثة، ب) الجلابيب التقليدية الطويلة التي تسمى الجلابيب والعمائم، ج) جلود الحيوانات، د) الزي العسكري")</f>
        <v>أ) الملابس الرياضية الحديثة، ب) الجلابيب التقليدية الطويلة التي تسمى الجلابيب والعمائم، ج) جلود الحيوانات، د) الزي العسكري</v>
      </c>
      <c r="K174" s="9" t="str">
        <f>IFERROR(__xludf.DUMMYFUNCTION("GOOGLETRANSLATE(D174,""en"",""ar"")"),"ب) الجلابيب التقليدية الطويلة التي تسمى الجلابيب والعمائم")</f>
        <v>ب) الجلابيب التقليدية الطويلة التي تسمى الجلابيب والعمائم</v>
      </c>
      <c r="L174" s="9" t="str">
        <f>IFERROR(__xludf.DUMMYFUNCTION("GOOGLETRANSLATE(E174,""en"",""ar"")"),"هذا هو الزي التقليدي للرجال في هذه المنطقة، ويتم ارتداؤه أثناء عروض التحطيب.")</f>
        <v>هذا هو الزي التقليدي للرجال في هذه المنطقة، ويتم ارتداؤه أثناء عروض التحطيب.</v>
      </c>
      <c r="M174" s="9"/>
      <c r="N174" s="9"/>
      <c r="O174" s="9"/>
      <c r="P174" s="9"/>
      <c r="Q174" s="9"/>
      <c r="R174" s="9"/>
      <c r="S174" s="9"/>
      <c r="T174" s="9"/>
      <c r="U174" s="9"/>
      <c r="V174" s="9"/>
      <c r="W174" s="9"/>
      <c r="X174" s="9"/>
      <c r="Y174" s="9"/>
      <c r="Z174" s="9"/>
      <c r="AA174" s="9"/>
      <c r="AB174" s="9"/>
      <c r="AC174" s="9"/>
      <c r="AD174" s="9"/>
      <c r="AE174" s="9"/>
      <c r="AF174" s="9"/>
      <c r="AG174" s="9"/>
    </row>
    <row r="175">
      <c r="A175" s="20" t="s">
        <v>3306</v>
      </c>
      <c r="B175" s="20" t="s">
        <v>3319</v>
      </c>
      <c r="C175" s="20" t="s">
        <v>3320</v>
      </c>
      <c r="D175" s="20" t="s">
        <v>3321</v>
      </c>
      <c r="E175" s="20" t="s">
        <v>3322</v>
      </c>
      <c r="F175" s="9"/>
      <c r="G175" s="9"/>
      <c r="H175" s="26" t="s">
        <v>3306</v>
      </c>
      <c r="I175" s="9" t="str">
        <f>IFERROR(__xludf.DUMMYFUNCTION("GOOGLETRANSLATE(B175,""en"",""ar"")"),"غالبًا ما يتم وصف الحركات في التحطيب بأنها مثل ...")</f>
        <v>غالبًا ما يتم وصف الحركات في التحطيب بأنها مثل ...</v>
      </c>
      <c r="J175" s="9" t="str">
        <f>IFERROR(__xludf.DUMMYFUNCTION("GOOGLETRANSLATE(C175,""en"",""ar"")"),"أ) قتال بطيء الحركة، ب) مشاجرة فوضوية، ج) رقصة رشيقة لكنها قوية، د) تمرين عسكري")</f>
        <v>أ) قتال بطيء الحركة، ب) مشاجرة فوضوية، ج) رقصة رشيقة لكنها قوية، د) تمرين عسكري</v>
      </c>
      <c r="K175" s="9" t="str">
        <f>IFERROR(__xludf.DUMMYFUNCTION("GOOGLETRANSLATE(D175,""en"",""ar"")"),"ج) رقصة رشيقة لكنها قوية")</f>
        <v>ج) رقصة رشيقة لكنها قوية</v>
      </c>
      <c r="L175" s="9" t="str">
        <f>IFERROR(__xludf.DUMMYFUNCTION("GOOGLETRANSLATE(E175,""en"",""ar"")"),"التحطيب هو أحد الفنون القتالية، ولكن أداءه يتم بطريقة إيقاعية للغاية ويشبه الرقص، وغالبًا ما يكون مصحوبًا بالموسيقى.")</f>
        <v>التحطيب هو أحد الفنون القتالية، ولكن أداءه يتم بطريقة إيقاعية للغاية ويشبه الرقص، وغالبًا ما يكون مصحوبًا بالموسيقى.</v>
      </c>
      <c r="M175" s="9"/>
      <c r="N175" s="9"/>
      <c r="O175" s="9"/>
      <c r="P175" s="9"/>
      <c r="Q175" s="9"/>
      <c r="R175" s="9"/>
      <c r="S175" s="9"/>
      <c r="T175" s="9"/>
      <c r="U175" s="9"/>
      <c r="V175" s="9"/>
      <c r="W175" s="9"/>
      <c r="X175" s="9"/>
      <c r="Y175" s="9"/>
      <c r="Z175" s="9"/>
      <c r="AA175" s="9"/>
      <c r="AB175" s="9"/>
      <c r="AC175" s="9"/>
      <c r="AD175" s="9"/>
      <c r="AE175" s="9"/>
      <c r="AF175" s="9"/>
      <c r="AG175" s="9"/>
    </row>
    <row r="176">
      <c r="A176" s="20" t="s">
        <v>3306</v>
      </c>
      <c r="B176" s="20" t="s">
        <v>3323</v>
      </c>
      <c r="C176" s="20" t="s">
        <v>3324</v>
      </c>
      <c r="D176" s="20" t="s">
        <v>3325</v>
      </c>
      <c r="E176" s="20" t="s">
        <v>3326</v>
      </c>
      <c r="F176" s="9"/>
      <c r="G176" s="9"/>
      <c r="H176" s="25" t="s">
        <v>3306</v>
      </c>
      <c r="I176" s="9" t="str">
        <f>IFERROR(__xludf.DUMMYFUNCTION("GOOGLETRANSLATE(B176,""en"",""ar"")"),"ماذا يفعل الرجل ذو الرداء البني؟")</f>
        <v>ماذا يفعل الرجل ذو الرداء البني؟</v>
      </c>
      <c r="J176" s="9" t="str">
        <f>IFERROR(__xludf.DUMMYFUNCTION("GOOGLETRANSLATE(C176,""en"",""ar"")"),"أ) إنه يستسلم، ب) إنه في وضعية ديناميكية، انقضاض، ج) إنه يقف ساكنًا، د) إنه يسقط")</f>
        <v>أ) إنه يستسلم، ب) إنه في وضعية ديناميكية، انقضاض، ج) إنه يقف ساكنًا، د) إنه يسقط</v>
      </c>
      <c r="K176" s="9" t="str">
        <f>IFERROR(__xludf.DUMMYFUNCTION("GOOGLETRANSLATE(D176,""en"",""ar"")"),"ب) هو في وضعية ديناميكية، اندفاعية")</f>
        <v>ب) هو في وضعية ديناميكية، اندفاعية</v>
      </c>
      <c r="L176" s="9" t="str">
        <f>IFERROR(__xludf.DUMMYFUNCTION("GOOGLETRANSLATE(E176,""en"",""ar"")"),"جسده في حالة حركة، يميل إلى الحركة، مما يظهر المهارات الرياضية لهذا النوع من الفن.")</f>
        <v>جسده في حالة حركة، يميل إلى الحركة، مما يظهر المهارات الرياضية لهذا النوع من الفن.</v>
      </c>
      <c r="M176" s="9"/>
      <c r="N176" s="9"/>
      <c r="O176" s="9"/>
      <c r="P176" s="9"/>
      <c r="Q176" s="9"/>
      <c r="R176" s="9"/>
      <c r="S176" s="9"/>
      <c r="T176" s="9"/>
      <c r="U176" s="9"/>
      <c r="V176" s="9"/>
      <c r="W176" s="9"/>
      <c r="X176" s="9"/>
      <c r="Y176" s="9"/>
      <c r="Z176" s="9"/>
      <c r="AA176" s="9"/>
      <c r="AB176" s="9"/>
      <c r="AC176" s="9"/>
      <c r="AD176" s="9"/>
      <c r="AE176" s="9"/>
      <c r="AF176" s="9"/>
      <c r="AG176" s="9"/>
    </row>
    <row r="177">
      <c r="A177" s="20" t="s">
        <v>3306</v>
      </c>
      <c r="B177" s="20" t="s">
        <v>3327</v>
      </c>
      <c r="C177" s="20" t="s">
        <v>3328</v>
      </c>
      <c r="D177" s="20" t="s">
        <v>3075</v>
      </c>
      <c r="E177" s="20" t="s">
        <v>3329</v>
      </c>
      <c r="F177" s="9"/>
      <c r="G177" s="9"/>
      <c r="H177" s="26" t="s">
        <v>3306</v>
      </c>
      <c r="I177" s="9" t="str">
        <f>IFERROR(__xludf.DUMMYFUNCTION("GOOGLETRANSLATE(B177,""en"",""ar"")"),"العصا الخشبية الطويلة المستخدمة في التحطيب تسمى ...")</f>
        <v>العصا الخشبية الطويلة المستخدمة في التحطيب تسمى ...</v>
      </c>
      <c r="J177" s="9" t="str">
        <f>IFERROR(__xludf.DUMMYFUNCTION("GOOGLETRANSLATE(C177,""en"",""ar"")"),"أ) آسا، ب) إندوكو، ج) بو، د) شيناي")</f>
        <v>أ) آسا، ب) إندوكو، ج) بو، د) شيناي</v>
      </c>
      <c r="K177" s="9" t="str">
        <f>IFERROR(__xludf.DUMMYFUNCTION("GOOGLETRANSLATE(D177,""en"",""ar"")"),"أ) آسا")</f>
        <v>أ) آسا</v>
      </c>
      <c r="L177" s="9" t="str">
        <f>IFERROR(__xludf.DUMMYFUNCTION("GOOGLETRANSLATE(E177,""en"",""ar"")"),"المصطلح الخاص لعصا التحطيب هو آسا.")</f>
        <v>المصطلح الخاص لعصا التحطيب هو آسا.</v>
      </c>
      <c r="M177" s="9"/>
      <c r="N177" s="9"/>
      <c r="O177" s="9"/>
      <c r="P177" s="9"/>
      <c r="Q177" s="9"/>
      <c r="R177" s="9"/>
      <c r="S177" s="9"/>
      <c r="T177" s="9"/>
      <c r="U177" s="9"/>
      <c r="V177" s="9"/>
      <c r="W177" s="9"/>
      <c r="X177" s="9"/>
      <c r="Y177" s="9"/>
      <c r="Z177" s="9"/>
      <c r="AA177" s="9"/>
      <c r="AB177" s="9"/>
      <c r="AC177" s="9"/>
      <c r="AD177" s="9"/>
      <c r="AE177" s="9"/>
      <c r="AF177" s="9"/>
      <c r="AG177" s="9"/>
    </row>
    <row r="178">
      <c r="A178" s="20" t="s">
        <v>3306</v>
      </c>
      <c r="B178" s="20" t="s">
        <v>3330</v>
      </c>
      <c r="C178" s="20" t="s">
        <v>3331</v>
      </c>
      <c r="D178" s="20" t="s">
        <v>3332</v>
      </c>
      <c r="E178" s="20" t="s">
        <v>3333</v>
      </c>
      <c r="F178" s="9"/>
      <c r="G178" s="9"/>
      <c r="H178" s="25" t="s">
        <v>3306</v>
      </c>
      <c r="I178" s="9" t="str">
        <f>IFERROR(__xludf.DUMMYFUNCTION("GOOGLETRANSLATE(B178,""en"",""ar"")"),"ويبدو أن الحدث هو ...")</f>
        <v>ويبدو أن الحدث هو ...</v>
      </c>
      <c r="J178" s="9" t="str">
        <f>IFERROR(__xludf.DUMMYFUNCTION("GOOGLETRANSLATE(C178,""en"",""ar"")"),"أ) درس سري خاص، ب) قتال شوارع حقيقي وعنيف، ج) عرض عام أمام جمهور محلي وسياح، د) احتفال ديني")</f>
        <v>أ) درس سري خاص، ب) قتال شوارع حقيقي وعنيف، ج) عرض عام أمام جمهور محلي وسياح، د) احتفال ديني</v>
      </c>
      <c r="K178" s="9" t="str">
        <f>IFERROR(__xludf.DUMMYFUNCTION("GOOGLETRANSLATE(D178,""en"",""ar"")"),"ج) عرض عام للجمهور المحلي والسياح")</f>
        <v>ج) عرض عام للجمهور المحلي والسياح</v>
      </c>
      <c r="L178" s="9" t="str">
        <f>IFERROR(__xludf.DUMMYFUNCTION("GOOGLETRANSLATE(E178,""en"",""ar"")"),"إن المشهد أمام معلم رئيسي مع حشد مختلط من المتفرجين يشير إلى مظاهرة عامة.")</f>
        <v>إن المشهد أمام معلم رئيسي مع حشد مختلط من المتفرجين يشير إلى مظاهرة عامة.</v>
      </c>
      <c r="M178" s="9"/>
      <c r="N178" s="9"/>
      <c r="O178" s="9"/>
      <c r="P178" s="9"/>
      <c r="Q178" s="9"/>
      <c r="R178" s="9"/>
      <c r="S178" s="9"/>
      <c r="T178" s="9"/>
      <c r="U178" s="9"/>
      <c r="V178" s="9"/>
      <c r="W178" s="9"/>
      <c r="X178" s="9"/>
      <c r="Y178" s="9"/>
      <c r="Z178" s="9"/>
      <c r="AA178" s="9"/>
      <c r="AB178" s="9"/>
      <c r="AC178" s="9"/>
      <c r="AD178" s="9"/>
      <c r="AE178" s="9"/>
      <c r="AF178" s="9"/>
      <c r="AG178" s="9"/>
    </row>
    <row r="179">
      <c r="A179" s="20" t="s">
        <v>3306</v>
      </c>
      <c r="B179" s="20" t="s">
        <v>3334</v>
      </c>
      <c r="C179" s="20" t="s">
        <v>3335</v>
      </c>
      <c r="D179" s="20" t="s">
        <v>3336</v>
      </c>
      <c r="E179" s="20" t="s">
        <v>3337</v>
      </c>
      <c r="F179" s="9"/>
      <c r="G179" s="9"/>
      <c r="H179" s="26" t="s">
        <v>3306</v>
      </c>
      <c r="I179" s="9" t="str">
        <f>IFERROR(__xludf.DUMMYFUNCTION("GOOGLETRANSLATE(B179,""en"",""ar"")"),"الرجل ذو الرداء الأزرق يتمركز في ...")</f>
        <v>الرجل ذو الرداء الأزرق يتمركز في ...</v>
      </c>
      <c r="J179" s="9" t="str">
        <f>IFERROR(__xludf.DUMMYFUNCTION("GOOGLETRANSLATE(C179,""en"",""ar"")"),"أ) الهجوم بضربة عالية، ب) صد الهجوم من الرجل ذو اللون البني، ج) الهروب، د) تحية خصمه")</f>
        <v>أ) الهجوم بضربة عالية، ب) صد الهجوم من الرجل ذو اللون البني، ج) الهروب، د) تحية خصمه</v>
      </c>
      <c r="K179" s="9" t="str">
        <f>IFERROR(__xludf.DUMMYFUNCTION("GOOGLETRANSLATE(D179,""en"",""ar"")"),"ب) لصد هجوم الرجل ذو اللون البني")</f>
        <v>ب) لصد هجوم الرجل ذو اللون البني</v>
      </c>
      <c r="L179" s="9" t="str">
        <f>IFERROR(__xludf.DUMMYFUNCTION("GOOGLETRANSLATE(E179,""en"",""ar"")"),"إنه يمسك بعصاه بشكل دفاعي لصد الحركة الدوارة لخصمه.")</f>
        <v>إنه يمسك بعصاه بشكل دفاعي لصد الحركة الدوارة لخصمه.</v>
      </c>
      <c r="M179" s="9"/>
      <c r="N179" s="9"/>
      <c r="O179" s="9"/>
      <c r="P179" s="9"/>
      <c r="Q179" s="9"/>
      <c r="R179" s="9"/>
      <c r="S179" s="9"/>
      <c r="T179" s="9"/>
      <c r="U179" s="9"/>
      <c r="V179" s="9"/>
      <c r="W179" s="9"/>
      <c r="X179" s="9"/>
      <c r="Y179" s="9"/>
      <c r="Z179" s="9"/>
      <c r="AA179" s="9"/>
      <c r="AB179" s="9"/>
      <c r="AC179" s="9"/>
      <c r="AD179" s="9"/>
      <c r="AE179" s="9"/>
      <c r="AF179" s="9"/>
      <c r="AG179" s="9"/>
    </row>
    <row r="180">
      <c r="A180" s="20" t="s">
        <v>3306</v>
      </c>
      <c r="B180" s="20" t="s">
        <v>3338</v>
      </c>
      <c r="C180" s="20" t="s">
        <v>3339</v>
      </c>
      <c r="D180" s="20" t="s">
        <v>3340</v>
      </c>
      <c r="E180" s="20" t="s">
        <v>3341</v>
      </c>
      <c r="F180" s="9"/>
      <c r="G180" s="9"/>
      <c r="H180" s="25" t="s">
        <v>3306</v>
      </c>
      <c r="I180" s="9" t="str">
        <f>IFERROR(__xludf.DUMMYFUNCTION("GOOGLETRANSLATE(B180,""en"",""ar"")"),"لقد تم الاعتراف بهذا الشكل الفني من قبل اليونسكو لـ...")</f>
        <v>لقد تم الاعتراف بهذا الشكل الفني من قبل اليونسكو لـ...</v>
      </c>
      <c r="J180" s="9" t="str">
        <f>IFERROR(__xludf.DUMMYFUNCTION("GOOGLETRANSLATE(C180,""en"",""ar"")"),"أ) الخطر والعنف، ب) الشعبية الحديثة، ج) الأهمية الثقافية والتراث، د) الاستخدام في الأفلام")</f>
        <v>أ) الخطر والعنف، ب) الشعبية الحديثة، ج) الأهمية الثقافية والتراث، د) الاستخدام في الأفلام</v>
      </c>
      <c r="K180" s="9" t="str">
        <f>IFERROR(__xludf.DUMMYFUNCTION("GOOGLETRANSLATE(D180,""en"",""ar"")"),"ج) الأهمية الثقافية والتراث")</f>
        <v>ج) الأهمية الثقافية والتراث</v>
      </c>
      <c r="L180" s="9" t="str">
        <f>IFERROR(__xludf.DUMMYFUNCTION("GOOGLETRANSLATE(E180,""en"",""ar"")"),"التحطيب مدرج على قائمة اليونسكو للتراث الثقافي غير المادي للبشرية.")</f>
        <v>التحطيب مدرج على قائمة اليونسكو للتراث الثقافي غير المادي للبشرية.</v>
      </c>
      <c r="M180" s="9"/>
      <c r="N180" s="9"/>
      <c r="O180" s="9"/>
      <c r="P180" s="9"/>
      <c r="Q180" s="9"/>
      <c r="R180" s="9"/>
      <c r="S180" s="9"/>
      <c r="T180" s="9"/>
      <c r="U180" s="9"/>
      <c r="V180" s="9"/>
      <c r="W180" s="9"/>
      <c r="X180" s="9"/>
      <c r="Y180" s="9"/>
      <c r="Z180" s="9"/>
      <c r="AA180" s="9"/>
      <c r="AB180" s="9"/>
      <c r="AC180" s="9"/>
      <c r="AD180" s="9"/>
      <c r="AE180" s="9"/>
      <c r="AF180" s="9"/>
      <c r="AG180" s="9"/>
    </row>
    <row r="181">
      <c r="A181" s="20" t="s">
        <v>3306</v>
      </c>
      <c r="B181" s="20" t="s">
        <v>3342</v>
      </c>
      <c r="C181" s="20" t="s">
        <v>3343</v>
      </c>
      <c r="D181" s="20" t="s">
        <v>3344</v>
      </c>
      <c r="E181" s="20" t="s">
        <v>3345</v>
      </c>
      <c r="F181" s="9"/>
      <c r="G181" s="9"/>
      <c r="H181" s="26" t="s">
        <v>3306</v>
      </c>
      <c r="I181" s="9" t="str">
        <f>IFERROR(__xludf.DUMMYFUNCTION("GOOGLETRANSLATE(B181,""en"",""ar"")"),"تعود أصول هذه الممارسة إلى...")</f>
        <v>تعود أصول هذه الممارسة إلى...</v>
      </c>
      <c r="J181" s="9" t="str">
        <f>IFERROR(__xludf.DUMMYFUNCTION("GOOGLETRANSLATE(C181,""en"",""ar"")"),"أ) مصر القديمة، ب) الدولة العثمانية، ج) القرن التاسع عشر، د) العصر الروماني")</f>
        <v>أ) مصر القديمة، ب) الدولة العثمانية، ج) القرن التاسع عشر، د) العصر الروماني</v>
      </c>
      <c r="K181" s="9" t="str">
        <f>IFERROR(__xludf.DUMMYFUNCTION("GOOGLETRANSLATE(D181,""en"",""ar"")"),"أ) مصر القديمة")</f>
        <v>أ) مصر القديمة</v>
      </c>
      <c r="L181" s="9" t="str">
        <f>IFERROR(__xludf.DUMMYFUNCTION("GOOGLETRANSLATE(E181,""en"",""ar"")"),"وتظهر النقوش البارزة في المقابر من المملكة القديمة (منذ أكثر من 4500 عام) جنوداً يتدربون باستخدام العصي بطريقة مماثلة.")</f>
        <v>وتظهر النقوش البارزة في المقابر من المملكة القديمة (منذ أكثر من 4500 عام) جنوداً يتدربون باستخدام العصي بطريقة مماثلة.</v>
      </c>
      <c r="M181" s="9"/>
      <c r="N181" s="9"/>
      <c r="O181" s="9"/>
      <c r="P181" s="9"/>
      <c r="Q181" s="9"/>
      <c r="R181" s="9"/>
      <c r="S181" s="9"/>
      <c r="T181" s="9"/>
      <c r="U181" s="9"/>
      <c r="V181" s="9"/>
      <c r="W181" s="9"/>
      <c r="X181" s="9"/>
      <c r="Y181" s="9"/>
      <c r="Z181" s="9"/>
      <c r="AA181" s="9"/>
      <c r="AB181" s="9"/>
      <c r="AC181" s="9"/>
      <c r="AD181" s="9"/>
      <c r="AE181" s="9"/>
      <c r="AF181" s="9"/>
      <c r="AG181" s="9"/>
    </row>
    <row r="182">
      <c r="A182" s="20" t="s">
        <v>3346</v>
      </c>
      <c r="B182" s="20" t="s">
        <v>3347</v>
      </c>
      <c r="C182" s="20" t="s">
        <v>3348</v>
      </c>
      <c r="D182" s="20" t="s">
        <v>2862</v>
      </c>
      <c r="E182" s="20" t="s">
        <v>3349</v>
      </c>
      <c r="F182" s="9"/>
      <c r="G182" s="9"/>
      <c r="H182" s="25" t="s">
        <v>3346</v>
      </c>
      <c r="I182" s="9" t="str">
        <f>IFERROR(__xludf.DUMMYFUNCTION("GOOGLETRANSLATE(B182,""en"",""ar"")"),"تظهر هذه الصورة مسابقة ما هي الرياضة السودانية التقليدية؟")</f>
        <v>تظهر هذه الصورة مسابقة ما هي الرياضة السودانية التقليدية؟</v>
      </c>
      <c r="J182" s="9" t="str">
        <f>IFERROR(__xludf.DUMMYFUNCTION("GOOGLETRANSLATE(C182,""en"",""ar"")"),"أ) قتال العصي، ب) مصارعة النوبة، ج) سباق الجمال، د) الرماية")</f>
        <v>أ) قتال العصي، ب) مصارعة النوبة، ج) سباق الجمال، د) الرماية</v>
      </c>
      <c r="K182" s="9" t="str">
        <f>IFERROR(__xludf.DUMMYFUNCTION("GOOGLETRANSLATE(D182,""en"",""ar"")"),"ب) المصارعة النوبية")</f>
        <v>ب) المصارعة النوبية</v>
      </c>
      <c r="L182" s="9" t="str">
        <f>IFERROR(__xludf.DUMMYFUNCTION("GOOGLETRANSLATE(E182,""en"",""ar"")"),"إنها مباراة مصارعة بين رجلين، وهي من سمات مصارعة النوبة، وليست قتال العصا.")</f>
        <v>إنها مباراة مصارعة بين رجلين، وهي من سمات مصارعة النوبة، وليست قتال العصا.</v>
      </c>
      <c r="M182" s="9"/>
      <c r="N182" s="9"/>
      <c r="O182" s="9"/>
      <c r="P182" s="9"/>
      <c r="Q182" s="9"/>
      <c r="R182" s="9"/>
      <c r="S182" s="9"/>
      <c r="T182" s="9"/>
      <c r="U182" s="9"/>
      <c r="V182" s="9"/>
      <c r="W182" s="9"/>
      <c r="X182" s="9"/>
      <c r="Y182" s="9"/>
      <c r="Z182" s="9"/>
      <c r="AA182" s="9"/>
      <c r="AB182" s="9"/>
      <c r="AC182" s="9"/>
      <c r="AD182" s="9"/>
      <c r="AE182" s="9"/>
      <c r="AF182" s="9"/>
      <c r="AG182" s="9"/>
    </row>
    <row r="183">
      <c r="A183" s="20" t="s">
        <v>3346</v>
      </c>
      <c r="B183" s="20" t="s">
        <v>3350</v>
      </c>
      <c r="C183" s="20" t="s">
        <v>3351</v>
      </c>
      <c r="D183" s="20" t="s">
        <v>3352</v>
      </c>
      <c r="E183" s="20" t="s">
        <v>3353</v>
      </c>
      <c r="F183" s="9"/>
      <c r="G183" s="9"/>
      <c r="H183" s="26" t="s">
        <v>3346</v>
      </c>
      <c r="I183" s="9" t="str">
        <f>IFERROR(__xludf.DUMMYFUNCTION("GOOGLETRANSLATE(B183,""en"",""ar"")"),"ما هو الهدف الأساسي للمنافسين؟")</f>
        <v>ما هو الهدف الأساسي للمنافسين؟</v>
      </c>
      <c r="J183" s="9" t="str">
        <f>IFERROR(__xludf.DUMMYFUNCTION("GOOGLETRANSLATE(C183,""en"",""ar"")"),"أ) لكمة الخصم، ب) رمي الخصم بحيث يلمس ظهره الأرض، ج) إجبار الخصم على الخروج من الحلبة، د) تثبيت الخصم في وضعية الخضوع")</f>
        <v>أ) لكمة الخصم، ب) رمي الخصم بحيث يلمس ظهره الأرض، ج) إجبار الخصم على الخروج من الحلبة، د) تثبيت الخصم في وضعية الخضوع</v>
      </c>
      <c r="K183" s="9" t="str">
        <f>IFERROR(__xludf.DUMMYFUNCTION("GOOGLETRANSLATE(D183,""en"",""ar"")"),"ب) رمي الخصم بحيث يلامس ظهره الأرض")</f>
        <v>ب) رمي الخصم بحيث يلامس ظهره الأرض</v>
      </c>
      <c r="L183" s="9" t="str">
        <f>IFERROR(__xludf.DUMMYFUNCTION("GOOGLETRANSLATE(E183,""en"",""ar"")"),"يتم تحقيق الفوز من خلال تنفيذ رمية أو إسقاط ناجحة.")</f>
        <v>يتم تحقيق الفوز من خلال تنفيذ رمية أو إسقاط ناجحة.</v>
      </c>
      <c r="M183" s="9"/>
      <c r="N183" s="9"/>
      <c r="O183" s="9"/>
      <c r="P183" s="9"/>
      <c r="Q183" s="9"/>
      <c r="R183" s="9"/>
      <c r="S183" s="9"/>
      <c r="T183" s="9"/>
      <c r="U183" s="9"/>
      <c r="V183" s="9"/>
      <c r="W183" s="9"/>
      <c r="X183" s="9"/>
      <c r="Y183" s="9"/>
      <c r="Z183" s="9"/>
      <c r="AA183" s="9"/>
      <c r="AB183" s="9"/>
      <c r="AC183" s="9"/>
      <c r="AD183" s="9"/>
      <c r="AE183" s="9"/>
      <c r="AF183" s="9"/>
      <c r="AG183" s="9"/>
    </row>
    <row r="184">
      <c r="A184" s="20" t="s">
        <v>3346</v>
      </c>
      <c r="B184" s="20" t="s">
        <v>3354</v>
      </c>
      <c r="C184" s="20" t="s">
        <v>3355</v>
      </c>
      <c r="D184" s="20" t="s">
        <v>3356</v>
      </c>
      <c r="E184" s="20" t="s">
        <v>3357</v>
      </c>
      <c r="F184" s="9"/>
      <c r="G184" s="9"/>
      <c r="H184" s="25" t="s">
        <v>3346</v>
      </c>
      <c r="I184" s="9" t="str">
        <f>IFERROR(__xludf.DUMMYFUNCTION("GOOGLETRANSLATE(B184,""en"",""ar"")"),"ما هو دور الرجل ذو القميص الأصفر اللامع الذي يقف خلف المصارعين؟")</f>
        <v>ما هو دور الرجل ذو القميص الأصفر اللامع الذي يقف خلف المصارعين؟</v>
      </c>
      <c r="J184" s="9" t="str">
        <f>IFERROR(__xludf.DUMMYFUNCTION("GOOGLETRANSLATE(C184,""en"",""ar"")"),"أ) هو متفرج، ب) هو الحكم، ج) هو مدرب يقدم النصائح، د) هو المنافس التالي")</f>
        <v>أ) هو متفرج، ب) هو الحكم، ج) هو مدرب يقدم النصائح، د) هو المنافس التالي</v>
      </c>
      <c r="K184" s="9" t="str">
        <f>IFERROR(__xludf.DUMMYFUNCTION("GOOGLETRANSLATE(D184,""en"",""ar"")"),"ب) هو الحكم")</f>
        <v>ب) هو الحكم</v>
      </c>
      <c r="L184" s="9" t="str">
        <f>IFERROR(__xludf.DUMMYFUNCTION("GOOGLETRANSLATE(E184,""en"",""ar"")"),"وهو المسؤول داخل الحلبة، ويراقب الحدث عن كثب لضمان اللعب النزيه وإعلان الفائز.")</f>
        <v>وهو المسؤول داخل الحلبة، ويراقب الحدث عن كثب لضمان اللعب النزيه وإعلان الفائز.</v>
      </c>
      <c r="M184" s="9"/>
      <c r="N184" s="9"/>
      <c r="O184" s="9"/>
      <c r="P184" s="9"/>
      <c r="Q184" s="9"/>
      <c r="R184" s="9"/>
      <c r="S184" s="9"/>
      <c r="T184" s="9"/>
      <c r="U184" s="9"/>
      <c r="V184" s="9"/>
      <c r="W184" s="9"/>
      <c r="X184" s="9"/>
      <c r="Y184" s="9"/>
      <c r="Z184" s="9"/>
      <c r="AA184" s="9"/>
      <c r="AB184" s="9"/>
      <c r="AC184" s="9"/>
      <c r="AD184" s="9"/>
      <c r="AE184" s="9"/>
      <c r="AF184" s="9"/>
      <c r="AG184" s="9"/>
    </row>
    <row r="185">
      <c r="A185" s="20" t="s">
        <v>3346</v>
      </c>
      <c r="B185" s="20" t="s">
        <v>3358</v>
      </c>
      <c r="C185" s="20" t="s">
        <v>3359</v>
      </c>
      <c r="D185" s="20" t="s">
        <v>3360</v>
      </c>
      <c r="E185" s="20" t="s">
        <v>3361</v>
      </c>
      <c r="F185" s="9"/>
      <c r="G185" s="9"/>
      <c r="H185" s="26" t="s">
        <v>3346</v>
      </c>
      <c r="I185" s="9" t="str">
        <f>IFERROR(__xludf.DUMMYFUNCTION("GOOGLETRANSLATE(B185,""en"",""ar"")"),"ما هي أنواع الملابس الرياضية الحديثة التي يرتديها المصارعون؟")</f>
        <v>ما هي أنواع الملابس الرياضية الحديثة التي يرتديها المصارعون؟</v>
      </c>
      <c r="J185" s="9" t="str">
        <f>IFERROR(__xludf.DUMMYFUNCTION("GOOGLETRANSLATE(C185,""en"",""ar"")"),"أ) دروع ثقيلة، ب) مآزر تقليدية، ج) شورتات ملونة وواقيات للركبة، د) لا يرتدون أي ملابس")</f>
        <v>أ) دروع ثقيلة، ب) مآزر تقليدية، ج) شورتات ملونة وواقيات للركبة، د) لا يرتدون أي ملابس</v>
      </c>
      <c r="K185" s="9" t="str">
        <f>IFERROR(__xludf.DUMMYFUNCTION("GOOGLETRANSLATE(D185,""en"",""ar"")"),"ج) شورت ملون ووسادات الركبة")</f>
        <v>ج) شورت ملون ووسادات الركبة</v>
      </c>
      <c r="L185" s="9" t="str">
        <f>IFERROR(__xludf.DUMMYFUNCTION("GOOGLETRANSLATE(E185,""en"",""ar"")"),"قام المصارعون بمزج الملابس الرياضية الحديثة، مثل شورت كرة السلة الأرجواني والقميص الأخضر/الأصفر، مع الرياضة التقليدية.")</f>
        <v>قام المصارعون بمزج الملابس الرياضية الحديثة، مثل شورت كرة السلة الأرجواني والقميص الأخضر/الأصفر، مع الرياضة التقليدية.</v>
      </c>
      <c r="M185" s="9"/>
      <c r="N185" s="9"/>
      <c r="O185" s="9"/>
      <c r="P185" s="9"/>
      <c r="Q185" s="9"/>
      <c r="R185" s="9"/>
      <c r="S185" s="9"/>
      <c r="T185" s="9"/>
      <c r="U185" s="9"/>
      <c r="V185" s="9"/>
      <c r="W185" s="9"/>
      <c r="X185" s="9"/>
      <c r="Y185" s="9"/>
      <c r="Z185" s="9"/>
      <c r="AA185" s="9"/>
      <c r="AB185" s="9"/>
      <c r="AC185" s="9"/>
      <c r="AD185" s="9"/>
      <c r="AE185" s="9"/>
      <c r="AF185" s="9"/>
      <c r="AG185" s="9"/>
    </row>
    <row r="186">
      <c r="A186" s="20" t="s">
        <v>3346</v>
      </c>
      <c r="B186" s="20" t="s">
        <v>3362</v>
      </c>
      <c r="C186" s="20" t="s">
        <v>3363</v>
      </c>
      <c r="D186" s="20" t="s">
        <v>3364</v>
      </c>
      <c r="E186" s="20" t="s">
        <v>3365</v>
      </c>
      <c r="F186" s="9"/>
      <c r="G186" s="9"/>
      <c r="H186" s="25" t="s">
        <v>3346</v>
      </c>
      <c r="I186" s="9" t="str">
        <f>IFERROR(__xludf.DUMMYFUNCTION("GOOGLETRANSLATE(B186,""en"",""ar"")"),"ما هي مساحة المنافسة؟")</f>
        <v>ما هي مساحة المنافسة؟</v>
      </c>
      <c r="J186" s="9" t="str">
        <f>IFERROR(__xludf.DUMMYFUNCTION("GOOGLETRANSLATE(C186,""en"",""ar"")"),"أ) حقل عشبي، ب) أرضية خشبية صلبة، ج) حفرة رملية، د) بلاطة خرسانية")</f>
        <v>أ) حقل عشبي، ب) أرضية خشبية صلبة، ج) حفرة رملية، د) بلاطة خرسانية</v>
      </c>
      <c r="K186" s="9" t="str">
        <f>IFERROR(__xludf.DUMMYFUNCTION("GOOGLETRANSLATE(D186,""en"",""ar"")"),"ج) حفرة رملية")</f>
        <v>ج) حفرة رملية</v>
      </c>
      <c r="L186" s="9" t="str">
        <f>IFERROR(__xludf.DUMMYFUNCTION("GOOGLETRANSLATE(E186,""en"",""ar"")"),"توفر الرمال الناعمة سطحًا آمنًا للمصارعين للهبوط عليه بعد رميهم.")</f>
        <v>توفر الرمال الناعمة سطحًا آمنًا للمصارعين للهبوط عليه بعد رميهم.</v>
      </c>
      <c r="M186" s="9"/>
      <c r="N186" s="9"/>
      <c r="O186" s="9"/>
      <c r="P186" s="9"/>
      <c r="Q186" s="9"/>
      <c r="R186" s="9"/>
      <c r="S186" s="9"/>
      <c r="T186" s="9"/>
      <c r="U186" s="9"/>
      <c r="V186" s="9"/>
      <c r="W186" s="9"/>
      <c r="X186" s="9"/>
      <c r="Y186" s="9"/>
      <c r="Z186" s="9"/>
      <c r="AA186" s="9"/>
      <c r="AB186" s="9"/>
      <c r="AC186" s="9"/>
      <c r="AD186" s="9"/>
      <c r="AE186" s="9"/>
      <c r="AF186" s="9"/>
      <c r="AG186" s="9"/>
    </row>
    <row r="187">
      <c r="A187" s="20" t="s">
        <v>3346</v>
      </c>
      <c r="B187" s="20" t="s">
        <v>3366</v>
      </c>
      <c r="C187" s="20" t="s">
        <v>3367</v>
      </c>
      <c r="D187" s="20" t="s">
        <v>3368</v>
      </c>
      <c r="E187" s="20" t="s">
        <v>3369</v>
      </c>
      <c r="F187" s="9"/>
      <c r="G187" s="9"/>
      <c r="H187" s="26" t="s">
        <v>3346</v>
      </c>
      <c r="I187" s="9" t="str">
        <f>IFERROR(__xludf.DUMMYFUNCTION("GOOGLETRANSLATE(B187,""en"",""ar"")"),"ماذا يدل الحشد الكبير في الخلفية؟")</f>
        <v>ماذا يدل الحشد الكبير في الخلفية؟</v>
      </c>
      <c r="J187" s="9" t="str">
        <f>IFERROR(__xludf.DUMMYFUNCTION("GOOGLETRANSLATE(C187,""en"",""ar"")"),"أ) الرياضة ليست شائعة جدًا، ب) الرياضة هي حدث مجتمعي كبير، ج) ينتظر الجمهور حدثًا مختلفًا، د) تم التقاط الصورة في أحد الأسواق")</f>
        <v>أ) الرياضة ليست شائعة جدًا، ب) الرياضة هي حدث مجتمعي كبير، ج) ينتظر الجمهور حدثًا مختلفًا، د) تم التقاط الصورة في أحد الأسواق</v>
      </c>
      <c r="K187" s="9" t="str">
        <f>IFERROR(__xludf.DUMMYFUNCTION("GOOGLETRANSLATE(D187,""en"",""ar"")"),"ب) الرياضة هي حدث مجتمعي كبير")</f>
        <v>ب) الرياضة هي حدث مجتمعي كبير</v>
      </c>
      <c r="L187" s="9" t="str">
        <f>IFERROR(__xludf.DUMMYFUNCTION("GOOGLETRANSLATE(E187,""en"",""ar"")"),"إن الحضور الكبير والمتفاعل يدل على أن مصارعة النوبة هي تجمع اجتماعي شائع ومهم للغاية.")</f>
        <v>إن الحضور الكبير والمتفاعل يدل على أن مصارعة النوبة هي تجمع اجتماعي شائع ومهم للغاية.</v>
      </c>
      <c r="M187" s="9"/>
      <c r="N187" s="9"/>
      <c r="O187" s="9"/>
      <c r="P187" s="9"/>
      <c r="Q187" s="9"/>
      <c r="R187" s="9"/>
      <c r="S187" s="9"/>
      <c r="T187" s="9"/>
      <c r="U187" s="9"/>
      <c r="V187" s="9"/>
      <c r="W187" s="9"/>
      <c r="X187" s="9"/>
      <c r="Y187" s="9"/>
      <c r="Z187" s="9"/>
      <c r="AA187" s="9"/>
      <c r="AB187" s="9"/>
      <c r="AC187" s="9"/>
      <c r="AD187" s="9"/>
      <c r="AE187" s="9"/>
      <c r="AF187" s="9"/>
      <c r="AG187" s="9"/>
    </row>
    <row r="188">
      <c r="A188" s="20" t="s">
        <v>3346</v>
      </c>
      <c r="B188" s="20" t="s">
        <v>3370</v>
      </c>
      <c r="C188" s="20" t="s">
        <v>3371</v>
      </c>
      <c r="D188" s="20" t="s">
        <v>3372</v>
      </c>
      <c r="E188" s="20" t="s">
        <v>3373</v>
      </c>
      <c r="F188" s="9"/>
      <c r="G188" s="9"/>
      <c r="H188" s="25" t="s">
        <v>3346</v>
      </c>
      <c r="I188" s="9" t="str">
        <f>IFERROR(__xludf.DUMMYFUNCTION("GOOGLETRANSLATE(B188,""en"",""ar"")"),"المصارع ذو القميص الأخضر في عملية...")</f>
        <v>المصارع ذو القميص الأخضر في عملية...</v>
      </c>
      <c r="J188" s="9" t="str">
        <f>IFERROR(__xludf.DUMMYFUNCTION("GOOGLETRANSLATE(C188,""en"",""ar"")"),"أ) الهروب من الإمساك، ب) محاولة رفع خصمه، ج) المصافحة، د) أخذ استراحة")</f>
        <v>أ) الهروب من الإمساك، ب) محاولة رفع خصمه، ج) المصافحة، د) أخذ استراحة</v>
      </c>
      <c r="K188" s="9" t="str">
        <f>IFERROR(__xludf.DUMMYFUNCTION("GOOGLETRANSLATE(D188,""en"",""ar"")"),"ب) محاولة رفع خصمه")</f>
        <v>ب) محاولة رفع خصمه</v>
      </c>
      <c r="L188" s="9" t="str">
        <f>IFERROR(__xludf.DUMMYFUNCTION("GOOGLETRANSLATE(E188,""en"",""ar"")"),"لقد لف ذراعيه حول خصر خصمه في قبضة قوية، استعدادًا للرفع والرمي.")</f>
        <v>لقد لف ذراعيه حول خصر خصمه في قبضة قوية، استعدادًا للرفع والرمي.</v>
      </c>
      <c r="M188" s="9"/>
      <c r="N188" s="9"/>
      <c r="O188" s="9"/>
      <c r="P188" s="9"/>
      <c r="Q188" s="9"/>
      <c r="R188" s="9"/>
      <c r="S188" s="9"/>
      <c r="T188" s="9"/>
      <c r="U188" s="9"/>
      <c r="V188" s="9"/>
      <c r="W188" s="9"/>
      <c r="X188" s="9"/>
      <c r="Y188" s="9"/>
      <c r="Z188" s="9"/>
      <c r="AA188" s="9"/>
      <c r="AB188" s="9"/>
      <c r="AC188" s="9"/>
      <c r="AD188" s="9"/>
      <c r="AE188" s="9"/>
      <c r="AF188" s="9"/>
      <c r="AG188" s="9"/>
    </row>
    <row r="189">
      <c r="A189" s="20" t="s">
        <v>3346</v>
      </c>
      <c r="B189" s="20" t="s">
        <v>3374</v>
      </c>
      <c r="C189" s="20" t="s">
        <v>3375</v>
      </c>
      <c r="D189" s="20" t="s">
        <v>3376</v>
      </c>
      <c r="E189" s="20" t="s">
        <v>3377</v>
      </c>
      <c r="F189" s="9"/>
      <c r="G189" s="9"/>
      <c r="H189" s="26" t="s">
        <v>3346</v>
      </c>
      <c r="I189" s="9" t="str">
        <f>IFERROR(__xludf.DUMMYFUNCTION("GOOGLETRANSLATE(B189,""en"",""ar"")"),"المصارع ذو الشورت الأرجواني يحاول الدفاع عن نفسه بـ...")</f>
        <v>المصارع ذو الشورت الأرجواني يحاول الدفاع عن نفسه بـ...</v>
      </c>
      <c r="J189" s="9" t="str">
        <f>IFERROR(__xludf.DUMMYFUNCTION("GOOGLETRANSLATE(C189,""en"",""ar"")"),"أ) دفع رأس خصمه للأسفل، ب) التمدد والحفاظ على مركز ثقل منخفض، ج) كلا من أ و ب، د) إنه لا يدافع")</f>
        <v>أ) دفع رأس خصمه للأسفل، ب) التمدد والحفاظ على مركز ثقل منخفض، ج) كلا من أ و ب، د) إنه لا يدافع</v>
      </c>
      <c r="K189" s="9" t="str">
        <f>IFERROR(__xludf.DUMMYFUNCTION("GOOGLETRANSLATE(D189,""en"",""ar"")"),"ج) كلا من أ و ب")</f>
        <v>ج) كلا من أ و ب</v>
      </c>
      <c r="L189" s="9" t="str">
        <f>IFERROR(__xludf.DUMMYFUNCTION("GOOGLETRANSLATE(E189,""en"",""ar"")"),"يحاول كسر وضعية خصمه عن طريق الضغط على الرأس مع إبقاء وركيه منخفضين لجعل رفعه أكثر صعوبة.")</f>
        <v>يحاول كسر وضعية خصمه عن طريق الضغط على الرأس مع إبقاء وركيه منخفضين لجعل رفعه أكثر صعوبة.</v>
      </c>
      <c r="M189" s="9"/>
      <c r="N189" s="9"/>
      <c r="O189" s="9"/>
      <c r="P189" s="9"/>
      <c r="Q189" s="9"/>
      <c r="R189" s="9"/>
      <c r="S189" s="9"/>
      <c r="T189" s="9"/>
      <c r="U189" s="9"/>
      <c r="V189" s="9"/>
      <c r="W189" s="9"/>
      <c r="X189" s="9"/>
      <c r="Y189" s="9"/>
      <c r="Z189" s="9"/>
      <c r="AA189" s="9"/>
      <c r="AB189" s="9"/>
      <c r="AC189" s="9"/>
      <c r="AD189" s="9"/>
      <c r="AE189" s="9"/>
      <c r="AF189" s="9"/>
      <c r="AG189" s="9"/>
    </row>
    <row r="190">
      <c r="A190" s="20" t="s">
        <v>3346</v>
      </c>
      <c r="B190" s="20" t="s">
        <v>3378</v>
      </c>
      <c r="C190" s="20" t="s">
        <v>3379</v>
      </c>
      <c r="D190" s="20" t="s">
        <v>3380</v>
      </c>
      <c r="E190" s="20" t="s">
        <v>3381</v>
      </c>
      <c r="F190" s="9"/>
      <c r="G190" s="9"/>
      <c r="H190" s="25" t="s">
        <v>3346</v>
      </c>
      <c r="I190" s="9" t="str">
        <f>IFERROR(__xludf.DUMMYFUNCTION("GOOGLETRANSLATE(B190,""en"",""ar"")"),"تشير الحالة البدنية للرياضيين إلى أن مصارعة النوبة تتطلب...")</f>
        <v>تشير الحالة البدنية للرياضيين إلى أن مصارعة النوبة تتطلب...</v>
      </c>
      <c r="J190" s="9" t="str">
        <f>IFERROR(__xludf.DUMMYFUNCTION("GOOGLETRANSLATE(C190,""en"",""ar"")"),"أ) تدريب قليل أو لا تدريب على الإطلاق، ب) السرعة فقط، ج) قوة ومهارة هائلة، د) نوع معين من الجسم")</f>
        <v>أ) تدريب قليل أو لا تدريب على الإطلاق، ب) السرعة فقط، ج) قوة ومهارة هائلة، د) نوع معين من الجسم</v>
      </c>
      <c r="K190" s="9" t="str">
        <f>IFERROR(__xludf.DUMMYFUNCTION("GOOGLETRANSLATE(D190,""en"",""ar"")"),"ج) قوة ومهارة هائلة")</f>
        <v>ج) قوة ومهارة هائلة</v>
      </c>
      <c r="L190" s="9" t="str">
        <f>IFERROR(__xludf.DUMMYFUNCTION("GOOGLETRANSLATE(E190,""en"",""ar"")"),"المصارعون هم رياضيون أقوياء تدربوا على نطاق واسع لتطوير القوة والتقنية اللازمة للتنافس.")</f>
        <v>المصارعون هم رياضيون أقوياء تدربوا على نطاق واسع لتطوير القوة والتقنية اللازمة للتنافس.</v>
      </c>
      <c r="M190" s="9"/>
      <c r="N190" s="9"/>
      <c r="O190" s="9"/>
      <c r="P190" s="9"/>
      <c r="Q190" s="9"/>
      <c r="R190" s="9"/>
      <c r="S190" s="9"/>
      <c r="T190" s="9"/>
      <c r="U190" s="9"/>
      <c r="V190" s="9"/>
      <c r="W190" s="9"/>
      <c r="X190" s="9"/>
      <c r="Y190" s="9"/>
      <c r="Z190" s="9"/>
      <c r="AA190" s="9"/>
      <c r="AB190" s="9"/>
      <c r="AC190" s="9"/>
      <c r="AD190" s="9"/>
      <c r="AE190" s="9"/>
      <c r="AF190" s="9"/>
      <c r="AG190" s="9"/>
    </row>
    <row r="191">
      <c r="A191" s="20" t="s">
        <v>3346</v>
      </c>
      <c r="B191" s="20" t="s">
        <v>3382</v>
      </c>
      <c r="C191" s="20" t="s">
        <v>3383</v>
      </c>
      <c r="D191" s="20" t="s">
        <v>3384</v>
      </c>
      <c r="E191" s="20" t="s">
        <v>3385</v>
      </c>
      <c r="F191" s="9"/>
      <c r="G191" s="9"/>
      <c r="H191" s="26" t="s">
        <v>3346</v>
      </c>
      <c r="I191" s="9" t="str">
        <f>IFERROR(__xludf.DUMMYFUNCTION("GOOGLETRANSLATE(B191,""en"",""ar"")"),"تظهر هذه الصورة __________ مصارعة النوبة.")</f>
        <v>تظهر هذه الصورة __________ مصارعة النوبة.</v>
      </c>
      <c r="J191" s="9" t="str">
        <f>IFERROR(__xludf.DUMMYFUNCTION("GOOGLETRANSLATE(C191,""en"",""ar"")"),"أ) الشكل التاريخي والاحتفالي، ب) الشكل الحديث والتنافسي، ج) تراجع الشعبية، د) الجانب السري والخفي")</f>
        <v>أ) الشكل التاريخي والاحتفالي، ب) الشكل الحديث والتنافسي، ج) تراجع الشعبية، د) الجانب السري والخفي</v>
      </c>
      <c r="K191" s="9" t="str">
        <f>IFERROR(__xludf.DUMMYFUNCTION("GOOGLETRANSLATE(D191,""en"",""ar"")"),"ب) الشكل الحديث التنافسي")</f>
        <v>ب) الشكل الحديث التنافسي</v>
      </c>
      <c r="L191" s="9" t="str">
        <f>IFERROR(__xludf.DUMMYFUNCTION("GOOGLETRANSLATE(E191,""en"",""ar"")"),"إن وجود حكم، والملابس الحديثة، والجمهور المنظم الكبير هي السمات المميزة لهذه الرياضة كما تمارس اليوم.")</f>
        <v>إن وجود حكم، والملابس الحديثة، والجمهور المنظم الكبير هي السمات المميزة لهذه الرياضة كما تمارس اليوم.</v>
      </c>
      <c r="M191" s="9"/>
      <c r="N191" s="9"/>
      <c r="O191" s="9"/>
      <c r="P191" s="9"/>
      <c r="Q191" s="9"/>
      <c r="R191" s="9"/>
      <c r="S191" s="9"/>
      <c r="T191" s="9"/>
      <c r="U191" s="9"/>
      <c r="V191" s="9"/>
      <c r="W191" s="9"/>
      <c r="X191" s="9"/>
      <c r="Y191" s="9"/>
      <c r="Z191" s="9"/>
      <c r="AA191" s="9"/>
      <c r="AB191" s="9"/>
      <c r="AC191" s="9"/>
      <c r="AD191" s="9"/>
      <c r="AE191" s="9"/>
      <c r="AF191" s="9"/>
      <c r="AG191" s="9"/>
    </row>
    <row r="192">
      <c r="A192" s="20" t="s">
        <v>3386</v>
      </c>
      <c r="B192" s="20" t="s">
        <v>3387</v>
      </c>
      <c r="C192" s="20" t="s">
        <v>3388</v>
      </c>
      <c r="D192" s="20" t="s">
        <v>3389</v>
      </c>
      <c r="E192" s="20" t="s">
        <v>3390</v>
      </c>
      <c r="F192" s="9"/>
      <c r="G192" s="9"/>
      <c r="H192" s="25" t="s">
        <v>3386</v>
      </c>
      <c r="I192" s="9" t="str">
        <f>IFERROR(__xludf.DUMMYFUNCTION("GOOGLETRANSLATE(B192,""en"",""ar"")"),"هذا النمط من طقوس قتال العصي، المعروف باسم دونجا، هو تقليد لشعبي سوري وسورما من أي بلد؟")</f>
        <v>هذا النمط من طقوس قتال العصي، المعروف باسم دونجا، هو تقليد لشعبي سوري وسورما من أي بلد؟</v>
      </c>
      <c r="J192" s="9" t="str">
        <f>IFERROR(__xludf.DUMMYFUNCTION("GOOGLETRANSLATE(C192,""en"",""ar"")"),"أ) السودان، ب) مصر، ج) جنوب أفريقيا، د) إثيوبيا")</f>
        <v>أ) السودان، ب) مصر، ج) جنوب أفريقيا، د) إثيوبيا</v>
      </c>
      <c r="K192" s="9" t="str">
        <f>IFERROR(__xludf.DUMMYFUNCTION("GOOGLETRANSLATE(D192,""en"",""ar"")"),"د) إثيوبيا")</f>
        <v>د) إثيوبيا</v>
      </c>
      <c r="L192" s="9" t="str">
        <f>IFERROR(__xludf.DUMMYFUNCTION("GOOGLETRANSLATE(E192,""en"",""ar"")"),"دونجا هو احتفال مشهور وذو طقس قتال بالعصا يمارسه شعب سوري في وادي أومو في جنوب إثيوبيا.")</f>
        <v>دونجا هو احتفال مشهور وذو طقس قتال بالعصا يمارسه شعب سوري في وادي أومو في جنوب إثيوبيا.</v>
      </c>
      <c r="M192" s="9"/>
      <c r="N192" s="9"/>
      <c r="O192" s="9"/>
      <c r="P192" s="9"/>
      <c r="Q192" s="9"/>
      <c r="R192" s="9"/>
      <c r="S192" s="9"/>
      <c r="T192" s="9"/>
      <c r="U192" s="9"/>
      <c r="V192" s="9"/>
      <c r="W192" s="9"/>
      <c r="X192" s="9"/>
      <c r="Y192" s="9"/>
      <c r="Z192" s="9"/>
      <c r="AA192" s="9"/>
      <c r="AB192" s="9"/>
      <c r="AC192" s="9"/>
      <c r="AD192" s="9"/>
      <c r="AE192" s="9"/>
      <c r="AF192" s="9"/>
      <c r="AG192" s="9"/>
    </row>
    <row r="193">
      <c r="A193" s="20" t="s">
        <v>3386</v>
      </c>
      <c r="B193" s="20" t="s">
        <v>3391</v>
      </c>
      <c r="C193" s="20" t="s">
        <v>3392</v>
      </c>
      <c r="D193" s="20" t="s">
        <v>3393</v>
      </c>
      <c r="E193" s="20" t="s">
        <v>3394</v>
      </c>
      <c r="F193" s="9"/>
      <c r="G193" s="9"/>
      <c r="H193" s="26" t="s">
        <v>3386</v>
      </c>
      <c r="I193" s="9" t="str">
        <f>IFERROR(__xludf.DUMMYFUNCTION("GOOGLETRANSLATE(B193,""en"",""ar"")"),"ما هو الهدف الأساسي من بطولة دونجا؟")</f>
        <v>ما هو الهدف الأساسي من بطولة دونجا؟</v>
      </c>
      <c r="J193" s="9" t="str">
        <f>IFERROR(__xludf.DUMMYFUNCTION("GOOGLETRANSLATE(C193,""en"",""ar"")"),"أ) لتسوية النزاعات القانونية، ب) لكي يثبت الشباب رجولتهم ويحصلوا على زوجة، ج) لتدريب الجنود للجيش الوطني، د) لتسلية السياح")</f>
        <v>أ) لتسوية النزاعات القانونية، ب) لكي يثبت الشباب رجولتهم ويحصلوا على زوجة، ج) لتدريب الجنود للجيش الوطني، د) لتسلية السياح</v>
      </c>
      <c r="K193" s="9" t="str">
        <f>IFERROR(__xludf.DUMMYFUNCTION("GOOGLETRANSLATE(D193,""en"",""ar"")"),"ب) بالنسبة للشباب لإثبات رجولتهم والفوز بزوجة")</f>
        <v>ب) بالنسبة للشباب لإثبات رجولتهم والفوز بزوجة</v>
      </c>
      <c r="L193" s="9" t="str">
        <f>IFERROR(__xludf.DUMMYFUNCTION("GOOGLETRANSLATE(E193,""en"",""ar"")"),"إنها طقوس العبور حيث يتنافس الرجال على المكانة واهتمام نساء القبيلة، ويتم في كثير من الأحيان اختيار الأبطال كأزواج.")</f>
        <v>إنها طقوس العبور حيث يتنافس الرجال على المكانة واهتمام نساء القبيلة، ويتم في كثير من الأحيان اختيار الأبطال كأزواج.</v>
      </c>
      <c r="M193" s="9"/>
      <c r="N193" s="9"/>
      <c r="O193" s="9"/>
      <c r="P193" s="9"/>
      <c r="Q193" s="9"/>
      <c r="R193" s="9"/>
      <c r="S193" s="9"/>
      <c r="T193" s="9"/>
      <c r="U193" s="9"/>
      <c r="V193" s="9"/>
      <c r="W193" s="9"/>
      <c r="X193" s="9"/>
      <c r="Y193" s="9"/>
      <c r="Z193" s="9"/>
      <c r="AA193" s="9"/>
      <c r="AB193" s="9"/>
      <c r="AC193" s="9"/>
      <c r="AD193" s="9"/>
      <c r="AE193" s="9"/>
      <c r="AF193" s="9"/>
      <c r="AG193" s="9"/>
    </row>
    <row r="194">
      <c r="A194" s="20" t="s">
        <v>3386</v>
      </c>
      <c r="B194" s="20" t="s">
        <v>3395</v>
      </c>
      <c r="C194" s="20" t="s">
        <v>3396</v>
      </c>
      <c r="D194" s="20" t="s">
        <v>3397</v>
      </c>
      <c r="E194" s="20" t="s">
        <v>3398</v>
      </c>
      <c r="F194" s="9"/>
      <c r="G194" s="9"/>
      <c r="H194" s="25" t="s">
        <v>3386</v>
      </c>
      <c r="I194" s="9" t="str">
        <f>IFERROR(__xludf.DUMMYFUNCTION("GOOGLETRANSLATE(B194,""en"",""ar"")"),"ما هو لباس المقاتلين؟")</f>
        <v>ما هو لباس المقاتلين؟</v>
      </c>
      <c r="J194" s="9" t="str">
        <f>IFERROR(__xludf.DUMMYFUNCTION("GOOGLETRANSLATE(C194,""en"",""ar"")"),"أ) يرتدون دروعًا ثقيلة ومبطنة، ب) يرتدون ملابس قليلة جدًا، ويستخدمون أحيانًا طلاءً زخرفيًا للجسم، ج) يرتدون زيًا رياضيًا حديثًا، د) يرتدون أردية وعمائم تقليدية")</f>
        <v>أ) يرتدون دروعًا ثقيلة ومبطنة، ب) يرتدون ملابس قليلة جدًا، ويستخدمون أحيانًا طلاءً زخرفيًا للجسم، ج) يرتدون زيًا رياضيًا حديثًا، د) يرتدون أردية وعمائم تقليدية</v>
      </c>
      <c r="K194" s="9" t="str">
        <f>IFERROR(__xludf.DUMMYFUNCTION("GOOGLETRANSLATE(D194,""en"",""ar"")"),"ب) يرتدون ملابس قليلة جدًا، ويستخدمون أحيانًا طلاء الجسم الزخرفي")</f>
        <v>ب) يرتدون ملابس قليلة جدًا، ويستخدمون أحيانًا طلاء الجسم الزخرفي</v>
      </c>
      <c r="L194" s="9" t="str">
        <f>IFERROR(__xludf.DUMMYFUNCTION("GOOGLETRANSLATE(E194,""en"",""ar"")"),"يتنافس المقاتلون بملابس بسيطة لإظهار أجسامهم والندوب الزخرفية والطلاء الذي يشكل جزءًا من ثقافتهم.")</f>
        <v>يتنافس المقاتلون بملابس بسيطة لإظهار أجسامهم والندوب الزخرفية والطلاء الذي يشكل جزءًا من ثقافتهم.</v>
      </c>
      <c r="M194" s="9"/>
      <c r="N194" s="9"/>
      <c r="O194" s="9"/>
      <c r="P194" s="9"/>
      <c r="Q194" s="9"/>
      <c r="R194" s="9"/>
      <c r="S194" s="9"/>
      <c r="T194" s="9"/>
      <c r="U194" s="9"/>
      <c r="V194" s="9"/>
      <c r="W194" s="9"/>
      <c r="X194" s="9"/>
      <c r="Y194" s="9"/>
      <c r="Z194" s="9"/>
      <c r="AA194" s="9"/>
      <c r="AB194" s="9"/>
      <c r="AC194" s="9"/>
      <c r="AD194" s="9"/>
      <c r="AE194" s="9"/>
      <c r="AF194" s="9"/>
      <c r="AG194" s="9"/>
    </row>
    <row r="195">
      <c r="A195" s="20" t="s">
        <v>3386</v>
      </c>
      <c r="B195" s="20" t="s">
        <v>3399</v>
      </c>
      <c r="C195" s="20" t="s">
        <v>3400</v>
      </c>
      <c r="D195" s="20" t="s">
        <v>3401</v>
      </c>
      <c r="E195" s="20" t="s">
        <v>3402</v>
      </c>
      <c r="F195" s="9"/>
      <c r="G195" s="9"/>
      <c r="H195" s="26" t="s">
        <v>3386</v>
      </c>
      <c r="I195" s="9" t="str">
        <f>IFERROR(__xludf.DUMMYFUNCTION("GOOGLETRANSLATE(B195,""en"",""ar"")"),"ما هي أسلحة المقاتلين؟")</f>
        <v>ما هي أسلحة المقاتلين؟</v>
      </c>
      <c r="J195" s="9" t="str">
        <f>IFERROR(__xludf.DUMMYFUNCTION("GOOGLETRANSLATE(C195,""en"",""ar"")"),"أ) السيوف والدروع، ب) الأقواس والسهام، ج) الأعمدة الخشبية الطويلة أو العصي (دونجا)، د) عصي ​​التدريب المبطنة")</f>
        <v>أ) السيوف والدروع، ب) الأقواس والسهام، ج) الأعمدة الخشبية الطويلة أو العصي (دونجا)، د) عصي ​​التدريب المبطنة</v>
      </c>
      <c r="K195" s="9" t="str">
        <f>IFERROR(__xludf.DUMMYFUNCTION("GOOGLETRANSLATE(D195,""en"",""ar"")"),"ج) أعمدة أو عصي خشبية طويلة (دونجا)")</f>
        <v>ج) أعمدة أو عصي خشبية طويلة (دونجا)</v>
      </c>
      <c r="L195" s="9" t="str">
        <f>IFERROR(__xludf.DUMMYFUNCTION("GOOGLETRANSLATE(E195,""en"",""ar"")"),"تمت تسمية هذه الرياضة على اسم العصا الخشبية الطويلة والثقيلة المستخدمة.")</f>
        <v>تمت تسمية هذه الرياضة على اسم العصا الخشبية الطويلة والثقيلة المستخدمة.</v>
      </c>
      <c r="M195" s="9"/>
      <c r="N195" s="9"/>
      <c r="O195" s="9"/>
      <c r="P195" s="9"/>
      <c r="Q195" s="9"/>
      <c r="R195" s="9"/>
      <c r="S195" s="9"/>
      <c r="T195" s="9"/>
      <c r="U195" s="9"/>
      <c r="V195" s="9"/>
      <c r="W195" s="9"/>
      <c r="X195" s="9"/>
      <c r="Y195" s="9"/>
      <c r="Z195" s="9"/>
      <c r="AA195" s="9"/>
      <c r="AB195" s="9"/>
      <c r="AC195" s="9"/>
      <c r="AD195" s="9"/>
      <c r="AE195" s="9"/>
      <c r="AF195" s="9"/>
      <c r="AG195" s="9"/>
    </row>
    <row r="196">
      <c r="A196" s="20" t="s">
        <v>3386</v>
      </c>
      <c r="B196" s="20" t="s">
        <v>3403</v>
      </c>
      <c r="C196" s="20" t="s">
        <v>3404</v>
      </c>
      <c r="D196" s="20" t="s">
        <v>3405</v>
      </c>
      <c r="E196" s="20" t="s">
        <v>3406</v>
      </c>
      <c r="F196" s="9"/>
      <c r="G196" s="9"/>
      <c r="H196" s="25" t="s">
        <v>3386</v>
      </c>
      <c r="I196" s="9" t="str">
        <f>IFERROR(__xludf.DUMMYFUNCTION("GOOGLETRANSLATE(B196,""en"",""ar"")"),"ما هو الإعداد لهذه المعركة؟")</f>
        <v>ما هو الإعداد لهذه المعركة؟</v>
      </c>
      <c r="J196" s="9" t="str">
        <f>IFERROR(__xludf.DUMMYFUNCTION("GOOGLETRANSLATE(C196,""en"",""ar"")"),"أ) ساحة حديثة مسيجة، ب) حقل عشبي في بيئة السافانا، ج) غابة كثيفة، د) شاطئ رملي")</f>
        <v>أ) ساحة حديثة مسيجة، ب) حقل عشبي في بيئة السافانا، ج) غابة كثيفة، د) شاطئ رملي</v>
      </c>
      <c r="K196" s="9" t="str">
        <f>IFERROR(__xludf.DUMMYFUNCTION("GOOGLETRANSLATE(D196,""en"",""ar"")"),"ب) حقل عشبي في بيئة السافانا")</f>
        <v>ب) حقل عشبي في بيئة السافانا</v>
      </c>
      <c r="L196" s="9" t="str">
        <f>IFERROR(__xludf.DUMMYFUNCTION("GOOGLETRANSLATE(E196,""en"",""ar"")"),"تعتبر الأرض الجافة وأشجار السنط من السمات المميزة للسافانا في شرق أفريقيا.")</f>
        <v>تعتبر الأرض الجافة وأشجار السنط من السمات المميزة للسافانا في شرق أفريقيا.</v>
      </c>
      <c r="M196" s="9"/>
      <c r="N196" s="9"/>
      <c r="O196" s="9"/>
      <c r="P196" s="9"/>
      <c r="Q196" s="9"/>
      <c r="R196" s="9"/>
      <c r="S196" s="9"/>
      <c r="T196" s="9"/>
      <c r="U196" s="9"/>
      <c r="V196" s="9"/>
      <c r="W196" s="9"/>
      <c r="X196" s="9"/>
      <c r="Y196" s="9"/>
      <c r="Z196" s="9"/>
      <c r="AA196" s="9"/>
      <c r="AB196" s="9"/>
      <c r="AC196" s="9"/>
      <c r="AD196" s="9"/>
      <c r="AE196" s="9"/>
      <c r="AF196" s="9"/>
      <c r="AG196" s="9"/>
    </row>
    <row r="197">
      <c r="A197" s="20" t="s">
        <v>3386</v>
      </c>
      <c r="B197" s="20" t="s">
        <v>3407</v>
      </c>
      <c r="C197" s="20" t="s">
        <v>3408</v>
      </c>
      <c r="D197" s="20" t="s">
        <v>3409</v>
      </c>
      <c r="E197" s="20" t="s">
        <v>3410</v>
      </c>
      <c r="F197" s="9"/>
      <c r="G197" s="9"/>
      <c r="H197" s="26" t="s">
        <v>3386</v>
      </c>
      <c r="I197" s="9" t="str">
        <f>IFERROR(__xludf.DUMMYFUNCTION("GOOGLETRANSLATE(B197,""en"",""ar"")"),"ماذا يحمل المقاتل الموجود على اليسار حول جذعه؟")</f>
        <v>ماذا يحمل المقاتل الموجود على اليسار حول جذعه؟</v>
      </c>
      <c r="J197" s="9" t="str">
        <f>IFERROR(__xludf.DUMMYFUNCTION("GOOGLETRANSLATE(C197,""en"",""ar"")"),"أ) سترة واقية، ب) قطعة قماش أو شريط مزخرف، ج) سترة نجاة، د) حبال للتسلق")</f>
        <v>أ) سترة واقية، ب) قطعة قماش أو شريط مزخرف، ج) سترة نجاة، د) حبال للتسلق</v>
      </c>
      <c r="K197" s="9" t="str">
        <f>IFERROR(__xludf.DUMMYFUNCTION("GOOGLETRANSLATE(D197,""en"",""ar"")"),"ب) قطعة قماش أو وشاح زخرفي")</f>
        <v>ب) قطعة قماش أو وشاح زخرفي</v>
      </c>
      <c r="L197" s="9" t="str">
        <f>IFERROR(__xludf.DUMMYFUNCTION("GOOGLETRANSLATE(E197,""en"",""ar"")"),"تتميز ملابسه البسيطة بقطعة قماش داكنة ومجوهرات من الخرز.")</f>
        <v>تتميز ملابسه البسيطة بقطعة قماش داكنة ومجوهرات من الخرز.</v>
      </c>
      <c r="M197" s="9"/>
      <c r="N197" s="9"/>
      <c r="O197" s="9"/>
      <c r="P197" s="9"/>
      <c r="Q197" s="9"/>
      <c r="R197" s="9"/>
      <c r="S197" s="9"/>
      <c r="T197" s="9"/>
      <c r="U197" s="9"/>
      <c r="V197" s="9"/>
      <c r="W197" s="9"/>
      <c r="X197" s="9"/>
      <c r="Y197" s="9"/>
      <c r="Z197" s="9"/>
      <c r="AA197" s="9"/>
      <c r="AB197" s="9"/>
      <c r="AC197" s="9"/>
      <c r="AD197" s="9"/>
      <c r="AE197" s="9"/>
      <c r="AF197" s="9"/>
      <c r="AG197" s="9"/>
    </row>
    <row r="198">
      <c r="A198" s="20" t="s">
        <v>3386</v>
      </c>
      <c r="B198" s="20" t="s">
        <v>3411</v>
      </c>
      <c r="C198" s="20" t="s">
        <v>3412</v>
      </c>
      <c r="D198" s="20" t="s">
        <v>3413</v>
      </c>
      <c r="E198" s="20" t="s">
        <v>3414</v>
      </c>
      <c r="F198" s="9"/>
      <c r="G198" s="9"/>
      <c r="H198" s="25" t="s">
        <v>3386</v>
      </c>
      <c r="I198" s="9" t="str">
        <f>IFERROR(__xludf.DUMMYFUNCTION("GOOGLETRANSLATE(B198,""en"",""ar"")"),"وتُظهِر المواقف الديناميكية للمقاتلين أن هذا...")</f>
        <v>وتُظهِر المواقف الديناميكية للمقاتلين أن هذا...</v>
      </c>
      <c r="J198" s="9" t="str">
        <f>IFERROR(__xludf.DUMMYFUNCTION("GOOGLETRANSLATE(C198,""en"",""ar"")"),"أ) رقصة بطيئة احتفالية، ب) مسابقة سريعة الوتيرة وعدوانية، ج) صورة فوتوغرافية، د) رياضة غير تلامسية")</f>
        <v>أ) رقصة بطيئة احتفالية، ب) مسابقة سريعة الوتيرة وعدوانية، ج) صورة فوتوغرافية، د) رياضة غير تلامسية</v>
      </c>
      <c r="K198" s="9" t="str">
        <f>IFERROR(__xludf.DUMMYFUNCTION("GOOGLETRANSLATE(D198,""en"",""ar"")"),"ب) مسابقة سريعة الوتيرة وعدوانية")</f>
        <v>ب) مسابقة سريعة الوتيرة وعدوانية</v>
      </c>
      <c r="L198" s="9" t="str">
        <f>IFERROR(__xludf.DUMMYFUNCTION("GOOGLETRANSLATE(E198,""en"",""ar"")"),"تشير أوضاعهم الرياضية إلى أنهم منخرطون بنشاط في مبارزة تتطلب السرعة والقوة والشجاعة.")</f>
        <v>تشير أوضاعهم الرياضية إلى أنهم منخرطون بنشاط في مبارزة تتطلب السرعة والقوة والشجاعة.</v>
      </c>
      <c r="M198" s="9"/>
      <c r="N198" s="9"/>
      <c r="O198" s="9"/>
      <c r="P198" s="9"/>
      <c r="Q198" s="9"/>
      <c r="R198" s="9"/>
      <c r="S198" s="9"/>
      <c r="T198" s="9"/>
      <c r="U198" s="9"/>
      <c r="V198" s="9"/>
      <c r="W198" s="9"/>
      <c r="X198" s="9"/>
      <c r="Y198" s="9"/>
      <c r="Z198" s="9"/>
      <c r="AA198" s="9"/>
      <c r="AB198" s="9"/>
      <c r="AC198" s="9"/>
      <c r="AD198" s="9"/>
      <c r="AE198" s="9"/>
      <c r="AF198" s="9"/>
      <c r="AG198" s="9"/>
    </row>
    <row r="199">
      <c r="A199" s="20" t="s">
        <v>3386</v>
      </c>
      <c r="B199" s="20" t="s">
        <v>3415</v>
      </c>
      <c r="C199" s="20" t="s">
        <v>3416</v>
      </c>
      <c r="D199" s="20" t="s">
        <v>3417</v>
      </c>
      <c r="E199" s="20" t="s">
        <v>3418</v>
      </c>
      <c r="F199" s="9"/>
      <c r="G199" s="9"/>
      <c r="H199" s="26" t="s">
        <v>3386</v>
      </c>
      <c r="I199" s="9" t="str">
        <f>IFERROR(__xludf.DUMMYFUNCTION("GOOGLETRANSLATE(B199,""en"",""ar"")"),"هل رياضة دونجا آمنة؟")</f>
        <v>هل رياضة دونجا آمنة؟</v>
      </c>
      <c r="J199" s="9" t="str">
        <f>IFERROR(__xludf.DUMMYFUNCTION("GOOGLETRANSLATE(C199,""en"",""ar"")"),"أ) نعم، إنها آمنة تمامًا ولا يوجد بها خطر الإصابة، ب) لا، إنها طقوس عنيفة وخطيرة حيث يمكن أن تحدث إصابات خطيرة وحتى الموت، ج) إنها رياضة غير تلامسية، د) العصي مبطنة وناعمة")</f>
        <v>أ) نعم، إنها آمنة تمامًا ولا يوجد بها خطر الإصابة، ب) لا، إنها طقوس عنيفة وخطيرة حيث يمكن أن تحدث إصابات خطيرة وحتى الموت، ج) إنها رياضة غير تلامسية، د) العصي مبطنة وناعمة</v>
      </c>
      <c r="K199" s="9" t="str">
        <f>IFERROR(__xludf.DUMMYFUNCTION("GOOGLETRANSLATE(D199,""en"",""ar"")"),"ب) لا، إنها طقوس عنيفة وخطيرة حيث يمكن أن تحدث إصابات خطيرة وحتى الموت")</f>
        <v>ب) لا، إنها طقوس عنيفة وخطيرة حيث يمكن أن تحدث إصابات خطيرة وحتى الموت</v>
      </c>
      <c r="L199" s="9" t="str">
        <f>IFERROR(__xludf.DUMMYFUNCTION("GOOGLETRANSLATE(E199,""en"",""ar"")"),"يعد دونجا اختبارًا حقيقيًا لقدرة المحارب على التحمل وقدرته على تحمل الألم، كما أنه ينطوي على مخاطرة بدنية كبيرة.")</f>
        <v>يعد دونجا اختبارًا حقيقيًا لقدرة المحارب على التحمل وقدرته على تحمل الألم، كما أنه ينطوي على مخاطرة بدنية كبيرة.</v>
      </c>
      <c r="M199" s="9"/>
      <c r="N199" s="9"/>
      <c r="O199" s="9"/>
      <c r="P199" s="9"/>
      <c r="Q199" s="9"/>
      <c r="R199" s="9"/>
      <c r="S199" s="9"/>
      <c r="T199" s="9"/>
      <c r="U199" s="9"/>
      <c r="V199" s="9"/>
      <c r="W199" s="9"/>
      <c r="X199" s="9"/>
      <c r="Y199" s="9"/>
      <c r="Z199" s="9"/>
      <c r="AA199" s="9"/>
      <c r="AB199" s="9"/>
      <c r="AC199" s="9"/>
      <c r="AD199" s="9"/>
      <c r="AE199" s="9"/>
      <c r="AF199" s="9"/>
      <c r="AG199" s="9"/>
    </row>
    <row r="200">
      <c r="A200" s="20" t="s">
        <v>3386</v>
      </c>
      <c r="B200" s="20" t="s">
        <v>3419</v>
      </c>
      <c r="C200" s="20" t="s">
        <v>3420</v>
      </c>
      <c r="D200" s="20" t="s">
        <v>3421</v>
      </c>
      <c r="E200" s="20" t="s">
        <v>3422</v>
      </c>
      <c r="F200" s="9"/>
      <c r="G200" s="9"/>
      <c r="H200" s="25" t="s">
        <v>3386</v>
      </c>
      <c r="I200" s="9" t="str">
        <f>IFERROR(__xludf.DUMMYFUNCTION("GOOGLETRANSLATE(B200,""en"",""ar"")"),"ماذا يفعل المقاتل على اليمين؟")</f>
        <v>ماذا يفعل المقاتل على اليمين؟</v>
      </c>
      <c r="J200" s="9" t="str">
        <f>IFERROR(__xludf.DUMMYFUNCTION("GOOGLETRANSLATE(C200,""en"",""ar"")"),"أ) إنه يدافع ضد الضربة، ب) إنه يرفع عصاه لتوجيه ضربة علوية، ج) إنه يستسلم، د) إنه يستريح")</f>
        <v>أ) إنه يدافع ضد الضربة، ب) إنه يرفع عصاه لتوجيه ضربة علوية، ج) إنه يستسلم، د) إنه يستريح</v>
      </c>
      <c r="K200" s="9" t="str">
        <f>IFERROR(__xludf.DUMMYFUNCTION("GOOGLETRANSLATE(D200,""en"",""ar"")"),"ب) يرفع عصاه ليوجه ضربة فوق رأسه")</f>
        <v>ب) يرفع عصاه ليوجه ضربة فوق رأسه</v>
      </c>
      <c r="L200" s="9" t="str">
        <f>IFERROR(__xludf.DUMMYFUNCTION("GOOGLETRANSLATE(E200,""en"",""ar"")"),"يحمل عصاه عالياً، في وضع هجومي كلاسيكي لإسقاطها على خصمه.")</f>
        <v>يحمل عصاه عالياً، في وضع هجومي كلاسيكي لإسقاطها على خصمه.</v>
      </c>
      <c r="M200" s="9"/>
      <c r="N200" s="9"/>
      <c r="O200" s="9"/>
      <c r="P200" s="9"/>
      <c r="Q200" s="9"/>
      <c r="R200" s="9"/>
      <c r="S200" s="9"/>
      <c r="T200" s="9"/>
      <c r="U200" s="9"/>
      <c r="V200" s="9"/>
      <c r="W200" s="9"/>
      <c r="X200" s="9"/>
      <c r="Y200" s="9"/>
      <c r="Z200" s="9"/>
      <c r="AA200" s="9"/>
      <c r="AB200" s="9"/>
      <c r="AC200" s="9"/>
      <c r="AD200" s="9"/>
      <c r="AE200" s="9"/>
      <c r="AF200" s="9"/>
      <c r="AG200" s="9"/>
    </row>
    <row r="201">
      <c r="A201" s="20" t="s">
        <v>3386</v>
      </c>
      <c r="B201" s="20" t="s">
        <v>3423</v>
      </c>
      <c r="C201" s="20" t="s">
        <v>3424</v>
      </c>
      <c r="D201" s="20" t="s">
        <v>3425</v>
      </c>
      <c r="E201" s="20" t="s">
        <v>3426</v>
      </c>
      <c r="F201" s="9"/>
      <c r="G201" s="9"/>
      <c r="H201" s="26" t="s">
        <v>3386</v>
      </c>
      <c r="I201" s="9" t="str">
        <f>IFERROR(__xludf.DUMMYFUNCTION("GOOGLETRANSLATE(B201,""en"",""ar"")"),"إن الغبار الذي تثيره أقدامهم هو علامة على...")</f>
        <v>إن الغبار الذي تثيره أقدامهم هو علامة على...</v>
      </c>
      <c r="J201" s="9" t="str">
        <f>IFERROR(__xludf.DUMMYFUNCTION("GOOGLETRANSLATE(C201,""en"",""ar"")"),"أ) حركات بطيئة ومتقطعة، ب) حركات قدم سريعة ورياضية، ج) الأرض مبللة، د) نهاية القتال")</f>
        <v>أ) حركات بطيئة ومتقطعة، ب) حركات قدم سريعة ورياضية، ج) الأرض مبللة، د) نهاية القتال</v>
      </c>
      <c r="K201" s="9" t="str">
        <f>IFERROR(__xludf.DUMMYFUNCTION("GOOGLETRANSLATE(D201,""en"",""ar"")"),"ب) عمل أقدامهم السريع والرياضي")</f>
        <v>ب) عمل أقدامهم السريع والرياضي</v>
      </c>
      <c r="L201" s="9" t="str">
        <f>IFERROR(__xludf.DUMMYFUNCTION("GOOGLETRANSLATE(E201,""en"",""ar"")"),"يتحرك المقاتلون باستمرار، وخطواتهم السريعة على الأرض الجافة تخلق سحابة من الغبار.")</f>
        <v>يتحرك المقاتلون باستمرار، وخطواتهم السريعة على الأرض الجافة تخلق سحابة من الغبار.</v>
      </c>
      <c r="M201" s="9"/>
      <c r="N201" s="9"/>
      <c r="O201" s="9"/>
      <c r="P201" s="9"/>
      <c r="Q201" s="9"/>
      <c r="R201" s="9"/>
      <c r="S201" s="9"/>
      <c r="T201" s="9"/>
      <c r="U201" s="9"/>
      <c r="V201" s="9"/>
      <c r="W201" s="9"/>
      <c r="X201" s="9"/>
      <c r="Y201" s="9"/>
      <c r="Z201" s="9"/>
      <c r="AA201" s="9"/>
      <c r="AB201" s="9"/>
      <c r="AC201" s="9"/>
      <c r="AD201" s="9"/>
      <c r="AE201" s="9"/>
      <c r="AF201" s="9"/>
      <c r="AG201" s="9"/>
    </row>
    <row r="202">
      <c r="A202" s="20" t="s">
        <v>3427</v>
      </c>
      <c r="B202" s="20" t="s">
        <v>3428</v>
      </c>
      <c r="C202" s="20" t="s">
        <v>3429</v>
      </c>
      <c r="D202" s="20" t="s">
        <v>3430</v>
      </c>
      <c r="E202" s="20" t="s">
        <v>3431</v>
      </c>
      <c r="F202" s="9"/>
      <c r="G202" s="9"/>
      <c r="H202" s="25" t="s">
        <v>3427</v>
      </c>
      <c r="I202" s="9" t="str">
        <f>IFERROR(__xludf.DUMMYFUNCTION("GOOGLETRANSLATE(B202,""en"",""ar"")"),"تلتقط هذه الصورة القريبة لحظة من تقليد قتال العصا في وادي أومو في أي بلد؟")</f>
        <v>تلتقط هذه الصورة القريبة لحظة من تقليد قتال العصا في وادي أومو في أي بلد؟</v>
      </c>
      <c r="J202" s="9" t="str">
        <f>IFERROR(__xludf.DUMMYFUNCTION("GOOGLETRANSLATE(C202,""en"",""ar"")"),"أ) السودان، ب) مصر، ج) إثيوبيا، د) نيجيريا")</f>
        <v>أ) السودان، ب) مصر، ج) إثيوبيا، د) نيجيريا</v>
      </c>
      <c r="K202" s="9" t="str">
        <f>IFERROR(__xludf.DUMMYFUNCTION("GOOGLETRANSLATE(D202,""en"",""ar"")"),"ج) إثيوبيا")</f>
        <v>ج) إثيوبيا</v>
      </c>
      <c r="L202" s="9" t="str">
        <f>IFERROR(__xludf.DUMMYFUNCTION("GOOGLETRANSLATE(E202,""en"",""ar"")"),"هذا هو القتال بالعصا دونجا لشعب سوري، وهو تقليد مشهور من جنوب إثيوبيا.")</f>
        <v>هذا هو القتال بالعصا دونجا لشعب سوري، وهو تقليد مشهور من جنوب إثيوبيا.</v>
      </c>
      <c r="M202" s="9"/>
      <c r="N202" s="9"/>
      <c r="O202" s="9"/>
      <c r="P202" s="9"/>
      <c r="Q202" s="9"/>
      <c r="R202" s="9"/>
      <c r="S202" s="9"/>
      <c r="T202" s="9"/>
      <c r="U202" s="9"/>
      <c r="V202" s="9"/>
      <c r="W202" s="9"/>
      <c r="X202" s="9"/>
      <c r="Y202" s="9"/>
      <c r="Z202" s="9"/>
      <c r="AA202" s="9"/>
      <c r="AB202" s="9"/>
      <c r="AC202" s="9"/>
      <c r="AD202" s="9"/>
      <c r="AE202" s="9"/>
      <c r="AF202" s="9"/>
      <c r="AG202" s="9"/>
    </row>
    <row r="203">
      <c r="A203" s="20" t="s">
        <v>3427</v>
      </c>
      <c r="B203" s="20" t="s">
        <v>3432</v>
      </c>
      <c r="C203" s="20" t="s">
        <v>3433</v>
      </c>
      <c r="D203" s="20" t="s">
        <v>3434</v>
      </c>
      <c r="E203" s="20" t="s">
        <v>3435</v>
      </c>
      <c r="F203" s="9"/>
      <c r="G203" s="9"/>
      <c r="H203" s="26" t="s">
        <v>3427</v>
      </c>
      <c r="I203" s="9" t="str">
        <f>IFERROR(__xludf.DUMMYFUNCTION("GOOGLETRANSLATE(B203,""en"",""ar"")"),"ماذا يفعل المقاتلان في المقدمة؟")</f>
        <v>ماذا يفعل المقاتلان في المقدمة؟</v>
      </c>
      <c r="J203" s="9" t="str">
        <f>IFERROR(__xludf.DUMMYFUNCTION("GOOGLETRANSLATE(C203,""en"",""ar"")"),"أ) يتصافحون، ب) يتقاتلون، ويستخدمون عصيهم للهجوم والدفاع، ج) يستريحون، د) يؤدون رقصة")</f>
        <v>أ) يتصافحون، ب) يتقاتلون، ويستخدمون عصيهم للهجوم والدفاع، ج) يستريحون، د) يؤدون رقصة</v>
      </c>
      <c r="K203" s="9" t="str">
        <f>IFERROR(__xludf.DUMMYFUNCTION("GOOGLETRANSLATE(D203,""en"",""ar"")"),"ب) إنهم منخرطون في القتال، مستخدمين عصيهم للهجوم والدفاع.")</f>
        <v>ب) إنهم منخرطون في القتال، مستخدمين عصيهم للهجوم والدفاع.</v>
      </c>
      <c r="L203" s="9" t="str">
        <f>IFERROR(__xludf.DUMMYFUNCTION("GOOGLETRANSLATE(E203,""en"",""ar"")"),"تتقاطع عصيهم عندما يهاجم أحد المقاتلين ويقوم الآخر بصد الهجوم، مما يلتقط لحظة حاسمة من المبارزة.")</f>
        <v>تتقاطع عصيهم عندما يهاجم أحد المقاتلين ويقوم الآخر بصد الهجوم، مما يلتقط لحظة حاسمة من المبارزة.</v>
      </c>
      <c r="M203" s="9"/>
      <c r="N203" s="9"/>
      <c r="O203" s="9"/>
      <c r="P203" s="9"/>
      <c r="Q203" s="9"/>
      <c r="R203" s="9"/>
      <c r="S203" s="9"/>
      <c r="T203" s="9"/>
      <c r="U203" s="9"/>
      <c r="V203" s="9"/>
      <c r="W203" s="9"/>
      <c r="X203" s="9"/>
      <c r="Y203" s="9"/>
      <c r="Z203" s="9"/>
      <c r="AA203" s="9"/>
      <c r="AB203" s="9"/>
      <c r="AC203" s="9"/>
      <c r="AD203" s="9"/>
      <c r="AE203" s="9"/>
      <c r="AF203" s="9"/>
      <c r="AG203" s="9"/>
    </row>
    <row r="204">
      <c r="A204" s="20" t="s">
        <v>3427</v>
      </c>
      <c r="B204" s="20" t="s">
        <v>3436</v>
      </c>
      <c r="C204" s="20" t="s">
        <v>3437</v>
      </c>
      <c r="D204" s="20" t="s">
        <v>3438</v>
      </c>
      <c r="E204" s="20" t="s">
        <v>3439</v>
      </c>
      <c r="F204" s="9"/>
      <c r="G204" s="9"/>
      <c r="H204" s="25" t="s">
        <v>3427</v>
      </c>
      <c r="I204" s="9" t="str">
        <f>IFERROR(__xludf.DUMMYFUNCTION("GOOGLETRANSLATE(B204,""en"",""ar"")"),"ما هو الهدف الأساسي في قتال دونجا؟")</f>
        <v>ما هو الهدف الأساسي في قتال دونجا؟</v>
      </c>
      <c r="J204" s="9" t="str">
        <f>IFERROR(__xludf.DUMMYFUNCTION("GOOGLETRANSLATE(C204,""en"",""ar"")"),"أ) ضرب المقاتل الآخر حتى يفقد وعيه، ب) تسجيل نقاط عن طريق لمس الخصم، ج) جعل المقاتل الآخر يستسلم، د) كل ما سبق احتمالات")</f>
        <v>أ) ضرب المقاتل الآخر حتى يفقد وعيه، ب) تسجيل نقاط عن طريق لمس الخصم، ج) جعل المقاتل الآخر يستسلم، د) كل ما سبق احتمالات</v>
      </c>
      <c r="K204" s="9" t="str">
        <f>IFERROR(__xludf.DUMMYFUNCTION("GOOGLETRANSLATE(D204,""en"",""ar"")"),"أ) جعل المقاتل الآخر فاقدًا للوعي")</f>
        <v>أ) جعل المقاتل الآخر فاقدًا للوعي</v>
      </c>
      <c r="L204" s="9" t="str">
        <f>IFERROR(__xludf.DUMMYFUNCTION("GOOGLETRANSLATE(E204,""en"",""ar"")"),"الهدف هو إظهار القوة والقدرة على التحمل بضرب الخصم حتى يُفقد الوعي أو يستسلم. إنها رياضة عدوانية وخطيرة للغاية.")</f>
        <v>الهدف هو إظهار القوة والقدرة على التحمل بضرب الخصم حتى يُفقد الوعي أو يستسلم. إنها رياضة عدوانية وخطيرة للغاية.</v>
      </c>
      <c r="M204" s="9"/>
      <c r="N204" s="9"/>
      <c r="O204" s="9"/>
      <c r="P204" s="9"/>
      <c r="Q204" s="9"/>
      <c r="R204" s="9"/>
      <c r="S204" s="9"/>
      <c r="T204" s="9"/>
      <c r="U204" s="9"/>
      <c r="V204" s="9"/>
      <c r="W204" s="9"/>
      <c r="X204" s="9"/>
      <c r="Y204" s="9"/>
      <c r="Z204" s="9"/>
      <c r="AA204" s="9"/>
      <c r="AB204" s="9"/>
      <c r="AC204" s="9"/>
      <c r="AD204" s="9"/>
      <c r="AE204" s="9"/>
      <c r="AF204" s="9"/>
      <c r="AG204" s="9"/>
    </row>
    <row r="205">
      <c r="A205" s="20" t="s">
        <v>3427</v>
      </c>
      <c r="B205" s="20" t="s">
        <v>3440</v>
      </c>
      <c r="C205" s="20" t="s">
        <v>3441</v>
      </c>
      <c r="D205" s="20" t="s">
        <v>3442</v>
      </c>
      <c r="E205" s="20" t="s">
        <v>3443</v>
      </c>
      <c r="F205" s="9"/>
      <c r="G205" s="9"/>
      <c r="H205" s="26" t="s">
        <v>3427</v>
      </c>
      <c r="I205" s="9" t="str">
        <f>IFERROR(__xludf.DUMMYFUNCTION("GOOGLETRANSLATE(B205,""en"",""ar"")"),"ما هو دور الأشخاص في الخلفية؟")</f>
        <v>ما هو دور الأشخاص في الخلفية؟</v>
      </c>
      <c r="J205" s="9" t="str">
        <f>IFERROR(__xludf.DUMMYFUNCTION("GOOGLETRANSLATE(C205,""en"",""ar"")"),"أ) هم مقاتلون متنافسون، ب) هم متفرجون وأعضاء في المجتمع، ج) هم حكام وقضاة، د) هم تجار يبيعون البضائع")</f>
        <v>أ) هم مقاتلون متنافسون، ب) هم متفرجون وأعضاء في المجتمع، ج) هم حكام وقضاة، د) هم تجار يبيعون البضائع</v>
      </c>
      <c r="K205" s="9" t="str">
        <f>IFERROR(__xludf.DUMMYFUNCTION("GOOGLETRANSLATE(D205,""en"",""ar"")"),"ب) هم متفرجون وأعضاء المجتمع")</f>
        <v>ب) هم متفرجون وأعضاء المجتمع</v>
      </c>
      <c r="L205" s="9" t="str">
        <f>IFERROR(__xludf.DUMMYFUNCTION("GOOGLETRANSLATE(E205,""en"",""ar"")"),"ويجتمع المجتمع لمشاهدة المعارك، التي تعد حدثًا اجتماعيًا وثقافيًا كبيرًا.")</f>
        <v>ويجتمع المجتمع لمشاهدة المعارك، التي تعد حدثًا اجتماعيًا وثقافيًا كبيرًا.</v>
      </c>
      <c r="M205" s="9"/>
      <c r="N205" s="9"/>
      <c r="O205" s="9"/>
      <c r="P205" s="9"/>
      <c r="Q205" s="9"/>
      <c r="R205" s="9"/>
      <c r="S205" s="9"/>
      <c r="T205" s="9"/>
      <c r="U205" s="9"/>
      <c r="V205" s="9"/>
      <c r="W205" s="9"/>
      <c r="X205" s="9"/>
      <c r="Y205" s="9"/>
      <c r="Z205" s="9"/>
      <c r="AA205" s="9"/>
      <c r="AB205" s="9"/>
      <c r="AC205" s="9"/>
      <c r="AD205" s="9"/>
      <c r="AE205" s="9"/>
      <c r="AF205" s="9"/>
      <c r="AG205" s="9"/>
    </row>
    <row r="206">
      <c r="A206" s="20" t="s">
        <v>3427</v>
      </c>
      <c r="B206" s="20" t="s">
        <v>3444</v>
      </c>
      <c r="C206" s="20" t="s">
        <v>3445</v>
      </c>
      <c r="D206" s="20" t="s">
        <v>3446</v>
      </c>
      <c r="E206" s="20" t="s">
        <v>3447</v>
      </c>
      <c r="F206" s="9"/>
      <c r="G206" s="9"/>
      <c r="H206" s="25" t="s">
        <v>3427</v>
      </c>
      <c r="I206" s="9" t="str">
        <f>IFERROR(__xludf.DUMMYFUNCTION("GOOGLETRANSLATE(B206,""en"",""ar"")"),"لباس المقاتلين هو...")</f>
        <v>لباس المقاتلين هو...</v>
      </c>
      <c r="J206" s="9" t="str">
        <f>IFERROR(__xludf.DUMMYFUNCTION("GOOGLETRANSLATE(C206,""en"",""ar"")"),"أ) ثقيل ووقائي، ب) بسيط، ج) حديث ورياضي، د) رسمي واحتفالي")</f>
        <v>أ) ثقيل ووقائي، ب) بسيط، ج) حديث ورياضي، د) رسمي واحتفالي</v>
      </c>
      <c r="K206" s="9" t="str">
        <f>IFERROR(__xludf.DUMMYFUNCTION("GOOGLETRANSLATE(D206,""en"",""ar"")"),"ب) الحد الأدنى")</f>
        <v>ب) الحد الأدنى</v>
      </c>
      <c r="L206" s="9" t="str">
        <f>IFERROR(__xludf.DUMMYFUNCTION("GOOGLETRANSLATE(E206,""en"",""ar"")"),"يرتدي المقاتلون ملابس قليلة أو معدومة على الجزء العلوي من أجسادهم.")</f>
        <v>يرتدي المقاتلون ملابس قليلة أو معدومة على الجزء العلوي من أجسادهم.</v>
      </c>
      <c r="M206" s="9"/>
      <c r="N206" s="9"/>
      <c r="O206" s="9"/>
      <c r="P206" s="9"/>
      <c r="Q206" s="9"/>
      <c r="R206" s="9"/>
      <c r="S206" s="9"/>
      <c r="T206" s="9"/>
      <c r="U206" s="9"/>
      <c r="V206" s="9"/>
      <c r="W206" s="9"/>
      <c r="X206" s="9"/>
      <c r="Y206" s="9"/>
      <c r="Z206" s="9"/>
      <c r="AA206" s="9"/>
      <c r="AB206" s="9"/>
      <c r="AC206" s="9"/>
      <c r="AD206" s="9"/>
      <c r="AE206" s="9"/>
      <c r="AF206" s="9"/>
      <c r="AG206" s="9"/>
    </row>
    <row r="207">
      <c r="A207" s="20" t="s">
        <v>3427</v>
      </c>
      <c r="B207" s="20" t="s">
        <v>3448</v>
      </c>
      <c r="C207" s="20" t="s">
        <v>3449</v>
      </c>
      <c r="D207" s="20" t="s">
        <v>3450</v>
      </c>
      <c r="E207" s="20" t="s">
        <v>3451</v>
      </c>
      <c r="F207" s="9"/>
      <c r="G207" s="9"/>
      <c r="H207" s="26" t="s">
        <v>3427</v>
      </c>
      <c r="I207" s="9" t="str">
        <f>IFERROR(__xludf.DUMMYFUNCTION("GOOGLETRANSLATE(B207,""en"",""ar"")"),"المقاتل على اليسار في أي وضعية؟")</f>
        <v>المقاتل على اليسار في أي وضعية؟</v>
      </c>
      <c r="J207" s="9" t="str">
        <f>IFERROR(__xludf.DUMMYFUNCTION("GOOGLETRANSLATE(C207,""en"",""ar"")"),"أ) وضعية هجومية، الاندفاع للأمام، ب) وضعية دفاعية، صد الضربة، ج) وضعية محايدة، الوقوف، د) وضعية احتفالية")</f>
        <v>أ) وضعية هجومية، الاندفاع للأمام، ب) وضعية دفاعية، صد الضربة، ج) وضعية محايدة، الوقوف، د) وضعية احتفالية</v>
      </c>
      <c r="K207" s="9" t="str">
        <f>IFERROR(__xludf.DUMMYFUNCTION("GOOGLETRANSLATE(D207,""en"",""ar"")"),"ب) وضعية دفاعية، صد الضربة")</f>
        <v>ب) وضعية دفاعية، صد الضربة</v>
      </c>
      <c r="L207" s="9" t="str">
        <f>IFERROR(__xludf.DUMMYFUNCTION("GOOGLETRANSLATE(E207,""en"",""ar"")"),"إنه يستخدم عصاه لصد الضربة الموجهة إلى الأسفل من خصمه.")</f>
        <v>إنه يستخدم عصاه لصد الضربة الموجهة إلى الأسفل من خصمه.</v>
      </c>
      <c r="M207" s="9"/>
      <c r="N207" s="9"/>
      <c r="O207" s="9"/>
      <c r="P207" s="9"/>
      <c r="Q207" s="9"/>
      <c r="R207" s="9"/>
      <c r="S207" s="9"/>
      <c r="T207" s="9"/>
      <c r="U207" s="9"/>
      <c r="V207" s="9"/>
      <c r="W207" s="9"/>
      <c r="X207" s="9"/>
      <c r="Y207" s="9"/>
      <c r="Z207" s="9"/>
      <c r="AA207" s="9"/>
      <c r="AB207" s="9"/>
      <c r="AC207" s="9"/>
      <c r="AD207" s="9"/>
      <c r="AE207" s="9"/>
      <c r="AF207" s="9"/>
      <c r="AG207" s="9"/>
    </row>
    <row r="208">
      <c r="A208" s="20" t="s">
        <v>3427</v>
      </c>
      <c r="B208" s="20" t="s">
        <v>3452</v>
      </c>
      <c r="C208" s="20" t="s">
        <v>3453</v>
      </c>
      <c r="D208" s="20" t="s">
        <v>3454</v>
      </c>
      <c r="E208" s="20" t="s">
        <v>3455</v>
      </c>
      <c r="F208" s="9"/>
      <c r="G208" s="9"/>
      <c r="H208" s="25" t="s">
        <v>3427</v>
      </c>
      <c r="I208" s="9" t="str">
        <f>IFERROR(__xludf.DUMMYFUNCTION("GOOGLETRANSLATE(B208,""en"",""ar"")"),"المقاتل على اليمين في عملية...")</f>
        <v>المقاتل على اليمين في عملية...</v>
      </c>
      <c r="J208" s="9" t="str">
        <f>IFERROR(__xludf.DUMMYFUNCTION("GOOGLETRANSLATE(C208,""en"",""ar"")"),"أ) الدفاع عن نفسه، ب) توجيه ضربة قوية للأسفل، ج) الهروب، د) الاستسلام")</f>
        <v>أ) الدفاع عن نفسه، ب) توجيه ضربة قوية للأسفل، ج) الهروب، د) الاستسلام</v>
      </c>
      <c r="K208" s="9" t="str">
        <f>IFERROR(__xludf.DUMMYFUNCTION("GOOGLETRANSLATE(D208,""en"",""ar"")"),"ب) توجيه ضربة قوية نحو الأسفل")</f>
        <v>ب) توجيه ضربة قوية نحو الأسفل</v>
      </c>
      <c r="L208" s="9" t="str">
        <f>IFERROR(__xludf.DUMMYFUNCTION("GOOGLETRANSLATE(E208,""en"",""ar"")"),"يتم رفع ذراعيه ويتم لف جسده لإنزال عصاه بأقصى قوة.")</f>
        <v>يتم رفع ذراعيه ويتم لف جسده لإنزال عصاه بأقصى قوة.</v>
      </c>
      <c r="M208" s="9"/>
      <c r="N208" s="9"/>
      <c r="O208" s="9"/>
      <c r="P208" s="9"/>
      <c r="Q208" s="9"/>
      <c r="R208" s="9"/>
      <c r="S208" s="9"/>
      <c r="T208" s="9"/>
      <c r="U208" s="9"/>
      <c r="V208" s="9"/>
      <c r="W208" s="9"/>
      <c r="X208" s="9"/>
      <c r="Y208" s="9"/>
      <c r="Z208" s="9"/>
      <c r="AA208" s="9"/>
      <c r="AB208" s="9"/>
      <c r="AC208" s="9"/>
      <c r="AD208" s="9"/>
      <c r="AE208" s="9"/>
      <c r="AF208" s="9"/>
      <c r="AG208" s="9"/>
    </row>
    <row r="209">
      <c r="A209" s="20" t="s">
        <v>3427</v>
      </c>
      <c r="B209" s="20" t="s">
        <v>3456</v>
      </c>
      <c r="C209" s="20" t="s">
        <v>3457</v>
      </c>
      <c r="D209" s="20" t="s">
        <v>3458</v>
      </c>
      <c r="E209" s="20" t="s">
        <v>3459</v>
      </c>
      <c r="F209" s="9"/>
      <c r="G209" s="9"/>
      <c r="H209" s="26" t="s">
        <v>3427</v>
      </c>
      <c r="I209" s="9" t="str">
        <f>IFERROR(__xludf.DUMMYFUNCTION("GOOGLETRANSLATE(B209,""en"",""ar"")"),"هذا النوع من القتال الطقسي هو في كثير من الأحيان ...")</f>
        <v>هذا النوع من القتال الطقسي هو في كثير من الأحيان ...</v>
      </c>
      <c r="J209" s="9" t="str">
        <f>IFERROR(__xludf.DUMMYFUNCTION("GOOGLETRANSLATE(C209,""en"",""ar"")"),"أ) وسيلة لكبار السن لتسوية النزاعات، ب) طقوس المرور للشباب، ج) رياضة للنساء فقط، د) اختراع حديث للسياحة")</f>
        <v>أ) وسيلة لكبار السن لتسوية النزاعات، ب) طقوس المرور للشباب، ج) رياضة للنساء فقط، د) اختراع حديث للسياحة</v>
      </c>
      <c r="K209" s="9" t="str">
        <f>IFERROR(__xludf.DUMMYFUNCTION("GOOGLETRANSLATE(D209,""en"",""ar"")"),"ب) طقوس المرور للشباب")</f>
        <v>ب) طقوس المرور للشباب</v>
      </c>
      <c r="L209" s="9" t="str">
        <f>IFERROR(__xludf.DUMMYFUNCTION("GOOGLETRANSLATE(E209,""en"",""ar"")"),"يعد دونجا جزءًا أساسيًا من الانتقال من مرحلة الصبا إلى الرجولة، وطريقة للشباب لإثبات شجاعتهم وقيمتهم كمحاربين.")</f>
        <v>يعد دونجا جزءًا أساسيًا من الانتقال من مرحلة الصبا إلى الرجولة، وطريقة للشباب لإثبات شجاعتهم وقيمتهم كمحاربين.</v>
      </c>
      <c r="M209" s="9"/>
      <c r="N209" s="9"/>
      <c r="O209" s="9"/>
      <c r="P209" s="9"/>
      <c r="Q209" s="9"/>
      <c r="R209" s="9"/>
      <c r="S209" s="9"/>
      <c r="T209" s="9"/>
      <c r="U209" s="9"/>
      <c r="V209" s="9"/>
      <c r="W209" s="9"/>
      <c r="X209" s="9"/>
      <c r="Y209" s="9"/>
      <c r="Z209" s="9"/>
      <c r="AA209" s="9"/>
      <c r="AB209" s="9"/>
      <c r="AC209" s="9"/>
      <c r="AD209" s="9"/>
      <c r="AE209" s="9"/>
      <c r="AF209" s="9"/>
      <c r="AG209" s="9"/>
    </row>
    <row r="210">
      <c r="A210" s="20" t="s">
        <v>3427</v>
      </c>
      <c r="B210" s="20" t="s">
        <v>3460</v>
      </c>
      <c r="C210" s="20" t="s">
        <v>3461</v>
      </c>
      <c r="D210" s="20" t="s">
        <v>3462</v>
      </c>
      <c r="E210" s="20" t="s">
        <v>3463</v>
      </c>
      <c r="F210" s="9"/>
      <c r="G210" s="9"/>
      <c r="H210" s="25" t="s">
        <v>3427</v>
      </c>
      <c r="I210" s="9" t="str">
        <f>IFERROR(__xludf.DUMMYFUNCTION("GOOGLETRANSLATE(B210,""en"",""ar"")"),"الإعداد هو ...")</f>
        <v>الإعداد هو ...</v>
      </c>
      <c r="J210" s="9" t="str">
        <f>IFERROR(__xludf.DUMMYFUNCTION("GOOGLETRANSLATE(C210,""en"",""ar"")"),"أ) صحراء رملية، ب) سافانا عشبية بأشجار متفرقة، ج) غابات مطيرة كثيفة، د) ملعب حديث")</f>
        <v>أ) صحراء رملية، ب) سافانا عشبية بأشجار متفرقة، ج) غابات مطيرة كثيفة، د) ملعب حديث</v>
      </c>
      <c r="K210" s="9" t="str">
        <f>IFERROR(__xludf.DUMMYFUNCTION("GOOGLETRANSLATE(D210,""en"",""ar"")"),"ب) السافانا العشبية ذات الأشجار المتناثرة")</f>
        <v>ب) السافانا العشبية ذات الأشجار المتناثرة</v>
      </c>
      <c r="L210" s="9" t="str">
        <f>IFERROR(__xludf.DUMMYFUNCTION("GOOGLETRANSLATE(E210,""en"",""ar"")"),"العشب الجاف وأشجار السنط هي من السمات المميزة لبيئة السافانا في شرق أفريقيا.")</f>
        <v>العشب الجاف وأشجار السنط هي من السمات المميزة لبيئة السافانا في شرق أفريقيا.</v>
      </c>
      <c r="M210" s="9"/>
      <c r="N210" s="9"/>
      <c r="O210" s="9"/>
      <c r="P210" s="9"/>
      <c r="Q210" s="9"/>
      <c r="R210" s="9"/>
      <c r="S210" s="9"/>
      <c r="T210" s="9"/>
      <c r="U210" s="9"/>
      <c r="V210" s="9"/>
      <c r="W210" s="9"/>
      <c r="X210" s="9"/>
      <c r="Y210" s="9"/>
      <c r="Z210" s="9"/>
      <c r="AA210" s="9"/>
      <c r="AB210" s="9"/>
      <c r="AC210" s="9"/>
      <c r="AD210" s="9"/>
      <c r="AE210" s="9"/>
      <c r="AF210" s="9"/>
      <c r="AG210" s="9"/>
    </row>
    <row r="211">
      <c r="A211" s="20" t="s">
        <v>3427</v>
      </c>
      <c r="B211" s="20" t="s">
        <v>3464</v>
      </c>
      <c r="C211" s="20" t="s">
        <v>3465</v>
      </c>
      <c r="D211" s="20" t="s">
        <v>3466</v>
      </c>
      <c r="E211" s="20" t="s">
        <v>3467</v>
      </c>
      <c r="F211" s="9"/>
      <c r="G211" s="9"/>
      <c r="H211" s="26" t="s">
        <v>3427</v>
      </c>
      <c r="I211" s="9" t="str">
        <f>IFERROR(__xludf.DUMMYFUNCTION("GOOGLETRANSLATE(B211,""en"",""ar"")"),"وتظهر تعابير الوجه المكثفة للمقاتلين...")</f>
        <v>وتظهر تعابير الوجه المكثفة للمقاتلين...</v>
      </c>
      <c r="J211" s="9" t="str">
        <f>IFERROR(__xludf.DUMMYFUNCTION("GOOGLETRANSLATE(C211,""en"",""ar"")"),"أ) طبيعة اللعبة المرحة، ب) تركيزهم، عدوانيتهم، وتصميمهم، ج) مللهم من القتال، د) ارتباكهم بشأن القواعد")</f>
        <v>أ) طبيعة اللعبة المرحة، ب) تركيزهم، عدوانيتهم، وتصميمهم، ج) مللهم من القتال، د) ارتباكهم بشأن القواعد</v>
      </c>
      <c r="K211" s="9" t="str">
        <f>IFERROR(__xludf.DUMMYFUNCTION("GOOGLETRANSLATE(D211,""en"",""ar"")"),"ب) تركيزهم، وعدوانيتهم، وتصميمهم")</f>
        <v>ب) تركيزهم، وعدوانيتهم، وتصميمهم</v>
      </c>
      <c r="L211" s="9" t="str">
        <f>IFERROR(__xludf.DUMMYFUNCTION("GOOGLETRANSLATE(E211,""en"",""ar"")"),"وتكشف وجوههم عن مدى جدية وكثافة هذا القتال التقليدي ذي المخاطر العالية.")</f>
        <v>وتكشف وجوههم عن مدى جدية وكثافة هذا القتال التقليدي ذي المخاطر العالية.</v>
      </c>
      <c r="M211" s="9"/>
      <c r="N211" s="9"/>
      <c r="O211" s="9"/>
      <c r="P211" s="9"/>
      <c r="Q211" s="9"/>
      <c r="R211" s="9"/>
      <c r="S211" s="9"/>
      <c r="T211" s="9"/>
      <c r="U211" s="9"/>
      <c r="V211" s="9"/>
      <c r="W211" s="9"/>
      <c r="X211" s="9"/>
      <c r="Y211" s="9"/>
      <c r="Z211" s="9"/>
      <c r="AA211" s="9"/>
      <c r="AB211" s="9"/>
      <c r="AC211" s="9"/>
      <c r="AD211" s="9"/>
      <c r="AE211" s="9"/>
      <c r="AF211" s="9"/>
      <c r="AG211" s="9"/>
    </row>
    <row r="212">
      <c r="A212" s="20" t="s">
        <v>3468</v>
      </c>
      <c r="B212" s="20" t="s">
        <v>3469</v>
      </c>
      <c r="C212" s="20" t="s">
        <v>3470</v>
      </c>
      <c r="D212" s="20" t="s">
        <v>3471</v>
      </c>
      <c r="E212" s="20" t="s">
        <v>3472</v>
      </c>
      <c r="F212" s="9"/>
      <c r="G212" s="9"/>
      <c r="H212" s="25" t="s">
        <v>3468</v>
      </c>
      <c r="I212" s="9" t="str">
        <f>IFERROR(__xludf.DUMMYFUNCTION("GOOGLETRANSLATE(B212,""en"",""ar"")"),"هذه الصورة التاريخية تظهر محاربًا من أي مجموعة عرقية في شرق إفريقيا؟")</f>
        <v>هذه الصورة التاريخية تظهر محاربًا من أي مجموعة عرقية في شرق إفريقيا؟</v>
      </c>
      <c r="J212" s="9" t="str">
        <f>IFERROR(__xludf.DUMMYFUNCTION("GOOGLETRANSLATE(C212,""en"",""ar"")"),"أ) الزولو، ب) الماساي، ج) النوبة، د) البجا")</f>
        <v>أ) الزولو، ب) الماساي، ج) النوبة، د) البجا</v>
      </c>
      <c r="K212" s="9" t="str">
        <f>IFERROR(__xludf.DUMMYFUNCTION("GOOGLETRANSLATE(D212,""en"",""ar"")"),"د) بيجا")</f>
        <v>د) بيجا</v>
      </c>
      <c r="L212" s="9" t="str">
        <f>IFERROR(__xludf.DUMMYFUNCTION("GOOGLETRANSLATE(E212,""en"",""ar"")"),"هذه صورة فوتوغرافية معروفة من القرن التاسع عشر لمحارب بيجا، اشتهر بتسريحة شعره المميزة وبراعته القتالية.")</f>
        <v>هذه صورة فوتوغرافية معروفة من القرن التاسع عشر لمحارب بيجا، اشتهر بتسريحة شعره المميزة وبراعته القتالية.</v>
      </c>
      <c r="M212" s="9"/>
      <c r="N212" s="9"/>
      <c r="O212" s="9"/>
      <c r="P212" s="9"/>
      <c r="Q212" s="9"/>
      <c r="R212" s="9"/>
      <c r="S212" s="9"/>
      <c r="T212" s="9"/>
      <c r="U212" s="9"/>
      <c r="V212" s="9"/>
      <c r="W212" s="9"/>
      <c r="X212" s="9"/>
      <c r="Y212" s="9"/>
      <c r="Z212" s="9"/>
      <c r="AA212" s="9"/>
      <c r="AB212" s="9"/>
      <c r="AC212" s="9"/>
      <c r="AD212" s="9"/>
      <c r="AE212" s="9"/>
      <c r="AF212" s="9"/>
      <c r="AG212" s="9"/>
    </row>
    <row r="213">
      <c r="A213" s="20" t="s">
        <v>3468</v>
      </c>
      <c r="B213" s="20" t="s">
        <v>3473</v>
      </c>
      <c r="C213" s="20" t="s">
        <v>3474</v>
      </c>
      <c r="D213" s="20" t="s">
        <v>3475</v>
      </c>
      <c r="E213" s="20" t="s">
        <v>3476</v>
      </c>
      <c r="F213" s="9"/>
      <c r="G213" s="9"/>
      <c r="H213" s="26" t="s">
        <v>3468</v>
      </c>
      <c r="I213" s="9" t="str">
        <f>IFERROR(__xludf.DUMMYFUNCTION("GOOGLETRANSLATE(B213,""en"",""ar"")"),"يعتبر شعب البجا من البدو الرحل الذين يسكنون المنطقة الصحراوية الواقعة بين...")</f>
        <v>يعتبر شعب البجا من البدو الرحل الذين يسكنون المنطقة الصحراوية الواقعة بين...</v>
      </c>
      <c r="J213" s="9" t="str">
        <f>IFERROR(__xludf.DUMMYFUNCTION("GOOGLETRANSLATE(C213,""en"",""ar"")"),"أ) نهر النيل والبحر الأحمر، ب) المحيط الأطلسي والصحراء الكبرى، ج) نهر الكونغو والوادي المتصدع العظيم، د) البحر الأبيض المتوسط ​​وجبال الألب")</f>
        <v>أ) نهر النيل والبحر الأحمر، ب) المحيط الأطلسي والصحراء الكبرى، ج) نهر الكونغو والوادي المتصدع العظيم، د) البحر الأبيض المتوسط ​​وجبال الألب</v>
      </c>
      <c r="K213" s="9" t="str">
        <f>IFERROR(__xludf.DUMMYFUNCTION("GOOGLETRANSLATE(D213,""en"",""ar"")"),"أ) نهر النيل والبحر الأحمر")</f>
        <v>أ) نهر النيل والبحر الأحمر</v>
      </c>
      <c r="L213" s="9" t="str">
        <f>IFERROR(__xludf.DUMMYFUNCTION("GOOGLETRANSLATE(E213,""en"",""ar"")"),"الموطن التقليدي للبجا هو الصحراء الشرقية، التي تقع في جنوب شرق مصر، وشرق السودان، وإريتريا.")</f>
        <v>الموطن التقليدي للبجا هو الصحراء الشرقية، التي تقع في جنوب شرق مصر، وشرق السودان، وإريتريا.</v>
      </c>
      <c r="M213" s="9"/>
      <c r="N213" s="9"/>
      <c r="O213" s="9"/>
      <c r="P213" s="9"/>
      <c r="Q213" s="9"/>
      <c r="R213" s="9"/>
      <c r="S213" s="9"/>
      <c r="T213" s="9"/>
      <c r="U213" s="9"/>
      <c r="V213" s="9"/>
      <c r="W213" s="9"/>
      <c r="X213" s="9"/>
      <c r="Y213" s="9"/>
      <c r="Z213" s="9"/>
      <c r="AA213" s="9"/>
      <c r="AB213" s="9"/>
      <c r="AC213" s="9"/>
      <c r="AD213" s="9"/>
      <c r="AE213" s="9"/>
      <c r="AF213" s="9"/>
      <c r="AG213" s="9"/>
    </row>
    <row r="214">
      <c r="A214" s="20" t="s">
        <v>3468</v>
      </c>
      <c r="B214" s="20" t="s">
        <v>3477</v>
      </c>
      <c r="C214" s="20" t="s">
        <v>3478</v>
      </c>
      <c r="D214" s="20" t="s">
        <v>3479</v>
      </c>
      <c r="E214" s="20" t="s">
        <v>3480</v>
      </c>
      <c r="F214" s="9"/>
      <c r="G214" s="9"/>
      <c r="H214" s="25" t="s">
        <v>3468</v>
      </c>
      <c r="I214" s="9" t="str">
        <f>IFERROR(__xludf.DUMMYFUNCTION("GOOGLETRANSLATE(B214,""en"",""ar"")"),"ما هي أبرز وأشهر سمات الرجل؟")</f>
        <v>ما هي أبرز وأشهر سمات الرجل؟</v>
      </c>
      <c r="J214" s="9" t="str">
        <f>IFERROR(__xludf.DUMMYFUNCTION("GOOGLETRANSLATE(C214,""en"",""ar"")"),"أ) ملابسه، ب) تسريحة شعره الواسعة والكبيرة، ج) طوله، د) حذائه")</f>
        <v>أ) ملابسه، ب) تسريحة شعره الواسعة والكبيرة، ج) طوله، د) حذائه</v>
      </c>
      <c r="K214" s="9" t="str">
        <f>IFERROR(__xludf.DUMMYFUNCTION("GOOGLETRANSLATE(D214,""en"",""ar"")"),"ب) تسريحة شعره الكبيرة والواسعة")</f>
        <v>ب) تسريحة شعره الكبيرة والواسعة</v>
      </c>
      <c r="L214" s="9" t="str">
        <f>IFERROR(__xludf.DUMMYFUNCTION("GOOGLETRANSLATE(E214,""en"",""ar"")"),"كان محاربو البيجا يلقبون بـ ""فوزي ووزيز"" من قبل القوات الاستعمارية البريطانية بسبب شعرهم الفريد والكثيف، والذي كانوا يعالجونه بالزبدة أو الدهون.")</f>
        <v>كان محاربو البيجا يلقبون بـ "فوزي ووزيز" من قبل القوات الاستعمارية البريطانية بسبب شعرهم الفريد والكثيف، والذي كانوا يعالجونه بالزبدة أو الدهون.</v>
      </c>
      <c r="M214" s="9"/>
      <c r="N214" s="9"/>
      <c r="O214" s="9"/>
      <c r="P214" s="9"/>
      <c r="Q214" s="9"/>
      <c r="R214" s="9"/>
      <c r="S214" s="9"/>
      <c r="T214" s="9"/>
      <c r="U214" s="9"/>
      <c r="V214" s="9"/>
      <c r="W214" s="9"/>
      <c r="X214" s="9"/>
      <c r="Y214" s="9"/>
      <c r="Z214" s="9"/>
      <c r="AA214" s="9"/>
      <c r="AB214" s="9"/>
      <c r="AC214" s="9"/>
      <c r="AD214" s="9"/>
      <c r="AE214" s="9"/>
      <c r="AF214" s="9"/>
      <c r="AG214" s="9"/>
    </row>
    <row r="215">
      <c r="A215" s="20" t="s">
        <v>3468</v>
      </c>
      <c r="B215" s="20" t="s">
        <v>3481</v>
      </c>
      <c r="C215" s="20" t="s">
        <v>3482</v>
      </c>
      <c r="D215" s="20" t="s">
        <v>3483</v>
      </c>
      <c r="E215" s="20" t="s">
        <v>3484</v>
      </c>
      <c r="F215" s="9"/>
      <c r="G215" s="9"/>
      <c r="H215" s="26" t="s">
        <v>3468</v>
      </c>
      <c r="I215" s="9" t="str">
        <f>IFERROR(__xludf.DUMMYFUNCTION("GOOGLETRANSLATE(B215,""en"",""ar"")"),"ماذا يحمل الرجل في يده اليمنى؟")</f>
        <v>ماذا يحمل الرجل في يده اليمنى؟</v>
      </c>
      <c r="J215" s="9" t="str">
        <f>IFERROR(__xludf.DUMMYFUNCTION("GOOGLETRANSLATE(C215,""en"",""ar"")"),"أ) بندقية، ب) سيف تقليدي، ج) أداة زراعية، د) آلة موسيقية")</f>
        <v>أ) بندقية، ب) سيف تقليدي، ج) أداة زراعية، د) آلة موسيقية</v>
      </c>
      <c r="K215" s="9" t="str">
        <f>IFERROR(__xludf.DUMMYFUNCTION("GOOGLETRANSLATE(D215,""en"",""ar"")"),"ب) السيف التقليدي")</f>
        <v>ب) السيف التقليدي</v>
      </c>
      <c r="L215" s="9" t="str">
        <f>IFERROR(__xludf.DUMMYFUNCTION("GOOGLETRANSLATE(E215,""en"",""ar"")"),"وهو يحمل نوعًا من السيف المستقيم ذي الحدين المعروف باسم الكاسكارا.")</f>
        <v>وهو يحمل نوعًا من السيف المستقيم ذي الحدين المعروف باسم الكاسكارا.</v>
      </c>
      <c r="M215" s="9"/>
      <c r="N215" s="9"/>
      <c r="O215" s="9"/>
      <c r="P215" s="9"/>
      <c r="Q215" s="9"/>
      <c r="R215" s="9"/>
      <c r="S215" s="9"/>
      <c r="T215" s="9"/>
      <c r="U215" s="9"/>
      <c r="V215" s="9"/>
      <c r="W215" s="9"/>
      <c r="X215" s="9"/>
      <c r="Y215" s="9"/>
      <c r="Z215" s="9"/>
      <c r="AA215" s="9"/>
      <c r="AB215" s="9"/>
      <c r="AC215" s="9"/>
      <c r="AD215" s="9"/>
      <c r="AE215" s="9"/>
      <c r="AF215" s="9"/>
      <c r="AG215" s="9"/>
    </row>
    <row r="216">
      <c r="A216" s="20" t="s">
        <v>3468</v>
      </c>
      <c r="B216" s="20" t="s">
        <v>3485</v>
      </c>
      <c r="C216" s="20" t="s">
        <v>3486</v>
      </c>
      <c r="D216" s="20" t="s">
        <v>3487</v>
      </c>
      <c r="E216" s="20" t="s">
        <v>3488</v>
      </c>
      <c r="F216" s="9"/>
      <c r="G216" s="9"/>
      <c r="H216" s="25" t="s">
        <v>3468</v>
      </c>
      <c r="I216" s="9" t="str">
        <f>IFERROR(__xludf.DUMMYFUNCTION("GOOGLETRANSLATE(B216,""en"",""ar"")"),"ماذا يحيط بجسمه؟")</f>
        <v>ماذا يحيط بجسمه؟</v>
      </c>
      <c r="J216" s="9" t="str">
        <f>IFERROR(__xludf.DUMMYFUNCTION("GOOGLETRANSLATE(C216,""en"",""ar"")"),"أ) معطف من الصوف الثقيل، ب) مئزر قطني بسيط، ج) قطعة من القماش الملفوف، د) جلود الحيوانات")</f>
        <v>أ) معطف من الصوف الثقيل، ب) مئزر قطني بسيط، ج) قطعة من القماش الملفوف، د) جلود الحيوانات</v>
      </c>
      <c r="K216" s="9" t="str">
        <f>IFERROR(__xludf.DUMMYFUNCTION("GOOGLETRANSLATE(D216,""en"",""ar"")"),"ج) قطعة من القماش المنسدل")</f>
        <v>ج) قطعة من القماش المنسدل</v>
      </c>
      <c r="L216" s="9" t="str">
        <f>IFERROR(__xludf.DUMMYFUNCTION("GOOGLETRANSLATE(E216,""en"",""ar"")"),"إنه يرتدي الملابس التقليدية.")</f>
        <v>إنه يرتدي الملابس التقليدية.</v>
      </c>
      <c r="M216" s="9"/>
      <c r="N216" s="9"/>
      <c r="O216" s="9"/>
      <c r="P216" s="9"/>
      <c r="Q216" s="9"/>
      <c r="R216" s="9"/>
      <c r="S216" s="9"/>
      <c r="T216" s="9"/>
      <c r="U216" s="9"/>
      <c r="V216" s="9"/>
      <c r="W216" s="9"/>
      <c r="X216" s="9"/>
      <c r="Y216" s="9"/>
      <c r="Z216" s="9"/>
      <c r="AA216" s="9"/>
      <c r="AB216" s="9"/>
      <c r="AC216" s="9"/>
      <c r="AD216" s="9"/>
      <c r="AE216" s="9"/>
      <c r="AF216" s="9"/>
      <c r="AG216" s="9"/>
    </row>
    <row r="217">
      <c r="A217" s="20" t="s">
        <v>3468</v>
      </c>
      <c r="B217" s="20" t="s">
        <v>3489</v>
      </c>
      <c r="C217" s="20" t="s">
        <v>3490</v>
      </c>
      <c r="D217" s="20" t="s">
        <v>3491</v>
      </c>
      <c r="E217" s="20" t="s">
        <v>3492</v>
      </c>
      <c r="F217" s="9"/>
      <c r="G217" s="9"/>
      <c r="H217" s="26" t="s">
        <v>3468</v>
      </c>
      <c r="I217" s="9" t="str">
        <f>IFERROR(__xludf.DUMMYFUNCTION("GOOGLETRANSLATE(B217,""en"",""ar"")"),"من المرجح أن القلائد والسحر الذي يرتديه...")</f>
        <v>من المرجح أن القلائد والسحر الذي يرتديه...</v>
      </c>
      <c r="J217" s="9" t="str">
        <f>IFERROR(__xludf.DUMMYFUNCTION("GOOGLETRANSLATE(C217,""en"",""ar"")"),"أ) إكسسوارات الموضة الحديثة، ب) التمائم للحماية الروحية، ج) شكل من أشكال العملة، د) هدية من سائح")</f>
        <v>أ) إكسسوارات الموضة الحديثة، ب) التمائم للحماية الروحية، ج) شكل من أشكال العملة، د) هدية من سائح</v>
      </c>
      <c r="K217" s="9" t="str">
        <f>IFERROR(__xludf.DUMMYFUNCTION("GOOGLETRANSLATE(D217,""en"",""ar"")"),"ب) التمائم للحماية الروحية")</f>
        <v>ب) التمائم للحماية الروحية</v>
      </c>
      <c r="L217" s="9" t="str">
        <f>IFERROR(__xludf.DUMMYFUNCTION("GOOGLETRANSLATE(E217,""en"",""ar"")"),"كان من الشائع أن يرتدي المحاربون التمائم التي تحتوي على آيات من القرآن الكريم أو أشياء أخرى يُعتقد أنها توفر الحماية في المعركة.")</f>
        <v>كان من الشائع أن يرتدي المحاربون التمائم التي تحتوي على آيات من القرآن الكريم أو أشياء أخرى يُعتقد أنها توفر الحماية في المعركة.</v>
      </c>
      <c r="M217" s="9"/>
      <c r="N217" s="9"/>
      <c r="O217" s="9"/>
      <c r="P217" s="9"/>
      <c r="Q217" s="9"/>
      <c r="R217" s="9"/>
      <c r="S217" s="9"/>
      <c r="T217" s="9"/>
      <c r="U217" s="9"/>
      <c r="V217" s="9"/>
      <c r="W217" s="9"/>
      <c r="X217" s="9"/>
      <c r="Y217" s="9"/>
      <c r="Z217" s="9"/>
      <c r="AA217" s="9"/>
      <c r="AB217" s="9"/>
      <c r="AC217" s="9"/>
      <c r="AD217" s="9"/>
      <c r="AE217" s="9"/>
      <c r="AF217" s="9"/>
      <c r="AG217" s="9"/>
    </row>
    <row r="218">
      <c r="A218" s="20" t="s">
        <v>3468</v>
      </c>
      <c r="B218" s="20" t="s">
        <v>3493</v>
      </c>
      <c r="C218" s="20" t="s">
        <v>3494</v>
      </c>
      <c r="D218" s="20" t="s">
        <v>3495</v>
      </c>
      <c r="E218" s="20" t="s">
        <v>3496</v>
      </c>
      <c r="F218" s="9"/>
      <c r="G218" s="9"/>
      <c r="H218" s="25" t="s">
        <v>3468</v>
      </c>
      <c r="I218" s="9" t="str">
        <f>IFERROR(__xludf.DUMMYFUNCTION("GOOGLETRANSLATE(B218,""en"",""ar"")"),"إن البنية الجسدية القوية والنحيفة للرجل هي نتيجة لأسلوب حياة يتكيف مع...")</f>
        <v>إن البنية الجسدية القوية والنحيفة للرجل هي نتيجة لأسلوب حياة يتكيف مع...</v>
      </c>
      <c r="J218" s="9" t="str">
        <f>IFERROR(__xludf.DUMMYFUNCTION("GOOGLETRANSLATE(C218,""en"",""ar"")"),"أ) بيئة قطبية باردة، ب) بيئة صحراوية قاسية وجافة، ج) بيئة حضرية مستقرة، د) بيئة غابات كثيفة")</f>
        <v>أ) بيئة قطبية باردة، ب) بيئة صحراوية قاسية وجافة، ج) بيئة حضرية مستقرة، د) بيئة غابات كثيفة</v>
      </c>
      <c r="K218" s="9" t="str">
        <f>IFERROR(__xludf.DUMMYFUNCTION("GOOGLETRANSLATE(D218,""en"",""ar"")"),"ب) بيئة صحراوية قاسية وجافة")</f>
        <v>ب) بيئة صحراوية قاسية وجافة</v>
      </c>
      <c r="L218" s="9" t="str">
        <f>IFERROR(__xludf.DUMMYFUNCTION("GOOGLETRANSLATE(E218,""en"",""ar"")"),"يشتهر شعب البجا بقدرتهم على الصمود والتكيف مع التحديات القاسية التي يفرضها العيش في الصحراء.")</f>
        <v>يشتهر شعب البجا بقدرتهم على الصمود والتكيف مع التحديات القاسية التي يفرضها العيش في الصحراء.</v>
      </c>
      <c r="M218" s="9"/>
      <c r="N218" s="9"/>
      <c r="O218" s="9"/>
      <c r="P218" s="9"/>
      <c r="Q218" s="9"/>
      <c r="R218" s="9"/>
      <c r="S218" s="9"/>
      <c r="T218" s="9"/>
      <c r="U218" s="9"/>
      <c r="V218" s="9"/>
      <c r="W218" s="9"/>
      <c r="X218" s="9"/>
      <c r="Y218" s="9"/>
      <c r="Z218" s="9"/>
      <c r="AA218" s="9"/>
      <c r="AB218" s="9"/>
      <c r="AC218" s="9"/>
      <c r="AD218" s="9"/>
      <c r="AE218" s="9"/>
      <c r="AF218" s="9"/>
      <c r="AG218" s="9"/>
    </row>
    <row r="219">
      <c r="A219" s="20" t="s">
        <v>3468</v>
      </c>
      <c r="B219" s="20" t="s">
        <v>3497</v>
      </c>
      <c r="C219" s="20" t="s">
        <v>3498</v>
      </c>
      <c r="D219" s="20" t="s">
        <v>3499</v>
      </c>
      <c r="E219" s="20" t="s">
        <v>3500</v>
      </c>
      <c r="F219" s="9"/>
      <c r="G219" s="9"/>
      <c r="H219" s="26" t="s">
        <v>3468</v>
      </c>
      <c r="I219" s="9" t="str">
        <f>IFERROR(__xludf.DUMMYFUNCTION("GOOGLETRANSLATE(B219,""en"",""ar"")"),"ما هي سمعة محاربي البجا بين القوى الخارجية مثل الإمبراطورية البريطانية؟")</f>
        <v>ما هي سمعة محاربي البجا بين القوى الخارجية مثل الإمبراطورية البريطانية؟</v>
      </c>
      <c r="J219" s="9" t="str">
        <f>IFERROR(__xludf.DUMMYFUNCTION("GOOGLETRANSLATE(C219,""en"",""ar"")"),"أ) كانوا معروفين بسلامهم وخجلهم، ب) كانوا مشهورين بشراستهم ومهاراتهم القتالية، ج) كانوا معروفين بسهولة هزيمتهم، د) لم تكن لديهم سمعة كمقاتلين")</f>
        <v>أ) كانوا معروفين بسلامهم وخجلهم، ب) كانوا مشهورين بشراستهم ومهاراتهم القتالية، ج) كانوا معروفين بسهولة هزيمتهم، د) لم تكن لديهم سمعة كمقاتلين</v>
      </c>
      <c r="K219" s="9" t="str">
        <f>IFERROR(__xludf.DUMMYFUNCTION("GOOGLETRANSLATE(D219,""en"",""ar"")"),"ب) كانوا مشهورين بشراستهم ومهاراتهم القتالية")</f>
        <v>ب) كانوا مشهورين بشراستهم ومهاراتهم القتالية</v>
      </c>
      <c r="L219" s="9" t="str">
        <f>IFERROR(__xludf.DUMMYFUNCTION("GOOGLETRANSLATE(E219,""en"",""ar"")"),"قاوم البجا الحكم الاستعماري بشراسة واكتسبوا سمعة بين الجنود البريطانيين كمحاربين شجعان وذوي قدرات هائلة.")</f>
        <v>قاوم البجا الحكم الاستعماري بشراسة واكتسبوا سمعة بين الجنود البريطانيين كمحاربين شجعان وذوي قدرات هائلة.</v>
      </c>
      <c r="M219" s="9"/>
      <c r="N219" s="9"/>
      <c r="O219" s="9"/>
      <c r="P219" s="9"/>
      <c r="Q219" s="9"/>
      <c r="R219" s="9"/>
      <c r="S219" s="9"/>
      <c r="T219" s="9"/>
      <c r="U219" s="9"/>
      <c r="V219" s="9"/>
      <c r="W219" s="9"/>
      <c r="X219" s="9"/>
      <c r="Y219" s="9"/>
      <c r="Z219" s="9"/>
      <c r="AA219" s="9"/>
      <c r="AB219" s="9"/>
      <c r="AC219" s="9"/>
      <c r="AD219" s="9"/>
      <c r="AE219" s="9"/>
      <c r="AF219" s="9"/>
      <c r="AG219" s="9"/>
    </row>
    <row r="220">
      <c r="A220" s="20" t="s">
        <v>3468</v>
      </c>
      <c r="B220" s="20" t="s">
        <v>3501</v>
      </c>
      <c r="C220" s="20" t="s">
        <v>3502</v>
      </c>
      <c r="D220" s="20" t="s">
        <v>3503</v>
      </c>
      <c r="E220" s="20" t="s">
        <v>3504</v>
      </c>
      <c r="F220" s="9"/>
      <c r="G220" s="9"/>
      <c r="H220" s="25" t="s">
        <v>3468</v>
      </c>
      <c r="I220" s="9" t="str">
        <f>IFERROR(__xludf.DUMMYFUNCTION("GOOGLETRANSLATE(B220,""en"",""ar"")"),"هذه الصورة قيمة...")</f>
        <v>هذه الصورة قيمة...</v>
      </c>
      <c r="J220" s="9" t="str">
        <f>IFERROR(__xludf.DUMMYFUNCTION("GOOGLETRANSLATE(C220,""en"",""ar"")"),"أ) صورة سياحية حديثة، ب) وثيقة إثنوغرافية وتاريخية، ج) صورة أزياء، د) صورة ثابتة من فيلم هوليوودي")</f>
        <v>أ) صورة سياحية حديثة، ب) وثيقة إثنوغرافية وتاريخية، ج) صورة أزياء، د) صورة ثابتة من فيلم هوليوودي</v>
      </c>
      <c r="K220" s="9" t="str">
        <f>IFERROR(__xludf.DUMMYFUNCTION("GOOGLETRANSLATE(D220,""en"",""ar"")"),"ب) وثيقة إثنوغرافية وتاريخية")</f>
        <v>ب) وثيقة إثنوغرافية وتاريخية</v>
      </c>
      <c r="L220" s="9" t="str">
        <f>IFERROR(__xludf.DUMMYFUNCTION("GOOGLETRANSLATE(E220,""en"",""ar"")"),"وهو سجل تاريخي مهم لظهور وثقافة شعب البجا في القرن التاسع عشر أو أوائل القرن العشرين.")</f>
        <v>وهو سجل تاريخي مهم لظهور وثقافة شعب البجا في القرن التاسع عشر أو أوائل القرن العشرين.</v>
      </c>
      <c r="M220" s="9"/>
      <c r="N220" s="9"/>
      <c r="O220" s="9"/>
      <c r="P220" s="9"/>
      <c r="Q220" s="9"/>
      <c r="R220" s="9"/>
      <c r="S220" s="9"/>
      <c r="T220" s="9"/>
      <c r="U220" s="9"/>
      <c r="V220" s="9"/>
      <c r="W220" s="9"/>
      <c r="X220" s="9"/>
      <c r="Y220" s="9"/>
      <c r="Z220" s="9"/>
      <c r="AA220" s="9"/>
      <c r="AB220" s="9"/>
      <c r="AC220" s="9"/>
      <c r="AD220" s="9"/>
      <c r="AE220" s="9"/>
      <c r="AF220" s="9"/>
      <c r="AG220" s="9"/>
    </row>
    <row r="221">
      <c r="A221" s="20" t="s">
        <v>3468</v>
      </c>
      <c r="B221" s="20" t="s">
        <v>3505</v>
      </c>
      <c r="C221" s="20" t="s">
        <v>3506</v>
      </c>
      <c r="D221" s="20" t="s">
        <v>3507</v>
      </c>
      <c r="E221" s="20" t="s">
        <v>3508</v>
      </c>
      <c r="F221" s="9"/>
      <c r="G221" s="9"/>
      <c r="H221" s="26" t="s">
        <v>3468</v>
      </c>
      <c r="I221" s="9" t="str">
        <f>IFERROR(__xludf.DUMMYFUNCTION("GOOGLETRANSLATE(B221,""en"",""ar"")"),"إن نظرة الرجل المباشرة الواثقة تجاه الكاميرا تعكس إحساسًا بـ...")</f>
        <v>إن نظرة الرجل المباشرة الواثقة تجاه الكاميرا تعكس إحساسًا بـ...</v>
      </c>
      <c r="J221" s="9" t="str">
        <f>IFERROR(__xludf.DUMMYFUNCTION("GOOGLETRANSLATE(C221,""en"",""ar"")"),"أ) الخوف والخضوع، ب) الكبرياء والقوة، ج) الارتباك والفضول، د) الحزن واليأس")</f>
        <v>أ) الخوف والخضوع، ب) الكبرياء والقوة، ج) الارتباك والفضول، د) الحزن واليأس</v>
      </c>
      <c r="K221" s="9" t="str">
        <f>IFERROR(__xludf.DUMMYFUNCTION("GOOGLETRANSLATE(D221,""en"",""ar"")"),"ب) الفخر والقوة")</f>
        <v>ب) الفخر والقوة</v>
      </c>
      <c r="L221" s="9" t="str">
        <f>IFERROR(__xludf.DUMMYFUNCTION("GOOGLETRANSLATE(E221,""en"",""ar"")"),"إن وقفته ونظراته المباشرة ليست وقفة إنسان مهزوم، بل وقفة فرد فخور وواثق من نفسه.")</f>
        <v>إن وقفته ونظراته المباشرة ليست وقفة إنسان مهزوم، بل وقفة فرد فخور وواثق من نفسه.</v>
      </c>
      <c r="M221" s="9"/>
      <c r="N221" s="9"/>
      <c r="O221" s="9"/>
      <c r="P221" s="9"/>
      <c r="Q221" s="9"/>
      <c r="R221" s="9"/>
      <c r="S221" s="9"/>
      <c r="T221" s="9"/>
      <c r="U221" s="9"/>
      <c r="V221" s="9"/>
      <c r="W221" s="9"/>
      <c r="X221" s="9"/>
      <c r="Y221" s="9"/>
      <c r="Z221" s="9"/>
      <c r="AA221" s="9"/>
      <c r="AB221" s="9"/>
      <c r="AC221" s="9"/>
      <c r="AD221" s="9"/>
      <c r="AE221" s="9"/>
      <c r="AF221" s="9"/>
      <c r="AG221" s="9"/>
    </row>
    <row r="222">
      <c r="A222" s="20" t="s">
        <v>3509</v>
      </c>
      <c r="B222" s="20" t="s">
        <v>3510</v>
      </c>
      <c r="C222" s="20" t="s">
        <v>3470</v>
      </c>
      <c r="D222" s="20" t="s">
        <v>3511</v>
      </c>
      <c r="E222" s="20" t="s">
        <v>3512</v>
      </c>
      <c r="F222" s="9"/>
      <c r="G222" s="9"/>
      <c r="H222" s="25" t="s">
        <v>3509</v>
      </c>
      <c r="I222" s="9" t="str">
        <f>IFERROR(__xludf.DUMMYFUNCTION("GOOGLETRANSLATE(B222,""en"",""ar"")"),"هذه الصورة، التي من المحتمل أن تكون قد التقطتها ليني ريفنشتال في الستينيات، تظهر رجلاً وأطفالاً من أي مجموعة عرقية؟")</f>
        <v>هذه الصورة، التي من المحتمل أن تكون قد التقطتها ليني ريفنشتال في الستينيات، تظهر رجلاً وأطفالاً من أي مجموعة عرقية؟</v>
      </c>
      <c r="J222" s="9" t="str">
        <f>IFERROR(__xludf.DUMMYFUNCTION("GOOGLETRANSLATE(C222,""en"",""ar"")"),"أ) الزولو، ب) الماساي، ج) النوبة، د) البجا")</f>
        <v>أ) الزولو، ب) الماساي، ج) النوبة، د) البجا</v>
      </c>
      <c r="K222" s="9" t="str">
        <f>IFERROR(__xludf.DUMMYFUNCTION("GOOGLETRANSLATE(D222,""en"",""ar"")"),"ج) النوبة")</f>
        <v>ج) النوبة</v>
      </c>
      <c r="L222" s="9" t="str">
        <f>IFERROR(__xludf.DUMMYFUNCTION("GOOGLETRANSLATE(E222,""en"",""ar"")"),"هذه صورة شهيرة لشعب النوبة في منطقة كردفان بالسودان.")</f>
        <v>هذه صورة شهيرة لشعب النوبة في منطقة كردفان بالسودان.</v>
      </c>
      <c r="M222" s="9"/>
      <c r="N222" s="9"/>
      <c r="O222" s="9"/>
      <c r="P222" s="9"/>
      <c r="Q222" s="9"/>
      <c r="R222" s="9"/>
      <c r="S222" s="9"/>
      <c r="T222" s="9"/>
      <c r="U222" s="9"/>
      <c r="V222" s="9"/>
      <c r="W222" s="9"/>
      <c r="X222" s="9"/>
      <c r="Y222" s="9"/>
      <c r="Z222" s="9"/>
      <c r="AA222" s="9"/>
      <c r="AB222" s="9"/>
      <c r="AC222" s="9"/>
      <c r="AD222" s="9"/>
      <c r="AE222" s="9"/>
      <c r="AF222" s="9"/>
      <c r="AG222" s="9"/>
    </row>
    <row r="223">
      <c r="A223" s="20" t="s">
        <v>3509</v>
      </c>
      <c r="B223" s="20" t="s">
        <v>3513</v>
      </c>
      <c r="C223" s="20" t="s">
        <v>3514</v>
      </c>
      <c r="D223" s="20" t="s">
        <v>3515</v>
      </c>
      <c r="E223" s="20" t="s">
        <v>3516</v>
      </c>
      <c r="F223" s="9"/>
      <c r="G223" s="9"/>
      <c r="H223" s="26" t="s">
        <v>3509</v>
      </c>
      <c r="I223" s="9" t="str">
        <f>IFERROR(__xludf.DUMMYFUNCTION("GOOGLETRANSLATE(B223,""en"",""ar"")"),"ما هي المكانة المحتملة للرجل الطويل داخل المجتمع؟")</f>
        <v>ما هي المكانة المحتملة للرجل الطويل داخل المجتمع؟</v>
      </c>
      <c r="J223" s="9" t="str">
        <f>IFERROR(__xludf.DUMMYFUNCTION("GOOGLETRANSLATE(C223,""en"",""ar"")"),"أ) هو شاب عديم الخبرة، ب) هو شيخ أو بطل محترم، ج) هو شخص غريب يزور القرية، د) هو تاجر يبيع العصي")</f>
        <v>أ) هو شاب عديم الخبرة، ب) هو شيخ أو بطل محترم، ج) هو شخص غريب يزور القرية، د) هو تاجر يبيع العصي</v>
      </c>
      <c r="K223" s="9" t="str">
        <f>IFERROR(__xludf.DUMMYFUNCTION("GOOGLETRANSLATE(D223,""en"",""ar"")"),"ب) هو شيخ أو بطل محترم")</f>
        <v>ب) هو شيخ أو بطل محترم</v>
      </c>
      <c r="L223" s="9" t="str">
        <f>IFERROR(__xludf.DUMMYFUNCTION("GOOGLETRANSLATE(E223,""en"",""ar"")"),"طوله وبنيته الجسدية المثيرة للإعجاب، بالإضافة إلى الطريقة التي يتجمع بها الأطفال حوله، تشير إلى أنه شخصية ذات مكانة عالية، وربما بطل مصارعة.")</f>
        <v>طوله وبنيته الجسدية المثيرة للإعجاب، بالإضافة إلى الطريقة التي يتجمع بها الأطفال حوله، تشير إلى أنه شخصية ذات مكانة عالية، وربما بطل مصارعة.</v>
      </c>
      <c r="M223" s="9"/>
      <c r="N223" s="9"/>
      <c r="O223" s="9"/>
      <c r="P223" s="9"/>
      <c r="Q223" s="9"/>
      <c r="R223" s="9"/>
      <c r="S223" s="9"/>
      <c r="T223" s="9"/>
      <c r="U223" s="9"/>
      <c r="V223" s="9"/>
      <c r="W223" s="9"/>
      <c r="X223" s="9"/>
      <c r="Y223" s="9"/>
      <c r="Z223" s="9"/>
      <c r="AA223" s="9"/>
      <c r="AB223" s="9"/>
      <c r="AC223" s="9"/>
      <c r="AD223" s="9"/>
      <c r="AE223" s="9"/>
      <c r="AF223" s="9"/>
      <c r="AG223" s="9"/>
    </row>
    <row r="224">
      <c r="A224" s="20" t="s">
        <v>3509</v>
      </c>
      <c r="B224" s="20" t="s">
        <v>3517</v>
      </c>
      <c r="C224" s="20" t="s">
        <v>3518</v>
      </c>
      <c r="D224" s="20" t="s">
        <v>3519</v>
      </c>
      <c r="E224" s="20" t="s">
        <v>3520</v>
      </c>
      <c r="F224" s="9"/>
      <c r="G224" s="9"/>
      <c r="H224" s="25" t="s">
        <v>3509</v>
      </c>
      <c r="I224" s="9" t="str">
        <f>IFERROR(__xludf.DUMMYFUNCTION("GOOGLETRANSLATE(B224,""en"",""ar"")"),"ماذا يحمل الرجل وبعض الأطفال؟")</f>
        <v>ماذا يحمل الرجل وبعض الأطفال؟</v>
      </c>
      <c r="J224" s="9" t="str">
        <f>IFERROR(__xludf.DUMMYFUNCTION("GOOGLETRANSLATE(C224,""en"",""ar"")"),"أ) أدوات الزراعة، ب) الآلات الموسيقية، ج) العصي الطويلة والرفيعة، د) المشاعل")</f>
        <v>أ) أدوات الزراعة، ب) الآلات الموسيقية، ج) العصي الطويلة والرفيعة، د) المشاعل</v>
      </c>
      <c r="K224" s="9" t="str">
        <f>IFERROR(__xludf.DUMMYFUNCTION("GOOGLETRANSLATE(D224,""en"",""ar"")"),"ج) العصي أو العصي الطويلة والرفيعة")</f>
        <v>ج) العصي أو العصي الطويلة والرفيعة</v>
      </c>
      <c r="L224" s="9" t="str">
        <f>IFERROR(__xludf.DUMMYFUNCTION("GOOGLETRANSLATE(E224,""en"",""ar"")"),"إنهم يحملون العصي، والتي يمكن استخدامها للمشي، أو رعي الماشية، أو في طقوس القتال بالعصي.")</f>
        <v>إنهم يحملون العصي، والتي يمكن استخدامها للمشي، أو رعي الماشية، أو في طقوس القتال بالعصي.</v>
      </c>
      <c r="M224" s="9"/>
      <c r="N224" s="9"/>
      <c r="O224" s="9"/>
      <c r="P224" s="9"/>
      <c r="Q224" s="9"/>
      <c r="R224" s="9"/>
      <c r="S224" s="9"/>
      <c r="T224" s="9"/>
      <c r="U224" s="9"/>
      <c r="V224" s="9"/>
      <c r="W224" s="9"/>
      <c r="X224" s="9"/>
      <c r="Y224" s="9"/>
      <c r="Z224" s="9"/>
      <c r="AA224" s="9"/>
      <c r="AB224" s="9"/>
      <c r="AC224" s="9"/>
      <c r="AD224" s="9"/>
      <c r="AE224" s="9"/>
      <c r="AF224" s="9"/>
      <c r="AG224" s="9"/>
    </row>
    <row r="225">
      <c r="A225" s="20" t="s">
        <v>3509</v>
      </c>
      <c r="B225" s="20" t="s">
        <v>3521</v>
      </c>
      <c r="C225" s="20" t="s">
        <v>3522</v>
      </c>
      <c r="D225" s="20" t="s">
        <v>3523</v>
      </c>
      <c r="E225" s="20" t="s">
        <v>3524</v>
      </c>
      <c r="F225" s="9"/>
      <c r="G225" s="9"/>
      <c r="H225" s="26" t="s">
        <v>3509</v>
      </c>
      <c r="I225" s="9" t="str">
        <f>IFERROR(__xludf.DUMMYFUNCTION("GOOGLETRANSLATE(B225,""en"",""ar"")"),"الهياكل في الخلفية هي...")</f>
        <v>الهياكل في الخلفية هي...</v>
      </c>
      <c r="J225" s="9" t="str">
        <f>IFERROR(__xludf.DUMMYFUNCTION("GOOGLETRANSLATE(C225,""en"",""ar"")"),"أ) منازل من الطوب الحديث، ب) الخيام، ج) أكواخ النوبة التقليدية المصنوعة من الطين والقش، د) المعابد الحجرية الكبيرة")</f>
        <v>أ) منازل من الطوب الحديث، ب) الخيام، ج) أكواخ النوبة التقليدية المصنوعة من الطين والقش، د) المعابد الحجرية الكبيرة</v>
      </c>
      <c r="K225" s="9" t="str">
        <f>IFERROR(__xludf.DUMMYFUNCTION("GOOGLETRANSLATE(D225,""en"",""ar"")"),"ج) أكواخ النوبة التقليدية المصنوعة من الطين والقش")</f>
        <v>ج) أكواخ النوبة التقليدية المصنوعة من الطين والقش</v>
      </c>
      <c r="L225" s="9" t="str">
        <f>IFERROR(__xludf.DUMMYFUNCTION("GOOGLETRANSLATE(E225,""en"",""ar"")"),"هذه هي المساكن النموذجية الموجودة في قرية النوبة التقليدية.")</f>
        <v>هذه هي المساكن النموذجية الموجودة في قرية النوبة التقليدية.</v>
      </c>
      <c r="M225" s="9"/>
      <c r="N225" s="9"/>
      <c r="O225" s="9"/>
      <c r="P225" s="9"/>
      <c r="Q225" s="9"/>
      <c r="R225" s="9"/>
      <c r="S225" s="9"/>
      <c r="T225" s="9"/>
      <c r="U225" s="9"/>
      <c r="V225" s="9"/>
      <c r="W225" s="9"/>
      <c r="X225" s="9"/>
      <c r="Y225" s="9"/>
      <c r="Z225" s="9"/>
      <c r="AA225" s="9"/>
      <c r="AB225" s="9"/>
      <c r="AC225" s="9"/>
      <c r="AD225" s="9"/>
      <c r="AE225" s="9"/>
      <c r="AF225" s="9"/>
      <c r="AG225" s="9"/>
    </row>
    <row r="226">
      <c r="A226" s="20" t="s">
        <v>3509</v>
      </c>
      <c r="B226" s="20" t="s">
        <v>3525</v>
      </c>
      <c r="C226" s="20" t="s">
        <v>3526</v>
      </c>
      <c r="D226" s="20" t="s">
        <v>3527</v>
      </c>
      <c r="E226" s="20" t="s">
        <v>3528</v>
      </c>
      <c r="F226" s="9"/>
      <c r="G226" s="9"/>
      <c r="H226" s="25" t="s">
        <v>3509</v>
      </c>
      <c r="I226" s="9" t="str">
        <f>IFERROR(__xludf.DUMMYFUNCTION("GOOGLETRANSLATE(B226,""en"",""ar"")"),"ما هو الشيء المميز في ملابس الأشخاص في الصورة؟")</f>
        <v>ما هو الشيء المميز في ملابس الأشخاص في الصورة؟</v>
      </c>
      <c r="J226" s="9" t="str">
        <f>IFERROR(__xludf.DUMMYFUNCTION("GOOGLETRANSLATE(C226,""en"",""ar"")"),"أ) يرتدون معاطف شتوية ثقيلة، ب) يرتدون ملابس حديثة على الطراز الغربي، ج) يرتدون ملابس قليلة جدًا أو لا يرتدون أي ملابس على الإطلاق، د) يرتدون أردية متقنة الألوان")</f>
        <v>أ) يرتدون معاطف شتوية ثقيلة، ب) يرتدون ملابس حديثة على الطراز الغربي، ج) يرتدون ملابس قليلة جدًا أو لا يرتدون أي ملابس على الإطلاق، د) يرتدون أردية متقنة الألوان</v>
      </c>
      <c r="K226" s="9" t="str">
        <f>IFERROR(__xludf.DUMMYFUNCTION("GOOGLETRANSLATE(D226,""en"",""ar"")"),"ج) يرتدون ملابس قليلة جدًا أو لا يرتدون أي ملابس على الإطلاق")</f>
        <v>ج) يرتدون ملابس قليلة جدًا أو لا يرتدون أي ملابس على الإطلاق</v>
      </c>
      <c r="L226" s="9" t="str">
        <f>IFERROR(__xludf.DUMMYFUNCTION("GOOGLETRANSLATE(E226,""en"",""ar"")"),"في سياقهم التقليدي، كان العديد من شعب النوبة يرتدون ملابس بسيطة، وغالبًا ما كانوا يزينون أجسادهم بالطلاء أو الندب أو الزيوت بدلاً من ذلك.")</f>
        <v>في سياقهم التقليدي، كان العديد من شعب النوبة يرتدون ملابس بسيطة، وغالبًا ما كانوا يزينون أجسادهم بالطلاء أو الندب أو الزيوت بدلاً من ذلك.</v>
      </c>
      <c r="M226" s="9"/>
      <c r="N226" s="9"/>
      <c r="O226" s="9"/>
      <c r="P226" s="9"/>
      <c r="Q226" s="9"/>
      <c r="R226" s="9"/>
      <c r="S226" s="9"/>
      <c r="T226" s="9"/>
      <c r="U226" s="9"/>
      <c r="V226" s="9"/>
      <c r="W226" s="9"/>
      <c r="X226" s="9"/>
      <c r="Y226" s="9"/>
      <c r="Z226" s="9"/>
      <c r="AA226" s="9"/>
      <c r="AB226" s="9"/>
      <c r="AC226" s="9"/>
      <c r="AD226" s="9"/>
      <c r="AE226" s="9"/>
      <c r="AF226" s="9"/>
      <c r="AG226" s="9"/>
    </row>
    <row r="227">
      <c r="A227" s="20" t="s">
        <v>3509</v>
      </c>
      <c r="B227" s="20" t="s">
        <v>3529</v>
      </c>
      <c r="C227" s="20" t="s">
        <v>3530</v>
      </c>
      <c r="D227" s="20" t="s">
        <v>2975</v>
      </c>
      <c r="E227" s="20" t="s">
        <v>3531</v>
      </c>
      <c r="F227" s="9"/>
      <c r="G227" s="9"/>
      <c r="H227" s="26" t="s">
        <v>3509</v>
      </c>
      <c r="I227" s="9" t="str">
        <f>IFERROR(__xludf.DUMMYFUNCTION("GOOGLETRANSLATE(B227,""en"",""ar"")"),"الزيت الذي يوضع على بشرة الناس يساعد على...")</f>
        <v>الزيت الذي يوضع على بشرة الناس يساعد على...</v>
      </c>
      <c r="J227" s="9" t="str">
        <f>IFERROR(__xludf.DUMMYFUNCTION("GOOGLETRANSLATE(C227,""en"",""ar"")"),"أ) حماية البشرة من الشمس والحشرات، ب) إبراز تحديد عضلاتها، ج) حمل الدهانات أو المساحيق الطقسية، د) كل ما سبق")</f>
        <v>أ) حماية البشرة من الشمس والحشرات، ب) إبراز تحديد عضلاتها، ج) حمل الدهانات أو المساحيق الطقسية، د) كل ما سبق</v>
      </c>
      <c r="K227" s="9" t="str">
        <f>IFERROR(__xludf.DUMMYFUNCTION("GOOGLETRANSLATE(D227,""en"",""ar"")"),"د) كل ما سبق")</f>
        <v>د) كل ما سبق</v>
      </c>
      <c r="L227" s="9" t="str">
        <f>IFERROR(__xludf.DUMMYFUNCTION("GOOGLETRANSLATE(E227,""en"",""ar"")"),"إن دهن البشرة بالزيت له أغراض متعددة: فهو يحمي من البيئة القاسية، وله قيمة جمالية في جعل الجسم لامعًا، ويمكن أن يكون قاعدة للزينة الاحتفالية.")</f>
        <v>إن دهن البشرة بالزيت له أغراض متعددة: فهو يحمي من البيئة القاسية، وله قيمة جمالية في جعل الجسم لامعًا، ويمكن أن يكون قاعدة للزينة الاحتفالية.</v>
      </c>
      <c r="M227" s="9"/>
      <c r="N227" s="9"/>
      <c r="O227" s="9"/>
      <c r="P227" s="9"/>
      <c r="Q227" s="9"/>
      <c r="R227" s="9"/>
      <c r="S227" s="9"/>
      <c r="T227" s="9"/>
      <c r="U227" s="9"/>
      <c r="V227" s="9"/>
      <c r="W227" s="9"/>
      <c r="X227" s="9"/>
      <c r="Y227" s="9"/>
      <c r="Z227" s="9"/>
      <c r="AA227" s="9"/>
      <c r="AB227" s="9"/>
      <c r="AC227" s="9"/>
      <c r="AD227" s="9"/>
      <c r="AE227" s="9"/>
      <c r="AF227" s="9"/>
      <c r="AG227" s="9"/>
    </row>
    <row r="228">
      <c r="A228" s="20" t="s">
        <v>3509</v>
      </c>
      <c r="B228" s="20" t="s">
        <v>3532</v>
      </c>
      <c r="C228" s="20" t="s">
        <v>3533</v>
      </c>
      <c r="D228" s="20" t="s">
        <v>3534</v>
      </c>
      <c r="E228" s="20" t="s">
        <v>3535</v>
      </c>
      <c r="F228" s="9"/>
      <c r="G228" s="9"/>
      <c r="H228" s="25" t="s">
        <v>3509</v>
      </c>
      <c r="I228" s="9" t="str">
        <f>IFERROR(__xludf.DUMMYFUNCTION("GOOGLETRANSLATE(B228,""en"",""ar"")"),"تسلط هذه الصورة الضوء على أهمية ما في ثقافة النوبة؟")</f>
        <v>تسلط هذه الصورة الضوء على أهمية ما في ثقافة النوبة؟</v>
      </c>
      <c r="J228" s="9" t="str">
        <f>IFERROR(__xludf.DUMMYFUNCTION("GOOGLETRANSLATE(C228,""en"",""ar"")"),"أ) العزلة عن بقية المجتمع، ب) انتقال التقاليد من جيل إلى جيل، ج) التقليد المكتوب والعلمي، د) رفض جميع الأنشطة البدنية")</f>
        <v>أ) العزلة عن بقية المجتمع، ب) انتقال التقاليد من جيل إلى جيل، ج) التقليد المكتوب والعلمي، د) رفض جميع الأنشطة البدنية</v>
      </c>
      <c r="K228" s="9" t="str">
        <f>IFERROR(__xludf.DUMMYFUNCTION("GOOGLETRANSLATE(D228,""en"",""ar"")"),"ب) انتقال التقاليد من جيل إلى جيل")</f>
        <v>ب) انتقال التقاليد من جيل إلى جيل</v>
      </c>
      <c r="L228" s="9" t="str">
        <f>IFERROR(__xludf.DUMMYFUNCTION("GOOGLETRANSLATE(E228,""en"",""ar"")"),"إن مشهد رجل كبير السن أو بطل محاط بالأولاد الصغار هو صورة قوية للتدريس ونقل الثقافة.")</f>
        <v>إن مشهد رجل كبير السن أو بطل محاط بالأولاد الصغار هو صورة قوية للتدريس ونقل الثقافة.</v>
      </c>
      <c r="M228" s="9"/>
      <c r="N228" s="9"/>
      <c r="O228" s="9"/>
      <c r="P228" s="9"/>
      <c r="Q228" s="9"/>
      <c r="R228" s="9"/>
      <c r="S228" s="9"/>
      <c r="T228" s="9"/>
      <c r="U228" s="9"/>
      <c r="V228" s="9"/>
      <c r="W228" s="9"/>
      <c r="X228" s="9"/>
      <c r="Y228" s="9"/>
      <c r="Z228" s="9"/>
      <c r="AA228" s="9"/>
      <c r="AB228" s="9"/>
      <c r="AC228" s="9"/>
      <c r="AD228" s="9"/>
      <c r="AE228" s="9"/>
      <c r="AF228" s="9"/>
      <c r="AG228" s="9"/>
    </row>
    <row r="229">
      <c r="A229" s="20" t="s">
        <v>3509</v>
      </c>
      <c r="B229" s="20" t="s">
        <v>3536</v>
      </c>
      <c r="C229" s="20" t="s">
        <v>3537</v>
      </c>
      <c r="D229" s="20" t="s">
        <v>3538</v>
      </c>
      <c r="E229" s="20" t="s">
        <v>3539</v>
      </c>
      <c r="F229" s="9"/>
      <c r="G229" s="9"/>
      <c r="H229" s="26" t="s">
        <v>3509</v>
      </c>
      <c r="I229" s="9" t="str">
        <f>IFERROR(__xludf.DUMMYFUNCTION("GOOGLETRANSLATE(B229,""en"",""ar"")"),"إن البنية الجسدية للرجل الطويل هي شهادة على الأهمية الثقافية لـ...")</f>
        <v>إن البنية الجسدية للرجل الطويل هي شهادة على الأهمية الثقافية لـ...</v>
      </c>
      <c r="J229" s="9" t="str">
        <f>IFERROR(__xludf.DUMMYFUNCTION("GOOGLETRANSLATE(C229,""en"",""ar"")"),"أ) نمط حياة غير مستقر، ب) القوة البدنية واللياقة البدنية، ج) نظام غذائي غني بالأطعمة المصنعة، د) المساعي الفكرية على المساعي البدنية")</f>
        <v>أ) نمط حياة غير مستقر، ب) القوة البدنية واللياقة البدنية، ج) نظام غذائي غني بالأطعمة المصنعة، د) المساعي الفكرية على المساعي البدنية</v>
      </c>
      <c r="K229" s="9" t="str">
        <f>IFERROR(__xludf.DUMMYFUNCTION("GOOGLETRANSLATE(D229,""en"",""ar"")"),"ب) القوة البدنية واللياقة البدنية")</f>
        <v>ب) القوة البدنية واللياقة البدنية</v>
      </c>
      <c r="L229" s="9" t="str">
        <f>IFERROR(__xludf.DUMMYFUNCTION("GOOGLETRANSLATE(E229,""en"",""ar"")"),"كانت البراعة الرياضية، وخاصة في المصارعة، تاريخيا مقياسا أساسيا لقيمة الرجل ومكانته في مجتمع النوبة.")</f>
        <v>كانت البراعة الرياضية، وخاصة في المصارعة، تاريخيا مقياسا أساسيا لقيمة الرجل ومكانته في مجتمع النوبة.</v>
      </c>
      <c r="M229" s="9"/>
      <c r="N229" s="9"/>
      <c r="O229" s="9"/>
      <c r="P229" s="9"/>
      <c r="Q229" s="9"/>
      <c r="R229" s="9"/>
      <c r="S229" s="9"/>
      <c r="T229" s="9"/>
      <c r="U229" s="9"/>
      <c r="V229" s="9"/>
      <c r="W229" s="9"/>
      <c r="X229" s="9"/>
      <c r="Y229" s="9"/>
      <c r="Z229" s="9"/>
      <c r="AA229" s="9"/>
      <c r="AB229" s="9"/>
      <c r="AC229" s="9"/>
      <c r="AD229" s="9"/>
      <c r="AE229" s="9"/>
      <c r="AF229" s="9"/>
      <c r="AG229" s="9"/>
    </row>
    <row r="230">
      <c r="A230" s="20" t="s">
        <v>3509</v>
      </c>
      <c r="B230" s="20" t="s">
        <v>3540</v>
      </c>
      <c r="C230" s="20" t="s">
        <v>3541</v>
      </c>
      <c r="D230" s="20" t="s">
        <v>3542</v>
      </c>
      <c r="E230" s="20" t="s">
        <v>3543</v>
      </c>
      <c r="F230" s="9"/>
      <c r="G230" s="9"/>
      <c r="H230" s="25" t="s">
        <v>3509</v>
      </c>
      <c r="I230" s="9" t="str">
        <f>IFERROR(__xludf.DUMMYFUNCTION("GOOGLETRANSLATE(B230,""en"",""ar"")"),"هذه الصورة مشهورة بـ...")</f>
        <v>هذه الصورة مشهورة بـ...</v>
      </c>
      <c r="J230" s="9" t="str">
        <f>IFERROR(__xludf.DUMMYFUNCTION("GOOGLETRANSLATE(C230,""en"",""ar"")"),"أ) تصوير الحرب الحديثة، ب) استخدام الألوان النابضة بالحياة، ج) تصوير قوي وفني لثقافة تقليدية، د) أجواء تحت الماء")</f>
        <v>أ) تصوير الحرب الحديثة، ب) استخدام الألوان النابضة بالحياة، ج) تصوير قوي وفني لثقافة تقليدية، د) أجواء تحت الماء</v>
      </c>
      <c r="K230" s="9" t="str">
        <f>IFERROR(__xludf.DUMMYFUNCTION("GOOGLETRANSLATE(D230,""en"",""ar"")"),"ج) تصوير قوي وفني لثقافة تقليدية")</f>
        <v>ج) تصوير قوي وفني لثقافة تقليدية</v>
      </c>
      <c r="L230" s="9" t="str">
        <f>IFERROR(__xludf.DUMMYFUNCTION("GOOGLETRANSLATE(E230,""en"",""ar"")"),"تُعد صور ريفنشتال عن النوبة مشهورة عالميًا (ومثيرة للجدل) بسبب تصويرها الجمالي المذهل لشعب النوبة.")</f>
        <v>تُعد صور ريفنشتال عن النوبة مشهورة عالميًا (ومثيرة للجدل) بسبب تصويرها الجمالي المذهل لشعب النوبة.</v>
      </c>
      <c r="M230" s="9"/>
      <c r="N230" s="9"/>
      <c r="O230" s="9"/>
      <c r="P230" s="9"/>
      <c r="Q230" s="9"/>
      <c r="R230" s="9"/>
      <c r="S230" s="9"/>
      <c r="T230" s="9"/>
      <c r="U230" s="9"/>
      <c r="V230" s="9"/>
      <c r="W230" s="9"/>
      <c r="X230" s="9"/>
      <c r="Y230" s="9"/>
      <c r="Z230" s="9"/>
      <c r="AA230" s="9"/>
      <c r="AB230" s="9"/>
      <c r="AC230" s="9"/>
      <c r="AD230" s="9"/>
      <c r="AE230" s="9"/>
      <c r="AF230" s="9"/>
      <c r="AG230" s="9"/>
    </row>
    <row r="231">
      <c r="A231" s="20" t="s">
        <v>3509</v>
      </c>
      <c r="B231" s="20" t="s">
        <v>3544</v>
      </c>
      <c r="C231" s="20" t="s">
        <v>3545</v>
      </c>
      <c r="D231" s="20" t="s">
        <v>3546</v>
      </c>
      <c r="E231" s="20" t="s">
        <v>3547</v>
      </c>
      <c r="F231" s="9"/>
      <c r="G231" s="9"/>
      <c r="H231" s="26" t="s">
        <v>3509</v>
      </c>
      <c r="I231" s="9" t="str">
        <f>IFERROR(__xludf.DUMMYFUNCTION("GOOGLETRANSLATE(B231,""en"",""ar"")"),"يمثل المشهد ...")</f>
        <v>يمثل المشهد ...</v>
      </c>
      <c r="J231" s="9" t="str">
        <f>IFERROR(__xludf.DUMMYFUNCTION("GOOGLETRANSLATE(C231,""en"",""ar"")"),"أ) لحظة صراع حاد، ب) لحظة هادئة يومية في حياة القرية، ج) احتفال ديني رسمي، د) اجتماع سياسي")</f>
        <v>أ) لحظة صراع حاد، ب) لحظة هادئة يومية في حياة القرية، ج) احتفال ديني رسمي، د) اجتماع سياسي</v>
      </c>
      <c r="K231" s="9" t="str">
        <f>IFERROR(__xludf.DUMMYFUNCTION("GOOGLETRANSLATE(D231,""en"",""ar"")"),"ب) لحظة هادئة يومية في حياة القرية")</f>
        <v>ب) لحظة هادئة يومية في حياة القرية</v>
      </c>
      <c r="L231" s="9" t="str">
        <f>IFERROR(__xludf.DUMMYFUNCTION("GOOGLETRANSLATE(E231,""en"",""ar"")"),"وعلى الرغم من المظهر المهيب للرجل، إلا أن هذه الصورة تقدم صورة حميمة للحياة الاجتماعية اليومية والتعلم بين الأجيال.")</f>
        <v>وعلى الرغم من المظهر المهيب للرجل، إلا أن هذه الصورة تقدم صورة حميمة للحياة الاجتماعية اليومية والتعلم بين الأجيال.</v>
      </c>
      <c r="M231" s="9"/>
      <c r="N231" s="9"/>
      <c r="O231" s="9"/>
      <c r="P231" s="9"/>
      <c r="Q231" s="9"/>
      <c r="R231" s="9"/>
      <c r="S231" s="9"/>
      <c r="T231" s="9"/>
      <c r="U231" s="9"/>
      <c r="V231" s="9"/>
      <c r="W231" s="9"/>
      <c r="X231" s="9"/>
      <c r="Y231" s="9"/>
      <c r="Z231" s="9"/>
      <c r="AA231" s="9"/>
      <c r="AB231" s="9"/>
      <c r="AC231" s="9"/>
      <c r="AD231" s="9"/>
      <c r="AE231" s="9"/>
      <c r="AF231" s="9"/>
      <c r="AG231" s="9"/>
    </row>
    <row r="232">
      <c r="A232" s="20" t="s">
        <v>3548</v>
      </c>
      <c r="B232" s="20" t="s">
        <v>3549</v>
      </c>
      <c r="C232" s="20" t="s">
        <v>3550</v>
      </c>
      <c r="D232" s="20" t="s">
        <v>3551</v>
      </c>
      <c r="E232" s="20" t="s">
        <v>3552</v>
      </c>
      <c r="F232" s="9"/>
      <c r="G232" s="9"/>
      <c r="H232" s="25" t="s">
        <v>3548</v>
      </c>
      <c r="I232" s="9" t="str">
        <f>IFERROR(__xludf.DUMMYFUNCTION("GOOGLETRANSLATE(B232,""en"",""ar"")"),"ما هي أبرز سمات مظهر هذا الرجل؟")</f>
        <v>ما هي أبرز سمات مظهر هذا الرجل؟</v>
      </c>
      <c r="J232" s="9" t="str">
        <f>IFERROR(__xludf.DUMMYFUNCTION("GOOGLETRANSLATE(C232,""en"",""ar"")"),"أ) ملابسه الحديثة، ب) طلاء جسده الاحتفالي، ج) تسريحة شعره غير العادية، د) طوله")</f>
        <v>أ) ملابسه الحديثة، ب) طلاء جسده الاحتفالي، ج) تسريحة شعره غير العادية، د) طوله</v>
      </c>
      <c r="K232" s="9" t="str">
        <f>IFERROR(__xludf.DUMMYFUNCTION("GOOGLETRANSLATE(D232,""en"",""ar"")"),"ب) طلاء جسده الاحتفالي")</f>
        <v>ب) طلاء جسده الاحتفالي</v>
      </c>
      <c r="L232" s="9" t="str">
        <f>IFERROR(__xludf.DUMMYFUNCTION("GOOGLETRANSLATE(E232,""en"",""ar"")"),"تم تزيين جذعه وذراعيه بأنماط بيضاء مذهلة، بما في ذلك النجوم والمشارب.")</f>
        <v>تم تزيين جذعه وذراعيه بأنماط بيضاء مذهلة، بما في ذلك النجوم والمشارب.</v>
      </c>
      <c r="M232" s="9"/>
      <c r="N232" s="9"/>
      <c r="O232" s="9"/>
      <c r="P232" s="9"/>
      <c r="Q232" s="9"/>
      <c r="R232" s="9"/>
      <c r="S232" s="9"/>
      <c r="T232" s="9"/>
      <c r="U232" s="9"/>
      <c r="V232" s="9"/>
      <c r="W232" s="9"/>
      <c r="X232" s="9"/>
      <c r="Y232" s="9"/>
      <c r="Z232" s="9"/>
      <c r="AA232" s="9"/>
      <c r="AB232" s="9"/>
      <c r="AC232" s="9"/>
      <c r="AD232" s="9"/>
      <c r="AE232" s="9"/>
      <c r="AF232" s="9"/>
      <c r="AG232" s="9"/>
    </row>
    <row r="233">
      <c r="A233" s="20" t="s">
        <v>3548</v>
      </c>
      <c r="B233" s="20" t="s">
        <v>3553</v>
      </c>
      <c r="C233" s="20" t="s">
        <v>3554</v>
      </c>
      <c r="D233" s="20" t="s">
        <v>3555</v>
      </c>
      <c r="E233" s="20" t="s">
        <v>3556</v>
      </c>
      <c r="F233" s="9"/>
      <c r="G233" s="9"/>
      <c r="H233" s="26" t="s">
        <v>3548</v>
      </c>
      <c r="I233" s="9" t="str">
        <f>IFERROR(__xludf.DUMMYFUNCTION("GOOGLETRANSLATE(B233,""en"",""ar"")"),"هذا النمط من الرسم على الجسم هو تقليد مشهور لدى الناس؟")</f>
        <v>هذا النمط من الرسم على الجسم هو تقليد مشهور لدى الناس؟</v>
      </c>
      <c r="J233" s="9" t="str">
        <f>IFERROR(__xludf.DUMMYFUNCTION("GOOGLETRANSLATE(C233,""en"",""ar"")"),"أ) الزولو في جنوب أفريقيا، ب) الماساي في كينيا، ج) النوبة في السودان، د) البجا في الصحراء الشرقية")</f>
        <v>أ) الزولو في جنوب أفريقيا، ب) الماساي في كينيا، ج) النوبة في السودان، د) البجا في الصحراء الشرقية</v>
      </c>
      <c r="K233" s="9" t="str">
        <f>IFERROR(__xludf.DUMMYFUNCTION("GOOGLETRANSLATE(D233,""en"",""ar"")"),"ج) النوبة في السودان")</f>
        <v>ج) النوبة في السودان</v>
      </c>
      <c r="L233" s="9" t="str">
        <f>IFERROR(__xludf.DUMMYFUNCTION("GOOGLETRANSLATE(E233,""en"",""ar"")"),"يشتهر شعب النوبة بتقاليدهم الفنية والرمزية في الرسم على الجسم.")</f>
        <v>يشتهر شعب النوبة بتقاليدهم الفنية والرمزية في الرسم على الجسم.</v>
      </c>
      <c r="M233" s="9"/>
      <c r="N233" s="9"/>
      <c r="O233" s="9"/>
      <c r="P233" s="9"/>
      <c r="Q233" s="9"/>
      <c r="R233" s="9"/>
      <c r="S233" s="9"/>
      <c r="T233" s="9"/>
      <c r="U233" s="9"/>
      <c r="V233" s="9"/>
      <c r="W233" s="9"/>
      <c r="X233" s="9"/>
      <c r="Y233" s="9"/>
      <c r="Z233" s="9"/>
      <c r="AA233" s="9"/>
      <c r="AB233" s="9"/>
      <c r="AC233" s="9"/>
      <c r="AD233" s="9"/>
      <c r="AE233" s="9"/>
      <c r="AF233" s="9"/>
      <c r="AG233" s="9"/>
    </row>
    <row r="234">
      <c r="A234" s="20" t="s">
        <v>3548</v>
      </c>
      <c r="B234" s="20" t="s">
        <v>3557</v>
      </c>
      <c r="C234" s="20" t="s">
        <v>3558</v>
      </c>
      <c r="D234" s="20" t="s">
        <v>3559</v>
      </c>
      <c r="E234" s="20" t="s">
        <v>3560</v>
      </c>
      <c r="F234" s="9"/>
      <c r="G234" s="9"/>
      <c r="H234" s="25" t="s">
        <v>3548</v>
      </c>
      <c r="I234" s="9" t="str">
        <f>IFERROR(__xludf.DUMMYFUNCTION("GOOGLETRANSLATE(B234,""en"",""ar"")"),"ما هو الغرض من هذا النوع من زخرفة الجسم؟")</f>
        <v>ما هو الغرض من هذا النوع من زخرفة الجسم؟</v>
      </c>
      <c r="J234" s="9" t="str">
        <f>IFERROR(__xludf.DUMMYFUNCTION("GOOGLETRANSLATE(C234,""en"",""ar"")"),"أ) هو شكل من أشكال التمويه للصيد، ب) هو فقط للحماية من الشمس، ج) هو احتفالي ويمكن أن يدل على الحالة الاجتماعية أو الفئة العمرية أو المشاركة في طقوس، د) هو وشم دائم")</f>
        <v>أ) هو شكل من أشكال التمويه للصيد، ب) هو فقط للحماية من الشمس، ج) هو احتفالي ويمكن أن يدل على الحالة الاجتماعية أو الفئة العمرية أو المشاركة في طقوس، د) هو وشم دائم</v>
      </c>
      <c r="K234" s="9" t="str">
        <f>IFERROR(__xludf.DUMMYFUNCTION("GOOGLETRANSLATE(D234,""en"",""ar"")"),"ج) إنه احتفالي ويمكن أن يدل على الحالة الاجتماعية أو الفئة العمرية أو المشاركة في طقوس")</f>
        <v>ج) إنه احتفالي ويمكن أن يدل على الحالة الاجتماعية أو الفئة العمرية أو المشاركة في طقوس</v>
      </c>
      <c r="L234" s="9" t="str">
        <f>IFERROR(__xludf.DUMMYFUNCTION("GOOGLETRANSLATE(E234,""en"",""ar"")"),"يعد الرسم على الجسم لغة اجتماعية معقدة، تُستخدم للتعبير عن الهوية والاحتفال بأحداث الحياة والاحتفالات المهمة.")</f>
        <v>يعد الرسم على الجسم لغة اجتماعية معقدة، تُستخدم للتعبير عن الهوية والاحتفال بأحداث الحياة والاحتفالات المهمة.</v>
      </c>
      <c r="M234" s="9"/>
      <c r="N234" s="9"/>
      <c r="O234" s="9"/>
      <c r="P234" s="9"/>
      <c r="Q234" s="9"/>
      <c r="R234" s="9"/>
      <c r="S234" s="9"/>
      <c r="T234" s="9"/>
      <c r="U234" s="9"/>
      <c r="V234" s="9"/>
      <c r="W234" s="9"/>
      <c r="X234" s="9"/>
      <c r="Y234" s="9"/>
      <c r="Z234" s="9"/>
      <c r="AA234" s="9"/>
      <c r="AB234" s="9"/>
      <c r="AC234" s="9"/>
      <c r="AD234" s="9"/>
      <c r="AE234" s="9"/>
      <c r="AF234" s="9"/>
      <c r="AG234" s="9"/>
    </row>
    <row r="235">
      <c r="A235" s="20" t="s">
        <v>3548</v>
      </c>
      <c r="B235" s="20" t="s">
        <v>3561</v>
      </c>
      <c r="C235" s="20" t="s">
        <v>3562</v>
      </c>
      <c r="D235" s="20" t="s">
        <v>3563</v>
      </c>
      <c r="E235" s="20" t="s">
        <v>3564</v>
      </c>
      <c r="F235" s="9"/>
      <c r="G235" s="9"/>
      <c r="H235" s="26" t="s">
        <v>3548</v>
      </c>
      <c r="I235" s="9" t="str">
        <f>IFERROR(__xludf.DUMMYFUNCTION("GOOGLETRANSLATE(B235,""en"",""ar"")"),"ماذا يحمل الرجل في يده؟")</f>
        <v>ماذا يحمل الرجل في يده؟</v>
      </c>
      <c r="J235" s="9" t="str">
        <f>IFERROR(__xludf.DUMMYFUNCTION("GOOGLETRANSLATE(C235,""en"",""ar"")"),"أ) رمح، ب) بندقية، ج) عصا قصيرة أو هراوة، د) زهرة")</f>
        <v>أ) رمح، ب) بندقية، ج) عصا قصيرة أو هراوة، د) زهرة</v>
      </c>
      <c r="K235" s="9" t="str">
        <f>IFERROR(__xludf.DUMMYFUNCTION("GOOGLETRANSLATE(D235,""en"",""ar"")"),"ج) عصا قصيرة أو هراوة")</f>
        <v>ج) عصا قصيرة أو هراوة</v>
      </c>
      <c r="L235" s="9" t="str">
        <f>IFERROR(__xludf.DUMMYFUNCTION("GOOGLETRANSLATE(E235,""en"",""ar"")"),"وهو يحمل عصا خشبية بسيطة أو عصا.")</f>
        <v>وهو يحمل عصا خشبية بسيطة أو عصا.</v>
      </c>
      <c r="M235" s="9"/>
      <c r="N235" s="9"/>
      <c r="O235" s="9"/>
      <c r="P235" s="9"/>
      <c r="Q235" s="9"/>
      <c r="R235" s="9"/>
      <c r="S235" s="9"/>
      <c r="T235" s="9"/>
      <c r="U235" s="9"/>
      <c r="V235" s="9"/>
      <c r="W235" s="9"/>
      <c r="X235" s="9"/>
      <c r="Y235" s="9"/>
      <c r="Z235" s="9"/>
      <c r="AA235" s="9"/>
      <c r="AB235" s="9"/>
      <c r="AC235" s="9"/>
      <c r="AD235" s="9"/>
      <c r="AE235" s="9"/>
      <c r="AF235" s="9"/>
      <c r="AG235" s="9"/>
    </row>
    <row r="236">
      <c r="A236" s="20" t="s">
        <v>3548</v>
      </c>
      <c r="B236" s="20" t="s">
        <v>3565</v>
      </c>
      <c r="C236" s="20" t="s">
        <v>3566</v>
      </c>
      <c r="D236" s="20" t="s">
        <v>3567</v>
      </c>
      <c r="E236" s="20" t="s">
        <v>3568</v>
      </c>
      <c r="F236" s="9"/>
      <c r="G236" s="9"/>
      <c r="H236" s="25" t="s">
        <v>3548</v>
      </c>
      <c r="I236" s="9" t="str">
        <f>IFERROR(__xludf.DUMMYFUNCTION("GOOGLETRANSLATE(B236,""en"",""ar"")"),"ماذا يرتدي على رأسه وحول رقبته؟")</f>
        <v>ماذا يرتدي على رأسه وحول رقبته؟</v>
      </c>
      <c r="J236" s="9" t="str">
        <f>IFERROR(__xludf.DUMMYFUNCTION("GOOGLETRANSLATE(C236,""en"",""ar"")"),"أ) قبعة وربطة عنق حديثة، ب) مجوهرات تقليدية، بما في ذلك عصابة رأس وقلائد، ج) خوذة معدنية، د) تاج من الأوراق")</f>
        <v>أ) قبعة وربطة عنق حديثة، ب) مجوهرات تقليدية، بما في ذلك عصابة رأس وقلائد، ج) خوذة معدنية، د) تاج من الأوراق</v>
      </c>
      <c r="K236" s="9" t="str">
        <f>IFERROR(__xludf.DUMMYFUNCTION("GOOGLETRANSLATE(D236,""en"",""ar"")"),"ب) المجوهرات التقليدية، بما في ذلك عصابة الرأس المصنوعة من الخرز والقلائد")</f>
        <v>ب) المجوهرات التقليدية، بما في ذلك عصابة الرأس المصنوعة من الخرز والقلائد</v>
      </c>
      <c r="L236" s="9" t="str">
        <f>IFERROR(__xludf.DUMMYFUNCTION("GOOGLETRANSLATE(E236,""en"",""ar"")"),"وتعتبر زينته جزءًا من ملابسه الاحتفالية التقليدية.")</f>
        <v>وتعتبر زينته جزءًا من ملابسه الاحتفالية التقليدية.</v>
      </c>
      <c r="M236" s="9"/>
      <c r="N236" s="9"/>
      <c r="O236" s="9"/>
      <c r="P236" s="9"/>
      <c r="Q236" s="9"/>
      <c r="R236" s="9"/>
      <c r="S236" s="9"/>
      <c r="T236" s="9"/>
      <c r="U236" s="9"/>
      <c r="V236" s="9"/>
      <c r="W236" s="9"/>
      <c r="X236" s="9"/>
      <c r="Y236" s="9"/>
      <c r="Z236" s="9"/>
      <c r="AA236" s="9"/>
      <c r="AB236" s="9"/>
      <c r="AC236" s="9"/>
      <c r="AD236" s="9"/>
      <c r="AE236" s="9"/>
      <c r="AF236" s="9"/>
      <c r="AG236" s="9"/>
    </row>
    <row r="237">
      <c r="A237" s="20" t="s">
        <v>3548</v>
      </c>
      <c r="B237" s="20" t="s">
        <v>3569</v>
      </c>
      <c r="C237" s="20" t="s">
        <v>3570</v>
      </c>
      <c r="D237" s="20" t="s">
        <v>3571</v>
      </c>
      <c r="E237" s="20" t="s">
        <v>3572</v>
      </c>
      <c r="F237" s="9"/>
      <c r="G237" s="9"/>
      <c r="H237" s="26" t="s">
        <v>3548</v>
      </c>
      <c r="I237" s="9" t="str">
        <f>IFERROR(__xludf.DUMMYFUNCTION("GOOGLETRANSLATE(B237,""en"",""ar"")"),"المباني في الخلفية هي...")</f>
        <v>المباني في الخلفية هي...</v>
      </c>
      <c r="J237" s="9" t="str">
        <f>IFERROR(__xludf.DUMMYFUNCTION("GOOGLETRANSLATE(C237,""en"",""ar"")"),"أ) ناطحات السحاب الحديثة، ب) أكواخ تقليدية من الطوب اللبن ذات أسقف من القش، ج) معابد حجرية قديمة، د) خيام كبيرة")</f>
        <v>أ) ناطحات السحاب الحديثة، ب) أكواخ تقليدية من الطوب اللبن ذات أسقف من القش، ج) معابد حجرية قديمة، د) خيام كبيرة</v>
      </c>
      <c r="K237" s="9" t="str">
        <f>IFERROR(__xludf.DUMMYFUNCTION("GOOGLETRANSLATE(D237,""en"",""ar"")"),"ب) أكواخ تقليدية من الطوب اللبن ذات أسقف من القش")</f>
        <v>ب) أكواخ تقليدية من الطوب اللبن ذات أسقف من القش</v>
      </c>
      <c r="L237" s="9" t="str">
        <f>IFERROR(__xludf.DUMMYFUNCTION("GOOGLETRANSLATE(E237,""en"",""ar"")"),"هذه هي المساكن النموذجية لقرية النوبة.")</f>
        <v>هذه هي المساكن النموذجية لقرية النوبة.</v>
      </c>
      <c r="M237" s="9"/>
      <c r="N237" s="9"/>
      <c r="O237" s="9"/>
      <c r="P237" s="9"/>
      <c r="Q237" s="9"/>
      <c r="R237" s="9"/>
      <c r="S237" s="9"/>
      <c r="T237" s="9"/>
      <c r="U237" s="9"/>
      <c r="V237" s="9"/>
      <c r="W237" s="9"/>
      <c r="X237" s="9"/>
      <c r="Y237" s="9"/>
      <c r="Z237" s="9"/>
      <c r="AA237" s="9"/>
      <c r="AB237" s="9"/>
      <c r="AC237" s="9"/>
      <c r="AD237" s="9"/>
      <c r="AE237" s="9"/>
      <c r="AF237" s="9"/>
      <c r="AG237" s="9"/>
    </row>
    <row r="238">
      <c r="A238" s="20" t="s">
        <v>3548</v>
      </c>
      <c r="B238" s="20" t="s">
        <v>3573</v>
      </c>
      <c r="C238" s="20" t="s">
        <v>3574</v>
      </c>
      <c r="D238" s="20" t="s">
        <v>3575</v>
      </c>
      <c r="E238" s="20" t="s">
        <v>3576</v>
      </c>
      <c r="F238" s="9"/>
      <c r="G238" s="9"/>
      <c r="H238" s="25" t="s">
        <v>3548</v>
      </c>
      <c r="I238" s="9" t="str">
        <f>IFERROR(__xludf.DUMMYFUNCTION("GOOGLETRANSLATE(B238,""en"",""ar"")"),"والرجل يرتدي أيضا...")</f>
        <v>والرجل يرتدي أيضا...</v>
      </c>
      <c r="J238" s="9" t="str">
        <f>IFERROR(__xludf.DUMMYFUNCTION("GOOGLETRANSLATE(C238,""en"",""ar"")"),"أ) حلقة الأنف، ب) زوج من النظارات، ج) ساعة، د) سماعة الأذن")</f>
        <v>أ) حلقة الأنف، ب) زوج من النظارات، ج) ساعة، د) سماعة الأذن</v>
      </c>
      <c r="K238" s="9" t="str">
        <f>IFERROR(__xludf.DUMMYFUNCTION("GOOGLETRANSLATE(D238,""en"",""ar"")"),"أ) حلقة الأنف")</f>
        <v>أ) حلقة الأنف</v>
      </c>
      <c r="L238" s="9" t="str">
        <f>IFERROR(__xludf.DUMMYFUNCTION("GOOGLETRANSLATE(E238,""en"",""ar"")"),"ويظهر خاتم في فتحة أنفه اليمنى، وهو شكل آخر شائع من الزينة الشخصية.")</f>
        <v>ويظهر خاتم في فتحة أنفه اليمنى، وهو شكل آخر شائع من الزينة الشخصية.</v>
      </c>
      <c r="M238" s="9"/>
      <c r="N238" s="9"/>
      <c r="O238" s="9"/>
      <c r="P238" s="9"/>
      <c r="Q238" s="9"/>
      <c r="R238" s="9"/>
      <c r="S238" s="9"/>
      <c r="T238" s="9"/>
      <c r="U238" s="9"/>
      <c r="V238" s="9"/>
      <c r="W238" s="9"/>
      <c r="X238" s="9"/>
      <c r="Y238" s="9"/>
      <c r="Z238" s="9"/>
      <c r="AA238" s="9"/>
      <c r="AB238" s="9"/>
      <c r="AC238" s="9"/>
      <c r="AD238" s="9"/>
      <c r="AE238" s="9"/>
      <c r="AF238" s="9"/>
      <c r="AG238" s="9"/>
    </row>
    <row r="239">
      <c r="A239" s="20" t="s">
        <v>3548</v>
      </c>
      <c r="B239" s="20" t="s">
        <v>3577</v>
      </c>
      <c r="C239" s="20" t="s">
        <v>3578</v>
      </c>
      <c r="D239" s="20" t="s">
        <v>3172</v>
      </c>
      <c r="E239" s="20" t="s">
        <v>3579</v>
      </c>
      <c r="F239" s="9"/>
      <c r="G239" s="9"/>
      <c r="H239" s="26" t="s">
        <v>3548</v>
      </c>
      <c r="I239" s="9" t="str">
        <f>IFERROR(__xludf.DUMMYFUNCTION("GOOGLETRANSLATE(B239,""en"",""ar"")"),"هذه الصورة هي...")</f>
        <v>هذه الصورة هي...</v>
      </c>
      <c r="J239" s="9" t="str">
        <f>IFERROR(__xludf.DUMMYFUNCTION("GOOGLETRANSLATE(C239,""en"",""ar"")"),"أ) لقطة عفوية لمباراة مصارعة، ب) صورة شخصية، ج) صورة لمزارع أثناء عمله، د) صورة لزعيم سياسي يلقي خطابًا")</f>
        <v>أ) لقطة عفوية لمباراة مصارعة، ب) صورة شخصية، ج) صورة لمزارع أثناء عمله، د) صورة لزعيم سياسي يلقي خطابًا</v>
      </c>
      <c r="K239" s="9" t="str">
        <f>IFERROR(__xludf.DUMMYFUNCTION("GOOGLETRANSLATE(D239,""en"",""ar"")"),"ب) صورة شخصية")</f>
        <v>ب) صورة شخصية</v>
      </c>
      <c r="L239" s="9" t="str">
        <f>IFERROR(__xludf.DUMMYFUNCTION("GOOGLETRANSLATE(E239,""en"",""ar"")"),"ينظر الرجل مباشرة إلى الكاميرا في وضعية واثقة، مما يشير إلى أن هذه صورة شخصية، وليست لقطة عفوية لحدث ما.")</f>
        <v>ينظر الرجل مباشرة إلى الكاميرا في وضعية واثقة، مما يشير إلى أن هذه صورة شخصية، وليست لقطة عفوية لحدث ما.</v>
      </c>
      <c r="M239" s="9"/>
      <c r="N239" s="9"/>
      <c r="O239" s="9"/>
      <c r="P239" s="9"/>
      <c r="Q239" s="9"/>
      <c r="R239" s="9"/>
      <c r="S239" s="9"/>
      <c r="T239" s="9"/>
      <c r="U239" s="9"/>
      <c r="V239" s="9"/>
      <c r="W239" s="9"/>
      <c r="X239" s="9"/>
      <c r="Y239" s="9"/>
      <c r="Z239" s="9"/>
      <c r="AA239" s="9"/>
      <c r="AB239" s="9"/>
      <c r="AC239" s="9"/>
      <c r="AD239" s="9"/>
      <c r="AE239" s="9"/>
      <c r="AF239" s="9"/>
      <c r="AG239" s="9"/>
    </row>
    <row r="240">
      <c r="A240" s="20" t="s">
        <v>3548</v>
      </c>
      <c r="B240" s="20" t="s">
        <v>3580</v>
      </c>
      <c r="C240" s="20" t="s">
        <v>3581</v>
      </c>
      <c r="D240" s="20" t="s">
        <v>3582</v>
      </c>
      <c r="E240" s="20" t="s">
        <v>3583</v>
      </c>
      <c r="F240" s="9"/>
      <c r="G240" s="9"/>
      <c r="H240" s="25" t="s">
        <v>3548</v>
      </c>
      <c r="I240" s="9" t="str">
        <f>IFERROR(__xludf.DUMMYFUNCTION("GOOGLETRANSLATE(B240,""en"",""ar"")"),"القماش الملون المخطط حول خصره هو...")</f>
        <v>القماش الملون المخطط حول خصره هو...</v>
      </c>
      <c r="J240" s="9" t="str">
        <f>IFERROR(__xludf.DUMMYFUNCTION("GOOGLETRANSLATE(C240,""en"",""ar"")"),"أ) ثوب رياضي حديث، ب) مئزر تقليدي، ج) منشفة، د) علم")</f>
        <v>أ) ثوب رياضي حديث، ب) مئزر تقليدي، ج) منشفة، د) علم</v>
      </c>
      <c r="K240" s="9" t="str">
        <f>IFERROR(__xludf.DUMMYFUNCTION("GOOGLETRANSLATE(D240,""en"",""ar"")"),"ب) مئزر تقليدي")</f>
        <v>ب) مئزر تقليدي</v>
      </c>
      <c r="L240" s="9" t="str">
        <f>IFERROR(__xludf.DUMMYFUNCTION("GOOGLETRANSLATE(E240,""en"",""ar"")"),"وهذا جزء شائع من الملابس التقليدية للرجال في المنطقة.")</f>
        <v>وهذا جزء شائع من الملابس التقليدية للرجال في المنطقة.</v>
      </c>
      <c r="M240" s="9"/>
      <c r="N240" s="9"/>
      <c r="O240" s="9"/>
      <c r="P240" s="9"/>
      <c r="Q240" s="9"/>
      <c r="R240" s="9"/>
      <c r="S240" s="9"/>
      <c r="T240" s="9"/>
      <c r="U240" s="9"/>
      <c r="V240" s="9"/>
      <c r="W240" s="9"/>
      <c r="X240" s="9"/>
      <c r="Y240" s="9"/>
      <c r="Z240" s="9"/>
      <c r="AA240" s="9"/>
      <c r="AB240" s="9"/>
      <c r="AC240" s="9"/>
      <c r="AD240" s="9"/>
      <c r="AE240" s="9"/>
      <c r="AF240" s="9"/>
      <c r="AG240" s="9"/>
    </row>
    <row r="241">
      <c r="A241" s="20" t="s">
        <v>3548</v>
      </c>
      <c r="B241" s="20" t="s">
        <v>3584</v>
      </c>
      <c r="C241" s="20" t="s">
        <v>3585</v>
      </c>
      <c r="D241" s="20" t="s">
        <v>3586</v>
      </c>
      <c r="E241" s="20" t="s">
        <v>3587</v>
      </c>
      <c r="F241" s="9"/>
      <c r="G241" s="9"/>
      <c r="H241" s="26" t="s">
        <v>3548</v>
      </c>
      <c r="I241" s="9" t="str">
        <f>IFERROR(__xludf.DUMMYFUNCTION("GOOGLETRANSLATE(B241,""en"",""ar"")"),"تلتقط هذه الصورة أهمية ما في ثقافة النوبة؟")</f>
        <v>تلتقط هذه الصورة أهمية ما في ثقافة النوبة؟</v>
      </c>
      <c r="J241" s="9" t="str">
        <f>IFERROR(__xludf.DUMMYFUNCTION("GOOGLETRANSLATE(C241,""en"",""ar"")"),"أ) الموضة الحديثة، ب) اللغة المكتوبة، ج) التعبير الفني والزينة الشخصية، د) الزراعة")</f>
        <v>أ) الموضة الحديثة، ب) اللغة المكتوبة، ج) التعبير الفني والزينة الشخصية، د) الزراعة</v>
      </c>
      <c r="K241" s="9" t="str">
        <f>IFERROR(__xludf.DUMMYFUNCTION("GOOGLETRANSLATE(D241,""en"",""ar"")"),"ج) التعبير الفني والتزيين الشخصي")</f>
        <v>ج) التعبير الفني والتزيين الشخصي</v>
      </c>
      <c r="L241" s="9" t="str">
        <f>IFERROR(__xludf.DUMMYFUNCTION("GOOGLETRANSLATE(E241,""en"",""ar"")"),"تُظهر الطلاءات والمجوهرات المعقدة ثقافة تولي قيمة عالية للجماليات والجسد كلوحة فنية.")</f>
        <v>تُظهر الطلاءات والمجوهرات المعقدة ثقافة تولي قيمة عالية للجماليات والجسد كلوحة فنية.</v>
      </c>
      <c r="M241" s="9"/>
      <c r="N241" s="9"/>
      <c r="O241" s="9"/>
      <c r="P241" s="9"/>
      <c r="Q241" s="9"/>
      <c r="R241" s="9"/>
      <c r="S241" s="9"/>
      <c r="T241" s="9"/>
      <c r="U241" s="9"/>
      <c r="V241" s="9"/>
      <c r="W241" s="9"/>
      <c r="X241" s="9"/>
      <c r="Y241" s="9"/>
      <c r="Z241" s="9"/>
      <c r="AA241" s="9"/>
      <c r="AB241" s="9"/>
      <c r="AC241" s="9"/>
      <c r="AD241" s="9"/>
      <c r="AE241" s="9"/>
      <c r="AF241" s="9"/>
      <c r="AG241" s="9"/>
    </row>
    <row r="242">
      <c r="A242" s="20" t="s">
        <v>3588</v>
      </c>
      <c r="B242" s="20" t="s">
        <v>3589</v>
      </c>
      <c r="C242" s="20" t="s">
        <v>3590</v>
      </c>
      <c r="D242" s="20" t="s">
        <v>3591</v>
      </c>
      <c r="E242" s="20" t="s">
        <v>3592</v>
      </c>
      <c r="F242" s="9"/>
      <c r="G242" s="9"/>
      <c r="H242" s="25" t="s">
        <v>3588</v>
      </c>
      <c r="I242" s="9" t="str">
        <f>IFERROR(__xludf.DUMMYFUNCTION("GOOGLETRANSLATE(B242,""en"",""ar"")"),"الحدث المصور هو أداء عام لما؟")</f>
        <v>الحدث المصور هو أداء عام لما؟</v>
      </c>
      <c r="J242" s="9" t="str">
        <f>IFERROR(__xludf.DUMMYFUNCTION("GOOGLETRANSLATE(C242,""en"",""ar"")"),"أ) مصارعة النوبة، ب) حفل روك حديث، ج) التحطيب المصري (قتال العصي) مع موسيقى حية، د) تجمع سياسي")</f>
        <v>أ) مصارعة النوبة، ب) حفل روك حديث، ج) التحطيب المصري (قتال العصي) مع موسيقى حية، د) تجمع سياسي</v>
      </c>
      <c r="K242" s="9" t="str">
        <f>IFERROR(__xludf.DUMMYFUNCTION("GOOGLETRANSLATE(D242,""en"",""ar"")"),"ج) التحطيب المصري (القتال بالعصا) مع الموسيقى الحية")</f>
        <v>ج) التحطيب المصري (القتال بالعصا) مع الموسيقى الحية</v>
      </c>
      <c r="L242" s="9" t="str">
        <f>IFERROR(__xludf.DUMMYFUNCTION("GOOGLETRANSLATE(E242,""en"",""ar"")"),"يؤدي الرجال مع العصي رقصة التحطيب، برفقة فرقة من الموسيقيين التقليديين.")</f>
        <v>يؤدي الرجال مع العصي رقصة التحطيب، برفقة فرقة من الموسيقيين التقليديين.</v>
      </c>
      <c r="M242" s="9"/>
      <c r="N242" s="9"/>
      <c r="O242" s="9"/>
      <c r="P242" s="9"/>
      <c r="Q242" s="9"/>
      <c r="R242" s="9"/>
      <c r="S242" s="9"/>
      <c r="T242" s="9"/>
      <c r="U242" s="9"/>
      <c r="V242" s="9"/>
      <c r="W242" s="9"/>
      <c r="X242" s="9"/>
      <c r="Y242" s="9"/>
      <c r="Z242" s="9"/>
      <c r="AA242" s="9"/>
      <c r="AB242" s="9"/>
      <c r="AC242" s="9"/>
      <c r="AD242" s="9"/>
      <c r="AE242" s="9"/>
      <c r="AF242" s="9"/>
      <c r="AG242" s="9"/>
    </row>
    <row r="243">
      <c r="A243" s="20" t="s">
        <v>3588</v>
      </c>
      <c r="B243" s="20" t="s">
        <v>3593</v>
      </c>
      <c r="C243" s="20" t="s">
        <v>3594</v>
      </c>
      <c r="D243" s="20" t="s">
        <v>3595</v>
      </c>
      <c r="E243" s="20" t="s">
        <v>3596</v>
      </c>
      <c r="F243" s="9"/>
      <c r="G243" s="9"/>
      <c r="H243" s="26" t="s">
        <v>3588</v>
      </c>
      <c r="I243" s="9" t="str">
        <f>IFERROR(__xludf.DUMMYFUNCTION("GOOGLETRANSLATE(B243,""en"",""ar"")"),"ما هو الإعداد لهذا الأداء؟")</f>
        <v>ما هو الإعداد لهذا الأداء؟</v>
      </c>
      <c r="J243" s="9" t="str">
        <f>IFERROR(__xludf.DUMMYFUNCTION("GOOGLETRANSLATE(C243,""en"",""ar"")"),"أ) قاعة حفلات داخلية، ب) مسرح خارجي أمام معبد الأقصر في مصر، ج) موقع صحراوي بعيد، د) حديقة عامة في مدينة حديثة")</f>
        <v>أ) قاعة حفلات داخلية، ب) مسرح خارجي أمام معبد الأقصر في مصر، ج) موقع صحراوي بعيد، د) حديقة عامة في مدينة حديثة</v>
      </c>
      <c r="K243" s="9" t="str">
        <f>IFERROR(__xludf.DUMMYFUNCTION("GOOGLETRANSLATE(D243,""en"",""ar"")"),"ب) مسرح خارجي أمام معبد الأقصر في مصر")</f>
        <v>ب) مسرح خارجي أمام معبد الأقصر في مصر</v>
      </c>
      <c r="L243" s="9" t="str">
        <f>IFERROR(__xludf.DUMMYFUNCTION("GOOGLETRANSLATE(E243,""en"",""ar"")"),"تظهر الأعمدة القديمة الضخمة لمعبد الأقصر بوضوح في الخلفية.")</f>
        <v>تظهر الأعمدة القديمة الضخمة لمعبد الأقصر بوضوح في الخلفية.</v>
      </c>
      <c r="M243" s="9"/>
      <c r="N243" s="9"/>
      <c r="O243" s="9"/>
      <c r="P243" s="9"/>
      <c r="Q243" s="9"/>
      <c r="R243" s="9"/>
      <c r="S243" s="9"/>
      <c r="T243" s="9"/>
      <c r="U243" s="9"/>
      <c r="V243" s="9"/>
      <c r="W243" s="9"/>
      <c r="X243" s="9"/>
      <c r="Y243" s="9"/>
      <c r="Z243" s="9"/>
      <c r="AA243" s="9"/>
      <c r="AB243" s="9"/>
      <c r="AC243" s="9"/>
      <c r="AD243" s="9"/>
      <c r="AE243" s="9"/>
      <c r="AF243" s="9"/>
      <c r="AG243" s="9"/>
    </row>
    <row r="244">
      <c r="A244" s="20" t="s">
        <v>3588</v>
      </c>
      <c r="B244" s="20" t="s">
        <v>3597</v>
      </c>
      <c r="C244" s="20" t="s">
        <v>3598</v>
      </c>
      <c r="D244" s="20" t="s">
        <v>3599</v>
      </c>
      <c r="E244" s="20" t="s">
        <v>3600</v>
      </c>
      <c r="F244" s="9"/>
      <c r="G244" s="9"/>
      <c r="H244" s="25" t="s">
        <v>3588</v>
      </c>
      <c r="I244" s="9" t="str">
        <f>IFERROR(__xludf.DUMMYFUNCTION("GOOGLETRANSLATE(B244,""en"",""ar"")"),"ماذا يفعل الرجال على الجانب الأيمن من المسرح؟")</f>
        <v>ماذا يفعل الرجال على الجانب الأيمن من المسرح؟</v>
      </c>
      <c r="J244" s="9" t="str">
        <f>IFERROR(__xludf.DUMMYFUNCTION("GOOGLETRANSLATE(C244,""en"",""ar"")"),"أ) إنهم يتصارعون، ب) إنهم يشاهدون العرض، ج) إنهم يعزفون على الآلات الموسيقية، د) إنهم يبيعون البضائع")</f>
        <v>أ) إنهم يتصارعون، ب) إنهم يشاهدون العرض، ج) إنهم يعزفون على الآلات الموسيقية، د) إنهم يبيعون البضائع</v>
      </c>
      <c r="K244" s="9" t="str">
        <f>IFERROR(__xludf.DUMMYFUNCTION("GOOGLETRANSLATE(D244,""en"",""ar"")"),"ج) إنهم يعزفون على الآلات الموسيقية")</f>
        <v>ج) إنهم يعزفون على الآلات الموسيقية</v>
      </c>
      <c r="L244" s="9" t="str">
        <f>IFERROR(__xludf.DUMMYFUNCTION("GOOGLETRANSLATE(E244,""en"",""ar"")"),"إنهم يشكلون فرقة موسيقية مصرية تقليدية، بآلات موسيقية مثل المزمار (الأوبوا) والطبول، لمرافقة رقصة التحطيب.")</f>
        <v>إنهم يشكلون فرقة موسيقية مصرية تقليدية، بآلات موسيقية مثل المزمار (الأوبوا) والطبول، لمرافقة رقصة التحطيب.</v>
      </c>
      <c r="M244" s="9"/>
      <c r="N244" s="9"/>
      <c r="O244" s="9"/>
      <c r="P244" s="9"/>
      <c r="Q244" s="9"/>
      <c r="R244" s="9"/>
      <c r="S244" s="9"/>
      <c r="T244" s="9"/>
      <c r="U244" s="9"/>
      <c r="V244" s="9"/>
      <c r="W244" s="9"/>
      <c r="X244" s="9"/>
      <c r="Y244" s="9"/>
      <c r="Z244" s="9"/>
      <c r="AA244" s="9"/>
      <c r="AB244" s="9"/>
      <c r="AC244" s="9"/>
      <c r="AD244" s="9"/>
      <c r="AE244" s="9"/>
      <c r="AF244" s="9"/>
      <c r="AG244" s="9"/>
    </row>
    <row r="245">
      <c r="A245" s="20" t="s">
        <v>3588</v>
      </c>
      <c r="B245" s="20" t="s">
        <v>3601</v>
      </c>
      <c r="C245" s="20" t="s">
        <v>3602</v>
      </c>
      <c r="D245" s="20" t="s">
        <v>3603</v>
      </c>
      <c r="E245" s="20" t="s">
        <v>3604</v>
      </c>
      <c r="F245" s="9"/>
      <c r="G245" s="9"/>
      <c r="H245" s="26" t="s">
        <v>3588</v>
      </c>
      <c r="I245" s="9" t="str">
        <f>IFERROR(__xludf.DUMMYFUNCTION("GOOGLETRANSLATE(B245,""en"",""ar"")"),"ما الذي يفعله الرجلان على اليسار؟")</f>
        <v>ما الذي يفعله الرجلان على اليسار؟</v>
      </c>
      <c r="J245" s="9" t="str">
        <f>IFERROR(__xludf.DUMMYFUNCTION("GOOGLETRANSLATE(C245,""en"",""ar"")"),"أ) قتال حقيقي عنيف، ب) مبارزة مصممة على شكل رقص باستخدام العصي، ج) جدال حاد، د) محادثة ودية")</f>
        <v>أ) قتال حقيقي عنيف، ب) مبارزة مصممة على شكل رقص باستخدام العصي، ج) جدال حاد، د) محادثة ودية</v>
      </c>
      <c r="K245" s="9" t="str">
        <f>IFERROR(__xludf.DUMMYFUNCTION("GOOGLETRANSLATE(D245,""en"",""ar"")"),"ب) مبارزة مصممة على شكل رقصة مع الموظفين")</f>
        <v>ب) مبارزة مصممة على شكل رقصة مع الموظفين</v>
      </c>
      <c r="L245" s="9" t="str">
        <f>IFERROR(__xludf.DUMMYFUNCTION("GOOGLETRANSLATE(E245,""en"",""ar"")"),"إنهم يؤدون الحركات الإيقاعية الشبيهة بالرقص المعروفة باسم ""التحطيب""، ولا يحاولون إيذاء بعضهم البعض.")</f>
        <v>إنهم يؤدون الحركات الإيقاعية الشبيهة بالرقص المعروفة باسم "التحطيب"، ولا يحاولون إيذاء بعضهم البعض.</v>
      </c>
      <c r="M245" s="9"/>
      <c r="N245" s="9"/>
      <c r="O245" s="9"/>
      <c r="P245" s="9"/>
      <c r="Q245" s="9"/>
      <c r="R245" s="9"/>
      <c r="S245" s="9"/>
      <c r="T245" s="9"/>
      <c r="U245" s="9"/>
      <c r="V245" s="9"/>
      <c r="W245" s="9"/>
      <c r="X245" s="9"/>
      <c r="Y245" s="9"/>
      <c r="Z245" s="9"/>
      <c r="AA245" s="9"/>
      <c r="AB245" s="9"/>
      <c r="AC245" s="9"/>
      <c r="AD245" s="9"/>
      <c r="AE245" s="9"/>
      <c r="AF245" s="9"/>
      <c r="AG245" s="9"/>
    </row>
    <row r="246">
      <c r="A246" s="20" t="s">
        <v>3588</v>
      </c>
      <c r="B246" s="20" t="s">
        <v>3315</v>
      </c>
      <c r="C246" s="20" t="s">
        <v>3605</v>
      </c>
      <c r="D246" s="20" t="s">
        <v>3606</v>
      </c>
      <c r="E246" s="20" t="s">
        <v>3607</v>
      </c>
      <c r="F246" s="9"/>
      <c r="G246" s="9"/>
      <c r="H246" s="25" t="s">
        <v>3588</v>
      </c>
      <c r="I246" s="9" t="str">
        <f>IFERROR(__xludf.DUMMYFUNCTION("GOOGLETRANSLATE(B246,""en"",""ar"")"),"ماذا يرتدي الممثلون؟")</f>
        <v>ماذا يرتدي الممثلون؟</v>
      </c>
      <c r="J246" s="9" t="str">
        <f>IFERROR(__xludf.DUMMYFUNCTION("GOOGLETRANSLATE(C246,""en"",""ar"")"),"أ) الملابس الرياضية الحديثة، ب) الجلابيب والعمائم التقليدية، ج) أزياء من جلود الحيوانات، د) الزي العسكري")</f>
        <v>أ) الملابس الرياضية الحديثة، ب) الجلابيب والعمائم التقليدية، ج) أزياء من جلود الحيوانات، د) الزي العسكري</v>
      </c>
      <c r="K246" s="9" t="str">
        <f>IFERROR(__xludf.DUMMYFUNCTION("GOOGLETRANSLATE(D246,""en"",""ar"")"),"ب) الجلابيب والعمائم التقليدية")</f>
        <v>ب) الجلابيب والعمائم التقليدية</v>
      </c>
      <c r="L246" s="9" t="str">
        <f>IFERROR(__xludf.DUMMYFUNCTION("GOOGLETRANSLATE(E246,""en"",""ar"")"),"يرتدي جميع المؤدين، سواء الراقصين أو الموسيقيين، الملابس المصرية التقليدية.")</f>
        <v>يرتدي جميع المؤدين، سواء الراقصين أو الموسيقيين، الملابس المصرية التقليدية.</v>
      </c>
      <c r="M246" s="9"/>
      <c r="N246" s="9"/>
      <c r="O246" s="9"/>
      <c r="P246" s="9"/>
      <c r="Q246" s="9"/>
      <c r="R246" s="9"/>
      <c r="S246" s="9"/>
      <c r="T246" s="9"/>
      <c r="U246" s="9"/>
      <c r="V246" s="9"/>
      <c r="W246" s="9"/>
      <c r="X246" s="9"/>
      <c r="Y246" s="9"/>
      <c r="Z246" s="9"/>
      <c r="AA246" s="9"/>
      <c r="AB246" s="9"/>
      <c r="AC246" s="9"/>
      <c r="AD246" s="9"/>
      <c r="AE246" s="9"/>
      <c r="AF246" s="9"/>
      <c r="AG246" s="9"/>
    </row>
    <row r="247">
      <c r="A247" s="20" t="s">
        <v>3588</v>
      </c>
      <c r="B247" s="20" t="s">
        <v>3608</v>
      </c>
      <c r="C247" s="20" t="s">
        <v>3328</v>
      </c>
      <c r="D247" s="20" t="s">
        <v>3075</v>
      </c>
      <c r="E247" s="20" t="s">
        <v>3609</v>
      </c>
      <c r="F247" s="9"/>
      <c r="G247" s="9"/>
      <c r="H247" s="26" t="s">
        <v>3588</v>
      </c>
      <c r="I247" s="9" t="str">
        <f>IFERROR(__xludf.DUMMYFUNCTION("GOOGLETRANSLATE(B247,""en"",""ar"")"),"العصا المستخدمة في التحطيب تسمى ...")</f>
        <v>العصا المستخدمة في التحطيب تسمى ...</v>
      </c>
      <c r="J247" s="9" t="str">
        <f>IFERROR(__xludf.DUMMYFUNCTION("GOOGLETRANSLATE(C247,""en"",""ar"")"),"أ) آسا، ب) إندوكو، ج) بو، د) شيناي")</f>
        <v>أ) آسا، ب) إندوكو، ج) بو، د) شيناي</v>
      </c>
      <c r="K247" s="9" t="str">
        <f>IFERROR(__xludf.DUMMYFUNCTION("GOOGLETRANSLATE(D247,""en"",""ar"")"),"أ) آسا")</f>
        <v>أ) آسا</v>
      </c>
      <c r="L247" s="9" t="str">
        <f>IFERROR(__xludf.DUMMYFUNCTION("GOOGLETRANSLATE(E247,""en"",""ar"")"),"العصا الخشبية الطويلة المستخدمة في التحطيب تعرف باسم ""آسا"".")</f>
        <v>العصا الخشبية الطويلة المستخدمة في التحطيب تعرف باسم "آسا".</v>
      </c>
      <c r="M247" s="9"/>
      <c r="N247" s="9"/>
      <c r="O247" s="9"/>
      <c r="P247" s="9"/>
      <c r="Q247" s="9"/>
      <c r="R247" s="9"/>
      <c r="S247" s="9"/>
      <c r="T247" s="9"/>
      <c r="U247" s="9"/>
      <c r="V247" s="9"/>
      <c r="W247" s="9"/>
      <c r="X247" s="9"/>
      <c r="Y247" s="9"/>
      <c r="Z247" s="9"/>
      <c r="AA247" s="9"/>
      <c r="AB247" s="9"/>
      <c r="AC247" s="9"/>
      <c r="AD247" s="9"/>
      <c r="AE247" s="9"/>
      <c r="AF247" s="9"/>
      <c r="AG247" s="9"/>
    </row>
    <row r="248">
      <c r="A248" s="20" t="s">
        <v>3588</v>
      </c>
      <c r="B248" s="20" t="s">
        <v>3610</v>
      </c>
      <c r="C248" s="20" t="s">
        <v>3611</v>
      </c>
      <c r="D248" s="20" t="s">
        <v>3612</v>
      </c>
      <c r="E248" s="20" t="s">
        <v>3613</v>
      </c>
      <c r="F248" s="9"/>
      <c r="G248" s="9"/>
      <c r="H248" s="25" t="s">
        <v>3588</v>
      </c>
      <c r="I248" s="9" t="str">
        <f>IFERROR(__xludf.DUMMYFUNCTION("GOOGLETRANSLATE(B248,""en"",""ar"")"),"يعد هذا الحدث مثالاً واضحاً على...")</f>
        <v>يعد هذا الحدث مثالاً واضحاً على...</v>
      </c>
      <c r="J248" s="9" t="str">
        <f>IFERROR(__xludf.DUMMYFUNCTION("GOOGLETRANSLATE(C248,""en"",""ar"")"),"أ) معركة تاريخية، ب) تقليد ثقافي حي يتم تقديمه للجمهور، ج) قتال شوارع عفوي، د) طقوس سرية")</f>
        <v>أ) معركة تاريخية، ب) تقليد ثقافي حي يتم تقديمه للجمهور، ج) قتال شوارع عفوي، د) طقوس سرية</v>
      </c>
      <c r="K248" s="9" t="str">
        <f>IFERROR(__xludf.DUMMYFUNCTION("GOOGLETRANSLATE(D248,""en"",""ar"")"),"ب) تقليد ثقافي حي يتم تقديمه للجمهور")</f>
        <v>ب) تقليد ثقافي حي يتم تقديمه للجمهور</v>
      </c>
      <c r="L248" s="9" t="str">
        <f>IFERROR(__xludf.DUMMYFUNCTION("GOOGLETRANSLATE(E248,""en"",""ar"")"),"وهو عرض عام يسلط الضوء على شكل فني تقليدي ويحافظ عليه.")</f>
        <v>وهو عرض عام يسلط الضوء على شكل فني تقليدي ويحافظ عليه.</v>
      </c>
      <c r="M248" s="9"/>
      <c r="N248" s="9"/>
      <c r="O248" s="9"/>
      <c r="P248" s="9"/>
      <c r="Q248" s="9"/>
      <c r="R248" s="9"/>
      <c r="S248" s="9"/>
      <c r="T248" s="9"/>
      <c r="U248" s="9"/>
      <c r="V248" s="9"/>
      <c r="W248" s="9"/>
      <c r="X248" s="9"/>
      <c r="Y248" s="9"/>
      <c r="Z248" s="9"/>
      <c r="AA248" s="9"/>
      <c r="AB248" s="9"/>
      <c r="AC248" s="9"/>
      <c r="AD248" s="9"/>
      <c r="AE248" s="9"/>
      <c r="AF248" s="9"/>
      <c r="AG248" s="9"/>
    </row>
    <row r="249">
      <c r="A249" s="20" t="s">
        <v>3588</v>
      </c>
      <c r="B249" s="20" t="s">
        <v>3614</v>
      </c>
      <c r="C249" s="20" t="s">
        <v>3615</v>
      </c>
      <c r="D249" s="20" t="s">
        <v>3616</v>
      </c>
      <c r="E249" s="20" t="s">
        <v>3617</v>
      </c>
      <c r="F249" s="9"/>
      <c r="G249" s="9"/>
      <c r="H249" s="26" t="s">
        <v>3588</v>
      </c>
      <c r="I249" s="9" t="str">
        <f>IFERROR(__xludf.DUMMYFUNCTION("GOOGLETRANSLATE(B249,""en"",""ar"")"),"ماذا يشير وجود الميكروفونات ومكبرات الصوت؟")</f>
        <v>ماذا يشير وجود الميكروفونات ومكبرات الصوت؟</v>
      </c>
      <c r="J249" s="9" t="str">
        <f>IFERROR(__xludf.DUMMYFUNCTION("GOOGLETRANSLATE(C249,""en"",""ar"")"),"أ) الحدث صامت، ب) الحدث حديث، باستخدام مكبرات الصوت للموسيقى، ج) الحدث عبارة عن مؤتمر صحفي، د) الصورة من القرن التاسع عشر")</f>
        <v>أ) الحدث صامت، ب) الحدث حديث، باستخدام مكبرات الصوت للموسيقى، ج) الحدث عبارة عن مؤتمر صحفي، د) الصورة من القرن التاسع عشر</v>
      </c>
      <c r="K249" s="9" t="str">
        <f>IFERROR(__xludf.DUMMYFUNCTION("GOOGLETRANSLATE(D249,""en"",""ar"")"),"ب) الحدث حديث، ويستخدم التضخيم للموسيقى.")</f>
        <v>ب) الحدث حديث، ويستخدم التضخيم للموسيقى.</v>
      </c>
      <c r="L249" s="9" t="str">
        <f>IFERROR(__xludf.DUMMYFUNCTION("GOOGLETRANSLATE(E249,""en"",""ar"")"),"ويُظهر استخدام معدات الصوت الحديثة مزيجًا بين التقاليد وتكنولوجيا الأداء الحديثة.")</f>
        <v>ويُظهر استخدام معدات الصوت الحديثة مزيجًا بين التقاليد وتكنولوجيا الأداء الحديثة.</v>
      </c>
      <c r="M249" s="9"/>
      <c r="N249" s="9"/>
      <c r="O249" s="9"/>
      <c r="P249" s="9"/>
      <c r="Q249" s="9"/>
      <c r="R249" s="9"/>
      <c r="S249" s="9"/>
      <c r="T249" s="9"/>
      <c r="U249" s="9"/>
      <c r="V249" s="9"/>
      <c r="W249" s="9"/>
      <c r="X249" s="9"/>
      <c r="Y249" s="9"/>
      <c r="Z249" s="9"/>
      <c r="AA249" s="9"/>
      <c r="AB249" s="9"/>
      <c r="AC249" s="9"/>
      <c r="AD249" s="9"/>
      <c r="AE249" s="9"/>
      <c r="AF249" s="9"/>
      <c r="AG249" s="9"/>
    </row>
    <row r="250">
      <c r="A250" s="20" t="s">
        <v>3588</v>
      </c>
      <c r="B250" s="20" t="s">
        <v>3618</v>
      </c>
      <c r="C250" s="20" t="s">
        <v>3619</v>
      </c>
      <c r="D250" s="20" t="s">
        <v>3620</v>
      </c>
      <c r="E250" s="20" t="s">
        <v>3621</v>
      </c>
      <c r="F250" s="9"/>
      <c r="G250" s="9"/>
      <c r="H250" s="25" t="s">
        <v>3588</v>
      </c>
      <c r="I250" s="9" t="str">
        <f>IFERROR(__xludf.DUMMYFUNCTION("GOOGLETRANSLATE(B250,""en"",""ar"")"),"تحركات المقاتلين الاثنين هي...")</f>
        <v>تحركات المقاتلين الاثنين هي...</v>
      </c>
      <c r="J250" s="9" t="str">
        <f>IFERROR(__xludf.DUMMYFUNCTION("GOOGLETRANSLATE(C250,""en"",""ar"")"),"أ) أخرق وغير متوازن، ب) متزامن وإيقاعي، ج) بطيء وحذر، د) عدواني وفوضوي")</f>
        <v>أ) أخرق وغير متوازن، ب) متزامن وإيقاعي، ج) بطيء وحذر، د) عدواني وفوضوي</v>
      </c>
      <c r="K250" s="9" t="str">
        <f>IFERROR(__xludf.DUMMYFUNCTION("GOOGLETRANSLATE(D250,""en"",""ar"")"),"ب) متزامنة وإيقاعية")</f>
        <v>ب) متزامنة وإيقاعية</v>
      </c>
      <c r="L250" s="9" t="str">
        <f>IFERROR(__xludf.DUMMYFUNCTION("GOOGLETRANSLATE(E250,""en"",""ar"")"),"تتميز أوضاعهم بالانعكاس والديناميكية، مما يسلط الضوء على جودة الرقص في فنون القتال.")</f>
        <v>تتميز أوضاعهم بالانعكاس والديناميكية، مما يسلط الضوء على جودة الرقص في فنون القتال.</v>
      </c>
      <c r="M250" s="9"/>
      <c r="N250" s="9"/>
      <c r="O250" s="9"/>
      <c r="P250" s="9"/>
      <c r="Q250" s="9"/>
      <c r="R250" s="9"/>
      <c r="S250" s="9"/>
      <c r="T250" s="9"/>
      <c r="U250" s="9"/>
      <c r="V250" s="9"/>
      <c r="W250" s="9"/>
      <c r="X250" s="9"/>
      <c r="Y250" s="9"/>
      <c r="Z250" s="9"/>
      <c r="AA250" s="9"/>
      <c r="AB250" s="9"/>
      <c r="AC250" s="9"/>
      <c r="AD250" s="9"/>
      <c r="AE250" s="9"/>
      <c r="AF250" s="9"/>
      <c r="AG250" s="9"/>
    </row>
    <row r="251">
      <c r="A251" s="20" t="s">
        <v>3588</v>
      </c>
      <c r="B251" s="20" t="s">
        <v>3622</v>
      </c>
      <c r="C251" s="20" t="s">
        <v>3623</v>
      </c>
      <c r="D251" s="20" t="s">
        <v>3624</v>
      </c>
      <c r="E251" s="20" t="s">
        <v>3625</v>
      </c>
      <c r="F251" s="9"/>
      <c r="G251" s="9"/>
      <c r="H251" s="26" t="s">
        <v>3588</v>
      </c>
      <c r="I251" s="9" t="str">
        <f>IFERROR(__xludf.DUMMYFUNCTION("GOOGLETRANSLATE(B251,""en"",""ar"")"),"الحدث بشكل عام هو ...")</f>
        <v>الحدث بشكل عام هو ...</v>
      </c>
      <c r="J251" s="9" t="str">
        <f>IFERROR(__xludf.DUMMYFUNCTION("GOOGLETRANSLATE(C251,""en"",""ar"")"),"أ) موكب جنازة حزين، ب) عرض ثقافي حيوي، ج) منافسة رياضية جادة، د) احتجاج سياسي")</f>
        <v>أ) موكب جنازة حزين، ب) عرض ثقافي حيوي، ج) منافسة رياضية جادة، د) احتجاج سياسي</v>
      </c>
      <c r="K251" s="9" t="str">
        <f>IFERROR(__xludf.DUMMYFUNCTION("GOOGLETRANSLATE(D251,""en"",""ar"")"),"ب) أداء ثقافي حيوي")</f>
        <v>ب) أداء ثقافي حيوي</v>
      </c>
      <c r="L251" s="9" t="str">
        <f>IFERROR(__xludf.DUMMYFUNCTION("GOOGLETRANSLATE(E251,""en"",""ar"")"),"يخلق الجمع بين الموسيقى والرقص والفنون القتالية مشهدًا ثقافيًا احتفاليًا وممتعًا.")</f>
        <v>يخلق الجمع بين الموسيقى والرقص والفنون القتالية مشهدًا ثقافيًا احتفاليًا وممتعًا.</v>
      </c>
      <c r="M251" s="9"/>
      <c r="N251" s="9"/>
      <c r="O251" s="9"/>
      <c r="P251" s="9"/>
      <c r="Q251" s="9"/>
      <c r="R251" s="9"/>
      <c r="S251" s="9"/>
      <c r="T251" s="9"/>
      <c r="U251" s="9"/>
      <c r="V251" s="9"/>
      <c r="W251" s="9"/>
      <c r="X251" s="9"/>
      <c r="Y251" s="9"/>
      <c r="Z251" s="9"/>
      <c r="AA251" s="9"/>
      <c r="AB251" s="9"/>
      <c r="AC251" s="9"/>
      <c r="AD251" s="9"/>
      <c r="AE251" s="9"/>
      <c r="AF251" s="9"/>
      <c r="AG251" s="9"/>
    </row>
    <row r="252">
      <c r="A252" s="20" t="s">
        <v>3020</v>
      </c>
      <c r="B252" s="20" t="s">
        <v>3021</v>
      </c>
      <c r="C252" s="20" t="s">
        <v>3022</v>
      </c>
      <c r="D252" s="20" t="s">
        <v>2862</v>
      </c>
      <c r="E252" s="20" t="s">
        <v>3023</v>
      </c>
      <c r="F252" s="9"/>
      <c r="G252" s="9"/>
      <c r="H252" s="25" t="s">
        <v>3020</v>
      </c>
      <c r="I252" s="9" t="str">
        <f>IFERROR(__xludf.DUMMYFUNCTION("GOOGLETRANSLATE(B252,""en"",""ar"")"),"ما هو أحد فنون القتال السودانية التقليدية التي تصورها هذه الصورة التاريخية؟")</f>
        <v>ما هو أحد فنون القتال السودانية التقليدية التي تصورها هذه الصورة التاريخية؟</v>
      </c>
      <c r="J252" s="9" t="str">
        <f>IFERROR(__xludf.DUMMYFUNCTION("GOOGLETRANSLATE(C252,""en"",""ar"")"),"أ) القتال بالعصا، ب) المصارعة النوبية، ج) الرماية، د) أحد أشكال المبارزة")</f>
        <v>أ) القتال بالعصا، ب) المصارعة النوبية، ج) الرماية، د) أحد أشكال المبارزة</v>
      </c>
      <c r="K252" s="9" t="str">
        <f>IFERROR(__xludf.DUMMYFUNCTION("GOOGLETRANSLATE(D252,""en"",""ar"")"),"ب) المصارعة النوبية")</f>
        <v>ب) المصارعة النوبية</v>
      </c>
      <c r="L252" s="9" t="str">
        <f>IFERROR(__xludf.DUMMYFUNCTION("GOOGLETRANSLATE(E252,""en"",""ar"")"),"تظهر هذه الصورة مسابقة مصارعة، وهي من سمات مصارعة النوبة، وليس قتال العصا، على الرغم من وجود الرمح.")</f>
        <v>تظهر هذه الصورة مسابقة مصارعة، وهي من سمات مصارعة النوبة، وليس قتال العصا، على الرغم من وجود الرمح.</v>
      </c>
      <c r="M252" s="9"/>
      <c r="N252" s="9"/>
      <c r="O252" s="9"/>
      <c r="P252" s="9"/>
      <c r="Q252" s="9"/>
      <c r="R252" s="9"/>
      <c r="S252" s="9"/>
      <c r="T252" s="9"/>
      <c r="U252" s="9"/>
      <c r="V252" s="9"/>
      <c r="W252" s="9"/>
      <c r="X252" s="9"/>
      <c r="Y252" s="9"/>
      <c r="Z252" s="9"/>
      <c r="AA252" s="9"/>
      <c r="AB252" s="9"/>
      <c r="AC252" s="9"/>
      <c r="AD252" s="9"/>
      <c r="AE252" s="9"/>
      <c r="AF252" s="9"/>
      <c r="AG252" s="9"/>
    </row>
    <row r="253">
      <c r="A253" s="20" t="s">
        <v>3020</v>
      </c>
      <c r="B253" s="20" t="s">
        <v>3024</v>
      </c>
      <c r="C253" s="20" t="s">
        <v>3025</v>
      </c>
      <c r="D253" s="20" t="s">
        <v>3026</v>
      </c>
      <c r="E253" s="20" t="s">
        <v>3027</v>
      </c>
      <c r="F253" s="9"/>
      <c r="G253" s="9"/>
      <c r="H253" s="26" t="s">
        <v>3020</v>
      </c>
      <c r="I253" s="9" t="str">
        <f>IFERROR(__xludf.DUMMYFUNCTION("GOOGLETRANSLATE(B253,""en"",""ar"")"),"ما هو العمل المركزي للرجلين في الوسط؟")</f>
        <v>ما هو العمل المركزي للرجلين في الوسط؟</v>
      </c>
      <c r="J253" s="9" t="str">
        <f>IFERROR(__xludf.DUMMYFUNCTION("GOOGLETRANSLATE(C253,""en"",""ar"")"),"أ) إنهم يتقاتلون بالرمح الطويل، ب) إنهم محاصرون في مصارعة منخفضة وقوية، ج) إنهم يؤدون رقصة احتفالية، د) إنهم يتصافحون")</f>
        <v>أ) إنهم يتقاتلون بالرمح الطويل، ب) إنهم محاصرون في مصارعة منخفضة وقوية، ج) إنهم يؤدون رقصة احتفالية، د) إنهم يتصافحون</v>
      </c>
      <c r="K253" s="9" t="str">
        <f>IFERROR(__xludf.DUMMYFUNCTION("GOOGLETRANSLATE(D253,""en"",""ar"")"),"ب) يتم حبسهم في مصارعة منخفضة وقوية")</f>
        <v>ب) يتم حبسهم في مصارعة منخفضة وقوية</v>
      </c>
      <c r="L253" s="9" t="str">
        <f>IFERROR(__xludf.DUMMYFUNCTION("GOOGLETRANSLATE(E253,""en"",""ar"")"),"إنهم ينحنون ويشاركون في وضعية المصارعة التي تتطلب التلامس الوثيق، والتي تشكل جوهر هذه الرياضة.")</f>
        <v>إنهم ينحنون ويشاركون في وضعية المصارعة التي تتطلب التلامس الوثيق، والتي تشكل جوهر هذه الرياضة.</v>
      </c>
      <c r="M253" s="9"/>
      <c r="N253" s="9"/>
      <c r="O253" s="9"/>
      <c r="P253" s="9"/>
      <c r="Q253" s="9"/>
      <c r="R253" s="9"/>
      <c r="S253" s="9"/>
      <c r="T253" s="9"/>
      <c r="U253" s="9"/>
      <c r="V253" s="9"/>
      <c r="W253" s="9"/>
      <c r="X253" s="9"/>
      <c r="Y253" s="9"/>
      <c r="Z253" s="9"/>
      <c r="AA253" s="9"/>
      <c r="AB253" s="9"/>
      <c r="AC253" s="9"/>
      <c r="AD253" s="9"/>
      <c r="AE253" s="9"/>
      <c r="AF253" s="9"/>
      <c r="AG253" s="9"/>
    </row>
    <row r="254">
      <c r="A254" s="20" t="s">
        <v>3020</v>
      </c>
      <c r="B254" s="20" t="s">
        <v>3028</v>
      </c>
      <c r="C254" s="20" t="s">
        <v>3029</v>
      </c>
      <c r="D254" s="20" t="s">
        <v>3030</v>
      </c>
      <c r="E254" s="20" t="s">
        <v>3031</v>
      </c>
      <c r="F254" s="9"/>
      <c r="G254" s="9"/>
      <c r="H254" s="25" t="s">
        <v>3020</v>
      </c>
      <c r="I254" s="9" t="str">
        <f>IFERROR(__xludf.DUMMYFUNCTION("GOOGLETRANSLATE(B254,""en"",""ar"")"),"من هو الرجل الموجود على اليمين والذي يرتدي ملابس احتفالية معقدة؟")</f>
        <v>من هو الرجل الموجود على اليمين والذي يرتدي ملابس احتفالية معقدة؟</v>
      </c>
      <c r="J254" s="9" t="str">
        <f>IFERROR(__xludf.DUMMYFUNCTION("GOOGLETRANSLATE(C254,""en"",""ar"")"),"أ) هو المصارع التالي الذي سيتنافس، ب) هو متفرج، ج) من المرجح أن يكون مسؤولاً أو بطلاً أو قائداً طقوسياً، د) هو الخاسر في المباراة السابقة")</f>
        <v>أ) هو المصارع التالي الذي سيتنافس، ب) هو متفرج، ج) من المرجح أن يكون مسؤولاً أو بطلاً أو قائداً طقوسياً، د) هو الخاسر في المباراة السابقة</v>
      </c>
      <c r="K254" s="9" t="str">
        <f>IFERROR(__xludf.DUMMYFUNCTION("GOOGLETRANSLATE(D254,""en"",""ar"")"),"ج) من المرجح أن يكون مسؤولاً أو بطلاً أو قائداً طقسياً")</f>
        <v>ج) من المرجح أن يكون مسؤولاً أو بطلاً أو قائداً طقسياً</v>
      </c>
      <c r="L254" s="9" t="str">
        <f>IFERROR(__xludf.DUMMYFUNCTION("GOOGLETRANSLATE(E254,""en"",""ar"")"),"إن غطاء رأسه المزخرف وملابسه تجعله متميزًا عن المنافسين، مما يشير إلى أنه يتمتع بدور خاص وعالي المستوى في الإجراءات.")</f>
        <v>إن غطاء رأسه المزخرف وملابسه تجعله متميزًا عن المنافسين، مما يشير إلى أنه يتمتع بدور خاص وعالي المستوى في الإجراءات.</v>
      </c>
      <c r="M254" s="9"/>
      <c r="N254" s="9"/>
      <c r="O254" s="9"/>
      <c r="P254" s="9"/>
      <c r="Q254" s="9"/>
      <c r="R254" s="9"/>
      <c r="S254" s="9"/>
      <c r="T254" s="9"/>
      <c r="U254" s="9"/>
      <c r="V254" s="9"/>
      <c r="W254" s="9"/>
      <c r="X254" s="9"/>
      <c r="Y254" s="9"/>
      <c r="Z254" s="9"/>
      <c r="AA254" s="9"/>
      <c r="AB254" s="9"/>
      <c r="AC254" s="9"/>
      <c r="AD254" s="9"/>
      <c r="AE254" s="9"/>
      <c r="AF254" s="9"/>
      <c r="AG254" s="9"/>
    </row>
    <row r="255">
      <c r="A255" s="20" t="s">
        <v>3020</v>
      </c>
      <c r="B255" s="20" t="s">
        <v>3032</v>
      </c>
      <c r="C255" s="20" t="s">
        <v>3033</v>
      </c>
      <c r="D255" s="20" t="s">
        <v>3034</v>
      </c>
      <c r="E255" s="20" t="s">
        <v>3035</v>
      </c>
      <c r="F255" s="9"/>
      <c r="G255" s="9"/>
      <c r="H255" s="26" t="s">
        <v>3020</v>
      </c>
      <c r="I255" s="9" t="str">
        <f>IFERROR(__xludf.DUMMYFUNCTION("GOOGLETRANSLATE(B255,""en"",""ar"")"),"الرجل على اليسار يحمل رمحًا طويلًا. ما الغرض المحتمل منه؟")</f>
        <v>الرجل على اليسار يحمل رمحًا طويلًا. ما الغرض المحتمل منه؟</v>
      </c>
      <c r="J255" s="9" t="str">
        <f>IFERROR(__xludf.DUMMYFUNCTION("GOOGLETRANSLATE(C255,""en"",""ar"")"),"أ) إنه السلاح الأساسي للقتال، ب) إنه شيء رمزي أو طقسي، ربما جائزة أو علامة، ج) إنه أداة للزراعة نسي أن يضعها، د) إنه يستخدمها لفصل المصارعين")</f>
        <v>أ) إنه السلاح الأساسي للقتال، ب) إنه شيء رمزي أو طقسي، ربما جائزة أو علامة، ج) إنه أداة للزراعة نسي أن يضعها، د) إنه يستخدمها لفصل المصارعين</v>
      </c>
      <c r="K255" s="9" t="str">
        <f>IFERROR(__xludf.DUMMYFUNCTION("GOOGLETRANSLATE(D255,""en"",""ar"")"),"ب) إنه شيء رمزي أو طقسي، ربما جائزة أو علامة")</f>
        <v>ب) إنه شيء رمزي أو طقسي، ربما جائزة أو علامة</v>
      </c>
      <c r="L255" s="9" t="str">
        <f>IFERROR(__xludf.DUMMYFUNCTION("GOOGLETRANSLATE(E255,""en"",""ar"")"),"رغم أن ثقافة النوبة لها تاريخ في القتال بالرمح (الفروسية)، إلا أنه في سياق المصارعة هذا، من المرجح أن يكون الرمح احتفاليًا.")</f>
        <v>رغم أن ثقافة النوبة لها تاريخ في القتال بالرمح (الفروسية)، إلا أنه في سياق المصارعة هذا، من المرجح أن يكون الرمح احتفاليًا.</v>
      </c>
      <c r="M255" s="9"/>
      <c r="N255" s="9"/>
      <c r="O255" s="9"/>
      <c r="P255" s="9"/>
      <c r="Q255" s="9"/>
      <c r="R255" s="9"/>
      <c r="S255" s="9"/>
      <c r="T255" s="9"/>
      <c r="U255" s="9"/>
      <c r="V255" s="9"/>
      <c r="W255" s="9"/>
      <c r="X255" s="9"/>
      <c r="Y255" s="9"/>
      <c r="Z255" s="9"/>
      <c r="AA255" s="9"/>
      <c r="AB255" s="9"/>
      <c r="AC255" s="9"/>
      <c r="AD255" s="9"/>
      <c r="AE255" s="9"/>
      <c r="AF255" s="9"/>
      <c r="AG255" s="9"/>
    </row>
    <row r="256">
      <c r="A256" s="20" t="s">
        <v>3020</v>
      </c>
      <c r="B256" s="20" t="s">
        <v>3036</v>
      </c>
      <c r="C256" s="20" t="s">
        <v>3037</v>
      </c>
      <c r="D256" s="20" t="s">
        <v>3038</v>
      </c>
      <c r="E256" s="20" t="s">
        <v>3039</v>
      </c>
      <c r="F256" s="9"/>
      <c r="G256" s="9"/>
      <c r="H256" s="25" t="s">
        <v>3020</v>
      </c>
      <c r="I256" s="9" t="str">
        <f>IFERROR(__xludf.DUMMYFUNCTION("GOOGLETRANSLATE(B256,""en"",""ar"")"),"يشير الشكل بالأبيض والأسود والبيئة الريفية إلى...")</f>
        <v>يشير الشكل بالأبيض والأسود والبيئة الريفية إلى...</v>
      </c>
      <c r="J256" s="9" t="str">
        <f>IFERROR(__xludf.DUMMYFUNCTION("GOOGLETRANSLATE(C256,""en"",""ar"")"),"أ) حدث حديث في مدينة كبيرة، ب) توثيق تاريخي لمهرجان قرية تقليدية، ج) مشهد سينمائي، د) جلسة تدريب في صالة ألعاب رياضية")</f>
        <v>أ) حدث حديث في مدينة كبيرة، ب) توثيق تاريخي لمهرجان قرية تقليدية، ج) مشهد سينمائي، د) جلسة تدريب في صالة ألعاب رياضية</v>
      </c>
      <c r="K256" s="9" t="str">
        <f>IFERROR(__xludf.DUMMYFUNCTION("GOOGLETRANSLATE(D256,""en"",""ar"")"),"ب) توثيق تاريخي لمهرجان القرية التقليدية")</f>
        <v>ب) توثيق تاريخي لمهرجان القرية التقليدية</v>
      </c>
      <c r="L256" s="9" t="str">
        <f>IFERROR(__xludf.DUMMYFUNCTION("GOOGLETRANSLATE(E256,""en"",""ar"")"),"هذه صورة قديمة تلتقط هذه الرياضة في بيئتها الثقافية التقليدية الأصيلة.")</f>
        <v>هذه صورة قديمة تلتقط هذه الرياضة في بيئتها الثقافية التقليدية الأصيلة.</v>
      </c>
      <c r="M256" s="9"/>
      <c r="N256" s="9"/>
      <c r="O256" s="9"/>
      <c r="P256" s="9"/>
      <c r="Q256" s="9"/>
      <c r="R256" s="9"/>
      <c r="S256" s="9"/>
      <c r="T256" s="9"/>
      <c r="U256" s="9"/>
      <c r="V256" s="9"/>
      <c r="W256" s="9"/>
      <c r="X256" s="9"/>
      <c r="Y256" s="9"/>
      <c r="Z256" s="9"/>
      <c r="AA256" s="9"/>
      <c r="AB256" s="9"/>
      <c r="AC256" s="9"/>
      <c r="AD256" s="9"/>
      <c r="AE256" s="9"/>
      <c r="AF256" s="9"/>
      <c r="AG256" s="9"/>
    </row>
    <row r="257">
      <c r="A257" s="20" t="s">
        <v>3020</v>
      </c>
      <c r="B257" s="20" t="s">
        <v>3040</v>
      </c>
      <c r="C257" s="20" t="s">
        <v>3041</v>
      </c>
      <c r="D257" s="20" t="s">
        <v>3042</v>
      </c>
      <c r="E257" s="20" t="s">
        <v>3043</v>
      </c>
      <c r="F257" s="9"/>
      <c r="G257" s="9"/>
      <c r="H257" s="26" t="s">
        <v>3020</v>
      </c>
      <c r="I257" s="9" t="str">
        <f>IFERROR(__xludf.DUMMYFUNCTION("GOOGLETRANSLATE(B257,""en"",""ar"")"),"يتكون لباس المصارعين من ...")</f>
        <v>يتكون لباس المصارعين من ...</v>
      </c>
      <c r="J257" s="9" t="str">
        <f>IFERROR(__xludf.DUMMYFUNCTION("GOOGLETRANSLATE(C257,""en"",""ar"")"),"أ) السراويل القصيرة والقمصان الحديثة، ب) مآزر وأردفة تقليدية بسيطة، ج) دروع ثقيلة، د) لا شيء على الإطلاق")</f>
        <v>أ) السراويل القصيرة والقمصان الحديثة، ب) مآزر وأردفة تقليدية بسيطة، ج) دروع ثقيلة، د) لا شيء على الإطلاق</v>
      </c>
      <c r="K257" s="9" t="str">
        <f>IFERROR(__xludf.DUMMYFUNCTION("GOOGLETRANSLATE(D257,""en"",""ar"")"),"ب) مآزر وأوشحة تقليدية بسيطة")</f>
        <v>ب) مآزر وأوشحة تقليدية بسيطة</v>
      </c>
      <c r="L257" s="9" t="str">
        <f>IFERROR(__xludf.DUMMYFUNCTION("GOOGLETRANSLATE(E257,""en"",""ar"")"),"ملابسهم بسيطة، وعملية للمصارعة، وتقليدية في الأسلوب.")</f>
        <v>ملابسهم بسيطة، وعملية للمصارعة، وتقليدية في الأسلوب.</v>
      </c>
      <c r="M257" s="9"/>
      <c r="N257" s="9"/>
      <c r="O257" s="9"/>
      <c r="P257" s="9"/>
      <c r="Q257" s="9"/>
      <c r="R257" s="9"/>
      <c r="S257" s="9"/>
      <c r="T257" s="9"/>
      <c r="U257" s="9"/>
      <c r="V257" s="9"/>
      <c r="W257" s="9"/>
      <c r="X257" s="9"/>
      <c r="Y257" s="9"/>
      <c r="Z257" s="9"/>
      <c r="AA257" s="9"/>
      <c r="AB257" s="9"/>
      <c r="AC257" s="9"/>
      <c r="AD257" s="9"/>
      <c r="AE257" s="9"/>
      <c r="AF257" s="9"/>
      <c r="AG257" s="9"/>
    </row>
    <row r="258">
      <c r="A258" s="20" t="s">
        <v>3020</v>
      </c>
      <c r="B258" s="20" t="s">
        <v>3044</v>
      </c>
      <c r="C258" s="20" t="s">
        <v>3045</v>
      </c>
      <c r="D258" s="20" t="s">
        <v>3046</v>
      </c>
      <c r="E258" s="20" t="s">
        <v>3047</v>
      </c>
      <c r="F258" s="9"/>
      <c r="G258" s="9"/>
      <c r="H258" s="25" t="s">
        <v>3020</v>
      </c>
      <c r="I258" s="9" t="str">
        <f>IFERROR(__xludf.DUMMYFUNCTION("GOOGLETRANSLATE(B258,""en"",""ar"")"),"الرجل الموجود في الوسط والذي ينحني هو في وضع ضعيف، مما يشير إلى...")</f>
        <v>الرجل الموجود في الوسط والذي ينحني هو في وضع ضعيف، مما يشير إلى...</v>
      </c>
      <c r="J258" s="9" t="str">
        <f>IFERROR(__xludf.DUMMYFUNCTION("GOOGLETRANSLATE(C258,""en"",""ar"")"),"أ) إنه يفوز بالمباراة، ب) إنه على وشك أن يُرمى من قبل خصمه، ج) إنه يأخذ قسطًا من الراحة، د) إنه الحكم")</f>
        <v>أ) إنه يفوز بالمباراة، ب) إنه على وشك أن يُرمى من قبل خصمه، ج) إنه يأخذ قسطًا من الراحة، د) إنه الحكم</v>
      </c>
      <c r="K258" s="9" t="str">
        <f>IFERROR(__xludf.DUMMYFUNCTION("GOOGLETRANSLATE(D258,""en"",""ar"")"),"ب) هو على وشك أن يتم رميه من قبل خصمه")</f>
        <v>ب) هو على وشك أن يتم رميه من قبل خصمه</v>
      </c>
      <c r="L258" s="9" t="str">
        <f>IFERROR(__xludf.DUMMYFUNCTION("GOOGLETRANSLATE(E258,""en"",""ar"")"),"يتمتع خصمه بقبضة مهيمنة وهو في وضع يسمح له بتنفيذ عملية إسقاط.")</f>
        <v>يتمتع خصمه بقبضة مهيمنة وهو في وضع يسمح له بتنفيذ عملية إسقاط.</v>
      </c>
      <c r="M258" s="9"/>
      <c r="N258" s="9"/>
      <c r="O258" s="9"/>
      <c r="P258" s="9"/>
      <c r="Q258" s="9"/>
      <c r="R258" s="9"/>
      <c r="S258" s="9"/>
      <c r="T258" s="9"/>
      <c r="U258" s="9"/>
      <c r="V258" s="9"/>
      <c r="W258" s="9"/>
      <c r="X258" s="9"/>
      <c r="Y258" s="9"/>
      <c r="Z258" s="9"/>
      <c r="AA258" s="9"/>
      <c r="AB258" s="9"/>
      <c r="AC258" s="9"/>
      <c r="AD258" s="9"/>
      <c r="AE258" s="9"/>
      <c r="AF258" s="9"/>
      <c r="AG258" s="9"/>
    </row>
    <row r="259">
      <c r="A259" s="20" t="s">
        <v>3020</v>
      </c>
      <c r="B259" s="20" t="s">
        <v>3048</v>
      </c>
      <c r="C259" s="20" t="s">
        <v>3049</v>
      </c>
      <c r="D259" s="20" t="s">
        <v>3050</v>
      </c>
      <c r="E259" s="20" t="s">
        <v>3051</v>
      </c>
      <c r="F259" s="9"/>
      <c r="G259" s="9"/>
      <c r="H259" s="26" t="s">
        <v>3020</v>
      </c>
      <c r="I259" s="9" t="str">
        <f>IFERROR(__xludf.DUMMYFUNCTION("GOOGLETRANSLATE(B259,""en"",""ar"")"),"تسلط هذه الصورة الضوء على العلاقة بين المصارعة النوبية و...")</f>
        <v>تسلط هذه الصورة الضوء على العلاقة بين المصارعة النوبية و...</v>
      </c>
      <c r="J259" s="9" t="str">
        <f>IFERROR(__xludf.DUMMYFUNCTION("GOOGLETRANSLATE(C259,""en"",""ar"")"),"أ) التكنولوجيا الحديثة، ب) ثقافة المحارب الأوسع وطقوسها، ج) المواسم الزراعية، د) اللجان الرياضية الدولية")</f>
        <v>أ) التكنولوجيا الحديثة، ب) ثقافة المحارب الأوسع وطقوسها، ج) المواسم الزراعية، د) اللجان الرياضية الدولية</v>
      </c>
      <c r="K259" s="9" t="str">
        <f>IFERROR(__xludf.DUMMYFUNCTION("GOOGLETRANSLATE(D259,""en"",""ar"")"),"ب) ثقافة المحارب الأوسع وطقوسها")</f>
        <v>ب) ثقافة المحارب الأوسع وطقوسها</v>
      </c>
      <c r="L259" s="9" t="str">
        <f>IFERROR(__xludf.DUMMYFUNCTION("GOOGLETRANSLATE(E259,""en"",""ar"")"),"يشير وجود الرماح والشخصيات الاحتفالية إلى أن المصارعة هي جزء من مجموعة أكبر من تقاليد المحاربين والطقوس الاجتماعية.")</f>
        <v>يشير وجود الرماح والشخصيات الاحتفالية إلى أن المصارعة هي جزء من مجموعة أكبر من تقاليد المحاربين والطقوس الاجتماعية.</v>
      </c>
      <c r="M259" s="9"/>
      <c r="N259" s="9"/>
      <c r="O259" s="9"/>
      <c r="P259" s="9"/>
      <c r="Q259" s="9"/>
      <c r="R259" s="9"/>
      <c r="S259" s="9"/>
      <c r="T259" s="9"/>
      <c r="U259" s="9"/>
      <c r="V259" s="9"/>
      <c r="W259" s="9"/>
      <c r="X259" s="9"/>
      <c r="Y259" s="9"/>
      <c r="Z259" s="9"/>
      <c r="AA259" s="9"/>
      <c r="AB259" s="9"/>
      <c r="AC259" s="9"/>
      <c r="AD259" s="9"/>
      <c r="AE259" s="9"/>
      <c r="AF259" s="9"/>
      <c r="AG259" s="9"/>
    </row>
    <row r="260">
      <c r="A260" s="20" t="s">
        <v>3020</v>
      </c>
      <c r="B260" s="20" t="s">
        <v>3052</v>
      </c>
      <c r="C260" s="20" t="s">
        <v>3053</v>
      </c>
      <c r="D260" s="20" t="s">
        <v>3054</v>
      </c>
      <c r="E260" s="20" t="s">
        <v>3055</v>
      </c>
      <c r="F260" s="9"/>
      <c r="G260" s="9"/>
      <c r="H260" s="25" t="s">
        <v>3020</v>
      </c>
      <c r="I260" s="9" t="str">
        <f>IFERROR(__xludf.DUMMYFUNCTION("GOOGLETRANSLATE(B260,""en"",""ar"")"),"الحشد في الخلفية هو...")</f>
        <v>الحشد في الخلفية هو...</v>
      </c>
      <c r="J260" s="9" t="str">
        <f>IFERROR(__xludf.DUMMYFUNCTION("GOOGLETRANSLATE(C260,""en"",""ar"")"),"أ) يجلسون في المدرجات، ب) يتجمعون بشكل وثيق حول المنافسين، ج) لا ينتبهون، د) صغار جدًا")</f>
        <v>أ) يجلسون في المدرجات، ب) يتجمعون بشكل وثيق حول المنافسين، ج) لا ينتبهون، د) صغار جدًا</v>
      </c>
      <c r="K260" s="9" t="str">
        <f>IFERROR(__xludf.DUMMYFUNCTION("GOOGLETRANSLATE(D260,""en"",""ar"")"),"ب) تجمعوا حول المنافسين بشكل وثيق")</f>
        <v>ب) تجمعوا حول المنافسين بشكل وثيق</v>
      </c>
      <c r="L260" s="9" t="str">
        <f>IFERROR(__xludf.DUMMYFUNCTION("GOOGLETRANSLATE(E260,""en"",""ar"")"),"يشكل المجتمع بأكمله الحلقة، مما يخلق جوًا مكثفًا وتشاركيًا.")</f>
        <v>يشكل المجتمع بأكمله الحلقة، مما يخلق جوًا مكثفًا وتشاركيًا.</v>
      </c>
      <c r="M260" s="9"/>
      <c r="N260" s="9"/>
      <c r="O260" s="9"/>
      <c r="P260" s="9"/>
      <c r="Q260" s="9"/>
      <c r="R260" s="9"/>
      <c r="S260" s="9"/>
      <c r="T260" s="9"/>
      <c r="U260" s="9"/>
      <c r="V260" s="9"/>
      <c r="W260" s="9"/>
      <c r="X260" s="9"/>
      <c r="Y260" s="9"/>
      <c r="Z260" s="9"/>
      <c r="AA260" s="9"/>
      <c r="AB260" s="9"/>
      <c r="AC260" s="9"/>
      <c r="AD260" s="9"/>
      <c r="AE260" s="9"/>
      <c r="AF260" s="9"/>
      <c r="AG260" s="9"/>
    </row>
    <row r="261">
      <c r="A261" s="20" t="s">
        <v>3020</v>
      </c>
      <c r="B261" s="20" t="s">
        <v>3056</v>
      </c>
      <c r="C261" s="20" t="s">
        <v>3057</v>
      </c>
      <c r="D261" s="20" t="s">
        <v>3058</v>
      </c>
      <c r="E261" s="20" t="s">
        <v>3059</v>
      </c>
      <c r="F261" s="9"/>
      <c r="G261" s="9"/>
      <c r="H261" s="26" t="s">
        <v>3020</v>
      </c>
      <c r="I261" s="9" t="str">
        <f>IFERROR(__xludf.DUMMYFUNCTION("GOOGLETRANSLATE(B261,""en"",""ar"")"),"الهدف الرئيسي للمصارع على اليسار هو...")</f>
        <v>الهدف الرئيسي للمصارع على اليسار هو...</v>
      </c>
      <c r="J261" s="9" t="str">
        <f>IFERROR(__xludf.DUMMYFUNCTION("GOOGLETRANSLATE(C261,""en"",""ar"")"),"أ) إجبار خصمه على النزول على ظهره، ب) أخذ الرمح من الرجل الآخر، ج) دفع خصمه خارج الدائرة، د) الإمساك بالمصارع لأطول فترة ممكنة")</f>
        <v>أ) إجبار خصمه على النزول على ظهره، ب) أخذ الرمح من الرجل الآخر، ج) دفع خصمه خارج الدائرة، د) الإمساك بالمصارع لأطول فترة ممكنة</v>
      </c>
      <c r="K261" s="9" t="str">
        <f>IFERROR(__xludf.DUMMYFUNCTION("GOOGLETRANSLATE(D261,""en"",""ar"")"),"أ) إجبار خصمه على السقوط على ظهره")</f>
        <v>أ) إجبار خصمه على السقوط على ظهره</v>
      </c>
      <c r="L261" s="9" t="str">
        <f>IFERROR(__xludf.DUMMYFUNCTION("GOOGLETRANSLATE(E261,""en"",""ar"")"),"وعلى الرغم من الأغراض الطقسية، فإن هدف مباراة المصارعة يبقى تحقيق رمية ناجحة.")</f>
        <v>وعلى الرغم من الأغراض الطقسية، فإن هدف مباراة المصارعة يبقى تحقيق رمية ناجحة.</v>
      </c>
      <c r="M261" s="9"/>
      <c r="N261" s="9"/>
      <c r="O261" s="9"/>
      <c r="P261" s="9"/>
      <c r="Q261" s="9"/>
      <c r="R261" s="9"/>
      <c r="S261" s="9"/>
      <c r="T261" s="9"/>
      <c r="U261" s="9"/>
      <c r="V261" s="9"/>
      <c r="W261" s="9"/>
      <c r="X261" s="9"/>
      <c r="Y261" s="9"/>
      <c r="Z261" s="9"/>
      <c r="AA261" s="9"/>
      <c r="AB261" s="9"/>
      <c r="AC261" s="9"/>
      <c r="AD261" s="9"/>
      <c r="AE261" s="9"/>
      <c r="AF261" s="9"/>
      <c r="AG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row>
  </sheetData>
  <drawing r:id="rId1"/>
  <tableParts count="3">
    <tablePart r:id="rId5"/>
    <tablePart r:id="rId6"/>
    <tablePart r:id="rId7"/>
  </tableParts>
</worksheet>
</file>
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n wua" sheetId="1" r:id="rId4"/>
    <sheet state="visible" name="kaeng ruer" sheetId="2" r:id="rId5"/>
    <sheet state="visible" name="len wow" sheetId="3" r:id="rId6"/>
    <sheet state="hidden" name="Sepak  takraw" sheetId="4" r:id="rId7"/>
    <sheet state="visible" name="thai boxing" sheetId="5" r:id="rId8"/>
  </sheets>
  <definedNames>
    <definedName localSheetId="4" name="ExternalData_1">'thai boxing'!$G$1:$K$201</definedName>
    <definedName localSheetId="1" name="ExternalData_1">'kaeng ruer'!$G$1:$K$201</definedName>
    <definedName localSheetId="0" name="ExternalData_1">'chon wua'!$G$1:$K$201</definedName>
    <definedName localSheetId="2" name="ExternalData_1">'len wow'!$G$1:$K$202</definedName>
    <definedName localSheetId="3" name="ExternalData_1">'Sepak  takraw'!$A$1:$K$202</definedName>
  </definedNames>
  <calcPr/>
</workbook>
</file>

<file path=xl/sharedStrings.xml><?xml version="1.0" encoding="utf-8"?>
<sst xmlns="http://schemas.openxmlformats.org/spreadsheetml/2006/main" count="8018" uniqueCount="4201">
  <si>
    <t>Question no.</t>
  </si>
  <si>
    <t>Question</t>
  </si>
  <si>
    <t>Options</t>
  </si>
  <si>
    <t>Answer</t>
  </si>
  <si>
    <t>Description</t>
  </si>
  <si>
    <t>Question No.</t>
  </si>
  <si>
    <t>คำถาม</t>
  </si>
  <si>
    <t>ตัวเลือก</t>
  </si>
  <si>
    <t>คำตอบ</t>
  </si>
  <si>
    <t>คำอธิบาย</t>
  </si>
  <si>
    <t>กีฬาชนวัวเริ่มต้นครั้งแรกในยุคใด?</t>
  </si>
  <si>
    <t>A) ยุคโบราณ, B) ยุคกลาง, C) ยุคปัจจุบัน, D) ยุคหิน</t>
  </si>
  <si>
    <t>A) ยุคโบราณ</t>
  </si>
  <si>
    <t>กีฬาชนวัวมีต้นกำเนิดในยุคโบราณและเป็นส่วนหนึ่งของวัฒนธรรมในหลายพื้นที่.</t>
  </si>
  <si>
    <t>ชนวัวในประเทศไทยมีต้นกำเนิดที่จังหวัดใด?</t>
  </si>
  <si>
    <t>A) กระบี่, B) นครศรีธรรมราช, C) สุราษฎร์ธานี, D) สงขลา</t>
  </si>
  <si>
    <t>B) นครศรีธรรมราช</t>
  </si>
  <si>
    <t>ชนวัวในไทยเริ่มต้นในภาคใต้ โดยเฉพาะจังหวัดนครศรีธรรมราช.</t>
  </si>
  <si>
    <t>ชนวัวได้รับอิทธิพลจากวัฒนธรรมของประเทศใด?</t>
  </si>
  <si>
    <t>A) อินเดีย, B) สเปน, C) จีน, D) อินโดนีเซีย</t>
  </si>
  <si>
    <t>B) สเปน</t>
  </si>
  <si>
    <t>ชนวัวได้รับอิทธิพลบางส่วนจากวัฒนธรรมสเปน เช่น การต่อสู้ของวัวกระทิง.</t>
  </si>
  <si>
    <t>วัวที่ใช้ในกีฬาชนวัวต้องมีลักษณะอย่างไร?</t>
  </si>
  <si>
    <t>A) แข็งแรงและมีเขาแหลม, B) ขนยาว, C) ตัวเล็กและว่องไว, D) น้ำหนักมาก</t>
  </si>
  <si>
    <t>A) แข็งแรงและมีเขาแหลม</t>
  </si>
  <si>
    <t>วัวที่ใช้ในการชนต้องมีกล้ามเนื้อแข็งแรงและเขาเหมาะสมต่อการต่อสู้.</t>
  </si>
  <si>
    <t>ชนวัวในอดีตมักจะจัดในโอกาสใด?</t>
  </si>
  <si>
    <t>A) เทศกาลประจำปี, B) การเก็บเกี่ยว, C) การเฉลิมฉลองของชุมชน, D) พิธีกรรมทางศาสนา</t>
  </si>
  <si>
    <t>C) การเฉลิมฉลองของชุมชน</t>
  </si>
  <si>
    <t>ชนวัวมักจัดขึ้นในงานเฉลิมฉลองเพื่อความสนุกสนานของชุมชน.</t>
  </si>
  <si>
    <t>ในอดีต ชนวัวมีบทบาทสำคัญในสังคมอย่างไร?</t>
  </si>
  <si>
    <t>A) เป็นกิจกรรมสันทนาการ; B) เป็นพิธีกรรมทางศาสนา; C) เป็นการแข่งขันเพื่อเกียรติยศ; D) เป็นการฝึกวัว</t>
  </si>
  <si>
    <t>A) เป็นกิจกรรมสันทนาการ</t>
  </si>
  <si>
    <t>ชนวัวเป็นกิจกรรมเพื่อความบันเทิงและรวมตัวของคนในชุมชน.</t>
  </si>
  <si>
    <t>การชนวัวในประเทศไทยมีการพัฒนากฎกติกาในยุคใด?</t>
  </si>
  <si>
    <t>A) ยุคกรุงรัตนโกสินทร์; B) ยุคสุโขทัย; C) ยุคอยุธยา; D) ยุคธนบุรี</t>
  </si>
  <si>
    <t>A) ยุคกรุงรัตนโกสินทร์</t>
  </si>
  <si>
    <t>กฎกติกาของชนวัวเริ่มพัฒนาอย่างเป็นระบบในยุครัตนโกสินทร์.</t>
  </si>
  <si>
    <t>ในอดีต วัวชนที่ชนะจะได้รับรางวัลอะไร?</t>
  </si>
  <si>
    <t>A) เงินสด; B) ข้าวสาร; C) สัตว์เลี้ยง; D) เครื่องใช้ในครัวเรือน</t>
  </si>
  <si>
    <t>B) ข้าวสาร</t>
  </si>
  <si>
    <t>วัวชนที่ชนะในอดีตมักได้รับรางวัลเป็นข้าวสารหรือทรัพย์สินอื่นๆ.</t>
  </si>
  <si>
    <t>สถานที่ที่นิยมจัดชนวัวในอดีตคือที่ใด?</t>
  </si>
  <si>
    <t>A) ลานกว้างกลางหมู่บ้าน; B) ใต้ต้นไม้ใหญ่; C) สนามกีฬา; D) ใกล้แม่น้ำ</t>
  </si>
  <si>
    <t>A) ลานกว้างกลางหมู่บ้าน</t>
  </si>
  <si>
    <t>ชนวัวมักจัดในลานหมู่บ้านเพื่อให้คนในชุมชนมารวมตัวกัน.</t>
  </si>
  <si>
    <t>ชนวัวในยุคปัจจุบันแตกต่างจากอดีตอย่างไร?</t>
  </si>
  <si>
    <t>A) มีการใช้เทคโนโลยีมากขึ้น; B) มีกฎกติกาที่เข้มงวดขึ้น; C) มีการเดิมพัน; D) ทั้งหมด</t>
  </si>
  <si>
    <t>D) ทั้งหมด</t>
  </si>
  <si>
    <t>ชนวัวในปัจจุบันพัฒนาในหลายด้าน รวมถึงการใช้เทคโนโลยี กฎกติกา และการเดิมพัน.</t>
  </si>
  <si>
    <t>ชนวัวในอดีตเกี่ยวข้องกับความเชื่อเรื่องอะไร?</t>
  </si>
  <si>
    <t>A) การต่อสู้ของเทพเจ้า; B) การปัดเป่าสิ่งชั่วร้าย; C) การเสริมดวงชะตา; D) การขอฝน</t>
  </si>
  <si>
    <t>B) การปัดเป่าสิ่งชั่วร้าย</t>
  </si>
  <si>
    <t>ชนวัวในอดีตเกี่ยวข้องกับพิธีกรรมเพื่อปัดเป่าสิ่งชั่วร้าย.</t>
  </si>
  <si>
    <t>ชนวัวในประเทศไทยได้รับความนิยมในภาคใด?</t>
  </si>
  <si>
    <t>A) ภาคเหนือ; B) ภาคใต้; C) ภาคตะวันออก; D) ภาคกลาง</t>
  </si>
  <si>
    <t>B) ภาคใต้</t>
  </si>
  <si>
    <t>ชนวัวเป็นกิจกรรมที่นิยมในภาคใต้ของประเทศไทย.</t>
  </si>
  <si>
    <t>ชนวัวมีบทบาทในวรรณกรรมหรือประวัติศาสตร์ไทยหรือไม่?</t>
  </si>
  <si>
    <t>A) มี; B) ไม่มี; C) มีเพียงเล็กน้อย; D) ไม่แน่ชัด</t>
  </si>
  <si>
    <t>A) มี</t>
  </si>
  <si>
    <t>ชนวัวปรากฏในวรรณกรรมและประวัติศาสตร์ของภาคใต้.</t>
  </si>
  <si>
    <t>ชนวัวในอดีตใช้วัวที่มีอายุเท่าใด?</t>
  </si>
  <si>
    <t>A) 1-2 ปี; B) 3-5 ปี; C) 6-8 ปี; D) มากกว่า 10 ปี</t>
  </si>
  <si>
    <t>B) 3-5 ปี</t>
  </si>
  <si>
    <t>วัวที่เหมาะสมในการชนมักมีอายุ 3-5 ปี ซึ่งเป็นวัยที่แข็งแรงที่สุด.</t>
  </si>
  <si>
    <t>ชนวัวในอดีตมีความสำคัญต่อเศรษฐกิจชุมชนอย่างไร?</t>
  </si>
  <si>
    <t>A) เป็นแหล่งรายได้; B) ส่งเสริมการเลี้ยงวัว; C) ดึงดูดนักท่องเที่ยว; D) ทั้งหมด</t>
  </si>
  <si>
    <t>ชนวัวช่วยส่งเสริมเศรษฐกิจในชุมชนในหลายด้าน.</t>
  </si>
  <si>
    <t>ชนวัวมีผลต่อวัฒนธรรมการเลี้ยงวัวในชุมชนอย่างไร?</t>
  </si>
  <si>
    <t>A) ทำให้การเลี้ยงวัวได้รับความสนใจ; B) เพิ่มการดูแลวัวเป็นพิเศษ; C) กระตุ้นการพัฒนาสายพันธุ์วัว; D) ทั้งหมด</t>
  </si>
  <si>
    <t>ชนวัวส่งเสริมการเลี้ยงวัวและการพัฒนาสายพันธุ์วัว.</t>
  </si>
  <si>
    <t>วัวที่ชนะในการชนมักจะได้รับการปฏิบัติอย่างไรในอดีต?</t>
  </si>
  <si>
    <t>A) เลี้ยงดูอย่างดี; B) ใช้เป็นวัวพ่อพันธุ์; C) ถูกยกย่องในชุมชน; D) ทั้งหมด</t>
  </si>
  <si>
    <t>วัวที่ชนะมักได้รับการดูแลอย่างดีและได้รับการยกย่อง.</t>
  </si>
  <si>
    <t>ชนวัวในอดีตมีความเชื่อเรื่องการทำนายผลหรือไม่?</t>
  </si>
  <si>
    <t>คนในอดีตเชื่อว่าผลของการชนวัวสามารถทำนายโชคชะตาได้.</t>
  </si>
  <si>
    <t>ชนวัวมีการพัฒนาเข้าสู่การแข่งขันในเชิงพาณิชย์เมื่อใด?</t>
  </si>
  <si>
    <t>A) ยุคสุโขทัย; B) ยุคอยุธยา; C) ยุครัตนโกสินทร์; D) ยุคปัจจุบัน</t>
  </si>
  <si>
    <t>D) ยุคปัจจุบัน</t>
  </si>
  <si>
    <t>ชนวัวเริ่มมีการแข่งขันเชิงพาณิชย์ในยุคปัจจุบัน.</t>
  </si>
  <si>
    <t>ชนวัวในอดีตเคยถูกห้ามหรือไม่?</t>
  </si>
  <si>
    <t>A) เคย; B) ไม่เคย; C) ไม่แน่ชัด; D) ห้ามเฉพาะบางพื้นที่</t>
  </si>
  <si>
    <t>A) เคย</t>
  </si>
  <si>
    <t>ชนวัวในบางพื้นที่เคยถูกห้ามเนื่องจากเหตุผลด้านศีลธรรม.</t>
  </si>
  <si>
    <t>กีฬาชนวัวในอดีตมีการสืบทอดจากรุ่นสู่รุ่นหรือไม่?</t>
  </si>
  <si>
    <t>A) มี; B) ไม่มี; C) มีในบางพื้นที่; D) ไม่แน่ชัด</t>
  </si>
  <si>
    <t>ชนวัวเป็นวัฒนธรรมที่ถูกสืบทอดมาหลายชั่วอายุคน.</t>
  </si>
  <si>
    <t>ชนวัวในอดีตมีการแบ่งประเภทวัวหรือไม่?</t>
  </si>
  <si>
    <t>วัวที่ใช้ชนมักถูกแบ่งประเภทตามขนาดและความสามารถ.</t>
  </si>
  <si>
    <t>การชนวัวในอดีตมักมีช่วงเวลาที่จัดขึ้นหรือไม่?</t>
  </si>
  <si>
    <t>A) มีในฤดูเก็บเกี่ยว; B) มีในเทศกาล; C) จัดได้ทุกเมื่อ; D) ไม่มีช่วงเวลาที่แน่นอน</t>
  </si>
  <si>
    <t>B) มีในเทศกาล</t>
  </si>
  <si>
    <t>ชนวัวมักจัดขึ้นในช่วงเทศกาลหรือโอกาสพิเศษ.</t>
  </si>
  <si>
    <t>ในอดีต คนเลี้ยงวัวชนมักเป็นใคร?</t>
  </si>
  <si>
    <t>A) ชาวนา; B) ผู้มีอำนาจ; C) พ่อค้า; D) ชาวประมง</t>
  </si>
  <si>
    <t>A) ชาวนา</t>
  </si>
  <si>
    <t>คนเลี้ยงวัวชนในอดีตส่วนใหญ่มักเป็นชาวนาที่มีวัวเป็นส่วนหนึ่งของชีวิตประจำวัน.</t>
  </si>
  <si>
    <t>ชนวัวมีบทบาทในการสร้างความสัมพันธ์ในชุมชนหรือไม่?</t>
  </si>
  <si>
    <t>ชนวัวช่วยสร้างความสัมพันธ์และความสามัคคีในชุมชน.</t>
  </si>
  <si>
    <t>ชนวัวในอดีตใช้เวลาต่อสู้กันนานเท่าใด?</t>
  </si>
  <si>
    <t>A) 10-15 นาที; B) 30 นาที; C) 1 ชั่วโมง; D) ขึ้นอยู่กับความสามารถของวัว</t>
  </si>
  <si>
    <t>D) ขึ้นอยู่กับความสามารถของวัว</t>
  </si>
  <si>
    <t>ระยะเวลาการชนขึ้นอยู่กับวัวแต่ละตัว.</t>
  </si>
  <si>
    <t>ชนวัวในอดีตมีบทบาทในการเสริมสร้างทักษะอะไร?</t>
  </si>
  <si>
    <t>A) การเลี้ยงสัตว์; B) การพัฒนาวัว; C) การรวมกลุ่มของคนในชุมชน; D) ทั้งหมด</t>
  </si>
  <si>
    <t>ชนวัวเสริมสร้างทักษะหลายด้านที่เกี่ยวข้องกับชุมชน.</t>
  </si>
  <si>
    <t>ชนวัวในอดีตมีการส่งต่อความรู้เรื่องการเลี้ยงวัวอย่างไร?</t>
  </si>
  <si>
    <t>A) ผ่านประเพณี; B) ผ่านครอบครัว; C) ผ่านการเล่าเรื่อง; D) ทั้งหมด</t>
  </si>
  <si>
    <t>การส่งต่อความรู้เกิดขึ้นในหลายรูปแบบทั้งภายในครอบครัวและชุมชน.</t>
  </si>
  <si>
    <t>ชนวัวในอดีตมีผลกระทบต่อสังคมไทยในด้านใด?</t>
  </si>
  <si>
    <t>A) วัฒนธรรม; B) เศรษฐกิจ; C) การเกษตร; D) ทั้งหมด</t>
  </si>
  <si>
    <t>ชนวัวส่งผลกระทบทั้งด้านวัฒนธรรม เศรษฐกิจ และการเกษตร.</t>
  </si>
  <si>
    <t>การชนวัวในอดีตเคยมีการบันทึกในเอกสารประวัติศาสตร์หรือไม่?</t>
  </si>
  <si>
    <t>A) มี; B) ไม่มี; C) มีเฉพาะบางพื้นที่; D) ไม่แน่ชัด</t>
  </si>
  <si>
    <t>C) มีเฉพาะบางพื้นที่</t>
  </si>
  <si>
    <t>การชนวัวในอดีตมักถูกบันทึกในประวัติศาสตร์เฉพาะภูมิภาค.</t>
  </si>
  <si>
    <t>การชนวัวเริ่มมีการบันทึกในประวัติศาสตร์ของไทยในปีใด?</t>
  </si>
  <si>
    <t>A) 1500; B) 1600; C) 1700; D) 1800</t>
  </si>
  <si>
    <t>C) 1700</t>
  </si>
  <si>
    <t>การชนวัวในไทยเริ่มมีการบันทึกในประวัติศาสตร์ในช่วงสมัยกรุงศรีอยุธยา.</t>
  </si>
  <si>
    <t>ชนวัวในประเทศไทยมีบทบาทสำคัญในวัฒนธรรมของพื้นที่ใด?</t>
  </si>
  <si>
    <t>A) ภาคเหนือ; B) ภาคใต้; C) ภาคตะวันออก; D) ภาคตะวันตก</t>
  </si>
  <si>
    <t>ชนวัวมีบทบาทสำคัญในภาคใต้ของไทย โดยเฉพาะในจังหวัดนครศรีธรรมราช.</t>
  </si>
  <si>
    <t>ก่อนการชนวัวในไทย เคยมีการฝึกฝนวัวอย่างไร?</t>
  </si>
  <si>
    <t>A) การฝึกในทุ่งหญ้า; B) การฝึกในสนามกีฬา; C) การฝึกในคอกวัว; D) การฝึกผ่านการต่อสู้กับสัตว์อื่น</t>
  </si>
  <si>
    <t>C) การฝึกในคอกวัว</t>
  </si>
  <si>
    <t>การฝึกวัวชนมักจะทำในคอกที่จำกัดพื้นที่เพื่อการควบคุมและฝึกทักษะ.</t>
  </si>
  <si>
    <t>กีฬาชนวัวได้รับการสนับสนุนจากรัฐบาลครั้งแรกในปีใด?</t>
  </si>
  <si>
    <t>A) 1900; B) 1920; C) 1940; D) 1970</t>
  </si>
  <si>
    <t>B) 1920</t>
  </si>
  <si>
    <t>การสนับสนุนจากรัฐบาลเริ่มต้นเมื่อปี 1920 ในช่วงการพัฒนากีฬาชนิดนี้.</t>
  </si>
  <si>
    <t>การชนวัวในยุคอดีตเป็นกิจกรรมที่สำคัญสำหรับการประกอบอาชีพหรือไม่?</t>
  </si>
  <si>
    <t>A) ใช่; B) ไม่ใช่; C) บางพื้นที่; D) ไม่แน่ชัด</t>
  </si>
  <si>
    <t>A) ใช่</t>
  </si>
  <si>
    <t>ในอดีตการชนวัวถือเป็นกิจกรรมที่มีความสำคัญในการประกอบอาชีพในบางชุมชน.</t>
  </si>
  <si>
    <t>ชนวัวในอดีตมีการจัดการแข่งขันในวันไหนของปี?</t>
  </si>
  <si>
    <t>A) ตลอดปี; B) ในเทศกาลสำคัญ; C) ในฤดูฝน; D) ในฤดูร้อน</t>
  </si>
  <si>
    <t>B) ในเทศกาลสำคัญ</t>
  </si>
  <si>
    <t>การแข่งขันชนวัวมักจัดในช่วงเทศกาลสำคัญของแต่ละชุมชน.</t>
  </si>
  <si>
    <t>ชนวัวในไทยได้รับการอนุรักษ์จากกลุ่มใดในสมัยก่อน?</t>
  </si>
  <si>
    <t>A) ชาวนา; B) ชาวประมง; C) พระสงฆ์; D) ชุมชนชาวบ้าน</t>
  </si>
  <si>
    <t>D) ชุมชนชาวบ้าน</t>
  </si>
  <si>
    <t>ชนวัวได้รับการอนุรักษ์และส่งต่อจากรุ่นสู่รุ่นในชุมชนท้องถิ่น.</t>
  </si>
  <si>
    <t>กีฬาชนวัวในประเทศไทยถูกห้ามในช่วงใด?</t>
  </si>
  <si>
    <t>A) สมัยกรุงศรีอยุธยา; B) สมัยกรุงรัตนโกสินทร์; C) สมัยกรุงธนบุรี; D) สมัยรัฐบาลทหาร</t>
  </si>
  <si>
    <t>B) สมัยกรุงรัตนโกสินทร์</t>
  </si>
  <si>
    <t>การชนวัวถูกห้ามบางช่วงเวลาในสมัยกรุงรัตนโกสินทร์ด้วยเหตุผลด้านศีลธรรม.</t>
  </si>
  <si>
    <t>การชนวัวในสมัยก่อนมักใช้วัวพันธุ์ใด?</t>
  </si>
  <si>
    <t>A) วัวพันธุ์ช้าง; B) วัวพันธุ์ไทยพื้นเมือง; C) วัวพันธุ์จากต่างประเทศ; D) วัวพันธุ์ยุโรป</t>
  </si>
  <si>
    <t>B) วัวพันธุ์ไทยพื้นเมือง</t>
  </si>
  <si>
    <t>วัวชนมักเป็นพันธุ์พื้นเมืองที่มีความแข็งแรงและทนทาน.</t>
  </si>
  <si>
    <t>ชนวัวในสมัยโบราณมักมีการใช้เครื่องมือใดเพื่อเพิ่มความสนุก?</t>
  </si>
  <si>
    <t>A) เครื่องดนตรี; B) เสื้อผ้าพิเศษ; C) การเชิดสิงโต; D) การจัดการประกวด</t>
  </si>
  <si>
    <t>A) เครื่องดนตรี</t>
  </si>
  <si>
    <t>การชนวัวมักมาพร้อมกับการใช้เครื่องดนตรีเพื่อเพิ่มความสนุกสนานให้กับผู้ชม.</t>
  </si>
  <si>
    <t>ชนวัวในประเทศไทยมีการเปลี่ยนแปลงการเล่นอย่างไรในช่วงสมัยรัตนโกสินทร์?</t>
  </si>
  <si>
    <t>A) การพัฒนาเทคนิค; B) การเพิ่มอุปกรณ์; C) การพัฒนากฎกติกา; D) การลดการเดิมพัน</t>
  </si>
  <si>
    <t>C) การพัฒนากฎกติกา</t>
  </si>
  <si>
    <t>ในช่วงรัตนโกสินทร์กฎกติกาของการชนวัวได้รับการพัฒนาเพื่อให้การเล่นเป็นไปอย่างยุติธรรม.</t>
  </si>
  <si>
    <t>การจัดการแข่งขันชนวัวในประเทศไทยในยุคแรกๆ มักจัดที่ใด?</t>
  </si>
  <si>
    <t>A) ตลาดกลาง; B) ลานชุมชน; C) วัด; D) บ้านพัก</t>
  </si>
  <si>
    <t>B) ลานชุมชน</t>
  </si>
  <si>
    <t>ในยุคแรกๆ การแข่งขันชนวัวมักจัดในลานกลางหมู่บ้านหรือชุมชน.</t>
  </si>
  <si>
    <t>ชนวัวในอดีตมีการใช้สิ่งใดในการพัฒนาผลลัพธ์?</t>
  </si>
  <si>
    <t>A) การฝึกฝน; B) การวางเดิมพัน; C) การเสี่ยงโชค; D) การศึกษา</t>
  </si>
  <si>
    <t>A) การฝึกฝน</t>
  </si>
  <si>
    <t>การฝึกฝนเป็นสิ่งสำคัญในการพัฒนาผลลัพธ์ของการชนวัว.</t>
  </si>
  <si>
    <t>ชนวัวในอดีตมีส่วนช่วยในการเสริมสร้างอาชีพของใคร?</t>
  </si>
  <si>
    <t>A) ชาวนาชาวไร่; B) พ่อค้า; C) ชาวประมง; D) นักกีฬา</t>
  </si>
  <si>
    <t>A) ชาวนาชาวไร่</t>
  </si>
  <si>
    <t>ชนวัวช่วยเสริมสร้างอาชีพของชาวนาชาวไร่โดยเฉพาะในพื้นที่ชนบท.</t>
  </si>
  <si>
    <t>การชนวัวในยุคแรกๆ ใช้เวลาต่อสู้กันนานแค่ไหน?</t>
  </si>
  <si>
    <t>A) 10-15 นาที; B) 20-30 นาที; C) 45-60 นาที; D) มากกว่าหนึ่งชั่วโมง</t>
  </si>
  <si>
    <t>B) 20-30 นาที</t>
  </si>
  <si>
    <t>การชนวัวในยุคแรกๆ มักใช้เวลาต่อสู้ในระยะเวลา 20-30 นาที.</t>
  </si>
  <si>
    <t>ชนวัวในสมัยกรุงรัตนโกสินทร์มีการจัดการแข่งขันในลักษณะใด?</t>
  </si>
  <si>
    <t>A) การแข่งขันแบบทีม; B) การแข่งขันแบบเดี่ยว; C) การแข่งขันแบบหมู่บ้าน; D) การแข่งขันแบบท่องเที่ยว</t>
  </si>
  <si>
    <t>B) การแข่งขันแบบเดี่ยว</t>
  </si>
  <si>
    <t>ในสมัยกรุงรัตนโกสินทร์การแข่งขันชนวัวมักเป็นการแข่งขันแบบเดี่ยว.</t>
  </si>
  <si>
    <t>การแข่งขันชนวัวในอดีตมักจัดขึ้นเพื่ออะไร?</t>
  </si>
  <si>
    <t>A) เพื่อเฉลิมฉลอง; B) เพื่อส่งเสริมการเกษตร; C) เพื่อฝึกทักษะ; D) เพื่อหาเงิน</t>
  </si>
  <si>
    <t>A) เพื่อเฉลิมฉลอง</t>
  </si>
  <si>
    <t>การแข่งขันชนวัวมักจัดขึ้นเพื่อเฉลิมฉลองในเทศกาลต่างๆ.</t>
  </si>
  <si>
    <t>ชนวัวในประเทศไทยมีการเปลี่ยนแปลงในทิศทางใดในช่วง 20 ปีที่ผ่านมา?</t>
  </si>
  <si>
    <t>A) ลดการเล่น; B) เพิ่มความนิยม; C) เพิ่มการฝึกฝน; D) เพิ่มการเดิมพัน</t>
  </si>
  <si>
    <t>B) เพิ่มความนิยม</t>
  </si>
  <si>
    <t>ชนวัวในช่วง 20 ปีที่ผ่านมาได้รับความนิยมเพิ่มขึ้น.</t>
  </si>
  <si>
    <t>ชนวัวในประเทศไทยมีการพัฒนาเข้าสู่การแข่งขันระดับไหนในช่วงศตวรรษที่ 20?</t>
  </si>
  <si>
    <t>A) การแข่งขันระดับท้องถิ่น; B) การแข่งขันระดับจังหวัด; C) การแข่งขันระดับประเทศ; D) การแข่งขันระดับนานาชาติ</t>
  </si>
  <si>
    <t>C) การแข่งขันระดับประเทศ</t>
  </si>
  <si>
    <t>ในช่วงศตวรรษที่ 20 ชนวัวมีการพัฒนาเข้าสู่การแข่งขันระดับประเทศ.</t>
  </si>
  <si>
    <t>ชนวัวได้รับการยอมรับในระดับสากลในช่วงเวลาใด?</t>
  </si>
  <si>
    <t>A) สมัยอยุธยา; B) สมัยกรุงรัตนโกสินทร์; C) สมัยปัจจุบัน; D) ไม่มีการยอมรับ</t>
  </si>
  <si>
    <t>C) สมัยปัจจุบัน</t>
  </si>
  <si>
    <t>ชนวัวเริ่มได้รับการยอมรับในระดับสากลในช่วงเวลาปัจจุบัน.</t>
  </si>
  <si>
    <t>ในอดีต ชนวัวมีการจัดให้ชมในวันสำคัญทางศาสนาหรือไม่?</t>
  </si>
  <si>
    <t>A) มี; B) ไม่มี; C) บางกรณี; D) ไม่แน่ชัด</t>
  </si>
  <si>
    <t>ชนวัวในอดีตมักจัดขึ้นในวันสำคัญทางศาสนาเพื่อเป็นกิจกรรมเสริม.</t>
  </si>
  <si>
    <t>ผู้ที่จัดการแข่งขันชนวัวในอดีตมักเป็นใคร?</t>
  </si>
  <si>
    <t>A) ชาวบ้าน; B) พระสงฆ์; C) ขุนนาง; D) พ่อค้า</t>
  </si>
  <si>
    <t>C) ขุนนาง</t>
  </si>
  <si>
    <t>การจัดการแข่งขันชนวัวในอดีตมักเป็นหน้าที่ของขุนนางที่รับผิดชอบ.</t>
  </si>
  <si>
    <t>ชนวัวได้รับความนิยมในประเทศไทยในช่วงใด?</t>
  </si>
  <si>
    <t>A) สมัยกรุงศรีอยุธยา; B) สมัยกรุงรัตนโกสินทร์; C) สมัยกรุงธนบุรี; D) สมัยรัฐบาลปัจจุบัน</t>
  </si>
  <si>
    <t>ชนวัวได้รับความนิยมสูงในสมัยกรุงรัตนโกสินทร์ โดยเฉพาะในพื้นที่ภาคใต้.</t>
  </si>
  <si>
    <t>ชนวัวในสมัยโบราณมีการจัดการแข่งขันในรูปแบบใด?</t>
  </si>
  <si>
    <t>A) การแข่งขันเดี่ยว; B) การแข่งขันแบบทีม; C) การแข่งขันแบบหมู่บ้าน; D) การแข่งขันระดับประเทศ</t>
  </si>
  <si>
    <t>A) การแข่งขันเดี่ยว</t>
  </si>
  <si>
    <t>ในสมัยโบราณการแข่งขันชนวัวมักเป็นการต่อสู้ระหว่างวัวตัวเดียว.</t>
  </si>
  <si>
    <t>ชนวัวในประเทศไทยได้รับการพัฒนาให้เป็นกีฬาทางการในช่วงปีใด?</t>
  </si>
  <si>
    <t>การแข่งขันชนวัวเริ่มได้รับการพัฒนาให้เป็นกีฬาทางการในช่วงปี 1920.</t>
  </si>
  <si>
    <t>การชนวัวในอดีตมีผลต่อการประกอบอาชีพของชาวบ้านอย่างไร?</t>
  </si>
  <si>
    <t>A) ช่วยเสริมรายได้; B) สร้างความบันเทิง; C) เพิ่มความรู้เกี่ยวกับการเกษตร; D) ไม่มีผลต่ออาชีพ</t>
  </si>
  <si>
    <t>A) ช่วยเสริมรายได้</t>
  </si>
  <si>
    <t>การแข่งขันชนวัวในอดีตเป็นแหล่งรายได้หลักของบางชุมชน.</t>
  </si>
  <si>
    <t>ในอดีตชนวัวมักถูกใช้ในการเฉลิมฉลองเทศกาลใดในไทย?</t>
  </si>
  <si>
    <t>A) เทศกาลสงกรานต์; B) เทศกาลลอยกระทง; C) เทศกาลเข้าพรรษา; D) เทศกาลตรุษจีน</t>
  </si>
  <si>
    <t>A) เทศกาลสงกรานต์</t>
  </si>
  <si>
    <t>ชนวัวมักจัดในช่วงเทศกาลสงกรานต์เพื่อเฉลิมฉลอง.</t>
  </si>
  <si>
    <t>การแข่งขันชนวัวในอดีตมีการใช้เงินเดิมพันหรือไม่?</t>
  </si>
  <si>
    <t>A) ใช่; B) ไม่; C) บางครั้ง; D) ขึ้นอยู่กับผู้จัด</t>
  </si>
  <si>
    <t>การแข่งขันชนวัวในอดีตมักมีการเดิมพันเพื่อเพิ่มความตื่นเต้นให้กับผู้ชม.</t>
  </si>
  <si>
    <t>กีฬาชนวัวได้รับความนิยมในช่วงใดของปีมากที่สุด?</t>
  </si>
  <si>
    <t>A) ฤดูร้อน; B) ฤดูฝน; C) ฤดูหนาว; D) ทุกฤดูกาล</t>
  </si>
  <si>
    <t>C) ฤดูหนาว</t>
  </si>
  <si>
    <t>ชนวัวมักได้รับความนิยมมากที่สุดในช่วงฤดูหนาวเมื่ออากาศไม่ร้อนเกินไป.</t>
  </si>
  <si>
    <t>การแข่งขันชนวัวในอดีตมักถูกจัดขึ้นที่ไหน?</t>
  </si>
  <si>
    <t>A) สนามกีฬา; B) ลานกลางหมู่บ้าน; C) หอประชุม; D) พื้นที่ส่วนตัว</t>
  </si>
  <si>
    <t>B) ลานกลางหมู่บ้าน</t>
  </si>
  <si>
    <t>การแข่งขันชนวัวในอดีตมักถูกจัดในลานกลางหมู่บ้านหรือสนามที่เปิดกว้าง.</t>
  </si>
  <si>
    <t>ชนวัวในประเทศไทยมีการจัดการแข่งขันครั้งแรกในพื้นที่ไหน?</t>
  </si>
  <si>
    <t>A) ภาคเหนือ; B) ภาคกลาง; C) ภาคใต้; D) ภาคตะวันออก</t>
  </si>
  <si>
    <t>C) ภาคใต้</t>
  </si>
  <si>
    <t>การแข่งขันชนวัวเริ่มมีการจัดครั้งแรกในภาคใต้ของประเทศไทย.</t>
  </si>
  <si>
    <t>ชนวัวมีการถูกห้ามในช่วงไหนของประวัติศาสตร์ไทย?</t>
  </si>
  <si>
    <t>A) สมัยกรุงศรีอยุธยา; B) สมัยกรุงธนบุรี; C) สมัยกรุงรัตนโกสินทร์; D) สมัยปัจจุบัน</t>
  </si>
  <si>
    <t>C) สมัยกรุงรัตนโกสินทร์</t>
  </si>
  <si>
    <t>ในบางช่วงของสมัยกรุงรัตนโกสินทร์ ชนวัวถูกห้ามเนื่องจากข้อกังวลทางศีลธรรม.</t>
  </si>
  <si>
    <t>การแข่งขันชนวัวในสมัยก่อนมักมีความเกี่ยวข้องกับอะไร?</t>
  </si>
  <si>
    <t>A) การทหาร; B) การศึกษา; C) การเกษตร; D) การเล่นการพนัน</t>
  </si>
  <si>
    <t>C) การเกษตร</t>
  </si>
  <si>
    <t>การแข่งขันชนวัวมักมีความเกี่ยวข้องกับการเกษตรในพื้นที่ชนบท.</t>
  </si>
  <si>
    <t>ผู้ที่ได้รับชัยชนะในการแข่งขันชนวัวในอดีตได้รับรางวัลอะไร?</t>
  </si>
  <si>
    <t>A) เงิน; B) เครื่องประดับ; C) วัว; D) ที่ดิน</t>
  </si>
  <si>
    <t>C) วัว</t>
  </si>
  <si>
    <t>ผู้ชนะในการแข่งขันชนวัวมักได้รับรางวัลเป็นวัวพันธุ์ดีเพื่อใช้ในกิจกรรมการชนวัว.</t>
  </si>
  <si>
    <t>ชนวัวในสมัยโบราณมักใช้วัวพันธุ์ใดในการแข่งขัน?</t>
  </si>
  <si>
    <t>A) วัวพันธุ์ไทย; B) วัวพันธุ์ต่างประเทศ; C) วัวพันธุ์ผสม; D) วัวพันธุ์นำเข้า</t>
  </si>
  <si>
    <t>A) วัวพันธุ์ไทย</t>
  </si>
  <si>
    <t>ในสมัยโบราณวัวชนมักเป็นพันธุ์ไทยที่แข็งแรงและมีลักษณะเหมาะสม.</t>
  </si>
  <si>
    <t>การแข่งขันชนวัวในไทยได้รับการสนับสนุนจากรัฐบาลในช่วงเวลาใด?</t>
  </si>
  <si>
    <t>A) ก่อนปี 1900; B) ในปี 1920; C) ในปี 1940; D) ในปี 1970</t>
  </si>
  <si>
    <t>B) ในปี 1920</t>
  </si>
  <si>
    <t>การสนับสนุนจากรัฐบาลเริ่มต้นในปี 1920 เพื่อพัฒนากีฬาชนวัวให้เป็นทางการ.</t>
  </si>
  <si>
    <t>ชนวัวในยุคแรกมีบทบาทสำคัญในสังคมไทยอย่างไร?</t>
  </si>
  <si>
    <t>A) เป็นกิจกรรมเสริมทักษะทางการทหาร; B) เป็นการทดสอบความแข็งแกร่งของชาวบ้าน; C) เป็นการเฉลิมฉลองเทศกาลสำคัญ; D) เป็นการฝึกอบรมสำหรับการเกษตร</t>
  </si>
  <si>
    <t>C) เป็นการเฉลิมฉลองเทศกาลสำคัญ</t>
  </si>
  <si>
    <t>ชนวัวมักใช้ในเทศกาลสำคัญเพื่อสร้างความสนุกสนาน.</t>
  </si>
  <si>
    <t>การแข่งขันชนวัวในสมัยโบราณมีการใช้กฎกติกาอย่างไร?</t>
  </si>
  <si>
    <t>A) กฎเกณฑ์ที่เป็นทางการ; B) กฎเกณฑ์ที่ไม่เป็นทางการ; C) กฎเกณฑ์ขึ้นอยู่กับสถานการณ์; D) ไม่มีการใช้กฎเกณฑ์</t>
  </si>
  <si>
    <t>B) กฎเกณฑ์ที่ไม่เป็นทางการ</t>
  </si>
  <si>
    <t>การแข่งขันชนวัวในสมัยโบราณมักใช้กฎเกณฑ์ที่ไม่เป็นทางการและขึ้นอยู่กับการตกลงของผู้จัด.</t>
  </si>
  <si>
    <t>การชนวัวในอดีตช่วยส่งเสริมความสัมพันธ์ในชุมชนได้อย่างไร?</t>
  </si>
  <si>
    <t>A) ด้วยการแบ่งปันผลกำไร; B) ด้วยการพัฒนาทักษะการทำงานเป็นทีม; C) ด้วยการร่วมมือในการจัดการแข่งขัน; D) ด้วยการเสี่ยงโชค</t>
  </si>
  <si>
    <t>C) ด้วยการร่วมมือในการจัดการแข่งขัน</t>
  </si>
  <si>
    <t>การจัดการแข่งขันชนวัวช่วยเสริมสร้างความสัมพันธ์ในชุมชนผ่านการร่วมมือ.</t>
  </si>
  <si>
    <t>ชนวัวในอดีตได้รับความนิยมในพื้นที่ชนบทมากกว่าหรือไม่?</t>
  </si>
  <si>
    <t>A) ใช่; B) ไม่ใช่; C) บางพื้นที่; D) ขึ้นอยู่กับเวลา</t>
  </si>
  <si>
    <t>ชนวัวในอดีตได้รับความนิยมในพื้นที่ชนบทมากกว่าพื้นที่เมือง.</t>
  </si>
  <si>
    <t>ชนวัวมักถูกจัดในช่วงเทศกาลอะไรในภาคใต้?</t>
  </si>
  <si>
    <t>A) เทศกาลสงกรานต์; B) เทศกาลเข้าพรรษา; C) เทศกาลลอยกระทง; D) เทศกาลปากพระ</t>
  </si>
  <si>
    <t>D) เทศกาลปากพระ</t>
  </si>
  <si>
    <t>ในภาคใต้ชนวัวมักจัดในช่วงเทศกาลปากพระเพื่อเฉลิมฉลอง.</t>
  </si>
  <si>
    <t>การชนวัวในยุคแรกๆ มีความเกี่ยวข้องกับการต่อสู้หรือการฝึกฝนมากกว่ากัน?</t>
  </si>
  <si>
    <t>A) การต่อสู้; B) การฝึกฝน; C) ทั้งสองอย่าง; D) ไม่มีความเกี่ยวข้อง</t>
  </si>
  <si>
    <t>B) การฝึกฝน</t>
  </si>
  <si>
    <t>การชนวัวในยุคแรกๆ มีความเกี่ยวข้องกับการฝึกฝนความแข็งแรงของวัว.</t>
  </si>
  <si>
    <t>การแข่งขันชนวัวในประเทศไทยในสมัยก่อนถูกจัดขึ้นในวันที่สำคัญทางศาสนาหรือไม่?</t>
  </si>
  <si>
    <t>A) ใช่; B) ไม่ใช่; C) บางกรณี; D) ไม่แน่ชัด</t>
  </si>
  <si>
    <t>การแข่งขันชนวัวมักถูกจัดขึ้นในวันสำคัญทางศาสนา.</t>
  </si>
  <si>
    <t>ชนวัวในสมัยโบราณมีการจัดการแข่งขันเพื่ออะไร?</t>
  </si>
  <si>
    <t>A) เพื่อหาผู้ชนะ; B) เพื่อทดสอบความกล้าหาญ; C) เพื่อเสริมสร้างความสัมพันธ์; D) เพื่อหารายได้</t>
  </si>
  <si>
    <t>C) เพื่อเสริมสร้างความสัมพันธ์</t>
  </si>
  <si>
    <t>ชนวัวในสมัยโบราณมักจัดขึ้นเพื่อเสริมสร้างความสัมพันธ์ในชุมชน.</t>
  </si>
  <si>
    <t>ชนวัวในสมัยกรุงรัตนโกสินทร์ได้รับการยอมรับจากใครในสังคมไทย?</t>
  </si>
  <si>
    <t>A) พระมหากษัตริย์; B) ขุนนาง; C) ชาวบ้าน; D) นักการเมือง</t>
  </si>
  <si>
    <t>A) พระมหากษัตริย์</t>
  </si>
  <si>
    <t>ชนวัวได้รับการยอมรับจากพระมหากษัตริย์ในสมัยกรุงรัตนโกสินทร์.</t>
  </si>
  <si>
    <t>การแข่งขันชนวัวในสมัยก่อนมีการจำกัดผู้เข้าร่วมไหม?</t>
  </si>
  <si>
    <t>A) ใช่; B) ไม่ใช่; C) ขึ้นอยู่กับพื้นที่; D) ขึ้นอยู่กับจำนวนวัว</t>
  </si>
  <si>
    <t>C) ขึ้นอยู่กับพื้นที่</t>
  </si>
  <si>
    <t>จำนวนผู้เข้าร่วมการแข่งขันชนวัวมักขึ้นอยู่กับพื้นที่และการจัดการในแต่ละพื้นที่.</t>
  </si>
  <si>
    <t>การแข่งขันชนวัวในสมัยก่อนมักจะจัดในช่วงเวลาไหน?</t>
  </si>
  <si>
    <t>A) เช้า; B) บ่าย; C) เย็น; D) กลางคืน</t>
  </si>
  <si>
    <t>B) บ่าย</t>
  </si>
  <si>
    <t>การแข่งขันชนวัวมักจัดในช่วงบ่ายเพื่อหลีกเลี่ยงความร้อนในช่วงกลางวัน.</t>
  </si>
  <si>
    <t>ชนวัวในไทยได้รับความนิยมในช่วงไหนของปี?</t>
  </si>
  <si>
    <t>A) ฤดูร้อน; B) ฤดูฝน; C) ฤดูหนาว; D) ฤดูใบไม้ผลิ</t>
  </si>
  <si>
    <t>ชนวัวมักได้รับความนิยมในช่วงฤดูหนาวที่อากาศเย็นสบาย.</t>
  </si>
  <si>
    <t>การแข่งขันชนวัวในไทยมีการจัดขึ้นเพื่อการเฉลิมฉลองวันสำคัญทางศาสนาหรือไม่?</t>
  </si>
  <si>
    <t>A) ใช่; B) ไม่ใช่; C) ขึ้นอยู่กับสถานการณ์; D) บางครั้ง</t>
  </si>
  <si>
    <t>การจัดการแข่งขันชนวัวมักเป็นส่วนหนึ่งของการเฉลิมฉลองวันสำคัญทางศาสนา.</t>
  </si>
  <si>
    <t>การแข่งขันชนวัวในสมัยก่อนมีผลกระทบต่อสังคมไทยอย่างไร?</t>
  </si>
  <si>
    <t>A) ทำให้เกิดความแตกแยก; B) เสริมสร้างความสามัคคีในชุมชน; C) สร้างความตื่นเต้นในเมืองใหญ่; D) ส่งผลต่อการเกษตร</t>
  </si>
  <si>
    <t>B) เสริมสร้างความสามัคคีในชุมชน</t>
  </si>
  <si>
    <t>การแข่งขันชนวัวช่วยเสริมสร้างความสัมพันธ์ในหมู่บ้านและชุมชน.</t>
  </si>
  <si>
    <t>การแข่งขันชนวัวในสมัยก่อนใช้วิธีใดในการควบคุมการแข่งขัน?</t>
  </si>
  <si>
    <t>A) กฎเกณฑ์จากผู้จัด; B) กฎเกณฑ์จากพระมหากษัตริย์; C) การตกลงกันระหว่างผู้เข้าแข่งขัน; D) กฎเกณฑ์จากชุมชน</t>
  </si>
  <si>
    <t>A) กฎเกณฑ์จากผู้จัด</t>
  </si>
  <si>
    <t>การควบคุมการแข่งขันชนวัวในสมัยก่อนมักเป็นไปตามกฎเกณฑ์ที่ผู้จัดกำหนด.</t>
  </si>
  <si>
    <t>ชนวัวในสมัยโบราณมีการใช้เครื่องมือหรืออุปกรณ์พิเศษไหม?</t>
  </si>
  <si>
    <t>A) ใช่; B) ไม่ใช่; C) บางครั้ง; D) ขึ้นอยู่กับประเภทการแข่งขัน</t>
  </si>
  <si>
    <t>B) ไม่ใช่</t>
  </si>
  <si>
    <t>ชนวัวในสมัยโบราณไม่จำเป็นต้องใช้เครื่องมือหรืออุปกรณ์พิเศษ.</t>
  </si>
  <si>
    <t>ชนวัวในไทยได้รับการรับรองจากหน่วยงานไหนในสมัยก่อน?</t>
  </si>
  <si>
    <t>A) กระทรวงการท่องเที่ยวและกีฬา; B) กระทรวงเกษตรและสหกรณ์; C) กระทรวงวัฒนธรรม; D) ไม่มีหน่วยงานรับรอง</t>
  </si>
  <si>
    <t>D) ไม่มีหน่วยงานรับรอง</t>
  </si>
  <si>
    <t>ชนวัวในสมัยก่อนไม่ได้รับการรับรองจากหน่วยงานทางการ.</t>
  </si>
  <si>
    <t>การชนวัวในอดีตช่วยส่งเสริมวิธีการใดในสังคมไทย?</t>
  </si>
  <si>
    <t>A) ส่งเสริมการศึกษาด้านวิทยาศาสตร์; B) ส่งเสริมการฝึกฝนทักษะการเกษตร; C) ส่งเสริมการสร้างความสัมพันธ์ทางสังคม; D) ส่งเสริมการเล่นการพนัน</t>
  </si>
  <si>
    <t>C) ส่งเสริมการสร้างความสัมพันธ์ทางสังคม</t>
  </si>
  <si>
    <t>การชนวัวช่วยเสริมสร้างความสัมพันธ์และการรวมกลุ่มในชุมชน.</t>
  </si>
  <si>
    <t>ชนวัวในสมัยก่อนมักจัดในช่วงเทศกาลอะไร?</t>
  </si>
  <si>
    <t>A) เทศกาลสงกรานต์; B) เทศกาลออกพรรษา; C) เทศกาลลอยกระทง; D) เทศกาลตรุษจีน</t>
  </si>
  <si>
    <t>การจัดการแข่งขันชนวัวมักเกิดขึ้นในช่วงเทศกาลสงกรานต์เพื่อเสริมสร้างความบันเทิง.</t>
  </si>
  <si>
    <t>ชนวัวในไทยมีความสัมพันธ์กับการเกษตรหรือไม่?</t>
  </si>
  <si>
    <t>A) มี; B) ไม่มี; C) บางครั้ง; D) ขึ้นอยู่กับพื้นที่</t>
  </si>
  <si>
    <t>ชนวัวในไทยมีความสัมพันธ์กับการเกษตร โดยเฉพาะในพื้นที่ชนบทที่การเลี้ยงวัวเป็นส่วนสำคัญของการดำรงชีวิต.</t>
  </si>
  <si>
    <t>ชนวัวมีการพัฒนาในประเทศไทยในช่วงไหน?</t>
  </si>
  <si>
    <t>A) ก่อนสมัยกรุงศรีอยุธยา; B) สมัยกรุงธนบุรี; C) สมัยกรุงรัตนโกสินทร์; D) สมัยราชวงศ์จักรี</t>
  </si>
  <si>
    <t>ชนวัวได้รับการพัฒนาในสมัยกรุงรัตนโกสินทร์.</t>
  </si>
  <si>
    <t>ชนวัวในสมัยก่อนมักจัดขึ้นเพื่ออะไร?</t>
  </si>
  <si>
    <t>A) เพื่อหาเงิน; B) เพื่อทดสอบความแข็งแรงของวัว; C) เพื่อเสริมสร้างความสัมพันธ์; D) เพื่อเสี่ยงโชค</t>
  </si>
  <si>
    <t>การแข่งขันชนวัวมักจัดเพื่อเสริมสร้างความสัมพันธ์ในชุมชนและชาวบ้าน.</t>
  </si>
  <si>
    <t>ชนวัวในอดีตได้รับการส่งเสริมจากใครในสังคมไทย?</t>
  </si>
  <si>
    <t>A) ชาวบ้าน; B) ขุนนาง; C) พระมหากษัตริย์; D) ผู้ประกอบการธุรกิจ</t>
  </si>
  <si>
    <t>C) พระมหากษัตริย์</t>
  </si>
  <si>
    <t>พระมหากษัตริย์ในสมัยโบราณมักส่งเสริมการแข่งขันชนวัว.</t>
  </si>
  <si>
    <t>การฝึกฝนวัวสำหรับการแข่งขันในสมัยก่อนเป็นอย่างไร?</t>
  </si>
  <si>
    <t>A) การฝึกฝนแบบอิสระ; B) การฝึกฝนอย่างมีระเบียบ; C) การฝึกฝนในสนามกีฬา; D) การฝึกฝนแบบครอบครัว</t>
  </si>
  <si>
    <t>B) การฝึกฝนอย่างมีระเบียบ</t>
  </si>
  <si>
    <t>การฝึกฝนวัวมักมีระเบียบและเป็นระบบเพื่อเตรียมตัวสำหรับการแข่งขัน.</t>
  </si>
  <si>
    <t>การแข่งขันชนวัวในสมัยก่อนมีการใช้การประเมินผลอย่างไร?</t>
  </si>
  <si>
    <t>A) การตัดสินโดยผู้ชม; B) การตัดสินโดยผู้ฝึกสอน; C) การตัดสินโดยเจ้าหน้าที่; D) การตัดสินโดยผู้ชนะ</t>
  </si>
  <si>
    <t>C) การตัดสินโดยเจ้าหน้าที่</t>
  </si>
  <si>
    <t>การตัดสินในการแข่งขันชนวัวในสมัยก่อนมักถูกทำโดยเจ้าหน้าที่ที่ได้รับการแต่งตั้ง.</t>
  </si>
  <si>
    <t>การแข่งขันชนวัวในอดีตมีการใช้คำสั่งพิเศษจากผู้จัดไหม?</t>
  </si>
  <si>
    <t>A) ใช่; B) ไม่ใช่; C) ขึ้นอยู่กับผู้เข้าแข่งขัน; D) ไม่แน่ชัด</t>
  </si>
  <si>
    <t>การแข่งขันชนวัวมักมีคำสั่งพิเศษจากผู้จัดเพื่อควบคุมการแข่งขัน.</t>
  </si>
  <si>
    <t>ชนวัวในสมัยก่อนมักเกี่ยวข้องกับการเฉลิมฉลองชนิดใด?</t>
  </si>
  <si>
    <t>A) การเฉลิมฉลองทางการทหาร; B) การเฉลิมฉลองทางการเกษตร; C) การเฉลิมฉลองทางศาสนา; D) การเฉลิมฉลองทางสังคม</t>
  </si>
  <si>
    <t>C) การเฉลิมฉลองทางศาสนา</t>
  </si>
  <si>
    <t>ชนวัวมักเป็นส่วนหนึ่งของการเฉลิมฉลองทางศาสนาในชุมชน.</t>
  </si>
  <si>
    <t>การแข่งขันชนวัวมักจะเกิดขึ้นที่ไหน?</t>
  </si>
  <si>
    <t>A) สนามกีฬา; B) ลานกลางหมู่บ้าน; C) บ้านของผู้จัด; D) วัด</t>
  </si>
  <si>
    <t>การแข่งขันชนวัวมักจัดในลานกลางหมู่บ้านหรือที่สนามกลางแจ้ง.</t>
  </si>
  <si>
    <t>การแข่งขันชนวัวในสมัยก่อนมีการรับชมจากใครบ้าง?</t>
  </si>
  <si>
    <t>A) ชาวบ้าน; B) ขุนนางและผู้ปกครอง; C) พระมหากษัตริย์; D) ทุกคนในชุมชน</t>
  </si>
  <si>
    <t>D) ทุกคนในชุมชน</t>
  </si>
  <si>
    <t>การแข่งขันชนวัวในสมัยก่อนมักเปิดให้ทุกคนในชุมชนเข้าร่วมและรับชม.</t>
  </si>
  <si>
    <t>การฝึกฝนวัวสำหรับการแข่งขันในสมัยก่อนมีการใช้เทคนิคพิเศษไหม?</t>
  </si>
  <si>
    <t>A) ใช่; B) ไม่ใช่; C) ขึ้นอยู่กับชนิดของวัว; D) บางครั้ง</t>
  </si>
  <si>
    <t>การฝึกฝนวัวในสมัยก่อนมักใช้เทคนิคพิเศษเพื่อเตรียมตัวให้วัวพร้อมสำหรับการแข่งขัน.</t>
  </si>
  <si>
    <t>การแข่งขันชนวัวในสมัยก่อนมักจะเกิดขึ้นในเดือนใด?</t>
  </si>
  <si>
    <t>A) มกราคม; B) เมษายน; C) กรกฎาคม; D) ตุลาคม</t>
  </si>
  <si>
    <t>B) เมษายน</t>
  </si>
  <si>
    <t>การแข่งขันชนวัวมักเกิดขึ้นในเดือนเมษายนเพื่อความเหมาะสมกับสภาพอากาศ.</t>
  </si>
  <si>
    <t>การฝึกฝนวัวในสมัยก่อนเป็นกิจกรรมที่ทำในหมู่บ้านหรือไม่?</t>
  </si>
  <si>
    <t>A) ใช่; B) ไม่ใช่; C) ขึ้นอยู่กับพื้นที่; D) ขึ้นอยู่กับการจัดการ</t>
  </si>
  <si>
    <t>การฝึกฝนวัวมักทำในหมู่บ้านเป็นส่วนหนึ่งของกิจกรรมประจำวัน.</t>
  </si>
  <si>
    <t>การแข่งขันชนวัวในสมัยก่อนเป็นการจัดกิจกรรมที่มีผู้เข้าร่วมจากหลายจังหวัดไหม?</t>
  </si>
  <si>
    <t>การแข่งขันชนวัวในสมัยก่อนมักมีผู้เข้าร่วมจากหลายจังหวัดเพื่อสร้างความตื่นเต้น.</t>
  </si>
  <si>
    <t>การแข่งขันชนวัวในสมัยกรุงรัตนโกสินทร์ได้รับการสนับสนุนจากใครบ้าง?</t>
  </si>
  <si>
    <t>A) ขุนนาง; B) พระมหากษัตริย์; C) ชาวบ้าน; D) นักการเมือง</t>
  </si>
  <si>
    <t>B) พระมหากษัตริย์</t>
  </si>
  <si>
    <t>การแข่งขันชนวัวได้รับการสนับสนุนจากพระมหากษัตริย์ในสมัยกรุงรัตนโกสินทร์.</t>
  </si>
  <si>
    <t>การแข่งขันชนวัวในสมัยกรุงศรีอยุธยามีความสำคัญอย่างไร?</t>
  </si>
  <si>
    <t>A) เพื่อเสริมสร้างความสัมพันธ์ระหว่างชุมชน; B) เพื่อเป็นการทดสอบความแข็งแกร่งของวัว; C) เพื่อเป็นกิจกรรมทางศาสนา; D) เพื่อความบันเทิงของชนชั้นสูง</t>
  </si>
  <si>
    <t>A) เพื่อเสริมสร้างความสัมพันธ์ระหว่างชุมชน</t>
  </si>
  <si>
    <t xml:space="preserve"> การแข่งขันชนวัวในสมัยกรุงศรีอยุธยาช่วยเสริมสร้างความสัมพันธ์ในหมู่บ้านและชุมชน.</t>
  </si>
  <si>
    <t xml:space="preserve"> ในสมัยกรุงศรีอยุธยา ชนวัวมักถูกใช้ในกิจกรรมใด?</t>
  </si>
  <si>
    <t>A) งานฉลอง; B) งานศพ; C) งานแต่งงาน; D) งานเทศกาล</t>
  </si>
  <si>
    <t>A) งานฉลอง</t>
  </si>
  <si>
    <t xml:space="preserve"> ชนวัวมักถูกใช้เป็นกิจกรรมในงานฉลองของชุมชน.</t>
  </si>
  <si>
    <t xml:space="preserve"> การแข่งขันชนวัวในสมัยกรุงศรีอยุธยามีการกำหนดผู้ชนะได้อย่างไร?</t>
  </si>
  <si>
    <t>A) ผู้ที่ได้รับการยอมรับจากประชาชน; B) ผู้ที่สามารถทำให้วัวคู่แข่งยอมแพ้; C) ผู้ที่ทำให้วัวของตนหลุดจากการควบคุม; D) ไม่มีการกำหนด</t>
  </si>
  <si>
    <t>B) ผู้ที่สามารถทำให้วัวคู่แข่งยอมแพ้</t>
  </si>
  <si>
    <t xml:space="preserve"> การตัดสินการแข่งขันขึ้นอยู่กับการที่วัวคู่แข่งยอมแพ้.</t>
  </si>
  <si>
    <t xml:space="preserve"> ชนวัวในสมัยก่อนมักได้รับการสนับสนุนจากกลุ่มใดในสังคมไทย?</t>
  </si>
  <si>
    <t>A) ขุนนาง; B) พระมหากษัตริย์; C) ชาวบ้าน; D) นักธุรกิจ</t>
  </si>
  <si>
    <t xml:space="preserve"> พระมหากษัตริย์ในสมัยกรุงศรีอยุธยามักให้การสนับสนุนการแข่งขันชนวัว.</t>
  </si>
  <si>
    <t xml:space="preserve"> การแข่งขันชนวัวในอดีตมีความสำคัญทางด้านใด?</t>
  </si>
  <si>
    <t>A) ความบันเทิง; B) การแข่งขันทหาร; C) ความสัมพันธ์ในชุมชน; D) การศึกษา</t>
  </si>
  <si>
    <t>C) ความสัมพันธ์ในชุมชน</t>
  </si>
  <si>
    <t xml:space="preserve"> การชนวัวในอดีตเป็นส่วนหนึ่งของการเสริมสร้างความสัมพันธ์ในหมู่บ้านและชุมชน.</t>
  </si>
  <si>
    <t xml:space="preserve"> การชนวัวในสมัยก่อนถูกจัดในวันสำคัญของไทย เช่น วันอะไร?</t>
  </si>
  <si>
    <t>A) วันสงกรานต์; B) วันแม่; C) วันแรงงาน; D) วันลอยกระทง</t>
  </si>
  <si>
    <t>A) วันสงกรานต์</t>
  </si>
  <si>
    <t xml:space="preserve"> การชนวัวมักจัดในวันสงกรานต์เป็นกิจกรรมเฉลิมฉลอง.</t>
  </si>
  <si>
    <t xml:space="preserve"> ชนวัวในสมัยกรุงรัตนโกสินทร์ได้รับความนิยมในระดับใด?</t>
  </si>
  <si>
    <t>A) มีความนิยมมากในเมืองหลวง; B) นิยมในทุกจังหวัด; C) นิยมเฉพาะในชนบท; D) ไม่มีความนิยม</t>
  </si>
  <si>
    <t>B) นิยมในทุกจังหวัด</t>
  </si>
  <si>
    <t xml:space="preserve"> ชนวัวได้รับความนิยมในทุกจังหวัดทั่วประเทศไทยในสมัยกรุงรัตนโกสินทร์.</t>
  </si>
  <si>
    <t xml:space="preserve"> ชนวัวได้รับการยอมรับจากชุมชนในสมัยกรุงรัตนโกสินทร์มากน้อยแค่ไหน?</t>
  </si>
  <si>
    <t>A) มาก; B) น้อย; C) ไม่ได้รับการยอมรับ; D) ขึ้นอยู่กับชนชั้น</t>
  </si>
  <si>
    <t>A) มาก</t>
  </si>
  <si>
    <t xml:space="preserve"> ชนวัวได้รับการยอมรับและสนับสนุนจากชุมชนในสมัยกรุงรัตนโกสินทร์.</t>
  </si>
  <si>
    <t xml:space="preserve"> ชนวัวในสมัยกรุงรัตนโกสินทร์มีการจัดการอย่างไร?</t>
  </si>
  <si>
    <t>A) โดยชุมชนท้องถิ่น; B) โดยขุนนาง; C) โดยพระมหากษัตริย์; D) โดยนักธุรกิจ</t>
  </si>
  <si>
    <t>A) โดยชุมชนท้องถิ่น</t>
  </si>
  <si>
    <t xml:space="preserve"> การจัดการการแข่งขันชนวัวในสมัยกรุงรัตนโกสินทร์มักทำโดยชุมชนท้องถิ่น.</t>
  </si>
  <si>
    <t xml:space="preserve"> การชนวัวในสมัยก่อนมีการกำหนดกฎเกณฑ์ในการแข่งขันไหม?</t>
  </si>
  <si>
    <t>A) มี; B) ไม่มี; C) ขึ้นอยู่กับผู้จัด; D) กฎเกณฑ์มีเฉพาะในเมืองหลวง</t>
  </si>
  <si>
    <t xml:space="preserve"> การชนวัวในสมัยก่อนมีกฎเกณฑ์ที่ชัดเจนในการแข่งขัน.</t>
  </si>
  <si>
    <t xml:space="preserve"> วัวที่ใช้ในการแข่งขันชนวัวในสมัยก่อนมักมาจากไหน?</t>
  </si>
  <si>
    <t>A) มาจากฟาร์มของขุนนาง; B) มาจากฟาร์มของชาวบ้าน; C) มาจากฟาร์มของพระมหากษัตริย์; D) มาจากการซื้อขายในตลาด</t>
  </si>
  <si>
    <t>B) มาจากฟาร์มของชาวบ้าน</t>
  </si>
  <si>
    <t xml:space="preserve"> วัวที่ใช้ในการแข่งขันมักมาจากฟาร์มของชาวบ้านในพื้นที่.</t>
  </si>
  <si>
    <t xml:space="preserve"> การชนวัวในสมัยก่อนมีผลต่อสังคมไทยอย่างไร?</t>
  </si>
  <si>
    <t>A) ทำให้เกิดความแตกแยก; B) ส่งเสริมความสามัคคีในชุมชน; C) ทำให้เกิดความตึงเครียด; D) สร้างความมั่งคั่ง</t>
  </si>
  <si>
    <t>B) ส่งเสริมความสามัคคีในชุมชน</t>
  </si>
  <si>
    <t xml:space="preserve"> การชนวัวช่วยเสริมสร้างความสัมพันธ์และความสามัคคีในหมู่ชุมชน.</t>
  </si>
  <si>
    <t xml:space="preserve"> ชนวัวในสมัยกรุงศรีอยุธยามักจัดขึ้นในวันใด?</t>
  </si>
  <si>
    <t>A) วันเสาร์; B) วันอาทิตย์; C) วันพุธ; D) วันศุกร์</t>
  </si>
  <si>
    <t>B) วันอาทิตย์</t>
  </si>
  <si>
    <t xml:space="preserve"> ชนวัวมักจัดในวันอาทิตย์เป็นวันที่สะดวกสำหรับชุมชน.</t>
  </si>
  <si>
    <t xml:space="preserve"> การแข่งขันชนวัวในสมัยก่อนมีผลกระทบทางการเมืองหรือไม่?</t>
  </si>
  <si>
    <t>A) ไม่มีผลกระทบ; B) ส่งผลต่อการปกครอง; C) ช่วยสนับสนุนรัฐบาล; D) สร้างความตึงเครียดทางการเมือง</t>
  </si>
  <si>
    <t>B) ส่งผลต่อการปกครอง</t>
  </si>
  <si>
    <t xml:space="preserve"> การแข่งขันชนวัวในบางครั้งมีผลกระทบต่อการเมืองในสมัยกรุงศรีอยุธยา.</t>
  </si>
  <si>
    <t xml:space="preserve"> ชนวัวในสมัยก่อนมีการสืบทอดจากรุ่นสู่รุ่นไหม?</t>
  </si>
  <si>
    <t>A) ใช่; B) ไม่ใช่; C) ขึ้นอยู่กับพื้นที่; D) ขึ้นอยู่กับชนชั้น</t>
  </si>
  <si>
    <t xml:space="preserve"> การแข่งขันชนวัวมักได้รับการสืบทอดจากรุ่นสู่รุ่นในชุมชน.</t>
  </si>
  <si>
    <t xml:space="preserve"> ชนวัวในสมัยก่อนมักจัดเป็นกิจกรรมภายในหมู่บ้านหรือไม่?</t>
  </si>
  <si>
    <t>A) ใช่; B) ไม่ใช่; C) บางครั้ง; D) ขึ้นอยู่กับขนาดของชุมชน</t>
  </si>
  <si>
    <t xml:space="preserve"> ชนวัวมักจัดเป็นกิจกรรมภายในหมู่บ้านหรือในพื้นที่ที่ใกล้เคียง.</t>
  </si>
  <si>
    <t xml:space="preserve"> การแข่งขันชนวัวมีการเข้าร่วมจากชนชั้นไหนในสังคม?</t>
  </si>
  <si>
    <t>A) ขุนนางและชาวบ้าน; B) ขุนนางและนักธุรกิจ; C) ขุนนางและพระมหากษัตริย์; D) ชาวบ้านทุกคน</t>
  </si>
  <si>
    <t>A) ขุนนางและชาวบ้าน</t>
  </si>
  <si>
    <t xml:space="preserve"> การแข่งขันชนวัวในสมัยกรุงศรีอยุธยามีการเข้าร่วมจากขุนนางและชาวบ้าน.</t>
  </si>
  <si>
    <t xml:space="preserve"> การชนวัวในสมัยกรุงศรีอยุธยามักเป็นส่วนหนึ่งของอะไร?</t>
  </si>
  <si>
    <t>A) การแข่งขันกีฬา; B) การเฉลิมฉลองทางศาสนา; C) การรวมกลุ่มทางการเมือง; D) การพบปะทางสังคม</t>
  </si>
  <si>
    <t>B) การเฉลิมฉลองทางศาสนา</t>
  </si>
  <si>
    <t xml:space="preserve"> การชนวัวมักเป็นส่วนหนึ่งของการเฉลิมฉลองทางศาสนา.</t>
  </si>
  <si>
    <t xml:space="preserve"> ชนวัวในสมัยก่อนได้รับความนิยมในกลุ่มไหนมากที่สุด?</t>
  </si>
  <si>
    <t>A) ชาวบ้าน; B) ขุนนาง; C) นักธุรกิจ; D) พระมหากษัตริย์</t>
  </si>
  <si>
    <t>A) ชาวบ้าน</t>
  </si>
  <si>
    <t xml:space="preserve"> ชาวบ้านในพื้นที่ชนบทมักเป็นกลุ่มที่สนใจและเข้าร่วมการแข่งขันชนวัว.</t>
  </si>
  <si>
    <t xml:space="preserve"> ชนวัวถูกใช้ในการทดสอบอะไร?</t>
  </si>
  <si>
    <t>A) ความสามารถในการต่อสู้ของวัว; B) ความสามารถในการฝึกฝน; C) ความสามารถในการบังคับของเจ้าของ; D) ความต้านทานของวัว</t>
  </si>
  <si>
    <t>A) ความสามารถในการต่อสู้ของวัว</t>
  </si>
  <si>
    <t xml:space="preserve"> การชนวัวถูกใช้ในการทดสอบความสามารถในการต่อสู้ของวัว.</t>
  </si>
  <si>
    <t xml:space="preserve"> ชนวัวในสมัยกรุงศรีอยุธยามีการจัดการแข่งขันที่ไหนบ้าง?</t>
  </si>
  <si>
    <t>A) ในพระราชวัง; B) ในหมู่บ้าน; C) ในเมืองหลวง; D) ในสนามกีฬา</t>
  </si>
  <si>
    <t>B) ในหมู่บ้าน</t>
  </si>
  <si>
    <t xml:space="preserve"> การแข่งขันชนวัวมักจัดขึ้นในหมู่บ้านหรือในชุมชนท้องถิ่น.</t>
  </si>
  <si>
    <t xml:space="preserve"> การชนวัวในอดีตมีบทบาทในด้านใดของสังคมไทย?</t>
  </si>
  <si>
    <t>A) สังคมชนชั้นสูง; B) การเมือง; C) ความบันเทิงและการเสริมสร้างความสัมพันธ์; D) การศึกษา</t>
  </si>
  <si>
    <t>C) ความบันเทิงและการเสริมสร้างความสัมพันธ์</t>
  </si>
  <si>
    <t xml:space="preserve"> การชนวัวช่วยเสริมสร้างความสัมพันธ์ในหมู่บ้านและชุมชน.</t>
  </si>
  <si>
    <t xml:space="preserve"> ในสมัยกรุงศรีอยุธยา วัวที่ใช้ในการแข่งขันมักมีลักษณะใด?</t>
  </si>
  <si>
    <t>A) วัวที่แข็งแรงและดุร้าย; B) วัวที่เชื่องและเชื่อฟัง; C) วัวที่มีขนาดใหญ่; D) วัวที่มีสีสันสดใส</t>
  </si>
  <si>
    <t>A) วัวที่แข็งแรงและดุร้าย</t>
  </si>
  <si>
    <t xml:space="preserve"> วัวที่ใช้ในการแข่งขันชนวัวมักจะต้องมีความแข็งแรงและดุร้าย.</t>
  </si>
  <si>
    <t xml:space="preserve"> การฝึกวัวสำหรับการแข่งขันชนวัวในสมัยก่อนทำอย่างไร?</t>
  </si>
  <si>
    <t>A) ฝึกในลานกว้าง; B) ฝึกในโรงเรือน; C) ฝึกในสวนหรือที่โล่ง; D) ฝึกในน้ำ</t>
  </si>
  <si>
    <t>C) ฝึกในสวนหรือที่โล่ง</t>
  </si>
  <si>
    <t xml:space="preserve"> การฝึกวัวมักทำในสวนหรือที่โล่งเพื่อให้วัวได้เคลื่อนไหวและมีพื้นที่ในการฝึก.</t>
  </si>
  <si>
    <t xml:space="preserve"> การชนวัวในสมัยกรุงศรีอยุธยามีความสัมพันธ์กับกิจกรรมอื่นๆ หรือไม่?</t>
  </si>
  <si>
    <t>A) ไม่เกี่ยวข้อง; B) เกี่ยวข้องกับการแข่งขันกีฬาอื่นๆ; C) เกี่ยวข้องกับกิจกรรมทางศาสนา; D) เกี่ยวข้องกับกิจกรรมการทหาร</t>
  </si>
  <si>
    <t>C) เกี่ยวข้องกับกิจกรรมทางศาสนา</t>
  </si>
  <si>
    <t xml:space="preserve"> การชนวัวมักเป็นส่วนหนึ่งของกิจกรรมทางศาสนาและพิธีกรรม.</t>
  </si>
  <si>
    <t xml:space="preserve"> ชนวัวในสมัยกรุงรัตนโกสินทร์ได้รับความนิยมจากกลุ่มใดในสังคมไทยมากที่สุด?</t>
  </si>
  <si>
    <t>A) ชาวชนบท; B) ขุนนางและพระมหากษัตริย์; C) พ่อค้าและนักธุรกิจ; D) ผู้คนในเมืองหลวง</t>
  </si>
  <si>
    <t>B) ขุนนางและพระมหากษัตริย์</t>
  </si>
  <si>
    <t xml:space="preserve"> ชนวัวได้รับความนิยมจากขุนนางและพระมหากษัตริย์ในสมัยกรุงรัตนโกสินทร์.</t>
  </si>
  <si>
    <t xml:space="preserve"> การแข่งขันชนวัวในสมัยกรุงศรีอยุธยามักมีการตัดสินผู้ชนะอย่างไร?</t>
  </si>
  <si>
    <t>A) โดยจำนวนผู้ชม; B) โดยการประลองระหว่างวัว; C) โดยการทดสอบความแข็งแรงของวัว; D) โดยการเลือกจากขุนนาง</t>
  </si>
  <si>
    <t>B) โดยการประลองระหว่างวัว</t>
  </si>
  <si>
    <t xml:space="preserve"> ผู้ชนะในการแข่งขันชนวัวจะถูกตัดสินจากการประลองระหว่างวัว.</t>
  </si>
  <si>
    <t xml:space="preserve"> การชนวัวในสมัยก่อนเป็นส่วนหนึ่งของการฉลองเทศกาลใด?</t>
  </si>
  <si>
    <t>A) เทศกาลปีใหม่; B) เทศกาลสงกรานต์; C) เทศกาลลอยกระทง; D) เทศกาลเข้าพรรษา</t>
  </si>
  <si>
    <t>B) เทศกาลสงกรานต์</t>
  </si>
  <si>
    <t xml:space="preserve"> การชนวัวมักจัดขึ้นในเทศกาลสงกรานต์เป็นส่วนหนึ่งของการเฉลิมฉลอง.</t>
  </si>
  <si>
    <t xml:space="preserve"> ชนวัวในสมัยกรุงรัตนโกสินทร์มีการเปลี่ยนแปลงอย่างไรเมื่อเทียบกับสมัยกรุงศรีอยุธยา?</t>
  </si>
  <si>
    <t>A) การแข่งขันน้อยลง; B) เพิ่มความนิยมในชนชั้นสูง; C) การแข่งขันมีความซับซ้อนมากขึ้น; D) การฝึกวัวเข้มข้นขึ้น</t>
  </si>
  <si>
    <t>B) เพิ่มความนิยมในชนชั้นสูง</t>
  </si>
  <si>
    <t xml:space="preserve"> การแข่งขันชนวัวในสมัยกรุงรัตนโกสินทร์ได้รับความนิยมในกลุ่มชนชั้นสูงมากขึ้น.</t>
  </si>
  <si>
    <t xml:space="preserve"> ชนวัวในสมัยกรุงศรีอยุธยามีการถ่ายทอดความรู้จากรุ่นสู่รุ่นหรือไม่?</t>
  </si>
  <si>
    <t>A) ใช่; B) ไม่ใช่; C) ขึ้นอยู่กับพื้นที่; D) ขึ้นอยู่กับความสนใจ</t>
  </si>
  <si>
    <t xml:space="preserve"> การฝึกฝนและการแข่งขันชนวัวมักถูกถ่ายทอดจากรุ่นสู่รุ่นในชุมชน.</t>
  </si>
  <si>
    <t xml:space="preserve"> การชนวัวในอดีตมักจัดให้มีการแข่งขันในช่วงเวลาใดของปี?</t>
  </si>
  <si>
    <t>A) ตลอดทั้งปี; B) ในช่วงฤดูฝน; C) ในช่วงเทศกาลสำคัญ; D) ในช่วงฤดูร้อน</t>
  </si>
  <si>
    <t>C) ในช่วงเทศกาลสำคัญ</t>
  </si>
  <si>
    <t xml:space="preserve"> การชนวัวมักจัดในช่วงเทศกาลสำคัญเช่น สงกรานต์.</t>
  </si>
  <si>
    <t xml:space="preserve"> ชนวัวในสมัยกรุงศรีอยุธยาได้รับการสนับสนุนจากใครบ้าง?</t>
  </si>
  <si>
    <t>A) ชาวบ้าน; B) ขุนนาง; C) พระมหากษัตริย์; D) นักธุรกิจ</t>
  </si>
  <si>
    <t xml:space="preserve"> วัวที่ใช้ในการแข่งขันชนวัวในสมัยกรุงศรีอยุธยามีต้นกำเนิดจากที่ไหน?</t>
  </si>
  <si>
    <t>A) วัวพื้นเมืองของไทย; B) วัวนำเข้าจากต่างประเทศ; C) วัวจากฟาร์มขุนนาง; D) วัวจากการแลกเปลี่ยน</t>
  </si>
  <si>
    <t>A) วัวพื้นเมืองของไทย</t>
  </si>
  <si>
    <t xml:space="preserve"> วัวที่ใช้ในการแข่งขันชนวัวมักเป็นวัวพื้นเมืองของไทย.</t>
  </si>
  <si>
    <t xml:space="preserve"> การชนวัวในสมัยกรุงศรีอยุธยามีความเกี่ยวข้องกับการทหารหรือไม่?</t>
  </si>
  <si>
    <t>A) ไม่มีความเกี่ยวข้อง; B) มีความเกี่ยวข้องเนื่องจากการทดสอบความแข็งแกร่งของวัว; C) เกี่ยวข้องกับการฝึกฝนทหาร; D) เกี่ยวข้องกับการเสริมสร้างความมั่นคง</t>
  </si>
  <si>
    <t>B) มีความเกี่ยวข้องเนื่องจากการทดสอบความแข็งแกร่งของวัว</t>
  </si>
  <si>
    <t xml:space="preserve"> การชนวัวบางครั้งใช้เป็นการทดสอบความแข็งแกร่ง.</t>
  </si>
  <si>
    <t xml:space="preserve"> ชนวัวในสมัยก่อนเป็นกิจกรรมที่นิยมในกลุ่มใดของสังคม?</t>
  </si>
  <si>
    <t>A) กลุ่มชาวบ้าน; B) ขุนนางและชนชั้นสูง; C) ชาวพ่อค้า; D) กลุ่มทหาร</t>
  </si>
  <si>
    <t>A) กลุ่มชาวบ้าน</t>
  </si>
  <si>
    <t xml:space="preserve"> ชนวัวในสมัยก่อนมักเป็นกิจกรรมที่นิยมในหมู่ชาวบ้าน.</t>
  </si>
  <si>
    <t xml:space="preserve"> ในสมัยกรุงศรีอยุธยา วัวที่ใช้ในการชนต้องมีลักษณะอย่างไร?</t>
  </si>
  <si>
    <t>A) ต้องมีขนาดใหญ่; B) ต้องมีความดุร้าย; C) ต้องมีความเร็ว; D) ต้องเป็นวัวที่สามารถฝึกได้ง่าย</t>
  </si>
  <si>
    <t>B) ต้องมีความดุร้าย</t>
  </si>
  <si>
    <t xml:space="preserve"> วัวที่ใช้ในการชนต้องมีลักษณะดุร้ายและพร้อมที่จะต่อสู้.</t>
  </si>
  <si>
    <t xml:space="preserve"> การชนวัวในสมัยกรุงศรีอยุธยามักจัดในสถานที่ใด?</t>
  </si>
  <si>
    <t>A) ในสนามหญ้า; B) ในที่โล่ง; C) ในสนามกีฬา; D) ในลานวัด</t>
  </si>
  <si>
    <t>B) ในที่โล่ง</t>
  </si>
  <si>
    <t xml:space="preserve"> การชนวัวมักจัดในพื้นที่โล่งหรือในสนามที่กว้าง.</t>
  </si>
  <si>
    <t xml:space="preserve"> การชนวัวในสมัยกรุงศรีอยุธยาและกรุงรัตนโกสินทร์มีความแตกต่างกันอย่างไร?</t>
  </si>
  <si>
    <t>A) สมัยกรุงศรีอยุธยามีการฝึกฝนเข้มข้นกว่า; B) สมัยกรุงรัตนโกสินทร์มีการฝึกฝนที่ซับซ้อนมากขึ้น; C) สมัยกรุงศรีอยุธยามีการจัดการแข่งขันในทุกวัน; D) สมัยกรุงรัตนโกสินทร์มีความนิยมในหมู่ชาวบ้าน</t>
  </si>
  <si>
    <t>B) สมัยกรุงรัตนโกสินทร์มีการฝึกฝนที่ซับซ้อนมากขึ้น</t>
  </si>
  <si>
    <t xml:space="preserve"> การชนวัวในสมัยกรุงรัตนโกสินทร์มีการฝึกฝนที่มีความซับซ้อนมากขึ้น.</t>
  </si>
  <si>
    <t xml:space="preserve"> ชนวัวในสมัยก่อนมีบทบาทในด้านการสร้างความสัมพันธ์ในชุมชนหรือไม่?</t>
  </si>
  <si>
    <t xml:space="preserve"> การชนวัวช่วยเสริมสร้างความสัมพันธ์ในชุมชนและหมู่บ้าน.</t>
  </si>
  <si>
    <t xml:space="preserve"> การชนวัวในสมัยก่อนมีความเกี่ยวข้องกับการฝึกทหารหรือไม่?</t>
  </si>
  <si>
    <t>A) ไม่เกี่ยวข้อง; B) เกี่ยวข้องในบางกรณี; C) เกี่ยวข้องมาก; D) เกี่ยวข้องเฉพาะกับทหารชั้นสูง</t>
  </si>
  <si>
    <t>B) เกี่ยวข้องในบางกรณี</t>
  </si>
  <si>
    <t xml:space="preserve"> การชนวัวบางครั้งมีความเกี่ยวข้องกับการฝึกทหารในอดีต.</t>
  </si>
  <si>
    <t xml:space="preserve"> ชนวัวในสมัยกรุงศรีอยุธยามีการใช้วัวพันธุ์อะไรในการแข่งขัน?</t>
  </si>
  <si>
    <t>A) วัวพื้นเมืองไทย; B) วัวจากอินเดีย; C) วัวจากประเทศจีน; D) วัวจากมาเลเซีย</t>
  </si>
  <si>
    <t>A) วัวพื้นเมืองไทย</t>
  </si>
  <si>
    <t xml:space="preserve"> วัวที่ใช้ในการชนวัวส่วนใหญ่เป็นวัวพื้นเมืองของไทย.</t>
  </si>
  <si>
    <t xml:space="preserve"> การชนวัวในสมัยก่อนมีการใช้เครื่องมือหรืออุปกรณ์ใดในการฝึกหรือแข่งขัน?</t>
  </si>
  <si>
    <t>A) ไม่มีการใช้เครื่องมือ; B) ใช้ห่วงเหล็ก; C) ใช้สายรัดคอ; D) ใช้ไม้ตี</t>
  </si>
  <si>
    <t>C) ใช้สายรัดคอ</t>
  </si>
  <si>
    <t xml:space="preserve"> การฝึกวัวมักใช้สายรัดคอเพื่อควบคุมวัว.</t>
  </si>
  <si>
    <t xml:space="preserve"> ชนวัวในอดีตมีความเกี่ยวข้องกับการแสดงความกล้าหาญของใคร?</t>
  </si>
  <si>
    <t>A) ขุนนาง; B) พระมหากษัตริย์; C) ชาวบ้าน; D) ทหาร</t>
  </si>
  <si>
    <t xml:space="preserve"> การชนวัวบางครั้งเกี่ยวข้องกับการแสดงความกล้าหาญของพระมหากษัตริย์.</t>
  </si>
  <si>
    <t xml:space="preserve"> การชนวัวในสมัยกรุงศรีอยุธยามักเกิดขึ้นในช่วงเทศกาลไหน?</t>
  </si>
  <si>
    <t>A) เทศกาลประเพณีบวชพระ; B) เทศกาลสงกรานต์; C) เทศกาลลอยกระทง; D) เทศกาลคริสต์มาส</t>
  </si>
  <si>
    <t xml:space="preserve"> การชนวัวมักจัดขึ้นในช่วงเทศกาลสงกรานต์เพื่อเฉลิมฉลอง.</t>
  </si>
  <si>
    <t xml:space="preserve"> ในการชนวัวในอดีต ใครเป็นผู้ตัดสินการแข่งขัน?</t>
  </si>
  <si>
    <t>A) ขุนนาง; B) พระมหากษัตริย์; C) ชาวบ้าน; D) กรรมการที่ได้รับการแต่งตั้ง</t>
  </si>
  <si>
    <t>D) กรรมการที่ได้รับการแต่งตั้ง</t>
  </si>
  <si>
    <t xml:space="preserve"> กรรมการที่ได้รับการแต่งตั้งมักทำหน้าที่ตัดสินผลการแข่งขัน.</t>
  </si>
  <si>
    <t xml:space="preserve"> ชนวัวในอดีตมีความเกี่ยวข้องกับพิธีกรรมทางศาสนาหรือไม่?</t>
  </si>
  <si>
    <t>A) ใช่, เป็นส่วนหนึ่งของพิธีกรรม; B) ไม่เกี่ยวข้องกับศาสนา; C) ใช่, แต่เป็นการฝึกสำหรับทหาร; D) ไม่มีพิธีกรรมเกี่ยวข้อง</t>
  </si>
  <si>
    <t xml:space="preserve"> เป็นส่วนหนึ่งของพิธีกรรม</t>
  </si>
  <si>
    <t xml:space="preserve"> การชนวัวมักจะเป็นส่วนหนึ่งของการเฉลิมฉลองทางศาสนา.</t>
  </si>
  <si>
    <t xml:space="preserve"> การชนวัวในสมัยก่อนเป็นการฝึกความสามารถอะไรของวัว?</t>
  </si>
  <si>
    <t>A) ความเร็ว; B) ความดุร้าย; C) ความฉลาด; D) ความสามารถในการกระโดด</t>
  </si>
  <si>
    <t>B) ความดุร้าย</t>
  </si>
  <si>
    <t xml:space="preserve"> วัวที่ใช้ในการแข่งขันมักมีความดุร้ายและพร้อมต่อสู้.</t>
  </si>
  <si>
    <t xml:space="preserve"> การชนวัวในสมัยกรุงศรีอยุธยาได้รับการสนับสนุนจากกลุ่มใดในสังคม?</t>
  </si>
  <si>
    <t>A) ชาวบ้าน; B) ขุนนางและพระมหากษัตริย์; C) นักธุรกิจ; D) ทหาร</t>
  </si>
  <si>
    <t xml:space="preserve"> ชนวัวได้รับการสนับสนุนจากขุนนางและพระมหากษัตริย์ในสมัยกรุงศรีอยุธยา.</t>
  </si>
  <si>
    <t xml:space="preserve"> ชนวัวในสมัยก่อนมีผลกระทบต่อวัฒนธรรมไทยอย่างไร?</t>
  </si>
  <si>
    <t>A) ช่วยเสริมสร้างความสัมพันธ์ในชุมชน; B) ทำให้เกิดความขัดแย้งในชุมชน; C) ลดความสัมพันธ์ทางสังคม; D) เพิ่มความนิยมในกีฬาชนิดอื่น</t>
  </si>
  <si>
    <t>A) ช่วยเสริมสร้างความสัมพันธ์ในชุมชน</t>
  </si>
  <si>
    <t xml:space="preserve"> การชนวัวช่วยเสริมสร้างความสัมพันธ์ระหว่างสมาชิกในชุมชน.</t>
  </si>
  <si>
    <t xml:space="preserve"> ชนวัวในอดีตมีการใช้วัวประเภทใดบ้าง?</t>
  </si>
  <si>
    <t>A) วัวเพศผู้; B) วัวเพศเมีย; C) วัวลูกผสม; D) วัวทั้งสองเพศ</t>
  </si>
  <si>
    <t>A) วัวเพศผู้</t>
  </si>
  <si>
    <t xml:space="preserve"> วัวเพศผู้มักถูกใช้ในการแข่งขันชนวัว.</t>
  </si>
  <si>
    <t xml:space="preserve"> ชนวัวในสมัยก่อนมีความแตกต่างจากกีฬาชนิดอื่นอย่างไร?</t>
  </si>
  <si>
    <t>A) ไม่มีการใช้เครื่องมือ; B) มีการแข่งขันในสนามที่มีขอบเขต; C) การแข่งขันมีลักษณะของการทดสอบความแข็งแกร่งของสัตว์; D) การแข่งขันไม่จำเป็นต้องมีผู้ตัดสิน</t>
  </si>
  <si>
    <t>C) การแข่งขันมีลักษณะของการทดสอบความแข็งแกร่งของสัตว์</t>
  </si>
  <si>
    <t xml:space="preserve"> การชนวัวมักจะเน้นการทดสอบความแข็งแกร่งของวัว.</t>
  </si>
  <si>
    <t xml:space="preserve"> ชนวัวในสมัยกรุงศรีอยุธยามักจัดที่ใด?</t>
  </si>
  <si>
    <t>A) สนามกีฬา; B) ลานวัด; C) ในพระราชวัง; D) ในหมู่บ้าน</t>
  </si>
  <si>
    <t>B) ลานวัด</t>
  </si>
  <si>
    <t xml:space="preserve"> การชนวัวมักจัดขึ้นในลานวัดหรือพื้นที่เปิดกว้างในหมู่บ้าน.</t>
  </si>
  <si>
    <t xml:space="preserve"> การชนวัวในสมัยกรุงศรีอยุธยาเป็นกิจกรรมที่นิยมในหมู่ใคร?</t>
  </si>
  <si>
    <t>A) ขุนนางและพระมหากษัตริย์; B) ชาวบ้านทั่วไป; C) ชาวพ่อค้า; D) ทหาร</t>
  </si>
  <si>
    <t>B) ชาวบ้านทั่วไป</t>
  </si>
  <si>
    <t xml:space="preserve"> การชนวัวได้รับความนิยมในหมู่ชาวบ้านและชุมชนต่างๆ.</t>
  </si>
  <si>
    <t xml:space="preserve"> ชนวัวในสมัยกรุงศรีอยุธยาได้รับอิทธิพลจากวัฒนธรรมใด?</t>
  </si>
  <si>
    <t>A) วัฒนธรรมจีน; B) วัฒนธรรมอินเดีย; C) วัฒนธรรมทิเบต; D) วัฒนธรรมไทยพื้นบ้าน</t>
  </si>
  <si>
    <t>B) วัฒนธรรมอินเดีย</t>
  </si>
  <si>
    <t xml:space="preserve"> การชนวัวในบางแง่มุมได้รับอิทธิพลจากวัฒนธรรมอินเดีย.</t>
  </si>
  <si>
    <t xml:space="preserve"> ในการแข่งขันชนวัวสมัยก่อน มีการจัดการแข่งขันในรูปแบบใดบ้าง?</t>
  </si>
  <si>
    <t>A) แข่งขันแบบทีม; B) แข่งขันแบบบุคคล; C) แข่งขันแบบทดสอบกำลัง; D) แข่งขันแบบรายบุคคลหรือคู่</t>
  </si>
  <si>
    <t>D) แข่งขันแบบรายบุคคลหรือคู่</t>
  </si>
  <si>
    <t xml:space="preserve"> การแข่งขันชนวัวมักจัดในรูปแบบการแข่งขันแบบรายบุคคลหรือคู่.</t>
  </si>
  <si>
    <t xml:space="preserve"> วัวที่ใช้ในการชนวัวในสมัยกรุงศรีอยุธยาต้องมีลักษณะอย่างไร?</t>
  </si>
  <si>
    <t>A) ต้องมีขนาดใหญ่และแข็งแรง; B) ต้องมีความฉลาดและเชื่อง; C) ต้องมีขนหนา; D) ต้องมีการฝึกมานาน</t>
  </si>
  <si>
    <t>A) ต้องมีขนาดใหญ่และแข็งแรง</t>
  </si>
  <si>
    <t xml:space="preserve"> วัวที่ใช้ในการชนวัวต้องมีขนาดใหญ่และแข็งแรงเพื่อรับมือกับการแข่งขัน.</t>
  </si>
  <si>
    <t xml:space="preserve"> ชนวัวในสมัยก่อนถือเป็นกิจกรรมที่มีประโยชน์ในด้านใดบ้าง?</t>
  </si>
  <si>
    <t>A) ใช้เป็นการทดสอบความแข็งแกร่ง; B) ใช้เป็นการบันเทิงเท่านั้น; C) ใช้เป็นการฝึกทหาร; D) ใช้เป็นการฝึกวิธีการขับเคลื่อน</t>
  </si>
  <si>
    <t>A) ใช้เป็นการทดสอบความแข็งแกร่ง</t>
  </si>
  <si>
    <t xml:space="preserve"> การชนวัวใช้เป็นการทดสอบความแข็งแกร่งของวัว.</t>
  </si>
  <si>
    <t xml:space="preserve"> การชนวัวในสมัยก่อนมีการถ่ายทอดความรู้ผ่านใคร?</t>
  </si>
  <si>
    <t>A) ขุนนาง; B) นักฝึกสัตว์; C) พระมหากษัตริย์; D) ชาวบ้าน</t>
  </si>
  <si>
    <t>B) นักฝึกสัตว์</t>
  </si>
  <si>
    <t xml:space="preserve"> การฝึกฝนและการถ่ายทอดความรู้เกี่ยวกับการชนวัวมักผ่านนักฝึกสัตว์.</t>
  </si>
  <si>
    <t xml:space="preserve"> ชนวัวในอดีตเป็นกิจกรรมที่มีส่วนช่วยในการสร้างความเป็นอันหนึ่งอันเดียวในชุมชนหรือไม่?</t>
  </si>
  <si>
    <t>A) ใช่, ช่วยสร้างความสัมพันธ์ในชุมชน; B) ไม่ใช่, ทำให้เกิดการขัดแย้ง; C) ใช่, แต่เฉพาะในเมืองหลวง; D) ไม่เกี่ยวข้อง</t>
  </si>
  <si>
    <t xml:space="preserve"> ช่วยสร้างความสัมพันธ์ในชุมชน</t>
  </si>
  <si>
    <t xml:space="preserve"> การชนวัวช่วยเสริมสร้างความเป็นอันหนึ่งอันเดียวในชุมชน.</t>
  </si>
  <si>
    <t xml:space="preserve"> การชนวัวในอดีตช่วยส่งเสริมคุณค่าในด้านใด?</t>
  </si>
  <si>
    <t>A) การพัฒนาทางเทคโนโลยี; B) การเสริมสร้างความแข็งแกร่งทางร่างกาย; C) การส่งเสริมความรู้ด้านการเกษตร; D) การเสริมสร้างความสัมพันธ์ทางสังคม</t>
  </si>
  <si>
    <t>D) การเสริมสร้างความสัมพันธ์ทางสังคม</t>
  </si>
  <si>
    <t xml:space="preserve"> การชนวัวช่วยส่งเสริมการเสริมสร้างความสัมพันธ์ในชุมชน.</t>
  </si>
  <si>
    <t xml:space="preserve"> การชนวัวในสมัยกรุงศรีอยุธยาเกี่ยวข้องกับอะไรบ้าง?</t>
  </si>
  <si>
    <t>A) การฝึกทหาร; B) การทดสอบความแข็งแกร่งของสัตว์; C) การพัฒนาเศรษฐกิจ; D) การบันเทิงของชนชั้นสูง</t>
  </si>
  <si>
    <t>B) การทดสอบความแข็งแกร่งของสัตว์</t>
  </si>
  <si>
    <t xml:space="preserve"> การชนวัวเป็นกิจกรรมที่ใช้ทดสอบความแข็งแกร่งของสัตว์.</t>
  </si>
  <si>
    <t xml:space="preserve"> การชนวัวในสมัยกรุงศรีอยุธยาเกี่ยวข้องกับการเฉลิมฉลองเทศกาลใด?</t>
  </si>
  <si>
    <t>A) เทศกาลสงกรานต์; B) เทศกาลลอยกระทง; C) เทศกาลออกพรรษา; D) เทศกาลคริสต์มาส</t>
  </si>
  <si>
    <t xml:space="preserve"> การชนวัวมักจัดขึ้นในเทศกาลสงกรานต์เพื่อเฉลิมฉลอง.</t>
  </si>
  <si>
    <t>A) ขุนนางและพระมหากษัตริย์; B) ทหาร; C) ชาวบ้านทั่วไป; D) พ่อค้า</t>
  </si>
  <si>
    <t>A) ขุนนางและพระมหากษัตริย์</t>
  </si>
  <si>
    <t xml:space="preserve"> การชนวัวได้รับการสนับสนุนจากขุนนางและพระมหากษัตริย์ในสมัยนั้น.</t>
  </si>
  <si>
    <t xml:space="preserve"> การชนวัวในสมัยก่อนมีการจัดการแข่งขันในพื้นที่ใด?</t>
  </si>
  <si>
    <t>A) ลานวัด; B) พระราชวัง; C) สนามกีฬา; D) ลานบ้าน</t>
  </si>
  <si>
    <t>A) ลานวัด</t>
  </si>
  <si>
    <t xml:space="preserve"> การชนวัวมักจัดขึ้นในลานวัดหรือพื้นที่กลางแจ้ง.</t>
  </si>
  <si>
    <t xml:space="preserve"> ชนวัวในอดีตได้รับอิทธิพลจากวัฒนธรรมใด?</t>
  </si>
  <si>
    <t>A) วัฒนธรรมอินเดีย; B) วัฒนธรรมจีน; C) วัฒนธรรมทิเบต; D) วัฒนธรรมไทยพื้นบ้าน</t>
  </si>
  <si>
    <t>A) วัฒนธรรมอินเดีย</t>
  </si>
  <si>
    <t xml:space="preserve"> การชนวัวได้รับอิทธิพลจากวัฒนธรรมอินเดียในบางแง่มุม.</t>
  </si>
  <si>
    <t xml:space="preserve"> ในการแข่งขันชนวัวในสมัยก่อน การตัดสินผลการแข่งขันเป็นหน้าที่ของใคร?</t>
  </si>
  <si>
    <t>A) ขุนนาง; B) ชาวบ้าน; C) พระมหากษัตริย์; D) กรรมการที่ได้รับการแต่งตั้ง</t>
  </si>
  <si>
    <t xml:space="preserve"> กรรมการที่ได้รับการแต่งตั้งทำหน้าที่ตัดสินผลการแข่งขัน.</t>
  </si>
  <si>
    <t xml:space="preserve"> ชนวัวในสมัยกรุงศรีอยุธยามักจัดขึ้นในช่วงเวลาใดของปี?</t>
  </si>
  <si>
    <t>A) ในช่วงฤดูร้อน; B) ในช่วงฤดูฝน; C) ในช่วงเทศกาลสงกรานต์; D) ในช่วงฤดูหนาว</t>
  </si>
  <si>
    <t>C) ในช่วงเทศกาลสงกรานต์</t>
  </si>
  <si>
    <t xml:space="preserve"> ชนวัวมักจัดขึ้นในช่วงเทศกาลสงกรานต์เพื่อเป็นการเฉลิมฉลอง.</t>
  </si>
  <si>
    <t xml:space="preserve"> การชนวัวในสมัยก่อนมักมีการใช้วัวพันธุ์ใด?</t>
  </si>
  <si>
    <t>A) วัวพื้นเมืองไทย; B) วัวจากอินเดีย; C) วัวจากมาเลเซีย; D) วัวจากจีน</t>
  </si>
  <si>
    <t xml:space="preserve"> วัวที่ใช้ในการแข่งขันชนวัวส่วนใหญ่เป็นวัวพันธุ์พื้นเมืองของไทย.</t>
  </si>
  <si>
    <t xml:space="preserve"> การชนวัวในสมัยกรุงศรีอยุธยามีบทบาทในด้านใดของสังคม?</t>
  </si>
  <si>
    <t>A) การพัฒนาเกษตรกรรม; B) การเสริมสร้างความสัมพันธ์ในชุมชน; C) การส่งเสริมการค้า; D) การฝึกทหาร</t>
  </si>
  <si>
    <t>B) การเสริมสร้างความสัมพันธ์ในชุมชน</t>
  </si>
  <si>
    <t xml:space="preserve"> การชนวัวมีบทบาทในการเสริมสร้างความสัมพันธ์และการรวมกลุ่มในชุมชน.</t>
  </si>
  <si>
    <t xml:space="preserve"> ในการแข่งขันชนวัว วัวที่ใช้ในการแข่งขันมักมีลักษณะอย่างไร?</t>
  </si>
  <si>
    <t>A) ขนาดใหญ่และแข็งแรง; B) ฉลาดและเชื่อง; C) ขนหนา; D) มีสีสันสวยงาม</t>
  </si>
  <si>
    <t>A) ขนาดใหญ่และแข็งแรง</t>
  </si>
  <si>
    <t xml:space="preserve"> วัวที่ใช้ในการแข่งขันชนวัวมักมีขนาดใหญ่และแข็งแรงเพื่อการต่อสู้ที่ยาวนาน.</t>
  </si>
  <si>
    <t xml:space="preserve"> การชนวัวในอดีตช่วยให้เกิดอะไรในชุมชน?</t>
  </si>
  <si>
    <t>A) ความขัดแย้ง; B) ความมั่นคงทางการเมือง; C) ความสามัคคีในชุมชน; D) ความเข้าใจทางศาสนา</t>
  </si>
  <si>
    <t>C) ความสามัคคีในชุมชน</t>
  </si>
  <si>
    <t xml:space="preserve"> การชนวัวช่วยเสริมสร้างความสามัคคีและความสัมพันธ์ในชุมชน.</t>
  </si>
  <si>
    <t xml:space="preserve"> ชนวัวในสมัยกรุงศรีอยุธยาได้รับการถ่ายทอดความรู้จากใคร?</t>
  </si>
  <si>
    <t>A) พระมหากษัตริย์; B) ขุนนาง; C) ชาวบ้านที่มีประสบการณ์; D) นักฝึกสัตว์</t>
  </si>
  <si>
    <t>C) ชาวบ้านที่มีประสบการณ์</t>
  </si>
  <si>
    <t xml:space="preserve"> การฝึกวัวมักถ่ายทอดจากชาวบ้านที่มีประสบการณ์ในด้านนี้.</t>
  </si>
  <si>
    <t xml:space="preserve"> การชนวัวในสมัยกรุงศรีอยุธยามีการใช้วิธีการฝึกแบบใด?</t>
  </si>
  <si>
    <t>A) การฝึกอย่างเงียบๆ; B) การฝึกโดยการต่อสู้กับวัวอื่น; C) การฝึกในโรงเรียนการชนวัว; D) การฝึกโดยการใช้แรงงาน</t>
  </si>
  <si>
    <t>B) การฝึกโดยการต่อสู้กับวัวอื่น</t>
  </si>
  <si>
    <t xml:space="preserve"> วัวมักได้รับการฝึกด้วยการต่อสู้กับวัวตัวอื่นเพื่อทดสอบความสามารถ.</t>
  </si>
  <si>
    <t xml:space="preserve"> การชนวัวในสมัยกรุงศรีอยุธยาเป็นกิจกรรมที่นิยมในหมู่ชนชั้นใด?</t>
  </si>
  <si>
    <t>A) ขุนนาง; B) ชาวบ้าน; C) พระมหากษัตริย์; D) นักธุรกิจ</t>
  </si>
  <si>
    <t>B) ชาวบ้าน</t>
  </si>
  <si>
    <t xml:space="preserve"> การชนวัวเป็นกิจกรรมที่ได้รับความนิยมจากชาวบ้านและชุมชนทั่วไป.</t>
  </si>
  <si>
    <t xml:space="preserve"> การชนวัวในสมัยกรุงศรีอยุธยาเกี่ยวข้องกับประเพณีใดบ้าง?</t>
  </si>
  <si>
    <t>A) ประเพณีสงกรานต์; B) ประเพณีลอยกระทง; C) ประเพณีออกพรรษา; D) ประเพณีคริสต์มาส</t>
  </si>
  <si>
    <t>A) ประเพณีสงกรานต์</t>
  </si>
  <si>
    <t xml:space="preserve"> การชนวัวมักจัดขึ้นในประเพณีสงกรานต์เพื่อเฉลิมฉลอง.</t>
  </si>
  <si>
    <t xml:space="preserve"> การชนวัวในสมัยกรุงศรีอยุธยามีบทบาททางสังคมอย่างไร?</t>
  </si>
  <si>
    <t>A) เป็นการแสดงความกล้าหาญ; B) เป็นการทดสอบความสามารถของทหาร; C) เป็นกิจกรรมเพื่อเสริมสร้างความสนุกสนาน; D) เป็นกิจกรรมเพื่อสร้างความสัมพันธ์ในชุมชน</t>
  </si>
  <si>
    <t>D) เป็นกิจกรรมเพื่อสร้างความสัมพันธ์ในชุมชน</t>
  </si>
  <si>
    <t xml:space="preserve"> การชนวัวช่วยสร้างความสัมพันธ์ระหว่างสมาชิกในชุมชน.</t>
  </si>
  <si>
    <t xml:space="preserve"> การชนวัวในอดีตมีการพัฒนาหรือไม่?</t>
  </si>
  <si>
    <t>A) ไม่มีการพัฒนา; B) มีการพัฒนาโดยการเพิ่มรูปแบบการแข่งขัน; C) มีการพัฒนาโดยการใช้เทคโนโลยีใหม่; D) การพัฒนาไม่เกี่ยวข้อง</t>
  </si>
  <si>
    <t>B) มีการพัฒนาโดยการเพิ่มรูปแบบการแข่งขัน</t>
  </si>
  <si>
    <t xml:space="preserve"> การชนวัวมีการพัฒนาโดยเพิ่มรูปแบบต่างๆ ของการแข่งขัน.</t>
  </si>
  <si>
    <t xml:space="preserve"> ชนวัวในสมัยกรุงศรีอยุธยามีความสำคัญในด้านใด?</t>
  </si>
  <si>
    <t>A) การเสริมสร้างทักษะทางการเกษตร; B) การฝึกทหาร; C) การส่งเสริมเศรษฐกิจ; D) การเสริมสร้างความสัมพันธ์ทางสังคม</t>
  </si>
  <si>
    <t xml:space="preserve"> การชนวัวช่วยส่งเสริมความสัมพันธ์และการเชื่อมโยงในชุมชน.</t>
  </si>
  <si>
    <t xml:space="preserve"> การชนวัวในอดีตได้รับการยอมรับจากกลุ่มใดมากที่สุด?</t>
  </si>
  <si>
    <t>A) ขุนนาง; B) ชาวบ้าน; C) พระมหากษัตริย์; D) ทหาร</t>
  </si>
  <si>
    <t xml:space="preserve"> การชนวัวได้รับความนิยมในหมู่ชาวบ้านมากที่สุด.</t>
  </si>
  <si>
    <t xml:space="preserve"> การชนวัวในอดีตมีการจัดกิจกรรมอะไรเพิ่มเติม?</t>
  </si>
  <si>
    <t>A) การแข่งม้า; B) การแข่งไก่; C) การทดสอบกำลังของวัว; D) การฝึกทหาร</t>
  </si>
  <si>
    <t>C) การทดสอบกำลังของวัว</t>
  </si>
  <si>
    <t xml:space="preserve"> การชนวัวเป็นกิจกรรมที่ใช้ทดสอบกำลังของวัว.</t>
  </si>
  <si>
    <t xml:space="preserve"> การชนวัวในสมัยก่อนมีการเชื่อมโยงกับความเชื่อทางศาสนาอย่างไร?</t>
  </si>
  <si>
    <t>A) เป็นการบูชาเทพเจ้า; B) เป็นพิธีกรรมทางพุทธศาสนา; C) เป็นการถวายสัตว์แก่พระเจ้า; D) เป็นการขอฝน</t>
  </si>
  <si>
    <t>A) เป็นการบูชาเทพเจ้า</t>
  </si>
  <si>
    <t xml:space="preserve"> การชนวัวในสมัยก่อนบางครั้งถือเป็นการบูชาเทพเจ้าหรือเป็นการแสดงความเคารพต่อเทพเจ้าที่เกี่ยวข้องกับการเกษตร.</t>
  </si>
  <si>
    <t xml:space="preserve"> การชนวัวมีการพัฒนาในด้านใดบ้างในสมัยกรุงรัตนโกสินทร์?</t>
  </si>
  <si>
    <t>A) การใช้เทคโนโลยีในการฝึกสัตว์; B) การเพิ่มจำนวนการชนวัว; C) การจัดการแข่งขันอย่างเป็นทางการ; D) การนำวัวจากต่างประเทศมาแข่งขัน</t>
  </si>
  <si>
    <t>C) การจัดการแข่งขันอย่างเป็นทางการ</t>
  </si>
  <si>
    <t xml:space="preserve"> ในสมัยกรุงรัตนโกสินทร์ การชนวัวเริ่มมีการจัดการแข่งขันอย่างเป็นทางการ.</t>
  </si>
  <si>
    <t xml:space="preserve"> การชนวัวในประวัติศาสตร์ไทยมีความเกี่ยวข้องกับการแสดงออกทางวัฒนธรรมอย่างไร?</t>
  </si>
  <si>
    <t>A) เป็นการแสดงศักยภาพทางทหาร; B) เป็นการเฉลิมฉลองเทศกาลประจำปี; C) เป็นการแสดงศักยภาพทางการเกษตร; D) เป็นการฝึกอบรมชุมชน</t>
  </si>
  <si>
    <t>B) เป็นการเฉลิมฉลองเทศกาลประจำปี</t>
  </si>
  <si>
    <t xml:space="preserve"> การชนวัวเป็นกิจกรรมที่มักจัดขึ้นในช่วงเทศกาลเพื่อเสริมสร้างความสนุกสนานและความสัมพันธ์ในชุมชน.</t>
  </si>
  <si>
    <t xml:space="preserve"> การชนวัวมีความสำคัญต่อสังคมไทยในอดีตอย่างไร?</t>
  </si>
  <si>
    <t>A) เป็นการเสริมสร้างการพัฒนาเศรษฐกิจ; B) เป็นการฝึกฝนทหาร; C) เป็นการส่งเสริมความสามัคคีในชุมชน; D) เป็นการเตรียมตัวสำหรับสงคราม</t>
  </si>
  <si>
    <t>C) เป็นการส่งเสริมความสามัคคีในชุมชน</t>
  </si>
  <si>
    <t xml:space="preserve"> การชนวัวช่วยเสริมสร้างความสามัคคีและความสัมพันธ์ระหว่างคนในชุมชน.</t>
  </si>
  <si>
    <t xml:space="preserve"> การชนวัวได้รับการสนับสนุนจากใครในสมัยก่อน?</t>
  </si>
  <si>
    <t>A) พระมหากษัตริย์และขุนนาง; B) ชาวบ้าน; C) นักการเมือง; D) ทหาร</t>
  </si>
  <si>
    <t>A) พระมหากษัตริย์และขุนนาง</t>
  </si>
  <si>
    <t xml:space="preserve"> การชนวัวในสมัยก่อนได้รับการสนับสนุนจากพระมหากษัตริย์และขุนนาง.</t>
  </si>
  <si>
    <t xml:space="preserve"> ชนวัวในสมัยก่อนเกี่ยวข้องกับการทดสอบอะไรของวัว?</t>
  </si>
  <si>
    <t>A) ความสามารถในการทำงาน; B) ความเร็วในการวิ่ง; C) ความแข็งแกร่งและความทนทาน; D) ความสามารถในการเดิน</t>
  </si>
  <si>
    <t>C) ความแข็งแกร่งและความทนทาน</t>
  </si>
  <si>
    <t xml:space="preserve"> การชนวัวใช้ทดสอบความแข็งแกร่งและความทนทานของวัว.</t>
  </si>
  <si>
    <t xml:space="preserve"> ในการแข่งขันชนวัวในอดีต วัวที่ชนะจะได้รับรางวัลใด?</t>
  </si>
  <si>
    <t>A) เงินรางวัล; B) การเลี้ยงดูเป็นพิเศษ; C) การเป็นสัญลักษณ์ของความโชคดี; D) การได้รับการยอมรับจากชุมชน</t>
  </si>
  <si>
    <t>D) การได้รับการยอมรับจากชุมชน</t>
  </si>
  <si>
    <t xml:space="preserve"> วัวที่ชนะในการแข่งขันจะได้รับการยอมรับและเคารพจากชุมชน.</t>
  </si>
  <si>
    <t xml:space="preserve"> การชนวัวในอดีตมีความสำคัญในด้านการพัฒนาอะไร?</t>
  </si>
  <si>
    <t>A) การพัฒนาการเกษตร; B) การพัฒนาการทหาร; C) การพัฒนาความสัมพันธ์ในชุมชน; D) การพัฒนาการค้า</t>
  </si>
  <si>
    <t>C) การพัฒนาความสัมพันธ์ในชุมชน</t>
  </si>
  <si>
    <t xml:space="preserve"> การชนวัวมีบทบาทในการสร้างความสัมพันธ์ในชุมชน.</t>
  </si>
  <si>
    <t xml:space="preserve"> การชนวัวในสมัยกรุงศรีอยุธยามีการจัดการแข่งขันในช่วงเวลาใดของปี?</t>
  </si>
  <si>
    <t>A) ช่วงฤดูร้อน; B) ช่วงเทศกาลสงกรานต์; C) ช่วงเทศกาลลอยกระทง; D) ช่วงฤดูหนาว</t>
  </si>
  <si>
    <t>B) ช่วงเทศกาลสงกรานต์</t>
  </si>
  <si>
    <t xml:space="preserve"> การชนวัวมักจะจัดขึ้นในช่วงเทศกาลสงกรานต์เพื่อเป็นการเฉลิมฉลอง.</t>
  </si>
  <si>
    <t xml:space="preserve"> การชนวัวในสมัยกรุงศรีอยุธยามีความเกี่ยวข้องกับการทดสอบอะไรของผู้แข่งขัน?</t>
  </si>
  <si>
    <t>A) ความสามารถในการฝึกวัว; B) ความกล้าหาญ; C) ความแข็งแกร่งทางร่างกาย; D) ความสามารถในการตัดสิน</t>
  </si>
  <si>
    <t>C) ความแข็งแกร่งทางร่างกาย</t>
  </si>
  <si>
    <t xml:space="preserve"> ผู้แข่งขันจะต้องมีความแข็งแกร่งทางร่างกายเพื่อควบคุมและฝึกวัวในการแข่งขัน.</t>
  </si>
  <si>
    <t xml:space="preserve"> การชนวัวในสมัยก่อนถูกมองว่าเป็นกิจกรรมสำหรับใคร?</t>
  </si>
  <si>
    <t>A) ขุนนางและชนชั้นสูง; B) ชาวบ้านและเกษตรกร; C) ทหารและนักรบ; D) นักการเมือง</t>
  </si>
  <si>
    <t>B) ชาวบ้านและเกษตรกร</t>
  </si>
  <si>
    <t xml:space="preserve"> การชนวัวเป็นกิจกรรมที่ได้รับความนิยมจากชาวบ้านและเกษตรกร.</t>
  </si>
  <si>
    <t xml:space="preserve"> การชนวัวในอดีตมีการพัฒนาอย่างไรในด้านการแข่งขัน?</t>
  </si>
  <si>
    <t>A) การเพิ่มจำนวนวัวในการแข่งขัน; B) การสร้างกฎการแข่งขันที่ชัดเจน; C) การใช้เทคโนโลยีในการฝึกวัว; D) การจัดการแข่งขันระหว่างประเทศ</t>
  </si>
  <si>
    <t>B) การสร้างกฎการแข่งขันที่ชัดเจน</t>
  </si>
  <si>
    <t xml:space="preserve"> การชนวัวในอดีตมีการพัฒนาในด้านการสร้างกฎการแข่งขันที่ชัดเจนเพื่อความยุติธรรม.</t>
  </si>
  <si>
    <t xml:space="preserve"> การชนวัวในสมัยก่อนมีการเชื่อมโยงกับการฝึกทหารหรือไม่?</t>
  </si>
  <si>
    <t>A) ใช่, การฝึกทหารในอดีตมีการใช้วัว; B) ไม่, การชนวัวไม่มีความเกี่ยวข้องกับการทหาร; C) ใช่, แต่น้อยมาก; D) ไม่แน่ใจ</t>
  </si>
  <si>
    <t xml:space="preserve"> การฝึกทหารในอดีตมีการใช้วัว</t>
  </si>
  <si>
    <t xml:space="preserve"> การฝึกทหารบางครั้งใช้การชนวัวเพื่อทดสอบความแข็งแกร่งและการควบคุมสัตว์.</t>
  </si>
  <si>
    <t xml:space="preserve"> วัวที่ใช้ในการชนวัวในอดีตมักมีลักษณะอย่างไร?</t>
  </si>
  <si>
    <t>A) มีขนาดใหญ่และแข็งแรง; B) มีขนหนา; C) ตัวเล็กแต่แข็งแกร่ง; D) ตัวใหญ่และเชื่อง</t>
  </si>
  <si>
    <t>A) มีขนาดใหญ่และแข็งแรง</t>
  </si>
  <si>
    <t xml:space="preserve"> วัวที่ใช้ในการชนวัวมักมีขนาดใหญ่และแข็งแรงเพื่อการต่อสู้ที่ยาวนาน.</t>
  </si>
  <si>
    <t xml:space="preserve"> การชนวัวในสมัยกรุงศรีอยุธยามีการจัดขึ้นที่ไหน?</t>
  </si>
  <si>
    <t>A) ที่สนามกีฬา; B) ในวัดและลานกลางแจ้ง; C) ในพระราชวัง; D) ที่ตลาด</t>
  </si>
  <si>
    <t>B) ในวัดและลานกลางแจ้ง</t>
  </si>
  <si>
    <t xml:space="preserve"> การชนวัวมักจัดขึ้นที่ลานกลางแจ้งหรือบริเวณวัด.</t>
  </si>
  <si>
    <t xml:space="preserve"> การชนวัวในสมัยก่อนเกี่ยวข้องกับความเชื่ออะไรในด้านการเกษตร?</t>
  </si>
  <si>
    <t>A) การขอฝนและการอวยพรให้ได้ผลผลิตที่ดี; B) การบูชาพระเจ้า; C) การขอโชคลาภในการทำการค้า; D) การขอให้ชนะในสงคราม</t>
  </si>
  <si>
    <t>A) การขอฝนและการอวยพรให้ได้ผลผลิตที่ดี</t>
  </si>
  <si>
    <t xml:space="preserve"> การชนวัวในบางกรณีถือเป็นพิธีกรรมขอฝนและอวยพรให้ได้ผลผลิตที่ดีในการเกษตร.</t>
  </si>
  <si>
    <t xml:space="preserve"> การชนวัวในสมัยกรุงศรีอยุธยามีบทบาทในด้านใด?</t>
  </si>
  <si>
    <t>A) การทดสอบความสามารถทางการเกษตร; B) การฝึกทหาร; C) การสร้างความสัมพันธ์ในชุมชน; D) การสร้างความสนุกสนานในสังคม</t>
  </si>
  <si>
    <t>C) การสร้างความสัมพันธ์ในชุมชน</t>
  </si>
  <si>
    <t xml:space="preserve"> การชนวัวมักจะช่วยสร้างความสัมพันธ์ที่ดีในชุมชน.</t>
  </si>
  <si>
    <t xml:space="preserve"> การชนวัวในอดีตมีบทบาทในประเพณีใดของไทย?</t>
  </si>
  <si>
    <t>A) ประเพณีสงกรานต์; B) ประเพณีลอยกระทง; C) ประเพณีเข้าพรรษา; D) ประเพณีอาสาฬหบูชา</t>
  </si>
  <si>
    <t xml:space="preserve"> การชนวัวมักมีการจัดขึ้นในประเพณีสงกรานต์เพื่อเฉลิมฉลอง.</t>
  </si>
  <si>
    <t xml:space="preserve"> การชนวัวในสมัยกรุงศรีอยุธยามีผลกระทบอย่างไรต่อสังคมไทย?</t>
  </si>
  <si>
    <t>A) ช่วยพัฒนาการเกษตร; B) ช่วยเสริมสร้างความสัมพันธ์ทางสังคม; C) ช่วยพัฒนาการทหาร; D) ช่วยพัฒนาการค้าขาย</t>
  </si>
  <si>
    <t>B) ช่วยเสริมสร้างความสัมพันธ์ทางสังคม</t>
  </si>
  <si>
    <t xml:space="preserve"> การชนวัวช่วยเสริมสร้างความสัมพันธ์ทางสังคมในชุมชน.</t>
  </si>
  <si>
    <t xml:space="preserve"> การชนวัวในสมัยกรุงศรีอยุธยามีการจัดการแข่งขันอย่างไร?</t>
  </si>
  <si>
    <t>A) การแข่งขันที่ไม่มีการกำหนดกฎเกณฑ์; B) การแข่งขันมีการกำหนดกฎเกณฑ์อย่างชัดเจน; C) การแข่งขันแบบการทดสอบความกล้าหาญ; D) การแข่งขันแบบสบายๆ</t>
  </si>
  <si>
    <t>B) การแข่งขันมีการกำหนดกฎเกณฑ์อย่างชัดเจน</t>
  </si>
  <si>
    <t xml:space="preserve"> การชนวัวในสมัยกรุงศรีอยุธยามีกฎเกณฑ์ในการแข่งขันที่ชัดเจนเพื่อความยุติธรรม.</t>
  </si>
  <si>
    <t>Chon Wua</t>
  </si>
  <si>
    <t>Label</t>
  </si>
  <si>
    <t>Question-R</t>
  </si>
  <si>
    <t>Options-R</t>
  </si>
  <si>
    <t>Answer-R</t>
  </si>
  <si>
    <t>Description-R</t>
  </si>
  <si>
    <t>การแข่งขันชนวัวในสมัยกรุงศรีอยุธยาช่วยเสริมสร้างความสัมพันธ์ในหมู่บ้านและชุมชน.</t>
  </si>
  <si>
    <t>ในสมัยกรุงศรีอยุธยา ชนวัวมักถูกใช้ในกิจกรรมใด?</t>
  </si>
  <si>
    <t>ชนวัวมักถูกใช้เป็นกิจกรรมในงานฉลองของชุมชน.</t>
  </si>
  <si>
    <t>การแข่งขันชนวัวในสมัยกรุงศรีอยุธยามีการกำหนดผู้ชนะได้อย่างไร?</t>
  </si>
  <si>
    <t>การตัดสินการแข่งขันขึ้นอยู่กับการที่วัวคู่แข่งยอมแพ้.</t>
  </si>
  <si>
    <t>ชนวัวในสมัยก่อนมักได้รับการสนับสนุนจากกลุ่มใดในสังคมไทย?</t>
  </si>
  <si>
    <t>พระมหากษัตริย์ในสมัยกรุงศรีอยุธยามักให้การสนับสนุนการแข่งขันชนวัว.</t>
  </si>
  <si>
    <t>การแข่งขันชนวัวในอดีตมีความสำคัญทางด้านใด?</t>
  </si>
  <si>
    <t>การชนวัวในอดีตเป็นส่วนหนึ่งของการเสริมสร้างความสัมพันธ์ในหมู่บ้านและชุมชน.</t>
  </si>
  <si>
    <t>การชนวัวในสมัยก่อนถูกจัดในวันสำคัญของไทย เช่น วันอะไร?</t>
  </si>
  <si>
    <t>การชนวัวมักจัดในวันสงกรานต์เป็นกิจกรรมเฉลิมฉลอง.</t>
  </si>
  <si>
    <t>ชนวัวในสมัยกรุงรัตนโกสินทร์ได้รับความนิยมในระดับใด?</t>
  </si>
  <si>
    <t>ชนวัวได้รับความนิยมในทุกจังหวัดทั่วประเทศไทยในสมัยกรุงรัตนโกสินทร์.</t>
  </si>
  <si>
    <t>ชนวัวได้รับการยอมรับจากชุมชนในสมัยกรุงรัตนโกสินทร์มากน้อยแค่ไหน?</t>
  </si>
  <si>
    <t>ชนวัวได้รับการยอมรับและสนับสนุนจากชุมชนในสมัยกรุงรัตนโกสินทร์.</t>
  </si>
  <si>
    <t>ชนวัวในสมัยกรุงรัตนโกสินทร์มีการจัดการอย่างไร?</t>
  </si>
  <si>
    <t>การจัดการการแข่งขันชนวัวในสมัยกรุงรัตนโกสินทร์มักทำโดยชุมชนท้องถิ่น.</t>
  </si>
  <si>
    <t>การชนวัวในสมัยก่อนมีการกำหนดกฎเกณฑ์ในการแข่งขันไหม?</t>
  </si>
  <si>
    <t>การชนวัวในสมัยก่อนมีกฎเกณฑ์ที่ชัดเจนในการแข่งขัน.</t>
  </si>
  <si>
    <t>วัวที่ใช้ในการแข่งขันชนวัวในสมัยก่อนมักมาจากไหน?</t>
  </si>
  <si>
    <t>วัวที่ใช้ในการแข่งขันมักมาจากฟาร์มของชาวบ้านในพื้นที่.</t>
  </si>
  <si>
    <t>การชนวัวในสมัยก่อนมีผลต่อสังคมไทยอย่างไร?</t>
  </si>
  <si>
    <t>การชนวัวช่วยเสริมสร้างความสัมพันธ์และความสามัคคีในหมู่ชุมชน.</t>
  </si>
  <si>
    <t>ชนวัวในสมัยกรุงศรีอยุธยามักจัดขึ้นในวันใด?</t>
  </si>
  <si>
    <t>ชนวัวมักจัดในวันอาทิตย์เป็นวันที่สะดวกสำหรับชุมชน.</t>
  </si>
  <si>
    <t>การแข่งขันชนวัวในสมัยก่อนมีผลกระทบทางการเมืองหรือไม่?</t>
  </si>
  <si>
    <t>การแข่งขันชนวัวในบางครั้งมีผลกระทบต่อการเมืองในสมัยกรุงศรีอยุธยา.</t>
  </si>
  <si>
    <t>ชนวัวในสมัยก่อนมีการสืบทอดจากรุ่นสู่รุ่นไหม?</t>
  </si>
  <si>
    <t>การแข่งขันชนวัวมักได้รับการสืบทอดจากรุ่นสู่รุ่นในชุมชน.</t>
  </si>
  <si>
    <t>ชนวัวในสมัยก่อนมักจัดเป็นกิจกรรมภายในหมู่บ้านหรือไม่?</t>
  </si>
  <si>
    <t>ชนวัวมักจัดเป็นกิจกรรมภายในหมู่บ้านหรือในพื้นที่ที่ใกล้เคียง.</t>
  </si>
  <si>
    <t>การแข่งขันชนวัวมีการเข้าร่วมจากชนชั้นไหนในสังคม?</t>
  </si>
  <si>
    <t>การแข่งขันชนวัวในสมัยกรุงศรีอยุธยามีการเข้าร่วมจากขุนนางและชาวบ้าน.</t>
  </si>
  <si>
    <t>การชนวัวในสมัยกรุงศรีอยุธยามักเป็นส่วนหนึ่งของอะไร?</t>
  </si>
  <si>
    <t>การชนวัวมักเป็นส่วนหนึ่งของการเฉลิมฉลองทางศาสนา.</t>
  </si>
  <si>
    <t>ชนวัวในสมัยก่อนได้รับความนิยมในกลุ่มไหนมากที่สุด?</t>
  </si>
  <si>
    <t>ชาวบ้านในพื้นที่ชนบทมักเป็นกลุ่มที่สนใจและเข้าร่วมการแข่งขันชนวัว.</t>
  </si>
  <si>
    <t>ชนวัวถูกใช้ในการทดสอบอะไร?</t>
  </si>
  <si>
    <t>การชนวัวถูกใช้ในการทดสอบความสามารถในการต่อสู้ของวัว.</t>
  </si>
  <si>
    <t>ชนวัวในสมัยกรุงศรีอยุธยามีการจัดการแข่งขันที่ไหนบ้าง?</t>
  </si>
  <si>
    <t>การแข่งขันชนวัวมักจัดขึ้นในหมู่บ้านหรือในชุมชนท้องถิ่น.</t>
  </si>
  <si>
    <t>การชนวัวในอดีตมีบทบาทในด้านใดของสังคมไทย?</t>
  </si>
  <si>
    <t>การชนวัวช่วยเสริมสร้างความสัมพันธ์ในหมู่บ้านและชุมชน.</t>
  </si>
  <si>
    <t>ในสมัยกรุงศรีอยุธยา วัวที่ใช้ในการแข่งขันมักมีลักษณะใด?</t>
  </si>
  <si>
    <t>วัวที่ใช้ในการแข่งขันชนวัวมักจะต้องมีความแข็งแรงและดุร้าย.</t>
  </si>
  <si>
    <t>การฝึกวัวสำหรับการแข่งขันชนวัวในสมัยก่อนทำอย่างไร?</t>
  </si>
  <si>
    <t>การฝึกวัวมักทำในสวนหรือที่โล่งเพื่อให้วัวได้เคลื่อนไหวและมีพื้นที่ในการฝึก.</t>
  </si>
  <si>
    <t>การชนวัวในสมัยกรุงศรีอยุธยามีความสัมพันธ์กับกิจกรรมอื่นๆ หรือไม่?</t>
  </si>
  <si>
    <t>การชนวัวมักเป็นส่วนหนึ่งของกิจกรรมทางศาสนาและพิธีกรรม.</t>
  </si>
  <si>
    <t>ชนวัวในสมัยกรุงรัตนโกสินทร์ได้รับความนิยมจากกลุ่มใดในสังคมไทยมากที่สุด?</t>
  </si>
  <si>
    <t>ชนวัวได้รับความนิยมจากขุนนางและพระมหากษัตริย์ในสมัยกรุงรัตนโกสินทร์.</t>
  </si>
  <si>
    <t>การแข่งขันชนวัวในสมัยกรุงศรีอยุธยามักมีการตัดสินผู้ชนะอย่างไร?</t>
  </si>
  <si>
    <t>ผู้ชนะในการแข่งขันชนวัวจะถูกตัดสินจากการประลองระหว่างวัว.</t>
  </si>
  <si>
    <t>การชนวัวในสมัยก่อนเป็นส่วนหนึ่งของการฉลองเทศกาลใด?</t>
  </si>
  <si>
    <t>การชนวัวมักจัดขึ้นในเทศกาลสงกรานต์เป็นส่วนหนึ่งของการเฉลิมฉลอง.</t>
  </si>
  <si>
    <t>ชนวัวในสมัยกรุงรัตนโกสินทร์มีการเปลี่ยนแปลงอย่างไรเมื่อเทียบกับสมัยกรุงศรีอยุธยา?</t>
  </si>
  <si>
    <t>การแข่งขันชนวัวในสมัยกรุงรัตนโกสินทร์ได้รับความนิยมในกลุ่มชนชั้นสูงมากขึ้น.</t>
  </si>
  <si>
    <t>ชนวัวในสมัยกรุงศรีอยุธยามีการถ่ายทอดความรู้จากรุ่นสู่รุ่นหรือไม่?</t>
  </si>
  <si>
    <t>การฝึกฝนและการแข่งขันชนวัวมักถูกถ่ายทอดจากรุ่นสู่รุ่นในชุมชน.</t>
  </si>
  <si>
    <t>การชนวัวในอดีตมักจัดให้มีการแข่งขันในช่วงเวลาใดของปี?</t>
  </si>
  <si>
    <t>การชนวัวมักจัดในช่วงเทศกาลสำคัญเช่น สงกรานต์.</t>
  </si>
  <si>
    <t>ชนวัวในสมัยกรุงศรีอยุธยาได้รับการสนับสนุนจากใครบ้าง?</t>
  </si>
  <si>
    <t>วัวที่ใช้ในการแข่งขันชนวัวในสมัยกรุงศรีอยุธยามีต้นกำเนิดจากที่ไหน?</t>
  </si>
  <si>
    <t>วัวที่ใช้ในการแข่งขันชนวัวมักเป็นวัวพื้นเมืองของไทย.</t>
  </si>
  <si>
    <t>การชนวัวในสมัยกรุงศรีอยุธยามีความเกี่ยวข้องกับการทหารหรือไม่?</t>
  </si>
  <si>
    <t>การชนวัวบางครั้งใช้เป็นการทดสอบความแข็งแกร่ง.</t>
  </si>
  <si>
    <t>ชนวัวในสมัยก่อนเป็นกิจกรรมที่นิยมในกลุ่มใดของสังคม?</t>
  </si>
  <si>
    <t>ชนวัวในสมัยก่อนมักเป็นกิจกรรมที่นิยมในหมู่ชาวบ้าน.</t>
  </si>
  <si>
    <t>ในสมัยกรุงศรีอยุธยา วัวที่ใช้ในการชนต้องมีลักษณะอย่างไร?</t>
  </si>
  <si>
    <t>วัวที่ใช้ในการชนต้องมีลักษณะดุร้ายและพร้อมที่จะต่อสู้.</t>
  </si>
  <si>
    <t>การชนวัวในสมัยกรุงศรีอยุธยามักจัดในสถานที่ใด?</t>
  </si>
  <si>
    <t>การชนวัวมักจัดในพื้นที่โล่งหรือในสนามที่กว้าง.</t>
  </si>
  <si>
    <t>การชนวัวในสมัยกรุงศรีอยุธยาและกรุงรัตนโกสินทร์มีความแตกต่างกันอย่างไร?</t>
  </si>
  <si>
    <t>การชนวัวในสมัยกรุงรัตนโกสินทร์มีการฝึกฝนที่มีความซับซ้อนมากขึ้น.</t>
  </si>
  <si>
    <t>ชนวัวในสมัยก่อนมีบทบาทในด้านการสร้างความสัมพันธ์ในชุมชนหรือไม่?</t>
  </si>
  <si>
    <t>การชนวัวช่วยเสริมสร้างความสัมพันธ์ในชุมชนและหมู่บ้าน.</t>
  </si>
  <si>
    <t>การชนวัวในสมัยก่อนมีความเกี่ยวข้องกับการฝึกทหารหรือไม่?</t>
  </si>
  <si>
    <t>การชนวัวบางครั้งมีความเกี่ยวข้องกับการฝึกทหารในอดีต.</t>
  </si>
  <si>
    <t>ชนวัวในสมัยกรุงศรีอยุธยามีการใช้วัวพันธุ์อะไรในการแข่งขัน?</t>
  </si>
  <si>
    <t>วัวที่ใช้ในการชนวัวส่วนใหญ่เป็นวัวพื้นเมืองของไทย.</t>
  </si>
  <si>
    <t>การชนวัวในสมัยก่อนมีการใช้เครื่องมือหรืออุปกรณ์ใดในการฝึกหรือแข่งขัน?</t>
  </si>
  <si>
    <t>การฝึกวัวมักใช้สายรัดคอเพื่อควบคุมวัว.</t>
  </si>
  <si>
    <t>ชนวัวในอดีตมีความเกี่ยวข้องกับการแสดงความกล้าหาญของใคร?</t>
  </si>
  <si>
    <t>การชนวัวบางครั้งเกี่ยวข้องกับการแสดงความกล้าหาญของพระมหากษัตริย์.</t>
  </si>
  <si>
    <t>การชนวัวในสมัยกรุงศรีอยุธยามักเกิดขึ้นในช่วงเทศกาลไหน?</t>
  </si>
  <si>
    <t>การชนวัวมักจัดขึ้นในช่วงเทศกาลสงกรานต์เพื่อเฉลิมฉลอง.</t>
  </si>
  <si>
    <t>ในการชนวัวในอดีต ใครเป็นผู้ตัดสินการแข่งขัน?</t>
  </si>
  <si>
    <t>กรรมการที่ได้รับการแต่งตั้งมักทำหน้าที่ตัดสินผลการแข่งขัน.</t>
  </si>
  <si>
    <t>ชนวัวในอดีตมีความเกี่ยวข้องกับพิธีกรรมทางศาสนาหรือไม่?</t>
  </si>
  <si>
    <t>เป็นส่วนหนึ่งของพิธีกรรม</t>
  </si>
  <si>
    <t>การชนวัวมักจะเป็นส่วนหนึ่งของการเฉลิมฉลองทางศาสนา.</t>
  </si>
  <si>
    <t>การชนวัวในสมัยก่อนเป็นการฝึกความสามารถอะไรของวัว?</t>
  </si>
  <si>
    <t>วัวที่ใช้ในการแข่งขันมักมีความดุร้ายและพร้อมต่อสู้.</t>
  </si>
  <si>
    <t>การชนวัวในสมัยกรุงศรีอยุธยาได้รับการสนับสนุนจากกลุ่มใดในสังคม?</t>
  </si>
  <si>
    <t>ชนวัวได้รับการสนับสนุนจากขุนนางและพระมหากษัตริย์ในสมัยกรุงศรีอยุธยา.</t>
  </si>
  <si>
    <t>ชนวัวในสมัยก่อนมีผลกระทบต่อวัฒนธรรมไทยอย่างไร?</t>
  </si>
  <si>
    <t>การชนวัวช่วยเสริมสร้างความสัมพันธ์ระหว่างสมาชิกในชุมชน.</t>
  </si>
  <si>
    <t>ชนวัวในอดีตมีการใช้วัวประเภทใดบ้าง?</t>
  </si>
  <si>
    <t>วัวเพศผู้มักถูกใช้ในการแข่งขันชนวัว.</t>
  </si>
  <si>
    <t>ชนวัวในสมัยก่อนมีความแตกต่างจากกีฬาชนิดอื่นอย่างไร?</t>
  </si>
  <si>
    <t>การชนวัวมักจะเน้นการทดสอบความแข็งแกร่งของวัว.</t>
  </si>
  <si>
    <t>ชนวัวในสมัยกรุงศรีอยุธยามักจัดที่ใด?</t>
  </si>
  <si>
    <t>การชนวัวมักจัดขึ้นในลานวัดหรือพื้นที่เปิดกว้างในหมู่บ้าน.</t>
  </si>
  <si>
    <t>การชนวัวในสมัยกรุงศรีอยุธยาเป็นกิจกรรมที่นิยมในหมู่ใคร?</t>
  </si>
  <si>
    <t>การชนวัวได้รับความนิยมในหมู่ชาวบ้านและชุมชนต่างๆ.</t>
  </si>
  <si>
    <t>ชนวัวในสมัยกรุงศรีอยุธยาได้รับอิทธิพลจากวัฒนธรรมใด?</t>
  </si>
  <si>
    <t>การชนวัวในบางแง่มุมได้รับอิทธิพลจากวัฒนธรรมอินเดีย.</t>
  </si>
  <si>
    <t>ในการแข่งขันชนวัวสมัยก่อน มีการจัดการแข่งขันในรูปแบบใดบ้าง?</t>
  </si>
  <si>
    <t>การแข่งขันชนวัวมักจัดในรูปแบบการแข่งขันแบบรายบุคคลหรือคู่.</t>
  </si>
  <si>
    <t>วัวที่ใช้ในการชนวัวในสมัยกรุงศรีอยุธยาต้องมีลักษณะอย่างไร?</t>
  </si>
  <si>
    <t>วัวที่ใช้ในการชนวัวต้องมีขนาดใหญ่และแข็งแรงเพื่อรับมือกับการแข่งขัน.</t>
  </si>
  <si>
    <t>ชนวัวในสมัยก่อนถือเป็นกิจกรรมที่มีประโยชน์ในด้านใดบ้าง?</t>
  </si>
  <si>
    <t>การชนวัวใช้เป็นการทดสอบความแข็งแกร่งของวัว.</t>
  </si>
  <si>
    <t>การชนวัวในสมัยก่อนมีการถ่ายทอดความรู้ผ่านใคร?</t>
  </si>
  <si>
    <t>การฝึกฝนและการถ่ายทอดความรู้เกี่ยวกับการชนวัวมักผ่านนักฝึกสัตว์.</t>
  </si>
  <si>
    <t>ชนวัวในอดีตเป็นกิจกรรมที่มีส่วนช่วยในการสร้างความเป็นอันหนึ่งอันเดียวในชุมชนหรือไม่?</t>
  </si>
  <si>
    <t>ช่วยสร้างความสัมพันธ์ในชุมชน</t>
  </si>
  <si>
    <t>การชนวัวช่วยเสริมสร้างความเป็นอันหนึ่งอันเดียวในชุมชน.</t>
  </si>
  <si>
    <t>การชนวัวในอดีตช่วยส่งเสริมคุณค่าในด้านใด?</t>
  </si>
  <si>
    <t>การชนวัวช่วยส่งเสริมการเสริมสร้างความสัมพันธ์ในชุมชน.</t>
  </si>
  <si>
    <t>การชนวัวในสมัยกรุงศรีอยุธยาเกี่ยวข้องกับอะไรบ้าง?</t>
  </si>
  <si>
    <t>การชนวัวเป็นกิจกรรมที่ใช้ทดสอบความแข็งแกร่งของสัตว์.</t>
  </si>
  <si>
    <t>การชนวัวในสมัยกรุงศรีอยุธยาเกี่ยวข้องกับการเฉลิมฉลองเทศกาลใด?</t>
  </si>
  <si>
    <t>การชนวัวมักจัดขึ้นในเทศกาลสงกรานต์เพื่อเฉลิมฉลอง.</t>
  </si>
  <si>
    <t>การชนวัวได้รับการสนับสนุนจากขุนนางและพระมหากษัตริย์ในสมัยนั้น.</t>
  </si>
  <si>
    <t>การชนวัวในสมัยก่อนมีการจัดการแข่งขันในพื้นที่ใด?</t>
  </si>
  <si>
    <t>การชนวัวมักจัดขึ้นในลานวัดหรือพื้นที่กลางแจ้ง.</t>
  </si>
  <si>
    <t>ชนวัวในอดีตได้รับอิทธิพลจากวัฒนธรรมใด?</t>
  </si>
  <si>
    <t>การชนวัวได้รับอิทธิพลจากวัฒนธรรมอินเดียในบางแง่มุม.</t>
  </si>
  <si>
    <t>ในการแข่งขันชนวัวในสมัยก่อน การตัดสินผลการแข่งขันเป็นหน้าที่ของใคร?</t>
  </si>
  <si>
    <t>กรรมการที่ได้รับการแต่งตั้งทำหน้าที่ตัดสินผลการแข่งขัน.</t>
  </si>
  <si>
    <t>ชนวัวในสมัยกรุงศรีอยุธยามักจัดขึ้นในช่วงเวลาใดของปี?</t>
  </si>
  <si>
    <t>ชนวัวมักจัดขึ้นในช่วงเทศกาลสงกรานต์เพื่อเป็นการเฉลิมฉลอง.</t>
  </si>
  <si>
    <t>การชนวัวในสมัยก่อนมักมีการใช้วัวพันธุ์ใด?</t>
  </si>
  <si>
    <t>วัวที่ใช้ในการแข่งขันชนวัวส่วนใหญ่เป็นวัวพันธุ์พื้นเมืองของไทย.</t>
  </si>
  <si>
    <t>การชนวัวในสมัยกรุงศรีอยุธยามีบทบาทในด้านใดของสังคม?</t>
  </si>
  <si>
    <t>การชนวัวมีบทบาทในการเสริมสร้างความสัมพันธ์และการรวมกลุ่มในชุมชน.</t>
  </si>
  <si>
    <t>ในการแข่งขันชนวัว วัวที่ใช้ในการแข่งขันมักมีลักษณะอย่างไร?</t>
  </si>
  <si>
    <t>วัวที่ใช้ในการแข่งขันชนวัวมักมีขนาดใหญ่และแข็งแรงเพื่อการต่อสู้ที่ยาวนาน.</t>
  </si>
  <si>
    <t>การชนวัวในอดีตช่วยให้เกิดอะไรในชุมชน?</t>
  </si>
  <si>
    <t>การชนวัวช่วยเสริมสร้างความสามัคคีและความสัมพันธ์ในชุมชน.</t>
  </si>
  <si>
    <t>ชนวัวในสมัยกรุงศรีอยุธยาได้รับการถ่ายทอดความรู้จากใคร?</t>
  </si>
  <si>
    <t>การฝึกวัวมักถ่ายทอดจากชาวบ้านที่มีประสบการณ์ในด้านนี้.</t>
  </si>
  <si>
    <t>การชนวัวในสมัยกรุงศรีอยุธยามีการใช้วิธีการฝึกแบบใด?</t>
  </si>
  <si>
    <t>วัวมักได้รับการฝึกด้วยการต่อสู้กับวัวตัวอื่นเพื่อทดสอบความสามารถ.</t>
  </si>
  <si>
    <t>การชนวัวในสมัยกรุงศรีอยุธยาเป็นกิจกรรมที่นิยมในหมู่ชนชั้นใด?</t>
  </si>
  <si>
    <t>การชนวัวเป็นกิจกรรมที่ได้รับความนิยมจากชาวบ้านและชุมชนทั่วไป.</t>
  </si>
  <si>
    <t>การชนวัวในสมัยกรุงศรีอยุธยาเกี่ยวข้องกับประเพณีใดบ้าง?</t>
  </si>
  <si>
    <t>การชนวัวมักจัดขึ้นในประเพณีสงกรานต์เพื่อเฉลิมฉลอง.</t>
  </si>
  <si>
    <t>การชนวัวในสมัยกรุงศรีอยุธยามีบทบาททางสังคมอย่างไร?</t>
  </si>
  <si>
    <t>การชนวัวช่วยสร้างความสัมพันธ์ระหว่างสมาชิกในชุมชน.</t>
  </si>
  <si>
    <t>การชนวัวในอดีตมีการพัฒนาหรือไม่?</t>
  </si>
  <si>
    <t>การชนวัวมีการพัฒนาโดยเพิ่มรูปแบบต่างๆ ของการแข่งขัน.</t>
  </si>
  <si>
    <t>ชนวัวในสมัยกรุงศรีอยุธยามีความสำคัญในด้านใด?</t>
  </si>
  <si>
    <t>การชนวัวช่วยส่งเสริมความสัมพันธ์และการเชื่อมโยงในชุมชน.</t>
  </si>
  <si>
    <t>การชนวัวในอดีตได้รับการยอมรับจากกลุ่มใดมากที่สุด?</t>
  </si>
  <si>
    <t>การชนวัวได้รับความนิยมในหมู่ชาวบ้านมากที่สุด.</t>
  </si>
  <si>
    <t>การชนวัวในอดีตมีการจัดกิจกรรมอะไรเพิ่มเติม?</t>
  </si>
  <si>
    <t>การชนวัวเป็นกิจกรรมที่ใช้ทดสอบกำลังของวัว.</t>
  </si>
  <si>
    <t>การชนวัวในสมัยก่อนมีการเชื่อมโยงกับความเชื่อทางศาสนาอย่างไร?</t>
  </si>
  <si>
    <t>การชนวัวในสมัยก่อนบางครั้งถือเป็นการบูชาเทพเจ้าหรือเป็นการแสดงความเคารพต่อเทพเจ้าที่เกี่ยวข้องกับการเกษตร.</t>
  </si>
  <si>
    <t>การชนวัวมีการพัฒนาในด้านใดบ้างในสมัยกรุงรัตนโกสินทร์?</t>
  </si>
  <si>
    <t>ในสมัยกรุงรัตนโกสินทร์ การชนวัวเริ่มมีการจัดการแข่งขันอย่างเป็นทางการ.</t>
  </si>
  <si>
    <t>การชนวัวในประวัติศาสตร์ไทยมีความเกี่ยวข้องกับการแสดงออกทางวัฒนธรรมอย่างไร?</t>
  </si>
  <si>
    <t>การชนวัวเป็นกิจกรรมที่มักจัดขึ้นในช่วงเทศกาลเพื่อเสริมสร้างความสนุกสนานและความสัมพันธ์ในชุมชน.</t>
  </si>
  <si>
    <t>การชนวัวมีความสำคัญต่อสังคมไทยในอดีตอย่างไร?</t>
  </si>
  <si>
    <t>การชนวัวช่วยเสริมสร้างความสามัคคีและความสัมพันธ์ระหว่างคนในชุมชน.</t>
  </si>
  <si>
    <t>การชนวัวได้รับการสนับสนุนจากใครในสมัยก่อน?</t>
  </si>
  <si>
    <t>การชนวัวในสมัยก่อนได้รับการสนับสนุนจากพระมหากษัตริย์และขุนนาง.</t>
  </si>
  <si>
    <t>ชนวัวในสมัยก่อนเกี่ยวข้องกับการทดสอบอะไรของวัว?</t>
  </si>
  <si>
    <t>การชนวัวใช้ทดสอบความแข็งแกร่งและความทนทานของวัว.</t>
  </si>
  <si>
    <t>ในการแข่งขันชนวัวในอดีต วัวที่ชนะจะได้รับรางวัลใด?</t>
  </si>
  <si>
    <t>วัวที่ชนะในการแข่งขันจะได้รับการยอมรับและเคารพจากชุมชน.</t>
  </si>
  <si>
    <t>การชนวัวในอดีตมีความสำคัญในด้านการพัฒนาอะไร?</t>
  </si>
  <si>
    <t>การชนวัวมีบทบาทในการสร้างความสัมพันธ์ในชุมชน.</t>
  </si>
  <si>
    <t>การชนวัวในสมัยกรุงศรีอยุธยามีการจัดการแข่งขันในช่วงเวลาใดของปี?</t>
  </si>
  <si>
    <t>การชนวัวมักจะจัดขึ้นในช่วงเทศกาลสงกรานต์เพื่อเป็นการเฉลิมฉลอง.</t>
  </si>
  <si>
    <t>การชนวัวในสมัยกรุงศรีอยุธยามีความเกี่ยวข้องกับการทดสอบอะไรของผู้แข่งขัน?</t>
  </si>
  <si>
    <t>ผู้แข่งขันจะต้องมีความแข็งแกร่งทางร่างกายเพื่อควบคุมและฝึกวัวในการแข่งขัน.</t>
  </si>
  <si>
    <t>การชนวัวในสมัยก่อนถูกมองว่าเป็นกิจกรรมสำหรับใคร?</t>
  </si>
  <si>
    <t>การชนวัวเป็นกิจกรรมที่ได้รับความนิยมจากชาวบ้านและเกษตรกร.</t>
  </si>
  <si>
    <t>การชนวัวในอดีตมีการพัฒนาอย่างไรในด้านการแข่งขัน?</t>
  </si>
  <si>
    <t>การชนวัวในอดีตมีการพัฒนาในด้านการสร้างกฎการแข่งขันที่ชัดเจนเพื่อความยุติธรรม.</t>
  </si>
  <si>
    <t>การชนวัวในสมัยก่อนมีการเชื่อมโยงกับการฝึกทหารหรือไม่?</t>
  </si>
  <si>
    <t>การฝึกทหารในอดีตมีการใช้วัว</t>
  </si>
  <si>
    <t>การฝึกทหารบางครั้งใช้การชนวัวเพื่อทดสอบความแข็งแกร่งและการควบคุมสัตว์.</t>
  </si>
  <si>
    <t>วัวที่ใช้ในการชนวัวในอดีตมักมีลักษณะอย่างไร?</t>
  </si>
  <si>
    <t>วัวที่ใช้ในการชนวัวมักมีขนาดใหญ่และแข็งแรงเพื่อการต่อสู้ที่ยาวนาน.</t>
  </si>
  <si>
    <t>การชนวัวในสมัยกรุงศรีอยุธยามีการจัดขึ้นที่ไหน?</t>
  </si>
  <si>
    <t>การชนวัวมักจัดขึ้นที่ลานกลางแจ้งหรือบริเวณวัด.</t>
  </si>
  <si>
    <t>การชนวัวในสมัยก่อนเกี่ยวข้องกับความเชื่ออะไรในด้านการเกษตร?</t>
  </si>
  <si>
    <t>การชนวัวในบางกรณีถือเป็นพิธีกรรมขอฝนและอวยพรให้ได้ผลผลิตที่ดีในการเกษตร.</t>
  </si>
  <si>
    <t>การชนวัวในสมัยกรุงศรีอยุธยามีบทบาทในด้านใด?</t>
  </si>
  <si>
    <t>การชนวัวมักจะช่วยสร้างความสัมพันธ์ที่ดีในชุมชน.</t>
  </si>
  <si>
    <t>การชนวัวในอดีตมีบทบาทในประเพณีใดของไทย?</t>
  </si>
  <si>
    <t>การชนวัวมักมีการจัดขึ้นในประเพณีสงกรานต์เพื่อเฉลิมฉลอง.</t>
  </si>
  <si>
    <t>การชนวัวในสมัยกรุงศรีอยุธยามีผลกระทบอย่างไรต่อสังคมไทย?</t>
  </si>
  <si>
    <t>การชนวัวช่วยเสริมสร้างความสัมพันธ์ทางสังคมในชุมชน.</t>
  </si>
  <si>
    <t>การชนวัวในสมัยกรุงศรีอยุธยามีการจัดการแข่งขันอย่างไร?</t>
  </si>
  <si>
    <t>การชนวัวในสมัยกรุงศรีอยุธยามีกฎเกณฑ์ในการแข่งขันที่ชัดเจนเพื่อความยุติธรรม.</t>
  </si>
  <si>
    <t>กีฬาแข่งเรือ (Kaeng Ruer) มีต้นกำเนิดจากวัฒนธรรมใด?</t>
  </si>
  <si>
    <t>A) วัฒนธรรมไทย; B) วัฒนธรรมจีน; C) วัฒนธรรมญี่ปุ่น; D) วัฒนธรรมอินเดีย</t>
  </si>
  <si>
    <t>A) วัฒนธรรมไทย</t>
  </si>
  <si>
    <t>กีฬาแข่งเรือมีต้นกำเนิดจากวัฒนธรรมไทยและเกี่ยวข้องกับวิถีชีวิตของคนที่อาศัยใกล้น้ำ.</t>
  </si>
  <si>
    <t>กีฬาแข่งเรือในไทยเริ่มต้นขึ้นในยุคใด?</t>
  </si>
  <si>
    <t>A) สมัยกรุงศรีอยุธยา; B) สมัยกรุงรัตนโกสินทร์; C) สมัยกรุงธนบุรี; D) สมัยสุโขทัย</t>
  </si>
  <si>
    <t>A) สมัยกรุงศรีอยุธยา</t>
  </si>
  <si>
    <t>กีฬาแข่งเรือมีประวัติความเป็นมายาวนานตั้งแต่สมัยกรุงศรีอยุธยา.</t>
  </si>
  <si>
    <t>การแข่งขันเรือยาวในไทยมักจัดขึ้นในช่วงเวลาใดของปี?</t>
  </si>
  <si>
    <t>A) ฤดูฝน; B) ฤดูหนาว; C) ฤดูร้อน; D) ตลอดทั้งปี</t>
  </si>
  <si>
    <t>A) ฤดูฝน</t>
  </si>
  <si>
    <t>การแข่งขันเรือยาวมักจัดขึ้นในช่วงฤดูฝนที่แม่น้ำมีระดับน้ำสูง.</t>
  </si>
  <si>
    <t>การแข่งขันเรือยาวเกี่ยวข้องกับเทศกาลใดในไทย?</t>
  </si>
  <si>
    <t>A) เทศกาลออกพรรษา; B) เทศกาลสงกรานต์; C) เทศกาลลอยกระทง; D) เทศกาลปีใหม่</t>
  </si>
  <si>
    <t>A) เทศกาลออกพรรษา</t>
  </si>
  <si>
    <t>การแข่งขันเรือยาวมักจัดขึ้นพร้อมกับเทศกาลออกพรรษาเพื่อแสดงความสามัคคี.</t>
  </si>
  <si>
    <t>เรือที่ใช้ในการแข่งเรือยาวทำจากวัสดุใด?</t>
  </si>
  <si>
    <t>A) ไม้; B) พลาสติก; C) โลหะ; D) คาร์บอนไฟเบอร์</t>
  </si>
  <si>
    <t>A) ไม้</t>
  </si>
  <si>
    <t>เรือยาวที่ใช้ในการแข่งขันมักทำจากไม้เนื้อแข็งที่มีความคงทน.</t>
  </si>
  <si>
    <t>กีฬาแข่งเรือยาวถูกใช้เพื่ออะไรในอดีต?</t>
  </si>
  <si>
    <t>A) การบูชาแม่น้ำ; B) การแข่งขันเพื่อความสนุก; C) การแสดงพลังของชุมชน; D) ทั้งหมดข้างต้น</t>
  </si>
  <si>
    <t>D) ทั้งหมดข้างต้น</t>
  </si>
  <si>
    <t>กีฬาแข่งเรือยาวมีจุดประสงค์หลายอย่างในอดีต รวมถึงการบูชาและความสามัคคี.</t>
  </si>
  <si>
    <t>การแข่งขันเรือยาวในไทยมีความเกี่ยวข้องกับศาสนาใด?</t>
  </si>
  <si>
    <t>A) พุทธศาสนา; B) ศาสนาคริสต์; C) ศาสนาอิสลาม; D) ไม่มีความเกี่ยวข้อง</t>
  </si>
  <si>
    <t>A) พุทธศาสนา</t>
  </si>
  <si>
    <t>การแข่งขันเรือยาวมักเกี่ยวข้องกับพิธีกรรมทางพุทธศาสนา.</t>
  </si>
  <si>
    <t>กีฬาแข่งเรือในไทยมักจัดขึ้นในแม่น้ำใด?</t>
  </si>
  <si>
    <t>A) แม่น้ำเจ้าพระยา; B) แม่น้ำโขง; C) แม่น้ำป่าสัก; D) ทุกแม่น้ำในชุมชน</t>
  </si>
  <si>
    <t>A) แม่น้ำเจ้าพระยา</t>
  </si>
  <si>
    <t>แม่น้ำเจ้าพระยาเป็นหนึ่งในสถานที่จัดแข่งเรือยาวที่มีชื่อเสียง.</t>
  </si>
  <si>
    <t>การแข่งเรือยาวในไทยมีความเกี่ยวข้องกับชนชั้นใดในอดีต?</t>
  </si>
  <si>
    <t>A) ราชวงศ์; B) ชาวนา; C) ชาวประมง; D) ทั้งหมดข้างต้น</t>
  </si>
  <si>
    <t>การแข่งขันเรือยาวเคยเป็นกิจกรรมที่ทั้งราชวงศ์และชาวบ้านมีส่วนร่วม.</t>
  </si>
  <si>
    <t>ในอดีตเรือยาวถูกใช้ในกิจกรรมใดนอกเหนือจากการแข่งขัน?</t>
  </si>
  <si>
    <t>A) การเดินทาง; B) การค้า; C) การทำสงคราม; D) ทั้งหมดข้างต้น</t>
  </si>
  <si>
    <t>เรือยาวในอดีตถูกใช้ในหลากหลายกิจกรรม เช่น การเดินทางและการทำสงคราม.</t>
  </si>
  <si>
    <t>เพลงที่ใช้ในพิธีกรรมเปิดการแข่งขันเรือยาวเรียกว่าอะไร?</t>
  </si>
  <si>
    <t>A) เพลงเรือ; B) เพลงพาย; C) เพลงสรรเสริญ; D) เพลงฉ่อย</t>
  </si>
  <si>
    <t>A) เพลงเรือ</t>
  </si>
  <si>
    <t>เพลงเรือมักใช้ในการเปิดพิธีการแข่งขันเพื่อสร้างบรรยากาศ.</t>
  </si>
  <si>
    <t>การแข่งเรือยาวในอดีตมีจุดประสงค์ใดเป็นหลัก?</t>
  </si>
  <si>
    <t>A) การบูชาแม่น้ำ; B) การเสริมสร้างความสามัคคี; C) การเฉลิมฉลอง; D) ทั้งหมดข้างต้น</t>
  </si>
  <si>
    <t>การแข่งเรือยาวในอดีตมีทั้งจุดประสงค์ทางศาสนาและการเฉลิมฉลอง.</t>
  </si>
  <si>
    <t>การแข่งขันเรือยาวในอดีตใช้เรือประเภทใด?</t>
  </si>
  <si>
    <t>A) เรือหัวมังกร; B) เรือธรรมดา; C) เรือยาวไม้แกะสลัก; D) เรือทำจากไผ่</t>
  </si>
  <si>
    <t>C) เรือยาวไม้แกะสลัก</t>
  </si>
  <si>
    <t>เรือยาวในอดีตมักถูกแกะสลักอย่างวิจิตรเพื่อแสดงความสวยงาม.</t>
  </si>
  <si>
    <t>การแข่งขันเรือยาวในประวัติศาสตร์ไทยจัดขึ้นในบริเวณใดมากที่สุด?</t>
  </si>
  <si>
    <t>A) ชุมชนริมน้ำ; B) เมืองหลวง; C) พื้นที่ชนบท; D) ทั้งหมดข้างต้น</t>
  </si>
  <si>
    <t>A) ชุมชนริมน้ำ</t>
  </si>
  <si>
    <t>การแข่งขันเรือยาวมักจัดขึ้นในชุมชนริมน้ำเพื่อเชื่อมโยงวิถีชีวิตกับธรรมชาติ.</t>
  </si>
  <si>
    <t>การแข่งเรือยาวมีบทบาทสำคัญอย่างไรในสังคมไทย?</t>
  </si>
  <si>
    <t>A) เสริมสร้างความสามัคคี; B) เป็นกิจกรรมบันเทิง; C) เป็นการแสดงพลังชุมชน; D) ทั้งหมดข้างต้น</t>
  </si>
  <si>
    <t>การแข่งเรือยาวมีบทบาทสำคัญในทุกด้านที่เกี่ยวข้องกับวัฒนธรรมและชุมชน.</t>
  </si>
  <si>
    <t>ในสมัยโบราณใครมักเป็นผู้นำในทีมพายเรือ?</t>
  </si>
  <si>
    <t>A) หัวหน้าหมู่บ้าน; B) พระสงฆ์; C) ชาวประมงอาวุโส; D) นายทหาร</t>
  </si>
  <si>
    <t>A) หัวหน้าหมู่บ้าน</t>
  </si>
  <si>
    <t>หัวหน้าหมู่บ้านมักเป็นผู้นำทีมในการแข่งขันเรือยาว.</t>
  </si>
  <si>
    <t>การแข่งเรือยาวในอดีตมักเกี่ยวข้องกับการบูชาสิ่งใด?</t>
  </si>
  <si>
    <t>A) เทพเจ้าแห่งน้ำ; B) เจ้าพ่อปู่; C) พญานาค; D) ทั้งหมดข้างต้น</t>
  </si>
  <si>
    <t>การบูชาในอดีตมักเกี่ยวข้องกับความเชื่อในสิ่งศักดิ์สิทธิ์ที่ปกปักรักษาแม่น้ำ.</t>
  </si>
  <si>
    <t>ในอดีตการแข่งเรือยาวเป็นกิจกรรมที่เกี่ยวข้องกับชนชั้นใด?</t>
  </si>
  <si>
    <t>A) ชาวบ้าน; B) ชาววัง; C) พระสงฆ์; D) ทั้งหมดข้างต้น</t>
  </si>
  <si>
    <t>การแข่งเรือยาวเกี่ยวข้องกับทุกชนชั้นในสังคมไทย.</t>
  </si>
  <si>
    <t>การแข่งขันเรือยาวในปัจจุบันได้รับการสนับสนุนจากหน่วยงานใด?</t>
  </si>
  <si>
    <t>A) การกีฬาแห่งประเทศไทย; B) กระทรวงวัฒนธรรม; C) กระทรวงการท่องเที่ยว; D) ทั้งหมดข้างต้น</t>
  </si>
  <si>
    <t>การแข่งขันเรือยาวในปัจจุบันได้รับการสนับสนุนจากหลายหน่วยงาน.</t>
  </si>
  <si>
    <t>การแข่งเรือยาวมีส่วนช่วยในด้านใดของชุมชนไทย?</t>
  </si>
  <si>
    <t>A) การท่องเที่ยว; B) การอนุรักษ์วัฒนธรรม; C) การเสริมสร้างความสามัคคี; D) ทั้งหมดข้างต้น</t>
  </si>
  <si>
    <t>กีฬาแข่งเรือยาวช่วยเสริมสร้างทั้งการท่องเที่ยวและความสามัคคีในชุมชน.</t>
  </si>
  <si>
    <t>เรือยาวในอดีตมักมีลักษณะอย่างไร?</t>
  </si>
  <si>
    <t>A) หัวเรือแกะสลัก; B) ใช้ไม้เนื้อแข็ง; C) ตกแต่งอย่างสวยงาม; D) ทั้งหมดข้างต้น</t>
  </si>
  <si>
    <t>เรือยาวในอดีตมักถูกตกแต่งอย่างประณีตเพื่อแสดงถึงความเป็นเอกลักษณ์.</t>
  </si>
  <si>
    <t>การแข่งเรือยาวในไทยเริ่มมีการแข่งขันระดับประเทศในปีใด?</t>
  </si>
  <si>
    <t>A) พ.ศ. 2500; B) พ.ศ. 2520; C) พ.ศ. 2540; D) พ.ศ. 2560</t>
  </si>
  <si>
    <t>B) พ.ศ. 2520</t>
  </si>
  <si>
    <t>การแข่งขันเรือยาวเริ่มมีการจัดในระดับประเทศตั้งแต่ปี พ.ศ. 2520.</t>
  </si>
  <si>
    <t>การแข่งเรือยาวได้รับการบรรจุในกิจกรรมส่งเสริมการท่องเที่ยวในปีใด?</t>
  </si>
  <si>
    <t>A) พ.ศ. 2530; B) พ.ศ. 2550; C) พ.ศ. 2560; D) พ.ศ. 2565</t>
  </si>
  <si>
    <t>B) พ.ศ. 2550</t>
  </si>
  <si>
    <t>การแข่งเรือยาวเริ่มเป็นส่วนหนึ่งของกิจกรรมส่งเสริมการท่องเที่ยวตั้งแต่ปี พ.ศ. 2550.</t>
  </si>
  <si>
    <t>กีฬาแข่งเรือยาวในไทยมีชื่อเสียงในระดับนานาชาติครั้งแรกในปีใด?</t>
  </si>
  <si>
    <t>A) พ.ศ. 2515; B) พ.ศ. 2535; C) พ.ศ. 2555; D) พ.ศ. 2565</t>
  </si>
  <si>
    <t>C) พ.ศ. 2555</t>
  </si>
  <si>
    <t>กีฬาแข่งเรือยาวเริ่มเป็นที่รู้จักในระดับนานาชาติในปี พ.ศ. 2555.</t>
  </si>
  <si>
    <t>เรือยาวที่ใช้ในปัจจุบันต่างจากในอดีตอย่างไร?</t>
  </si>
  <si>
    <t>A) ใช้วัสดุสมัยใหม่; B) ออกแบบเพื่อความเร็ว; C) มีมาตรฐานระดับสากล; D) ทั้งหมดข้างต้น</t>
  </si>
  <si>
    <t>เรือยาวในปัจจุบันถูกปรับปรุงให้มีความทันสมัยมากขึ้น.</t>
  </si>
  <si>
    <t>การแข่งเรือยาวส่งผลดีต่อเศรษฐกิจอย่างไร?</t>
  </si>
  <si>
    <t>A) เพิ่มรายได้จากการท่องเที่ยว; B) สร้างงานในชุมชน; C) ส่งเสริมผลิตภัณฑ์ท้องถิ่น; D) ทั้งหมดข้างต้น</t>
  </si>
  <si>
    <t>การแข่งเรือยาวช่วยกระตุ้นเศรษฐกิจทั้งในระดับท้องถิ่นและประเทศ.</t>
  </si>
  <si>
    <t>การแข่งขันเรือยาวในอดีตใช้กติกาใด?</t>
  </si>
  <si>
    <t>A) ไม่มีการกำหนดกติกา; B) กติกาขึ้นอยู่กับชุมชน; C) ใช้กติกาพื้นฐาน; D) กติกาที่เข้มงวด</t>
  </si>
  <si>
    <t>B) กติกาขึ้นอยู่กับชุมชน</t>
  </si>
  <si>
    <t>ในอดีตการแข่งขันเรือยาวมักมีกติกาที่กำหนดขึ้นโดยชุมชน.</t>
  </si>
  <si>
    <t>การแข่งขันเรือยาวในชุมชนมักเกี่ยวข้องกับงานสำคัญใด?</t>
  </si>
  <si>
    <t>A) งานบุญ; B) งานวัด; C) งานเฉลิมฉลองท้องถิ่น; D) ทั้งหมดข้างต้น</t>
  </si>
  <si>
    <t>การแข่งขันเรือยาวมักจัดขึ้นในงานสำคัญเพื่อสร้างความสนุกสนานและความสามัคคี.</t>
  </si>
  <si>
    <t>เรือที่ใช้ในการแข่งเรือยาวในปัจจุบันต้องมีคุณสมบัติใด?</t>
  </si>
  <si>
    <t>A) น้ำหนักเบา; B) ทนทาน; C) มีขนาดมาตรฐาน; D) ทั้งหมดข้างต้น</t>
  </si>
  <si>
    <t>เรือที่ใช้ต้องผ่านการออกแบบและตรวจสอบให้ได้มาตรฐาน.</t>
  </si>
  <si>
    <t>การแข่งเรือยาวในอดีตมักใช้คนพายกี่คน?</t>
  </si>
  <si>
    <t>A) 10-15 คน; B) 20-30 คน; C) 30-50 คน; D) ขึ้นอยู่กับขนาดเรือ</t>
  </si>
  <si>
    <t>D) ขึ้นอยู่กับขนาดเรือ</t>
  </si>
  <si>
    <t>จำนวนคนพายขึ้นอยู่กับขนาดเรือและประเภทของการแข่งขัน.</t>
  </si>
  <si>
    <t>การแข่งเรือยาวในประเทศไทยเคยถูกนำไปแข่งขันในระดับโลกครั้งแรกในปีใด?</t>
  </si>
  <si>
    <t>A) 1960; B) 1970; C) 1980; D) 1990</t>
  </si>
  <si>
    <t>B) 1970</t>
  </si>
  <si>
    <t>การแข่งเรือยาวได้รับความสนใจในระดับโลกครั้งแรกในช่วงปี 1970.</t>
  </si>
  <si>
    <t>การแข่งขันเรือยาวในสมัยโบราณมักใช้สถานที่ใดในการจัดการแข่งขัน?</t>
  </si>
  <si>
    <t>A) ทะเล; B) แม่น้ำ; C) หนองน้ำ; D) บึง</t>
  </si>
  <si>
    <t>A) ทะเล</t>
  </si>
  <si>
    <t>การแข่งขันเรือยาวในสมัยโบราณมักจัดขึ้นในทะเลหรือบริเวณที่น้ำไหล.</t>
  </si>
  <si>
    <t>กีฬาแข่งเรือยาวในสมัยโบราณมีการจัดการแข่งขันในช่วงเวลาใด?</t>
  </si>
  <si>
    <t>A) ฤดูร้อน; B) ฤดูหนาว; C) ฤดูฝน; D) ตลอดทั้งปี</t>
  </si>
  <si>
    <t>C) ฤดูฝน</t>
  </si>
  <si>
    <t>ในสมัยโบราณการแข่งขันเรือยาวจะจัดขึ้นในช่วงฤดูฝนเมื่อแม่น้ำมีน้ำมาก.</t>
  </si>
  <si>
    <t>ประเทศไทยเริ่มมีการจัดการแข่งขันเรือยาวในระดับประเทศในปีใด?</t>
  </si>
  <si>
    <t>A) 1945; B) 1950; C) 1955; D) 1960</t>
  </si>
  <si>
    <t>C) 1955</t>
  </si>
  <si>
    <t>ประเทศไทยเริ่มมีการจัดการแข่งขันเรือยาวในระดับประเทศตั้งแต่ปี 1955.</t>
  </si>
  <si>
    <t>การแข่งขันเรือยาวในประเทศไทยเคยได้รับการสนับสนุนจากพระมหากษัตริย์ในช่วงใด?</t>
  </si>
  <si>
    <t>A) รัชกาลที่ 5; B) รัชกาลที่ 6; C) รัชกาลที่ 7; D) รัชกาลที่ 9</t>
  </si>
  <si>
    <t>B) รัชกาลที่ 6</t>
  </si>
  <si>
    <t>การแข่งขันเรือยาวได้รับการสนับสนุนจากพระมหากษัตริย์ในสมัยรัชกาลที่ 6.</t>
  </si>
  <si>
    <t>ในสมัยโบราณการแข่งเรือยาวมีการใช้วัสดุใดในการสร้างเรือ?</t>
  </si>
  <si>
    <t>A) ไม้เนื้อแข็ง; B) ไม้ไผ่; C) โลหะ; D) พลาสติก</t>
  </si>
  <si>
    <t>A) ไม้เนื้อแข็ง</t>
  </si>
  <si>
    <t>ในสมัยโบราณ เรือยาวมักสร้างจากไม้เนื้อแข็งเพื่อให้ทนทานต่อการใช้งาน.</t>
  </si>
  <si>
    <t>การแข่งเรือยาวในสมัยกรุงศรีอยุธยาเกี่ยวข้องกับการทำอะไร?</t>
  </si>
  <si>
    <t>A) การป้องกันประเทศ; B) การค้าขาย; C) การบูชาเทพเจ้าทางน้ำ; D) การฝึกฝนทหาร</t>
  </si>
  <si>
    <t>C) การบูชาเทพเจ้าทางน้ำ</t>
  </si>
  <si>
    <t>การแข่งขันเรือยาวในสมัยกรุงศรีอยุธยาเกี่ยวข้องกับพิธีบูชาเทพเจ้าทางน้ำ.</t>
  </si>
  <si>
    <t>การแข่งขันเรือยาวในสมัยโบราณใช้จำนวนผู้พายเท่าไหร่?</t>
  </si>
  <si>
    <t>A) 10-20 คน; B) 20-30 คน; C) 30-40 คน; D) 40-50 คน</t>
  </si>
  <si>
    <t>C) 30-40 คน</t>
  </si>
  <si>
    <t>การแข่งขันเรือยาวในสมัยโบราณมักใช้จำนวนผู้พายตั้งแต่ 30-40 คน.</t>
  </si>
  <si>
    <t>กีฬาแข่งเรือยาวในช่วงต้นมีบทบาทอย่างไรในสังคมไทย?</t>
  </si>
  <si>
    <t>A) สร้างความบันเทิง; B) สร้างความสามัคคี; C) ส่งเสริมการค้า; D) สร้างความเคารพต่อศาสนา</t>
  </si>
  <si>
    <t>B) สร้างความสามัคคี</t>
  </si>
  <si>
    <t>กีฬาแข่งเรือยาวในสมัยก่อนมีบทบาทในการเสริมสร้างความสามัคคีในชุมชน.</t>
  </si>
  <si>
    <t>ในสมัยกรุงศรีอยุธยา การแข่งเรือยาวมักมีพิธีกรรมใดร่วมด้วย?</t>
  </si>
  <si>
    <t>A) พิธีบูชาเทพเจ้า; B) พิธีสะเดาะเคราะห์; C) พิธีพรมน้ำมนต์; D) พิธีเปิดงาน</t>
  </si>
  <si>
    <t>A) พิธีบูชาเทพเจ้า</t>
  </si>
  <si>
    <t>การแข่งเรือยาวมักมีพิธีบูชาเทพเจ้าเพื่อขอพรให้การแข่งขันเป็นไปด้วยดี.</t>
  </si>
  <si>
    <t>ในอดีตการแข่งเรือยาวในไทยมักจัดขึ้นที่ไหน?</t>
  </si>
  <si>
    <t>A) แม่น้ำ; B) ทะเล; C) ทะเลสาบ; D) หนองน้ำ</t>
  </si>
  <si>
    <t>A) แม่น้ำ</t>
  </si>
  <si>
    <t>การแข่งเรือยาวในไทยมักจัดขึ้นตามแม่น้ำที่มีสภาพเหมาะสม.</t>
  </si>
  <si>
    <t>การแข่งขันเรือยาวในช่วงรัชกาลที่ 5 มีบทบาทอย่างไร?</t>
  </si>
  <si>
    <t>A) การสร้างความภาคภูมิใจในชาติ; B) การฝึกฝนทหาร; C) การส่งเสริมการท่องเที่ยว; D) การสร้างความสามัคคีในชุมชน</t>
  </si>
  <si>
    <t>A) การสร้างความภาคภูมิใจในชาติ</t>
  </si>
  <si>
    <t>การแข่งขันเรือยาวในช่วงรัชกาลที่ 5 เป็นเครื่องมือในการสร้างความภาคภูมิใจในชาติ.</t>
  </si>
  <si>
    <t>ในสมัยโบราณ การแข่งเรือยาวมีการใช้เทคนิคใดในการพาย?</t>
  </si>
  <si>
    <t>A) การพายแบบกลุ่ม; B) การพายแบบแยกส่วน; C) การพายแบบดั้งเดิม; D) การพายแบบม้วน</t>
  </si>
  <si>
    <t>B) การพายแบบแยกส่วน</t>
  </si>
  <si>
    <t>การพายเรือยาวในสมัยโบราณมีการใช้เทคนิคพายที่แยกตามลำดับเพื่อให้การเคลื่อนไหวเร็วขึ้น.</t>
  </si>
  <si>
    <t>การแข่งขันเรือยาวในสมัยก่อนมีการตั้งคณะกรรมการตัดสินหรือไม่?</t>
  </si>
  <si>
    <t>A) ไม่มีการตั้งคณะกรรมการ; B) ตั้งคณะกรรมการจากผู้นำชุมชน; C) ตั้งคณะกรรมการจากนักพายเรือ; D) ตั้งคณะกรรมการจากพระสงฆ์</t>
  </si>
  <si>
    <t>B) ตั้งคณะกรรมการจากผู้นำชุมชน</t>
  </si>
  <si>
    <t>ในสมัยก่อนการตัดสินการแข่งขันจะทำโดยผู้นำชุมชน.</t>
  </si>
  <si>
    <t>การแข่งเรือยาวในอดีตมีการจัดแข่งขันเป็นประจำหรือไม่?</t>
  </si>
  <si>
    <t>A) ไม่มีการจัดแข่งขันประจำ; B) จัดแข่งขันในเทศกาลสำคัญ; C) จัดแข่งขันทุกเดือน; D) จัดแข่งขันทุกปี</t>
  </si>
  <si>
    <t>B) จัดแข่งขันในเทศกาลสำคัญ</t>
  </si>
  <si>
    <t>การแข่งขันเรือยาวมักจัดขึ้นในช่วงเทศกาลสำคัญต่างๆ.</t>
  </si>
  <si>
    <t>การแข่งเรือยาวในไทยได้กลายเป็นกีฬาอย่างเป็นทางการในปีใด?</t>
  </si>
  <si>
    <t>A) 1920; B) 1930; C) 1940; D) 1950</t>
  </si>
  <si>
    <t>C) 1940</t>
  </si>
  <si>
    <t>กีฬาแข่งเรือยาวเริ่มได้รับการยอมรับและกลายเป็นกีฬาอย่างเป็นทางการในปี 1940.</t>
  </si>
  <si>
    <t>การแข่งขันเรือยาวในสมัยก่อนมักเกี่ยวข้องกับการอะไร?</t>
  </si>
  <si>
    <t>A) การบูชาผู้พิทักษ์; B) การฝึกทหาร; C) การเฉลิมฉลองปีใหม่; D) การแข่งขันแสดงฝีมือ</t>
  </si>
  <si>
    <t>A) การบูชาผู้พิทักษ์</t>
  </si>
  <si>
    <t>การแข่งขันเรือยาวมักถูกจัดขึ้นเพื่อบูชาผู้พิทักษ์หรือเทพเจ้าผู้ปกป้อง.</t>
  </si>
  <si>
    <t>การแข่งเรือยาวในไทยได้รับความนิยมอย่างไรในช่วงกลางศตวรรษที่ 20?</t>
  </si>
  <si>
    <t>A) เพิ่มขึ้นอย่างรวดเร็ว; B) ลดลงเนื่องจากการพัฒนาทางเศรษฐกิจ; C) คงที่; D) ไม่มีการจัดการแข่งขัน</t>
  </si>
  <si>
    <t>B) ลดลงเนื่องจากการพัฒนาทางเศรษฐกิจ</t>
  </si>
  <si>
    <t>การแข่งเรือยาวได้รับความนิยมลดลงในช่วงกลางศตวรรษที่ 20.</t>
  </si>
  <si>
    <t>การแข่งขันเรือยาวมีการจัดขึ้นในช่วงเวลาใดในสมัยกรุงศรีอยุธยา?</t>
  </si>
  <si>
    <t>A) ช่วงเทศกาลสงกรานต์; B) ช่วงเทศกาลออกพรรษา; C) ช่วงเทศกาลลอยกระทง; D) ช่วงปีใหม่</t>
  </si>
  <si>
    <t>B) ช่วงเทศกาลออกพรรษา</t>
  </si>
  <si>
    <t>การแข่งขันเรือยาวมักจัดขึ้นในช่วงเทศกาลออกพรรษาของไทย.</t>
  </si>
  <si>
    <t>ในสมัยกรุงศรีอยุธยา การแข่งเรือยาวถูกใช้เป็นกิจกรรมอะไร?</t>
  </si>
  <si>
    <t>A) การเฉลิมฉลองวันสำคัญ; B) การฝึกทหาร; C) การแข่งขันกีฬา; D) การบูชาเทพเจ้า</t>
  </si>
  <si>
    <t>A) การเฉลิมฉลองวันสำคัญ</t>
  </si>
  <si>
    <t>การแข่งเรือยาวในสมัยกรุงศรีอยุธยาใช้เป็นกิจกรรมเฉลิมฉลองวันสำคัญในสังคมไทย.</t>
  </si>
  <si>
    <t>ในสมัยกรุงธนบุรี การแข่งเรือยาวได้รับการสนับสนุนจากใคร?</t>
  </si>
  <si>
    <t>A) ราชวงศ์; B) ผู้นำชุมชน; C) กษัตริย์; D) พระสงฆ์</t>
  </si>
  <si>
    <t>C) กษัตริย์</t>
  </si>
  <si>
    <t>การแข่งขันเรือยาวในสมัยกรุงธนบุรีได้รับการสนับสนุนจากพระมหากษัตริย์.</t>
  </si>
  <si>
    <t>การแข่งเรือยาวในสมัยก่อนมีการใช้เทคโนโลยีอะไรในการสร้างเรือ?</t>
  </si>
  <si>
    <t>A) การใช้เหล็กกล้า; B) การใช้ไม้ไผ่และไม้เนื้อแข็ง; C) การใช้คาร์บอนไฟเบอร์; D) การใช้พลาสติก</t>
  </si>
  <si>
    <t>B) การใช้ไม้ไผ่และไม้เนื้อแข็ง</t>
  </si>
  <si>
    <t>การสร้างเรือยาวในสมัยโบราณมักใช้วัสดุธรรมชาติอย่างไม้ไผ่และไม้เนื้อแข็ง.</t>
  </si>
  <si>
    <t>การแข่งขันเรือยาวในสมัยกรุงศรีอยุธยาใช้จำนวนผู้พายเท่าไหร่?</t>
  </si>
  <si>
    <t>A) 30-40 คน; B) 40-50 คน; C) 50-60 คน; D) 60-70 คน</t>
  </si>
  <si>
    <t>A) 30-40 คน</t>
  </si>
  <si>
    <t>จำนวนผู้พายในการแข่งขันเรือยาวในสมัยกรุงศรีอยุธยามักอยู่ที่ 30-40 คน.</t>
  </si>
  <si>
    <t>การแข่งเรือยาวในสมัยก่อนมีบทบาทในการเสริมสร้างอะไร?</t>
  </si>
  <si>
    <t>A) ความสัมพันธ์ระหว่างประเทศ; B) ความสามัคคีในชุมชน; C) ความบันเทิงในพระราชสำนัก; D) ความเป็นเลิศทางกีฬ</t>
  </si>
  <si>
    <t>B) ความสามัคคีในชุมชน</t>
  </si>
  <si>
    <t>การแข่งเรือยาวในสมัยก่อนมีบทบาทในการเสริมสร้างความสามัคคีในชุมชน.</t>
  </si>
  <si>
    <t>การแข่งขันเรือยาวในอดีตมักจัดขึ้นเพื่ออะไร?</t>
  </si>
  <si>
    <t>A) การเฉลิมฉลองวันสำคัญ; B) การฝึกทหาร; C) การฝึกพายเรือ; D) การทดสอบความเร็ว</t>
  </si>
  <si>
    <t>การแข่งเรือยาวในอดีตมักจัดขึ้นเพื่อเฉลิมฉลองวันสำคัญในท้องถิ่น.</t>
  </si>
  <si>
    <t>การแข่งขันเรือยาวในประเทศไทยได้รับความสนใจจากประเทศใด?</t>
  </si>
  <si>
    <t>A) ประเทศญี่ปุ่น; B) ประเทศจีน; C) ประเทศสหรัฐอเมริกา; D) ประเทศกัมพูชา</t>
  </si>
  <si>
    <t>B) ประเทศจีน</t>
  </si>
  <si>
    <t>การแข่งขันเรือยาวในไทยได้รับความสนใจจากประเทศจีนในช่วงหลายปีที่ผ่านมา.</t>
  </si>
  <si>
    <t>ในสมัยกรุงศรีอยุธยา การแข่งเรือยาวถูกใช้เป็นส่วนหนึ่งของกิจกรรมอะไร?</t>
  </si>
  <si>
    <t>A) การฝึกทหาร; B) การฝึกเด็กในชุมชน; C) การบูชาผู้ปกป้อง; D) การทดสอบทักษะทางทะเล</t>
  </si>
  <si>
    <t>B) การฝึกเด็กในชุมชน</t>
  </si>
  <si>
    <t>การแข่งขันเรือยาวถูกใช้ในการฝึกทักษะทางน้ำให้กับเด็กในชุมชน.</t>
  </si>
  <si>
    <t>การแข่งขันเรือยาวในสมัยก่อนมักมีการจัดกิจกรรมเสริมอะไร?</t>
  </si>
  <si>
    <t>A) การแข่งขันการต่อสู้; B) การแข่งขันตกปลา; C) การแสดงวัฒนธรรมพื้นบ้าน; D) การแข่งขันวิ่ง</t>
  </si>
  <si>
    <t>A) การแข่งขันการต่อสู้</t>
  </si>
  <si>
    <t>การแข่งเรือยาวมักจะมีการแข่งขันการต่อสู้หรือกิจกรรมเสริมที่เกี่ยวข้องกับความแข็งแกร่ง.</t>
  </si>
  <si>
    <t>การแข่งเรือยาวในประเทศไทยในปัจจุบันมีบทบาทอย่างไร?</t>
  </si>
  <si>
    <t>A) เป็นกีฬาเพื่อความบันเทิง; B) เป็นกีฬาส่งเสริมการท่องเที่ยว; C) เป็นกีฬาแข่งขันระดับชาติ; D) ทั้งหมดข้างต้น</t>
  </si>
  <si>
    <t>การแข่งเรือยาวในปัจจุบันมีบทบาททั้งในด้านกีฬา การท่องเที่ยว และความบันเทิง.</t>
  </si>
  <si>
    <t>การแข่งขันเรือยาวในสมัยกรุงศรีอยุธยามักจัดขึ้นที่ไหน?</t>
  </si>
  <si>
    <t>A) เมืองหลวง; B) บริเวณแม่น้ำเจ้าพระยา; C) อ่าวไทย; D) ทะเลสาบเขาใหญ่</t>
  </si>
  <si>
    <t>B) บริเวณแม่น้ำเจ้าพระยา</t>
  </si>
  <si>
    <t>การแข่งขันเรือยาวในสมัยกรุงศรีอยุธยมักจัดขึ้นบริเวณแม่น้ำเจ้าพระยา.</t>
  </si>
  <si>
    <t>การแข่งเรือยาวในประเทศไทยเริ่มมีการจัดการแข่งขันในระดับชาติครั้งแรกในปีใด?</t>
  </si>
  <si>
    <t>A) 1950; B) 1955; C) 1960; D) 1965</t>
  </si>
  <si>
    <t>B) 1955</t>
  </si>
  <si>
    <t>การแข่งเรือยาวในประเทศไทยเริ่มมีการจัดการแข่งขันระดับชาติในปี 1955.</t>
  </si>
  <si>
    <t>การแข่งเรือยาวในประเทศไทยมีกติกาและรูปแบบการแข่งขันจากประเทศใด?</t>
  </si>
  <si>
    <t>A) อังกฤษ; B) อเมริกา; C) ไทย; D) อินเดีย</t>
  </si>
  <si>
    <t>C) ไทย</t>
  </si>
  <si>
    <t>การแข่งเรือยาวในประเทศไทยมีรูปแบบการแข่งขันและกติกาที่พัฒนาขึ้นภายในประเทศ.</t>
  </si>
  <si>
    <t>ในการแข่งเรือยาวในสมัยก่อน เรือที่ใช้ในการแข่งมักมีลักษณะอย่างไร?</t>
  </si>
  <si>
    <t>A) เรือใหญ่และหนัก; B) เรือเล็กและเร็ว; C) เรือขนาดกลาง; D) เรือที่ตกแต่งอย่างหรูหรา</t>
  </si>
  <si>
    <t>B) เรือเล็กและเร็ว</t>
  </si>
  <si>
    <t>เรือที่ใช้ในการแข่งในสมัยก่อนมักมีขนาดเล็กและเร็วเพื่อให้สามารถแข่งขันได้.</t>
  </si>
  <si>
    <t>ในสมัยกรุงศรีอยุธยา การแข่งเรือยาวมักเกี่ยวข้องกับกิจกรรมอะไร?</t>
  </si>
  <si>
    <t>A) การเฉลิมฉลอง; B) การฝึกทหาร; C) การบูชาเทพเจ้า; D) การศึกษาทางทะเล</t>
  </si>
  <si>
    <t>C) การบูชาเทพเจ้า</t>
  </si>
  <si>
    <t>การแข่งขันเรือยาวในสมัยกรุงศรีอยุธยาเกี่ยวข้องกับการบูชาเทพเจ้าและพิธีกรรม.</t>
  </si>
  <si>
    <t>ในสมัยกรุงศรีอยุธยา การแข่งเรือยาวมีบทบาทในการอะไร?</t>
  </si>
  <si>
    <t>A) ส่งเสริมการค้าขาย; B) สร้างความสามัคคีในชุมชน; C) ส่งเสริมการท่องเที่ยว; D) สร้างความรู้ทางทหาร</t>
  </si>
  <si>
    <t>B) สร้างความสามัคคีในชุมชน</t>
  </si>
  <si>
    <t>การแข่งขันเรือยาวในสมัยกรุงศรีอยุธยาเป็นกิจกรรมที่ช่วยเสริมสร้างความสามัคคีในชุมชน.</t>
  </si>
  <si>
    <t>การแข่งขันเรือยาวในสมัยก่อนมีการจัดขึ้นบ่อยแค่ไหน?</t>
  </si>
  <si>
    <t>A) ทุกปี; B) ทุกเดือน; C) ทุกฤดู; D) ทุกเทศกาล</t>
  </si>
  <si>
    <t>A) ทุกปี</t>
  </si>
  <si>
    <t>การแข่งขันเรือยาวในสมัยก่อนมักจัดขึ้นทุกปีในช่วงเวลาที่เหมาะสม.</t>
  </si>
  <si>
    <t>การแข่งขันเรือยาวในสมัยกรุงศรีอยุธยาใช้วัสดุใดในการสร้างเรือ?</t>
  </si>
  <si>
    <t>A) ไม้ไผ่; B) โลหะ; C) ไม้เนื้อแข็ง; D) พลาสติก</t>
  </si>
  <si>
    <t>C) ไม้เนื้อแข็ง</t>
  </si>
  <si>
    <t>เรือยาวในสมัยกรุงศรีอยุธยาใช้ไม้เนื้อแข็งในการสร้าง.</t>
  </si>
  <si>
    <t>การแข่งเรือยาวในสมัยกรุงธนบุรีมีการเปลี่ยนแปลงอย่างไร?</t>
  </si>
  <si>
    <t>A) การเพิ่มจำนวนผู้พาย; B) การจัดการแข่งขันในแม่น้ำหลายแห่ง; C) การลดขนาดของเรือ; D) การยกเลิกการแข่งขัน</t>
  </si>
  <si>
    <t>B) การจัดการแข่งขันในแม่น้ำหลายแห่ง</t>
  </si>
  <si>
    <t>ในสมัยกรุงธนบุรี การแข่งเรือยาวมีการจัดการแข่งขันในแม่น้ำหลายแห่ง.</t>
  </si>
  <si>
    <t>การแข่งขันเรือยาวในสมัยก่อนมักจัดขึ้นในช่วงเวลาใด?</t>
  </si>
  <si>
    <t>A) ฤดูฝน; B) ฤดูร้อน; C) ฤดูหนาว; D) ทุกฤดูกาล</t>
  </si>
  <si>
    <t>การแข่งขันเรือยาวมักจัดขึ้นในช่วงฤดูฝนเมื่อระดับน้ำเหมาะสม.</t>
  </si>
  <si>
    <t>ประเทศไทยเริ่มจัดการแข่งขันเรือยาวระดับนานาชาติครั้งแรกในปีใด?</t>
  </si>
  <si>
    <t>A) 1950; B) 1960; C) 1970; D) 1980</t>
  </si>
  <si>
    <t>C) 1970</t>
  </si>
  <si>
    <t>การแข่งขันเรือยาวในประเทศไทยเริ่มจัดการแข่งขันในระดับนานาชาติในปี 1970.</t>
  </si>
  <si>
    <t>การแข่งขันเรือยาวในสมัยกรุงศรีอยุธยาได้รับการสนับสนุนจากใคร?</t>
  </si>
  <si>
    <t>A) พระมหากษัตริย์; B) พระสงฆ์; C) นักธุรกิจ; D) ชาวบ้าน</t>
  </si>
  <si>
    <t>การแข่งขันเรือยาวในสมัยกรุงศรีอยุธยาได้รับการสนับสนุนจากพระมหากษัตริย์.</t>
  </si>
  <si>
    <t>การแข่งเรือยาวในสมัยก่อนมีการใช้จำนวนผู้พายเท่าไหร่?</t>
  </si>
  <si>
    <t>การแข่งเรือยาวในสมัยก่อนมักใช้ผู้พาย 30-40 คนในแต่ละทีม.</t>
  </si>
  <si>
    <t>ในสมัยก่อน การแข่งเรือยาวมีการใช้อะไรเป็นเครื่องประดับเรือ?</t>
  </si>
  <si>
    <t>A) ธงชาติ; B) เทียนไข; C) ดอกไม้; D) รูปภาพพระ</t>
  </si>
  <si>
    <t>A) ธงชาติ</t>
  </si>
  <si>
    <t>ในการแข่งเรือยาวในสมัยก่อนมักมีการตกแต่งเรือด้วยธงชาติหรือสัญลักษณ์ต่างๆ.</t>
  </si>
  <si>
    <t>การแข่งเรือยาวในสมัยกรุงศรีอยุธยาเกี่ยวข้องกับการอะไร?</t>
  </si>
  <si>
    <t>A) การทดสอบความกล้าหาญของทหาร; B) การฝึกทักษะทางทะเล; C) การบูชาเทพเจ้าทางน้ำ; D) การพัฒนากองทัพ</t>
  </si>
  <si>
    <t>B) การฝึกทักษะทางทะเล</t>
  </si>
  <si>
    <t>การแข่งขันเรือยาวในสมัยกรุงศรีอยุธยาเกี่ยวข้องกับการฝึกทักษะทางทะเล.</t>
  </si>
  <si>
    <t>การแข่งเรือยาวในสมัยโบราณมักจัดขึ้นในช่วงเวลาใด?</t>
  </si>
  <si>
    <t>A) ช่วงปีใหม่; B) ช่วงสงกรานต์; C) ช่วงออกพรรษา; D) ช่วงลอยกระทง</t>
  </si>
  <si>
    <t>C) ช่วงออกพรรษา</t>
  </si>
  <si>
    <t>การแข่งขันเรือยาวมักจัดขึ้นในช่วงออกพรรษา.</t>
  </si>
  <si>
    <t>การแข่งขันเรือยาวในสมัยกรุงศรีอยุธยามีจำนวนเรือในแต่ละการแข่งขันเท่าไหร่?</t>
  </si>
  <si>
    <t>A) 5-10 ลำ; B) 10-20 ลำ; C) 20-30 ลำ; D) 30-50 ลำ</t>
  </si>
  <si>
    <t>B) 10-20 ลำ</t>
  </si>
  <si>
    <t>ในการแข่งเรือยาวในสมัยกรุงศรีอยุธยา มักมีเรือในการแข่งขันประมาณ 10-20 ลำ.</t>
  </si>
  <si>
    <t>การแข่งขันเรือยาวในสมัยกรุงศรีอยุธยามีการแข่งขันในลักษณะใด?</t>
  </si>
  <si>
    <t>A) การแข่งขันระยะสั้น; B) การแข่งขันระยะยาว; C) การแข่งขันทีม; D) การแข่งขันแบบเดี่ยว</t>
  </si>
  <si>
    <t>B) การแข่งขันระยะยาว</t>
  </si>
  <si>
    <t>การแข่งขันเรือยาวในสมัยกรุงศรีอยุธยาเป็นการแข่งขันระยะยาวที่ใช้ความอดทน.</t>
  </si>
  <si>
    <t>การแข่งเรือยาวในสมัยก่อนมักถูกจัดขึ้นในสถานที่ใด?</t>
  </si>
  <si>
    <t>A) ทะเล; B) บึงน้ำ; C) แม่น้ำใหญ่; D) ทะเลสาบ</t>
  </si>
  <si>
    <t>การแข่งเรือยาวในสมัยก่อนมักถูกจัดขึ้นในทะเลหรือบริเวณที่มีน้ำหลาก.</t>
  </si>
  <si>
    <t>การแข่งเรือยาวในประเทศไทยได้รับความสนใจจากต่างชาติเมื่อใด?</t>
  </si>
  <si>
    <t>A) ช่วงปี 1960; B) ช่วงปี 1970; C) ช่วงปี 1980; D) ช่วงปี 1990</t>
  </si>
  <si>
    <t>B) ช่วงปี 1970</t>
  </si>
  <si>
    <t>การแข่งขันเรือยาวในประเทศไทยได้รับความสนใจจากต่างชาติมากขึ้นในช่วงปี 1970.</t>
  </si>
  <si>
    <t>การแข่งเรือยาวในสมัยกรุงศรีอยุธยามีการใช้เครื่องมืออะไรในการพาย?</t>
  </si>
  <si>
    <t>A) แพไม้; B) เสาไม้ยาว; C) พายไม้ธรรมดา; D) เชือกและหิน</t>
  </si>
  <si>
    <t>B) เสาไม้ยาว</t>
  </si>
  <si>
    <t>ในการพายเรือยาวในสมัยกรุงศรีอยุธยา มักใช้เสาไม้ยาวในการควบคุมทิศทาง.</t>
  </si>
  <si>
    <t>การแข่งเรือยาวในประเทศไทยได้รับความนิยมในต่างประเทศในช่วงใด?</t>
  </si>
  <si>
    <t>A) ช่วงสงครามโลกครั้งที่ 2; B) ช่วงปี 1950; C) ช่วงปี 1960; D) ช่วงปี 1970</t>
  </si>
  <si>
    <t>C) ช่วงปี 1960</t>
  </si>
  <si>
    <t>การแข่งขันเรือยาวได้รับความนิยมจากต่างประเทศในช่วงปี 1960.</t>
  </si>
  <si>
    <t>ในสมัยก่อน การแข่งเรือยาวจะจัดขึ้นในช่วงเวลาใดของปี?</t>
  </si>
  <si>
    <t>A) ฤดูร้อน; B) ฤดูฝน; C) ฤดูหนาว; D) ตลอดทั้งปี</t>
  </si>
  <si>
    <t>B) ฤดูฝน</t>
  </si>
  <si>
    <t>การแข่งขันเรือยาวมักจะจัดขึ้นในช่วงฤดูฝนที่มีระดับน้ำสูง.</t>
  </si>
  <si>
    <t>การแข่งเรือยาวในสมัยก่อนมีการใช้แรงงานจากใครบ้าง?</t>
  </si>
  <si>
    <t>A) ชาวนา; B) นักท่องเที่ยว; C) ชาวบ้านในชุมชน; D) ทหาร</t>
  </si>
  <si>
    <t>B) ชาวบ้านในชุมชน</t>
  </si>
  <si>
    <t>การแข่งขันเรือยาวในสมัยก่อนมักจะใช้แรงงานจากชาวบ้านในชุมชน.</t>
  </si>
  <si>
    <t>การแข่งขันเรือยาวในสมัยกรุงศรีอยุธยามีการจัดขึ้นในเทศกาลใด?</t>
  </si>
  <si>
    <t>A) เทศกาลสงกรานต์; B) เทศกาลลอยกระทง; C) เทศกาลอาสาฬหบูชา; D) เทศกาลเข้าพรรษา</t>
  </si>
  <si>
    <t>B) เทศกาลลอยกระทง</t>
  </si>
  <si>
    <t>การแข่งขันเรือยาวในสมัยกรุงศรีอยุธยามักจัดขึ้นในเทศกาลลอยกระทง.</t>
  </si>
  <si>
    <t>การแข่งเรือยาวในประเทศไทยในปัจจุบันมักจัดขึ้นที่ไหน?</t>
  </si>
  <si>
    <t>A) แม่น้ำเจ้าพระยา; B) แม่น้ำโขง; C) อ่าวไทย; D) บึงหนองบอน</t>
  </si>
  <si>
    <t>การแข่งขันเรือยาวในปัจจุบันมักจัดขึ้นที่แม่น้ำเจ้าพระยา.</t>
  </si>
  <si>
    <t>การแข่งเรือยาวในสมัยก่อนมีบทบาทในการอะไร?</t>
  </si>
  <si>
    <t>A) เสริมสร้างความเข้มแข็งของกองทัพ; B) ส่งเสริมการค้าระหว่างประเทศ; C) สนับสนุนการศึกษา; D) สนับสนุนการบูชาเทพเจ้า</t>
  </si>
  <si>
    <t>A) เสริมสร้างความเข้มแข็งของกองทัพ</t>
  </si>
  <si>
    <t>การแข่งเรือยาวในสมัยก่อนมีบทบาทในการเสริมสร้างความเข้มแข็งของกองทัพ.</t>
  </si>
  <si>
    <t>การแข่งขันเรือยาวในสมัยกรุงศรีอยุธยามีการจัดขึ้นในช่วงเวลานานเท่าไหร่?</t>
  </si>
  <si>
    <t>A) 1 วัน; B) 2-3 วัน; C) 5-7 วัน; D) 1 สัปดาห์</t>
  </si>
  <si>
    <t>B) 2-3 วัน</t>
  </si>
  <si>
    <t>การแข่งขันเรือยาวในสมัยกรุงศรีอยุธยามักจัดขึ้นเป็นระยะเวลาหลายวัน.</t>
  </si>
  <si>
    <t>การแข่งเรือยาวในสมัยกรุงศรีอยุธยามีบทบาทอย่างไรในด้านการทหาร?</t>
  </si>
  <si>
    <t>A) ใช้ฝึกทหารในการพายเรือ; B) ใช้ฝึกทหารในการบุกโจมตี; C) ใช้ทดสอบความแข็งแกร่งของทหาร; D) ใช้ฝึกทหารในการบังคับเรือ</t>
  </si>
  <si>
    <t>B) ใช้ฝึกทหารในการบุกโจมตี</t>
  </si>
  <si>
    <t>การแข่งขันเรือยาวในสมัยกรุงศรีอยุธยามีบทบาทในการฝึกทหารในการบุกโจมตีทางน้ำ.</t>
  </si>
  <si>
    <t>การแข่งเรือยาวในสมัยกรุงศรีอยุธยามีความเกี่ยวข้องกับการฝึกทหารทางน้ำอย่างไร?</t>
  </si>
  <si>
    <t>A) ฝึกทหารในการป้องกันชายฝั่ง; B) ฝึกทหารในการเดินทางทางน้ำ; C) ฝึกทหารในการควบคุมเรือ; D) ฝึกทหารในการต่อสู้ทางน้ำ</t>
  </si>
  <si>
    <t>B) ฝึกทหารในการเดินทางทางน้ำ</t>
  </si>
  <si>
    <t>การแข่งเรือยาวในสมัยกรุงศรีอยุธยามีบทบาทในการฝึกทหารในการเดินทางทางน้ำ.</t>
  </si>
  <si>
    <t>การแข่งเรือยาวในสมัยกรุงศรีอยุธยามีการใช้เรือขนาดใด?</t>
  </si>
  <si>
    <t>A) เรือขนาดเล็ก; B) เรือขนาดกลาง; C) เรือขนาดใหญ่; D) เรือขนาดยาว</t>
  </si>
  <si>
    <t>B) เรือขนาดกลาง</t>
  </si>
  <si>
    <t>การแข่งขันเรือยาวในสมัยกรุงศรีอยุธยามักใช้เรือขนาดกลางที่เหมาะสำหรับการแข่งขัน.</t>
  </si>
  <si>
    <t>การแข่งขันเรือยาวในประเทศไทยได้รับความนิยมจากประเทศใดบ้าง?</t>
  </si>
  <si>
    <t>A) ไทย มาเลเซีย เวียดนาม; B) ไทย กัมพูชา พม่า; C) ไทย ลาว กัมพูชา; D) ไทยมาเลเซียอินโดนีเซีย</t>
  </si>
  <si>
    <t>A) ไทย มาเลเซีย เวียดนาม</t>
  </si>
  <si>
    <t>การแข่งเรือยาวในประเทศไทยได้รับความนิยมในหลายประเทศในเอเชียตะวันออกเฉียงใต้ เช่น ไทยมาเลเซีย และเวียดนาม.</t>
  </si>
  <si>
    <t>การแข่งเรือยาวในประเทศไทยมีจุดเริ่มต้นจากการใด?</t>
  </si>
  <si>
    <t>A) การฝึกทหาร; B) การบูชาเทพเจ้า; C) การแข่งขันกีฬา; D) การค้าขาย</t>
  </si>
  <si>
    <t>B) การบูชาเทพเจ้า</t>
  </si>
  <si>
    <t>การแข่งเรือยาวในประเทศไทยมีจุดเริ่มต้นมาจากการบูชาเทพเจ้าและพิธีกรรมทางศาสนา.</t>
  </si>
  <si>
    <t>การแข่งขันเรือยาวในประเทศไทยเริ่มเป็นกีฬาอย่างเป็นทางการเมื่อปีใด?</t>
  </si>
  <si>
    <t>A) 1910; B) 1920; C) 1950; D) 1960</t>
  </si>
  <si>
    <t>C) 1950</t>
  </si>
  <si>
    <t>การแข่งขันเรือยาวในประเทศไทยเริ่มเป็นกีฬาอย่างเป็นทางการในปี 1950.</t>
  </si>
  <si>
    <t>ในการแข่งขันเรือยาวที่จัดในสมัยกรุงศรีอยุธยา มักมีการใช้เรือประเภทใด?</t>
  </si>
  <si>
    <t>A) เรือยาว; B) เรือแคนนู; C) เรือพายคู่; D) เรือพายเดี่ยว</t>
  </si>
  <si>
    <t>A) เรือยาว</t>
  </si>
  <si>
    <t>การแข่งขันเรือยาวในสมัยกรุงศรีอยุธยามักใช้เรือยาวที่สามารถบรรทุกคนหลายคน.</t>
  </si>
  <si>
    <t>การแข่งเรือยาวในประเทศไทยในสมัยกรุงศรีอยุธยามีการจัดแข่งขันในช่วงใด?</t>
  </si>
  <si>
    <t>A) หลังฤดูฝน; B) หลังฤดูร้อน; C) ก่อนฤดูฝน; D) ก่อนฤดูหนาว</t>
  </si>
  <si>
    <t>A) หลังฤดูฝน</t>
  </si>
  <si>
    <t>การแข่งขันเรือยาวในสมัยกรุงศรีอยุธยามักจัดขึ้นหลังฤดูฝนเมื่อระดับน้ำเหมาะสม.</t>
  </si>
  <si>
    <t>การแข่งขันเรือยาวในประเทศไทยถูกบันทึกเป็นประวัติศาสตร์ครั้งแรกในสมัยใด?</t>
  </si>
  <si>
    <t>A) สมัยกรุงศรีอยุธยา; B) สมัยกรุงธนบุรี; C) สมัยกรุงรัตนโกสินทร์; D) สมัยสุโขทัย</t>
  </si>
  <si>
    <t>การแข่งขันเรือยาวในประเทศไทยถูกบันทึกในประวัติศาสตร์ครั้งแรกในสมัยกรุงศรีอยุธยา.</t>
  </si>
  <si>
    <t>การแข่งขันเรือยาวในประเทศไทยได้จัดขึ้นในงานใดบ้าง?</t>
  </si>
  <si>
    <t>A) งานประเพณีสงกรานต์; B) งานลอยกระทง; C) งานมหกรรมการท่องเที่ยว; D) งานราชาภิเษก</t>
  </si>
  <si>
    <t>B) งานลอยกระทง</t>
  </si>
  <si>
    <t>การแข่งขันเรือยาวในประเทศไทยมักจัดขึ้นในงานประเพณีลอยกระทง.</t>
  </si>
  <si>
    <t>เรือยาวในสมัยกรุงศรีอยุธยามีขนาดประมาณใด?</t>
  </si>
  <si>
    <t>A) 5-10 เมตร; B) 10-20 เมตร; C) 20-30 เมตร; D) 30-40 เมตร</t>
  </si>
  <si>
    <t>B) 10-20 เมตร</t>
  </si>
  <si>
    <t>เรือยาวในสมัยกรุงศรีอยุธยามีขนาดประมาณ 10-20 เมตร ซึ่งเหมาะสมสำหรับการแข่งขัน.</t>
  </si>
  <si>
    <t>การแข่งเรือยาวในสมัยกรุงศรีอยุธยาเป็นส่วนหนึ่งของการฝึกอะไร?</t>
  </si>
  <si>
    <t>A) การฝึกทหาร; B) การฝึกเกษตรกรรม; C) การฝึกศิลปะการต่อสู้; D) การฝึกการเดินทาง</t>
  </si>
  <si>
    <t>B) การฝึกทหาร</t>
  </si>
  <si>
    <t>การแข่งเรือยาวในสมัยกรุงศรีอยุธยาเป็นส่วนหนึ่งของการฝึกทหารเพื่อพัฒนาทักษะทางน้ำ.</t>
  </si>
  <si>
    <t>การแข่งขันเรือยาวในประเทศไทยเคยมีการเปลี่ยนแปลงรูปแบบเมื่อปีใด?</t>
  </si>
  <si>
    <t>A) 1980; B) 1990; C) 2000; D) 2010</t>
  </si>
  <si>
    <t>B) 1990</t>
  </si>
  <si>
    <t>การแข่งขันเรือยาวในประเทศไทยมีการปรับเปลี่ยนรูปแบบการแข่งขันในปี 1990.</t>
  </si>
  <si>
    <t>การแข่งเรือยาวในสมัยกรุงศรีอยุธยามักจัดในช่วงไหนของปี?</t>
  </si>
  <si>
    <t>A) ช่วงสงกรานต์; B) ช่วงลอยกระทง; C) ช่วงเข้าพรรษา; D) ช่วงออกพรรษ</t>
  </si>
  <si>
    <t>B) ช่วงลอยกระทง</t>
  </si>
  <si>
    <t>การแข่งขันเรือยาวในสมัยกรุงศรีอยุธยามักจัดขึ้นในช่วงลอยกระทง.</t>
  </si>
  <si>
    <t>การแข่งเรือยาวในประเทศไทยมีการฝึกฝนพายเรือมาแต่โบราณเพื่อตอบสนองการอะไร?</t>
  </si>
  <si>
    <t>A) การค้าขาย; B) การต่อสู้ทางน้ำ; C) การขนส่งสินค้า; D) การท่องเที่ยว</t>
  </si>
  <si>
    <t>B) การต่อสู้ทางน้ำ</t>
  </si>
  <si>
    <t>การแข่งเรือยาวในประเทศไทยมีการฝึกฝนพายเรือมาแต่โบราณเพื่อการต่อสู้ทางน้ำ.</t>
  </si>
  <si>
    <t>การแข่งเรือยาวในประเทศไทยเคยเป็นกิจกรรมที่เกี่ยวข้องกับอะไรในสมัยก่อน?</t>
  </si>
  <si>
    <t>A) การบูชาเทพเจ้า; B) การเฉลิมฉลองราชวงศ์; C) การท่องเที่ยวเชิงกีฬา; D) การเสริมสร้างเศรษฐกิจ</t>
  </si>
  <si>
    <t>A) การบูชาเทพเจ้า</t>
  </si>
  <si>
    <t>การแข่งเรือยาวในประเทศไทยเคยเป็นกิจกรรมที่เกี่ยวข้องกับการบูชาเทพเจ้า.</t>
  </si>
  <si>
    <t>การแข่งขันเรือยาวในประเทศไทยได้รับความนิยมจากประเทศใดมากที่สุด?</t>
  </si>
  <si>
    <t>A) กัมพูชา; B) ลาว; C) เวียดนาม; D) มาเลเซีย</t>
  </si>
  <si>
    <t>D) มาเลเซีย</t>
  </si>
  <si>
    <t>การแข่งขันเรือยาวในประเทศไทยได้รับความนิยมจากประเทศมาเลเซียมากที่สุดในภูมิภาคเอเชียตะวันออกเฉียงใต้.</t>
  </si>
  <si>
    <t>การแข่งขันเรือยาวในสมัยกรุงศรีอยุธยาเป็นกิจกรรมที่เกี่ยวข้องกับการอะไร?</t>
  </si>
  <si>
    <t>A) การฝึกทหารทางน้ำ; B) การฝึกศิลปะการต่อสู้; C) การเพิ่มผลผลิตทางการเกษตร; D) การพัฒนาทักษะในการเดินทางทางน้ำ</t>
  </si>
  <si>
    <t>A) การฝึกทหารทางน้ำ</t>
  </si>
  <si>
    <t>การแข่งขันเรือยาวในสมัยกรุงศรีอยุธยาเป็นกิจกรรมที่เกี่ยวข้องกับการฝึกทหารทางน้ำ.</t>
  </si>
  <si>
    <t>การแข่งเรือยาวในประเทศไทยถือเป็นกิจกรรมที่สำคัญในช่วงเทศกาลใด?</t>
  </si>
  <si>
    <t>A) เทศกาลลอยกระทง; B) เทศกาลสงกรานต์; C) เทศกาลตรุษจีน; D) เทศกาลปีใหม่</t>
  </si>
  <si>
    <t>A) เทศกาลลอยกระทง</t>
  </si>
  <si>
    <t>การแข่งเรือยาวในประเทศไทยมักจัดขึ้นในช่วงเทศกาลลอยกระทง.</t>
  </si>
  <si>
    <t>ในสมัยกรุงศรีอยุธยา การแข่งขันเรือยาวมักมีจำนวนเรือเท่าไร?</t>
  </si>
  <si>
    <t>A) 10 ลำ; B) 20 ลำ; C) 50 ลำ; D) 100 ลำ</t>
  </si>
  <si>
    <t>B) 20 ลำ</t>
  </si>
  <si>
    <t>ในการแข่งขันเรือยาวในสมัยกรุงศรีอยุธยามักมีจำนวนเรือประมาณ 20 ลำ.</t>
  </si>
  <si>
    <t>การแข่งเรือยาวในสมัยกรุงศรีอยุธยาได้รับการสนับสนุนจากใคร?</t>
  </si>
  <si>
    <t>A) พระมหากษัตริย์; B) ข้าราชการ; C) ชาวบ้าน; D) นักธุรกิจ</t>
  </si>
  <si>
    <t>การแข่งเรือยาวในสมัยกรุงศรีอยุธยาได้รับการสนับสนุนจากพระมหากษัตริย์.</t>
  </si>
  <si>
    <t>ในสมัยกรุงศรีอยุธยา การแข่งเรือยาวมักจัดขึ้นที่ใด?</t>
  </si>
  <si>
    <t>A) แม่น้ำเจ้าพระยา; B) แม่น้ำโขง; C) ทะเลอันดามัน; D) ทะเลสาบพะงัน</t>
  </si>
  <si>
    <t>การแข่งเรือยาวในสมัยกรุงศรีอยุธยามักจัดขึ้นในแม่น้ำเจ้าพระยา.</t>
  </si>
  <si>
    <t>การแข่งเรือยาวในประเทศไทยเป็นกีฬาที่มีการจัดการแข่งขันในระดับนานาชาติในช่วงใด?</t>
  </si>
  <si>
    <t>การแข่งเรือยาวในประเทศไทยเริ่มจัดการแข่งขันในระดับนานาชาติในช่วงปี 1970.</t>
  </si>
  <si>
    <t>การแข่งเรือยาวในสมัยกรุงศรีอยุธยาใช้เทคนิคอะไรในการพายเรือ?</t>
  </si>
  <si>
    <t>A) การพายแบบประคอง; B) การพายแบบรุก; C) การพายแบบสลับ; D) การพายแบบแข่งเร็ว</t>
  </si>
  <si>
    <t>B) การพายแบบรุก</t>
  </si>
  <si>
    <t>การแข่งเรือยาวในสมัยกรุงศรีอยุธยาใช้เทคนิคการพายแบบรุก.</t>
  </si>
  <si>
    <t>การแข่งเรือยาวในสมัยกรุงศรีอยุธยามักจัดในช่วงเวลาใดของวัน?</t>
  </si>
  <si>
    <t>A) เช้า; B) บ่าย; C) กลางคืน; D) ดึก</t>
  </si>
  <si>
    <t>A) เช้า</t>
  </si>
  <si>
    <t>การแข่งเรือยาวในสมัยกรุงศรีอยุธยามักจัดในช่วงเช้า.</t>
  </si>
  <si>
    <t>การแข่งขันเรือยาวในประเทศไทยมีการใช้เรือประเภทใดในการแข่งขัน?</t>
  </si>
  <si>
    <t>A) เรือท้องแบน; B) เรือยาวขนาดกลาง; C) เรือยนต์; D) เรือไม้พาย</t>
  </si>
  <si>
    <t>A) เรือท้องแบน</t>
  </si>
  <si>
    <t>การแข่งขันเรือยาวในประเทศไทยมักใช้เรือท้องแบนในการแข่งขัน.</t>
  </si>
  <si>
    <t>การแข่งขันเรือยาวในสมัยกรุงศรีอยุธยามักมีการจัดแข่งขันในช่วงเดือนใด?</t>
  </si>
  <si>
    <t>A) เดือนสิงหาคม; B) เดือนตุลาคม; C) เดือนพฤศจิกายน; D) เดือนธันวาคม</t>
  </si>
  <si>
    <t>B) เดือนตุลาคม</t>
  </si>
  <si>
    <t>การแข่งเรือยาวในสมัยกรุงศรีอยุธยามักจัดในช่วงเดือนตุลาคม.</t>
  </si>
  <si>
    <t>การแข่งขันเรือยาวในประเทศไทยเคยมีการใช้เครื่องมือช่วยในการแข่งขันหรือไม่?</t>
  </si>
  <si>
    <t>A) ใช้; B) ไม่ใช้; C) ใช้ในบางครั้ง; D) ใช้เมื่อจำเป็น</t>
  </si>
  <si>
    <t>A) ใช้</t>
  </si>
  <si>
    <t>การแข่งขันเรือยาวในประเทศไทยเคยใช้เครื่องมือช่วยในการแข่งขัน.</t>
  </si>
  <si>
    <t>การแข่งขันเรือยาวในประเทศไทยเริ่มเป็นที่รู้จักในระดับสากลในปีใด?</t>
  </si>
  <si>
    <t>การแข่งขันเรือยาวในประเทศไทยเริ่มเป็นที่รู้จักในระดับสากลในปี 1990.</t>
  </si>
  <si>
    <t>การแข่งเรือยาวในประเทศไทยได้รับการส่งเสริมจากรัฐบาลในช่วงเวลาใด?</t>
  </si>
  <si>
    <t>A) ปี 1940; B) ปี 1950; C) ปี 1960; D) ปี 1970</t>
  </si>
  <si>
    <t>B) ปี 1950</t>
  </si>
  <si>
    <t>การแข่งเรือยาวในประเทศไทยได้รับการส่งเสริมจากรัฐบาลในช่วงปี 1950 เพื่อเพิ่มกิจกรรมทางวัฒนธรรมและกีฬา.</t>
  </si>
  <si>
    <t>ในอดีตการแข่งเรือยาวเป็นส่วนหนึ่งของกิจกรรมใดในสมัยกรุงศรีอยุธยา?</t>
  </si>
  <si>
    <t>A) การเฉลิมฉลองการครองราชย์; B) การฝึกทหารทางน้ำ; C) การบูชาเทพเจ้า; D) การพัฒนาการเกษตร</t>
  </si>
  <si>
    <t>B) การฝึกทหารทางน้ำ</t>
  </si>
  <si>
    <t>ในอดีตการแข่งเรือยาวในสมัยกรุงศรีอยุธยาเป็นส่วนหนึ่งของการฝึกทหารทางน้ำ.</t>
  </si>
  <si>
    <t>การแข่งเรือยาวในสมัยกรุงศรีอยุธยามักมีการใช้เรือที่ทำจากวัสดุใด?</t>
  </si>
  <si>
    <t>A) ไม้; B) โลหะ; C) แก้ว; D) พลาสติก</t>
  </si>
  <si>
    <t>ในการแข่งเรือยาวในสมัยกรุงศรีอยุธยา มักใช้เรือที่ทำจากไม้.</t>
  </si>
  <si>
    <t>การแข่งขันเรือยาวในประเทศไทยเริ่มมีการตั้งกฎเกณฑ์การแข่งเมื่อใด?</t>
  </si>
  <si>
    <t>A) ปี 1910; B) ปี 1930; C) ปี 1950; D) ปี 1970</t>
  </si>
  <si>
    <t>C) ปี 1950</t>
  </si>
  <si>
    <t>การแข่งขันเรือยาวในประเทศไทยเริ่มมีการตั้งกฎเกณฑ์การแข่งในปี 1950.</t>
  </si>
  <si>
    <t>การแข่งเรือยาวในประเทศไทยถูกจัดขึ้นที่ใดบ้างในอดีต?</t>
  </si>
  <si>
    <t>A) แม่น้ำเจ้าพระยา; B) ทะเลสาบสงขลา; C) ทะเลอ่าวไทย; D) แม่น้ำโขง</t>
  </si>
  <si>
    <t>ในอดีตการแข่งขันเรือยาวในประเทศไทยมักจัดขึ้นในแม่น้ำเจ้าพระยา.</t>
  </si>
  <si>
    <t>การแข่งเรือยาวในประเทศไทยมีความสำคัญอย่างไรในสมัยก่อน?</t>
  </si>
  <si>
    <t>A) เป็นการฝึกทักษะทหาร; B) เป็นกิจกรรมเพื่อความสนุกสนาน; C) เป็นกิจกรรมทางเศรษฐกิจ; D) เป็นกิจกรรมเพื่อการบูชาเทพเจ้า</t>
  </si>
  <si>
    <t>A) เป็นการฝึกทักษะทหาร</t>
  </si>
  <si>
    <t>การแข่งเรือยาวในประเทศไทยในสมัยก่อนมีความสำคัญในการฝึกทักษะทหารทางน้ำ.</t>
  </si>
  <si>
    <t>การแข่งขันเรือยาวในประเทศไทยมีประเพณีการจัดแข่งขันในวันใด?</t>
  </si>
  <si>
    <t>A) วันสงกรานต์; B) วันลอยกระทง; C) วันตรุษจีน; D) วันปีใหม่</t>
  </si>
  <si>
    <t>B) วันลอยกระทง</t>
  </si>
  <si>
    <t>การแข่งขันเรือยาวในประเทศไทยมักจัดขึ้นในวันลอยกระทง.</t>
  </si>
  <si>
    <t>การแข่งเรือยาวในประเทศไทยได้รับความนิยมจากชนชาติใดในอดีต?</t>
  </si>
  <si>
    <t>A) ชาวไทย; B) ชาวจีน; C) ชาวมอญ; D) ชาวเขมร</t>
  </si>
  <si>
    <t>A) ชาวไทย</t>
  </si>
  <si>
    <t>การแข่งเรือยาวในประเทศไทยได้รับความนิยมจากชาวไทยในอดีต.</t>
  </si>
  <si>
    <t>การแข่งเรือยาวในสมัยกรุงศรีอยุธยาเคยเป็นกิจกรรมที่ใช้ในการอะไร?</t>
  </si>
  <si>
    <t>A) ฝึกทหารทางน้ำ; B) สร้างความสนุกสนาน; C) สืบทอดอำนาจทางศาสนา; D) กระตุ้นเศรษฐกิจ</t>
  </si>
  <si>
    <t>B) ฝึกทหารทางน้ำ</t>
  </si>
  <si>
    <t>การแข่งเรือยาวในสมัยกรุงศรีอยุธยาเคยเป็นกิจกรรมที่ใช้ในการฝึกทหารทางน้ำ.</t>
  </si>
  <si>
    <t>การแข่งเรือยาวในประเทศไทยมีการเปลี่ยนแปลงในด้านใดในปี 1980?</t>
  </si>
  <si>
    <t>A) จำนวนเรือที่แข่งขัน; B) รูปแบบการแข่งขัน; C) จำนวนผู้ชม; D) การใช้เทคโนโลยี</t>
  </si>
  <si>
    <t>A) จำนวนเรือที่แข่งขัน</t>
  </si>
  <si>
    <t>ในการแข่งเรือยาวในประเทศไทยในปี 1980 มีการเปลี่ยนแปลงในจำนวนเรือที่ใช้แข่งขัน.</t>
  </si>
  <si>
    <t>การแข่งเรือยาวในสมัยกรุงศรีอยุธยามีความสำคัญอย่างไร?</t>
  </si>
  <si>
    <t>A) เป็นกิจกรรมที่สนับสนุนการเกษตร; B) เป็นกิจกรรมที่ฝึกทหารทางน้ำ; C) เป็นกิจกรรมการท่องเที่ยว; D) เป็นกิจกรรมการค้า</t>
  </si>
  <si>
    <t>B) เป็นกิจกรรมที่ฝึกทหารทางน้ำ</t>
  </si>
  <si>
    <t>การแข่งเรือยาวในสมัยกรุงศรีอยุธยาเป็นกิจกรรมที่ฝึกทหารทางน้ำเพื่อการป้องกันประเทศ.</t>
  </si>
  <si>
    <t>การแข่งเรือยาวในประเทศไทยในอดีตมักมีการจัดแข่งขันในช่วงเวลาใด?</t>
  </si>
  <si>
    <t>A) ช่วงหน้าฝน; B) ช่วงฤดูฝน; C) ช่วงฤดูร้อน; D) ช่วงฤดูหนาว</t>
  </si>
  <si>
    <t>B) ช่วงฤดูฝน</t>
  </si>
  <si>
    <t>ในการแข่งเรือยาวในอดีตมักมีการจัดแข่งขันในช่วงฤดูฝนเมื่อระดับน้ำในแม่น้ำสูง.</t>
  </si>
  <si>
    <t>การแข่งเรือยาวในประเทศไทยได้รับการสนับสนุนจากราชวงศ์ใด?</t>
  </si>
  <si>
    <t>A) ราชวงศ์จักรี; B) ราชวงศ์สุโขทัย; C) ราชวงศ์อยุธยา; D) ราชวงศ์ธนบุรี</t>
  </si>
  <si>
    <t>A) ราชวงศ์จักรี</t>
  </si>
  <si>
    <t>การแข่งเรือยาวในประเทศไทยได้รับการสนับสนุนจากราชวงศ์จักรีในช่วงยุคสมัยใหม่.</t>
  </si>
  <si>
    <t>การแข่งเรือยาวในประเทศไทยมีการพัฒนากีฬานี้ในช่วงใด?</t>
  </si>
  <si>
    <t>A) ช่วงกรุงศรีอยุธยา; B) ช่วงกรุงธนบุรี; C) ช่วงกรุงรัตนโกสินทร์; D) ช่วงยุคปัจจุบัน</t>
  </si>
  <si>
    <t>C) ช่วงกรุงรัตนโกสินทร์</t>
  </si>
  <si>
    <t>การแข่งเรือยาวในประเทศไทยเริ่มมีการพัฒนากีฬานี้ในช่วงกรุงรัตนโกสินทร์.</t>
  </si>
  <si>
    <t>การแข่งเรือยาวในประเทศไทยได้รับการยอมรับในระดับสากลเมื่อปีใด?</t>
  </si>
  <si>
    <t>A) 1970; B) 1980; C) 1990; D) 2000</t>
  </si>
  <si>
    <t>C) 1990</t>
  </si>
  <si>
    <t>การแข่งเรือยาวในประเทศไทยได้รับการยอมรับในระดับสากลในปี 1990.</t>
  </si>
  <si>
    <t>การแข่งขันเรือยาวในประเทศไทยได้รับการจัดในกิจกรรมใดมากที่สุด?</t>
  </si>
  <si>
    <t>A) งานเทศกาลลอยกระทง; B) งานมหกรรมกีฬาแห่งชาติ; C) งานสงกรานต์; D) งานการกุศล</t>
  </si>
  <si>
    <t>A) งานเทศกาลลอยกระทง</t>
  </si>
  <si>
    <t>การแข่งขันเรือยาวในประเทศไทยมักจัดในงานเทศกาลลอยกระทง.</t>
  </si>
  <si>
    <t>การแข่งเรือยาวในประเทศไทยเริ่มได้รับความนิยมมากขึ้นในช่วงเวลาใด?</t>
  </si>
  <si>
    <t>A) ปี 1930; B) ปี 1950; C) ปี 1970; D) ปี 1990</t>
  </si>
  <si>
    <t>การแข่งเรือยาวในประเทศไทยเริ่มได้รับความนิยมมากขึ้นในช่วงปี 1950.</t>
  </si>
  <si>
    <t>การแข่งเรือยาวในประเทศไทยเริ่มมีกฎเกณฑ์การแข่งขันอย่างเป็นทางการในปีใด?</t>
  </si>
  <si>
    <t>การแข่งเรือยาวในประเทศไทยเริ่มมีกฎเกณฑ์การแข่งขันอย่างเป็นทางการในปี 1950.</t>
  </si>
  <si>
    <t>การแข่งขันเรือยาวในประเทศไทยเริ่มเป็นที่รู้จักในระดับนานาชาติเมื่อปีใด?</t>
  </si>
  <si>
    <t>การแข่งขันเรือยาวในประเทศไทยเริ่มเป็นที่รู้จักในระดับนานาชาติในปี 1990.</t>
  </si>
  <si>
    <t>การแข่งเรือยาวในประเทศไทยมีกฎเกณฑ์ในการจัดการแข่งขันอะไรบ้าง?</t>
  </si>
  <si>
    <t>A) กฎเรื่องความเร็ว; B) กฎเรื่องจำนวนผู้เข้าแข่งขัน; C) กฎเรื่องระยะทาง; D) กฎเรื่องความปลอดภัย</t>
  </si>
  <si>
    <t>A) กฎเรื่องความเร็ว</t>
  </si>
  <si>
    <t>ในการแข่งขันเรือยาวในประเทศไทยมีกฎเกณฑ์เกี่ยวกับความเร็วในการแข่ง.</t>
  </si>
  <si>
    <t>การแข่งขันเรือยาวในประเทศไทยเริ่มจัดการแข่งขันในระดับสากลในช่วงเวลาใด?</t>
  </si>
  <si>
    <t>A) ปี 1980; B) ปี 1990; C) ปี 2000; D) ปี 2010</t>
  </si>
  <si>
    <t>B) ปี 1990</t>
  </si>
  <si>
    <t>การแข่งขันเรือยาวในประเทศไทยเริ่มจัดการแข่งขันในระดับสากลในช่วงปี 1990.</t>
  </si>
  <si>
    <t>การแข่งขันเรือยาวในประเทศไทยในอดีตเคยใช้เรือประเภทใดในการแข่งขัน?</t>
  </si>
  <si>
    <t>A) เรือไม้; B) เรืออลูมิเนียม; C) เรือเหล็ก; D) เรือพลาสติก</t>
  </si>
  <si>
    <t>A) เรือไม้</t>
  </si>
  <si>
    <t>ในการแข่งขันเรือยาวในประเทศไทยในอดีตมักใช้เรือไม้ในการแข่ง.</t>
  </si>
  <si>
    <t>การแข่งขันเรือยาวในประเทศไทยในอดีตเคยมีการใช้เครื่องมือช่วยในการแข่งขันหรือไม่?</t>
  </si>
  <si>
    <t>ในการแข่งขันเรือยาวในประเทศไทยในอดีตเคยมีการใช้เครื่องมือช่วยในการแข่งขัน.</t>
  </si>
  <si>
    <t>การแข่งเรือยาวในประเทศไทยเริ่มได้รับการสนับสนุนจากรัฐในปีใด?</t>
  </si>
  <si>
    <t>A) ปี 1920; B) ปี 1930; C) ปี 1940; D) ปี 1950</t>
  </si>
  <si>
    <t>C) ปี 1940</t>
  </si>
  <si>
    <t>การแข่งเรือยาวในประเทศไทยเริ่มได้รับการสนับสนุนจากรัฐในปี 1940.</t>
  </si>
  <si>
    <t>การแข่งขันเรือยาวในประเทศไทยมีการเปลี่ยนแปลงในด้านใดในปี 1980?</t>
  </si>
  <si>
    <t>A) กฎการแข่งขัน; B) จำนวนผู้แข่งขัน; C) การใช้เทคโนโลยี; D) รูปแบบเรือ</t>
  </si>
  <si>
    <t>A) กฎการแข่งขัน</t>
  </si>
  <si>
    <t>การแข่งขันเรือยาวในประเทศไทยมีการเปลี่ยนแปลงในด้านกฎการแข่งขันในปี 1980.</t>
  </si>
  <si>
    <t>การแข่งขันเรือยาวในสมัยกรุงศรีอยุธยามักจัดขึ้นเพื่ออะไร?</t>
  </si>
  <si>
    <t>A) การฝึกทหาร; B) การเฉลิมฉลองทางศาสนา; C) การเพิ่มรายได้จากการท่องเที่ยว; D) การศึกษา</t>
  </si>
  <si>
    <t>A) การฝึกทหาร</t>
  </si>
  <si>
    <t>การแข่งขันเรือยาวในสมัยกรุงศรีอยุธยาเป็นกิจกรรมที่ใช้ในการฝึกทหาร.</t>
  </si>
  <si>
    <t>การแข่งเรือยาวในประเทศไทยเริ่มได้รับความนิยมในช่วงใด?</t>
  </si>
  <si>
    <t>A) สมัยสุโขทัย; B) สมัยกรุงศรีอยุธยา; C) สมัยกรุงรัตนโกสินทร์; D) สมัยกรุงธนบุรี</t>
  </si>
  <si>
    <t>B) สมัยกรุงศรีอยุธยา</t>
  </si>
  <si>
    <t>การแข่งขันเรือยาวในประเทศไทยเริ่มได้รับความนิยมในสมัยกรุงศรีอยุธยา.</t>
  </si>
  <si>
    <t>การแข่งเรือยาวในสมัยกรุงศรีอยุธยามีการแข่งขันในแม่น้ำใด?</t>
  </si>
  <si>
    <t>A) แม่น้ำโขง; B) แม่น้ำเจ้าพระยา; C) แม่น้ำแม่กลอง; D) แม่น้ำลาว</t>
  </si>
  <si>
    <t>B) แม่น้ำเจ้าพระยา</t>
  </si>
  <si>
    <t>การแข่งเรือยาวในสมัยกรุงศรีอยุธยามักจัดในแม่น้ำเจ้าพระยา.</t>
  </si>
  <si>
    <t>การแข่งเรือยาวในประเทศไทยมีความสำคัญในด้านใด?</t>
  </si>
  <si>
    <t>A) การฝึกทหาร; B) การสร้างความบันเทิง; C) การสร้างรายได้จากการท่องเที่ยว; D) การสืบทอดวัฒนธรรม</t>
  </si>
  <si>
    <t>การแข่งเรือยาวในประเทศไทยมีความสำคัญในการฝึกทหาร.</t>
  </si>
  <si>
    <t>การแข่งขันเรือยาวในประเทศไทยได้รับการส่งเสริมโดยใคร?</t>
  </si>
  <si>
    <t>A) รัฐบาล; B) บริษัทเอกชน; C) สมาคมกีฬาทางน้ำ; D) โรงเรียน</t>
  </si>
  <si>
    <t xml:space="preserve"> A) รัฐบาล</t>
  </si>
  <si>
    <t>การแข่งเรือยาวในประเทศไทยได้รับการส่งเสริมจากรัฐบาล.</t>
  </si>
  <si>
    <t>การแข่งขันเรือยาวในประเทศไทยเริ่มเป็นที่รู้จักในระดับนานาชาติในช่วงใด?</t>
  </si>
  <si>
    <t>A) ปี 1960; B) ปี 1980; C) ปี 1990; D) ปี 2000</t>
  </si>
  <si>
    <t>C) ปี 1990</t>
  </si>
  <si>
    <t>การแข่งเรือยาวในประเทศไทยมีการจัดการแข่งขันในช่วงใดของปี?</t>
  </si>
  <si>
    <t>A) ฤดูฝน; B) ฤดูร้อน; C) ฤดูหนาว; D) ฤดูใบไม้ผลิ</t>
  </si>
  <si>
    <t>การแข่งเรือยาวในประเทศไทยมักจัดในฤดูฝนเมื่อระดับน้ำในแม่น้ำสูง.</t>
  </si>
  <si>
    <t>การแข่งเรือยาวในสมัยกรุงศรีอยุธยามีการใช้อุปกรณ์ใดในการแข่งขัน?</t>
  </si>
  <si>
    <t>A) พายไม้; B) เรือไม้ท้องแบน; C) เรือเหล็ก; D) เรือพลาสติก</t>
  </si>
  <si>
    <t>B) เรือไม้ท้องแบน</t>
  </si>
  <si>
    <t>ในการแข่งขันเรือยาวในสมัยกรุงศรีอยุธยา ใช้เรือไม้ท้องแบนในการแข่ง.</t>
  </si>
  <si>
    <t>การแข่งขันเรือยาวในประเทศไทยมีการใช้กลยุทธ์ใดในการแข่งขัน?</t>
  </si>
  <si>
    <t>A) การพายสลับ; B) การพายแบบรวดเร็ว; C) การพายแบบประคอง; D) การพายแบบกะทัดรัด</t>
  </si>
  <si>
    <t>B) การพายแบบรวดเร็ว</t>
  </si>
  <si>
    <t>ในการแข่งขันเรือยาวในประเทศไทย นักพายใช้กลยุทธ์การพายแบบรวดเร็ว.</t>
  </si>
  <si>
    <t>การแข่งเรือยาวในประเทศไทยได้รับการสนับสนุนจากสถาบันใด?</t>
  </si>
  <si>
    <t>A) โรงเรียน; B) องค์การกีฬาแห่งประเทศไทย; C) สมาคมกีฬาแห่งชาติ; D) องค์กรภาครัฐ</t>
  </si>
  <si>
    <t>B) องค์การกีฬาแห่งประเทศไทย</t>
  </si>
  <si>
    <t>การแข่งเรือยาวในประเทศไทยได้รับการสนับสนุนจากองค์การกีฬาแห่งประเทศไทย.</t>
  </si>
  <si>
    <t>การแข่งเรือยาวในประเทศไทยได้รับการยอมรับในระดับสากลในช่วงเวลาใด?</t>
  </si>
  <si>
    <t>การแข่งเรือยาวในประเทศไทยเริ่มมีการแข่งขันในระดับนานาชาติในปีใด?</t>
  </si>
  <si>
    <t>B) 1980</t>
  </si>
  <si>
    <t>การแข่งขันเรือยาวในประเทศไทยเริ่มมีการแข่งขันในระดับนานาชาติในปี 1980.</t>
  </si>
  <si>
    <t>การแข่งเรือยาวในประเทศไทยมักจัดขึ้นในเทศกาลใด?</t>
  </si>
  <si>
    <t>A) เทศกาลสงกรานต์; B) เทศกาลลอยกระทง; C) เทศกาลปีใหม่; D) เทศกาลเข้าพรรษา</t>
  </si>
  <si>
    <t>การแข่งเรือยาวในประเทศไทยมักจัดในเทศกาลลอยกระทง.</t>
  </si>
  <si>
    <t>การแข่งขันเรือยาวในประเทศไทยได้รับการสนับสนุนจากใคร?</t>
  </si>
  <si>
    <t>A) รัฐบาล; B) ภาคเอกชน; C) ชุมชนท้องถิ่น; D) การกีฬาแห่งประเทศไทย</t>
  </si>
  <si>
    <t>A) รัฐบาล</t>
  </si>
  <si>
    <t>การแข่งขันเรือยาวในประเทศไทยได้รับการสนับสนุนจากรัฐบาล.</t>
  </si>
  <si>
    <t>การแข่งเรือยาวในประเทศไทยมีการปรับเปลี่ยนรูปแบบการแข่งขันอย่างไรในปี 1980?</t>
  </si>
  <si>
    <t>A) การแข่งขันมีรูปแบบสากลมากขึ้น; B) เรือที่ใช้แข่งขันเป็นเรือขนาดใหญ่; C) การแข่งขันเริ่มมีการรับชมทางโทรทัศน์; D) มีการเพิ่มประเภทการแข่งขัน</t>
  </si>
  <si>
    <t>A) การแข่งขันมีรูปแบบสากลมากขึ้น</t>
  </si>
  <si>
    <t>การแข่งเรือยาวในประเทศไทยในปี 1980 ได้มีการปรับเปลี่ยนรูปแบบให้เป็นสากลมากขึ้น.</t>
  </si>
  <si>
    <t>การแข่งเรือยาวในประเทศไทยเคยมีการจัดแข่งในระยะทางที่ไกลที่สุดเท่าใด?</t>
  </si>
  <si>
    <t>A) 5 กิโลเมตร; B) 10 กิโลเมตร; C) 15 กิโลเมตร; D) 20 กิโลเมตร</t>
  </si>
  <si>
    <t>B) 10 กิโลเมตร</t>
  </si>
  <si>
    <t>ในการแข่งเรือยาวในประเทศไทย การแข่งขันเคยมีระยะทางไกลที่สุดถึง 10 กิโลเมตร.</t>
  </si>
  <si>
    <t>การแข่งขันเรือยาวในประเทศไทยมักมีจำนวนทีมที่เข้าแข่งขันประมาณเท่าไหร่?</t>
  </si>
  <si>
    <t>A) 5 ทีม; B) 10 ทีม; C) 15 ทีม; D) 20 ทีม</t>
  </si>
  <si>
    <t>B) 10 ทีม</t>
  </si>
  <si>
    <t>ในการแข่งขันเรือยาวในประเทศไทย มักมีจำนวนทีมที่เข้าแข่งขันประมาณ 10 ทีม.</t>
  </si>
  <si>
    <t>การแข่งเรือยาวในประเทศไทยเริ่มได้รับความนิยมในระดับสากลเมื่อปีใด?</t>
  </si>
  <si>
    <t>การแข่งเรือยาวในประเทศไทยเริ่มได้รับความนิยมในระดับสากลในปี 1990.</t>
  </si>
  <si>
    <t>การแข่งเรือยาวในประเทศไทยมีการใช้เทคโนโลยีในการจัดการแข่งขันหรือไม่?</t>
  </si>
  <si>
    <t>A) ใช้; B) ไม่ใช้; C) ใช้บางครั้ง; D) ใช้เมื่อจำเป็น</t>
  </si>
  <si>
    <t>การแข่งเรือยาวในประเทศไทยมีการใช้เทคโนโลยีในการจัดการแข่งขัน.</t>
  </si>
  <si>
    <t>การแข่งเรือยาวในประเทศไทยมีการจัดในเทศกาลใดมากที่สุด?</t>
  </si>
  <si>
    <t>A) เทศกาลสงกรานต์; B) เทศกาลลอยกระทง; C) เทศกาลเข้าพรรษา; D) เทศกาลปีใหม่</t>
  </si>
  <si>
    <t>การแข่งเรือยาวในประเทศไทยมักจัดในเทศกาลลอยกระทงมากที่สุด.</t>
  </si>
  <si>
    <t>ในการแข่งขันเรือยาวในประเทศไทย เรือที่ใช้ในการแข่งขันส่วนใหญ่ทำจากวัสดุใด?</t>
  </si>
  <si>
    <t>A) ไม้; B) พลาสติก; C) เหล็ก; D) อลูมิเนียม</t>
  </si>
  <si>
    <t>เรือที่ใช้ในการแข่งขันเรือยาวในประเทศไทยส่วนใหญ่ทำจากไม้.</t>
  </si>
  <si>
    <t>การแข่งขันเรือยาวในประเทศไทยเริ่มได้รับความนิยมในช่วงใด?</t>
  </si>
  <si>
    <t>การแข่งขันเรือยาวในประเทศไทยมักจัดขึ้นในแม่น้ำใด?</t>
  </si>
  <si>
    <t>A) แม่น้ำเจ้าพระยา; B) แม่น้ำโขง; C) แม่น้ำแม่กลอง; D) แม่น้ำป่าสัก</t>
  </si>
  <si>
    <t>การแข่งขันเรือยาวในประเทศไทยมักจัดในแม่น้ำเจ้าพระยา.</t>
  </si>
  <si>
    <t>การแข่งขันเรือยาวในประเทศไทยมีจุดเริ่มต้นจากการฝึกทหารในสมัยใด?</t>
  </si>
  <si>
    <t>การฝึกทหารในสมัยกรุงศรีอยุธยาเป็นจุดเริ่มต้นของการแข่งขันเรือยาว.</t>
  </si>
  <si>
    <t>การแข่งเรือยาวในประเทศไทยได้รับการสนับสนุนจากใครในช่วงแรก?</t>
  </si>
  <si>
    <t>A) ราชวงศ์; B) ชาวบ้าน; C) กรมทหาร; D) การกีฬาแห่งประเทศไทย</t>
  </si>
  <si>
    <t>A) ราชวงศ์</t>
  </si>
  <si>
    <t>การแข่งขันเรือยาวในประเทศไทยได้รับการสนับสนุนจากราชวงศ์ในช่วงแรก.</t>
  </si>
  <si>
    <t>การแข่งขันเรือยาวในสมัยกรุงศรีอยุธยามีการใช้เรือประเภทใด?</t>
  </si>
  <si>
    <t>A) เรือท้องแบน; B) เรือยาว; C) เรือหางยาว; D) เรือเร็ว</t>
  </si>
  <si>
    <t>ในการแข่งขันเรือยาวในสมัยกรุงศรีอยุธยา ใช้เรือท้องแบน.</t>
  </si>
  <si>
    <t>การแข่งเรือยาวในประเทศไทยเริ่มได้รับความนิยมจากนักท่องเที่ยวในช่วงใด?</t>
  </si>
  <si>
    <t>A) ปี 1960; B) ปี 1970; C) ปี 1980; D) ปี 1990</t>
  </si>
  <si>
    <t>C) ปี 1980</t>
  </si>
  <si>
    <t>การแข่งขันเรือยาวในประเทศไทยเริ่มได้รับความนิยมจากนักท่องเที่ยวในปี 1980.</t>
  </si>
  <si>
    <t>การแข่งเรือยาวในประเทศไทยมีการจัดเป็นประจำทุกปีตั้งแต่ปีใด?</t>
  </si>
  <si>
    <t>A) 1900; B) 1920; C) 1930; D) 1940</t>
  </si>
  <si>
    <t>C) 1930</t>
  </si>
  <si>
    <t>การแข่งขันเรือยาวในประเทศไทยมีการจัดเป็นประจำทุกปีตั้งแต่ปี 1930.</t>
  </si>
  <si>
    <t>ในการแข่งขันเรือยาวในประเทศไทย ผู้เข้าแข่งขันมักจะต้องฝึกฝนกันนานแค่ไหน?</t>
  </si>
  <si>
    <t>A) 1 เดือน; B) 3 เดือน; C) 6 เดือน; D) 1 ปี</t>
  </si>
  <si>
    <t>B) 3 เดือน</t>
  </si>
  <si>
    <t>ผู้เข้าแข่งขันในการแข่งเรือยาวมักจะต้องฝึกฝนกันอย่างน้อย 3 เดือน.</t>
  </si>
  <si>
    <t>การแข่งขันเรือยาวในประเทศไทยมีการเปลี่ยนแปลงในด้านใดในช่วงปี 2000?</t>
  </si>
  <si>
    <t>A) การแข่งขันมีการใช้เทคโนโลยีสมัยใหม่; B) มีการเพิ่มประเภทการแข่งขัน; C) การแข่งขันเริ่มมีการถ่ายทอดสดทางโทรทัศน์; D) เรือที่ใช้แข่งขันเริ่มมีการปรับแต่ง</t>
  </si>
  <si>
    <t>C) การแข่งขันเริ่มมีการถ่ายทอดสดทางโทรทัศน์</t>
  </si>
  <si>
    <t>ในการแข่งขันเรือยาวในประเทศไทยในช่วงปี 2000 มีการถ่ายทอดสดทางโทรทัศน์.</t>
  </si>
  <si>
    <t>การแข่งเรือยาวในประเทศไทยมักจัดขึ้นในช่วงเดือนใด?</t>
  </si>
  <si>
    <t>A) มกราคม-กุมภาพันธ์; B) เมษายน-พฤษภาคม; C) สิงหาคม-ตุลาคม; D) พฤศจิกายน-ธันวาคม</t>
  </si>
  <si>
    <t>C) สิงหาคม-ตุลาคม</t>
  </si>
  <si>
    <t>การแข่งขันเรือยาวในประเทศไทยมักจัดขึ้นในช่วงเดือนสิงหาคมถึงตุลาคม.</t>
  </si>
  <si>
    <t>การแข่งขันเรือยาวในประเทศไทยมีการจัดการแข่งขันในระดับใด?</t>
  </si>
  <si>
    <t>A) ระดับท้องถิ่น; B) ระดับประเทศ; C) ระดับนานาชาติ; D) ทั้งหมด</t>
  </si>
  <si>
    <t>A) ระดับท้องถิ่น</t>
  </si>
  <si>
    <t>การแข่งขันเรือยาวในประเทศไทยมีการจัดการแข่งขันในระดับท้องถิ่น.</t>
  </si>
  <si>
    <t>การแข่งขันเรือยาวในสมัยกรุงรัตนโกสินทร์ได้พัฒนาอย่างไร?</t>
  </si>
  <si>
    <t>A) เพิ่มจำนวนทีมแข่งขัน; B) มีการนำเทคโนโลยีใหม่ๆ มาใช้; C) เริ่มมีการจัดการแข่งขันที่ใหญ่ขึ้น; D) การแข่งขันมีการปรับกฎอย่างมาก</t>
  </si>
  <si>
    <t>C) เริ่มมีการจัดการแข่งขันที่ใหญ่ขึ้น</t>
  </si>
  <si>
    <t>การแข่งขันเรือยาวในสมัยกรุงรัตนโกสินทร์เริ่มมีการจัดการแข่งขันที่ใหญ่ขึ้น.</t>
  </si>
  <si>
    <t>การแข่งเรือยาวในประเทศไทยมีการใช้เทคนิคใดในการฝึกซ้อม?</t>
  </si>
  <si>
    <t>A) การฝึกฝนพายเป็นทีม; B) การฝึกความเร็วในการพาย; C) การฝึกพายท่าต่างๆ; D) การฝึกทักษะการสื่อสาร</t>
  </si>
  <si>
    <t>A) การฝึกฝนพายเป็นทีม</t>
  </si>
  <si>
    <t>การฝึกฝนพายเป็นทีมเป็นเทคนิคที่ใช้ในการฝึกซ้อมสำหรับการแข่งเรือยาว.</t>
  </si>
  <si>
    <t>การแข่งเรือยาวในประเทศไทยได้รับการยอมรับในระดับสากลในช่วงใด?</t>
  </si>
  <si>
    <t>การแข่งขันเรือยาวในประเทศไทยได้รับการยอมรับในระดับสากลในปี 1990.</t>
  </si>
  <si>
    <t>การแข่งขันเรือยาวในประเทศไทยใช้ระยะทางเท่าไหร่?</t>
  </si>
  <si>
    <t>A) 500 เมตร; B) 1 กิโลเมตร; C) 3 กิโลเมตร; D) 5 กิโลเมตร</t>
  </si>
  <si>
    <t>B) 1 กิโลเมตร</t>
  </si>
  <si>
    <t>การแข่งขันเรือยาวในประเทศไทยมักมีระยะทางประมาณ 1 กิโลเมตร.</t>
  </si>
  <si>
    <t>การแข่งเรือยาวในประเทศไทยมักจะมีการจัดการแข่งขันที่ใด?</t>
  </si>
  <si>
    <t>A) บริเวณแม่น้ำเจ้าพระยา; B) บริเวณแม่น้ำโขง; C) บริเวณแม่น้ำแม่กลอง; D) บริเวณแม่น้ำป่าสัก</t>
  </si>
  <si>
    <t>A) บริเวณแม่น้ำเจ้าพระยา</t>
  </si>
  <si>
    <t>การแข่งขันเรือยาวในประเทศไทยมักจะจัดในบริเวณแม่น้ำเจ้าพระยา.</t>
  </si>
  <si>
    <t>ในการแข่งเรือยาวในประเทศไทย ทีมที่เข้าแข่งขันจะต้องมีจำนวนสมาชิกเท่าไหร่?</t>
  </si>
  <si>
    <t>A) 10 คน; B) 20 คน; C) 30 คน; D) 50 คน</t>
  </si>
  <si>
    <t>B) 20 คน</t>
  </si>
  <si>
    <t>ทีมที่เข้าแข่งขันในการแข่งเรือยาวในประเทศไทยจะต้องมีสมาชิกประมาณ 20 คน.</t>
  </si>
  <si>
    <t>การแข่งขันเรือยาวในประเทศไทยใช้กฎการตัดสินใจแบบใด?</t>
  </si>
  <si>
    <t>A) คะแนนรวม; B) เวลาที่ใช้ในการแข่งขัน; C) จำนวนรอบที่ชนะ; D) การแข่งขันแบบคู่</t>
  </si>
  <si>
    <t>A) คะแนนรวม</t>
  </si>
  <si>
    <t>ในการแข่งขันเรือยาวในประเทศไทย การตัดสินใจใช้คะแนนรวมเป็นเกณฑ์.</t>
  </si>
  <si>
    <t>การแข่งขันเรือยาวในประเทศไทยมีการจัดขึ้นครั้งแรกในปีใด?</t>
  </si>
  <si>
    <t>A) 1800; B) 1830; C) 1850; D) 1900</t>
  </si>
  <si>
    <t>B) 1830</t>
  </si>
  <si>
    <t>การแข่งขันเรือยาวในประเทศไทยเริ่มจัดขึ้นครั้งแรกในปี 1830.</t>
  </si>
  <si>
    <t>การแข่งเรือยาวในสมัยกรุงศรีอยุธยามีการจัดขึ้นเพื่ออะไร?</t>
  </si>
  <si>
    <t>A) การฝึกทหาร; B) การบันเทิง; C) การแข่งขันระหว่างราชวงศ์; D) การเฉลิมฉลอง</t>
  </si>
  <si>
    <t>การแข่งขันเรือยาวในสมัยกรุงศรีอยุธยามีการจัดขึ้นเพื่อการฝึกทหาร.</t>
  </si>
  <si>
    <t>การแข่งขันเรือยาวในสมัยกรุงรัตนโกสินทร์เริ่มได้รับความนิยมในช่วงใด?</t>
  </si>
  <si>
    <t>A) สมัยรัชกาลที่ 4; B) สมัยรัชกาลที่ 5; C) สมัยรัชกาลที่ 6; D) สมัยรัชกาลที่ 7</t>
  </si>
  <si>
    <t>B) สมัยรัชกาลที่ 5</t>
  </si>
  <si>
    <t>การแข่งขันเรือยาวในสมัยกรุงรัตนโกสินทร์ได้รับความนิยมในสมัยรัชกาลที่ 5.</t>
  </si>
  <si>
    <t>การแข่งขันเรือยาวในประเทศไทยมักมีการแข่งขันแบบใด?</t>
  </si>
  <si>
    <t>A) แข่งแบบเดี่ยว; B) แข่งแบบทีม; C) แข่งแบบสี่คน; D) แข่งแบบคู่</t>
  </si>
  <si>
    <t>A) แข่งแบบเดี่ยว</t>
  </si>
  <si>
    <t>การแข่งขันเรือยาวในประเทศไทยมักจัดขึ้นในรูปแบบการแข่งขันแบบเดี่ยว.</t>
  </si>
  <si>
    <t>การแข่งขันเรือยาวในไทยมีการแบ่งประเภทการแข่งขันอย่างไร?</t>
  </si>
  <si>
    <t>A) ประเภทเรือใหญ่; B) ประเภทเรือเล็ก; C) ประเภทชายและหญิง; D) ประเภทเรือยาวและเรือสั้น</t>
  </si>
  <si>
    <t>D) ประเภทเรือยาวและเรือสั้น</t>
  </si>
  <si>
    <t>การแข่งขันเรือยาวในไทยมีการแบ่งประเภทเป็นเรือยาวและเรือสั้น.</t>
  </si>
  <si>
    <t>การแข่งเรือยาวในประเทศไทยเริ่มจัดแข่งขันที่ใดเป็นครั้งแรก?</t>
  </si>
  <si>
    <t>การแข่งเรือยาวในประเทศไทยเริ่มจัดแข่งขันครั้งแรกที่แม่น้ำเจ้าพระยา.</t>
  </si>
  <si>
    <t>การแข่งขันเรือยาวในประเทศไทยได้รับความนิยมในปีไหน?</t>
  </si>
  <si>
    <t>C) 1980</t>
  </si>
  <si>
    <t>การแข่งขันเรือยาวในประเทศไทยได้รับความนิยมในปี 1980.</t>
  </si>
  <si>
    <t>การแข่งเรือยาวในประเทศไทยเริ่มมีการปรับปรุงกฎเกณฑ์ในช่วงปีใด?</t>
  </si>
  <si>
    <t>D) 1980</t>
  </si>
  <si>
    <t>การปรับปรุงกฎเกณฑ์ในการแข่งขันเรือยาวเริ่มขึ้นในปี 1980.</t>
  </si>
  <si>
    <t>การแข่งขันเรือยาวในประเทศไทยมีการสนับสนุนจากหน่วยงานใดในช่วงต้น?</t>
  </si>
  <si>
    <t>A) กระทรวงการท่องเที่ยวและกีฬา; B) การกีฬาแห่งประเทศไทย; C) กรมทหาร; D) ราชวงศ์</t>
  </si>
  <si>
    <t>B) การกีฬาแห่งประเทศไทย</t>
  </si>
  <si>
    <t>การแข่งขันเรือยาวในประเทศไทยได้รับการสนับสนุนจากการกีฬาแห่งประเทศไทยในช่วงต้น.</t>
  </si>
  <si>
    <t>การแข่งขันเรือยาวในประเทศไทยมีการจัดขึ้นในเทศกาลใด?</t>
  </si>
  <si>
    <t>การแข่งขันเรือยาวในประเทศไทยมีการใช้เทคโนโลยีอะไรในการฝึกซ้อม?</t>
  </si>
  <si>
    <t>A) การใช้เครื่องวัดความเร็ว; B) การใช้เรือที่ทันสมัย; C) การใช้เทคโนโลยี GPS; D) การใช้เครื่องมือวิเคราะห์ข้อมูล</t>
  </si>
  <si>
    <t>A) การใช้เครื่องวัดความเร็ว</t>
  </si>
  <si>
    <t>การใช้เครื่องวัดความเร็วเป็นเทคโนโลยีที่ใช้ในการฝึกซ้อมในการแข่งขันเรือยาว.</t>
  </si>
  <si>
    <t>การแข่งเรือยาวในประเทศไทยมักมีการจัดขึ้นในช่วงเดือนใด?</t>
  </si>
  <si>
    <t>การแข่งขันเรือยาวในประเทศไทยมักจัดในช่วงเดือนสิงหาคมถึงตุลาคม.</t>
  </si>
  <si>
    <t>การแข่งเรือยาวในประเทศไทยเป็นการแข่งที่มีกฎเกณฑ์อย่างไร?</t>
  </si>
  <si>
    <t>A) แข่งแบบเดี่ยว; B) แข่งแบบทีม; C) แข่งแบบทุกคนต้องร่วมทีม; D) แข่งแบบเร็วที่สุด</t>
  </si>
  <si>
    <t>B) แข่งแบบทีม</t>
  </si>
  <si>
    <t>การแข่งขันเรือยาวในประเทศไทยเป็นการแข่งขันแบบทีม.</t>
  </si>
  <si>
    <t>การแข่งขันเรือยาวในประเทศไทยมีการใช้วัสดุอะไรในการสร้างเรือ?</t>
  </si>
  <si>
    <t>ในการสร้างเรือสำหรับการแข่งขันเรือยาวในประเทศไทยใช้วัสดุไม้.</t>
  </si>
  <si>
    <t>การแข่งขันเรือยาวในประเทศไทยมีการจัดเป็นประจำทุกปีในช่วงใด?</t>
  </si>
  <si>
    <t>A) เดือนกรกฎาคม; B) เดือนกันยายน; C) เดือนตุลาคม; D) เดือนพฤศจิกายน</t>
  </si>
  <si>
    <t>C) เดือนตุลาคม</t>
  </si>
  <si>
    <t>การแข่งขันเรือยาวในประเทศไทยมีการจัดเป็นประจำทุกปีในเดือนตุลาคม.</t>
  </si>
  <si>
    <t>การแข่งขันเรือยาวในประเทศไทยได้รับการยอมรับในระดับสากลในช่วงใด?</t>
  </si>
  <si>
    <t>A) 1990; B) 2000; C) 2010; D) 2020</t>
  </si>
  <si>
    <t>A) 1990</t>
  </si>
  <si>
    <t>การแข่งเรือยาวในประเทศไทยเริ่มมีการถ่ายทอดสดทางโทรทัศน์ในปีใด?</t>
  </si>
  <si>
    <t>การแข่งเรือยาวในประเทศไทยเริ่มมีการถ่ายทอดสดทางโทรทัศน์ในปี 1990.</t>
  </si>
  <si>
    <t>การแข่งเรือยาวในประเทศไทยมีการจัดการแข่งขันในระดับใด?</t>
  </si>
  <si>
    <t>การแข่งขันเรือยาวในประเทศไทยมีการจัดแข่งขันในระดับท้องถิ่น ระดับประเทศและระดับนานาชาติ.</t>
  </si>
  <si>
    <t>การแข่งเรือยาวในประเทศไทยมีการจัดการแข่งขันในช่วงฤดูใด?</t>
  </si>
  <si>
    <t>การแข่งขันเรือยาวในประเทศไทยมักจัดในช่วงฤดูฝน.</t>
  </si>
  <si>
    <t>การแข่งเรือยาวในประเทศไทยมีการใช้เทคนิคอะไรในการฝึกซ้อม?</t>
  </si>
  <si>
    <t>A) การฝึกฝนพายเป็นทีม; B) การฝึกความเร็วในการพาย; C) การฝึกทักษะการพายท่าต่างๆ; D) การฝึกทักษะการสื่อสาร</t>
  </si>
  <si>
    <t>การฝึกฝนพายเป็นทีมเป็นเทคนิคที่ใช้ในการฝึกซ้อมในการแข่งขันเรือยาว.</t>
  </si>
  <si>
    <t>Annotated</t>
  </si>
  <si>
    <t>กีฬาแข่งเรือยาว มีต้นกำเนิดจากวัฒนธรรมใด?</t>
  </si>
  <si>
    <t>กีฬาแข่งเรือยาวมีต้นกำเนิดจากวัฒนธรรมไทยและเกี่ยวข้องกับวิถีชีวิตของคนที่อาศัยใกล้น้ำ.</t>
  </si>
  <si>
    <t>กีฬาแข่งเรือยาวในไทยเริ่มต้นขึ้นในสมัยใด?</t>
  </si>
  <si>
    <t>กีฬาแข่งเรือยาวมีประวัติความเป็นมายาวนานตั้งแต่สมัยกรุงศรีอยุธยา.</t>
  </si>
  <si>
    <t>การแข่งขันเรือยาวในไทยมักจัดขึ้นในฤดูกาลใดของปี?</t>
  </si>
  <si>
    <t>เรือยาวที่ใช้ในการแข่งขันมักทำจากไม้เนื้อแข็งที่มีความทนทาน.</t>
  </si>
  <si>
    <t>กีฬาแข่งเรือยาวถูกใช้เพื่อทำอะไรในอดีต?</t>
  </si>
  <si>
    <t>กีฬาแข่งเรือยาวในไทยมักจัดขึ้นในแม่น้ำใด?</t>
  </si>
  <si>
    <t>D) ทุกแม่น้ำในชุมชน</t>
  </si>
  <si>
    <t>กีฬาแข่งเรือในอดีตจะมีวัดริมแม่น้ำเป็นศูนย์กลางของการแข่งขัน</t>
  </si>
  <si>
    <t>เพลงที่ใช้ในพิธีกรรมเปิดการแข่งขันเรือยาวคือเพลงอะไร?</t>
  </si>
  <si>
    <t>A) เทพเจ้าแห่งน้ำ; B) กษัตริย์นาคา; C) พญานาค; D) ทั้งหมดข้างต้น</t>
  </si>
  <si>
    <t>การแข่งขันเรือยาวในสมัยก่อนมักจัดขึ้นในฤดูกาลใด?</t>
  </si>
  <si>
    <t>ในสมัยก่อน การแข่งเรือยาวจะจัดขึ้นในฤดูกาลใดของปี?</t>
  </si>
  <si>
    <t>ในประวัติศาสตร์ของการต่อสู้เลนว้าว (การต่อสู้ประทัดว่าว) เมื่อไรที่การต่อสู้ดังกล่าวเริ่มได้รับความนิยม?</t>
  </si>
  <si>
    <t>A) สมัยกรุงศรีอยุธยา; B) สมัยราชวงศ์ธนบุรี; C) สมัยราชวงศ์จักรี; D) สมัยสุโขทัย</t>
  </si>
  <si>
    <t>การต่อสู้เลนว้าวเริ่มมีความนิยมในช่วงกรุงศรีอยุธยาและยังคงเป็นกิจกรรมที่ได้รับความนิยมในพื้นที่ต่างๆ.</t>
  </si>
  <si>
    <t>การต่อสู้เลนว้าวมีต้นกำเนิดจากประเทศใด?</t>
  </si>
  <si>
    <t>A) ไทย; B) กัมพูชา; C) เวียดนาม; D) พม่า</t>
  </si>
  <si>
    <t>A) ไทย</t>
  </si>
  <si>
    <t>การต่อสู้เลนว้าวเป็นกีฬาพื้นบ้านของไทยที่มีความสำคัญในประวัติศาสตร์และวัฒนธรรมของประเทศ.</t>
  </si>
  <si>
    <t>เลนว้าวในสมัยโบราณถูกใช้ในกิจกรรมใดเป็นหลัก?</t>
  </si>
  <si>
    <t>A) การฝึกทหาร; B) การแข่งขันระหว่างหมู่บ้าน; C) การแสดงความสามารถในการต่อสู้; D) การบันเทิงของชนชั้นสูง</t>
  </si>
  <si>
    <t>B) การแข่งขันระหว่างหมู่บ้าน</t>
  </si>
  <si>
    <t>การต่อสู้เลนว้าวถูกใช้เป็นกิจกรรมการแข่งขันระหว่างหมู่บ้านในสมัยโบราณ.</t>
  </si>
  <si>
    <t>เมื่อใดที่เลนว้าวได้รับการปรับเปลี่ยนให้เป็นกิจกรรมกีฬาสมัยใหม่?</t>
  </si>
  <si>
    <t>A) ในช่วงรัชกาลที่ 5; B) ในช่วงรัชกาลที่ 6; C) ในช่วงรัชกาลที่ 7; D) ในช่วงรัชกาลที่ 9</t>
  </si>
  <si>
    <t>B) ในช่วงรัชกาลที่ 6</t>
  </si>
  <si>
    <t>ในช่วงรัชกาลที่ 6 การต่อสู้เลนว้าวได้รับการปรับเปลี่ยนให้กลายเป็นกีฬาและเริ่มได้รับความนิยมมากขึ้น.</t>
  </si>
  <si>
    <t>การต่อสู้เลนว้าวมีชื่อเสียงในพื้นที่ใดในประเทศไทย?</t>
  </si>
  <si>
    <t>A) ภาคกลาง; B) ภาคเหนือ; C) ภาคตะวันออกเฉียงเหนือ; D) ภาคใต้</t>
  </si>
  <si>
    <t>C) ภาคตะวันออกเฉียงเหนือ</t>
  </si>
  <si>
    <t>ภาคตะวันออกเฉียงเหนือของไทยเป็นแหล่งกำเนิดและพื้นที่ที่เลนว้าวได้รับความนิยมมากที่สุด.</t>
  </si>
  <si>
    <t>เลนว้าวในประเทศไทยได้รับการส่งเสริมจากใครในสมัยโบราณ?</t>
  </si>
  <si>
    <t>A) พระมหากษัตริย์; B) ขุนนาง; C) นักปกครองท้องถิ่น; D) ประชาชนทั่วไป</t>
  </si>
  <si>
    <t>พระมหากษัตริย์ในสมัยโบราณส่งเสริมการต่อสู้เลนว้าวเป็นส่วนหนึ่งของการฝึกฝนทหาร.</t>
  </si>
  <si>
    <t>การต่อสู้เลนว้าวเริ่มถูกนำมาแข่งขันในระดับสากลเมื่อใด?</t>
  </si>
  <si>
    <t>A) ในปี 1940; B) ในปี 1950; C) ในปี 1960; D) ในปี 1970</t>
  </si>
  <si>
    <t>C) ในปี 1960</t>
  </si>
  <si>
    <t>การต่อสู้เลนว้าวเริ่มได้รับความสนใจในระดับสากลในช่วงปี 1960.</t>
  </si>
  <si>
    <t>เลนว้าวในสมัยโบราณถูกจัดเป็นกิจกรรมใด?</t>
  </si>
  <si>
    <t>A) กิจกรรมเฉลิมฉลอง; B) กิจกรรมการฝึกทหาร; C) กิจกรรมการต่อสู้; D) กิจกรรมการบันเทิง</t>
  </si>
  <si>
    <t>B) กิจกรรมการฝึกทหาร</t>
  </si>
  <si>
    <t>การต่อสู้เลนว้าวถูกใช้เป็นกิจกรรมที่ช่วยฝึกทหารในการต่อสู้ในสมัยโบราณ.</t>
  </si>
  <si>
    <t>การใช้เลนว้าวในการแข่งขันเริ่มปรากฏเป็นการแข่งขันที่มีรางวัลเมื่อใด?</t>
  </si>
  <si>
    <t>A) ในช่วงสมัยกรุงศรีอยุธยา; B) ในช่วงสมัยกรุงรัตนโกสินทร์; C) ในช่วงรัชกาลที่ 5; D) ในช่วงรัชกาลที่ 6</t>
  </si>
  <si>
    <t>C) ในช่วงรัชกาลที่ 5</t>
  </si>
  <si>
    <t>การใช้เลนว้าวในฐานะการแข่งขันที่มีรางวัลเริ่มในช่วงรัชกาลที่ 5.</t>
  </si>
  <si>
    <t>กิจกรรมเลนว้าวในสมัยก่อนจะใช้เครื่องมืออะไรในการแข่งขัน?</t>
  </si>
  <si>
    <t>A) ว่าวไม้; B) ว่าวกระดาษ; C) ว่าวที่ทำจากวัสดุธรรมชาติ; D) ว่าวเหล็ก</t>
  </si>
  <si>
    <t>C) ว่าวที่ทำจากวัสดุธรรมชาติ</t>
  </si>
  <si>
    <t>ในสมัยก่อน ว่าวที่ใช้ในการแข่งขันจะทำจากวัสดุธรรมชาติที่หาได้ในท้องถิ่น.</t>
  </si>
  <si>
    <t>การฝึกซ้อมเลนว้าวในสมัยโบราณทำอย่างไร?</t>
  </si>
  <si>
    <t>A) โดยการฝึกฝนในกลุ่มเล็กๆ; B) โดยการฝึกฝนในสนามใหญ่; C) โดยการฝึกฝนกับคู่แข่งต่างหมู่บ้าน; D) โดยการฝึกฝนภายในบ้าน</t>
  </si>
  <si>
    <t>B) โดยการฝึกฝนในสนามใหญ่</t>
  </si>
  <si>
    <t>การฝึกซ้อมเลนว้าวมักจะจัดขึ้นในสนามใหญ่และมีการจัดกลุ่มฝึกฝนหลายๆ คน.</t>
  </si>
  <si>
    <t>การแข่งขันเลนว้าวในประเทศไทยมีประเพณีใดที่เกี่ยวข้องกับการจัดงานแข่งขัน?</t>
  </si>
  <si>
    <t>A) งานประเพณีสงกรานต์; B) งานประเพณีลอยกระทง; C) งานประเพณีปีใหม่; D) งานประเพณีเข้าพรรษา</t>
  </si>
  <si>
    <t>A) งานประเพณีสงกรานต์</t>
  </si>
  <si>
    <t>งานประเพณีสงกรานต์มักจะมีการจัดการแข่งขันเลนว้าวเป็นส่วนหนึ่งของงาน.</t>
  </si>
  <si>
    <t>การต่อสู้เลนว้าวในประวัติศาสตร์ไทยเกี่ยวข้องกับการแสดงอะไร?</t>
  </si>
  <si>
    <t>A) การแสดงศิลปะการต่อสู้; B) การแสดงศิลปะการเต้น; C) การแสดงศิลปะการร้องเพลง; D) การแสดงศิลปะการวาดภาพ</t>
  </si>
  <si>
    <t>A) การแสดงศิลปะการต่อสู้</t>
  </si>
  <si>
    <t>การต่อสู้เลนว้าวเป็นส่วนหนึ่งของการแสดงศิลปะการต่อสู้ที่สำคัญในประวัติศาสตร์ไทย.</t>
  </si>
  <si>
    <t>เลนว้าวในประวัติศาสตร์ไทยเกี่ยวข้องกับการป้องกันประเทศอย่างไร?</t>
  </si>
  <si>
    <t>A) การฝึกทหารเพื่อป้องกันการรุกราน; B) การฝึกทหารเพื่อฝึกกลยุทธ์; C) การฝึกทหารเพื่อการสนุกสนาน; D) การฝึกทหารเพื่อสังคม</t>
  </si>
  <si>
    <t>A) การฝึกทหารเพื่อป้องกันการรุกราน</t>
  </si>
  <si>
    <t>การฝึกซ้อมเลนว้าวในสมัยโบราณมีจุดประสงค์ในการเตรียมทหารสำหรับการป้องกันประเทศ.</t>
  </si>
  <si>
    <t>เลนว้าวได้รับการรับรองเป็นกีฬาระดับชาติในปีไหน?</t>
  </si>
  <si>
    <t>A) 1990; B) 1992; C) 1994; D) 1996</t>
  </si>
  <si>
    <t>B) 1992</t>
  </si>
  <si>
    <t>การต่อสู้เลนว้าวได้รับการรับรองเป็นกีฬาระดับชาติในปี 1992.</t>
  </si>
  <si>
    <t>เลนว้าวในประวัติศาสตร์ของไทยมีการจัดการแข่งขันในช่วงใดบ่อยที่สุด?</t>
  </si>
  <si>
    <t>A) ช่วงหน้าฝน; B) ช่วงฤดูหนาว; C) ช่วงฤดูร้อน; D) ทุกช่วงฤดูกาล</t>
  </si>
  <si>
    <t>B) ช่วงฤดูหนาว</t>
  </si>
  <si>
    <t>การแข่งขันเลนว้าวในไทยมักจัดขึ้นในช่วงฤดูหนาวที่อากาศเย็นสบาย.</t>
  </si>
  <si>
    <t>ประวัติการต่อสู้เลนว้าวในประเทศไทยมีความสัมพันธ์กับวัฒนธรรมชนเผ่าใด?</t>
  </si>
  <si>
    <t>A) ชนเผ่าเขมร; B) ชนเผ่ามอญ; C) ชนเผ่าไท; D) ชนเผ่าพม่า</t>
  </si>
  <si>
    <t>C) ชนเผ่าไท</t>
  </si>
  <si>
    <t>การต่อสู้เลนว้าวมีความสัมพันธ์กับวัฒนธรรมของชนเผ่าไทในประเทศไทย.</t>
  </si>
  <si>
    <t>เลนว้าวได้รับความนิยมในประเทศไทยในช่วงใด?</t>
  </si>
  <si>
    <t>A) ในช่วงสมัยศิลปะธรรมชาติ; B) ในช่วงสมัยราชวงศ์; C) ในช่วงที่มีการปฏิรูปการทหาร; D) ในช่วงสมัยจักรพรรดิ</t>
  </si>
  <si>
    <t>B) ในช่วงสมัยราชวงศ์</t>
  </si>
  <si>
    <t>การต่อสู้เลนว้าวได้รับความนิยมในช่วงราชวงศ์และถูกนำมาใช้ในการฝึกทหาร.</t>
  </si>
  <si>
    <t>ชื่อของกีฬาการต่อสู้เลนว้าวในภาษาไทยมีความหมายว่าอะไร?</t>
  </si>
  <si>
    <t>A) การต่อสู้ด้วยมือ; B) การต่อสู้ด้วยท่าทาง; C) การต่อสู้ด้วยว่าว; D) การต่อสู้ด้วยสายตา</t>
  </si>
  <si>
    <t>C) การต่อสู้ด้วยว่าว</t>
  </si>
  <si>
    <t>ชื่อเลนว้าวมาจากคำว่า "เลน" หมายถึงการต่อสู้และ "ว้าว" หมายถึงว่าว.</t>
  </si>
  <si>
    <t>การฝึกทหารด้วยการต่อสู้เลนว้าวช่วยพัฒนาอะไร?</t>
  </si>
  <si>
    <t>A) ความแข็งแรงทางกาย; B) ความแข็งแกร่งทางจิตใจ; C) ความสามารถในการวางกลยุทธ์; D) ความสามารถในการใช้อาวุธ</t>
  </si>
  <si>
    <t>C) ความสามารถในการวางกลยุทธ์</t>
  </si>
  <si>
    <t>การต่อสู้เลนว้าวช่วยพัฒนากลยุทธ์และความสามารถในการคิดเร็ว.</t>
  </si>
  <si>
    <t>เลนว้าวถูกนำมาใช้ในการแข่งขันในท้องถิ่นไทยอย่างไร?</t>
  </si>
  <si>
    <t>A) ในการแข่งขันระหว่างหมู่บ้าน; B) ในการแข่งขันระดับประเทศ; C) ในการแข่งขันระหว่างจังหวัด; D) ในการแข่งขันระดับนานาชาติ</t>
  </si>
  <si>
    <t>A) ในการแข่งขันระหว่างหมู่บ้าน</t>
  </si>
  <si>
    <t>การแข่งขันเลนว้าวมักจัดขึ้นระหว่างหมู่บ้านเพื่อทดสอบความสามารถในการต่อสู้ของแต่ละกลุ่ม.</t>
  </si>
  <si>
    <t>เลนว้าวได้รับความนิยมในประเทศไทยเนื่องจากอะไร?</t>
  </si>
  <si>
    <t>A) การฝึกทหาร; B) ความเป็นเอกลักษณ์ของกีฬา; C) การผสมผสานกับวัฒนธรรมท้องถิ่น; D) การพัฒนากลยุทธ์</t>
  </si>
  <si>
    <t>C) การผสมผสานกับวัฒนธรรมท้องถิ่น</t>
  </si>
  <si>
    <t>การต่อสู้เลนว้าวได้รับความนิยมเนื่องจากเป็นการผสมผสานระหว่างกีฬาและวัฒนธรรมท้องถิ่นของไทย.</t>
  </si>
  <si>
    <t>เลนว้าวในประเทศไทยมีการส่งเสริมอย่างไรในปัจจุบัน?</t>
  </si>
  <si>
    <t>A) ผ่านการศึกษาภายในโรงเรียน; B) ผ่านการแข่งขันระดับนานาชาติ; C) ผ่านการแสดงในงานประเพณี; D) ผ่านการสอนในกองทัพ</t>
  </si>
  <si>
    <t>A) ผ่านการศึกษาภายในโรงเรียน</t>
  </si>
  <si>
    <t>ปัจจุบันมีการส่งเสริมเลนว้าวผ่านการศึกษาภายในโรงเรียนเพื่อสืบสานวัฒนธรรมกีฬาไทย.</t>
  </si>
  <si>
    <t>การต่อสู้เลนว้าวได้รับการส่งเสริมจากใครในสมัยปัจจุบัน?</t>
  </si>
  <si>
    <t>A) นักกีฬาชื่อดัง; B) ผู้ที่รักในกีฬา; C) เจ้าหน้าที่จากรัฐบาล; D) พระมหากษัตริย์</t>
  </si>
  <si>
    <t>C) เจ้าหน้าที่จากรัฐบาล</t>
  </si>
  <si>
    <t>ในปัจจุบันเจ้าหน้าที่จากรัฐบาลมีส่วนร่วมในการส่งเสริมกีฬานี้ให้เป็นที่รู้จักในวงกว้าง.</t>
  </si>
  <si>
    <t>เลนว้าวมีการพัฒนาในด้านใดในยุคสมัยใหม่?</t>
  </si>
  <si>
    <t>A) เทคโนโลยีการฝึกซ้อม; B) การจัดการแข่งขันระดับนานาชาติ; C) การใช้วัสดุใหม่ในการสร้างว่าว; D) การพัฒนากลยุทธ์การแข่งขัน</t>
  </si>
  <si>
    <t>B) การจัดการแข่งขันระดับนานาชาติ</t>
  </si>
  <si>
    <t>การต่อสู้เลนว้าวในปัจจุบันมีการจัดการแข่งขันในระดับนานาชาติ.</t>
  </si>
  <si>
    <t>การฝึกการต่อสู้เลนว้าวในสมัยก่อนมักจะเกิดขึ้นที่ไหน?</t>
  </si>
  <si>
    <t>A) ที่วัด; B) ที่ทุ่งนา; C) ที่สนามกีฬา; D) ที่หมู่บ้าน</t>
  </si>
  <si>
    <t>B) ที่ทุ่งนา</t>
  </si>
  <si>
    <t>การฝึกเลนว้าวในสมัยก่อนมักจะเกิดขึ้นในทุ่งนาเป็นสถานที่กว้างขวาง.</t>
  </si>
  <si>
    <t>การต่อสู้เลนว้าวในสมัยโบราณได้รับอิทธิพลจากวัฒนธรรมใด?</t>
  </si>
  <si>
    <t>A) วัฒนธรรมจีน; B) วัฒนธรรมอินเดีย; C) วัฒนธรรมมอญ; D) วัฒนธรรมเขมร</t>
  </si>
  <si>
    <t>วัฒนธรรมอินเดียมีอิทธิพลในด้านการฝึกทหารและกลยุทธ์การต่อสู้ในสมัยโบราณ.</t>
  </si>
  <si>
    <t>การต่อสู้เลนว้าวมีการพัฒนากลยุทธ์อย่างไร?</t>
  </si>
  <si>
    <t>A) จากการฝึกซ้อมพื้นฐาน; B) จากการศึกษาของทหาร; C) จากการสังเกตการเคลื่อนไหวของคู่แข่ง; D) จากการศึกษาเทคโนโลยีใหม่</t>
  </si>
  <si>
    <t>C) จากการสังเกตการเคลื่อนไหวของคู่แข่ง</t>
  </si>
  <si>
    <t>กลยุทธ์ในการต่อสู้เลนว้าวพัฒนาจากการสังเกตการเคลื่อนไหวของคู่แข่ง.</t>
  </si>
  <si>
    <t>การแข่งขันเลนว้าวมีผลกระทบอย่างไรต่อสังคมไทย?</t>
  </si>
  <si>
    <t>A) ช่วยสร้างความสามัคคีในชุมชน; B) ส่งเสริมการท่องเที่ยว; C) ช่วยเพิ่มรายได้ในท้องถิ่น; D) ทุกข้อถูกต้อง</t>
  </si>
  <si>
    <t>D) ทุกข้อถูกต้อง</t>
  </si>
  <si>
    <t>การแข่งขันเลนว้าวส่งเสริมทั้งความสามัคคีในชุมชน การท่องเที่ยว และเพิ่มรายได้ในท้องถิ่น.</t>
  </si>
  <si>
    <t>ในประวัติศาสตร์การต่อสู้เลนว้าว กีฬาเหล่านี้ได้รับการส่งเสริมอย่างไรในระดับชุมชน?</t>
  </si>
  <si>
    <t>A) โดยการจัดงานแข่งขัน; B) โดยการจัดการฝึกซ้อม; C) โดยการสร้างสื่อประชาสัมพันธ์; D) โดยการสอนในโรงเรียน</t>
  </si>
  <si>
    <t>A) โดยการจัดงานแข่งขัน</t>
  </si>
  <si>
    <t>การส่งเสริมกีฬาเลนว้าวในชุมชนมักจะจัดการผ่านการจัดงานแข่งขันและกิจกรรมร่วมกัน.</t>
  </si>
  <si>
    <t>การต่อสู้เลนว้าวได้รับความนิยมในพื้นที่ใดของประเทศไทย?</t>
  </si>
  <si>
    <t>A) ภาคกลาง; B) ภาคเหนือ; C) ภาคใต้; D) ภาคตะวันออกเฉียงเหนือ</t>
  </si>
  <si>
    <t>D) ภาคตะวันออกเฉียงเหนือ</t>
  </si>
  <si>
    <t>การต่อสู้เลนว้าวได้รับความนิยมมากในภาคตะวันออกเฉียงเหนือของไทย.</t>
  </si>
  <si>
    <t>เลนว้าวถูกใช้ในกิจกรรมใดของชุมชนในสมัยโบราณ?</t>
  </si>
  <si>
    <t>A) การแข่งขันเพื่อหาผู้ชนะ; B) การฝึกฝนทักษะการป้องกันตัว; C) การแข่งขันเพื่อความบันเทิง; D) การฝึกทหาร</t>
  </si>
  <si>
    <t>B) การฝึกฝนทักษะการป้องกันตัว</t>
  </si>
  <si>
    <t>ในสมัยโบราณ การต่อสู้เลนว้าวถูกใช้เพื่อฝึกฝนทักษะการป้องกันตัวและฝึกทหาร.</t>
  </si>
  <si>
    <t>เลนว้าวในไทยมีวิวัฒนาการอย่างไรในช่วงยุคกรุงศรีอยุธยา?</t>
  </si>
  <si>
    <t>A) ถูกใช้เพื่อฝึกทหาร; B) ถูกใช้เพื่อความบันเทิงในราชสำนัก; C) ถูกใช้ในการแข่งขันกีฬา; D) ถูกใช้เพื่อความบันเทิงในหมู่บ้าน</t>
  </si>
  <si>
    <t>A) ถูกใช้เพื่อฝึกทหาร</t>
  </si>
  <si>
    <t>ในช่วงกรุงศรีอยุธยา เลนว้าวถูกใช้เป็นเครื่องมือในการฝึกทหารและเสริมทักษะการต่อสู้.</t>
  </si>
  <si>
    <t>การต่อสู้เลนว้าวในไทยได้รับความนิยมในช่วงใดของราชวงศ์จักรี?</t>
  </si>
  <si>
    <t>A) ในช่วงต้นราชวงศ์; B) ในช่วงปลายราชวงศ์; C) ในช่วงกลางราชวงศ์; D) ทุกช่วง</t>
  </si>
  <si>
    <t>B) ในช่วงปลายราชวงศ์</t>
  </si>
  <si>
    <t>ในช่วงปลายราชวงศ์จักรี การต่อสู้เลนว้าวได้รับความนิยมในหมู่ประชาชน.</t>
  </si>
  <si>
    <t>เมื่อใดที่การต่อสู้เลนว้าวได้รับการส่งเสริมในระดับชาติ?</t>
  </si>
  <si>
    <t>A) ในปี 1980; B) ในปี 1990; C) ในปี 2000; D) ในปี 2010</t>
  </si>
  <si>
    <t>B) ในปี 1990</t>
  </si>
  <si>
    <t>การส่งเสริมการต่อสู้เลนว้าวในระดับชาติเริ่มต้นในปี 1990.</t>
  </si>
  <si>
    <t>การต่อสู้เลนว้าวในสมัยกรุงศรีอยุธยามีบทบาทสำคัญในด้านใด?</t>
  </si>
  <si>
    <t>A) การแสดงศิลปะการต่อสู้; B) การสร้างความสัมพันธ์ระหว่างประเทศ; C) การฝึกทหารและป้องกันการรุกราน; D) การพัฒนาศิลปะการเต้น</t>
  </si>
  <si>
    <t>C) การฝึกทหารและป้องกันการรุกราน</t>
  </si>
  <si>
    <t>การต่อสู้เลนว้าวในสมัยกรุงศรีอยุธยามีบทบาทสำคัญในการฝึกทหารและป้องกันการรุกราน.</t>
  </si>
  <si>
    <t>เลนว้าวมีการพัฒนาเป็นกีฬาที่ได้รับความนิยมในระดับโลกเมื่อใด?</t>
  </si>
  <si>
    <t>A) ในปี 1950; B) ในปี 1960; C) ในปี 1970; D) ในปี 1980</t>
  </si>
  <si>
    <t>C) ในปี 1970</t>
  </si>
  <si>
    <t>ในปี 1970 การต่อสู้เลนว้าวเริ่มได้รับการยอมรับในระดับนานาชาติ.</t>
  </si>
  <si>
    <t>การจัดการแข่งขันเลนว้าวในไทยเริ่มต้นในช่วงไหน?</t>
  </si>
  <si>
    <t>A) ช่วงรัชกาลที่ 5; B) ช่วงรัชกาลที่ 6; C) ช่วงรัชกาลที่ 7; D) ช่วงรัชกาลที่ 9</t>
  </si>
  <si>
    <t>A) ช่วงรัชกาลที่ 5</t>
  </si>
  <si>
    <t>การจัดการแข่งขันเลนว้าวเริ่มขึ้นในช่วงรัชกาลที่ 5.</t>
  </si>
  <si>
    <t>การแข่งขันเลนว้าวได้รับการบันทึกไว้ในประวัติศาสตร์ไทยครั้งแรกในปีใด?</t>
  </si>
  <si>
    <t>A) 1890; B) 1900; C) 1910; D) 1920</t>
  </si>
  <si>
    <t>B) 1900</t>
  </si>
  <si>
    <t>การบันทึกการแข่งขันเลนว้าวครั้งแรกในประวัติศาสตร์ไทยเกิดขึ้นในปี 1900.</t>
  </si>
  <si>
    <t>เลนว้าวมีการพัฒนามาจากกิจกรรมใด?</t>
  </si>
  <si>
    <t>A) การฝึกทหาร; B) การแข่งขันระหว่างหมู่บ้าน; C) การแข่งขันกีฬาในราชสำนัก; D) การแสดงความสามารถ</t>
  </si>
  <si>
    <t>การต่อสู้เลนว้าวเริ่มต้นจากการแข่งขันระหว่างหมู่บ้านในช่วงสมัยโบราณ.</t>
  </si>
  <si>
    <t>เลนว้าวได้รับการสนับสนุนจากพระมหากษัตริย์ในสมัยใด?</t>
  </si>
  <si>
    <t>A) สมัยกรุงศรีอยุธยา; B) สมัยกรุงรัตนโกสินทร์; C) สมัยรัชกาลที่ 5; D) สมัยรัชกาลที่ 6</t>
  </si>
  <si>
    <t>C) สมัยรัชกาลที่ 5</t>
  </si>
  <si>
    <t>ในสมัยรัชกาลที่ 5 พระมหากษัตริย์ได้สนับสนุนการพัฒนาและส่งเสริมกีฬาเลนว้าว.</t>
  </si>
  <si>
    <t>การฝึกฝนเลนว้าวในอดีตมีการดำเนินการอย่างไร?</t>
  </si>
  <si>
    <t>A) การฝึกภายในหมู่บ้าน; B) การฝึกในสนามกีฬา; C) การฝึกในราชสำนัก; D) การฝึกในโรงเรียน</t>
  </si>
  <si>
    <t>A) การฝึกภายในหมู่บ้าน</t>
  </si>
  <si>
    <t>การฝึกฝนเลนว้าวมักจะจัดขึ้นในหมู่บ้านและเป็นส่วนหนึ่งของกิจกรรมชุมชน.</t>
  </si>
  <si>
    <t>การต่อสู้เลนว้าวได้รับการยอมรับในระดับสากลครั้งแรกเมื่อใด?</t>
  </si>
  <si>
    <t>B) ในปี 1960</t>
  </si>
  <si>
    <t>การต่อสู้เลนว้าวเริ่มได้รับการยอมรับในระดับสากลในปี 1960.</t>
  </si>
  <si>
    <t>ชื่อของกีฬาเลนว้าวในภาษาไทยมาจากคำใด?</t>
  </si>
  <si>
    <t>A) ว่าว; B) การต่อสู้; C) ลม; D) อำนาจ</t>
  </si>
  <si>
    <t>B) การต่อสู้</t>
  </si>
  <si>
    <t>คำว่า "เลนว้าว" มาจากคำว่า "เลน" ที่หมายถึงการต่อสู้และ "ว้าว" ที่หมายถึงการใช้ว่าว.</t>
  </si>
  <si>
    <t>การแข่งขันเลนว้าวในอดีตมีการจัดขึ้นในสถานที่ใด?</t>
  </si>
  <si>
    <t>A) สนามกีฬา; B) ทุ่งนา; C) ภายในวัด; D) ในท้องถนน</t>
  </si>
  <si>
    <t>B) ทุ่งนา</t>
  </si>
  <si>
    <t>การแข่งขันเลนว้าวในอดีตมักจะจัดขึ้นในทุ่งนาเนื่องจากมีพื้นที่กว้างขวาง.</t>
  </si>
  <si>
    <t>เลนว้าวในประวัติศาสตร์ถูกใช้ในการฝึกทหารอย่างไร?</t>
  </si>
  <si>
    <t>A) เป็นการฝึกทักษะทางยุทธศาสตร์; B) เป็นการฝึกฝนความสามารถในการใช้อาวุธ; C) เป็นการฝึกฝนการใช้กลยุทธ์การต่อสู้; D) ทั้งหมด</t>
  </si>
  <si>
    <t>เลนว้าวถูกใช้เป็นเครื่องมือในการฝึกทหารทั้งในด้านยุทธศาสตร์และกลยุทธ์การต่อสู้.</t>
  </si>
  <si>
    <t>การต่อสู้เลนว้าวถูกใช้ในกิจกรรมที่ใดในสมัยกรุงรัตนโกสินทร์?</t>
  </si>
  <si>
    <t>A) การฝึกทหาร; B) การแข่งขันกีฬาในราชสำนัก; C) การแข่งขันในท้องถิ่น; D) การแสดงความสามารถในงานวัด</t>
  </si>
  <si>
    <t>B) การแข่งขันกีฬาในราชสำนัก</t>
  </si>
  <si>
    <t>การต่อสู้เลนว้าวถูกใช้เป็นหนึ่งในกิจกรรมที่จัดขึ้นในราชสำนักของกรุงรัตนโกสินทร์.</t>
  </si>
  <si>
    <t>ในอดีตมีการใช้เลนว้าวเพื่อการแสดงความสามารถทางไหน?</t>
  </si>
  <si>
    <t>A) การแสดงการใช้กลยุทธ์; B) การแสดงการฝึกทหาร; C) การแสดงทักษะการเคลื่อนไหวของร่างกาย; D) การแสดงความเร็วในการต่อสู้</t>
  </si>
  <si>
    <t>C) การแสดงทักษะการเคลื่อนไหวของร่างกาย</t>
  </si>
  <si>
    <t>ในอดีต การต่อสู้เลนว้าวใช้เพื่อแสดงทักษะการเคลื่อนไหวและความสามารถในการต่อสู้.</t>
  </si>
  <si>
    <t>การแข่งขันเลนว้าวในอดีตจัดขึ้นอย่างไร?</t>
  </si>
  <si>
    <t>A) จัดแบบทัวร์นาเมนต์; B) จัดแบบแข่งขันเป็นทีม; C) จัดแบบการแข่งขันหนึ่งต่อหนึ่ง; D) จัดแบบการแข่งขันตามหมู่บ้าน</t>
  </si>
  <si>
    <t>C) จัดแบบการแข่งขันหนึ่งต่อหนึ่ง</t>
  </si>
  <si>
    <t>การแข่งขันเลนว้าวในอดีตมักจะจัดแบบแข่งขันหนึ่งต่อหนึ่ง.</t>
  </si>
  <si>
    <t>ในประวัติศาสตร์ไทย การต่อสู้เลนว้าวถูกใช้เป็นเครื่องมือในการฝึกฝนอะไร?</t>
  </si>
  <si>
    <t>A) การฝึกฝนทักษะการป้องกันตัว; B) การฝึกฝนการใช้อาวุธ; C) การฝึกฝนกลยุทธ์การต่อสู้; D) การฝึกฝนการวางแผนยุทธศาสตร์</t>
  </si>
  <si>
    <t>C) การฝึกฝนกลยุทธ์การต่อสู้</t>
  </si>
  <si>
    <t>การต่อสู้เลนว้าวถูกใช้เป็นเครื่องมือในการฝึกฝนการใช้กลยุทธ์ในการต่อสู้.</t>
  </si>
  <si>
    <t>การต่อสู้เลนว้าวในสมัยกรุงรัตนโกสินทร์มีการจัดการแข่งขันในรูปแบบใด?</t>
  </si>
  <si>
    <t>A) แข่งขันในวัด; B) แข่งขันในสนามกีฬา; C) แข่งขันในราชสำนัก; D) แข่งขันในท้องถนน</t>
  </si>
  <si>
    <t>C) แข่งขันในราชสำนัก</t>
  </si>
  <si>
    <t>การแข่งขันเลนว้าวในสมัยกรุงรัตนโกสินทร์มักจัดขึ้นในราชสำนักเพื่อเป็นกิจกรรมสำคัญ.</t>
  </si>
  <si>
    <t>เลนว้าวในสมัยกรุงศรีอยุธยาถูกใช้เพื่ออะไร?</t>
  </si>
  <si>
    <t>A) เพื่อความบันเทิง; B) เพื่อฝึกฝนทักษะการต่อสู้; C) เพื่อการศึกษา; D) เพื่อการแข่งขันระหว่างราชสำนัก</t>
  </si>
  <si>
    <t>B) เพื่อฝึกฝนทักษะการต่อสู้</t>
  </si>
  <si>
    <t>การต่อสู้เลนว้าวในสมัยกรุงศรีอยุธยาใช้เพื่อฝึกฝนทักษะการต่อสู้และเตรียมทหาร.</t>
  </si>
  <si>
    <t>การแข่งขันเลนว้าวเริ่มได้รับการรับรองจากภาครัฐเมื่อใด?</t>
  </si>
  <si>
    <t>A) ในปี 1960; B) ในปี 1970; C) ในปี 1980; D) ในปี 1990</t>
  </si>
  <si>
    <t>B) ในปี 1970</t>
  </si>
  <si>
    <t>การรับรองจากภาครัฐเพื่อส่งเสริมการต่อสู้เลนว้าวเริ่มต้นในปี 1970.</t>
  </si>
  <si>
    <t>เลนว้าวในไทยมีต้นกำเนิดมาจากกิจกรรมใด?</t>
  </si>
  <si>
    <t>A) การต่อสู้ระหว่างหมู่บ้าน; B) การฝึกทหารในสนาม; C) การฝึกศิลปะการต่อสู้; D) การฝึกฝนความเร็ว</t>
  </si>
  <si>
    <t>A) การต่อสู้ระหว่างหมู่บ้าน</t>
  </si>
  <si>
    <t>การต่อสู้เลนว้าวมีต้นกำเนิดมาจากการต่อสู้ระหว่างหมู่บ้านในอดีต.</t>
  </si>
  <si>
    <t>เลนว้าวได้รับการยอมรับในระดับสากลในปีใด?</t>
  </si>
  <si>
    <t>การยอมรับในระดับสากลของการต่อสู้เลนว้าวเกิดขึ้นในปี 1980.</t>
  </si>
  <si>
    <t>การแข่งขันเลนว้าวในอดีตถูกจัดขึ้นในสถานที่ใด?</t>
  </si>
  <si>
    <t>A) สนามกีฬา; B) ทุ่งนา; C) ในหมู่บ้าน; D) ในสนามฝึกทหาร</t>
  </si>
  <si>
    <t>การแข่งขันเลนว้าวในอดีตมักจะจัดในทุ่งนาเพราะมีพื้นที่กว้างขวาง.</t>
  </si>
  <si>
    <t>เลนว้าวถูกนำมาใช้ในฐานะกีฬาในสมัยใด?</t>
  </si>
  <si>
    <t>เลนว้าวถูกพัฒนามาเป็นกีฬาในสมัยกรุงรัตนโกสินทร์.</t>
  </si>
  <si>
    <t>กิจกรรมเลนว้าวในสมัยโบราณมีการพัฒนาอย่างไร?</t>
  </si>
  <si>
    <t>A) จากการต่อสู้ระหว่างหมู่บ้าน; B) จากการแสดงศิลปะการต่อสู้; C) จากการแข่งขันในราชสำนัก; D) จากการฝึกทหาร</t>
  </si>
  <si>
    <t>A) จากการต่อสู้ระหว่างหมู่บ้าน</t>
  </si>
  <si>
    <t>ในสมัยโบราณ กิจกรรมเลนว้าวพัฒนาออกมาจากการต่อสู้ระหว่างหมู่บ้าน.</t>
  </si>
  <si>
    <t>การฝึกฝนเลนว้าวในสมัยก่อนมีการจัดขึ้นที่ไหน?</t>
  </si>
  <si>
    <t>A) ในทุ่งนา; B) ในโรงเรียน; C) ในราชสำนัก; D) ในค่ายทหาร</t>
  </si>
  <si>
    <t>A) ในทุ่งนา</t>
  </si>
  <si>
    <t>การฝึกฝนเลนว้าวในสมัยก่อนมักจัดขึ้นในทุ่งนา.</t>
  </si>
  <si>
    <t>การพัฒนาเลนว้าวในยุคสมัยใหม่เริ่มต้นเมื่อใด?</t>
  </si>
  <si>
    <t>A) ในช่วงปี 1950; B) ในช่วงปี 1960; C) ในช่วงปี 1970; D) ในช่วงปี 1980</t>
  </si>
  <si>
    <t>C) ในช่วงปี 1970</t>
  </si>
  <si>
    <t>การพัฒนาเลนว้าวในยุคสมัยใหม่เริ่มต้นในปี 1970.</t>
  </si>
  <si>
    <t>เลนว้าวในสมัยกรุงศรีอยุธยาถูกนำมาใช้เพื่ออะไร?</t>
  </si>
  <si>
    <t>A) การฝึกทหาร; B) การแสดงศิลปะการต่อสู้; C) การแข่งขันระหว่างหมู่บ้าน; D) การฝึกฝนทักษะการเคลื่อนไหว</t>
  </si>
  <si>
    <t>การต่อสู้เลนว้าวในสมัยกรุงศรีอยุธยาถูกใช้เพื่อฝึกทหาร.</t>
  </si>
  <si>
    <t>การต่อสู้เลนว้าวในสมัยก่อนมีการใช้เทคนิคอย่างไร?</t>
  </si>
  <si>
    <t>A) ใช้กลยุทธ์การป้องกันตัว; B) ใช้ความเร็วในการเคลื่อนไหว; C) ใช้ทักษะการโจมตี; D) ใช้ความแข็งแรงทางกายภาพ</t>
  </si>
  <si>
    <t>A) ใช้กลยุทธ์การป้องกันตัว</t>
  </si>
  <si>
    <t>การต่อสู้เลนว้าวในสมัยก่อนเน้นการใช้กลยุทธ์ในการป้องกันตัว.</t>
  </si>
  <si>
    <t>เลนว้าวได้รับการส่งเสริมอย่างไรในสมัยรัชกาลที่ 5?</t>
  </si>
  <si>
    <t>A) โดยการจัดการแข่งขันในราชสำนัก; B) โดยการส่งเสริมในหมู่บ้าน; C) โดยการแสดงในงานเทศกาล; D) โดยการฝึกทหาร</t>
  </si>
  <si>
    <t>A) โดยการจัดการแข่งขันในราชสำนัก</t>
  </si>
  <si>
    <t>ในสมัยรัชกาลที่ 5 การส่งเสริมเลนว้าวเกิดขึ้นโดยการจัดการแข่งขันในราชสำนัก.</t>
  </si>
  <si>
    <t>การแข่งขันเลนว้าวในอดีตมีบทบาทอย่างไรในสังคมไทย?</t>
  </si>
  <si>
    <t>A) เป็นกิจกรรมเพื่อการศึกษา; B) เป็นกิจกรรมเพื่อความบันเทิง; C) เป็นกิจกรรมเพื่อฝึกทหาร; D) เป็นกิจกรรมเพื่อการท่องเที่ยว</t>
  </si>
  <si>
    <t>B) เป็นกิจกรรมเพื่อความบันเทิง</t>
  </si>
  <si>
    <t>การแข่งขันเลนว้าวในอดีตเป็นกิจกรรมเพื่อความบันเทิงในหมู่บ้านและในราชสำนัก.</t>
  </si>
  <si>
    <t>ในอดีต การฝึกฝนเลนว้าวมักมีการฝึกในลักษณะใด?</t>
  </si>
  <si>
    <t>A) การฝึกเป็นกลุ่ม; B) การฝึกแบบตัวต่อตัว; C) การฝึกเป็นทีม; D) การฝึกในสนามฝึกทหาร</t>
  </si>
  <si>
    <t>B) การฝึกแบบตัวต่อตัว</t>
  </si>
  <si>
    <t>ในอดีตการฝึกฝนเลนว้าวมักจะฝึกแบบตัวต่อตัวเพื่อพัฒนาทักษะส่วนตัว.</t>
  </si>
  <si>
    <t>เลนว้าวมีความหมายว่าอะไรในภาษาไทย?</t>
  </si>
  <si>
    <t>A) การต่อสู้; B) การฝึกทักษะ; C) การแสดงความสามารถ; D) การแข่งขัน</t>
  </si>
  <si>
    <t>A) การต่อสู้</t>
  </si>
  <si>
    <t>คำว่า "เลนว้าว" หมายถึงการต่อสู้ที่ใช้ว่าวเป็นส่วนประกอบ.</t>
  </si>
  <si>
    <t>การแข่งขันเลนว้าวในสมัยโบราณมีการแบ่งทีมอย่างไร?</t>
  </si>
  <si>
    <t>A) แบ่งตามหมู่บ้าน; B) แบ่งตามสังกัดทหาร; C) แบ่งตามชนเผ่า; D) แบ่งตามราชสำนัก</t>
  </si>
  <si>
    <t>A) แบ่งตามหมู่บ้าน</t>
  </si>
  <si>
    <t>ในการแข่งขันเลนว้าวในสมัยโบราณ ทีมจะถูกแบ่งตามหมู่บ้านที่มีการฝึกฝน.</t>
  </si>
  <si>
    <t>ในอดีต การฝึกเลนว้าวมีการใช้สิ่งใดเป็นเครื่องมือหลัก?</t>
  </si>
  <si>
    <t>A) ว่าว; B) ไม้; C) ลูกบอล; D) กริช</t>
  </si>
  <si>
    <t>A) ว่าว</t>
  </si>
  <si>
    <t>ในการฝึกเลนว้าวในอดีต ว่าวเป็นเครื่องมือหลักในการต่อสู้.</t>
  </si>
  <si>
    <t>การส่งเสริมการต่อสู้เลนว้าวในระดับชาติเริ่มต้นในช่วงเวลาใด?</t>
  </si>
  <si>
    <t>A) 1940; B) 1950; C) 1960; D) 1970</t>
  </si>
  <si>
    <t>C) 1960</t>
  </si>
  <si>
    <t>การส่งเสริมการต่อสู้เลนว้าวในระดับชาติเริ่มต้นในปี 1960.</t>
  </si>
  <si>
    <t>ในช่วงต้นของการจัดการแข่งขันเลนว้าว ผู้เข้าแข่งขันจะได้รับรางวัลอะไร?</t>
  </si>
  <si>
    <t>A) เงินรางวัล; B) รางวัลทางการศึกษา; C) ถ้วยรางวัล; D) เกียรติยศ</t>
  </si>
  <si>
    <t>D) เกียรติยศ</t>
  </si>
  <si>
    <t>ในช่วงแรกของการจัดการแข่งขัน ผู้ชนะจะได้รับเกียรติยศจากชุมชนและผู้ชม.</t>
  </si>
  <si>
    <t>A) ไทย; B) จีน; C) มาเลเซีย; D) อินโดนีเซีย</t>
  </si>
  <si>
    <t>การต่อสู้เลนว้าวมีต้นกำเนิดมาจากประเทศไทยและเป็นส่วนหนึ่งของศิลปะการต่อสู้ไทย.</t>
  </si>
  <si>
    <t>ในสมัยกรุงรัตนโกสินทร์ การฝึกเลนว้าวมีการฝึกในลักษณะใด?</t>
  </si>
  <si>
    <t>A) การฝึกในทุ่งนา; B) การฝึกในพระราชวัง; C) การฝึกในสนามกีฬา; D) การฝึกในหมู่บ้าน</t>
  </si>
  <si>
    <t>B) การฝึกในพระราชวัง</t>
  </si>
  <si>
    <t>การฝึกเลนว้าวในสมัยกรุงรัตนโกสินทร์มักจะจัดขึ้นในพระราชวัง.</t>
  </si>
  <si>
    <t>การต่อสู้เลนว้าวในอดีตเกี่ยวข้องกับการฝึกฝนทักษะอะไร?</t>
  </si>
  <si>
    <t>A) การต่อสู้ทางน้ำ; B) การต่อสู้ทางบก; C) การใช้กลยุทธ์การต่อสู้; D) การฝึกฝนจิตใจ</t>
  </si>
  <si>
    <t>C) การใช้กลยุทธ์การต่อสู้</t>
  </si>
  <si>
    <t>การต่อสู้เลนว้าวในอดีตเน้นการใช้กลยุทธ์ในการต่อสู้.</t>
  </si>
  <si>
    <t>เลนว้าวเป็นกีฬาแบบไหน?</t>
  </si>
  <si>
    <t>A) กีฬาเดี่ยว; B) กีฬาเป็นทีม; C) กีฬาแบบผสม; D) กีฬาแบบแข่งขัน</t>
  </si>
  <si>
    <t>B) กีฬาเป็นทีม</t>
  </si>
  <si>
    <t>เลนว้าวเป็นกีฬาแบบทีมที่ต้องมีการประสานงานระหว่างผู้เล่น.</t>
  </si>
  <si>
    <t>การต่อสู้เลนว้าวในสมัยก่อนมักจะใช้ว่าวในรูปแบบใด?</t>
  </si>
  <si>
    <t>A) ว่าวที่มีความแข็งแรง; B) ว่าวที่มีขนาดเล็ก; C) ว่าวที่มีสีสัน; D) ว่าวที่มีความยืดหยุ่น</t>
  </si>
  <si>
    <t>A) ว่าวที่มีความแข็งแรง</t>
  </si>
  <si>
    <t>การใช้ว่าวที่มีความแข็งแรงในการต่อสู้ช่วยเพิ่มประสิทธิภาพในการแข่งขัน.</t>
  </si>
  <si>
    <t>เลนว้าวได้รับการยอมรับเป็นกีฬาประเภทใดในปี 1980?</t>
  </si>
  <si>
    <t>A) กีฬาเอเชียนเกมส์; B) กีฬาโอลิมปิก; C) กีฬาแห่งชาติ; D) กีฬาในสนาม</t>
  </si>
  <si>
    <t>C) กีฬาแห่งชาติ</t>
  </si>
  <si>
    <t>เลนว้าวได้รับการยอมรับเป็นกีฬาในกีฬาแห่งชาติในปี 1980.</t>
  </si>
  <si>
    <t>เลนว้าวได้รับการเผยแพร่ไปยังประเทศใดบ้างในยุคเริ่มต้น?</t>
  </si>
  <si>
    <t>A) ไทยและกัมพูชา; B) ไทยและมาเลเซีย; C) ไทยและอินโดนีเซีย; D) ไทยและลาว</t>
  </si>
  <si>
    <t>B) ไทยและมาเลเซีย</t>
  </si>
  <si>
    <t>การต่อสู้เลนว้าวได้รับการเผยแพร่ไปยังประเทศมาเลเซียในยุคเริ่มต้น.</t>
  </si>
  <si>
    <t>การต่อสู้เลนว้าวมีการพัฒนาอย่างไรในสมัยรัชกาลที่ 5?</t>
  </si>
  <si>
    <t>A) การจัดการแข่งขันในราชสำนัก; B) การฝึกทหารในสนามกีฬา; C) การจัดการแข่งขันในหมู่บ้าน; D) การส่งเสริมการฝึกทหาร</t>
  </si>
  <si>
    <t>A) การจัดการแข่งขันในราชสำนัก</t>
  </si>
  <si>
    <t>เลนว้าวได้รับการพัฒนาในช่วงใดของประวัติศาสตร์ไทย?</t>
  </si>
  <si>
    <t>A) สมัยกรุงศรีอยุธยา; B) สมัยกรุงธนบุรี; C) สมัยกรุงรัตนโกสินทร์; D) สมัยรัชกาลที่ 5</t>
  </si>
  <si>
    <t>การพัฒนาเลนว้าวเกิดขึ้นในสมัยกรุงรัตนโกสินทร์.</t>
  </si>
  <si>
    <t>เลนว้าวในไทยมีการใช้ในการฝึกฝนอะไรในอดีต?</t>
  </si>
  <si>
    <t>A) การฝึกทหาร; B) การฝึกฝนการป้องกันตัว; C) การฝึกฝนศิลปะการต่อสู้; D) การฝึกฝนทักษะการเคลื่อนไหว</t>
  </si>
  <si>
    <t>การฝึกฝนเลนว้าวในอดีตมักใช้ในการฝึกทหารและเตรียมพร้อมสำหรับการต่อสู้.</t>
  </si>
  <si>
    <t>กิจกรรมเลนว้าวในสมัยกรุงรัตนโกสินทร์มีความสำคัญอย่างไร?</t>
  </si>
  <si>
    <t>A) เป็นกิจกรรมเพื่อความบันเทิงในราชสำนัก; B) เป็นกิจกรรมในการฝึกฝนทักษะการป้องกันตัว; C) เป็นกิจกรรมเพื่อการท่องเที่ยว; D) เป็นกิจกรรมเพื่อการศึกษา</t>
  </si>
  <si>
    <t>B) เป็นกิจกรรมในการฝึกฝนทักษะการป้องกันตัว</t>
  </si>
  <si>
    <t>ในสมัยกรุงรัตนโกสินทร์ เลนว้าวถูกใช้เพื่อฝึกฝนทักษะการป้องกันตัว.</t>
  </si>
  <si>
    <t>การแข่งขันเลนว้าวในอดีตมีจุดประสงค์อย่างไร?</t>
  </si>
  <si>
    <t>A) เพื่อความบันเทิง; B) เพื่อการฝึกฝนทักษะการต่อสู้; C) เพื่อการแสดงศิลปะการต่อสู้; D) เพื่อฝึกฝนการใช้กลยุทธ์</t>
  </si>
  <si>
    <t>B) เพื่อการฝึกฝนทักษะการต่อสู้</t>
  </si>
  <si>
    <t>การแข่งขันเลนว้าวในอดีตมีจุดประสงค์เพื่อฝึกฝนทักษะการต่อสู้.</t>
  </si>
  <si>
    <t>ในช่วงสมัยกรุงรัตนโกสินทร์ การฝึกเลนว้าวได้รับการยอมรับในระดับไหน?</t>
  </si>
  <si>
    <t>A) ในหมู่บ้าน; B) ในพระราชสำนัก; C) ในกองทัพ; D) ในสนามกีฬา</t>
  </si>
  <si>
    <t>B) ในพระราชสำนัก</t>
  </si>
  <si>
    <t>การฝึกเลนว้าวในสมัยกรุงรัตนโกสินทร์ได้รับการยอมรับในพระราชสำนัก.</t>
  </si>
  <si>
    <t>การฝึกฝนเลนว้าวมีผลต่อทักษะใด?</t>
  </si>
  <si>
    <t>A) ทักษะทางทหาร; B) ทักษะการป้องกันตัว; C) ทักษะการใช้อาวุธ; D) ทักษะการเคลื่อนไหว</t>
  </si>
  <si>
    <t>A) ทักษะทางทหาร</t>
  </si>
  <si>
    <t>การฝึกฝนเลนว้าวช่วยพัฒนาทักษะทางทหารให้กับผู้ฝึก.</t>
  </si>
  <si>
    <t>กิจกรรมเลนว้าวในสมัยก่อนถูกใช้ในกิจกรรมอะไรบ้าง?</t>
  </si>
  <si>
    <t>A) การแข่งขันระหว่างหมู่บ้าน; B) การแข่งขันระหว่างทหาร; C) การฝึกทหารและการบันเทิง; D) การฝึกฝนทักษะทางกีฬา</t>
  </si>
  <si>
    <t>C) การฝึกทหารและการบันเทิง</t>
  </si>
  <si>
    <t>กิจกรรมเลนว้าวถูกใช้ทั้งในทางทหารและเพื่อความบันเทิง.</t>
  </si>
  <si>
    <t>การต่อสู้เลนว้าวในสมัยกรุงศรีอยุธยามีการฝึกอย่างไร?</t>
  </si>
  <si>
    <t>A) การฝึกแบบกลุ่ม; B) การฝึกแบบตัวต่อตัว; C) การฝึกในสนามกีฬา; D) การฝึกในทุ่งนา</t>
  </si>
  <si>
    <t>การฝึกเลนว้าวในสมัยกรุงศรีอยุธยาเป็นการฝึกแบบตัวต่อตัวเพื่อพัฒนาทักษะส่วนบุคคล.</t>
  </si>
  <si>
    <t>การฝึกเลนว้าวมีบทบาทอย่างไรในสมัยรัชกาลที่ 5?</t>
  </si>
  <si>
    <t>A) เป็นกิจกรรมสันทนาการ; B) เป็นกิจกรรมฝึกทหาร; C) เป็นการแสดงศิลปะการต่อสู้; D) เป็นการแข่งขันกีฬา</t>
  </si>
  <si>
    <t>B) เป็นกิจกรรมฝึกทหาร</t>
  </si>
  <si>
    <t>การฝึกเลนว้าวในสมัยรัชกาลที่ 5 มักถูกใช้เพื่อฝึกทหาร.</t>
  </si>
  <si>
    <t>เลนว้าวในสมัยกรุงศรีอยุธยาเป็นกิจกรรมอะไร?</t>
  </si>
  <si>
    <t>A) การแข่งขันกีฬา; B) การแสดงศิลปะการต่อสู้; C) การฝึกทหาร; D) การแข่งขันระหว่างหมู่บ้าน</t>
  </si>
  <si>
    <t>C) การฝึกทหาร</t>
  </si>
  <si>
    <t>เลนว้าวในสมัยกรุงศรีอยุธยาเป็นกิจกรรมที่ใช้ในการฝึกทหาร.</t>
  </si>
  <si>
    <t>การต่อสู้เลนว้าวในสมัยก่อนมีจุดประสงค์หลักอะไร?</t>
  </si>
  <si>
    <t>A) เพื่อความบันเทิง; B) เพื่อฝึกทักษะการต่อสู้; C) เพื่อฝึกการป้องกันตัว; D) เพื่อการศึกษา</t>
  </si>
  <si>
    <t>B) เพื่อฝึกทักษะการต่อสู้</t>
  </si>
  <si>
    <t>การต่อสู้เลนว้าวในสมัยก่อนมีจุดประสงค์หลักเพื่อฝึกทักษะการต่อสู้.</t>
  </si>
  <si>
    <t>การแข่งขันเลนว้าวในอดีตมีการจัดการแข่งขันในรูปแบบใด?</t>
  </si>
  <si>
    <t>A) แบบทีม; B) แบบเดี่ยว; C) แบบแข่งขันระหว่างหมู่บ้าน; D) แบบแสดงศิลปะ</t>
  </si>
  <si>
    <t>A) แบบทีม</t>
  </si>
  <si>
    <t>การแข่งขันเลนว้าวในอดีตมักจัดเป็นทีมเพื่อทดสอบความสามารถของผู้เล่น.</t>
  </si>
  <si>
    <t>เลนว้าวถูกพัฒนาเป็นกีฬาในรูปแบบที่มีการแข่งขันในระดับใด?</t>
  </si>
  <si>
    <t>A) ระดับประเทศ; B) ระดับท้องถิ่น; C) ระดับภูมิภาค; D) ระดับโลก</t>
  </si>
  <si>
    <t>A) ระดับประเทศ</t>
  </si>
  <si>
    <t>เลนว้าวได้รับการพัฒนาเป็นกีฬาที่มีการแข่งขันในระดับประเทศในช่วงหลัง.</t>
  </si>
  <si>
    <t>การฝึกเลนว้าวในสมัยก่อนใช้วิธีการใดในการฝึกผู้เล่น?</t>
  </si>
  <si>
    <t>A) การฝึกตามตำรา; B) การฝึกโดยการจำลองสถานการณ์; C) การฝึกแบบแข่งขัน; D) การฝึกแบบทฤษฎี</t>
  </si>
  <si>
    <t>B) การฝึกโดยการจำลองสถานการณ์</t>
  </si>
  <si>
    <t>ในสมัยก่อนการฝึกเลนว้าวมักจะใช้การจำลองสถานการณ์เพื่อให้ผู้เล่นได้ฝึกฝนในสถานการณ์จริง.</t>
  </si>
  <si>
    <t>ในสมัยกรุงศรีอยุธยาเลนว้าวมีบทบาทสำคัญในด้านใด?</t>
  </si>
  <si>
    <t>A) การฝึกทหาร; B) การแสดงศิลปะการต่อสู้; C) การฝึกศิลปะการป้องกันตัว; D) การบันเทิง</t>
  </si>
  <si>
    <t>ในสมัยกรุงศรีอยุธยา เลนว้าวถูกใช้เป็นกิจกรรมในการฝึกทหารเพื่อเพิ่มทักษะการป้องกันตัว.</t>
  </si>
  <si>
    <t>การฝึกเลนว้าวในสมัยกรุงรัตนโกสินทร์มีการส่งเสริมในรูปแบบใด?</t>
  </si>
  <si>
    <t>A) การแข่งขันระดับชาติ; B) การฝึกทหารในพระราชวัง; C) การฝึกในหมู่บ้าน; D) การแข่งขันในสนามกีฬา</t>
  </si>
  <si>
    <t>B) การฝึกทหารในพระราชวัง</t>
  </si>
  <si>
    <t>ในสมัยกรุงรัตนโกสินทร์ การฝึกเลนว้าวได้รับการส่งเสริมในพระราชวังเพื่อเพิ่มความแข็งแกร่งให้กับทหาร.</t>
  </si>
  <si>
    <t>เลนว้าวในสมัยก่อนมีการฝึกโดยใช้อุปกรณ์อะไร?</t>
  </si>
  <si>
    <t>A) ว่าว; B) ปืน; C) ดาบ; D) ธนู</t>
  </si>
  <si>
    <t>การฝึกเลนว้าวในอดีตใช้ว่าวเป็นอุปกรณ์หลักในการฝึกฝนทักษะ.</t>
  </si>
  <si>
    <t>ในสมัยกรุงศรีอยุธยา การต่อสู้เลนว้าวถือเป็นกิจกรรมประเภทใด?</t>
  </si>
  <si>
    <t>A) กิจกรรมทางทหาร; B) กิจกรรมการป้องกันตัว; C) กิจกรรมศิลปะการต่อสู้; D) กิจกรรมบันเทิง</t>
  </si>
  <si>
    <t>A) กิจกรรมทางทหาร</t>
  </si>
  <si>
    <t>ในสมัยกรุงศรีอยุธยา เลนว้าวถือเป็นกิจกรรมทางทหารที่ช่วยฝึกทหารในด้านการต่อสู้.</t>
  </si>
  <si>
    <t>การต่อสู้เลนว้าวในสมัยกรุงศรีอยุธยาถือว่าเป็นการฝึกในรูปแบบใด?</t>
  </si>
  <si>
    <t>A) การฝึกตามตำรา; B) การฝึกแบบตัวต่อตัว; C) การฝึกในกลุ่มใหญ่; D) การฝึกในสนามกีฬา</t>
  </si>
  <si>
    <t>การฝึกเลนว้าวในสมัยกรุงศรีอยุธยามักจะฝึกแบบตัวต่อตัวเพื่อพัฒนาทักษะเฉพาะบุคคล.</t>
  </si>
  <si>
    <t>ในสมัยรัชกาลที่ 5 การพัฒนาเลนว้าวมีความสำคัญอย่างไร?</t>
  </si>
  <si>
    <t>A) การส่งเสริมความแข็งแรงทางทหาร; B) การเพิ่มความบันเทิงในราชสำนัก; C) การฝึกทักษะการป้องกันตัว; D) การสร้างงานวิจัยทางการทหาร</t>
  </si>
  <si>
    <t>A) การส่งเสริมความแข็งแรงทางทหาร</t>
  </si>
  <si>
    <t>ในสมัยรัชกาลที่ 5 การพัฒนาเลนว้าวช่วยส่งเสริมความแข็งแรงและทักษะทางทหาร.</t>
  </si>
  <si>
    <t>เลนว้าวในอดีตถูกฝึกฝนเพื่ออะไร?</t>
  </si>
  <si>
    <t>A) การป้องกันประเทศ; B) การแข่งขันกีฬา; C) การแสดงศิลปะการต่อสู้; D) การบันเทิง</t>
  </si>
  <si>
    <t>A) การป้องกันประเทศ</t>
  </si>
  <si>
    <t>เลนว้าวในอดีตถูกใช้เพื่อฝึกฝนทักษะในการป้องกันประเทศ.</t>
  </si>
  <si>
    <t>การฝึกเลนว้าวในสมัยกรุงศรีอยุธยาเน้นไปที่ทักษะใด?</t>
  </si>
  <si>
    <t>A) ทักษะการรบ; B) ทักษะการป้องกันตัว; C) ทักษะการเคลื่อนไหว; D) ทักษะการใช้ปืน</t>
  </si>
  <si>
    <t>A) ทักษะการรบ</t>
  </si>
  <si>
    <t>การฝึกเลนว้าวในสมัยกรุงศรีอยุธยาเน้นการฝึกทักษะการรบให้กับทหาร.</t>
  </si>
  <si>
    <t>การฝึกเลนว้าวในสมัยก่อนมีการจัดกิจกรรมไหนที่สำคัญที่สุด?</t>
  </si>
  <si>
    <t>A) การแข่งขันระหว่างทหาร; B) การฝึกทหารในพระราชวัง; C) การแสดงศิลปะการต่อสู้; D) การแข่งขันในสนามกีฬา</t>
  </si>
  <si>
    <t>กิจกรรมการฝึกทหารในพระราชวังเป็นกิจกรรมที่สำคัญที่สุดในสมัยก่อน.</t>
  </si>
  <si>
    <t>เลนว้าวถูกจัดเป็นกีฬาที่ได้รับการสนับสนุนจากใครในสมัยก่อน?</t>
  </si>
  <si>
    <t>A) พระราชา; B) ขุนนาง; C) ทหาร; D) ชาวบ้าน</t>
  </si>
  <si>
    <t>A) พระราชา</t>
  </si>
  <si>
    <t>ในสมัยก่อนเลนว้าวได้รับการสนับสนุนจากพระราชาเพื่อพัฒนาทักษะทางทหาร.</t>
  </si>
  <si>
    <t>การฝึกเลนว้าวในอดีตมักจะทำที่ไหน?</t>
  </si>
  <si>
    <t>A) ในสนามกีฬา; B) ในพระราชวัง; C) ในหมู่บ้าน; D) ในทุ่งนา</t>
  </si>
  <si>
    <t>B) ในพระราชวัง</t>
  </si>
  <si>
    <t>การฝึกเลนว้าวในอดีตมักจะทำในพระราชวังเพื่อให้ทหารได้รับการฝึกฝนในสภาพแวดล้อมที่มีการควบคุม.</t>
  </si>
  <si>
    <t>ในช่วงไหนที่เลนว้าวได้รับการพัฒนาให้เป็นกีฬาในระดับประเทศ?</t>
  </si>
  <si>
    <t>A) ในสมัยกรุงรัตนโกสินทร์; B) ในสมัยกรุงศรีอยุธยา; C) ในสมัยรัชกาลที่ 5; D) ในช่วงสงครามโลกครั้งที่ 2</t>
  </si>
  <si>
    <t>A) ในสมัยกรุงรัตนโกสินทร์</t>
  </si>
  <si>
    <t>เลนว้าวได้รับการพัฒนาเป็นกีฬาในระดับประเทศในสมัยกรุงรัตนโกสินทร์.</t>
  </si>
  <si>
    <t>เลนว้าวในสมัยกรุงรัตนโกสินทร์มีการฝึกแบบใด?</t>
  </si>
  <si>
    <t>A) การฝึกแบบตัวต่อตัว; B) การฝึกแบบกลุ่ม; C) การฝึกในสนามกีฬา; D) การฝึกแบบแข่งขัน</t>
  </si>
  <si>
    <t>A) การฝึกแบบตัวต่อตัว</t>
  </si>
  <si>
    <t>ในสมัยกรุงรัตนโกสินทร์ การฝึกเลนว้าวมักจะฝึกแบบตัวต่อตัว.</t>
  </si>
  <si>
    <t>กิจกรรมเลนว้าวมีความสำคัญอย่างไรในสมัยกรุงศรีอยุธยา?</t>
  </si>
  <si>
    <t>A) เป็นการฝึกทหาร; B) เป็นการแสดงศิลปะการต่อสู้; C) เป็นกิจกรรมในราชสำนัก; D) เป็นกิจกรรมบันเทิง</t>
  </si>
  <si>
    <t>A) เป็นการฝึกทหาร</t>
  </si>
  <si>
    <t>ในสมัยกรุงศรีอยุธยา เลนว้าวถูกใช้เป็นกิจกรรมในการฝึกทหาร.</t>
  </si>
  <si>
    <t>เลนว้าวในสมัยกรุงศรีอยุธยาถูกใช้ในกิจกรรมอะไร?</t>
  </si>
  <si>
    <t>A) การฝึกทหาร; B) การแสดงศิลปะการต่อสู้; C) การบันเทิงในราชสำนัก; D) การฝึกฝนทักษะทางกีฬา</t>
  </si>
  <si>
    <t>ในสมัยกรุงศรีอยุธยา การต่อสู้เลนว้าวถือเป็นกิจกรรมที่สำคัญอย่างไร?</t>
  </si>
  <si>
    <t>A) การฝึกทหาร; B) การฝึกป้องกันตัว; C) การแสดงศิลปะการต่อสู้; D) การแข่งขันระหว่างทหาร</t>
  </si>
  <si>
    <t>ในสมัยกรุงศรีอยุธยา การต่อสู้เลนว้าวถือเป็นกิจกรรมที่ใช้ในการฝึกทหาร.</t>
  </si>
  <si>
    <t>การฝึกเลนว้าวในสมัยกรุงศรีอยุธยามีการฝึกอะไรบ้าง?</t>
  </si>
  <si>
    <t>A) การต่อสู้; B) การป้องกันตัว; C) การใช้กลยุทธ์; D) การฝึกทางทหาร</t>
  </si>
  <si>
    <t>D) การฝึกทางทหาร</t>
  </si>
  <si>
    <t>การฝึกเลนว้าวในสมัยกรุงศรีอยุธยามีการฝึกทางทหารเพื่อเพิ่มทักษะในการรบ.</t>
  </si>
  <si>
    <t>ในสมัยกรุงรัตนโกสินทร์ เลนว้าวถูกใช้ในด้านใด?</t>
  </si>
  <si>
    <t>A) การป้องกันประเทศ; B) การบันเทิงในราชสำนัก; C) การฝึกทหาร; D) การแข่งขันกีฬา</t>
  </si>
  <si>
    <t>ในสมัยกรุงรัตนโกสินทร์ เลนว้าวถูกใช้ในการฝึกทหารเพื่อพัฒนาความสามารถในการรบ.</t>
  </si>
  <si>
    <t>ในสมัยกรุงรัตนโกสินทร์เลนว้าวได้รับการพัฒนาในด้านใด?</t>
  </si>
  <si>
    <t>A) การทหาร; B) กีฬา; C) ศิลปะการต่อสู้; D) ความบันเทิง</t>
  </si>
  <si>
    <t>A) การทหาร</t>
  </si>
  <si>
    <t>ในสมัยกรุงรัตนโกสินทร์ เลนว้าวได้รับการพัฒนาในด้านการทหารเพื่อฝึกทักษะในการป้องกันประเทศ.</t>
  </si>
  <si>
    <t>เลนว้าวเริ่มได้รับความนิยมในประเทศใด?</t>
  </si>
  <si>
    <t>A) ไทย; B) กัมพูชา; C) มาเลเซีย; D) อินโดนีเซีย</t>
  </si>
  <si>
    <t>เลนว้าวเริ่มได้รับความนิยมในประเทศไทยในช่วงสมัยกรุงศรีอยุธยาและกรุงรัตนโกสินทร์.</t>
  </si>
  <si>
    <t>การต่อสู้เลนว้าวในสมัยก่อนถูกจัดเป็นกิจกรรมใด?</t>
  </si>
  <si>
    <t>A) กิจกรรมฝึกทหาร; B) กิจกรรมกีฬา; C) กิจกรรมบันเทิง; D) กิจกรรมทางศาสนา</t>
  </si>
  <si>
    <t>A) กิจกรรมฝึกทหาร</t>
  </si>
  <si>
    <t>การต่อสู้เลนว้าวในสมัยก่อนจัดเป็นกิจกรรมฝึกทหารที่ช่วยฝึกทักษะการป้องกันตัว.</t>
  </si>
  <si>
    <t>เลนว้าวในสมัยก่อนใช้ในการฝึกทักษะอะไร?</t>
  </si>
  <si>
    <t>A) ทักษะการต่อสู้; B) ทักษะการยิงธนู; C) ทักษะการเดินทางไกล; D) ทักษะการเล่นว่าว</t>
  </si>
  <si>
    <t>A) ทักษะการต่อสู้</t>
  </si>
  <si>
    <t>การฝึกเลนว้าวในสมัยก่อนช่วยพัฒนาทักษะการต่อสู้ของทหาร.</t>
  </si>
  <si>
    <t>ในช่วงสมัยกรุงศรีอยุธยาเลนว้าวถือเป็นกีฬาแบบใด?</t>
  </si>
  <si>
    <t>A) กีฬาแข่งขัน; B) กีฬาเพื่อการป้องกันตัว; C) กีฬาเพื่อความบันเทิง; D) กีฬาเพื่อการฝึกทหาร</t>
  </si>
  <si>
    <t>B) กีฬาเพื่อการป้องกันตัว</t>
  </si>
  <si>
    <t>เลนว้าวในสมัยกรุงศรีอยุธยาใช้ในการฝึกทหารเพื่อเพิ่มทักษะการป้องกันตัว.</t>
  </si>
  <si>
    <t>เมื่อใดที่เลนว้าวได้รับการยอมรับให้เป็นกีฬาในระดับชาติ?</t>
  </si>
  <si>
    <t>A) สมัยกรุงศรีอยุธยา; B) สมัยกรุงรัตนโกสินทร์; C) สมัยรัชกาลที่ 5; D) สมัยรัชกาลที่ 9</t>
  </si>
  <si>
    <t>เลนว้าวได้รับการยอมรับให้เป็นกีฬาในระดับชาติในสมัยกรุงรัตนโกสินทร์.</t>
  </si>
  <si>
    <t>เลนว้าวในสมัยกรุงศรีอยุธยามีบทบาทอย่างไร?</t>
  </si>
  <si>
    <t>A) การฝึกทหาร; B) การบันเทิงในราชสำนัก; C) การแข่งขันกีฬา; D) การฝึกศิลปะการต่อสู้</t>
  </si>
  <si>
    <t>เลนว้าวในสมัยกรุงศรีอยุธยามีบทบาทสำคัญในการฝึกทหาร.</t>
  </si>
  <si>
    <t>ในสมัยกรุงศรีอยุธยา การฝึกเลนว้าวมีเป้าหมายอะไร?</t>
  </si>
  <si>
    <t>A) การป้องกันประเทศ; B) การพัฒนาศิลปะการต่อสู้; C) การฝึกป้องกันตัวในสนามรบ; D) การฝึกการต่อสู้ในรูปแบบต่างๆ</t>
  </si>
  <si>
    <t>การฝึกเลนว้าวในสมัยกรุงศรีอยุธยาเน้นไปที่การฝึกป้องกันประเทศ.</t>
  </si>
  <si>
    <t>การฝึกเลนว้าวในสมัยกรุงศรีอยุธยาถูกจัดขึ้นที่ไหน?</t>
  </si>
  <si>
    <t>A) ในพระราชวัง; B) ในสนามทหาร; C) ในวัด; D) ในหมู่บ้าน</t>
  </si>
  <si>
    <t>A) ในพระราชวัง</t>
  </si>
  <si>
    <t>การฝึกเลนว้าวในสมัยกรุงศรีอยุธยาเกิดขึ้นภายในพระราชวัง.</t>
  </si>
  <si>
    <t>เลนว้าวในสมัยกรุงศรีอยุธยาถูกใช้ในกิจกรรมใด?</t>
  </si>
  <si>
    <t>A) กิจกรรมการฝึกทหาร; B) กิจกรรมบันเทิงในราชสำนัก; C) กิจกรรมการแข่งขันกีฬา; D) กิจกรรมศิลปะการต่อสู้</t>
  </si>
  <si>
    <t>A) กิจกรรมการฝึกทหาร</t>
  </si>
  <si>
    <t>เลนว้าวในสมัยกรุงศรีอยุธยาใช้เป็นกิจกรรมการฝึกทหาร.</t>
  </si>
  <si>
    <t>การฝึกเลนว้าวในสมัยกรุงรัตนโกสินทร์มุ่งเน้นในด้านใด?</t>
  </si>
  <si>
    <t>A) การป้องกันประเทศ; B) การฝึกทักษะทางทหาร; C) การแข่งขันกีฬา; D) การพัฒนาศิลปะการต่อสู้</t>
  </si>
  <si>
    <t>B) การฝึกทักษะทางทหาร</t>
  </si>
  <si>
    <t>การฝึกเลนว้าวในสมัยกรุงรัตนโกสินทร์มุ่งเน้นการฝึกทักษะทางทหาร.</t>
  </si>
  <si>
    <t>การฝึกเลนว้าวในสมัยกรุงรัตนโกสินทร์ถูกใช้ในรูปแบบใด?</t>
  </si>
  <si>
    <t>A) การฝึกในสนามทหาร; B) การฝึกในพระราชวัง; C) การฝึกในหมู่บ้าน; D) การฝึกโดยการจำลองสถานการณ์</t>
  </si>
  <si>
    <t>ในสมัยกรุงรัตนโกสินทร์การฝึกเลนว้าวมักจะเกิดขึ้นในพระราชวัง.</t>
  </si>
  <si>
    <t>เลนว้าวในสมัยกรุงศรีอยุธยาได้รับการสนับสนุนจากใคร?</t>
  </si>
  <si>
    <t>ในสมัยกรุงศรีอยุธยา เลนว้าวได้รับการสนับสนุนจากพระราชาเพื่อใช้ในการฝึกทหาร.</t>
  </si>
  <si>
    <t>ในสมัยกรุงศรีอยุธยาเลนว้าวถูกนำมาใช้ในกิจกรรมใดมากที่สุด?</t>
  </si>
  <si>
    <t>A) การฝึกทหาร; B) การแข่งขันกีฬา; C) การบันเทิงในราชสำนัก; D) การฝึกศิลปะการต่อสู้</t>
  </si>
  <si>
    <t>ในสมัยกรุงศรีอยุธยา เลนว้าวถูกนำมาใช้ในการฝึกทหารมากที่สุด.</t>
  </si>
  <si>
    <t>ในสมัยกรุงรัตนโกสินทร์ เลนว้าวได้รับการยอมรับจากพระราชาหรือไม่?</t>
  </si>
  <si>
    <t>A) ได้รับการยอมรับ; B) ไม่ได้รับการยอมรับ; C) ได้รับการสนับสนุนจากทหาร; D) ได้รับการสนับสนุนจากขุนนาง</t>
  </si>
  <si>
    <t>A) ได้รับการยอมรับ</t>
  </si>
  <si>
    <t>ในสมัยกรุงรัตนโกสินทร์ เลนว้าวได้รับการยอมรับจากพระราชา.</t>
  </si>
  <si>
    <t>เลนว้าวในสมัยกรุงศรีอยุธยาเป็นส่วนหนึ่งของการฝึกอะไร?</t>
  </si>
  <si>
    <t>A) การฝึกทหาร; B) การฝึกสติปัญญา; C) การฝึกวินัย; D) การฝึกป้องกันตัว</t>
  </si>
  <si>
    <t>เลนว้าวในสมัยกรุงศรีอยุธยาเป็นส่วนหนึ่งของการฝึกทหาร.</t>
  </si>
  <si>
    <t>การฝึกเลนว้าวในอดีตมีประโยชน์อย่างไร?</t>
  </si>
  <si>
    <t>A) ช่วยเสริมทักษะการป้องกันตัว; B) ช่วยฝึกความสามารถในการรบ; C) ช่วยพัฒนาศิลปะการต่อสู้; D) ช่วยเพิ่มความแข็งแกร่ง</t>
  </si>
  <si>
    <t>B) ช่วยฝึกความสามารถในการรบ</t>
  </si>
  <si>
    <t>การฝึกเลนว้าวช่วยพัฒนาความสามารถในการรบของทหาร.</t>
  </si>
  <si>
    <t>เลนว้าวในสมัยกรุงรัตนโกสินทร์ใช้สำหรับการฝึกในด้านใด?</t>
  </si>
  <si>
    <t>A) การป้องกันตัว; B) การพัฒนาศิลปะการต่อสู้; C) การฝึกทหารในสงคราม; D) การฝึกในพระราชวัง</t>
  </si>
  <si>
    <t>C) การฝึกทหารในสงคราม</t>
  </si>
  <si>
    <t>เลนว้าวในสมัยกรุงรัตนโกสินทร์ถูกใช้ในการฝึกทหารในสงคราม.</t>
  </si>
  <si>
    <t>เลนว้าวในสมัยกรุงศรีอยุธยาถูกใช้ในการฝึกทหารเพื่ออะไร?</t>
  </si>
  <si>
    <t>A) การพัฒนาศิลปะการต่อสู้; B) การเสริมสร้างความแข็งแกร่งให้กับทหาร; C) การฝึกทักษะการยิงธนู; D) การฝึกทักษะการป้องกันตัว</t>
  </si>
  <si>
    <t>B) การเสริมสร้างความแข็งแกร่งให้กับทหาร</t>
  </si>
  <si>
    <t>การฝึกเลนว้าวในสมัยกรุงศรีอยุธยามุ่งเน้นการเสริมสร้างความแข็งแกร่งให้กับทหาร.</t>
  </si>
  <si>
    <t>การฝึกเลนว้าวในสมัยกรุงรัตนโกสินทร์ช่วยให้ทหารได้ฝึกทักษะอะไร?</t>
  </si>
  <si>
    <t>A) การฝึกยิงปืน; B) การฝึกทักษะการต่อสู้; C) การฝึกทักษะการมวยไทย; D) การฝึกทักษะการเดินทาง</t>
  </si>
  <si>
    <t>B) การฝึกทักษะการต่อสู้</t>
  </si>
  <si>
    <t>การฝึกเลนว้าวในสมัยกรุงรัตนโกสินทร์ช่วยให้ทหารได้ฝึกทักษะการต่อสู้.</t>
  </si>
  <si>
    <t>ในสมัยกรุงรัตนโกสินทร์การฝึกเลนว้าวถือเป็นกิจกรรมประเภทใด?</t>
  </si>
  <si>
    <t>A) กิจกรรมการฝึกทหาร; B) กิจกรรมศิลปะการต่อสู้; C) กิจกรรมการป้องกันตัว; D) กิจกรรมการแข่งขันกีฬา</t>
  </si>
  <si>
    <t>ในสมัยกรุงรัตนโกสินทร์การฝึกเลนว้าวถือเป็นกิจกรรมการฝึกทหาร.</t>
  </si>
  <si>
    <t>เลนว้าวได้รับการพัฒนาในรูปแบบใดในสมัยกรุงรัตนโกสินทร์?</t>
  </si>
  <si>
    <t>A) ศิลปะการต่อสู้; B) กีฬา; C) การฝึกทหาร; D) การบันเทิง</t>
  </si>
  <si>
    <t>ในสมัยกรุงรัตนโกสินทร์ เลนว้าวได้รับการพัฒนาในรูปแบบของการฝึกทหาร.</t>
  </si>
  <si>
    <t>การฝึกเลนว้าวในสมัยกรุงศรีอยุธยาช่วยเพิ่มทักษะอะไรให้กับทหาร?</t>
  </si>
  <si>
    <t>A) การยิงธนู; B) การต่อสู้; C) การป้องกันตัว; D) การเดินทาง</t>
  </si>
  <si>
    <t>การฝึกเลนว้าวในสมัยกรุงศรีอยุธยาช่วยเพิ่มทักษะการต่อสู้ให้กับทหาร.</t>
  </si>
  <si>
    <t>ในสมัยกรุงศรีอยุธยา เลนว้าวถูกใช้ในกิจกรรมใดมากที่สุด?</t>
  </si>
  <si>
    <t>เลนว้าวในสมัยกรุงศรีอยุธยาใช้ในกิจกรรมการฝึกทหาร.</t>
  </si>
  <si>
    <t>ในสมัยกรุงรัตนโกสินทร์ การฝึกเลนว้าวมีประโยชน์อะไร?</t>
  </si>
  <si>
    <t>A) ช่วยฝึกทักษะการต่อสู้; B) ช่วยฝึกทหารในสงคราม; C) ช่วยเพิ่มความแข็งแกร่งให้ทหาร; D) ช่วยเพิ่มทักษะการป้องกันตัว</t>
  </si>
  <si>
    <t>B) ช่วยฝึกทหารในสงคราม</t>
  </si>
  <si>
    <t>การฝึกเลนว้าวในสมัยกรุงรัตนโกสินทร์ช่วยฝึกทหารในสงคราม.</t>
  </si>
  <si>
    <t>ในสมัยกรุงรัตนโกสินทร์การฝึกเลนว้าวมีผลกระทบอย่างไรต่อทหาร?</t>
  </si>
  <si>
    <t>A) ช่วยเพิ่มทักษะการต่อสู้; B) ช่วยเพิ่มความแข็งแกร่ง; C) ช่วยเพิ่มการป้องกันตัว; D) ช่วยฝึกทหารให้พร้อมรบ</t>
  </si>
  <si>
    <t>D) ช่วยฝึกทหารให้พร้อมรบ</t>
  </si>
  <si>
    <t>การฝึกเลนว้าวในสมัยกรุงรัตนโกสินทร์ช่วยฝึกทหารให้พร้อมรบในสงคราม.</t>
  </si>
  <si>
    <t>ในสมัยกรุงศรีอยุธยา เลนว้าวถูกใช้ในกิจกรรมใดเป็นหลัก?</t>
  </si>
  <si>
    <t>ในสมัยกรุงศรีอยุธยา เลนว้าวถูกใช้เป็นหลักในการฝึกทหาร.</t>
  </si>
  <si>
    <t>การฝึกเลนว้าวในสมัยกรุงศรีอยุธยาใช้เวลาเท่าไหร่ในการเรียนรู้?</t>
  </si>
  <si>
    <t>A) ไม่เกิน 1 เดือน; B) ประมาณ 3 เดือน; C) ประมาณ 6 เดือน; D) มากกว่า 6 เดือน</t>
  </si>
  <si>
    <t>C) ประมาณ 6 เดือน</t>
  </si>
  <si>
    <t>การฝึกเลนว้าวในสมัยกรุงศรีอยุธยาใช้เวลาประมาณ 6 เดือนในการเรียนรู้ทักษะ.</t>
  </si>
  <si>
    <t>เลนว้าวในสมัยกรุงศรีอยุธยาช่วยฝึกทหารในด้านใด?</t>
  </si>
  <si>
    <t>A) การฝึกการป้องกันตัว; B) การฝึกความแข็งแกร่ง; C) การฝึกทักษะการต่อสู้; D) การฝึกการใช้ปืน</t>
  </si>
  <si>
    <t>C) การฝึกทักษะการต่อสู้</t>
  </si>
  <si>
    <t>เลนว้าวในสมัยกรุงศรีอยุธยาใช้ในการฝึกทักษะการต่อสู้ของทหาร.</t>
  </si>
  <si>
    <t>เลนว้าวในสมัยกรุงศรีอยุธยาเกี่ยวข้องกับการฝึกทหารอย่างไร?</t>
  </si>
  <si>
    <t>A) ใช้เพื่อฝึกทหารในสนามรบ; B) ใช้เพื่อฝึกทหารในการแข่งขันกีฬา; C) ใช้ในการฝึกทหารในพระราชวัง; D) ใช้ในการฝึกทหารให้แข็งแกร่ง</t>
  </si>
  <si>
    <t>A) ใช้เพื่อฝึกทหารในสนามรบ</t>
  </si>
  <si>
    <t>เลนว้าวในสมัยกรุงศรีอยุธยาใช้ในการฝึกทหารในสนามรบ.</t>
  </si>
  <si>
    <t>เลนว้าวในสมัยกรุงรัตนโกสินทร์มีบทบาทอย่างไรในทหาร?</t>
  </si>
  <si>
    <t>A) ใช้ในการฝึกการต่อสู้; B) ใช้ในการพัฒนาความแข็งแกร่ง; C) ใช้ในการแข่งขันกีฬา; D) ใช้ในการฝึกทักษะการยิงปืน</t>
  </si>
  <si>
    <t>A) ใช้ในการฝึกการต่อสู้</t>
  </si>
  <si>
    <t>เลนว้าวในสมัยกรุงรัตนโกสินทร์มีบทบาทในการฝึกการต่อสู้ให้กับทหาร.</t>
  </si>
  <si>
    <t>เลนว้าวมีการพัฒนาอย่างไรในสมัยกรุงรัตนโกสินทร์?</t>
  </si>
  <si>
    <t>A) เป็นกีฬาทางการทหาร; B) เป็นกีฬาประเภทศิลปะการต่อสู้; C) เป็นกีฬาเพื่อการบันเทิงในราชสำนัก; D) เป็นการฝึกป้องกันตัว</t>
  </si>
  <si>
    <t>A) เป็นกีฬาทางการทหาร</t>
  </si>
  <si>
    <t>เลนว้าวในสมัยกรุงรัตนโกสินทร์พัฒนาเป็นกีฬาทางการทหารเพื่อฝึกทักษะการรบ.</t>
  </si>
  <si>
    <t>เลนว้าวในสมัยกรุงศรีอยุธยามีบทบาทในการฝึกทหารอย่างไร?</t>
  </si>
  <si>
    <t>A) ฝึกทหารให้มีทักษะการต่อสู้ที่แข็งแกร่ง; B) ฝึกทหารให้มีความเร็วในการรบ; C) ฝึกทหารให้มีทักษะการใช้ปืน; D) ฝึกทหารให้มีความคล่องตัว</t>
  </si>
  <si>
    <t>A) ฝึกทหารให้มีทักษะการต่อสู้ที่แข็งแกร่ง</t>
  </si>
  <si>
    <t>เลนว้าวในสมัยกรุงศรีอยุธยาใช้ฝึกทหารให้มีทักษะการต่อสู้ที่แข็งแกร่ง.</t>
  </si>
  <si>
    <t>การฝึกเลนว้าวในสมัยกรุงรัตนโกสินทร์ช่วยฝึกทหารในด้านใด?</t>
  </si>
  <si>
    <t>A) ความเร็วในการรบ; B) ความแข็งแกร่ง; C) การต่อสู้; D) การป้องกันตัว</t>
  </si>
  <si>
    <t>C) การต่อสู้</t>
  </si>
  <si>
    <t>การฝึกเลนว้าวในสมัยกรุงรัตนโกสินทร์ช่วยฝึกทหารในการต่อสู้.</t>
  </si>
  <si>
    <t>ในสมัยกรุงรัตนโกสินทร์ เลนว้าวมีการฝึกในรูปแบบใด?</t>
  </si>
  <si>
    <t>A) ฝึกในสนามทหาร; B) ฝึกในพระราชวัง; C) ฝึกในหมู่บ้าน; D) ฝึกในสถานที่ลับ</t>
  </si>
  <si>
    <t>B) ฝึกในพระราชวัง</t>
  </si>
  <si>
    <t>การฝึกเลนว้าวในสมัยกรุงรัตนโกสินทร์มักฝึกในพระราชวัง.</t>
  </si>
  <si>
    <t>การฝึกเลนว้าวในสมัยกรุงศรีอยุธยาใช้เวลานานเท่าไหร่?</t>
  </si>
  <si>
    <t>C) 6 เดือน</t>
  </si>
  <si>
    <t>การฝึกเลนว้าวในสมัยกรุงศรีอยุธยาใช้เวลาประมาณ 6 เดือน.</t>
  </si>
  <si>
    <t>การฝึกเลนว้าวในสมัยกรุงรัตนโกสินทร์มีผลกระทบต่อทหารอย่างไร?</t>
  </si>
  <si>
    <t>A) ทำให้ทหารมีความคล่องตัว; B) ทำให้ทหารพร้อมรบ; C) ทำให้ทหารกล้าแข็งแกร่ง; D) ทำให้ทหารสามารถป้องกันตัวได้ดี</t>
  </si>
  <si>
    <t>B) ทำให้ทหารพร้อมรบ</t>
  </si>
  <si>
    <t>การฝึกเลนว้าวช่วยให้ทหารพร้อมรบในสนามรบ.</t>
  </si>
  <si>
    <t>เลนว้าวในสมัยกรุงศรีอยุธยาใช้ในการฝึกอะไร?</t>
  </si>
  <si>
    <t>A) การฝึกทหารในการต่อสู้; B) การฝึกการยิงธนู; C) การฝึกการใช้ปืน; D) การฝึกการป้องกันตัว</t>
  </si>
  <si>
    <t>A) การฝึกทหารในการต่อสู้</t>
  </si>
  <si>
    <t>เลนว้าวในสมัยกรุงศรีอยุธยาใช้ในการฝึกทหารในการต่อสู้.</t>
  </si>
  <si>
    <t>การฝึกเลนว้าวในสมัยกรุงศรีอยุธยาเกิดขึ้นในสถานที่ใด?</t>
  </si>
  <si>
    <t>A) พระราชวัง; B) สนามทหาร; C) หมู่บ้าน; D) วัด</t>
  </si>
  <si>
    <t>A) พระราชวัง</t>
  </si>
  <si>
    <t>การฝึกเลนว้าวในสมัยกรุงศรีอยุธยาเกิดขึ้นในพระราชวัง.</t>
  </si>
  <si>
    <t>เลนว้าวในสมัยกรุงรัตนโกสินทร์เป็นการฝึกในด้านใด?</t>
  </si>
  <si>
    <t>A) ศิลปะการต่อสู้; B) กีฬา; C) การฝึกทหาร; D) การป้องกันตัว</t>
  </si>
  <si>
    <t>ในสมัยกรุงรัตนโกสินทร์ เลนว้าวถูกใช้ในการฝึกทหาร.</t>
  </si>
  <si>
    <t>การฝึกเลนว้าวในสมัยกรุงรัตนโกสินทร์มีเป้าหมายอะไร?</t>
  </si>
  <si>
    <t>A) ฝึกทหารให้มีทักษะการต่อสู้; B) ฝึกทหารให้มีความเร็วในการรบ; C) ฝึกทหารให้แข็งแกร่ง; D) ฝึกทหารให้พร้อมรบ</t>
  </si>
  <si>
    <t>D) ฝึกทหารให้พร้อมรบ</t>
  </si>
  <si>
    <t>การฝึกเลนว้าวในสมัยกรุงรัตนโกสินทร์มีเป้าหมายในการฝึกทหารให้พร้อมรบ.</t>
  </si>
  <si>
    <t>เลนว้าวในสมัยกรุงรัตนโกสินทร์ได้รับการพัฒนาอย่างไร?</t>
  </si>
  <si>
    <t>A) เป็นการฝึกทหาร; B) เป็นกีฬาแข่งขัน; C) เป็นการบันเทิงในราชสำนัก; D) เป็นการฝึกการป้องกันตัว</t>
  </si>
  <si>
    <t>เลนว้าวในสมัยกรุงรัตนโกสินทร์ได้รับการพัฒนาเป็นการฝึกทหาร.</t>
  </si>
  <si>
    <t>ในสมัยกรุงศรีอยุธยา การฝึกเลนว้าวมีประโยชน์อะไร?</t>
  </si>
  <si>
    <t>A) ช่วยฝึกการต่อสู้; B) ช่วยเพิ่มทักษะการยิงธนู; C) ช่วยเสริมทักษะการป้องกันตัว; D) ช่วยฝึกทหารให้พร้อมรบ</t>
  </si>
  <si>
    <t>A) ช่วยฝึกการต่อสู้</t>
  </si>
  <si>
    <t>การฝึกเลนว้าวในสมัยกรุงศรีอยุธยาช่วยฝึกทหารในทักษะการต่อสู้.</t>
  </si>
  <si>
    <t>การฝึกเลนว้าวในสมัยกรุงรัตนโกสินทร์ช่วยทหารได้อย่างไร?</t>
  </si>
  <si>
    <t>A) ช่วยเพิ่มความแข็งแกร่ง; B) ช่วยเพิ่มทักษะการต่อสู้; C) ช่วยเพิ่มความคล่องตัว; D) ช่วยเสริมสร้างจิตใจ</t>
  </si>
  <si>
    <t>B) ช่วยเพิ่มทักษะการต่อสู้</t>
  </si>
  <si>
    <t>การฝึกเลนว้าวในสมัยกรุงรัตนโกสินทร์ช่วยเพิ่มทักษะการต่อสู้ของทหาร.</t>
  </si>
  <si>
    <t>เลนว้าวในสมัยกรุงรัตนโกสินทร์ถูกใช้ในกิจกรรมอะไร?</t>
  </si>
  <si>
    <t>A) กิจกรรมการฝึกทหาร; B) กิจกรรมกีฬา; C) กิจกรรมการบันเทิง; D) กิจกรรมการแข่งขัน</t>
  </si>
  <si>
    <t>เลนว้าวในสมัยกรุงรัตนโกสินทร์ใช้ในกิจกรรมการฝึกทหาร.</t>
  </si>
  <si>
    <t>การฝึกเลนว้าวในสมัยกรุงรัตนโกสินทร์ช่วยฝึกทักษะอะไรให้กับทหาร?</t>
  </si>
  <si>
    <t>A) การต่อสู้; B) การยิงธนู; C) การใช้ปืน; D) การป้องกันตัว</t>
  </si>
  <si>
    <t>การฝึกเลนว้าวช่วยฝึกทักษะการต่อสู้ให้กับทหารในสมัยกรุงรัตนโกสินทร์.</t>
  </si>
  <si>
    <t>ในสมัยกรุงรัตนโกสินทร์ การฝึกเลนว้าวเกี่ยวข้องกับการใช้ทักษะการต่อสู้ในรูปแบบใด?</t>
  </si>
  <si>
    <t>A) การฝึกการยิงธนู; B) การฝึกการป้องกันตัว; C) การฝึกทักษะการใช้ดาบ; D) การฝึกทักษะการต่อสู้ที่เกี่ยวข้องกับการเคลื่อนไหว</t>
  </si>
  <si>
    <t>D) การฝึกทักษะการต่อสู้ที่เกี่ยวข้องกับการเคลื่อนไหว</t>
  </si>
  <si>
    <t>การฝึกเลนว้าวในสมัยกรุงรัตนโกสินทร์เกี่ยวข้องกับการเคลื่อนไหวในการต่อสู้.</t>
  </si>
  <si>
    <t>การฝึกเลนว้าวในสมัยกรุงรัตนโกสินทร์ทำให้ทหารได้เรียนรู้อะไร?</t>
  </si>
  <si>
    <t>A) การยิงปืน; B) การฝึกการต่อสู้แบบคล่องตัว; C) การฝึกการต่อสู้กับศัตรู; D) การฝึกการยิงธนู</t>
  </si>
  <si>
    <t>B) การฝึกการต่อสู้แบบคล่องตัว</t>
  </si>
  <si>
    <t>การฝึกเลนว้าวในสมัยกรุงรัตนโกสินทร์ทำให้ทหารได้เรียนรู้การต่อสู้แบบคล่องตัว.</t>
  </si>
  <si>
    <t>ในสมัยกรุงศรีอยุธยา ทหารได้รับการฝึกเลนว้าวเพื่ออะไร?</t>
  </si>
  <si>
    <t>A) เพื่อการฝึกทักษะการป้องกันตัว; B) เพื่อการฝึกทหารในสนามรบ; C) เพื่อการฝึกการใช้ปืน; D) เพื่อการฝึกการเดินทาง</t>
  </si>
  <si>
    <t>B) เพื่อการฝึกทหารในสนามรบ</t>
  </si>
  <si>
    <t>ในสมัยกรุงศรีอยุธยา ทหารได้รับการฝึกเลนว้าวเพื่อฝึกทหารให้พร้อมสำหรับสนามรบ.</t>
  </si>
  <si>
    <t>การฝึกเลนว้าวในสมัยกรุงศรีอยุธยาได้เริ่มต้นขึ้นในช่วงเวลาใด?</t>
  </si>
  <si>
    <t>A) ในสมัยพระเจ้าปราสาททอง; B) ในสมัยพระนเรศวร; C) ในสมัยสมเด็จพระนารายณ์; D) ในสมัยพระบาทสมเด็จพระเจ้าอยู่หัวรัชกาลที่ 1</t>
  </si>
  <si>
    <t>B) ในสมัยพระนเรศวร</t>
  </si>
  <si>
    <t>การฝึกเลนว้าวในสมัยกรุงศรีอยุธยาเริ่มต้นในช่วงสมัยพระนเรศวร.</t>
  </si>
  <si>
    <t>ในสมัยกรุงรัตนโกสินทร์ เลนว้าวเป็นการฝึกเพื่ออะไร?</t>
  </si>
  <si>
    <t>A) เพื่อการบันเทิง; B) เพื่อการพัฒนาทักษะการต่อสู้; C) เพื่อฝึกทหารในสนามรบ; D) เพื่อการแข่งขันกีฬา</t>
  </si>
  <si>
    <t>B) เพื่อการพัฒนาทักษะการต่อสู้</t>
  </si>
  <si>
    <t>เลนว้าวในสมัยกรุงรัตนโกสินทร์ถูกใช้ในการพัฒนาทักษะการต่อสู้.</t>
  </si>
  <si>
    <t>ใครคือผู้ที่นำการฝึกเลนว้าวมาสู่กรุงศรีอยุธยา?</t>
  </si>
  <si>
    <t>A) พระนเรศวร; B) พระเจ้าปราสาททอง; C) สมเด็จพระนารายณ์; D) พระรามาธิบดี</t>
  </si>
  <si>
    <t>A) พระนเรศวร</t>
  </si>
  <si>
    <t>พระนเรศวรเป็นผู้ที่นำการฝึกเลนว้าวมาสู่กรุงศรีอยุธยา.</t>
  </si>
  <si>
    <t>เลนว้าวในสมัยกรุงศรีอยุธยาถูกใช้ในด้านใด?</t>
  </si>
  <si>
    <t>A) การป้องกันตัว; B) การฝึกการต่อสู้; C) การฝึกการใช้ปืน; D) การฝึกการยิงธนู</t>
  </si>
  <si>
    <t>B) การฝึกการต่อสู้</t>
  </si>
  <si>
    <t>เลนว้าวในสมัยกรุงศรีอยุธยาใช้ในการฝึกทหารให้มีทักษะการต่อสู้.</t>
  </si>
  <si>
    <t>เลนว้าวในสมัยกรุงศรีอยุธยาเกี่ยวข้องกับกิจกรรมใด?</t>
  </si>
  <si>
    <t>A) การฝึกทหาร; B) การแข่งขันกีฬา; C) การบันเทิงในราชสำนัก; D) การฝึกการใช้ดาบ</t>
  </si>
  <si>
    <t>เลนว้าวในสมัยกรุงศรีอยุธยาเกี่ยวข้องกับการฝึกทหาร.</t>
  </si>
  <si>
    <t>การฝึกเลนว้าวในสมัยกรุงศรีอยุธยาเป็นส่วนสำคัญในการฝึกทหารอย่างไร?</t>
  </si>
  <si>
    <t>A) ช่วยเพิ่มความเร็วในการรบ; B) ช่วยเสริมทักษะการป้องกันตัว; C) ช่วยพัฒนาทักษะการใช้ปืน; D) ช่วยฝึกทหารให้มีทักษะการต่อสู้ที่ดี</t>
  </si>
  <si>
    <t>D) ช่วยฝึกทหารให้มีทักษะการต่อสู้ที่ดี</t>
  </si>
  <si>
    <t>การฝึกเลนว้าวในสมัยกรุงศรีอยุธยาช่วยฝึกทหารให้มีทักษะการต่อสู้ที่ดี.</t>
  </si>
  <si>
    <t>ในสมัยกรุงศรีอยุธยาเลนว้าวถูกใช้ในการฝึกทหารเพื่ออะไร?</t>
  </si>
  <si>
    <t>A) เพื่อฝึกทหารให้พร้อมรบ; B) เพื่อฝึกการยิงธนู; C) เพื่อฝึกการใช้ปืน; D) เพื่อฝึกการต่อสู้ในสนามรบ</t>
  </si>
  <si>
    <t>A) เพื่อฝึกทหารให้พร้อมรบ</t>
  </si>
  <si>
    <t>เลนว้าวในสมัยกรุงศรีอยุธยาใช้ในการฝึกทหารให้พร้อมรบ.</t>
  </si>
  <si>
    <t>เลนว้าวในสมัยกรุงรัตนโกสินทร์ถูกพัฒนาให้มีลักษณะอย่างไร?</t>
  </si>
  <si>
    <t>A) เป็นการฝึกทหารให้มีความแข็งแกร่ง; B) เป็นการฝึกทหารให้มีความคล่องตัว; C) เป็นการฝึกทหารให้สามารถป้องกันตัวได้ดี; D) เป็นการฝึกทหารให้พร้อมรบ</t>
  </si>
  <si>
    <t>D) เป็นการฝึกทหารให้พร้อมรบ</t>
  </si>
  <si>
    <t>เลนว้าวในสมัยกรุงรัตนโกสินทร์ถูกพัฒนาเพื่อให้ทหารพร้อมรบ.</t>
  </si>
  <si>
    <t>A) ทักษะการต่อสู้; B) การยิงปืน; C) การยิงธนู; D) การใช้ดาบ</t>
  </si>
  <si>
    <t>การฝึกเลนว้าวในสมัยกรุงรัตนโกสินทร์ช่วยฝึกทักษะการต่อสู้.</t>
  </si>
  <si>
    <t>เลนว้าวในสมัยกรุงรัตนโกสินทร์ถูกใช้ในการฝึกทหารในช่วงเวลาใด?</t>
  </si>
  <si>
    <t>A) ในช่วงสงครามโลกครั้งที่ 2; B) ในช่วงสงครามเกาหลี; C) ในช่วงสงครามเวียดนาม; D) ในช่วงสงครามรบในพื้นที่ใกล้เคียง</t>
  </si>
  <si>
    <t>D) ในช่วงสงครามรบในพื้นที่ใกล้เคียง</t>
  </si>
  <si>
    <t>เลนว้าวในสมัยกรุงรัตนโกสินทร์ถูกใช้ในช่วงสงครามรบในพื้นที่ใกล้เคียง.</t>
  </si>
  <si>
    <t>ในสมัยกรุงศรีอยุธยา เลนว้าวมีการพัฒนาให้เป็นกีฬาชนิดใด?</t>
  </si>
  <si>
    <t>A) กีฬาสำหรับทหาร; B) กีฬาสำหรับการแข่งขันในราชสำนัก; C) กีฬาสำหรับประชาชน; D) กีฬาสำหรับการฝึกพิเศษ</t>
  </si>
  <si>
    <t>A) กีฬาสำหรับทหาร</t>
  </si>
  <si>
    <t>เลนว้าวในสมัยกรุงศรีอยุธยาพัฒนาให้เป็นกีฬาสำหรับทหาร.</t>
  </si>
  <si>
    <t>ในการฝึกเลนว้าวในสมัยกรุงรัตนโกสินทร์ ทหารได้ฝึกทักษะอะไรบ้าง?</t>
  </si>
  <si>
    <t>A) การใช้ดาบและธนู; B) การต่อสู้แบบคล่องตัว; C) การฝึกการใช้ปืน; D) การฝึกการป้องกันตัว</t>
  </si>
  <si>
    <t>B) การต่อสู้แบบคล่องตัว</t>
  </si>
  <si>
    <t>ในการฝึกเลนว้าวในสมัยกรุงรัตนโกสินทร์ ทหารได้ฝึกการต่อสู้แบบคล่องตัว.</t>
  </si>
  <si>
    <t>การฝึกเลนว้าวในสมัยกรุงรัตนโกสินทร์มีผลต่อทหารในด้านใด?</t>
  </si>
  <si>
    <t>A) ทหารมีความเร็วในการรบ; B) ทหารสามารถป้องกันตัวได้ดี; C) ทหารสามารถจัดการกับศัตรูได้ดี; D) ทหารมีทักษะการต่อสู้ที่ดี</t>
  </si>
  <si>
    <t>D) ทหารมีทักษะการต่อสู้ที่ดี</t>
  </si>
  <si>
    <t>การฝึกเลนว้าวในสมัยกรุงรัตนโกสินทร์ช่วยให้ทหารมีทักษะการต่อสู้ที่ดี.</t>
  </si>
  <si>
    <t>การฝึกเลนว้าวในสมัยกรุงรัตนโกสินทร์ช่วยให้ทหารได้เรียนรู้อะไร?</t>
  </si>
  <si>
    <t>A) การฝึกการยิงปืน; B) การฝึกการป้องกันตัว; C) การฝึกการใช้ดาบ; D) การฝึกการต่อสู้ในสนามรบ</t>
  </si>
  <si>
    <t>B) การฝึกการป้องกันตัว</t>
  </si>
  <si>
    <t>การฝึกเลนว้าวในสมัยกรุงรัตนโกสินทร์ช่วยฝึกทหารในการป้องกันตัว.</t>
  </si>
  <si>
    <t>เลนว้าวในสมัยกรุงศรีอยุธยาได้รับการพัฒนาอย่างไร?</t>
  </si>
  <si>
    <t>A) จากการฝึกทหารเป็นกีฬา; B) จากกีฬาเป็นการฝึกทหาร; C) จากกีฬาเป็นการแข่งขัน; D) จากการฝึกทหารเป็นการป้องกันตัว</t>
  </si>
  <si>
    <t>B) จากกีฬาเป็นการฝึกทหาร</t>
  </si>
  <si>
    <t>เลนว้าวในสมัยกรุงศรีอยุธยาได้รับการพัฒนาเป็นการฝึกทหาร.</t>
  </si>
  <si>
    <t>เลนว้าวในสมัยกรุงศรีอยุธยาใช้ในการฝึกทหารอย่างไร?</t>
  </si>
  <si>
    <t>A) ฝึกทหารให้มีทักษะการต่อสู้ที่ดี; B) ฝึกทหารให้มีทักษะการป้องกันตัว; C) ฝึกทหารให้สามารถใช้ปืนได้; D) ฝึกทหารให้สามารถใช้ดาบได้</t>
  </si>
  <si>
    <t>A) ฝึกทหารให้มีทักษะการต่อสู้ที่ดี</t>
  </si>
  <si>
    <t>เลนว้าวในสมัยกรุงศรีอยุธยาใช้ในการฝึกทหารให้มีทักษะการต่อสู้ที่ดี.</t>
  </si>
  <si>
    <t>ในสมัยกรุงรัตนโกสินทร์การฝึกเลนว้าวมีบทบาทสำคัญอย่างไร?</t>
  </si>
  <si>
    <t>A) ช่วยฝึกทหารให้พร้อมรบ; B) ช่วยฝึกทหารให้แข็งแกร่ง; C) ช่วยฝึกทหารให้กล้าหาญ; D) ช่วยฝึกทหารให้รอบคอบ</t>
  </si>
  <si>
    <t>A) ช่วยฝึกทหารให้พร้อมรบ</t>
  </si>
  <si>
    <t>การฝึกเลนว้าวในสมัยกรุงรัตนโกสินทร์ช่วยฝึกทหารให้พร้อมรบ.</t>
  </si>
  <si>
    <t>ในสมัยกรุงรัตนโกสินทร์ ทหารที่ฝึกเลนว้าวจะได้ประโยชน์จากการฝึกอะไรบ้าง?</t>
  </si>
  <si>
    <t>A) การฝึกการป้องกันตัว; B) การฝึกการใช้ปืน; C) การฝึกการต่อสู้แบบคล่องตัว; D) การฝึกการใช้ดาบ</t>
  </si>
  <si>
    <t>C) การฝึกการต่อสู้แบบคล่องตัว</t>
  </si>
  <si>
    <t>ทหารที่ฝึกเลนว้าวในสมัยกรุงรัตนโกสินทร์จะได้ประโยชน์จากการฝึกการต่อสู้แบบคล่องตัว.</t>
  </si>
  <si>
    <t>การฝึกเลนว้าวในสมัยกรุงรัตนโกสินทร์เป็นกิจกรรมหลักในการฝึกอะไร?</t>
  </si>
  <si>
    <t>A) ทักษะการใช้ปืน; B) ทักษะการใช้ดาบ; C) ทักษะการต่อสู้; D) ทักษะการยิงธนู</t>
  </si>
  <si>
    <t>C) ทักษะการต่อสู้</t>
  </si>
  <si>
    <t>การฝึกเลนว้าวในสมัยกรุงรัตนโกสินทร์เป็นกิจกรรมหลักในการฝึกทักษะการต่อสู้.</t>
  </si>
  <si>
    <t>ในสมัยกรุงรัตนโกสินทร์เลนว้าวได้ถูกใช้ในการฝึกอะไร?</t>
  </si>
  <si>
    <t>A) ทักษะการต่อสู้; B) การใช้ปืน; C) การยิงธนู; D) การใช้ดาบ</t>
  </si>
  <si>
    <t>ในสมัยกรุงรัตนโกสินทร์เลนว้าวถูกใช้ในการฝึกทักษะการต่อสู้.</t>
  </si>
  <si>
    <t>เลนว้าวในสมัยกรุงศรีอยุธยามีความสำคัญอย่างไร?</t>
  </si>
  <si>
    <t>A) ใช้ในการฝึกทหารให้พร้อมรบ; B) ใช้ในการแข่งขันกีฬา; C) ใช้ในการพัฒนาศิลปะการต่อสู้; D) ใช้ในการบันเทิง</t>
  </si>
  <si>
    <t>A) ใช้ในการฝึกทหารให้พร้อมรบ</t>
  </si>
  <si>
    <t>การฝึกเลนว้าวในสมัยกรุงศรีอยุธยามีบทบาทในด้านใด?</t>
  </si>
  <si>
    <t>A) การป้องกันตัว; B) การฝึกทหารให้มีความคล่องตัว; C) การพัฒนาทักษะการใช้ปืน; D) การพัฒนาทักษะการยิงธนู</t>
  </si>
  <si>
    <t>B) การฝึกทหารให้มีความคล่องตัว</t>
  </si>
  <si>
    <t>การฝึกเลนว้าวในสมัยกรุงศรีอยุธยาช่วยพัฒนาทักษะการต่อสู้และความคล่องตัวของทหาร.</t>
  </si>
  <si>
    <t>เลนว้าวในสมัยกรุงรัตนโกสินทร์มีการฝึกอย่างไร?</t>
  </si>
  <si>
    <t>A) ฝึกทักษะการต่อสู้; B) ฝึกการใช้ปืน; C) ฝึกการใช้ธนู; D) ฝึกการใช้ดาบ</t>
  </si>
  <si>
    <t>A) ฝึกทักษะการต่อสู้</t>
  </si>
  <si>
    <t>เลนว้าวในสมัยกรุงรัตนโกสินทร์ถูกใช้ในการฝึกทักษะการต่อสู้.</t>
  </si>
  <si>
    <t>การฝึกเลนว้าวในสมัยกรุงศรีอยุธยามีการเน้นการฝึกในด้านใด?</t>
  </si>
  <si>
    <t>A) การต่อสู้แบบคล่องตัว; B) การฝึกการใช้ดาบ; C) การฝึกการป้องกันตัว; D) การฝึกการใช้ปืน</t>
  </si>
  <si>
    <t>A) การต่อสู้แบบคล่องตัว</t>
  </si>
  <si>
    <t>การฝึกเลนว้าวในสมัยกรุงศรีอยุธยามุ่งเน้นการฝึกการต่อสู้แบบคล่องตัว.</t>
  </si>
  <si>
    <t>ในสมัยกรุงศรีอยุธยา เลนว้าวถูกใช้ในการฝึกทหารสำหรับอะไร?</t>
  </si>
  <si>
    <t>A) การฝึกการต่อสู้ในสนามรบ; B) การป้องกันตัวจากศัตรู; C) การใช้อาวุธ; D) การป้องกันการโจมตี</t>
  </si>
  <si>
    <t>A) การฝึกการต่อสู้ในสนามรบ</t>
  </si>
  <si>
    <t>เลนว้าวในสมัยกรุงศรีอยุธยาใช้ในการฝึกทหารให้มีทักษะในการต่อสู้ในสนามรบ.</t>
  </si>
  <si>
    <t>ในสมัยกรุงศรีอยุธยาผู้ที่ฝึกเลนว้าวจะได้รับการฝึกเกี่ยวกับอะไร?</t>
  </si>
  <si>
    <t>A) การต่อสู้ทางทหาร; B) การยิงธนู; C) การใช้ปืน; D) การป้องกันตัวจากศัตรู</t>
  </si>
  <si>
    <t>A) การต่อสู้ทางทหาร</t>
  </si>
  <si>
    <t>ผู้ที่ฝึกเลนว้าวในสมัยกรุงศรีอยุธยาได้รับการฝึกเกี่ยวกับการต่อสู้ทางทหาร.</t>
  </si>
  <si>
    <t>เลนว้าวในสมัยกรุงรัตนโกสินทร์ใช้ในการฝึกทหารในด้านใด?</t>
  </si>
  <si>
    <t>A) การฝึกการต่อสู้; B) การฝึกการใช้ปืน; C) การฝึกการใช้ธนู; D) การฝึกการป้องกันตัว</t>
  </si>
  <si>
    <t>A) การฝึกการต่อสู้</t>
  </si>
  <si>
    <t>เลนว้าวในสมัยกรุงรัตนโกสินทร์ใช้ในการฝึกทหารให้มีทักษะการต่อสู้.</t>
  </si>
  <si>
    <t>การฝึกเลนว้าวในสมัยกรุงรัตนโกสินทร์ช่วยพัฒนาทักษะอะไร?</t>
  </si>
  <si>
    <t>A) ทักษะการต่อสู้ที่คล่องตัว; B) ทักษะการป้องกันตัว; C) ทักษะการใช้ปืน; D) ทักษะการใช้ธนู</t>
  </si>
  <si>
    <t>A) ทักษะการต่อสู้ที่คล่องตัว</t>
  </si>
  <si>
    <t>การฝึกเลนว้าวในสมัยกรุงรัตนโกสินทร์ช่วยพัฒนาทักษะการต่อสู้ที่คล่องตัว.</t>
  </si>
  <si>
    <t>ในการฝึกเลนว้าวในสมัยกรุงศรีอยุธยา ทหารได้เรียนรู้อะไร?</t>
  </si>
  <si>
    <t>A) การต่อสู้ในสนามรบ; B) การใช้ปืนและธนู; C) การใช้ดาบ; D) การป้องกันตัวจากศัตรู</t>
  </si>
  <si>
    <t>A) การต่อสู้ในสนามรบ</t>
  </si>
  <si>
    <t>ในการฝึกเลนว้าวในสมัยกรุงศรีอยุธยา ทหารได้เรียนรู้การต่อสู้ในสนามรบ.</t>
  </si>
  <si>
    <t>A) การฝึกทหารในด้านการต่อสู้; B) การฝึกการใช้ดาบ; C) การฝึกการป้องกันตัว; D) การฝึกการใช้ธนู</t>
  </si>
  <si>
    <t>A) การฝึกทหารในด้านการต่อสู้</t>
  </si>
  <si>
    <t>การฝึกเลนว้าวในสมัยกรุงศรีอยุธยาและกรุงรัตนโกสินทร์มีความแตกต่างกันอย่างไร?</t>
  </si>
  <si>
    <t>A) การฝึกในกรุงศรีอยุธยามุ่งเน้นทหาร; B) การฝึกในกรุงรัตนโกสินทร์เน้นความคล่องตัว; C) การฝึกในกรุงศรีอยุธยาใช้ปืน; D) การฝึกในกรุงรัตนโกสินทร์ใช้ดาบ</t>
  </si>
  <si>
    <t>B) การฝึกในกรุงรัตนโกสินทร์เน้นความคล่องตัว</t>
  </si>
  <si>
    <t>การฝึกในกรุงรัตนโกสินทร์เน้นการฝึกทหารให้มีความคล่องตัวในการต่อสู้.</t>
  </si>
  <si>
    <t>A) เพิ่มทักษะการใช้ดาบ; B) พัฒนาให้ทหารมีความคล่องตัว; C) พัฒนาให้ทหารสามารถยิงธนูได้ดีขึ้น; D) พัฒนาให้ทหารใช้ปืนได้ดีขึ้น</t>
  </si>
  <si>
    <t>B) พัฒนาให้ทหารมีความคล่องตัว</t>
  </si>
  <si>
    <t>การฝึกเลนว้าวในสมัยกรุงรัตนโกสินทร์ได้รับการพัฒนาให้ทหารมีความคล่องตัว.</t>
  </si>
  <si>
    <t>การฝึกเลนว้าวในสมัยกรุงรัตนโกสินทร์ใช้ในการฝึกทหารในด้านใด?</t>
  </si>
  <si>
    <t>A) การฝึกการใช้ดาบ; B) การฝึกการยิงธนู; C) การฝึกการป้องกันตัวจากศัตรู; D) การฝึกการต่อสู้ในสนามรบ</t>
  </si>
  <si>
    <t>C) การฝึกการป้องกันตัวจากศัตรู</t>
  </si>
  <si>
    <t>การฝึกเลนว้าวในสมัยกรุงรัตนโกสินทร์ใช้ในการฝึกการป้องกันตัวจากศัตรู.</t>
  </si>
  <si>
    <t>ในสมัยกรุงรัตนโกสินทร์ เลนว้าวถูกนำมาใช้ในการฝึกทหารเพื่ออะไร?</t>
  </si>
  <si>
    <t>A) เพื่อเพิ่มทักษะการต่อสู้; B) เพื่อเพิ่มทักษะการใช้ปืน; C) เพื่อเพิ่มทักษะการยิงธนู; D) เพื่อเพิ่มทักษะการป้องกันตัว</t>
  </si>
  <si>
    <t>A) เพื่อเพิ่มทักษะการต่อสู้</t>
  </si>
  <si>
    <t>ในสมัยกรุงรัตนโกสินทร์ เลนว้าวถูกใช้เพื่อเพิ่มทักษะการต่อสู้ของทหาร.</t>
  </si>
  <si>
    <t>เลนว้าวในสมัยกรุงรัตนโกสินทร์ถูกใช้เพื่ออะไรในทหาร?</t>
  </si>
  <si>
    <t>A) เพื่อเพิ่มทักษะการป้องกันตัว; B) เพื่อฝึกการใช้ดาบ; C) เพื่อฝึกการใช้ปืน; D) เพื่อฝึกการใช้ธนู</t>
  </si>
  <si>
    <t>A) เพื่อเพิ่มทักษะการป้องกันตัว</t>
  </si>
  <si>
    <t>เลนว้าวในสมัยกรุงรัตนโกสินทร์ถูกใช้เพื่อฝึกทหารในการป้องกันตัวจากศัตรู.</t>
  </si>
  <si>
    <t>A) เพื่อฝึกทักษะการต่อสู้ในสนามรบ; B) เพื่อฝึกทหารในการใช้อาวุธ; C) เพื่อฝึกทหารในการต่อสู้แบบคล่องตัว; D) เพื่อฝึกทหารในการป้องกันตัว</t>
  </si>
  <si>
    <t>A) เพื่อฝึกทักษะการต่อสู้ในสนามรบ</t>
  </si>
  <si>
    <t>เลนว้าวในสมัยกรุงศรีอยุธยาถูกใช้ในการฝึกทหารให้พร้อมรบในสนามรบ.</t>
  </si>
  <si>
    <t>การฝึกเลนว้าวในสมัยกรุงรัตนโกสินทร์ช่วยพัฒนาทักษะอะไรในทหาร?</t>
  </si>
  <si>
    <t>A) ทักษะการต่อสู้ที่คล่องตัว; B) ทักษะการใช้อาวุธ; C) ทักษะการป้องกันตัว; D) ทักษะการใช้ปืน</t>
  </si>
  <si>
    <t>ในสมัยกรุงรัตนโกสินทร์ ทหารที่ฝึกเลนว้าวจะมีทักษะใด?</t>
  </si>
  <si>
    <t>A) ทักษะการต่อสู้ในสนามรบ; B) ทักษะการป้องกันตัวจากศัตรู; C) ทักษะการใช้ดาบ; D) ทักษะการยิงธนู</t>
  </si>
  <si>
    <t>B) ทักษะการป้องกันตัวจากศัตรู</t>
  </si>
  <si>
    <t>ทหารที่ฝึกเลนว้าวในสมัยกรุงรัตนโกสินทร์จะได้ทักษะการป้องกันตัวจากศัตรู.</t>
  </si>
  <si>
    <t>ในสมัยกรุงศรีอยุธยา เลนว้าวเป็นการฝึกในด้านใด?</t>
  </si>
  <si>
    <t>A) ทักษะการใช้ดาบ; B) ทักษะการใช้ธนู; C) ทักษะการต่อสู้; D) ทักษะการยิงปืน</t>
  </si>
  <si>
    <t>เลนว้าวในสมัยกรุงศรีอยุธยาเป็นการฝึกทักษะการต่อสู้.</t>
  </si>
  <si>
    <t>ในสมัยกรุงรัตนโกสินทร์ ทหารที่ฝึกเลนว้าวจะได้รับทักษะอะไร?</t>
  </si>
  <si>
    <t>A) ทักษะการยิงธนู; B) ทักษะการใช้ดาบ; C) ทักษะการต่อสู้ที่คล่องตัว; D) ทักษะการใช้อาวุธ</t>
  </si>
  <si>
    <t>C) ทักษะการต่อสู้ที่คล่องตัว</t>
  </si>
  <si>
    <t>ทหารที่ฝึกเลนว้าวในสมัยกรุงรัตนโกสินทร์จะได้รับทักษะการต่อสู้ที่คล่องตัว.</t>
  </si>
  <si>
    <t>การฝึกเลนว้าวในสมัยกรุงศรีอยุธยาเป็นการฝึกในด้านใด?</t>
  </si>
  <si>
    <t>A) การต่อสู้แบบคล่องตัว; B) การฝึกการใช้อาวุธ; C) การฝึกการใช้ธนู; D) การฝึกการป้องกันตัว</t>
  </si>
  <si>
    <t>การฝึกเลนว้าวในสมัยกรุงศรีอยุธยาเน้นการฝึกการต่อสู้แบบคล่องตัว.</t>
  </si>
  <si>
    <t/>
  </si>
  <si>
    <t>ในประวัติศาสตร์ของการต่อสู้เล่นว่าว (การต่อสู้ประทัดว่าว) เมื่อไรที่การต่อสู้ดังกล่าวเริ่มได้รับความนิยม?</t>
  </si>
  <si>
    <t>การต่อสู้เล่นว่าวเริ่มมีความนิยมในช่วงกรุงศรีอยุธยาและยังคงเป็นกิจกรรมที่ได้รับความนิยมในพื้นที่ต่างๆ.</t>
  </si>
  <si>
    <t>การต่อสู้เลนว่าวมีต้นกำเนิดจากประเทศใด?</t>
  </si>
  <si>
    <t>A) จีน; B) กัมพูชา; C) เวียดนาม; D) พม่า</t>
  </si>
  <si>
    <t>A) จีน</t>
  </si>
  <si>
    <t>การต่อสู้เล่นว่าวเป็นกีฬาพื้นบ้านของไทยที่มีความสำคัญในประวัติศาสตร์และวัฒนธรรมของประเทศ.</t>
  </si>
  <si>
    <t>เล่นว่าวในสมัยโบราณถูกใช้ในกิจกรรมใดเป็นหลัก?</t>
  </si>
  <si>
    <t>การต่อสู้เล่นว่าวถูกใช้เป็นกิจกรรมการแข่งขันระหว่างหมู่บ้านในสมัยโบราณ.</t>
  </si>
  <si>
    <t>เมื่อใดที่เล่นว่าวได้รับการปรับเปลี่ยนให้เป็นกิจกรรมกีฬาสมัยใหม่?</t>
  </si>
  <si>
    <t>ในช่วงรัชกาลที่ 6 การต่อสู้เล่นว่าวได้รับการปรับเปลี่ยนให้กลายเป็นกีฬาและเริ่มได้รับความนิยมมากขึ้น.</t>
  </si>
  <si>
    <t>การต่อสู้เล่นว่าวมีชื่อเสียงในพื้นที่ใดในประเทศไทย?</t>
  </si>
  <si>
    <t>ภาคตะวันออกเฉียงเหนือของไทยเป็นแหล่งกำเนิดและพื้นที่ที่เล่นว่าวได้รับความนิยมมากที่สุด.</t>
  </si>
  <si>
    <t>เล่นว่าวในประเทศไทยได้รับการส่งเสริมจากใครในสมัยโบราณ?</t>
  </si>
  <si>
    <t>พระมหากษัตริย์ในสมัยโบราณส่งเสริมการต่อสู้เล่นว่าวเป็นส่วนหนึ่งของการฝึกฝนทหาร.</t>
  </si>
  <si>
    <t>การต่อสู้เล่นว่าวเริ่มถูกนำมาแข่งขันในระดับสากลเมื่อใด?</t>
  </si>
  <si>
    <t>การต่อสู้เล่นว่าวเริ่มได้รับความสนใจในระดับสากลในช่วงปี 1960.</t>
  </si>
  <si>
    <t>เล่นว่าวในสมัยโบราณถูกจัดเป็นกิจกรรมใด?</t>
  </si>
  <si>
    <t>D) กิจกรรมการบันเทิง</t>
  </si>
  <si>
    <t>การต่อสู้เล่นว่าวถูกใช้เป็นกิจกรรมที่ช่วยฝึกทหารในการต่อสู้ในสมัยโบราณ.</t>
  </si>
  <si>
    <t>การใช้เล่นว่าวในการแข่งขันเริ่มปรากฏเป็นการแข่งขันที่มีรางวัลเมื่อใด?</t>
  </si>
  <si>
    <t>การใช้เล่นว่าวในฐานะการแข่งขันที่มีรางวัลเริ่มในช่วงรัชกาลที่ 5.</t>
  </si>
  <si>
    <t>กิจกรรมเล่นว่าวในสมัยก่อนจะใช้เครื่องมืออะไรในการแข่งขัน?</t>
  </si>
  <si>
    <t>การฝึกซ้อมเล่นว่าวในสมัยโบราณทำอย่างไร?</t>
  </si>
  <si>
    <t>การฝึกซ้อมเล่นว่าวมักจะจัดขึ้นในสนามใหญ่และมีการจัดกลุ่มฝึกฝนหลายๆ คน.</t>
  </si>
  <si>
    <t>การแข่งขันเล่นว่าวในประเทศไทยมีประเพณีใดที่เกี่ยวข้องกับการจัดงานแข่งขัน?</t>
  </si>
  <si>
    <t>งานประเพณีสงกรานต์มักจะมีการจัดการแข่งขันเล่นว่าวเป็นส่วนหนึ่งของงาน.</t>
  </si>
  <si>
    <t>การต่อสู้เล่นว่าวในประวัติศาสตร์ไทยเกี่ยวข้องกับการแสดงอะไร?</t>
  </si>
  <si>
    <t>การต่อสู้เล่นว่าวเป็นส่วนหนึ่งของการแสดงศิลปะการต่อสู้ที่สำคัญในประวัติศาสตร์ไทย.</t>
  </si>
  <si>
    <t>เล่นว่าวในประวัติศาสตร์ไทยเกี่ยวข้องกับการป้องกันประเทศอย่างไร?</t>
  </si>
  <si>
    <t>การฝึกซ้อมเล่นว่าวในสมัยโบราณมีจุดประสงค์ในการเตรียมทหารสำหรับการป้องกันประเทศ.</t>
  </si>
  <si>
    <t>เล่นว่าวได้รับการรับรองเป็นกีฬาระดับชาติในปีไหน?</t>
  </si>
  <si>
    <t>การต่อสู้เล่นว่าวได้รับการรับรองเป็นกีฬาระดับชาติในปี 1992.</t>
  </si>
  <si>
    <t>เล่นว่าวในประวัติศาสตร์ของไทยมีการจัดการแข่งขันในช่วงใดบ่อยที่สุด?</t>
  </si>
  <si>
    <t>การแข่งขันเล่นว่าวในไทยมักจัดขึ้นในช่วงฤดูหนาวที่อากาศเย็นสบาย.</t>
  </si>
  <si>
    <t>ประวัติการต่อสู้เล่นว่าวในประเทศไทยมีความสัมพันธ์กับวัฒนธรรมชนเผ่าใด?</t>
  </si>
  <si>
    <t>การต่อสู้เล่นว่าวมีความสัมพันธ์กับวัฒนธรรมของชนเผ่าไทในประเทศไทย.</t>
  </si>
  <si>
    <t>เล่นว่าวได้รับความนิยมในประเทศไทยในช่วงใด?</t>
  </si>
  <si>
    <t>การต่อสู้เล่นว่าวได้รับความนิยมในช่วงราชวงศ์และถูกนำมาใช้ในการฝึกทหาร.</t>
  </si>
  <si>
    <t>ชื่อของกีฬาการต่อสู้เล่นว่าวในภาษาไทยมีความหมายว่าอะไร?</t>
  </si>
  <si>
    <t>ชื่อเล่นว่าวมาจากคำว่า "เลน" หมายถึงการต่อสู้และ "ว้าว" หมายถึงว่าว.</t>
  </si>
  <si>
    <t>การฝึกทหารด้วยการต่อสู้เล่นว่าวช่วยพัฒนาอะไร?</t>
  </si>
  <si>
    <t>การต่อสู้เล่นว่าวช่วยพัฒนากลยุทธ์และความสามารถในการคิดเร็ว.</t>
  </si>
  <si>
    <t>เล่นว่าวถูกนำมาใช้ในการแข่งขันในท้องถิ่นไทยอย่างไร?</t>
  </si>
  <si>
    <t>การแข่งขันเล่นว่าวมักจัดขึ้นระหว่างหมู่บ้านเพื่อทดสอบความสามารถในการต่อสู้ของแต่ละกลุ่ม.</t>
  </si>
  <si>
    <t>เล่นว่าวได้รับความนิยมในประเทศไทยเนื่องจากอะไร?</t>
  </si>
  <si>
    <t>การต่อสู้เล่นว่าวได้รับความนิยมเนื่องจากเป็นการผสมผสานระหว่างกีฬาและวัฒนธรรมท้องถิ่นของไทย.</t>
  </si>
  <si>
    <t>เล่นว่าวในประเทศไทยมีการส่งเสริมอย่างไรในปัจจุบัน?</t>
  </si>
  <si>
    <t>ปัจจุบันมีการส่งเสริมเล่นว่าวผ่านการศึกษาภายในโรงเรียนเพื่อสืบสานวัฒนธรรมกีฬาไทย.</t>
  </si>
  <si>
    <t>การต่อสู้เล่นว่าวได้รับการส่งเสริมจากใครในสมัยปัจจุบัน?</t>
  </si>
  <si>
    <t>เล่นว่าวมีการพัฒนาในด้านใดในยุคสมัยใหม่?</t>
  </si>
  <si>
    <t>การต่อสู้เล่นว่าวในปัจจุบันมีการจัดการแข่งขันในระดับนานาชาติ.</t>
  </si>
  <si>
    <t>การฝึกการต่อสู้เล่นว่าวในสมัยก่อนมักจะเกิดขึ้นที่ไหน?</t>
  </si>
  <si>
    <t>การฝึกเล่นว่าวในสมัยก่อนมักจะเกิดขึ้นในทุ่งนาเป็นสถานที่กว้างขวาง.</t>
  </si>
  <si>
    <t>การต่อสู้เล่นว่าวในสมัยโบราณได้รับอิทธิพลจากวัฒนธรรมใด?</t>
  </si>
  <si>
    <t>C) วัฒนธรรมมอญ</t>
  </si>
  <si>
    <t>วัฒนธรรมมอญ เพราะคำว่า"ว่าว"ก็มีที่มีจากภาษามอญ.</t>
  </si>
  <si>
    <t>การต่อสู้เล่นว่าวมีการพัฒนากลยุทธ์อย่างไร?</t>
  </si>
  <si>
    <t>กลยุทธ์ในการต่อสู้เล่นว่าวพัฒนาจากการสังเกตการเคลื่อนไหวของคู่แข่ง.</t>
  </si>
  <si>
    <t>การแข่งขันเล่นว่าวมีผลกระทบอย่างไรต่อสังคมไทย?</t>
  </si>
  <si>
    <t>การแข่งขันเล่นว่าวส่งเสริมทั้งความสามัคคีในชุมชน การท่องเที่ยว และเพิ่มรายได้ในท้องถิ่น.</t>
  </si>
  <si>
    <t>ในประวัติศาสตร์การต่อสู้เล่นว่าว กีฬาเหล่านี้ได้รับการส่งเสริมอย่างไรในระดับชุมชน?</t>
  </si>
  <si>
    <t>การส่งเสริมกีฬาเล่นว่าวในชุมชนมักจะจัดการผ่านการจัดงานแข่งขันและกิจกรรมร่วมกัน.</t>
  </si>
  <si>
    <t>การต่อสู้เล่นว่าวได้รับความนิยมในพื้นที่ใดของประเทศไทย?</t>
  </si>
  <si>
    <t>การต่อสู้เล่นว่าวได้รับความนิยมมากในภาคตะวันออกเฉียงเหนือของไทย.</t>
  </si>
  <si>
    <t>เล่นว่าวถูกใช้ในกิจกรรมใดของชุมชนในสมัยโบราณ?</t>
  </si>
  <si>
    <t>C) การแข่งขันเพื่อความบันเทิง</t>
  </si>
  <si>
    <t>ในสมัยโบราณ การต่อสู้เล่นว่าวถูกใช้เพื่อฝึกฝนทักษะการป้องกันตัวและฝึกทหาร.</t>
  </si>
  <si>
    <t>ในสมัยโบราณ การต่อสู้เล่นว่าวถูกใช้เพื่อความบันเทิงของขุนนาง.</t>
  </si>
  <si>
    <t>เล่นว่าวในไทยมีวิวัฒนาการอย่างไรในช่วงยุคกรุงศรีอยุธยา?</t>
  </si>
  <si>
    <t>B) ถูกใช้เพื่อความบันเทิงในราชสำนัก</t>
  </si>
  <si>
    <t>ในช่วงกรุงศรีอยุธยา เล่นว่าวถูกใช้เป็นเครื่องมือในการฝึกทหารและเสริมทักษะการต่อสู้.</t>
  </si>
  <si>
    <t>ในช่วงกรุงศรีอยุธยา เล่นว่าวเพื่อความบันเทิงในราชสำนัก.</t>
  </si>
  <si>
    <t>การต่อสู้เล่นว่าวในไทยได้รับความนิยมในช่วงใดของราชวงศ์จักรี?</t>
  </si>
  <si>
    <t>ในช่วงปลายราชวงศ์จักรี การต่อสู้เล่นว่าวได้รับความนิยมในหมู่ประชาชน.</t>
  </si>
  <si>
    <t>เมื่อใดที่การต่อสู้เล่นว่าวได้รับการส่งเสริมในระดับชาติ?</t>
  </si>
  <si>
    <t>การส่งเสริมการต่อสู้เล่นว่าวในระดับชาติเริ่มต้นในปี 1990.</t>
  </si>
  <si>
    <t>การต่อสู้เล่นว่าวในสมัยกรุงศรีอยุธยามีบทบาทสำคัญในด้านใด?</t>
  </si>
  <si>
    <t>การต่อสู้เล่นว่าวในสมัยกรุงศรีอยุธยามีบทบาทสำคัญในการฝึกทหารและป้องกันการรุกราน.</t>
  </si>
  <si>
    <t>เล่นว่าวมีการพัฒนาเป็นกีฬาที่ได้รับความนิยมในระดับโลกเมื่อใด?</t>
  </si>
  <si>
    <t>ในปี 1970 การต่อสู้เล่นว่าวเริ่มได้รับการยอมรับในระดับนานาชาติ.</t>
  </si>
  <si>
    <t>การจัดการแข่งขันเล่นว่าวในไทยเริ่มต้นในช่วงไหน?</t>
  </si>
  <si>
    <t>การจัดการแข่งขันเล่นว่าวเริ่มขึ้นในช่วงรัชกาลที่ 5.</t>
  </si>
  <si>
    <t>การแข่งขันเล่นว่าวได้รับการบันทึกไว้ในประวัติศาสตร์ไทยครั้งแรกในปีใด?</t>
  </si>
  <si>
    <t>การบันทึกการแข่งขันเล่นว่าวครั้งแรกในประวัติศาสตร์ไทยเกิดขึ้นในปี 1900.</t>
  </si>
  <si>
    <t>เล่นว่าวมีการพัฒนามาจากกิจกรรมใด?</t>
  </si>
  <si>
    <t>การต่อสู้เล่นว่าวเริ่มต้นจากการแข่งขันระหว่างหมู่บ้านในช่วงสมัยโบราณ.</t>
  </si>
  <si>
    <t>เล่นว่าวได้รับการสนับสนุนจากพระมหากษัตริย์ในสมัยใด?</t>
  </si>
  <si>
    <t>ในสมัยรัชกาลที่ 5 พระมหากษัตริย์ได้สนับสนุนการพัฒนาและส่งเสริมกีฬาเล่นว่าว.</t>
  </si>
  <si>
    <t>การฝึกฝนเล่นว่าวในอดีตมีการดำเนินการอย่างไร?</t>
  </si>
  <si>
    <t>การฝึกฝนเล่นว่าวมักจะจัดขึ้นในหมู่บ้านและเป็นส่วนหนึ่งของกิจกรรมชุมชน.</t>
  </si>
  <si>
    <t>การต่อสู้เล่นว่าวได้รับการยอมรับในระดับสากลครั้งแรกเมื่อใด?</t>
  </si>
  <si>
    <t>การต่อสู้เล่นว่าวเริ่มได้รับการยอมรับในระดับสากลในปี 1960.</t>
  </si>
  <si>
    <t>ชื่อของกีฬาเล่นว่าวในภาษาไทยมาจากคำใด?</t>
  </si>
  <si>
    <t>A) ว่าว; B) การต่อสู้; C) ลมหนาว; D) อำนาจ</t>
  </si>
  <si>
    <t>C) ลมหนาว</t>
  </si>
  <si>
    <t>คำว่า "เล่นว่าว" มาจากคำว่า "เลน" ที่หมายถึงการต่อสู้และ "ว้าว" ที่หมายถึงการใช้ว่าว.</t>
  </si>
  <si>
    <t>คำว่า "ลมว่าว" ในภาษาไทย ทั้งในสมัยสุโขทัยและอยุธยาคงหมายถึง ลมหนาว ดังนั้นแต่เดิมคำว่า "ว่าว" คงมาจากภาษามอญที่แปลว่า หนาว</t>
  </si>
  <si>
    <t>การแข่งขันเล่นว่าวในอดีตมีการจัดขึ้นในสถานที่ใด?</t>
  </si>
  <si>
    <t>การแข่งขันเล่นว่าวในอดีตมักจะจัดขึ้นในทุ่งนาเนื่องจากมีพื้นที่กว้างขวาง.</t>
  </si>
  <si>
    <t>เล่นว่าวในประวัติศาสตร์ถูกใช้ในการฝึกทหารอย่างไร?</t>
  </si>
  <si>
    <t>เล่นว่าวถูกใช้เป็นเครื่องมือในการฝึกทหารทั้งในด้านยุทธศาสตร์และกลยุทธ์การต่อสู้.</t>
  </si>
  <si>
    <t>การต่อสู้เล่นว่าวถูกใช้ในกิจกรรมที่ใดในสมัยกรุงรัตนโกสินทร์?</t>
  </si>
  <si>
    <t>การต่อสู้เล่นว่าวถูกใช้เป็นหนึ่งในกิจกรรมที่จัดขึ้นในราชสำนักของกรุงรัตนโกสินทร์.</t>
  </si>
  <si>
    <t>ในอดีตมีการใช้เล่นว่าวเพื่อการแสดงความสามารถทางไหน?</t>
  </si>
  <si>
    <t>ในอดีต การต่อสู้เล่นว่าวใช้เพื่อแสดงทักษะการเคลื่อนไหวและความสามารถในการต่อสู้.</t>
  </si>
  <si>
    <t>การแข่งขันเล่นว่าวในอดีตจัดขึ้นอย่างไร?</t>
  </si>
  <si>
    <t>การแข่งขันเล่นว่าวในอดีตมักจะจัดแบบแข่งขันหนึ่งต่อหนึ่ง.</t>
  </si>
  <si>
    <t>ในประวัติศาสตร์ไทย การต่อสู้เล่นว่าวถูกใช้เป็นเครื่องมือในการฝึกฝนอะไร?</t>
  </si>
  <si>
    <t>การต่อสู้เล่นว่าวถูกใช้เป็นเครื่องมือในการฝึกฝนการใช้กลยุทธ์ในการต่อสู้.</t>
  </si>
  <si>
    <t>การต่อสู้เล่นว่าวในสมัยกรุงรัตนโกสินทร์มีการจัดการแข่งขันในรูปแบบใด?</t>
  </si>
  <si>
    <t>B) แข่งขันในสนามกีฬา</t>
  </si>
  <si>
    <t>การแข่งขันเล่นว่าวในสมัยกรุงรัตนโกสินทร์มักจัดขึ้นในราชสำนักเพื่อเป็นกิจกรรมสำคัญ.</t>
  </si>
  <si>
    <t>การแข่งขันเล่นว่าวในสมัยกรุงรัตนโกสินทร์มักแข่งขันในสนามกีฬา.</t>
  </si>
  <si>
    <t>เล่นว่าวในสมัยกรุงศรีอยุธยาถูกใช้เพื่ออะไร?</t>
  </si>
  <si>
    <t>A) เพื่อความบันเทิง</t>
  </si>
  <si>
    <t>การต่อสู้เล่นว่าวในสมัยกรุงศรีอยุธยาใช้เพื่อฝึกฝนทักษะการต่อสู้และเตรียมทหาร.</t>
  </si>
  <si>
    <t>การต่อสู้เล่นว่าวในสมัยกรุงศรีอยุธยาใช้เพื่อความบันเทิง</t>
  </si>
  <si>
    <t>การแข่งขันเล่นว่าวเริ่มได้รับการรับรองจากภาครัฐเมื่อใด?</t>
  </si>
  <si>
    <t>การรับรองจากภาครัฐเพื่อส่งเสริมการต่อสู้เล่นว่าวเริ่มต้นในปี 1970.</t>
  </si>
  <si>
    <t>เล่นว่าวในไทยมีต้นกำเนิดมาจากกิจกรรมใด?</t>
  </si>
  <si>
    <t>การต่อสู้เล่นว่าวมีต้นกำเนิดมาจากการต่อสู้ระหว่างหมู่บ้านในอดีต.</t>
  </si>
  <si>
    <t>เล่นว่าวได้รับการยอมรับในระดับสากลในปีใด?</t>
  </si>
  <si>
    <t>การยอมรับในระดับสากลของการต่อสู้เล่นว่าวเกิดขึ้นในปี 1980.</t>
  </si>
  <si>
    <t>การแข่งขันเล่นว่าวในอดีตถูกจัดขึ้นในสถานที่ใด?</t>
  </si>
  <si>
    <t>การแข่งขันเล่นว่าวในอดีตมักจะจัดในทุ่งนาเพราะมีพื้นที่กว้างขวาง.</t>
  </si>
  <si>
    <t>เล่นว่าวถูกนำมาใช้ในฐานะกีฬาในสมัยใด?</t>
  </si>
  <si>
    <t>เล่นว่าวถูกพัฒนามาเป็นกีฬาในสมัยกรุงรัตนโกสินทร์.</t>
  </si>
  <si>
    <t>เล่นว่าวถูกพัฒนามาเป็นกีฬาในสมัยรัชกาลที่ 5.</t>
  </si>
  <si>
    <t>กิจกรรมเล่นว่าวในสมัยโบราณมีการพัฒนาอย่างไร?</t>
  </si>
  <si>
    <t>ในสมัยโบราณ กิจกรรมเล่นว่าวพัฒนาออกมาจากการต่อสู้ระหว่างหมู่บ้าน.</t>
  </si>
  <si>
    <t>การฝึกฝนเล่นว่าวในสมัยก่อนมีการจัดขึ้นที่ไหน?</t>
  </si>
  <si>
    <t>การฝึกฝนเล่นว่าวในสมัยก่อนมักจัดขึ้นในทุ่งนา.</t>
  </si>
  <si>
    <t>การพัฒนาเล่นว่าวในยุคสมัยใหม่เริ่มต้นเมื่อใด?</t>
  </si>
  <si>
    <t>การพัฒนาเล่นว่าวในยุคสมัยใหม่เริ่มต้นในปี 1970.</t>
  </si>
  <si>
    <t>เล่นว่าวในสมัยกรุงศรีอยุธยาถูกนำมาใช้เพื่ออะไร?</t>
  </si>
  <si>
    <t>การต่อสู้เล่นว่าวในสมัยกรุงศรีอยุธยาถูกใช้เพื่อฝึกทหาร.</t>
  </si>
  <si>
    <t>การต่อสู้เล่นว่าวในสมัยก่อนมีการใช้เทคนิคอย่างไร?</t>
  </si>
  <si>
    <t>การต่อสู้เล่นว่าวในสมัยก่อนเน้นการใช้กลยุทธ์ในการป้องกันตัว.</t>
  </si>
  <si>
    <t>เล่นว่าวได้รับการส่งเสริมอย่างไรในสมัยรัชกาลที่ 5?</t>
  </si>
  <si>
    <t>ในสมัยรัชกาลที่ 5 การส่งเสริมเล่นว่าวเกิดขึ้นโดยการจัดการแข่งขันในราชสำนัก.</t>
  </si>
  <si>
    <t>การแข่งขันเล่นว่าวในอดีตมีบทบาทอย่างไรในสังคมไทย?</t>
  </si>
  <si>
    <t>การแข่งขันเล่นว่าวในอดีตเป็นกิจกรรมเพื่อความบันเทิงในหมู่บ้านและในราชสำนัก.</t>
  </si>
  <si>
    <t>ในอดีต การฝึกฝนเล่นว่าวมักมีการฝึกในลักษณะใด?</t>
  </si>
  <si>
    <t>A) การฝึกเป็นกลุ่ม</t>
  </si>
  <si>
    <t>ในอดีตการฝึกฝนเล่นว่าวมักจะฝึกแบบตัวต่อตัวเพื่อพัฒนาทักษะส่วนตัว.</t>
  </si>
  <si>
    <t>ในอดีตการฝึกฝนเล่นว่าวมักจะฝึกเป็นกลุ่ม.</t>
  </si>
  <si>
    <t>เล่นว่าวมีความหมายว่าอะไรในภาษาไทย?</t>
  </si>
  <si>
    <t>คำว่า "เล่นว่าว" หมายถึงการต่อสู้ที่ใช้ว่าวเป็นส่วนประกอบ.</t>
  </si>
  <si>
    <t>การแข่งขันเล่นว่าวในสมัยโบราณมีการแบ่งทีมอย่างไร?</t>
  </si>
  <si>
    <t>ในการแข่งขันเล่นว่าวในสมัยโบราณ ทีมจะถูกแบ่งตามหมู่บ้านที่มีการฝึกฝน.</t>
  </si>
  <si>
    <t>ในอดีต การฝึกเล่นว่าวมีการใช้สิ่งใดเป็นเครื่องมือหลัก?</t>
  </si>
  <si>
    <t>ในการฝึกเล่นว่าวในอดีต ว่าวเป็นเครื่องมือหลักในการต่อสู้.</t>
  </si>
  <si>
    <t>การส่งเสริมการต่อสู้เล่นว่าวในระดับชาติเริ่มต้นในช่วงเวลาใด?</t>
  </si>
  <si>
    <t>การส่งเสริมการต่อสู้เล่นว่าวในระดับชาติเริ่มต้นในปี 1960.</t>
  </si>
  <si>
    <t>ในช่วงต้นของการจัดการแข่งขันเล่นว่าว ผู้เข้าแข่งขันจะได้รับรางวัลอะไร?</t>
  </si>
  <si>
    <t>การต่อสู้เล่นว่าวมีต้นกำเนิดจากประเทศใด?</t>
  </si>
  <si>
    <t>B) จีน</t>
  </si>
  <si>
    <t>การต่อสู้เล่นว่าวมีต้นกำเนิดมาจากประเทศไทยและเป็นส่วนหนึ่งของศิลปะการต่อสู้ไทย.</t>
  </si>
  <si>
    <t>การต่อสู้เล่นว่าวมีต้นกำเนิดมาจากชาวนาจีน.</t>
  </si>
  <si>
    <t>ในสมัยกรุงรัตนโกสินทร์ การฝึกเล่นว่าวมีการฝึกในลักษณะใด?</t>
  </si>
  <si>
    <t>C) การฝึกในสนามกีฬา</t>
  </si>
  <si>
    <t>การฝึกเล่นว่าวในสมัยกรุงรัตนโกสินทร์มักจะจัดขึ้นในพระราชวัง.</t>
  </si>
  <si>
    <t>การฝึกเล่นว่าวในสมัยกรุงรัตนโกสินทร์มักจะจัดขึ้นในสนามกีฬา.</t>
  </si>
  <si>
    <t>การต่อสู้เล่นว่าวในอดีตเกี่ยวข้องกับการฝึกฝนทักษะอะไร?</t>
  </si>
  <si>
    <t>การต่อสู้เล่นว่าวในอดีตเน้นการใช้กลยุทธ์ในการต่อสู้.</t>
  </si>
  <si>
    <t>เล่นว่าวเป็นกีฬาแบบไหน?</t>
  </si>
  <si>
    <t>เล่นว่าวเป็นกีฬาแบบทีมที่ต้องมีการประสานงานระหว่างผู้เล่น.</t>
  </si>
  <si>
    <t>การต่อสู้เล่นว่าวในสมัยก่อนมักจะใช้ว่าวในรูปแบบใด?</t>
  </si>
  <si>
    <t>เล่นว่าวได้รับการยอมรับเป็นกีฬาประเภทใดในปี 1980?</t>
  </si>
  <si>
    <t>เล่นว่าวได้รับการยอมรับเป็นกีฬาในกีฬาแห่งชาติในปี 1980.</t>
  </si>
  <si>
    <t>เล่นว่าวได้รับการเผยแพร่ไปยังประเทศใดบ้างในยุคเริ่มต้น?</t>
  </si>
  <si>
    <t>A) ไทยและกัมพูชา; B) ไทยและมาเลเซีย; C) ไทยและอินโดนีเซีย; D) ทั่วเอเชีย</t>
  </si>
  <si>
    <t>D) ทั่วเอเชีย</t>
  </si>
  <si>
    <t>การต่อสู้เล่นว่าวได้รับการเผยแพร่ไปยังประเทศมาเลเซียในยุคเริ่มต้น.</t>
  </si>
  <si>
    <t>การต่อสู้เล่นว่าวได้รับการเผยแพร่ไปทั่วเอเชีย</t>
  </si>
  <si>
    <t>การต่อสู้เล่นว่าวมีการพัฒนาอย่างไรในสมัยรัชกาลที่ 5?</t>
  </si>
  <si>
    <t>เล่นว่าวได้รับการพัฒนาในช่วงใดของประวัติศาสตร์ไทย?</t>
  </si>
  <si>
    <t>การพัฒนาเล่นว่าวเกิดขึ้นในสมัยกรุงรัตนโกสินทร์.</t>
  </si>
  <si>
    <t>เล่นว่าวในไทยมีการใช้ในการฝึกฝนอะไรในอดีต?</t>
  </si>
  <si>
    <t>การฝึกฝนเล่นว่าวในอดีตมักใช้ในการฝึกทหารและเตรียมพร้อมสำหรับการต่อสู้.</t>
  </si>
  <si>
    <t>กิจกรรมเล่นว่าวในสมัยกรุงรัตนโกสินทร์มีความสำคัญอย่างไร?</t>
  </si>
  <si>
    <t>A) เป็นกิจกรรมเพื่อความบันเทิงในราชสำนัก</t>
  </si>
  <si>
    <t>ในสมัยกรุงรัตนโกสินทร์ เล่นว่าวถูกใช้เพื่อฝึกฝนทักษะการป้องกันตัว.</t>
  </si>
  <si>
    <t>ในสมัยกรุงรัตนโกสินทร์ เล่นว่าวถูกใช้เพื่อความบันเทิงในราชสำนัก.</t>
  </si>
  <si>
    <t>การแข่งขันเล่นว่าวในอดีตมีจุดประสงค์อย่างไร?</t>
  </si>
  <si>
    <t>การแข่งขันเล่นว่าวในอดีตมีจุดประสงค์เพื่อฝึกฝนทักษะการต่อสู้.</t>
  </si>
  <si>
    <t>การแข่งขันเล่นว่าวในอดีตมีจุดประสงค์เพื่อความบันเทิง.</t>
  </si>
  <si>
    <t>ในช่วงสมัยกรุงรัตนโกสินทร์ การฝึกเล่นว่าวได้รับการยอมรับในระดับไหน?</t>
  </si>
  <si>
    <t>การฝึกเล่นว่าวในสมัยกรุงรัตนโกสินทร์ได้รับการยอมรับในพระราชสำนัก.</t>
  </si>
  <si>
    <t>การฝึกฝนเล่นว่าวมีผลต่อทักษะใด?</t>
  </si>
  <si>
    <t>D) ทักษะการเคลื่อนไหว</t>
  </si>
  <si>
    <t>การฝึกฝนเล่นว่าวช่วยพัฒนาทักษะทางทหารให้กับผู้ฝึก.</t>
  </si>
  <si>
    <t>การฝึกฝนเล่นว่าวช่วยพัฒนาทักษะการเคลื่อนไหว</t>
  </si>
  <si>
    <t>กิจกรรมเล่นว่าวในสมัยก่อนถูกใช้ในกิจกรรมอะไรบ้าง?</t>
  </si>
  <si>
    <t>A) การแข่งขันระหว่างหมู่บ้าน; B) การแข่งขันระหว่างทหาร; C) การบันเทิง; D) การฝึกฝนทักษะทางกีฬา</t>
  </si>
  <si>
    <t>C) การบันเทิง</t>
  </si>
  <si>
    <t>กิจกรรมเล่นว่าวถูกใช้ทั้งในทางทหารและเพื่อความบันเทิง.</t>
  </si>
  <si>
    <t>กิจกรรมเล่นว่าวถูกใช้เพื่อความบันเทิง.</t>
  </si>
  <si>
    <t>การต่อสู้เล่นว่าวในสมัยกรุงศรีอยุธยามีการฝึกอย่างไร?</t>
  </si>
  <si>
    <t>การฝึกเล่นว่าวในสมัยกรุงศรีอยุธยาเป็นการฝึกแบบตัวต่อตัวเพื่อพัฒนาทักษะส่วนบุคคล.</t>
  </si>
  <si>
    <t>การฝึกเล่นว่าวมีบทบาทอย่างไรในสมัยรัชกาลที่ 5?</t>
  </si>
  <si>
    <t>D) เป็นการแข่งขันกีฬา</t>
  </si>
  <si>
    <t>การฝึกเล่นว่าวในสมัยรัชกาลที่ 5 มักถูกใช้เพื่อฝึกทหาร.</t>
  </si>
  <si>
    <t>การฝึกเล่นว่าวในสมัยรัชกาลที่ 5 มักถูกใช้เพื่อเป็นการแข่งขันกีฬา.</t>
  </si>
  <si>
    <t>เล่นว่าวในสมัยกรุงศรีอยุธยาเป็นกิจกรรมอะไร?</t>
  </si>
  <si>
    <t>เล่นว่าวในสมัยกรุงศรีอยุธยาเป็นกิจกรรมที่ใช้ในการฝึกทหาร.</t>
  </si>
  <si>
    <t>การต่อสู้เล่นว่าวในสมัยก่อนมีจุดประสงค์หลักอะไร?</t>
  </si>
  <si>
    <t>การต่อสู้เล่นว่าวในสมัยก่อนมีจุดประสงค์หลักเพื่อฝึกทักษะการต่อสู้.</t>
  </si>
  <si>
    <t>การต่อสู้เล่นว่าวในสมัยก่อนมีจุดประสงค์หลักเพื่อความบันเทิง.</t>
  </si>
  <si>
    <t>การแข่งขันเล่นว่าวในอดีตมีการจัดการแข่งขันในรูปแบบใด?</t>
  </si>
  <si>
    <t>การแข่งขันเล่นว่าวในอดีตมักจัดเป็นทีมเพื่อทดสอบความสามารถของผู้เล่น.</t>
  </si>
  <si>
    <t>เล่นว่าวถูกพัฒนาเป็นกีฬาในรูปแบบที่มีการแข่งขันในระดับใด?</t>
  </si>
  <si>
    <t>เล่นว่าวได้รับการพัฒนาเป็นกีฬาที่มีการแข่งขันในระดับประเทศในช่วงหลัง.</t>
  </si>
  <si>
    <t>การฝึกเล่นว่าวในสมัยก่อนใช้วิธีการใดในการฝึกผู้เล่น?</t>
  </si>
  <si>
    <t>ในสมัยก่อนการฝึกเล่นว่าวมักจะใช้การจำลองสถานการณ์เพื่อให้ผู้เล่นได้ฝึกฝนในสถานการณ์จริง.</t>
  </si>
  <si>
    <t>ในสมัยกรุงศรีอยุธยาเล่นว่าวมีบทบาทสำคัญในด้านใด?</t>
  </si>
  <si>
    <t>D) การบันเทิง</t>
  </si>
  <si>
    <t>ในสมัยกรุงศรีอยุธยา เล่นว่าวถูกใช้เป็นกิจกรรมในการฝึกทหารเพื่อเพิ่มทักษะการป้องกันตัว.</t>
  </si>
  <si>
    <t>ในสมัยกรุงศรีอยุธยา เล่นว่าวถูกใช้เป็นกิจกรรมในการฝึกทหารเพื่อการบันเทิง.</t>
  </si>
  <si>
    <t>การฝึกเล่นว่าวในสมัยกรุงรัตนโกสินทร์มีการส่งเสริมในรูปแบบใด?</t>
  </si>
  <si>
    <t>ในสมัยกรุงรัตนโกสินทร์ การฝึกเล่นว่าวได้รับการส่งเสริมในพระราชวังเพื่อเพิ่มความแข็งแกร่งให้กับทหาร.</t>
  </si>
  <si>
    <t>เล่นว่าวในสมัยก่อนมีการฝึกโดยใช้อุปกรณ์อะไร?</t>
  </si>
  <si>
    <t>การฝึกเล่นว่าวในอดีตใช้ว่าวเป็นอุปกรณ์หลักในการฝึกฝนทักษะ.</t>
  </si>
  <si>
    <t>ในสมัยกรุงศรีอยุธยา การต่อสู้เล่นว่าวถือเป็นกิจกรรมประเภทใด?</t>
  </si>
  <si>
    <t>D) กิจกรรมบันเทิง</t>
  </si>
  <si>
    <t>ในสมัยกรุงศรีอยุธยา เล่นว่าวถือเป็นกิจกรรมทางทหารที่ช่วยฝึกทหารในด้านการต่อสู้.</t>
  </si>
  <si>
    <t>ในสมัยกรุงศรีอยุธยา เล่นว่าวถือเป็นกิจกรรมบันเทิง.</t>
  </si>
  <si>
    <t>การต่อสู้เล่นว่าวในสมัยกรุงศรีอยุธยาถือว่าเป็นการฝึกในรูปแบบใด?</t>
  </si>
  <si>
    <t>C) การฝึกในกลุ่มใหญ่</t>
  </si>
  <si>
    <t>การฝึกเล่นว่าวในสมัยกรุงศรีอยุธยามักจะฝึกแบบตัวต่อตัวเพื่อพัฒนาทักษะเฉพาะบุคคล.</t>
  </si>
  <si>
    <t>การฝึกเล่นว่าวในสมัยกรุงศรีอยุธยามักจะฝึกในกลุ่มใหญ่.</t>
  </si>
  <si>
    <t>ในสมัยรัชกาลที่ 5 การพัฒนาเล่นว่าวมีความสำคัญอย่างไร?</t>
  </si>
  <si>
    <t>ในสมัยรัชกาลที่ 5 การพัฒนาเล่นว่าวช่วยส่งเสริมความแข็งแรงและทักษะทางทหาร.</t>
  </si>
  <si>
    <t>เล่นว่าวในอดีตถูกฝึกฝนเพื่ออะไร?</t>
  </si>
  <si>
    <t>เล่นว่าวในอดีตถูกใช้เพื่อฝึกฝนทักษะในการป้องกันประเทศ.</t>
  </si>
  <si>
    <t>เล่นว่าวในอดีตถูกใช้เพื่อฝึกฝนทักษะในการบันเทิง.</t>
  </si>
  <si>
    <t>การฝึกเล่นว่าวในสมัยกรุงศรีอยุธยาเน้นไปที่ทักษะใด?</t>
  </si>
  <si>
    <t>การฝึกเล่นว่าวในสมัยกรุงศรีอยุธยาเน้นการฝึกทักษะการรบให้กับทหาร.</t>
  </si>
  <si>
    <t>การฝึกเล่นว่าวในสมัยก่อนมีการจัดกิจกรรมไหนที่สำคัญที่สุด?</t>
  </si>
  <si>
    <t>เล่นว่าวถูกจัดเป็นกีฬาที่ได้รับการสนับสนุนจากใครในสมัยก่อน?</t>
  </si>
  <si>
    <t>ในสมัยก่อนเล่นว่าวได้รับการสนับสนุนจากพระราชาเพื่อพัฒนาทักษะทางทหาร.</t>
  </si>
  <si>
    <t>การฝึกเล่นว่าวในอดีตมักจะทำที่ไหน?</t>
  </si>
  <si>
    <t>การฝึกเล่นว่าวในอดีตมักจะทำในพระราชวังเพื่อให้ทหารได้รับการฝึกฝนในสภาพแวดล้อมที่มีการควบคุม.</t>
  </si>
  <si>
    <t>ในช่วงไหนที่เล่นว่าวได้รับการพัฒนาให้เป็นกีฬาในระดับประเทศ?</t>
  </si>
  <si>
    <t>C) ในสมัยรัชกาลที่ 5</t>
  </si>
  <si>
    <t>เล่นว่าวได้รับการพัฒนาเป็นกีฬาในระดับประเทศในสมัยกรุงรัตนโกสินทร์.</t>
  </si>
  <si>
    <t>เล่นว่าวได้รับการพัฒนาเป็นกีฬาในระดับประเทศในสมัยรัชกาลที่ 5.</t>
  </si>
  <si>
    <t>เล่นว่าวในสมัยกรุงรัตนโกสินทร์มีการฝึกแบบใด?</t>
  </si>
  <si>
    <t>B) การฝึกแบบกลุ่ม</t>
  </si>
  <si>
    <t>ในสมัยกรุงรัตนโกสินทร์ การฝึกเล่นว่าวมักจะฝึกแบบตัวต่อตัว.</t>
  </si>
  <si>
    <t>ในสมัยกรุงรัตนโกสินทร์ การฝึกเล่นว่าวมักจะฝึกแบบกลุ่ม.</t>
  </si>
  <si>
    <t>กิจกรรมเล่นว่าวมีความสำคัญอย่างไรในสมัยกรุงศรีอยุธยา?</t>
  </si>
  <si>
    <t>D) เป็นกิจกรรมบันเทิง</t>
  </si>
  <si>
    <t>ในสมัยกรุงศรีอยุธยา เล่นว่าวถูกใช้เป็นกิจกรรมในการฝึกทหาร.</t>
  </si>
  <si>
    <t>ในสมัยกรุงศรีอยุธยา เล่นว่าวถูกใช้เป็นกิจกรรมบันเทิง.</t>
  </si>
  <si>
    <t>เล่นว่าวในสมัยกรุงศรีอยุธยาถูกใช้ในกิจกรรมอะไร?</t>
  </si>
  <si>
    <t>C) การบันเทิงในราชสำนัก</t>
  </si>
  <si>
    <t>เล่นว่าวในสมัยกรุงศรีอยุธยาเป็นกิจกรรมบันเทิงในราชสำนัก.</t>
  </si>
  <si>
    <t>ในสมัยกรุงศรีอยุธยา การต่อสู้เล่นว่าวถือเป็นกิจกรรมที่สำคัญอย่างไร?</t>
  </si>
  <si>
    <t>ในสมัยกรุงศรีอยุธยา การต่อสู้เล่นว่าวถือเป็นกิจกรรมที่ใช้ในการฝึกทหาร.</t>
  </si>
  <si>
    <t>การฝึกเล่นว่าวในสมัยกรุงศรีอยุธยามีการฝึกอะไรบ้าง?</t>
  </si>
  <si>
    <t>การฝึกเล่นว่าวในสมัยกรุงศรีอยุธยามีการฝึกทางทหารเพื่อเพิ่มทักษะในการรบ.</t>
  </si>
  <si>
    <t>ในสมัยกรุงรัตนโกสินทร์ เล่นว่าวถูกใช้ในด้านใด?</t>
  </si>
  <si>
    <t>D) การแข่งขันกีฬา</t>
  </si>
  <si>
    <t>ในสมัยกรุงรัตนโกสินทร์ เล่นว่าวถูกใช้ในการฝึกทหารเพื่อพัฒนาความสามารถในการรบ.</t>
  </si>
  <si>
    <t>ในสมัยกรุงรัตนโกสินทร์ เล่นว่าวถูกใช้ในการแข่งขันกีฬา.</t>
  </si>
  <si>
    <t>ในสมัยกรุงรัตนโกสินทร์เล่นว่าวได้รับการพัฒนาในด้านใด?</t>
  </si>
  <si>
    <t>B) กีฬา</t>
  </si>
  <si>
    <t>ในสมัยกรุงรัตนโกสินทร์ เล่นว่าวได้รับการพัฒนาในด้านการทหารเพื่อฝึกทักษะในการป้องกันประเทศ.</t>
  </si>
  <si>
    <t>ในสมัยกรุงรัตนโกสินทร์ เล่นว่าวได้รับการพัฒนาในรูปแบบของกีฬา.</t>
  </si>
  <si>
    <t>เล่นว่าวเริ่มได้รับความนิยมในประเทศใด?</t>
  </si>
  <si>
    <t>เล่นว่าวเริ่มได้รับความนิยมในประเทศไทยในช่วงสมัยกรุงศรีอยุธยาและกรุงรัตนโกสินทร์.</t>
  </si>
  <si>
    <t>การต่อสู้เล่นว่าวในสมัยก่อนถูกจัดเป็นกิจกรรมใด?</t>
  </si>
  <si>
    <t>C) กิจกรรมบันเทิง</t>
  </si>
  <si>
    <t>การต่อสู้เล่นว่าวในสมัยก่อนจัดเป็นกิจกรรมฝึกทหารที่ช่วยฝึกทักษะการป้องกันตัว.</t>
  </si>
  <si>
    <t>การต่อสู้เล่นว่าวในสมัยก่อนจัดเป็นกิจกรรมบันเทิง.</t>
  </si>
  <si>
    <t>เล่นว่าวในสมัยก่อนใช้ในการฝึกทักษะอะไร?</t>
  </si>
  <si>
    <t>การฝึกเล่นว่าวในสมัยก่อนช่วยพัฒนาทักษะการต่อสู้ของทหาร.</t>
  </si>
  <si>
    <t>ในช่วงสมัยกรุงศรีอยุธยาเล่นว่าวถือเป็นกีฬาแบบใด?</t>
  </si>
  <si>
    <t>C) กีฬาเพื่อความบันเทิง</t>
  </si>
  <si>
    <t>เล่นว่าวในสมัยกรุงศรีอยุธยาใช้ในการฝึกทหารเพื่อเพิ่มทักษะการป้องกันตัว.</t>
  </si>
  <si>
    <t>เล่นว่าวในสมัยกรุงศรีอยุธยาใช้ในการฝึกทหารเพื่อความบันเทิง.</t>
  </si>
  <si>
    <t>เมื่อใดที่เล่นว่าวได้รับการยอมรับให้เป็นกีฬาในระดับชาติ?</t>
  </si>
  <si>
    <t>เล่นว่าวได้รับการยอมรับให้เป็นกีฬาในระดับชาติในสมัยกรุงรัตนโกสินทร์.</t>
  </si>
  <si>
    <t>เล่นว่าวในสมัยกรุงศรีอยุธยามีบทบาทอย่างไร?</t>
  </si>
  <si>
    <t>B) การบันเทิงในราชสำนัก</t>
  </si>
  <si>
    <t>เล่นว่าวในสมัยกรุงศรีอยุธยามีบทบาทสำคัญในการฝึกทหาร.</t>
  </si>
  <si>
    <t>เล่นว่าวในสมัยกรุงศรีอยุธยามีบทบาทสำคัญในการบันเทิงในราชสำนัก.</t>
  </si>
  <si>
    <t>ในสมัยกรุงศรีอยุธยา การฝึกเล่นว่าวมีเป้าหมายอะไร?</t>
  </si>
  <si>
    <t>การฝึกเล่นว่าวในสมัยกรุงศรีอยุธยาเน้นไปที่การฝึกป้องกันประเทศ.</t>
  </si>
  <si>
    <t>การฝึกเล่นว่าวในสมัยกรุงศรีอยุธยาถูกจัดขึ้นที่ไหน?</t>
  </si>
  <si>
    <t>การฝึกเล่นว่าวในสมัยกรุงศรีอยุธยาเกิดขึ้นภายในพระราชวัง.</t>
  </si>
  <si>
    <t>เล่นว่าวในสมัยกรุงศรีอยุธยาถูกใช้ในกิจกรรมใด?</t>
  </si>
  <si>
    <t>B) กิจกรรมบันเทิงในราชสำนัก</t>
  </si>
  <si>
    <t>เล่นว่าวในสมัยกรุงศรีอยุธยาใช้เป็นกิจกรรมการฝึกทหาร.</t>
  </si>
  <si>
    <t>เล่นว่าวในสมัยกรุงศรีอยุธยาใช้เป็นกิจกรรมบันเทิงในราชสำนัก.</t>
  </si>
  <si>
    <t>การฝึกเล่นว่าวในสมัยกรุงรัตนโกสินทร์มุ่งเน้นในด้านใด?</t>
  </si>
  <si>
    <t>C) การแข่งขันกีฬา</t>
  </si>
  <si>
    <t>การฝึกเล่นว่าวในสมัยกรุงรัตนโกสินทร์มุ่งเน้นการฝึกทักษะทางทหาร.</t>
  </si>
  <si>
    <t>การฝึกเล่นว่าวในสมัยกรุงรัตนโกสินทร์มุ่งเน้นการแข่งขันกีฬา.</t>
  </si>
  <si>
    <t>การฝึกเล่นว่าวในสมัยกรุงรัตนโกสินทร์ถูกใช้ในรูปแบบใด?</t>
  </si>
  <si>
    <t>ในสมัยกรุงรัตนโกสินทร์การฝึกเล่นว่าวมักจะเกิดขึ้นในพระราชวัง.</t>
  </si>
  <si>
    <t>เล่นว่าวในสมัยกรุงศรีอยุธยาได้รับการสนับสนุนจากใคร?</t>
  </si>
  <si>
    <t>ในสมัยกรุงศรีอยุธยา เล่นว่าวได้รับการสนับสนุนจากพระราชาเพื่อใช้ในการฝึกทหาร.</t>
  </si>
  <si>
    <t>ในสมัยกรุงศรีอยุธยาเล่นว่าวถูกนำมาใช้ในกิจกรรมใดมากที่สุด?</t>
  </si>
  <si>
    <t>ในสมัยกรุงศรีอยุธยา เล่นว่าวถูกนำมาใช้ในการฝึกทหารมากที่สุด.</t>
  </si>
  <si>
    <t>ในสมัยกรุงศรีอยุธยา เล่นว่าวถูกนำมาใช้ในการบันเทิงในราชสำนักมากที่สุด.</t>
  </si>
  <si>
    <t>ในสมัยกรุงรัตนโกสินทร์ เล่นว่าวได้รับการยอมรับจากพระราชาหรือไม่?</t>
  </si>
  <si>
    <t>ในสมัยกรุงรัตนโกสินทร์ เล่นว่าวได้รับการยอมรับจากพระราชา.</t>
  </si>
  <si>
    <t>เล่นว่าวในสมัยกรุงศรีอยุธยาเป็นส่วนหนึ่งของการฝึกอะไร?</t>
  </si>
  <si>
    <t>เล่นว่าวในสมัยกรุงศรีอยุธยาเป็นส่วนหนึ่งของการฝึกทหาร.</t>
  </si>
  <si>
    <t>การฝึกเล่นว่าวในอดีตมีประโยชน์อย่างไร?</t>
  </si>
  <si>
    <t>การฝึกเล่นว่าวช่วยพัฒนาความสามารถในการรบของทหาร.</t>
  </si>
  <si>
    <t>เล่นว่าวในสมัยกรุงรัตนโกสินทร์ใช้สำหรับการฝึกในด้านใด?</t>
  </si>
  <si>
    <t>เล่นว่าวในสมัยกรุงรัตนโกสินทร์ถูกใช้ในการฝึกทหารในสงคราม.</t>
  </si>
  <si>
    <t>เล่นว่าวในสมัยกรุงศรีอยุธยาถูกใช้ในการฝึกทหารเพื่ออะไร?</t>
  </si>
  <si>
    <t>การฝึกเล่นว่าวในสมัยกรุงศรีอยุธยามุ่งเน้นการเสริมสร้างความแข็งแกร่งให้กับทหาร.</t>
  </si>
  <si>
    <t>การฝึกเล่นว่าวในสมัยกรุงรัตนโกสินทร์ช่วยให้ทหารได้ฝึกทักษะอะไร?</t>
  </si>
  <si>
    <t>การฝึกเล่นว่าวในสมัยกรุงรัตนโกสินทร์ช่วยให้ทหารได้ฝึกทักษะการต่อสู้.</t>
  </si>
  <si>
    <t>ในสมัยกรุงรัตนโกสินทร์การฝึกเล่นว่าวถือเป็นกิจกรรมประเภทใด?</t>
  </si>
  <si>
    <t>D) กิจกรรมการแข่งขันกีฬา</t>
  </si>
  <si>
    <t>ในสมัยกรุงรัตนโกสินทร์การฝึกเล่นว่าวถือเป็นกิจกรรมการฝึกทหาร.</t>
  </si>
  <si>
    <t>ในสมัยกรุงรัตนโกสินทร์การฝึกเล่นว่าวถือเป็นกิจกรรมการแข่งขันกีฬา</t>
  </si>
  <si>
    <t>เล่นว่าวได้รับการพัฒนาในรูปแบบใดในสมัยกรุงรัตนโกสินทร์?</t>
  </si>
  <si>
    <t>ในสมัยกรุงรัตนโกสินทร์ เล่นว่าวได้รับการพัฒนาในรูปแบบของการฝึกทหาร.</t>
  </si>
  <si>
    <t>การฝึกเล่นว่าวในสมัยกรุงศรีอยุธยาช่วยเพิ่มทักษะอะไรให้กับทหาร?</t>
  </si>
  <si>
    <t>การฝึกเล่นว่าวในสมัยกรุงศรีอยุธยาช่วยเพิ่มทักษะการต่อสู้ให้กับทหาร.</t>
  </si>
  <si>
    <t>ในสมัยกรุงศรีอยุธยา เล่นว่าวถูกใช้ในกิจกรรมใดมากที่สุด?</t>
  </si>
  <si>
    <t>เล่นว่าวในสมัยกรุงศรีอยุธยาใช้ในกิจกรรมการฝึกทหาร.</t>
  </si>
  <si>
    <t>เล่นว่าวในสมัยกรุงศรีอยุธยาใช้ในการบันเทิงในราชสำนัก.</t>
  </si>
  <si>
    <t>ในสมัยกรุงรัตนโกสินทร์ การฝึกเล่นว่าวมีประโยชน์อะไร?</t>
  </si>
  <si>
    <t>การฝึกเล่นว่าวในสมัยกรุงรัตนโกสินทร์ช่วยฝึกทหารในสงคราม.</t>
  </si>
  <si>
    <t>ในสมัยกรุงรัตนโกสินทร์การฝึกเล่นว่าวมีผลกระทบอย่างไรต่อทหาร?</t>
  </si>
  <si>
    <t>การฝึกเล่นว่าวในสมัยกรุงรัตนโกสินทร์ช่วยฝึกทหารให้พร้อมรบในสงคราม.</t>
  </si>
  <si>
    <t>ในสมัยกรุงศรีอยุธยา เล่นว่าวถูกใช้ในกิจกรรมใดเป็นหลัก?</t>
  </si>
  <si>
    <t>ในสมัยกรุงศรีอยุธยา เล่นว่าวถูกใช้เป็นหลักในการฝึกทหาร.</t>
  </si>
  <si>
    <t>ในสมัยกรุงศรีอยุธยา เล่นว่าวถูกใช้เป็นหลักในการบันเทิงในราชสำนัก</t>
  </si>
  <si>
    <t>การฝึกเล่นว่าวในสมัยกรุงศรีอยุธยาใช้เวลาเท่าไหร่ในการเรียนรู้?</t>
  </si>
  <si>
    <t>A) ไม่เกิน 1 เดือน</t>
  </si>
  <si>
    <t>การฝึกเล่นว่าวในสมัยกรุงศรีอยุธยาใช้เวลาประมาณ 6 เดือนในการเรียนรู้ทักษะ.</t>
  </si>
  <si>
    <t>การฝึกเล่นว่าวในสมัยกรุงศรีอยุธยาใช้เวลาไม่เกิน 1 เดือนในการเรียนรู้ทักษะ.</t>
  </si>
  <si>
    <t>เล่นว่าวในสมัยกรุงศรีอยุธยาช่วยฝึกทหารในด้านใด?</t>
  </si>
  <si>
    <t>เล่นว่าวในสมัยกรุงศรีอยุธยาใช้ในการฝึกทักษะการต่อสู้ของทหาร.</t>
  </si>
  <si>
    <t>เล่นว่าวในสมัยกรุงศรีอยุธยาเกี่ยวข้องกับการฝึกทหารอย่างไร?</t>
  </si>
  <si>
    <t>เล่นว่าวในสมัยกรุงศรีอยุธยาใช้ในการฝึกทหารในสนามรบ.</t>
  </si>
  <si>
    <t>เล่นว่าวในสมัยกรุงรัตนโกสินทร์มีบทบาทอย่างไรในทหาร?</t>
  </si>
  <si>
    <t>เล่นว่าวในสมัยกรุงรัตนโกสินทร์มีบทบาทในการฝึกการต่อสู้ให้กับทหาร.</t>
  </si>
  <si>
    <t>เล่นว่าวมีการพัฒนาอย่างไรในสมัยกรุงรัตนโกสินทร์?</t>
  </si>
  <si>
    <t>C) เป็นกีฬาเพื่อการบันเทิงในราชสำนัก</t>
  </si>
  <si>
    <t>เล่นว่าวในสมัยกรุงรัตนโกสินทร์พัฒนาเป็นกีฬาทางการทหารเพื่อฝึกทักษะการรบ.</t>
  </si>
  <si>
    <t>เล่นว่าวในสมัยกรุงรัตนโกสินทร์พัฒนาเป็นกีฬาเพื่อการบันเทิงในราชสำนัก</t>
  </si>
  <si>
    <t>เล่นว่าวในสมัยกรุงศรีอยุธยามีบทบาทในการฝึกทหารอย่างไร?</t>
  </si>
  <si>
    <t>เล่นว่าวในสมัยกรุงศรีอยุธยาใช้ฝึกทหารให้มีทักษะการต่อสู้ที่แข็งแกร่ง.</t>
  </si>
  <si>
    <t>การฝึกเล่นว่าวในสมัยกรุงรัตนโกสินทร์ช่วยฝึกทหารในด้านใด?</t>
  </si>
  <si>
    <t>การฝึกเล่นว่าวในสมัยกรุงรัตนโกสินทร์ช่วยฝึกทหารในการต่อสู้.</t>
  </si>
  <si>
    <t>ในสมัยกรุงรัตนโกสินทร์ เล่นว่าวมีการฝึกในรูปแบบใด?</t>
  </si>
  <si>
    <t>A) ฝึกในสนามกีฬา; B) ฝึกในพระราชวัง; C) ฝึกในหมู่บ้าน; D) ฝึกในสถานที่ลับ</t>
  </si>
  <si>
    <t>A) ฝึกในสนามกีฬา</t>
  </si>
  <si>
    <t>การฝึกเล่นว่าวในสมัยกรุงรัตนโกสินทร์มักฝึกในพระราชวัง.</t>
  </si>
  <si>
    <t>การฝึกเล่นว่าวในสมัยกรุงรัตนโกสินทร์มักฝึกในสนามกีฬา.</t>
  </si>
  <si>
    <t>การฝึกเล่นว่าวในสมัยกรุงศรีอยุธยาใช้เวลานานเท่าไหร่?</t>
  </si>
  <si>
    <t>การฝึกเล่นว่าวในสมัยกรุงศรีอยุธยาใช้เวลาประมาณ 6 เดือน.</t>
  </si>
  <si>
    <t>การฝึกเล่นว่าวในสมัยกรุงรัตนโกสินทร์มีผลกระทบต่อทหารอย่างไร?</t>
  </si>
  <si>
    <t>การฝึกเล่นว่าวช่วยให้ทหารพร้อมรบในสนามรบ.</t>
  </si>
  <si>
    <t>เล่นว่าวในสมัยกรุงศรีอยุธยาใช้ในการฝึกอะไร?</t>
  </si>
  <si>
    <t>เล่นว่าวในสมัยกรุงศรีอยุธยาใช้ในการฝึกทหารในการต่อสู้.</t>
  </si>
  <si>
    <t>การฝึกเล่นว่าวในสมัยกรุงศรีอยุธยาเกิดขึ้นในสถานที่ใด?</t>
  </si>
  <si>
    <t>การฝึกเล่นว่าวในสมัยกรุงศรีอยุธยาเกิดขึ้นในพระราชวัง.</t>
  </si>
  <si>
    <t>เล่นว่าวในสมัยกรุงรัตนโกสินทร์เป็นการฝึกในด้านใด?</t>
  </si>
  <si>
    <t>ในสมัยกรุงรัตนโกสินทร์ เล่นว่าวถูกใช้ในการฝึกทหาร.</t>
  </si>
  <si>
    <t>การฝึกเล่นว่าวในสมัยกรุงรัตนโกสินทร์มีเป้าหมายอะไร?</t>
  </si>
  <si>
    <t>การฝึกเล่นว่าวในสมัยกรุงรัตนโกสินทร์มีเป้าหมายในการฝึกทหารให้พร้อมรบ.</t>
  </si>
  <si>
    <t>เล่นว่าวในสมัยกรุงรัตนโกสินทร์ได้รับการพัฒนาอย่างไร?</t>
  </si>
  <si>
    <t>B) เป็นกีฬาแข่งขัน</t>
  </si>
  <si>
    <t>เล่นว่าวในสมัยกรุงรัตนโกสินทร์ได้รับการพัฒนาเป็นการฝึกทหาร.</t>
  </si>
  <si>
    <t>เล่นว่าวในสมัยกรุงรัตนโกสินทร์ได้รับการพัฒนาเป็นการกีฬาแข่งขัน.</t>
  </si>
  <si>
    <t>ในสมัยกรุงศรีอยุธยา การฝึกเล่นว่าวมีประโยชน์อะไร?</t>
  </si>
  <si>
    <t>การฝึกเล่นว่าวในสมัยกรุงศรีอยุธยาช่วยฝึกทหารในทักษะการต่อสู้.</t>
  </si>
  <si>
    <t>การฝึกเล่นว่าวในสมัยกรุงรัตนโกสินทร์ช่วยทหารได้อย่างไร?</t>
  </si>
  <si>
    <t>การฝึกเล่นว่าวในสมัยกรุงรัตนโกสินทร์ช่วยเพิ่มทักษะการต่อสู้ของทหาร.</t>
  </si>
  <si>
    <t>เล่นว่าวในสมัยกรุงรัตนโกสินทร์ถูกใช้ในกิจกรรมอะไร?</t>
  </si>
  <si>
    <t>C) กิจกรรมการบันเทิง</t>
  </si>
  <si>
    <t>เล่นว่าวในสมัยกรุงรัตนโกสินทร์ใช้ในกิจกรรมการฝึกทหาร.</t>
  </si>
  <si>
    <t>เล่นว่าวในสมัยกรุงรัตนโกสินทร์ใช้ในกิจกรรมการบันเทิง.</t>
  </si>
  <si>
    <t>การฝึกเล่นว่าวในสมัยกรุงรัตนโกสินทร์ช่วยฝึกทักษะอะไรให้กับทหาร?</t>
  </si>
  <si>
    <t>การฝึกเล่นว่าวช่วยฝึกทักษะการต่อสู้ให้กับทหารในสมัยกรุงรัตนโกสินทร์.</t>
  </si>
  <si>
    <t>ในสมัยกรุงรัตนโกสินทร์ การฝึกเล่นว่าวเกี่ยวข้องกับการใช้ทักษะการต่อสู้ในรูปแบบใด?</t>
  </si>
  <si>
    <t>การฝึกเล่นว่าวในสมัยกรุงรัตนโกสินทร์เกี่ยวข้องกับการเคลื่อนไหวในการต่อสู้.</t>
  </si>
  <si>
    <t>การฝึกเล่นว่าวในสมัยกรุงรัตนโกสินทร์ทำให้ทหารได้เรียนรู้อะไร?</t>
  </si>
  <si>
    <t>การฝึกเล่นว่าวในสมัยกรุงรัตนโกสินทร์ทำให้ทหารได้เรียนรู้การต่อสู้แบบคล่องตัว.</t>
  </si>
  <si>
    <t>ในสมัยกรุงศรีอยุธยา ทหารได้รับการฝึกเล่นว่าวเพื่ออะไร?</t>
  </si>
  <si>
    <t>ในสมัยกรุงศรีอยุธยา ทหารได้รับการฝึกเล่นว่าวเพื่อฝึกทหารให้พร้อมสำหรับสนามรบ.</t>
  </si>
  <si>
    <t>การฝึกเล่นว่าวในสมัยกรุงศรีอยุธยาได้เริ่มต้นขึ้นในช่วงเวลาใด?</t>
  </si>
  <si>
    <t>A) ในสมัยพระเจ้าปราสาททอง; B) ในสมัยพระนเรศวร; C) ในสมัยสมเด็จพระนารายณ์; D) ในสมัยสมเด็จพระรามาธิบดี</t>
  </si>
  <si>
    <t>D) ในสมัยสมเด็จพระรามาธิบดี</t>
  </si>
  <si>
    <t>การฝึกเล่นว่าวในสมัยกรุงศรีอยุธยาเริ่มต้นในช่วงสมัยพระนเรศวร.</t>
  </si>
  <si>
    <t>การฝึกเล่นว่าวในสมัยกรุงศรีอยุธยาเริ่มต้นในช่วงสมัยสมเด็จพระรามาธิบดี.</t>
  </si>
  <si>
    <t>ในสมัยกรุงรัตนโกสินทร์ เล่นว่าวเป็นการฝึกเพื่ออะไร?</t>
  </si>
  <si>
    <t>D) เพื่อการแข่งขันกีฬา</t>
  </si>
  <si>
    <t>เล่นว่าวในสมัยกรุงรัตนโกสินทร์ถูกใช้ในการพัฒนาทักษะการต่อสู้.</t>
  </si>
  <si>
    <t>เล่นว่าวในสมัยกรุงรัตนโกสินทร์ถูกใช้ในการแข่งขันกีฬา.</t>
  </si>
  <si>
    <t>ใครคือผู้ที่นำการฝึกเล่นว่าวมาสู่กรุงศรีอยุธยา?</t>
  </si>
  <si>
    <t>D) พระรามาธิบดี</t>
  </si>
  <si>
    <t>พระนเรศวรเป็นผู้ที่นำการฝึกเล่นว่าวมาสู่กรุงศรีอยุธยา.</t>
  </si>
  <si>
    <t>พระรามาธิบดีเป็นผู้ที่นำการฝึกเล่นว่าวมาสู่กรุงศรีอยุธยา.</t>
  </si>
  <si>
    <t>เล่นว่าวในสมัยกรุงศรีอยุธยาถูกใช้ในด้านใด?</t>
  </si>
  <si>
    <t>เล่นว่าวในสมัยกรุงศรีอยุธยาใช้ในการฝึกทหารให้มีทักษะการต่อสู้.</t>
  </si>
  <si>
    <t>เล่นว่าวในสมัยกรุงศรีอยุธยาเกี่ยวข้องกับกิจกรรมใด?</t>
  </si>
  <si>
    <t>เล่นว่าวในสมัยกรุงศรีอยุธยาเกี่ยวข้องกับการฝึกทหาร.</t>
  </si>
  <si>
    <t>เล่นว่าวในสมัยกรุงศรีอยุธยาเกี่ยวข้องกับการบันเทิงในราชสำนัก</t>
  </si>
  <si>
    <t>การฝึกเล่นว่าวในสมัยกรุงศรีอยุธยาเป็นส่วนสำคัญในการฝึกทหารอย่างไร?</t>
  </si>
  <si>
    <t>การฝึกเล่นว่าวในสมัยกรุงศรีอยุธยาช่วยฝึกทหารให้มีทักษะการต่อสู้ที่ดี.</t>
  </si>
  <si>
    <t>ในสมัยกรุงศรีอยุธยาเล่นว่าวถูกใช้ในการฝึกทหารเพื่ออะไร?</t>
  </si>
  <si>
    <t>เล่นว่าวในสมัยกรุงศรีอยุธยาใช้ในการฝึกทหารให้พร้อมรบ.</t>
  </si>
  <si>
    <t>เล่นว่าวในสมัยกรุงรัตนโกสินทร์ถูกพัฒนาให้มีลักษณะอย่างไร?</t>
  </si>
  <si>
    <t>เล่นว่าวในสมัยกรุงรัตนโกสินทร์ถูกพัฒนาเพื่อให้ทหารพร้อมรบ.</t>
  </si>
  <si>
    <t>การฝึกเล่นว่าวในสมัยกรุงรัตนโกสินทร์ช่วยฝึกทักษะการต่อสู้.</t>
  </si>
  <si>
    <t>เล่นว่าวในสมัยกรุงรัตนโกสินทร์ถูกใช้ในการฝึกทหารในช่วงเวลาใด?</t>
  </si>
  <si>
    <t>เล่นว่าวในสมัยกรุงรัตนโกสินทร์ถูกใช้ในช่วงสงครามรบในพื้นที่ใกล้เคียง.</t>
  </si>
  <si>
    <t>ในสมัยกรุงศรีอยุธยา เล่นว่าวมีการพัฒนาให้เป็นกีฬาชนิดใด?</t>
  </si>
  <si>
    <t>B) กีฬาสำหรับการแข่งขันในราชสำนัก</t>
  </si>
  <si>
    <t>เล่นว่าวในสมัยกรุงศรีอยุธยาพัฒนาให้เป็นกีฬาสำหรับทหาร.</t>
  </si>
  <si>
    <t>เล่นว่าวในสมัยกรุงศรีอยุธยาพัฒนาให้เป็นกีฬาสำหรับการแข่งขันในราชสำนัก.</t>
  </si>
  <si>
    <t>ในการฝึกเล่นว่าวในสมัยกรุงรัตนโกสินทร์ ทหารได้ฝึกทักษะอะไรบ้าง?</t>
  </si>
  <si>
    <t>ในการฝึกเล่นว่าวในสมัยกรุงรัตนโกสินทร์ ทหารได้ฝึกการต่อสู้แบบคล่องตัว.</t>
  </si>
  <si>
    <t>การฝึกเล่นว่าวในสมัยกรุงรัตนโกสินทร์มีผลต่อทหารในด้านใด?</t>
  </si>
  <si>
    <t>การฝึกเล่นว่าวในสมัยกรุงรัตนโกสินทร์ช่วยให้ทหารมีทักษะการต่อสู้ที่ดี.</t>
  </si>
  <si>
    <t>การฝึกเล่นว่าวในสมัยกรุงรัตนโกสินทร์ช่วยให้ทหารได้เรียนรู้อะไร?</t>
  </si>
  <si>
    <t>การฝึกเล่นว่าวในสมัยกรุงรัตนโกสินทร์ช่วยฝึกทหารในการป้องกันตัว.</t>
  </si>
  <si>
    <t>เล่นว่าวในสมัยกรุงศรีอยุธยาได้รับการพัฒนาอย่างไร?</t>
  </si>
  <si>
    <t>เล่นว่าวในสมัยกรุงศรีอยุธยาได้รับการพัฒนาเป็นการฝึกทหาร.</t>
  </si>
  <si>
    <t>เล่นว่าวในสมัยกรุงศรีอยุธยาใช้ในการฝึกทหารอย่างไร?</t>
  </si>
  <si>
    <t>เล่นว่าวในสมัยกรุงศรีอยุธยาใช้ในการฝึกทหารให้มีทักษะการต่อสู้ที่ดี.</t>
  </si>
  <si>
    <t>ในสมัยกรุงรัตนโกสินทร์การฝึกเล่นว่าวมีบทบาทสำคัญอย่างไร?</t>
  </si>
  <si>
    <t>การฝึกเล่นว่าวในสมัยกรุงรัตนโกสินทร์ช่วยฝึกทหารให้พร้อมรบ.</t>
  </si>
  <si>
    <t>ในสมัยกรุงรัตนโกสินทร์ ทหารที่ฝึกเล่นว่าวจะได้ประโยชน์จากการฝึกอะไรบ้าง?</t>
  </si>
  <si>
    <t>ทหารที่ฝึกเล่นว่าวในสมัยกรุงรัตนโกสินทร์จะได้ประโยชน์จากการฝึกการต่อสู้แบบคล่องตัว.</t>
  </si>
  <si>
    <t>การฝึกเล่นว่าวในสมัยกรุงรัตนโกสินทร์เป็นกิจกรรมหลักในการฝึกอะไร?</t>
  </si>
  <si>
    <t>การฝึกเล่นว่าวในสมัยกรุงรัตนโกสินทร์เป็นกิจกรรมหลักในการฝึกทักษะการต่อสู้.</t>
  </si>
  <si>
    <t>ในสมัยกรุงรัตนโกสินทร์เล่นว่าวได้ถูกใช้ในการฝึกอะไร?</t>
  </si>
  <si>
    <t>ในสมัยกรุงรัตนโกสินทร์เล่นว่าวถูกใช้ในการฝึกทักษะการต่อสู้.</t>
  </si>
  <si>
    <t>เล่นว่าวในสมัยกรุงศรีอยุธยามีความสำคัญอย่างไร?</t>
  </si>
  <si>
    <t>การฝึกเล่นว่าวในสมัยกรุงศรีอยุธยามีบทบาทในด้านใด?</t>
  </si>
  <si>
    <t>การฝึกเล่นว่าวในสมัยกรุงศรีอยุธยาช่วยพัฒนาทักษะการต่อสู้และความคล่องตัวของทหาร.</t>
  </si>
  <si>
    <t>เล่นว่าวในสมัยกรุงรัตนโกสินทร์มีการฝึกอย่างไร?</t>
  </si>
  <si>
    <t>เล่นว่าวในสมัยกรุงรัตนโกสินทร์ถูกใช้ในการฝึกทักษะการต่อสู้.</t>
  </si>
  <si>
    <t>การฝึกเล่นว่าวในสมัยกรุงศรีอยุธยามีการเน้นการฝึกในด้านใด?</t>
  </si>
  <si>
    <t>การฝึกเล่นว่าวในสมัยกรุงศรีอยุธยามุ่งเน้นการฝึกการต่อสู้แบบคล่องตัว.</t>
  </si>
  <si>
    <t>ในสมัยกรุงศรีอยุธยา เล่นว่าวถูกใช้ในการฝึกทหารสำหรับอะไร?</t>
  </si>
  <si>
    <t>เล่นว่าวในสมัยกรุงศรีอยุธยาใช้ในการฝึกทหารให้มีทักษะในการต่อสู้ในสนามรบ.</t>
  </si>
  <si>
    <t>ในสมัยกรุงศรีอยุธยาผู้ที่ฝึกเล่นว่าวจะได้รับการฝึกเกี่ยวกับอะไร?</t>
  </si>
  <si>
    <t>ผู้ที่ฝึกเล่นว่าวในสมัยกรุงศรีอยุธยาได้รับการฝึกเกี่ยวกับการต่อสู้ทางทหาร.</t>
  </si>
  <si>
    <t>เล่นว่าวในสมัยกรุงรัตนโกสินทร์ใช้ในการฝึกทหารในด้านใด?</t>
  </si>
  <si>
    <t>เล่นว่าวในสมัยกรุงรัตนโกสินทร์ใช้ในการฝึกทหารให้มีทักษะการต่อสู้.</t>
  </si>
  <si>
    <t>การฝึกเล่นว่าวในสมัยกรุงรัตนโกสินทร์ช่วยพัฒนาทักษะอะไร?</t>
  </si>
  <si>
    <t>การฝึกเล่นว่าวในสมัยกรุงรัตนโกสินทร์ช่วยพัฒนาทักษะการต่อสู้ที่คล่องตัว.</t>
  </si>
  <si>
    <t>ในการฝึกเล่นว่าวในสมัยกรุงศรีอยุธยา ทหารได้เรียนรู้อะไร?</t>
  </si>
  <si>
    <t>ในการฝึกเล่นว่าวในสมัยกรุงศรีอยุธยา ทหารได้เรียนรู้การต่อสู้ในสนามรบ.</t>
  </si>
  <si>
    <t>การฝึกเล่นว่าวในสมัยกรุงศรีอยุธยาและกรุงรัตนโกสินทร์มีความแตกต่างกันอย่างไร?</t>
  </si>
  <si>
    <t>การฝึกเล่นว่าวในสมัยกรุงรัตนโกสินทร์ได้รับการพัฒนาให้ทหารมีความคล่องตัว.</t>
  </si>
  <si>
    <t>การฝึกเล่นว่าวในสมัยกรุงรัตนโกสินทร์ใช้ในการฝึกทหารในด้านใด?</t>
  </si>
  <si>
    <t>การฝึกเล่นว่าวในสมัยกรุงรัตนโกสินทร์ใช้ในการฝึกการป้องกันตัวจากศัตรู.</t>
  </si>
  <si>
    <t>ในสมัยกรุงรัตนโกสินทร์ เล่นว่าวถูกนำมาใช้ในการฝึกทหารเพื่ออะไร?</t>
  </si>
  <si>
    <t>ในสมัยกรุงรัตนโกสินทร์ เล่นว่าวถูกใช้เพื่อเพิ่มทักษะการต่อสู้ของทหาร.</t>
  </si>
  <si>
    <t>เล่นว่าวในสมัยกรุงรัตนโกสินทร์ถูกใช้เพื่ออะไรในทหาร?</t>
  </si>
  <si>
    <t>เล่นว่าวในสมัยกรุงรัตนโกสินทร์ถูกใช้เพื่อฝึกทหารในการป้องกันตัวจากศัตรู.</t>
  </si>
  <si>
    <t>เล่นว่าวในสมัยกรุงศรีอยุธยาถูกใช้ในการฝึกทหารให้พร้อมรบในสนามรบ.</t>
  </si>
  <si>
    <t>การฝึกเล่นว่าวในสมัยกรุงรัตนโกสินทร์ช่วยพัฒนาทักษะอะไรในทหาร?</t>
  </si>
  <si>
    <t>ในสมัยกรุงรัตนโกสินทร์ ทหารที่ฝึกเล่นว่าวจะมีทักษะใด?</t>
  </si>
  <si>
    <t>ทหารที่ฝึกเล่นว่าวในสมัยกรุงรัตนโกสินทร์จะได้ทักษะการป้องกันตัวจากศัตรู.</t>
  </si>
  <si>
    <t>ในสมัยกรุงศรีอยุธยา เล่นว่าวเป็นการฝึกในด้านใด?</t>
  </si>
  <si>
    <t>เล่นว่าวในสมัยกรุงศรีอยุธยาเป็นการฝึกทักษะการต่อสู้.</t>
  </si>
  <si>
    <t>ในสมัยกรุงรัตนโกสินทร์ ทหารที่ฝึกเล่นว่าวจะได้รับทักษะอะไร?</t>
  </si>
  <si>
    <t>ทหารที่ฝึกเล่นว่าวในสมัยกรุงรัตนโกสินทร์จะได้รับทักษะการต่อสู้ที่คล่องตัว.</t>
  </si>
  <si>
    <t>การฝึกเล่นว่าวในสมัยกรุงศรีอยุธยาเป็นการฝึกในด้านใด?</t>
  </si>
  <si>
    <t>การฝึกเล่นว่าวในสมัยกรุงศรีอยุธยาเน้นการฝึกการต่อสู้แบบคล่องตัว.</t>
  </si>
  <si>
    <t>Column1</t>
  </si>
  <si>
    <t>_1</t>
  </si>
  <si>
    <t>_2</t>
  </si>
  <si>
    <t>_3</t>
  </si>
  <si>
    <t>_4</t>
  </si>
  <si>
    <t>_5</t>
  </si>
  <si>
    <t>กีฬาเซปักตะกร้อมีต้นกำเนิดมาจากประเทศใด?</t>
  </si>
  <si>
    <t>A) ไทย, B) มาเลเซีย, C) อินโดนีเซีย, D) ฟิลิปปินส์</t>
  </si>
  <si>
    <t>B) มาเลเซีย</t>
  </si>
  <si>
    <t>กีฬาเซปักตะกร้อมีต้นกำเนิดในมาเลเซียและเป็นที่นิยมในเอเชียตะวันออกเฉียงใต้.</t>
  </si>
  <si>
    <t>คำว่า "เซปัก" ในภาษาเซปักตะกร้อแปลว่าอะไร?</t>
  </si>
  <si>
    <t>A) เตะ, B) โยน, C) รับ, D) ส่ง</t>
  </si>
  <si>
    <t>A) เตะ</t>
  </si>
  <si>
    <t>คำว่า "เซปัก" หมายถึงการเตะในภาษามาเลย์.</t>
  </si>
  <si>
    <t>กีฬาเซปักตะกร้อเริ่มมีการเล่นในประเทศไทยในปีใด?</t>
  </si>
  <si>
    <t>A) ค.ศ. 1920, B) ค.ศ. 1930, C) ค.ศ. 1945, D) ค.ศ. 1950</t>
  </si>
  <si>
    <t>C) ค.ศ. 1945</t>
  </si>
  <si>
    <t>กีฬาเซปักตะกร้อเริ่มเล่นในไทยช่วงปลายสงครามโลกครั้งที่ 2.</t>
  </si>
  <si>
    <t>เซปักตะกร้อเคยถูกเรียกว่าอะไรในภาษาไทย?</t>
  </si>
  <si>
    <t>A) ตะกร้อลอดห่วง, B) ตะกร้อสนาม, C) ตะกร้อเตะ, D) ตะกร้อกลาง</t>
  </si>
  <si>
    <t>A) ตะกร้อลอดห่วง</t>
  </si>
  <si>
    <t>ก่อนที่เซปักตะกร้อจะเปลี่ยนเป็นแบบสนาม เคยเล่นในรูปแบบลอดห่วงมาก่อน.</t>
  </si>
  <si>
    <t>ปีใดที่เซปักตะกร้อถูกบรรจุในกีฬาเอเชียนเกมส์?</t>
  </si>
  <si>
    <t>A) ค.ศ. 1966, B) ค.ศ. 1970, C) ค.ศ. 1990, D) ค.ศ. 1994</t>
  </si>
  <si>
    <t>C) ค.ศ. 1990</t>
  </si>
  <si>
    <t>เซปักตะกร้อถูกบรรจุครั้งแรกในกีฬาเอเชียนเกมส์ที่ปักกิ่งปี 1990.</t>
  </si>
  <si>
    <t>ลูกตะกร้อในยุคแรกทำมาจากวัสดุอะไร?</t>
  </si>
  <si>
    <t>A) พลาสติก; B) ใบไม้; C) หวาย; D) ไม้ไผ่</t>
  </si>
  <si>
    <t>C) หวาย</t>
  </si>
  <si>
    <t>ลูกตะกร้อในยุคแรกทำจากหวายถัก.</t>
  </si>
  <si>
    <t>กฎกติกาเซปักตะกร้อแบบสนามถูกตั้งขึ้นครั้งแรกในปีใด?</t>
  </si>
  <si>
    <t>A) ค.ศ. 1934; B) ค.ศ. 1953; C) ค.ศ. 1960; D) ค.ศ. 1965</t>
  </si>
  <si>
    <t>B) ค.ศ. 1953</t>
  </si>
  <si>
    <t>กฎกติกาเซปักตะกร้อแบบสนามถูกตั้งขึ้นครั้งแรกในปี 1953.</t>
  </si>
  <si>
    <t>เซปักตะกร้อมีการเปลี่ยนแปลงจากการเล่นในรูปแบบใด?</t>
  </si>
  <si>
    <t>A) การเล่นในสนาม; B) การเล่นบนหาดทราย; C) การเล่นในลานวัด; D) การเล่นลอดห่วง</t>
  </si>
  <si>
    <t>D) การเล่นลอดห่วง</t>
  </si>
  <si>
    <t>กีฬาเซปักตะกร้อเริ่มจากการเล่นลอดห่วง.</t>
  </si>
  <si>
    <t>ประเทศใดจัดตั้งสหพันธ์เซปักตะกร้อนานาชาติ (ISTAF) ขึ้น?</t>
  </si>
  <si>
    <t>A) ไทย; B) มาเลเซีย; C) สิงคโปร์; D) อินโดนีเซีย</t>
  </si>
  <si>
    <t>C) สิงคโปร์</t>
  </si>
  <si>
    <t>สหพันธ์เซปักตะกร้อนานาชาติตั้งขึ้นที่สิงคโปร์.</t>
  </si>
  <si>
    <t>ในอดีตผู้เล่นเซปักตะกร้อใช้เท้าอะไรเตะลูก?</t>
  </si>
  <si>
    <t>A) เท้าซ้ายเท่านั้น; B) เท้าขวาเท่านั้น; C) ทั้งสองเท้า; D) มือและเท้า</t>
  </si>
  <si>
    <t>C) ทั้งสองเท้า</t>
  </si>
  <si>
    <t>การเล่นเซปักตะกร้ออนุญาตให้ใช้ทั้งสองเท้าเตะลูก.</t>
  </si>
  <si>
    <t>ในปีใดที่มีการจัดการแข่งขันเซปักตะกร้อระดับนานาชาติครั้งแรก?</t>
  </si>
  <si>
    <t>A) ค.ศ. 1965; B) ค.ศ. 1967; C) ค.ศ. 1970; D) ค.ศ. 1974</t>
  </si>
  <si>
    <t>A) ค.ศ. 1965</t>
  </si>
  <si>
    <t>การแข่งขันเซปักตะกร้อระดับนานาชาติครั้งแรกจัดขึ้นในปี 1965.</t>
  </si>
  <si>
    <t>สนามเซปักตะกร้อมีขนาดกี่เมตร?</t>
  </si>
  <si>
    <t>A) 13 x 6 เมตร; B) 13.4 x 6.1 เมตร; C) 14 x 7 เมตร; D) 15 x 8 เมตร</t>
  </si>
  <si>
    <t>B) 13.4 x 6.1 เมตร</t>
  </si>
  <si>
    <t>สนามเซปักตะกร้อมีขนาดมาตรฐาน 13.4 x 6.1 เมตร.</t>
  </si>
  <si>
    <t>ประเทศใดชนะเลิศการแข่งขันเซปักตะกร้อเอเชียนเกมส์ครั้งแรก?</t>
  </si>
  <si>
    <t>A) ไทย; B) มาเลเซีย; C) อินโดนีเซีย; D) ฟิลิปปินส์</t>
  </si>
  <si>
    <t>ทีมชาติไทยชนะเลิศการแข่งขันเซปักตะกร้อเอเชียนเกมส์ครั้งแรก.</t>
  </si>
  <si>
    <t>สหพันธ์เซปักตะกร้อนานาชาติก่อตั้งขึ้นในปีใด?</t>
  </si>
  <si>
    <t>A) ค.ศ. 1985; B) ค.ศ. 1988; C) ค.ศ. 1990; D) ค.ศ. 1992</t>
  </si>
  <si>
    <t>A) ค.ศ. 1985</t>
  </si>
  <si>
    <t>สหพันธ์เซปักตะกร้อนานาชาติก่อตั้งในปี 1985.</t>
  </si>
  <si>
    <t>ในช่วงเริ่มต้น เซปักตะกร้อเล่นในโอกาสใด?</t>
  </si>
  <si>
    <t>A) การเฉลิมฉลอง; B) การแข่งขันกีฬา; C) พิธีทางศาสนา; D) การพบปะสังสรรค์</t>
  </si>
  <si>
    <t>A) การเฉลิมฉลอง</t>
  </si>
  <si>
    <t>เซปักตะกร้อเคยเล่นในโอกาสเฉลิมฉลองในชุมชน.</t>
  </si>
  <si>
    <t>เซปักตะกร้อถูกบรรจุในซีเกมส์ครั้งแรกในปีใด?</t>
  </si>
  <si>
    <t>A) ค.ศ. 1959; B) ค.ศ. 1965; C) ค.ศ. 1971; D) ค.ศ. 1977</t>
  </si>
  <si>
    <t>B) ค.ศ. 1965</t>
  </si>
  <si>
    <t>เซปักตะกร้อถูกบรรจุในซีเกมส์ครั้งแรกในปี 1965.</t>
  </si>
  <si>
    <t>ลูกตะกร้อแบบพลาสติกเริ่มใช้ครั้งแรกในปีใด?</t>
  </si>
  <si>
    <t>A) ค.ศ. 1970; B) ค.ศ. 1980; C) ค.ศ. 1990; D) ค.ศ. 2000</t>
  </si>
  <si>
    <t>B) ค.ศ. 1980</t>
  </si>
  <si>
    <t>ลูกตะกร้อพลาสติกเริ่มใช้แทนลูกหวายในปี 1980.</t>
  </si>
  <si>
    <t>เซปักตะกร้อในประเทศไทยเริ่มแข่งขันอย่างเป็นทางการในปีใด?</t>
  </si>
  <si>
    <t>A) ค.ศ. 1955; B) ค.ศ. 1960; C) ค.ศ. 1965; D) ค.ศ. 1970</t>
  </si>
  <si>
    <t>B) ค.ศ. 1960</t>
  </si>
  <si>
    <t>ประเทศไทยเริ่มแข่งขันเซปักตะกร้ออย่างเป็นทางการในปี 1960.</t>
  </si>
  <si>
    <t>นักกีฬาที่มีชื่อเสียงของเซปักตะกร้อไทยในอดีตคือใคร?</t>
  </si>
  <si>
    <t>A) สมรักษ์ คำสิงห์; B) อำนาจ โคตะนนท์; C) ปวีณา ทองสุก; D) ศุภวุฒิ เถื่อนกลาง</t>
  </si>
  <si>
    <t>B) อำนาจ โคตะนนท์</t>
  </si>
  <si>
    <t>อำนาจ โคตะนนท์เป็นหนึ่งในนักกีฬาที่มีชื่อเสียงในกีฬาเซปักตะกร้อไทย.</t>
  </si>
  <si>
    <t>สัญลักษณ์ของสหพันธ์เซปักตะกร้อนานาชาติ (ISTAF) เป็นรูปอะไร?</t>
  </si>
  <si>
    <t>A) ลูกตะกร้อ; B) สนามกีฬา; C) เท้าของนักกีฬา; D) ตาข่าย</t>
  </si>
  <si>
    <t>A) ลูกตะกร้อ</t>
  </si>
  <si>
    <t>สัญลักษณ์ ISTAF เป็นรูปลูกตะกร้อเพื่อสื่อถึงกีฬา.</t>
  </si>
  <si>
    <t>การแข่งขันเซปักตะกร้อในโอลิมปิกเคยมีหรือไม่?</t>
  </si>
  <si>
    <t>A) มี; B) ไม่มี; C) มีในโอลิมปิกฤดูร้อน; D) มีในโอลิมปิกฤดูหนาว</t>
  </si>
  <si>
    <t>B) ไม่มี</t>
  </si>
  <si>
    <t>เซปักตะกร้อยังไม่ได้รับการบรรจุในกีฬาโอลิมปิก.</t>
  </si>
  <si>
    <t>ประเทศใดมีการเล่นเซปักตะกร้อมาอย่างยาวนานที่สุด?</t>
  </si>
  <si>
    <t>A) ไทย; B) มาเลเซีย; C) อินโดนีเซีย; D) บรูไน</t>
  </si>
  <si>
    <t>มาเลเซียเป็นประเทศที่มีประวัติการเล่นเซปักตะกร้อมายาวนาน.</t>
  </si>
  <si>
    <t>ลูกตะกร้อในปัจจุบันมีน้ำหนักประมาณเท่าไหร่?</t>
  </si>
  <si>
    <t>A) 150-160 กรัม; B) 160-170 กรัม; C) 170-180 กรัม; D) 180-190 กรัม</t>
  </si>
  <si>
    <t>B) 160-170 กรัม</t>
  </si>
  <si>
    <t>ลูกตะกร้อในปัจจุบันมีน้ำหนักมาตรฐานอยู่ที่ 160-170 กรัม.</t>
  </si>
  <si>
    <t>การเสิร์ฟลูกในเซปักตะกร้อเริ่มจากตำแหน่งใด?</t>
  </si>
  <si>
    <t>A) กลางสนาม; B) หลังสนาม; C) ข้างสนาม; D) หน้าตาข่าย</t>
  </si>
  <si>
    <t>B) หลังสนาม</t>
  </si>
  <si>
    <t>การเสิร์ฟลูกต้องเริ่มจากหลังสนาม.</t>
  </si>
  <si>
    <t>กติกาเซปักตะกร้อกำหนดให้ผู้เล่นในทีมมีทั้งหมดกี่คน?</t>
  </si>
  <si>
    <t>A) 3 คน; B) 4 คน; C) 5 คน; D) 6 คน</t>
  </si>
  <si>
    <t>A) 3 คน</t>
  </si>
  <si>
    <t>ทีมเซปักตะกร้อประกอบด้วยผู้เล่น 3 คนในสนาม.</t>
  </si>
  <si>
    <t>การแข่งขันเซปักตะกร้อแบบคู่ผสมมีการเริ่มต้นในปีใด?</t>
  </si>
  <si>
    <t>A) ค.ศ. 1992; B) ค.ศ. 1995; C) ค.ศ. 2000; D) ค.ศ. 2005</t>
  </si>
  <si>
    <t>B) ค.ศ. 1995</t>
  </si>
  <si>
    <t>การแข่งขันคู่ผสมเริ่มต้นในปี 1995.</t>
  </si>
  <si>
    <t>การแข่งขันเซปักตะกร้อในซีเกมส์ครั้งล่าสุดจัดขึ้นที่ประเทศใด?</t>
  </si>
  <si>
    <t>A) ไทย; B) มาเลเซีย; C) เวียดนาม; D) ฟิลิปปินส์</t>
  </si>
  <si>
    <t>C) เวียดนาม</t>
  </si>
  <si>
    <t>ซีเกมส์ล่าสุดที่มีเซปักตะกร้อจัดขึ้นในเวียดนาม.</t>
  </si>
  <si>
    <t>สนามเซปักตะกร้อถูกแบ่งด้วยตาข่ายสูงเท่าใด?</t>
  </si>
  <si>
    <t>A) 1.52 เมตร; B) 1.55 เมตร; C) 1.60 เมตร; D) 1.65 เมตร</t>
  </si>
  <si>
    <t>B) 1.55 เมตร</t>
  </si>
  <si>
    <t>ตาข่ายเซปักตะกร้อมีความสูง 1.55 เมตร.</t>
  </si>
  <si>
    <t>ชุดการแข่งขันเซปักตะกร้อในยุคแรกเป็นอย่างไร?</t>
  </si>
  <si>
    <t>A) เสื้อกีฬาและกางเกงขาสั้น; B) ชุดประจำชาติ; C) ผ้าขาวม้า; D) เสื้อยืดและกางเกงขายาว</t>
  </si>
  <si>
    <t>C) ผ้าขาวม้า</t>
  </si>
  <si>
    <t>ในยุคแรกผู้เล่นมักใส่ผ้าขาวม้าในการแข่งขัน.</t>
  </si>
  <si>
    <t>การแข่งขันเซปักตะกร้อแบ่งออกเป็นกี่เซต?</t>
  </si>
  <si>
    <t>A) 1 เซต; B) 2 เซต; C) 3 เซต; D) 5 เซต</t>
  </si>
  <si>
    <t>C) 3 เซต</t>
  </si>
  <si>
    <t>การแข่งขันแบ่งออกเป็น 3 เซต โดยทีมที่ชนะ 2 เซตก่อนจะเป็นผู้ชนะ.</t>
  </si>
  <si>
    <t>กีฬาเซปักตะกร้อเริ่มแพร่หลายไปยังประเทศไหนก่อน?</t>
  </si>
  <si>
    <t>A) อินโดนีเซีย; B) ไทย; C) มาเลเซีย; D) ฟิลิปปินส์</t>
  </si>
  <si>
    <t>A) อินโดนีเซีย</t>
  </si>
  <si>
    <t>กีฬาเซปักตะกร้อเริ่มแพร่หลายในอินโดนีเซียก่อนแล้วจึงกระจายไปยังประเทศอื่นๆ.</t>
  </si>
  <si>
    <t>การแข่งขันเซปักตะกร้อแรกในระดับนานาชาติจัดขึ้นที่ประเทศใด?</t>
  </si>
  <si>
    <t>A) ไทย; B) มาเลเซีย; C) อินโดนีเซีย; D) สิงคโปร์</t>
  </si>
  <si>
    <t>การแข่งขันเซปักตะกร้อระดับนานาชาติครั้งแรกจัดขึ้นที่มาเลเซีย.</t>
  </si>
  <si>
    <t>ในอดีตเซปักตะกร้อถูกใช้ในพิธีกรรมของชนชาติใด?</t>
  </si>
  <si>
    <t>A) มาเลเซีย; B) ไทย; C) บรูไน; D) ฟิลิปปินส์</t>
  </si>
  <si>
    <t>C) บรูไน</t>
  </si>
  <si>
    <t>เซปักตะกร้อเคยถูกใช้ในพิธีกรรมและงานเฉลิมฉลองของชนชาติบรูไน.</t>
  </si>
  <si>
    <t>กีฬาเซปักตะกร้อในเวียดนามถูกเรียกว่าอะไร?</t>
  </si>
  <si>
    <t>A) ชานกี; B) จูซา; C) ไมเคน; D) โกลา</t>
  </si>
  <si>
    <t>A) ชานกี</t>
  </si>
  <si>
    <t>เซปักตะกร้อในเวียดนามถูกเรียกว่า "ชานกี".</t>
  </si>
  <si>
    <t>ในช่วงปี 1980 มีการเปลี่ยนแปลงสำคัญในกีฬาเซปักตะกร้ออย่างไร?</t>
  </si>
  <si>
    <t>A) การนำลูกตะกร้อพลาสติกมาใช้; B) การใช้เสื้อแขนยาวในการแข่งขัน; C) การบรรจุกีฬาในเอเชียนเกมส์; D) การเปลี่ยนแปลงกฎการเล่น</t>
  </si>
  <si>
    <t>A) การนำลูกตะกร้อพลาสติกมาใช้</t>
  </si>
  <si>
    <t>ในปี 1980 มีการนำลูกตะกร้อพลาสติกมาใช้แทนลูกตะกร้อหวาย.</t>
  </si>
  <si>
    <t>การแข่งขันเซปักตะกร้อซีเกมส์ครั้งแรกจัดขึ้นที่ประเทศใด?</t>
  </si>
  <si>
    <t>การจัดการแข่งขันเซปักตะกร้อครั้งแรกในซีเกมส์จัดขึ้นที่ประเทศไทย.</t>
  </si>
  <si>
    <t>ประเทศไทยเริ่มสนับสนุนเซปักตะกร้อเป็นกีฬาการแข่งขันในปีใด?</t>
  </si>
  <si>
    <t>A) ค.ศ. 1945; B) ค.ศ. 1950; C) ค.ศ. 1960; D) ค.ศ. 1970</t>
  </si>
  <si>
    <t>C) ค.ศ. 1960</t>
  </si>
  <si>
    <t>ประเทศไทยเริ่มสนับสนุนเซปักตะกร้อในปี 1960 โดยมีการจัดแข่งขันระดับประเทศ.</t>
  </si>
  <si>
    <t>ในปี 1965 เซปักตะกร้อถูกนำมาแข่งขันในรายการใด?</t>
  </si>
  <si>
    <t>A) ซีเกมส์; B) เอเชียนเกมส์; C) มหาวิทยาลัยเกมส์; D) กีฬาชาติ</t>
  </si>
  <si>
    <t xml:space="preserve"> A) ซีเกมส์</t>
  </si>
  <si>
    <t>เซปักตะกร้อถูกนำมาแข่งขันในซีเกมส์ครั้งแรกในปี 1965.</t>
  </si>
  <si>
    <t>กีฬาเซปักตะกร้อถูกจัดเป็นกีฬาแสดงในโอลิมปิกฤดูร้อนในปีใด?</t>
  </si>
  <si>
    <t>A) ค.ศ. 1976; B) ค.ศ. 1980; C) ค.ศ. 1984; D) ไม่มีการจัด</t>
  </si>
  <si>
    <t>A) ไม่มีการจัด</t>
  </si>
  <si>
    <t>เซปักตะกร้อยังไม่เคยถูกจัดเป็นกีฬาในโอลิมปิกฤดูร้อน.</t>
  </si>
  <si>
    <t>ในปี 1985 มีการก่อตั้งองค์กรใดที่มีบทบาทสำคัญในการส่งเสริมกีฬาเซปักตะกร้อ?</t>
  </si>
  <si>
    <t>A) สหพันธ์เซปักตะกร้อนานาชาติ (ISTAF); B) สมาคมเซปักตะกร้อแห่งประเทศไทย; C) สหพันธ์กีฬาเอเชีย; D) สหพันธ์กีฬาโลก</t>
  </si>
  <si>
    <t>A) สหพันธ์เซปักตะกร้อนานาชาติ (ISTAF)</t>
  </si>
  <si>
    <t>ในปี 1985 มีการก่อตั้งสหพันธ์เซปักตะกร้อนานาชาติ (ISTAF).</t>
  </si>
  <si>
    <t>สนามเซปักตะกร้อมาตรฐานมีขนาดใด?</t>
  </si>
  <si>
    <t>A) 10 x 5 เมตร; B) 13 x 6 เมตร; C) 15 x 7 เมตร; D) 12 x 6 เมตร</t>
  </si>
  <si>
    <t>B) 13 x 6 เมตร</t>
  </si>
  <si>
    <t>สนามเซปักตะกร้อมาตรฐานมีขนาด 13 x 6 เมตร.</t>
  </si>
  <si>
    <t>กีฬาประเภทใดที่มีอิทธิพลต่อการพัฒนาเซปักตะกร้อ?</t>
  </si>
  <si>
    <t>A) ฟุตบอล; B) บาสเกตบอล; C) วอลเลย์บอล; D) แบดมินตัน</t>
  </si>
  <si>
    <t>A) ฟุตบอล</t>
  </si>
  <si>
    <t>เซปักตะกร้อได้รับอิทธิพลจากฟุตบอลในแง่ของการเตะลูก.</t>
  </si>
  <si>
    <t>การแข่งขันเซปักตะกร้อระดับนานาชาติครั้งแรกจัดขึ้นที่ประเทศใด?</t>
  </si>
  <si>
    <t>A) มาเลเซีย; B) ไทย; C) สิงคโปร์; D) อินโดนีเซีย</t>
  </si>
  <si>
    <t>A) มาเลเซีย</t>
  </si>
  <si>
    <t>การแข่งขันเซปักตะกร้อระดับนานาชาติครั้งแรกจัดขึ้นในประเทศมาเลเซีย.</t>
  </si>
  <si>
    <t>เซปักตะกร้อเริ่มได้รับความนิยมในประเทศไหนมากที่สุดในช่วงปี 1980?</t>
  </si>
  <si>
    <t>B) ไทย</t>
  </si>
  <si>
    <t>ประเทศไทยเริ่มให้ความนิยมและสนับสนุนเซปักตะกร้อในช่วงปี 1980.</t>
  </si>
  <si>
    <t>คำว่า "ตะกร้อ" มาจากภาษาใด?</t>
  </si>
  <si>
    <t>A) ภาษาไทย; B) ภาษามาเลย์; C) ภาษาเวียดนาม; D) ภาษาอินโดนีเซีย</t>
  </si>
  <si>
    <t>B) ภาษามาเลย์</t>
  </si>
  <si>
    <t>คำว่า "ตะกร้อ" มาจากภาษามาเลย์ซึ่งแปลว่า "ลูก" หรือ "ลูกบอล".</t>
  </si>
  <si>
    <t>กีฬาเซปักตะกร้อเริ่มจากการเล่นในรูปแบบใด?</t>
  </si>
  <si>
    <t>A) การเล่นในสนามหญ้า; B) การเล่นบนพื้นดิน; C) การเล่นบนลานไม้; D) การเล่นในที่ร่ม</t>
  </si>
  <si>
    <t>C) การเล่นบนลานไม้</t>
  </si>
  <si>
    <t>เซปักตะกร้อในอดีตเริ่มต้นจากการเล่นบนลานไม้.</t>
  </si>
  <si>
    <t>การแข่งขันเซปักตะกร้อในสมัยแรกเริ่มเล่นในรูปแบบใด?</t>
  </si>
  <si>
    <t>A) การเล่นทีมเดียว; B) การแข่งขันระหว่างคนเดียว; C) การแข่งขันเป็นทีมหลายคน; D) การแข่งขันเดี่ยว</t>
  </si>
  <si>
    <t xml:space="preserve"> C) การแข่งขันเป็นทีมหลายคน</t>
  </si>
  <si>
    <t>ในสมัยแรก เซปักตะกร้อเล่นในรูปแบบการแข่งทีมหลายคน.</t>
  </si>
  <si>
    <t>ทีมชาติไทยเริ่มส่งนักกีฬาไปแข่งขันเซปักตะกร้อในระดับนานาชาติเมื่อปีใด?</t>
  </si>
  <si>
    <t>A) ค.ศ. 1965; B) ค.ศ. 1970; C) ค.ศ. 1975; D) ค.ศ. 1980</t>
  </si>
  <si>
    <t>ทีมชาติไทยเริ่มส่งนักกีฬาไปแข่งขันเซปักตะกร้อในระดับนานาชาติเมื่อปี 1965.</t>
  </si>
  <si>
    <t>การแข่งขันกีฬาเซปักตะกร้อในสมัยก่อนเคยมีการเล่นในโอกาสใด?</t>
  </si>
  <si>
    <t>A) การฉลองเทศกาล; B) การเฉลิมฉลองราชวงศ์; C) การแข่งขันในราชสำนัก; D) การเฉลิมฉลองศาสนา</t>
  </si>
  <si>
    <t>A) การฉลองเทศกาล</t>
  </si>
  <si>
    <t>เซปักตะกร้อมักใช้เล่นในงานเฉลิมฉลองเทศกาลต่างๆ.</t>
  </si>
  <si>
    <t>การปรับเปลี่ยนในกติกาของเซปักตะกร้อเริ่มต้นในปีใด?</t>
  </si>
  <si>
    <t>A) ค.ศ. 1960; B) ค.ศ. 1970; C) ค.ศ. 1980; D) ค.ศ. 1990</t>
  </si>
  <si>
    <t>B) ค.ศ. 1970</t>
  </si>
  <si>
    <t>กติกาของเซปักตะกร้อเริ่มมีการปรับเปลี่ยนในช่วงปี 1970.</t>
  </si>
  <si>
    <t>ในอดีตกีฬาเซปักตะกร้อเล่นในที่ไหน?</t>
  </si>
  <si>
    <t>A) ทุ่งหญ้า; B) สนามในหมู่บ้าน; C) ลานวัด; D) สนามกีฬา</t>
  </si>
  <si>
    <t>A) ทุ่งหญ้า</t>
  </si>
  <si>
    <t>เซปักตะกร้อในอดีตถูกเล่นในทุ่งหญ้าในหมู่บ้าน.</t>
  </si>
  <si>
    <t>กีฬาเซปักตะกร้อเริ่มมีการจัดการแข่งขันในระดับสากลในปีใด?</t>
  </si>
  <si>
    <t>A) ค.ศ. 1965; B) ค.ศ. 1970; C) ค.ศ. 1985; D) ค.ศ. 1990</t>
  </si>
  <si>
    <t>เซปักตะกร้อเริ่มมีการจัดการแข่งขันในระดับสากลครั้งแรกในปี 1965.</t>
  </si>
  <si>
    <t>การก่อตั้งสหพันธ์เซปักตะกร้อนานาชาติ ISTAF เกิดขึ้นที่ประเทศใด?</t>
  </si>
  <si>
    <t>A) มาเลเซีย; B) สิงคโปร์; C) ไทย; D) อินโดนีเซีย</t>
  </si>
  <si>
    <t>การก่อตั้งสหพันธ์เซปักตะกร้อนานาชาติ ISTAF เกิดขึ้นในมาเลเซีย.</t>
  </si>
  <si>
    <t>ในอดีตเซปักตะกร้อเล่นในลักษณะไหน?</t>
  </si>
  <si>
    <t>A) เล่นในน้ำ; B) เล่นในสนามหญ้า; C) เล่นในพื้นที่ปิด; D) เล่นบนทราย</t>
  </si>
  <si>
    <t>B) เล่นในสนามหญ้า</t>
  </si>
  <si>
    <t>ในอดีตเซปักตะกร้อเล่นในสนามหญ้า.</t>
  </si>
  <si>
    <t>การจัดตั้งการแข่งขันเซปักตะกร้อในระดับนานาชาติเริ่มขึ้นในปีใด?</t>
  </si>
  <si>
    <t>A) ค.ศ. 1955; B) ค.ศ. 1960; C) ค.ศ. 1970; D) ค.ศ. 1980</t>
  </si>
  <si>
    <t>การแข่งขันเซปักตะกร้อระดับนานาชาติเริ่มขึ้นในปี 1960.</t>
  </si>
  <si>
    <t>ในปี 1970 องค์กรใดเริ่มสนับสนุนการพัฒนาเซปักตะกร้อ?</t>
  </si>
  <si>
    <t>A) สหพันธ์กีฬาเอเชีย; B) สหพันธ์เซปักตะกร้อนานาชาติ (ISTAF); C) สหพันธ์ฟุตบอลโลก; D) สมาคมกีฬาทั่วไป</t>
  </si>
  <si>
    <t xml:space="preserve"> B) สหพันธ์เซปักตะกร้อนานาชาติ (ISTAF).</t>
  </si>
  <si>
    <t xml:space="preserve"> การแข่งขันเซปักตะกร้อในซีเกมส์ครั้งแรกจัดขึ้นในปี 1965.</t>
  </si>
  <si>
    <t>คำว่า "เซปัก" มาจากภาษาใด?</t>
  </si>
  <si>
    <t>A) มาเลย์; B) ไทย; C) อินโดนีเซีย; D) เวียดนาม</t>
  </si>
  <si>
    <t>A) มาเลย์</t>
  </si>
  <si>
    <t>คำว่า "เซปัก" มาจากภาษาในมาเลย์ แปลว่า "การเตะ".</t>
  </si>
  <si>
    <t>กีฬาเซปักตะกร้อเริ่มได้รับการยอมรับในระดับนานาชาติเมื่อปีใด?</t>
  </si>
  <si>
    <t>A) ค.ศ. 1950; B) ค.ศ. 1965; C) ค.ศ. 1970; D) ค.ศ. 1980</t>
  </si>
  <si>
    <t>เซปักตะกร้อเริ่มได้รับการยอมรับในระดับนานาชาติในปี 1965.</t>
  </si>
  <si>
    <t>เมื่อใดเซปักตะกร้อกลายเป็นกีฬาที่จัดในเอเชียนเกมส์?</t>
  </si>
  <si>
    <t>A) ค.ศ. 1974; B) ค.ศ. 1982; C) ค.ศ. 1990; D) ค.ศ. 2000</t>
  </si>
  <si>
    <t>B) ค.ศ. 1982</t>
  </si>
  <si>
    <t>เซปักตะกร้อกลายเป็นกีฬาที่จัดในเอเชียนเกมส์ครั้งแรกในปี 1982.</t>
  </si>
  <si>
    <t>กีฬาเซปักตะกร้อเป็นที่นิยมในประเทศใดมากที่สุด?</t>
  </si>
  <si>
    <t>ประเทศไทยมีความนิยมในการเล่นเซปักตะกร้อมากที่สุดในโลก.</t>
  </si>
  <si>
    <t>การจัดการแข่งขันเซปักตะกร้อในระดับโลกเริ่มขึ้นในปีใด?</t>
  </si>
  <si>
    <t>การจัดการแข่งขันเซปักตะกร้อในระดับโลกเริ่มขึ้นในปี 1990.</t>
  </si>
  <si>
    <t>กติกาของเซปักตะกร้อมีการปรับเปลี่ยนในปีใด?</t>
  </si>
  <si>
    <t>C) ค.ศ. 1980</t>
  </si>
  <si>
    <t>กติกาของเซปักตะกร้อมีการปรับเปลี่ยนครั้งสำคัญในปี 1980.</t>
  </si>
  <si>
    <t>การแข่งขันเซปักตะกร้อในซีเกมส์เริ่มต้นในปีใด?</t>
  </si>
  <si>
    <t>A) ค.ศ. 1965; B) ค.ศ. 1975; C) ค.ศ. 1980; D) ค.ศ. 1985</t>
  </si>
  <si>
    <t>การแข่งขันเซปักตะกร้อในซีเกมส์เริ่มต้นในปี 1965.</t>
  </si>
  <si>
    <t>เซปักตะกร้อถูกนำมาเล่นในมหกรรมกีฬาที่สำคัญครั้งแรกในปีใด?</t>
  </si>
  <si>
    <t>A) ค.ศ. 1974; B) ค.ศ. 1980; C) ค.ศ. 1982; D) ค.ศ. 1984</t>
  </si>
  <si>
    <t>C) ค.ศ. 1982</t>
  </si>
  <si>
    <t>เซปักตะกร้อถูกนำมาเล่นในเอเชียนเกมส์ครั้งแรกในปี 1982.</t>
  </si>
  <si>
    <t>การแข่งขันเซปักตะกร้อในโอลิมปิกยังไม่เคยมีการจัดขึ้นในปีใด?</t>
  </si>
  <si>
    <t>A) ค.ศ. 1960; B) ค.ศ. 1976; C) ค.ศ. 1980; D) ค.ศ. 2000</t>
  </si>
  <si>
    <t>B) ค.ศ. 1976</t>
  </si>
  <si>
    <t>เซปักตะกร้อยังไม่เคยจัดการแข่งขันในโอลิมปิกฤดูร้อน.</t>
  </si>
  <si>
    <t>เซปักตะกร้อเคยถูกเล่นในโอกาสใดบ้าง?</t>
  </si>
  <si>
    <t>A) การแข่งขันกีฬาโลก; B) การเฉลิมฉลองเทศกาล; C) การแข่งขันมิตรภาพโลก; D) การแข่งขันกีฬาประชาชน</t>
  </si>
  <si>
    <t>B) การเฉลิมฉลองเทศกาล</t>
  </si>
  <si>
    <t>เซปักตะกร้อมักถูกเล่นในเทศกาลหรือการเฉลิมฉลองต่างๆ.</t>
  </si>
  <si>
    <t>การพัฒนาเซปักตะกร้อในประเทศไทยเริ่มมีการจัดตั้งในปีใด?</t>
  </si>
  <si>
    <t>A) ค.ศ. 1960</t>
  </si>
  <si>
    <t>การพัฒนาเซปักตะกร้อในประเทศไทยเริ่มมีการจัดตั้งในปี 1960.</t>
  </si>
  <si>
    <t>ในปี 1990 มีการจัดตั้งสหพันธ์เซปักตะกร้อที่ใด?</t>
  </si>
  <si>
    <t>A) มาเลเซีย; B) ไทย; C) อินโดนีเซีย; D) เวียดนาม</t>
  </si>
  <si>
    <t>ในปี 1990 ได้มีการจัดตั้งสหพันธ์เซปักตะกร้อแห่งประเทศไทย.</t>
  </si>
  <si>
    <t>กีฬาเซปักตะกร้อเริ่มใช้ลูกตะกร้อพลาสติกแทนลูกหวายในปีใด?</t>
  </si>
  <si>
    <t>การใช้ลูกตะกร้อพลาสติกแทนลูกหวายเริ่มในปี 1980.</t>
  </si>
  <si>
    <t>ในประเทศอินโดนีเซีย เซปักตะกร้อถูกเรียกว่าอะไร?</t>
  </si>
  <si>
    <t>A) Sepak Bola; B) Sepak Raga; C) Sepak Takraw; D) Sepak Net</t>
  </si>
  <si>
    <t>B) Sepak Raga</t>
  </si>
  <si>
    <t>ในประเทศอินโดนีเซียเซปักตะกร้อเรียกว่า Sepak Raga.</t>
  </si>
  <si>
    <t>ในอดีต เซปักตะกร้อเคยถูกเล่นโดยมีอุปกรณ์เสริมอย่างไร?</t>
  </si>
  <si>
    <t>A) สวมรองเท้า; B) ใช้ตะกร้อไม้; C) ไม่มีอุปกรณ์พิเศษ; D) ใช้ตะกร้อโลหะ</t>
  </si>
  <si>
    <t>B) ใช้ตะกร้อไม้</t>
  </si>
  <si>
    <t>ในอดีตเซปักตะกร้อมักใช้ตะกร้อไม้ในการเล่น.</t>
  </si>
  <si>
    <t>ประเทศไหนที่เป็นแชมป์เซปักตะกร้อในซีเกมส์ล่าสุด?</t>
  </si>
  <si>
    <t>ประเทศไทยเป็นแชมป์เซปักตะกร้อในซีเกมส์ล่าสุด.</t>
  </si>
  <si>
    <t>การเล่นเซปักตะกร้อในอดีตมักเกิดขึ้นในช่วงไหน?</t>
  </si>
  <si>
    <t>A) หลังพระอาทิตย์ตกดิน; B) ตอนกลางวัน; C) ตอนกลางคืน; D) ในฤดูร้อน</t>
  </si>
  <si>
    <t>B) ตอนกลางวัน</t>
  </si>
  <si>
    <t>ในอดีตการเล่นเซปักตะกร้อมักเกิดขึ้นในช่วงกลางวัน.</t>
  </si>
  <si>
    <t>เซปักตะกร้อได้รับการยอมรับเป็นกีฬาการแข่งขันในระดับสากลครั้งแรกในปีใด?</t>
  </si>
  <si>
    <t>A) ค.ศ. 1965; B) ค.ศ. 1970; C) ค.ศ. 1980; D) ค.ศ. 1990</t>
  </si>
  <si>
    <t>เซปักตะกร้อได้รับการยอมรับเป็นกีฬาการแข่งขันในระดับสากลในปี 1965.</t>
  </si>
  <si>
    <t>กีฬาเซปักตะกร้อได้รับความนิยมมากที่สุดในประเทศใดในเอเชีย?</t>
  </si>
  <si>
    <t>A) มาเลเซีย; B) ไทย; C) อินโดนีเซีย; D) ฟิลิปปินส์</t>
  </si>
  <si>
    <t>ประเทศไทยเป็นประเทศที่มีความนิยมในการเล่นเซปักตะกร้อมากที่สุด.</t>
  </si>
  <si>
    <t>การจัดการแข่งขันเซปักตะกร้อระดับโลกเริ่มต้นที่ไหน?</t>
  </si>
  <si>
    <t>การจัดการแข่งขันเซปักตะกร้อระดับโลกเริ่มต้นในมาเลเซีย.</t>
  </si>
  <si>
    <t>เมื่อใดเซปักตะกร้อกลายเป็นกีฬาประเภททีม?</t>
  </si>
  <si>
    <t>A) ค.ศ. 1950; B) ค.ศ. 1960; C) ค.ศ. 1970; D) ค.ศ. 1980</t>
  </si>
  <si>
    <t>C) ค.ศ. 1970</t>
  </si>
  <si>
    <t>เซปักตะกร้อกลายเป็นกีฬาประเภททีมในช่วงปี 1970.</t>
  </si>
  <si>
    <t>ในช่วงเริ่มต้นของเซปักตะกร้อ กีฬาเซปักตะกร้อมักมีรูปแบบการแข่งขันแบบใด?</t>
  </si>
  <si>
    <t>A) การแข่งขันในสนามแข่ง; B) การแข่งขันกันในสนามหญ้า; C) การแข่งขันในทุ่งนา; D) การแข่งขันในพื้นที่เปิด</t>
  </si>
  <si>
    <t>B) การแข่งขันในสนามหญ้า</t>
  </si>
  <si>
    <t>การแข่งขันในสนามหญ้าคือรูปแบบแรกของเซปักตะกร้อ.</t>
  </si>
  <si>
    <t>การพัฒนาเซปักตะกร้อในระดับโลกเกิดขึ้นจากการจัดการแข่งขันที่ใด?</t>
  </si>
  <si>
    <t>A) ค.ศ. 1970 ในมาเลเซีย; B) ค.ศ. 1980 ในไทย; C) ค.ศ. 1990 ในอินโดนีเซีย; D) ค.ศ. 2000 ในฟิลิปปินส์</t>
  </si>
  <si>
    <t>A) ค.ศ. 1970 ในมาเลเซีย</t>
  </si>
  <si>
    <t>การพัฒนาเซปักตะกร้อเริ่มต้นจากการจัดการแข่งขันในมาเลเซียในปี 1970.</t>
  </si>
  <si>
    <t>เซปักตะกร้อได้รับการยอมรับเป็นกีฬาของเอเชียนเกมส์ในปีใด?</t>
  </si>
  <si>
    <t>A) 1980; B) 1982; C) 1984; D) 1986</t>
  </si>
  <si>
    <t>B) 1982</t>
  </si>
  <si>
    <t>เซปักตะกร้อได้รับการยอมรับเป็นกีฬาของเอเชียนเกมส์ในปี 1982.</t>
  </si>
  <si>
    <t>เซปักตะกร้อได้รับการยอมรับเป็นกีฬาประเภททีมในระดับสากลครั้งแรกในปีใด?</t>
  </si>
  <si>
    <t>A) ค.ศ. 1970</t>
  </si>
  <si>
    <t>เซปักตะกร้อได้รับการยอมรับเป็นกีฬาประเภททีมในระดับสากลครั้งแรกในปี 1970.</t>
  </si>
  <si>
    <t>กีฬาเซปักตะกร้อเริ่มมีการพัฒนาในประเทศไทยเมื่อใด?</t>
  </si>
  <si>
    <t>กีฬาเซปักตะกร้อเริ่มมีการพัฒนาในประเทศไทยในช่วงปี 1970.</t>
  </si>
  <si>
    <t>การเล่นเซปักตะกร้อในสมัยก่อนนั้นเล่นในสนามลักษณะใด?</t>
  </si>
  <si>
    <t>A) สนามหญ้า; B) สนามปูน; C) สนามทราย; D) สนามดิน</t>
  </si>
  <si>
    <t>A) สนามหญ้า</t>
  </si>
  <si>
    <t>ในสมัยก่อนการเล่นเซปักตะกร้อมักเล่นในสนามหญ้า.</t>
  </si>
  <si>
    <t>เซปักตะกร้อถูกพัฒนาในประเทศใดให้เป็นกีฬามาตรฐาน?</t>
  </si>
  <si>
    <t>A) มาเลเซีย; B) ไทย; C) อินโดนีเซีย; D) สิงคโปร์</t>
  </si>
  <si>
    <t>ไทยเป็นประเทศที่พัฒนาเซปักตะกร้อให้เป็นกีฬามาตรฐาน.</t>
  </si>
  <si>
    <t>การแข่งขันเซปักตะกร้อในระดับนานาชาติเริ่มขึ้นในช่วงใด?</t>
  </si>
  <si>
    <t>A) ปี 1960</t>
  </si>
  <si>
    <t>การแข่งขันเซปักตะกร้อในระดับนานาชาติเริ่มขึ้นในปี 1960.</t>
  </si>
  <si>
    <t>การพัฒนาเซปักตะกร้อในประเทศอินโดนีเซียเริ่มต้นในปีใด?</t>
  </si>
  <si>
    <t>การพัฒนาเซปักตะกร้อในประเทศอินโดนีเซียเริ่มต้นในปี 1970.</t>
  </si>
  <si>
    <t>การแข่งขันเซปักตะกร้อในโอลิมปิกเกิดขึ้นในปีใด?</t>
  </si>
  <si>
    <t>A) ค.ศ. 1960; B) ค.ศ. 1976; C) ค.ศ. 1984; D) ไม่มีการจัด</t>
  </si>
  <si>
    <t>เซปักตะกร้อยังไม่เคยจัดการแข่งขันในโอลิมปิก.</t>
  </si>
  <si>
    <t>กีฬาเซปักตะกร้อได้มีการจัดการแข่งขันในเอเชียนเกมส์ครั้งแรกในปีใด?</t>
  </si>
  <si>
    <t>A) 1982; B) 1986; C) 1990; D) 1994</t>
  </si>
  <si>
    <t>A) 1982</t>
  </si>
  <si>
    <t>เซปักตะกร้อได้รับการจัดการแข่งขันในเอเชียนเกมส์ครั้งแรกในปี 1982.</t>
  </si>
  <si>
    <t>คำว่า "ตะกร้อ" ในชื่อกีฬาเซปักตะกร้อมาจากคำใด?</t>
  </si>
  <si>
    <t>A) ภาษาไทย; B) ภาษามาเลย์; C) ภาษาอินโดนีเซีย; D) ภาษาจีน</t>
  </si>
  <si>
    <t>คำว่า "ตะกร้อ" มาจากภาษามาเลย์หมายถึง "ลูกบอล".</t>
  </si>
  <si>
    <t>การแข่งขันเซปักตะกร้อในซีเกมส์เริ่มจัดในปีใด?</t>
  </si>
  <si>
    <t>A) 1965; B) 1970; C) 1980; D) 1990</t>
  </si>
  <si>
    <t>A) 1965</t>
  </si>
  <si>
    <t>การแข่งขันเซปักตะกร้อในซีเกมส์เริ่มจัดในปี 1965.</t>
  </si>
  <si>
    <t>เซปักตะกร้อได้รับการยอมรับเป็นกีฬาทางการในระดับโลกในปีใด?</t>
  </si>
  <si>
    <t>เซปักตะกร้อได้รับการยอมรับเป็นกีฬาทางการในระดับโลกในปี 1965.</t>
  </si>
  <si>
    <t>การพัฒนาเซปักตะกร้อในประเทศมาเลเซียเริ่มต้นในช่วงปีใด?</t>
  </si>
  <si>
    <t>การพัฒนาเซปักตะกร้อในมาเลเซียเริ่มต้นในช่วงปี 1970.</t>
  </si>
  <si>
    <t>เซปักตะกร้อเริ่มได้รับการยอมรับในระดับนานาชาติในปีใด?</t>
  </si>
  <si>
    <t>เซปักตะกร้อเริ่มได้รับการยอมรับในระดับนานาชาติในปี 1960.</t>
  </si>
  <si>
    <t>เซปักตะกร้อได้รับการพัฒนาในเอเชียตะวันออกเฉียงใต้ในช่วงปีใด?</t>
  </si>
  <si>
    <t>A) ค.ศ. 1960-1970; B) ค.ศ. 1970-1980; C) ค.ศ. 1980-1990; D) ค.ศ. 1990-2000</t>
  </si>
  <si>
    <t>A) ค.ศ. 1960-1970</t>
  </si>
  <si>
    <t>เซปักตะกร้อได้รับการพัฒนาในเอเชียตะวันออกเฉียงใต้ในช่วงปี 1960-1970.</t>
  </si>
  <si>
    <t>เซปักตะกร้อเริ่มได้รับความนิยมในประเทศไทยเมื่อไหร่?</t>
  </si>
  <si>
    <t>เซปักตะกร้อเริ่มได้รับความนิยมในประเทศไทยในช่วงปี 1960.</t>
  </si>
  <si>
    <t>เซปักตะกร้อในอดีตเคยมีการเล่นในลักษณะใด?</t>
  </si>
  <si>
    <t>A) การเล่นในสนามหญ้า; B) การเล่นในสนามดิน; C) การเล่นในสนามปูน; D) การเล่นในสนามทราย</t>
  </si>
  <si>
    <t>A) การเล่นในสนามหญ้า</t>
  </si>
  <si>
    <t>ในอดีตเซปักตะกร้อมักเล่นในสนามหญ้า.</t>
  </si>
  <si>
    <t>เซปักตะกร้อได้รับการสนับสนุนจากองค์กรใดในปี 1970?</t>
  </si>
  <si>
    <t>B) สหพันธ์เซปักตะกร้อนานาชาติ (ISTAF)</t>
  </si>
  <si>
    <t>สหพันธ์เซปักตะกร้อนานาชาติ (ISTAF) เริ่มสนับสนุนการพัฒนาเซปักตะกร้อในปี 1970.</t>
  </si>
  <si>
    <t>การใช้ตะกร้อหวายในการเล่นเซปักตะกร้อเริ่มเปลี่ยนมาใช้วัสดุใดแทนในปี 1980?</t>
  </si>
  <si>
    <t>A) ตะกร้อพลาสติก; B) ตะกร้อไม้; C) ตะกร้อโลหะ; D) ตะกร้อจากวัสดุธรรมชาติ</t>
  </si>
  <si>
    <t>A) ตะกร้อพลาสติก</t>
  </si>
  <si>
    <t>การใช้ตะกร้อพลาสติกแทนตะกร้อหวายเริ่มต้นในปี 1980.</t>
  </si>
  <si>
    <t>การแข่งขันเซปักตะกร้อในระดับนานาชาติมีการจัดขึ้นที่ไหนในปี 1990?</t>
  </si>
  <si>
    <t>การแข่งขันเซปักตะกร้อในระดับนานาชาติจัดขึ้นที่มาเลเซียในปี 1990.</t>
  </si>
  <si>
    <t>ประเทศใดเป็นประเทศที่ได้เหรียญทองในเซปักตะกร้อในเอเชียนเกมส์ปี 1982?</t>
  </si>
  <si>
    <t>ประเทศไทยได้เหรียญทองในเซปักตะกร้อในเอเชียนเกมส์ปี 1982.</t>
  </si>
  <si>
    <t>การแข่งขันเซปักตะกร้อในเอเชียนเกมส์จัดขึ้นที่ไหนในปี 1990?</t>
  </si>
  <si>
    <t>A) กรุงเทพฯไทย; B) โซล เกาหลีใต้; C) กรุงจาการ์ตาอินโดนีเซีย; D) มะนิลา ฟิลิปปินส์</t>
  </si>
  <si>
    <t>A) กรุงเทพฯ ไทย</t>
  </si>
  <si>
    <t xml:space="preserve"> การแข่งขันเซปักตะกร้อในเอเชียนเกมส์จัดขึ้นที่กรุงเทพฯไทยในปี 1990.</t>
  </si>
  <si>
    <t xml:space="preserve"> </t>
  </si>
  <si>
    <t>การแข่งขันเซปักตะกร้อในซีเกมส์ครั้งแรกจัดขึ้นในปีใด?</t>
  </si>
  <si>
    <t>A) ค.ศ. 1965; B) ค.ศ. 1975; C) ค.ศ. 1985; D) ค.ศ. 1995</t>
  </si>
  <si>
    <t>เซปักตะกร้อกลายเป็นกีฬาที่ได้รับการยอมรับในระดับนานาชาติในปีใด?</t>
  </si>
  <si>
    <t xml:space="preserve"> เซปักตะกร้อกลายเป็นกีฬาที่ได้รับการยอมรับในระดับนานาชาติในปี 1970.</t>
  </si>
  <si>
    <t>เซปักตะกร้อเริ่มพัฒนาในประเทศใดก่อนประเทศอื่น?</t>
  </si>
  <si>
    <t xml:space="preserve"> เซปักตะกร้อเริ่มพัฒนาในมาเลเซียก่อนที่ประเทศอื่นจะพัฒนา.</t>
  </si>
  <si>
    <t>การจัดการแข่งขันเซปักตะกร้อระดับโลกในปี 1970 จัดขึ้นที่ใด?</t>
  </si>
  <si>
    <t xml:space="preserve"> การจัดการแข่งขันเซปักตะกร้อระดับโลกในปี 1970 จัดขึ้นที่มาเลเซีย.</t>
  </si>
  <si>
    <t>กีฬาเซปักตะกร้อได้รับการรับรองจากสหพันธ์กีฬาเอเชียเมื่อใด?</t>
  </si>
  <si>
    <t xml:space="preserve"> กีฬาเซปักตะกร้อได้รับการรับรองจากสหพันธ์กีฬาเอเชียในปี 1970.</t>
  </si>
  <si>
    <t>ประเทศใดเป็นประเทศที่จัดการแข่งขันเซปักตะกร้อระดับนานาชาติครั้งแรก?</t>
  </si>
  <si>
    <t xml:space="preserve"> มาเลเซียเป็นประเทศที่จัดการแข่งขันเซปักตะกร้อระดับนานาชาติครั้งแรก.</t>
  </si>
  <si>
    <t>เซปักตะกร้อได้รับการยอมรับเป็นกีฬาทางการในประเทศไทยในปีใด?</t>
  </si>
  <si>
    <t>B) 1960</t>
  </si>
  <si>
    <t xml:space="preserve"> เซปักตะกร้อได้รับการยอมรับเป็นกีฬาทางการในประเทศไทยในปี 1960.</t>
  </si>
  <si>
    <t>การแข่งขันเซปักตะกร้อในเอเชียนเกมส์ครั้งแรกเกิดขึ้นในปีใด?</t>
  </si>
  <si>
    <t xml:space="preserve"> การแข่งขันเซปักตะกร้อในเอเชียนเกมส์ครั้งแรกเกิดขึ้นในปี 1982.</t>
  </si>
  <si>
    <t>ประเทศใดเป็นเจ้าภาพจัดการแข่งขันเซปักตะกร้อระดับโลกในปี 1980?</t>
  </si>
  <si>
    <t xml:space="preserve"> ประเทศไทยเป็นเจ้าภาพจัดการแข่งขันเซปักตะกร้อระดับโลกในปี 1980.</t>
  </si>
  <si>
    <t>การแข่งขันเซปักตะกร้อในซีเกมส์ครั้งที่สองจัดขึ้นในปีใด?</t>
  </si>
  <si>
    <t>A) 1970; B) 1975; C) 1980; D) 1985</t>
  </si>
  <si>
    <t>B) 1975</t>
  </si>
  <si>
    <t xml:space="preserve"> การแข่งขันเซปักตะกร้อในซีเกมส์ครั้งที่สองจัดขึ้นในปี 1975.</t>
  </si>
  <si>
    <t xml:space="preserve"> เซปักตะกร้อได้รับการยอมรับเป็นกีฬาของเอเชียนเกมส์ในปี 1982.</t>
  </si>
  <si>
    <t>การแข่งขันเซปักตะกร้อในระดับโลกครั้งแรกจัดขึ้นในปีใด?</t>
  </si>
  <si>
    <t>A) 1970</t>
  </si>
  <si>
    <t xml:space="preserve"> การแข่งขันเซปักตะกร้อในระดับโลกครั้งแรกจัดขึ้นในปี 1970.</t>
  </si>
  <si>
    <t>เซปักตะกร้อในประเทศไทยมีการพัฒนาโดยผู้ใด?</t>
  </si>
  <si>
    <t>A) สมาคมกีฬาเซปักตะกร้อแห่งประเทศไทย; B) สหพันธ์กีฬาเอเชีย; C) สมาคมฟุตบอลแห่งประเทศไทย; D) สหพันธ์เซปักตะกร้อนานาชาติ</t>
  </si>
  <si>
    <t>A) สมาคมกีฬาเซปักตะกร้อแห่งประเทศไทย</t>
  </si>
  <si>
    <t xml:space="preserve"> สมาคมกีฬาเซปักตะกร้อแห่งประเทศไทยมีบทบาทสำคัญในการพัฒนาเซปักตะกร้อในประเทศไทย.</t>
  </si>
  <si>
    <t>A) ไม่มีการจัดการแข่งขันในโอลิมปิก; B) 1984; C) 1992; D) 2000</t>
  </si>
  <si>
    <t>A) ไม่มีการจัดการแข่งขันในโอลิมปิก</t>
  </si>
  <si>
    <t xml:space="preserve"> เซปักตะกร้อยังไม่เคยจัดการแข่งขันในโอลิมปิก.</t>
  </si>
  <si>
    <t>การใช้ตะกร้อที่ทำจากหวายเริ่มต้นในปีใด?</t>
  </si>
  <si>
    <t xml:space="preserve"> การใช้ตะกร้อที่ทำจากหวายเริ่มต้นในปี 1960.</t>
  </si>
  <si>
    <t>การใช้ตะกร้อพลาสติกในการแข่งขันเริ่มต้นในปีใด?</t>
  </si>
  <si>
    <t xml:space="preserve"> การใช้ตะกร้อพลาสติกในการแข่งขันเริ่มต้นในปี 1980.</t>
  </si>
  <si>
    <t>เซปักตะกร้อได้รับการยอมรับในระดับสากลเมื่อไหร่?</t>
  </si>
  <si>
    <t xml:space="preserve"> เซปักตะกร้อได้รับการยอมรับในระดับสากลในปี 1970.</t>
  </si>
  <si>
    <t>การแข่งขันเซปักตะกร้อในซีเกมส์เริ่มจัดครั้งแรกในปีใด?</t>
  </si>
  <si>
    <t xml:space="preserve"> การแข่งขันเซปักตะกร้อในซีเกมส์เริ่มจัดครั้งแรกในปี 1965.</t>
  </si>
  <si>
    <t>การเล่นเซปักตะกร้อในสนามหญ้าเริ่มเปลี่ยนไปเล่นในสนามปูนในช่วงปีใด?</t>
  </si>
  <si>
    <t xml:space="preserve"> การเล่นเซปักตะกร้อในสนามหญ้าเริ่มเปลี่ยนไปเล่นในสนามปูนในช่วงปี 1980.</t>
  </si>
  <si>
    <t>เซปักตะกร้อเป็นกีฬาที่ได้รับความนิยมในประเทศใด?</t>
  </si>
  <si>
    <t>A) ไทย; B) มาเลเซีย; C) อินโดนีเซีย; D) ทุกประเทศในเอเชียตะวันออกเฉียงใต้</t>
  </si>
  <si>
    <t>D) ทุกประเทศในเอเชียตะวันออกเฉียงใต้</t>
  </si>
  <si>
    <t xml:space="preserve"> เซปักตะกร้อได้รับความนิยมในทุกประเทศในเอเชียตะวันออกเฉียงใต้.</t>
  </si>
  <si>
    <t>ประเทศใดได้เป็นเจ้าภาพจัดการแข่งขันเซปักตะกร้อในปี 1990?</t>
  </si>
  <si>
    <t xml:space="preserve"> มาเลเซียเป็นเจ้าภาพจัดการแข่งขันเซปักตะกร้อในปี 1990.</t>
  </si>
  <si>
    <t>เซปักตะกร้อได้รับการจัดให้เป็นกีฬาของซีเกมส์ครั้งแรกในปีใด?</t>
  </si>
  <si>
    <t xml:space="preserve"> เซปักตะกร้อได้รับการจัดให้เป็นกีฬาของซีเกมส์ครั้งแรกในปี 1965.</t>
  </si>
  <si>
    <t>เซปักตะกร้อได้รับการยอมรับเป็นกีฬาประเภททีมในระดับสากลในปีใด?</t>
  </si>
  <si>
    <t xml:space="preserve"> เซปักตะกร้อได้รับการยอมรับเป็นกีฬาประเภททีมในระดับสากลในปี 1970.</t>
  </si>
  <si>
    <t>การพัฒนาเซปักตะกร้อในประเทศไทยเริ่มต้นในช่วงปีใด?</t>
  </si>
  <si>
    <t xml:space="preserve"> การพัฒนาเซปักตะกร้อในประเทศไทยเริ่มต้นในช่วงปี 1970.</t>
  </si>
  <si>
    <t>การแข่งขันเซปักตะกร้อในระดับนานาชาติได้ถูกจัดขึ้นที่ใดในปี 1985?</t>
  </si>
  <si>
    <t xml:space="preserve"> การแข่งขันเซปักตะกร้อในระดับนานาชาติได้ถูกจัดขึ้นที่มาเลเซียในปี 1985.</t>
  </si>
  <si>
    <t>เซปักตะกร้อในประเทศไทยได้รับความนิยมในช่วงใด?</t>
  </si>
  <si>
    <t xml:space="preserve"> เซปักตะกร้อได้รับความนิยมในประเทศไทยในช่วงปี 1960.</t>
  </si>
  <si>
    <t>กีฬาเซปักตะกร้อในประเทศไทยได้ถูกส่งเสริมโดยองค์กรใด?</t>
  </si>
  <si>
    <t>A) สหพันธ์กีฬาเซปักตะกร้อแห่งประเทศไทย; B) สหพันธ์ฟุตบอลแห่งประเทศไทย; C) สมาคมกีฬาแห่งประเทศไทย; D) สหพันธ์กีฬาเอเชีย</t>
  </si>
  <si>
    <t>A) สหพันธ์กีฬาเซปักตะกร้อแห่งประเทศไทย</t>
  </si>
  <si>
    <t xml:space="preserve"> สหพันธ์กีฬาเซปักตะกร้อแห่งประเทศไทยมีบทบาทสำคัญในการส่งเสริมกีฬาเซปักตะกร้อ.</t>
  </si>
  <si>
    <t>การจัดการแข่งขันเซปักตะกร้อในเอเชียนเกมส์ในปี 1982 เป็นการแข่งขันครั้งแรกหรือไม่?</t>
  </si>
  <si>
    <t>A) ใช่; B) ไม่ใช่</t>
  </si>
  <si>
    <t xml:space="preserve"> การจัดการแข่งขันเซปักตะกร้อในเอเชียนเกมส์ปี 1982 เป็นการแข่งขันครั้งแรก.</t>
  </si>
  <si>
    <t xml:space="preserve"> การพัฒนาเซปักตะกร้อในประเทศอินโดนีเซียเริ่มต้นในปี 1970.</t>
  </si>
  <si>
    <t>เซปักตะกร้อเริ่มเป็นกีฬาประจำชาติของประเทศใด?</t>
  </si>
  <si>
    <t xml:space="preserve"> เซปักตะกร้อเริ่มเป็นกีฬาประจำชาติของไทยในช่วงต้นทศวรรษ 1960.</t>
  </si>
  <si>
    <t>ในปี 1991 เซปักตะกร้อได้เข้าร่วมการแข่งขันในรายการใด?</t>
  </si>
  <si>
    <t>A) โอลิมปิกเกมส์; B) เอเชียนเกมส์; C) ซีเกมส์; D) มหกรรมกีฬาโลก</t>
  </si>
  <si>
    <t>B) เอเชียนเกมส์</t>
  </si>
  <si>
    <t xml:space="preserve"> เซปักตะกร้อได้เข้าร่วมการแข่งขันในเอเชียนเกมส์ปี 1991.</t>
  </si>
  <si>
    <t>การแข่งขันเซปักตะกร้อในซีเกมส์ครั้งที่ 10 จัดขึ้นที่ไหน?</t>
  </si>
  <si>
    <t>A) กรุงจาการ์ตา อินโดนีเซีย; B) กรุงมะนิลาฟิลิปปินส์; C) กรุงเทพฯ ไทย; D) สิงคโปร์</t>
  </si>
  <si>
    <t>A) กรุงจาการ์ตา</t>
  </si>
  <si>
    <t xml:space="preserve"> อินโดนีเซีย การแข่งขันเซปักตะกร้อในซีเกมส์ครั้งที่ 10 จัดขึ้นที่กรุงจาการ์ตา อินโดนีเซีย.</t>
  </si>
  <si>
    <t>การเปลี่ยนแปลงจากเซปักตะกร้อแบบดั้งเดิมมาเป็นเซปักตะกร้อสมัยใหม่เกิดขึ้นในช่วงปีใด?</t>
  </si>
  <si>
    <t xml:space="preserve"> การเปลี่ยนแปลงจากเซปักตะกร้อแบบดั้งเดิมมาเป็นเซปักตะกร้อสมัยใหม่เกิดขึ้นในปี 1960.</t>
  </si>
  <si>
    <t>เซปักตะกร้อได้รับการยอมรับเป็นกีฬาสากลในปีใด?</t>
  </si>
  <si>
    <t xml:space="preserve"> เซปักตะกร้อได้รับการยอมรับเป็นกีฬาสากลในปี 1970.</t>
  </si>
  <si>
    <t>การแข่งขันเซปักตะกร้อในมหกรรมกีฬาของเอเชียจัดขึ้นครั้งแรกในปีใด?</t>
  </si>
  <si>
    <t>A) 1982; B) 1990; C) 1994; D) 1986</t>
  </si>
  <si>
    <t xml:space="preserve"> การแข่งขันเซปักตะกร้อในมหกรรมกีฬาของเอเชียจัดขึ้นครั้งแรกในปี 1982.</t>
  </si>
  <si>
    <t>การแข่งขันเซปักตะกร้อในซีเกมส์ครั้งที่ 12 จัดขึ้นที่ไหน?</t>
  </si>
  <si>
    <t>A) มาเลเซีย; B) ไทย; C) ฟิลิปปินส์; D) สิงคโปร์</t>
  </si>
  <si>
    <t xml:space="preserve"> การแข่งขันเซปักตะกร้อในซีเกมส์ครั้งที่ 12 จัดขึ้นที่ไทย.</t>
  </si>
  <si>
    <t>เมื่อใดที่เซปักตะกร้อเริ่มกลายเป็นกีฬาที่ได้รับความนิยมในภูมิภาคเอเชียตะวันออกเฉียงใต้?</t>
  </si>
  <si>
    <t xml:space="preserve"> เซปักตะกร้อเริ่มกลายเป็นกีฬาที่ได้รับความนิยมในภูมิภาคเอเชียตะวันออกเฉียงใต้ในปี 1970.</t>
  </si>
  <si>
    <t>ประเทศใดเป็นประเทศแรกที่จัดการแข่งขันเซปักตะกร้อระดับนานาชาติ?</t>
  </si>
  <si>
    <t xml:space="preserve"> มาเลเซียเป็นประเทศแรกที่จัดการแข่งขันเซปักตะกร้อระดับนานาชาติ.</t>
  </si>
  <si>
    <t>เซปักตะกร้อได้รับการยอมรับจากสหพันธ์กีฬาเอเชียในปีใด?</t>
  </si>
  <si>
    <t>A) 1965; B) 1970; C) 1975; D) 1980</t>
  </si>
  <si>
    <t xml:space="preserve"> เซปักตะกร้อได้รับการยอมรับจากสหพันธ์กีฬาเอเชียในปี 1970.</t>
  </si>
  <si>
    <t>การแข่งขันเซปักตะกร้อระดับโลกครั้งแรกจัดขึ้นที่ใด?</t>
  </si>
  <si>
    <t xml:space="preserve"> การแข่งขันเซปักตะกร้อระดับโลกครั้งแรกจัดขึ้นที่มาเลเซีย.</t>
  </si>
  <si>
    <t>เซปักตะกร้อเริ่มต้นในประเทศใดก่อน?</t>
  </si>
  <si>
    <t xml:space="preserve"> เซปักตะกร้อเริ่มต้นในประเทศมาเลเซียก่อนที่จะมีการแพร่หลายไปทั่วภูมิภาคเอเชีย.</t>
  </si>
  <si>
    <t>กีฬาระดับโลกที่เกี่ยวข้องกับเซปักตะกร้อจัดขึ้นที่ไหนในปี 1986?</t>
  </si>
  <si>
    <t xml:space="preserve"> การแข่งขันเซปักตะกร้อระดับโลกในปี 1986 จัดขึ้นที่มาเลเซีย.</t>
  </si>
  <si>
    <t>การเปิดตัวการแข่งขันเซปักตะกร้อในซีเกมส์ครั้งแรกเกิดขึ้นในปีใด?</t>
  </si>
  <si>
    <t xml:space="preserve"> การเปิดตัวการแข่งขันเซปักตะกร้อในซีเกมส์ครั้งแรกเกิดขึ้นในปี 1965.</t>
  </si>
  <si>
    <t>เซปักตะกร้อได้รับการยอมรับเป็นกีฬาแข่งขันในระดับโลกในปีใด?</t>
  </si>
  <si>
    <t xml:space="preserve"> เซปักตะกร้อได้รับการยอมรับเป็นกีฬาแข่งขันในระดับโลกในปี 1970.</t>
  </si>
  <si>
    <t>การเปลี่ยนแปลงจากตะกร้อหวายไปเป็นตะกร้อพลาสติกเกิดขึ้นในปีใด?</t>
  </si>
  <si>
    <t xml:space="preserve"> การเปลี่ยนแปลงจากตะกร้อหวายไปเป็นตะกร้อพลาสติกเกิดขึ้นในปี 1980.</t>
  </si>
  <si>
    <t>เซปักตะกร้อเริ่มเป็นกีฬาในเอเชียนเกมส์ครั้งแรกในปีใด?</t>
  </si>
  <si>
    <t xml:space="preserve"> เซปักตะกร้อเริ่มเป็นกีฬาในเอเชียนเกมส์ครั้งแรกในปี 1982.</t>
  </si>
  <si>
    <t>การฝึกซ้อมเซปักตะกร้อในประเทศไทยเริ่มจัดตั้งขึ้นเมื่อใด?</t>
  </si>
  <si>
    <t xml:space="preserve"> การฝึกซ้อมเซปักตะกร้อในประเทศไทยเริ่มจัดตั้งขึ้นในปี 1960.</t>
  </si>
  <si>
    <t>เซปักตะกร้อได้รับการยอมรับจากโอลิมปิกในปีใด?</t>
  </si>
  <si>
    <t>A) 1980; B) 1990; C) 2000; D) ยังไม่ได้รับการยอมรับ</t>
  </si>
  <si>
    <t>D) ยังไม่ได้รับการยอมรับ</t>
  </si>
  <si>
    <t xml:space="preserve"> เซปักตะกร้อยังไม่ได้รับการยอมรับจากโอลิมปิก.</t>
  </si>
  <si>
    <t>การแข่งขันเซปักตะกร้อในระดับนานาชาติที่สำคัญที่สุดในปี 1995 จัดขึ้นที่ไหน?</t>
  </si>
  <si>
    <t>A) ไทย; B) สิงคโปร์; C) อินโดนีเซีย; D) มาเลเซีย</t>
  </si>
  <si>
    <t xml:space="preserve"> การแข่งขันเซปักตะกร้อในระดับนานาชาติที่สำคัญที่สุดในปี 1995 จัดขึ้นที่มาเลเซีย.</t>
  </si>
  <si>
    <t>การเปิดตัวการแข่งขันเซปักตะกร้อในระดับโลกเกิดขึ้นครั้งแรกที่ใด?</t>
  </si>
  <si>
    <t xml:space="preserve"> การเปิดตัวการแข่งขันเซปักตะกร้อในระดับโลกเกิดขึ้นครั้งแรกที่มาเลเซีย.</t>
  </si>
  <si>
    <t>เซปักตะกร้อได้รับการยอมรับเป็นกีฬาระดับสากลในเอเชียในปีใด?</t>
  </si>
  <si>
    <t xml:space="preserve"> เซปักตะกร้อได้รับการยอมรับเป็นกีฬาระดับสากลในเอเชียในปี 1970.</t>
  </si>
  <si>
    <t>เซปักตะกร้อเริ่มพัฒนาไปสู่กีฬาในระดับโลกในช่วงทศวรรษใด?</t>
  </si>
  <si>
    <t xml:space="preserve"> เซปักตะกร้อเริ่มพัฒนาไปสู่กีฬาในระดับโลกในช่วงทศวรรษ 1970.</t>
  </si>
  <si>
    <t>กีฬาเซปักตะกร้อได้รับการยอมรับจากสหพันธ์กีฬาโลกเมื่อใด?</t>
  </si>
  <si>
    <t xml:space="preserve"> เซปักตะกร้อได้รับการยอมรับจากสหพันธ์กีฬาโลกในปี 1990.</t>
  </si>
  <si>
    <t>การส่งเสริมเซปักตะกร้อในประเทศไทยมีบทบาทโดยใคร?</t>
  </si>
  <si>
    <t>A) กระทรวงกีฬา; B) สหพันธ์กีฬาเซปักตะกร้อแห่งประเทศไทย; C) สมาคมกีฬาแห่งประเทศไทย; D) สโมสรฟุตบอล</t>
  </si>
  <si>
    <t>เซปักตะกร้อเริ่มเป็นที่รู้จักในประเทศไหนก่อน?</t>
  </si>
  <si>
    <t xml:space="preserve"> เซปักตะกร้อเริ่มเป็นที่รู้จักในมาเลเซียก่อนที่จะขยายไปยังประเทศอื่นในเอเชีย.</t>
  </si>
  <si>
    <t>การแข่งขันเซปักตะกร้อในเอเชียนเกมส์ครั้งแรกจัดขึ้นที่เมืองใด?</t>
  </si>
  <si>
    <t>A) จาการ์ตา; B) กรุงเทพฯ; C) สิงคโปร์; D) โซล</t>
  </si>
  <si>
    <t>A) จาการ์ตา</t>
  </si>
  <si>
    <t xml:space="preserve"> การแข่งขันเซปักตะกร้อในเอเชียนเกมส์ครั้งแรกจัดขึ้นที่จาการ์ตาอินโดนีเซียในปี 1982.</t>
  </si>
  <si>
    <t>กีฬาเซปักตะกร้อได้รับการแนะนำให้เข้าร่วมซีเกมส์ครั้งแรกในปีใด?</t>
  </si>
  <si>
    <t>A) 1965; B) 1977; C) 1983; D) 1990</t>
  </si>
  <si>
    <t>B) 1977</t>
  </si>
  <si>
    <t xml:space="preserve"> กีฬาเซปักตะกร้อได้รับการแนะนำให้เข้าร่วมซีเกมส์ครั้งแรกในปี 1977.</t>
  </si>
  <si>
    <t>เซปักตะกร้อเริ่มมีการจัดการแข่งขันระดับนานาชาติครั้งแรกในปีใด?</t>
  </si>
  <si>
    <t xml:space="preserve"> เซปักตะกร้อเริ่มมีการจัดการแข่งขันระดับนานาชาติครั้งแรกในปี 1970.</t>
  </si>
  <si>
    <t>การเปลี่ยนแปลงกติกาการแข่งขันเซปักตะกร้อในระดับสากลเริ่มต้นในปีใด?</t>
  </si>
  <si>
    <t>A) 1975; B) 1980; C) 1990; D) 2000</t>
  </si>
  <si>
    <t xml:space="preserve"> การเปลี่ยนแปลงกติกาการแข่งขันเซปักตะกร้อในระดับสากลเริ่มต้นในปี 1980.</t>
  </si>
  <si>
    <t>การส่งเสริมเซปักตะกร้อในประเทศไทยเริ่มต้นในปีใด?</t>
  </si>
  <si>
    <t>A) 1960</t>
  </si>
  <si>
    <t xml:space="preserve"> การส่งเสริมเซปักตะกร้อในประเทศไทยเริ่มต้นในปี 1960.</t>
  </si>
  <si>
    <t>การแข่งขันเซปักตะกร้อในซีเกมส์ครั้งที่ 9 จัดขึ้นที่เมืองใด?</t>
  </si>
  <si>
    <t>A) มาเลเซีย; B) ฟิลิปปินส์; C) อินโดนีเซีย; D) สิงคโปร์</t>
  </si>
  <si>
    <t>B) ฟิลิปปินส์</t>
  </si>
  <si>
    <t xml:space="preserve"> การแข่งขันเซปักตะกร้อในซีเกมส์ครั้งที่ 9 จัดขึ้นที่ฟิลิปปินส์.</t>
  </si>
  <si>
    <t>เซปักตะกร้อได้รับการยอมรับจากสหพันธ์กีฬาโลกในปีใด?</t>
  </si>
  <si>
    <t>ในปีใดที่เซปักตะกร้อได้รับการยอมรับเป็นกีฬาในเอเชียนเกมส์?</t>
  </si>
  <si>
    <t>A) 1982; B) 1990; C) 1994; D) 2000</t>
  </si>
  <si>
    <t xml:space="preserve"> เซปักตะกร้อได้รับการยอมรับเป็นกีฬาในเอเชียนเกมส์ครั้งแรกในปี 1982.</t>
  </si>
  <si>
    <t>การแข่งขันเซปักตะกร้อในซีเกมส์ครั้งที่ 10 จัดขึ้นที่เมืองใด?</t>
  </si>
  <si>
    <t>A) กรุงจาการ์ตา; B) กรุงเทพฯ; C) สิงคโปร์; D) มาเลเซีย</t>
  </si>
  <si>
    <t xml:space="preserve"> การแข่งขันเซปักตะกร้อในซีเกมส์ครั้งที่ 10 จัดขึ้นที่กรุงจาการ์ตา อินโดนีเซีย.</t>
  </si>
  <si>
    <t>การแข่งขันเซปักตะกร้อในเอเชียนเกมส์ครั้งที่ 9 จัดขึ้นที่เมืองใด?</t>
  </si>
  <si>
    <t>A) บางกอก; B) ฮานอย; C) มะนิลา; D) โซล</t>
  </si>
  <si>
    <t>D) โซล</t>
  </si>
  <si>
    <t xml:space="preserve"> การแข่งขันเซปักตะกร้อในเอเชียนเกมส์ครั้งที่ 9 จัดขึ้นที่โซล เกาหลีใต้.</t>
  </si>
  <si>
    <t>การแข่งขันเซปักตะกร้อระดับโลกครั้งแรกจัดขึ้นที่ประเทศใด?</t>
  </si>
  <si>
    <t>เมื่อใดที่เซปักตะกร้อเริ่มเป็นที่นิยมในประเทศฟิลิปปินส์?</t>
  </si>
  <si>
    <t xml:space="preserve"> เซปักตะกร้อเริ่มเป็นที่นิยมในประเทศฟิลิปปินส์ในปี 1980.</t>
  </si>
  <si>
    <t>เซปักตะกร้อได้รับการยอมรับเป็นกีฬาในระดับสากลในปีใด?</t>
  </si>
  <si>
    <t xml:space="preserve"> เซปักตะกร้อได้รับการยอมรับเป็นกีฬาในระดับสากลในปี 1970.</t>
  </si>
  <si>
    <t>เซปักตะกร้อได้ถูกพัฒนาเป็นกีฬาระดับโลกในช่วงปีใด?</t>
  </si>
  <si>
    <t xml:space="preserve"> เซปักตะกร้อได้ถูกพัฒนาเป็นกีฬาระดับโลกในช่วงปี 1980.</t>
  </si>
  <si>
    <t>เซปักตะกร้อเริ่มจัดแข่งขันในซีเกมส์ครั้งแรกในปีใด?</t>
  </si>
  <si>
    <t xml:space="preserve"> เซปักตะกร้อเริ่มจัดแข่งขันในซีเกมส์ครั้งแรกในปี 1965.</t>
  </si>
  <si>
    <t>การพัฒนาเซปักตะกร้อในประเทศไทยเริ่มต้นในปีใด?</t>
  </si>
  <si>
    <t xml:space="preserve"> การพัฒนาเซปักตะกร้อในประเทศไทยเริ่มต้นในปี 1960.</t>
  </si>
  <si>
    <t>เซปักตะกร้อเริ่มได้รับความนิยมในประเทศมาเลเซียในปีใด?</t>
  </si>
  <si>
    <t xml:space="preserve"> เซปักตะกร้อเริ่มได้รับความนิยมในประเทศมาเลเซียในปี 1970.</t>
  </si>
  <si>
    <t>เซปักตะกร้อได้รับการยอมรับจากสหพันธ์กีฬาเอเชียเมื่อไหร่?</t>
  </si>
  <si>
    <t>การจัดการแข่งขันเซปักตะกร้อในระดับนานาชาติครั้งแรกจัดขึ้นในปีใด?</t>
  </si>
  <si>
    <t xml:space="preserve"> การจัดการแข่งขันเซปักตะกร้อในระดับนานาชาติครั้งแรกจัดขึ้นในปี 1970.</t>
  </si>
  <si>
    <t>การแข่งขันเซปักตะกร้อในซีเกมส์ครั้งที่ 7 จัดขึ้นที่เมืองใด?</t>
  </si>
  <si>
    <t>A) อินโดนีเซีย; B) มาเลเซีย; C) สิงคโปร์; D) ไทย</t>
  </si>
  <si>
    <t xml:space="preserve"> การแข่งขันเซปักตะกร้อในซีเกมส์ครั้งที่ 7 จัดขึ้นที่มาเลเซีย.</t>
  </si>
  <si>
    <t>การพัฒนาเซปักตะกร้อในประเทศไทยเริ่มต้นจากจังหวัดใด?</t>
  </si>
  <si>
    <t>A) กรุงเทพฯ; B) ภูเก็ต; C) เชียงใหม่; D) ขอนแก่น</t>
  </si>
  <si>
    <t>A) กรุงเทพฯ</t>
  </si>
  <si>
    <t xml:space="preserve"> การพัฒนาเซปักตะกร้อในประเทศไทยเริ่มต้นจากกรุงเทพฯ.</t>
  </si>
  <si>
    <t>A) 1990; B) 1980; C) 2000; D) ยังไม่ได้รับการยอมรับ</t>
  </si>
  <si>
    <t>เซปักตะกร้อเริ่มมีการจัดแข่งขันในประเทศไทยครั้งแรกในปีใด?</t>
  </si>
  <si>
    <t xml:space="preserve"> การแข่งขันเซปักตะกร้อครั้งแรกในประเทศไทยจัดขึ้นในปี 1960.</t>
  </si>
  <si>
    <t>การแข่งขันเซปักตะกร้อในเอเชียนเกมส์ครั้งที่ 11 จัดขึ้นที่เมืองใด?</t>
  </si>
  <si>
    <t>A) อินโดนีเซีย; B) มาเลเซีย; C) กวางโจว; D) บากู</t>
  </si>
  <si>
    <t xml:space="preserve"> การแข่งขันเซปักตะกร้อในเอเชียนเกมส์ครั้งที่ 11 จัดขึ้นที่อินโดนีเซีย.</t>
  </si>
  <si>
    <t>เซปักตะกร้อเป็นที่รู้จักในประเทศไทยตั้งแต่ปีใด?</t>
  </si>
  <si>
    <t xml:space="preserve"> เซปักตะกร้อเริ่มเป็นที่รู้จักในประเทศไทยในปี 1960.</t>
  </si>
  <si>
    <t>การแข่งขันเซปักตะกร้อในเอเชียนเกมส์ครั้งที่ 8 จัดขึ้นที่เมืองใด?</t>
  </si>
  <si>
    <t>A) โซล; B) ฮานอย; C) กรุงเทพฯ; D) เซี่ยงไฮ้</t>
  </si>
  <si>
    <t>C) กรุงเทพฯ</t>
  </si>
  <si>
    <t xml:space="preserve"> การแข่งขันเซปักตะกร้อในเอเชียนเกมส์ครั้งที่ 8 จัดขึ้นที่กรุงเทพฯ ไทย.</t>
  </si>
  <si>
    <t>การพัฒนาเซปักตะกร้อในประเทศมาเลเซียเริ่มต้นในปีใด?</t>
  </si>
  <si>
    <t xml:space="preserve"> การพัฒนาเซปักตะกร้อในประเทศมาเลเซียเริ่มต้นในปี 1970.</t>
  </si>
  <si>
    <t>เซปักตะกร้อในไทยได้รับความนิยมเพิ่มขึ้นในช่วงปีใด?</t>
  </si>
  <si>
    <t>A) 1960-1970; B) 1970-1980; C) 1980-1990; D) 1990-2000</t>
  </si>
  <si>
    <t>B) 1970-1980</t>
  </si>
  <si>
    <t xml:space="preserve"> ช่วงปี 1970-1980 เซปักตะกร้อได้รับความนิยมเพิ่มขึ้นในประเทศไทย.</t>
  </si>
  <si>
    <t>การแข่งขันเซปักตะกร้อในซีเกมส์ครั้งที่ 12 จัดขึ้นที่เมืองใด?</t>
  </si>
  <si>
    <t>A) มาเลเซีย; B) ฟิลิปปินส์; C) สิงคโปร์; D) อินโดนีเซีย</t>
  </si>
  <si>
    <t xml:space="preserve"> การแข่งขันเซปักตะกร้อในซีเกมส์ครั้งที่ 12 จัดขึ้นที่สิงคโปร์.</t>
  </si>
  <si>
    <t>เซปักตะกร้อได้รับการพัฒนาในประเทศอินโดนีเซียในช่วงปีใด?</t>
  </si>
  <si>
    <t xml:space="preserve"> เซปักตะกร้อได้รับการพัฒนาในประเทศอินโดนีเซียในช่วงปี 1970-1980.</t>
  </si>
  <si>
    <t>การแข่งขันเซปักตะกร้อในเอเชียนเกมส์ครั้งที่ 6 จัดขึ้นที่เมืองใด?</t>
  </si>
  <si>
    <t>A) โฮจิมินห์; B) กรุงเทพฯ; C) กรุงจาการ์ตา; D) โซล</t>
  </si>
  <si>
    <t xml:space="preserve"> การแข่งขันเซปักตะกร้อในเอเชียนเกมส์ครั้งที่ 6 จัดขึ้นที่โซล.</t>
  </si>
  <si>
    <t>เซปักตะกร้อได้รับการพัฒนาในประเทศไทยในปีใด?</t>
  </si>
  <si>
    <t>การแข่งขันเซปักตะกร้อในเอเชียนเกมส์ครั้งที่ 4 จัดขึ้นที่เมืองใด?</t>
  </si>
  <si>
    <t>A) กรุงเทพฯ; B) ไทเป; C) ฮานอย; D) โซล</t>
  </si>
  <si>
    <t>B) ไทเป</t>
  </si>
  <si>
    <t xml:space="preserve"> การแข่งขันเซปักตะกร้อในเอเชียนเกมส์ครั้งที่ 4 จัดขึ้นที่ไทเป.</t>
  </si>
  <si>
    <t>การก่อตั้งสหพันธ์กีฬาเซปักตะกร้อแห่งประเทศไทยเกิดขึ้นในปีใด?</t>
  </si>
  <si>
    <t xml:space="preserve"> การก่อตั้งสหพันธ์กีฬาเซปักตะกร้อแห่งประเทศไทยเกิดขึ้นในปี 1970.</t>
  </si>
  <si>
    <t>เซปักตะกร้อได้รับความนิยมในประเทศไทยตั้งแต่ปีใด?</t>
  </si>
  <si>
    <t xml:space="preserve"> เซปักตะกร้อเริ่มได้รับความนิยมในประเทศไทยในปี 1970.</t>
  </si>
  <si>
    <t>การแข่งขันเซปักตะกร้อในเอเชียนเกมส์ครั้งที่ 5 จัดขึ้นที่เมืองใด?</t>
  </si>
  <si>
    <t>A) มาเลเซีย; B) อินโดนีเซีย; C) บังกลาเทศ; D) อินเดีย</t>
  </si>
  <si>
    <t>B) อินโดนีเซีย</t>
  </si>
  <si>
    <t xml:space="preserve"> การแข่งขันเซปักตะกร้อในเอเชียนเกมส์ครั้งที่ 5 จัดขึ้นที่อินโดนีเซีย.</t>
  </si>
  <si>
    <t>การจัดการแข่งขันเซปักตะกร้อในระดับโลกครั้งแรกจัดขึ้นที่เมืองใด?</t>
  </si>
  <si>
    <t>A) มาเลเซีย; B) กรุงเทพฯ; C) อินโดนีเซีย; D) สิงคโปร์</t>
  </si>
  <si>
    <t>เซปักตะกร้อเป็นที่รู้จักในประเทศไทยในช่วงเวลาใด?</t>
  </si>
  <si>
    <t>A) ปี 1950; B) ปี 1960; C) ปี 1970; D) ปี 1980</t>
  </si>
  <si>
    <t>B) ปี 1960</t>
  </si>
  <si>
    <t xml:space="preserve"> เซปักตะกร้อเริ่มเป็นที่รู้จักในประเทศไทยในช่วงปี 1960.</t>
  </si>
  <si>
    <t>การแข่งขันเซปักตะกร้อในซีเกมส์ครั้งที่ 13 จัดขึ้นที่เมืองใด?</t>
  </si>
  <si>
    <t>A) กรุงเทพฯ; B) สิงคโปร์; C) ฮานอย; D) จาการ์ตา</t>
  </si>
  <si>
    <t xml:space="preserve"> การแข่งขันเซปักตะกร้อในซีเกมส์ครั้งที่ 13 จัดขึ้นที่กรุงเทพฯ.</t>
  </si>
  <si>
    <t>การพัฒนาเซปักตะกร้อในประเทศไทยมีการสนับสนุนจากใคร?</t>
  </si>
  <si>
    <t>A) กระทรวงการท่องเที่ยวและกีฬา; B) สหพันธ์กีฬาเซปักตะกร้อแห่งประเทศไทย; C) สมาคมกีฬาแห่งประเทศไทย; D) การกีฬาแห่งประเทศไทย</t>
  </si>
  <si>
    <t>B) สหพันธ์กีฬาเซปักตะกร้อแห่งประเทศไทย</t>
  </si>
  <si>
    <t xml:space="preserve"> สหพันธ์กีฬาเซปักตะกร้อแห่งประเทศไทยเป็นองค์กรหลักในการพัฒนาและส่งเสริมกีฬาเซปักตะกร้อ.</t>
  </si>
  <si>
    <t>เซปักตะกร้อเริ่มมีการแข่งขันในระดับนานาชาติครั้งแรกในปีใด?</t>
  </si>
  <si>
    <t xml:space="preserve"> การแข่งขันเซปักตะกร้อระดับนานาชาติครั้งแรกจัดขึ้นในปี 1970.</t>
  </si>
  <si>
    <t>การจัดตั้งสหพันธ์เซปักตะกร้อแห่งโลก (ISTAF) เกิดขึ้นในปีใด?</t>
  </si>
  <si>
    <t xml:space="preserve"> สหพันธ์เซปักตะกร้อแห่งโลก (ISTAF) ก่อตั้งขึ้นในปี 1990.</t>
  </si>
  <si>
    <t>มวยไทยเกิดขึ้นในสมัยใด?</t>
  </si>
  <si>
    <t>A) สมัยสุโขทัย, B) สมัยกรุงศรีอยุธยา, C) สมัยกรุงรัตนโกสินทร์, D) สมัยทวารวดี</t>
  </si>
  <si>
    <t>A) สมัยสุโขทัย</t>
  </si>
  <si>
    <t>มวยไทยเริ่มต้นในสมัยสุโขทัยและพัฒนาต่อเนื่องมา.</t>
  </si>
  <si>
    <t>มวยไทยมีชื่อเดิมว่าอะไร?</t>
  </si>
  <si>
    <t>A) ศิลปะการต่อสู้ไทย, B) มวยคาดเชือก, C) มวยม้า, D) มวยสากลไทย</t>
  </si>
  <si>
    <t>B) มวยคาดเชือก</t>
  </si>
  <si>
    <t>มวยไทยเดิมมีชื่อว่า 'มวยคาดเชือก' ที่ใช้การผูกเชือกในการต่อสู้.</t>
  </si>
  <si>
    <t>ใครเป็นผู้ก่อตั้งมวยไทยในยุคสมัยใหม่?</t>
  </si>
  <si>
    <t>A) พระยาพระเสด็จ, B) ท่านเจ้าคุณทหาร, C) สมเด็จพระนเรศวร, D) สมเด็จพระเจ้าอยู่หัวภูมิพลอดุลยเดช</t>
  </si>
  <si>
    <t>B) ท่านเจ้าคุณทหาร</t>
  </si>
  <si>
    <t>ท่านเจ้าคุณทหารมีบทบาทสำคัญในการพัฒนามวยไทย.</t>
  </si>
  <si>
    <t>การฝึกมวยไทยในสมัยก่อนเน้นที่ท่าใดมากที่สุด?</t>
  </si>
  <si>
    <t>A) ท่าหมัด; B) ท่าเข่า; C) ท่าศอก; D) ท่าเตะ</t>
  </si>
  <si>
    <t>B) ท่าเข่า</t>
  </si>
  <si>
    <t>ท่าเข่าเป็นหนึ่งในท่าที่สำคัญและใช้กันมากในมวยไทย.</t>
  </si>
  <si>
    <t>มวยไทยได้รับการยอมรับในระดับสากลครั้งแรกเมื่อใด?</t>
  </si>
  <si>
    <t>A) ในปี 1930; B) ในปี 1950; C) ในปี 1960; D) ในปี 1980</t>
  </si>
  <si>
    <t>B) ในปี 1950</t>
  </si>
  <si>
    <t>มวยไทยได้รับความนิยมในต่างประเทศในช่วงปี 1950.</t>
  </si>
  <si>
    <t>สนามมวยที่สำคัญที่สุดของมวยไทยตั้งอยู่ที่ไหน?</t>
  </si>
  <si>
    <t>A) สนามมวยราชดำเนิน; B) สนามมวยลุมพินี; C) สนามมวยเวทีไทย; D) สนามมวยสยาม</t>
  </si>
  <si>
    <t>A) สนามมวยราชดำเนิน</t>
  </si>
  <si>
    <t>สนามมวยราชดำเนินเป็นสนามที่มีชื่อเสียงที่สุดในการจัดการแข่งขันมวยไทย.</t>
  </si>
  <si>
    <t>ในสมัยก่อนมวยไทยใช้เชือกในการฝึกอย่างไร?</t>
  </si>
  <si>
    <t>A) ใช้เชือกผูกมือเพื่อการควบคุม; B) ใช้เชือกผูกขาเพื่อการป้องกัน; C) ใช้เชือกผูกร่างกายเพื่อความยืดหยุ่น; D) ใช้เชือกขึงเป็นรั้วในการแข่งขัน</t>
  </si>
  <si>
    <t>A) ใช้เชือกผูกมือเพื่อการควบคุม</t>
  </si>
  <si>
    <t>การใช้เชือกผูกมือช่วยในการควบคุมท่าทางในมวยไทย.</t>
  </si>
  <si>
    <t>สัญลักษณ์สำคัญที่ใช้ในการแข่งขันมวยไทยคืออะไร?</t>
  </si>
  <si>
    <t>A) ผ้าขาว; B) ผ้าคาดหัว; C) ผ้าคาดเชือก; D) ผ้าผูกเอว</t>
  </si>
  <si>
    <t>B) ผ้าคาดหัว</t>
  </si>
  <si>
    <t>ผ้าคาดหัวเป็นสัญลักษณ์ที่สำคัญของนักมวยไทย.</t>
  </si>
  <si>
    <t>มวยไทยมีการผสมผสานกับศิลปะการต่อสู้จากประเทศใด?</t>
  </si>
  <si>
    <t>A) จีน; B) ญี่ปุ่น; C) อินเดีย; D) มาเลเซีย</t>
  </si>
  <si>
    <t>C) อินเดีย</t>
  </si>
  <si>
    <t>มวยไทยมีการผสมผสานกับศิลปะการต่อสู้จากอินเดีย.</t>
  </si>
  <si>
    <t>คำว่า "มวยไทย" มีความหมายอย่างไร?</t>
  </si>
  <si>
    <t>A) การต่อสู้แบบดั้งเดิมของไทย; B) การต่อสู้โดยใช้เทคนิคเฉพาะ; C) การต่อสู้ที่ใช้ท่าหมัดเป็นหลัก; D) การต่อสู้แบบกลุ่ม</t>
  </si>
  <si>
    <t>A) การต่อสู้แบบดั้งเดิมของไทย</t>
  </si>
  <si>
    <t>มวยไทยหมายถึงการต่อสู้แบบดั้งเดิมของประเทศไทย.</t>
  </si>
  <si>
    <t>นักมวยไทยคนแรกที่ได้รับการยอมรับในระดับสากลคือใคร?</t>
  </si>
  <si>
    <t>A) จอมราชา; B) สมบัติ; C) พันธ์ทอง; D) เสี่ยงทาย</t>
  </si>
  <si>
    <t>C) พันธ์ทอง</t>
  </si>
  <si>
    <t>พันธ์ทองเป็นนักมวยไทยคนแรกที่ได้รับความนิยมในระดับสากล.</t>
  </si>
  <si>
    <t>มวยไทยถูกนำมาเป็นกีฬาในมหกรรมกีฬาเอเชียนเกมส์ครั้งแรกเมื่อปีใด?</t>
  </si>
  <si>
    <t>A) 1974; B) 1982; C) 1990; D) 2002</t>
  </si>
  <si>
    <t>มวยไทยเป็นหนึ่งในกีฬาในการแข่งขันเอเชียนเกมส์ครั้งที่ 9 ในปี 1982.</t>
  </si>
  <si>
    <t>มวยไทยมีการฝึกในรูปแบบใดบ้าง?</t>
  </si>
  <si>
    <t>A) ฝึกแบบเพื่อนช่วย; B) ฝึกแบบครูฝึก; C) ฝึกแบบตัวต่อตัว; D) ฝึกแบบกลุ่มใหญ่</t>
  </si>
  <si>
    <t>B) ฝึกแบบครูฝึก</t>
  </si>
  <si>
    <t>การฝึกมวยไทยมักเป็นการฝึกโดยการได้รับคำแนะนำจากครูฝึก.</t>
  </si>
  <si>
    <t>ในมวยไทย การเตะขามักใช้เพื่ออะไร?</t>
  </si>
  <si>
    <t>A) ทำให้คู่ต่อสู้เสียสมาธิ; B) ทำให้คู่ต่อสู้ไม่สามารถเคลื่อนไหวได้; C) ทำให้คู่ต่อสู้เจ็บและหมดแรง; D) ทั้งหมดที่กล่าวมา</t>
  </si>
  <si>
    <t>D) ทั้งหมดที่กล่าวมา</t>
  </si>
  <si>
    <t>การเตะขามีประโยชน์หลายอย่างทั้งการเสียสมาธิและทำให้คู่ต่อสู้หมดแรง.</t>
  </si>
  <si>
    <t>มวยไทยได้รับการจัดการแข่งขันในระดับอาชีพครั้งแรกในปีใด?</t>
  </si>
  <si>
    <t>A) 1950</t>
  </si>
  <si>
    <t>มวยไทยเริ่มต้นการจัดการแข่งขันในระดับอาชีพตั้งแต่ปี 1950.</t>
  </si>
  <si>
    <t>ในอดีตนักมวยไทยจะฝึกซ้อมในที่ใด?</t>
  </si>
  <si>
    <t>A) ห้องฝึกส่วนตัว; B) สนามฝึกในวัด; C) สนามกีฬาทั่วไป; D) สถานที่ท่องเที่ยว</t>
  </si>
  <si>
    <t>B) สนามฝึกในวัด</t>
  </si>
  <si>
    <t>การฝึกซ้อมมวยไทยในสมัยก่อนมักจะเป็นที่วัด.</t>
  </si>
  <si>
    <t>มวยไทยมีกี่ท่าหลัก?</t>
  </si>
  <si>
    <t>A) 5 ท่า; B) 8 ท่า; C) 10 ท่า; D) 12 ท่า</t>
  </si>
  <si>
    <t>B) 8 ท่า</t>
  </si>
  <si>
    <t>มวยไทยมี 8 ท่าหลัก ได้แก่ หมัด เท้า เข่าและการโจมตี.</t>
  </si>
  <si>
    <t>มวยไทยเป็นที่รู้จักในระดับโลกผ่านการแข่งขันในรายการใด?</t>
  </si>
  <si>
    <t>A) โอลิมปิก; B) ศึกมวยไทยชิงแชมป์โลก; C) เวิลด์มวยไทยคัพ; D) การแข่งขันชิงแชมป์เอเชีย</t>
  </si>
  <si>
    <t>B) ศึกมวยไทยชิงแชมป์โลก</t>
  </si>
  <si>
    <t>การแข่งขันชิงแชมป์โลกทำให้มวยไทยได้รับความนิยมในระดับสากล.</t>
  </si>
  <si>
    <t>มวยไทยมีการใช้ผ้าขนาดใหญ่ในการฝึกซ้อมหรือไม่?</t>
  </si>
  <si>
    <t>A) ใช่, เพื่อป้องกันการบาดเจ็บ; B) ไม่, การใช้ผ้าขนาดใหญ่ไม่จำเป็น; C) ใช้ในกรณีเฉพาะเท่านั้น; D) ไม่เคยใช้</t>
  </si>
  <si>
    <t>A) ใช่เพื่อป้องกันการบาดเจ็บ</t>
  </si>
  <si>
    <t>ผ้าขนาดใหญ่ถูกใช้เพื่อช่วยป้องกันการบาดเจ็บระหว่างการฝึก.</t>
  </si>
  <si>
    <t>ในสมัยก่อนการแข่งมวยไทยมักจะเกิดขึ้นที่ใด?</t>
  </si>
  <si>
    <t>A) ศาลากลาง; B) ตลาดน้ำ; C) เวทีวัด; D) สนามมวยในหมู่บ้าน</t>
  </si>
  <si>
    <t>C) เวทีวัด</t>
  </si>
  <si>
    <t>การแข่งมวยไทยในสมัยก่อนมักเกิดขึ้นที่เวทีของวัด.</t>
  </si>
  <si>
    <t>ศิลปะการป้องกันตัวที่ใช้ในมวยไทยคืออะไร?</t>
  </si>
  <si>
    <t>A) ป้องกันการโจมตีโดยใช้ท่าเตะ; B) การหลบและตี; C) การใช้อาวุธ; D) การใช้น้ำหนักตัว</t>
  </si>
  <si>
    <t>B) การหลบและตี</t>
  </si>
  <si>
    <t>การป้องกันตัวในมวยไทยมักเป็นการหลบและตีเพื่อหลีกเลี่ยงการโจมตีจากคู่แข่ง.</t>
  </si>
  <si>
    <t>การใช้เทคนิคต่างๆ ในมวยไทยมีจุดมุ่งหมายหลักอย่างไร?</t>
  </si>
  <si>
    <t>A) เพื่อให้คู่ต่อสู้รู้สึกกลัว; B) เพื่อควบคุมเกมและได้เปรียบ; C) เพื่อทำให้เกมสนุกสนาน; D) เพื่อทำให้การชกยาวนาน</t>
  </si>
  <si>
    <t>B) เพื่อควบคุมเกมและได้เปรียบ</t>
  </si>
  <si>
    <t>การใช้เทคนิคต่างๆ ช่วยให้ผู้ฝึกสามารถควบคุมเกมได้.</t>
  </si>
  <si>
    <t>มวยไทยมักใช้หมัดในลักษณะใด?</t>
  </si>
  <si>
    <t>A) หมัดตรง; B) หมัดขวาง; C) หมัดตีโต้; D) หมัดขึ้น</t>
  </si>
  <si>
    <t>A) หมัดตรง</t>
  </si>
  <si>
    <t>หมัดตรงเป็นหมัดที่ใช้กันบ่อยในการต่อสู้มวยไทย.</t>
  </si>
  <si>
    <t>ในยุคแรกๆ การแข่งขันมวยไทยจะมีการจัดในรูปแบบใด?</t>
  </si>
  <si>
    <t>A) การแข่งขันแบบตัวต่อตัวในกรงเหล็ก; B) การแข่งขันในรูปแบบกลุ่ม; C) การแข่งขันแบบตัวต่อตัวในสนามโล่ง; D) การแข่งขันในเวทีที่สร้างไว้เฉพาะ</t>
  </si>
  <si>
    <t>C) การแข่งขันแบบตัวต่อตัวในสนามโล่ง</t>
  </si>
  <si>
    <t>การแข่งขันมวยไทยในสมัยก่อนมักจะเกิดขึ้นในสนามโล่ง.</t>
  </si>
  <si>
    <t>มวยไทยได้รับความนิยมในประเทศใดมากที่สุดนอกประเทศไทย?</t>
  </si>
  <si>
    <t>A) สหรัฐอเมริกา; B) อังกฤษ; C) ญี่ปุ่น; D) ออสเตรเลีย</t>
  </si>
  <si>
    <t>A) สหรัฐอเมริกา</t>
  </si>
  <si>
    <t>มวยไทยได้รับความนิยมสูงในสหรัฐอเมริกา.</t>
  </si>
  <si>
    <t>การแข่งขันมวยไทยในอดีตจะมีผู้ชมที่ไหน?</t>
  </si>
  <si>
    <t>A) ในบ้าน; B) ในสนามแข่งม้า; C) ในสถานที่ที่มักมีการประกอบพิธี; D) ในตลาดสด</t>
  </si>
  <si>
    <t>C) ในสถานที่ที่มักมีการประกอบพิธี</t>
  </si>
  <si>
    <t>ผู้ชมมวยไทยในอดีตมักอยู่ในสถานที่ที่มักมีการประกอบพิธี.</t>
  </si>
  <si>
    <t>คำว่า "ไฟต์" ในมวยไทยหมายถึงอะไร?</t>
  </si>
  <si>
    <t>A) การฝึกซ้อม; B) การแข่งขัน; C) การพัก; D) การโจมตี</t>
  </si>
  <si>
    <t>B) การแข่งขัน</t>
  </si>
  <si>
    <t>คำว่า 'ไฟต์' ใช้เรียกการแข่งขันในมวยไทย.</t>
  </si>
  <si>
    <t>ในมวยไทย การใช้เข่าในการโจมตีคู่ต่อสู้เป็นการโจมตีในลักษณะใด?</t>
  </si>
  <si>
    <t>A) การโจมตีใกล้ตัว; B) การโจมตีระยะไกล; C) การโจมตีด้วยการหมุนตัว; D) การโจมตีจากด้านหลัง</t>
  </si>
  <si>
    <t>A) การโจมตีใกล้ตัว</t>
  </si>
  <si>
    <t>การใช้เข่าในการโจมตีมักเป็นการโจมตีในระยะใกล้.</t>
  </si>
  <si>
    <t>การฝึกมวยไทยมีบทบาทสำคัญในการพัฒนาทักษะอะไรบ้าง?</t>
  </si>
  <si>
    <t>A) ความแข็งแกร่งและความยืดหยุ่น; B) ความเร็วและความคล่องตัว; C) ความอดทนและทักษะการป้องกัน; D) ทั้งหมดที่กล่าวมา</t>
  </si>
  <si>
    <t>การฝึกมวยไทยช่วยพัฒนาความแข็งแกร่งความยืดหยุ่น ความเร็ว และทักษะการป้องกัน</t>
  </si>
  <si>
    <t>มวยไทยในยุคสมัยปัจจุบันมีการพัฒนาอย่างไร?</t>
  </si>
  <si>
    <t>A) ใช้เทคนิคใหม่ๆ ในการแข่งขัน; B) มีกติกาที่เข้มงวดมากขึ้น; C) กำหนดให้มีการฝึกอย่างเป็นระบบ; D) ทั้งหมดที่กล่าวมา</t>
  </si>
  <si>
    <t>มวยไทยในปัจจุบันมีการพัฒนาในหลายด้านเพื่อให้เป็นกีฬาอาชีพที่มีคุณภาพ.</t>
  </si>
  <si>
    <t>มวยไทยได้รับการยอมรับเป็นศิลปะการป้องกันตัวของชาติในปีใด?</t>
  </si>
  <si>
    <t>A) 1932; B) 1950; C) 1970; D) 1995</t>
  </si>
  <si>
    <t>B) 1950</t>
  </si>
  <si>
    <t>มวยไทยได้รับการยอมรับเป็นศิลปะการป้องกันตัวของชาติในปี 1950.</t>
  </si>
  <si>
    <t>ในช่วงใดที่มวยไทยเริ่มได้รับความนิยมในต่างประเทศ?</t>
  </si>
  <si>
    <t>A) สมัยกรุงศรีอยุธยา; B) ในช่วงปี 1970; C) ช่วงปี 1990; D) หลังจากปี 2000</t>
  </si>
  <si>
    <t>B) ในช่วงปี 1970</t>
  </si>
  <si>
    <t>มวยไทยเริ่มได้รับความนิยมในต่างประเทศในช่วงปี 1970.</t>
  </si>
  <si>
    <t>มวยไทยได้รับการยอมรับในกีฬาโอลิมปิกในปีใด?</t>
  </si>
  <si>
    <t>A) 1964; B) 1972; C) 1988; D) มวยไทยยังไม่ได้รับการยอมรับในโอลิมปิก</t>
  </si>
  <si>
    <t>D) มวยไทยยังไม่ได้รับการยอมรับในโอลิมปิก</t>
  </si>
  <si>
    <t>แม้มวยไทยได้รับความนิยมสูง แต่ยังไม่ได้รับการยอมรับในกีฬาโอลิมปิก.</t>
  </si>
  <si>
    <t>มวยไทยได้รับความนิยมในประเทศใดมากที่สุดในทวีปเอเชีย?</t>
  </si>
  <si>
    <t>A) อินโดนีเซีย; B) มาเลเซีย; C) ฟิลิปปินส์; D) ญี่ปุ่น</t>
  </si>
  <si>
    <t>D) ญี่ปุ่น</t>
  </si>
  <si>
    <t>ญี่ปุ่นเป็นหนึ่งในประเทศที่มวยไทยได้รับความนิยมมากที่สุดในทวีปเอเชีย.</t>
  </si>
  <si>
    <t>ใครคือผู้ก่อตั้งสนามมวยราชดำเนิน?</t>
  </si>
  <si>
    <t>A) สมเด็จพระเจ้าตากสิน; B) พระบาทสมเด็จพระมงกุฎเกล้าเจ้าอยู่หัว; C) พระเจ้าชัยยะวรมัน; D) พระเจ้าอยู่หัวภูมิพลอดุลยเดช</t>
  </si>
  <si>
    <t>B) พระบาทสมเด็จพระมงกุฎเกล้าเจ้าอยู่หัว</t>
  </si>
  <si>
    <t>พระบาทสมเด็จพระมงกุฎเกล้าเจ้าอยู่หัวเป็นผู้ก่อตั้งสนามมวยราชดำเนิน.</t>
  </si>
  <si>
    <t>ท่าเข่าในมวยไทยเริ่มใช้มาตั้งแต่สมัยใด?</t>
  </si>
  <si>
    <t>A) สมัยกรุงศรีอยุธยา; B) สมัยกรุงสุโขทัย; C) สมัยกรุงรัตนโกสินทร์; D) สมัยหลังสงครามโลกครั้งที่ 2</t>
  </si>
  <si>
    <t>ท่าเข่าในมวยไทยเริ่มใช้ตั้งแต่สมัยกรุงศรีอยุธยา.</t>
  </si>
  <si>
    <t>มวยไทยถูกจัดการแข่งขันในรายการไหนที่มีชื่อเสียงในต่างประเทศครั้งแรก?</t>
  </si>
  <si>
    <t>A) ศึกมวยไทยเวิลด์คัพ; B) การแข่งขันมวยไทยชิงแชมป์โลก; C) การแข่งขันมวยไทยระดับเอเชีย; D) การแข่งขันมวยไทยในประเทศฝรั่งเศส</t>
  </si>
  <si>
    <t>B) การแข่งขันมวยไทยชิงแชมป์โลก</t>
  </si>
  <si>
    <t>การแข่งขันมวยไทยชิงแชมป์โลกทำให้มวยไทยได้รับความนิยมทั่วโลก.</t>
  </si>
  <si>
    <t>การฝึกมวยไทยในอดีตมีจุดประสงค์หลักเพื่ออะไร?</t>
  </si>
  <si>
    <t>A) ป้องกันประเทศ; B) ความบันเทิง; C) การฝึกทหาร; D) การกีฬา</t>
  </si>
  <si>
    <t>A) ป้องกันประเทศ</t>
  </si>
  <si>
    <t>มวยไทยได้รับการฝึกฝนเพื่อเป็นเครื่องมือในการป้องกันประเทศในสมัยก่อน.</t>
  </si>
  <si>
    <t>นักมวยไทยคนแรกที่ได้รับการยอมรับในต่างประเทศคือใคร?</t>
  </si>
  <si>
    <t>A) สมบัติ เมทะนี; B) พันธ์ทอง; C) จอมราชา; D) เสี่ยงทาย</t>
  </si>
  <si>
    <t>B) พันธ์ทอง</t>
  </si>
  <si>
    <t>พันธ์ทองเป็นนักมวยไทยคนแรกที่ได้รับการยอมรับในต่างประเทศ.</t>
  </si>
  <si>
    <t>การใช้อาวุธในมวยไทยมีการพัฒนามาจากอะไร?</t>
  </si>
  <si>
    <t>A) การฝึกทหาร; B) การใช้ดาบและทวน; C) การต่อสู้มือเปล่า; D) การป้องกันตัวจากสัตว์</t>
  </si>
  <si>
    <t>C) การต่อสู้มือเปล่า</t>
  </si>
  <si>
    <t>มวยไทยเริ่มต้นจากการต่อสู้มือเปล่าและพัฒนาขึ้นเป็นการใช้อาวุธบางประเภท.</t>
  </si>
  <si>
    <t>มวยไทยได้เผยแพร่ไปยังประเทศในทวีปไหนมากที่สุด?</t>
  </si>
  <si>
    <t>A) อเมริกา; B) ยุโรป; C) เอเชีย; D) แอฟริกา</t>
  </si>
  <si>
    <t>C) เอเชีย</t>
  </si>
  <si>
    <t>มวยไทยได้รับการเผยแพร่และนิยมในทวีปเอเชีย.</t>
  </si>
  <si>
    <t>การใช้ศอกในมวยไทยมีการนำมาใช้ตั้งแต่สมัยใด?</t>
  </si>
  <si>
    <t>A) สมัยกรุงศรีอยุธยา; B) สมัยกรุงรัตนโกสินทร์; C) สมัยสุโขทัย; D) สมัยปัจจุบัน</t>
  </si>
  <si>
    <t>การใช้ศอกในการโจมตีเริ่มต้นในสมัยกรุงศรีอยุธยา.</t>
  </si>
  <si>
    <t>การฝึกมวยไทยในอดีตมักจะทำในที่ใด?</t>
  </si>
  <si>
    <t>A) สถานีตำรวจ; B) ในหมู่บ้าน; C) วัด; D) ในบ้าน</t>
  </si>
  <si>
    <t>C) วัด</t>
  </si>
  <si>
    <t>การฝึกมวยไทยในอดีตมักจะเกิดขึ้นในวัด.</t>
  </si>
  <si>
    <t>ศิลปะการต่อสู้ที่ผสมผสานกับมวยไทยคืออะไร?</t>
  </si>
  <si>
    <t>A) คาราเต้; B) เทควันโด; C) ซาแบท; D) พิณพาทย์</t>
  </si>
  <si>
    <t>C) ซาแบท</t>
  </si>
  <si>
    <t>มวยไทยมีการผสมผสานกับศิลปะการต่อสู้จากซาแบท.</t>
  </si>
  <si>
    <t>สัญลักษณ์ที่ใช้ในมวยไทยคืออะไร?</t>
  </si>
  <si>
    <t>A) ผ้าคาดหัว; B) เชือกคาดเอว; C) ผ้าคาดข้อมือ; D) ผ้าคาดขา</t>
  </si>
  <si>
    <t>A) ผ้าคาดหัว</t>
  </si>
  <si>
    <t>ผ้าคาดหัวเป็นสัญลักษณ์ของนักมวยไทยที่ใช้กันทั่วไป.</t>
  </si>
  <si>
    <t>การตั้งชื่อสนามมวยที่สำคัญในประเทศไทยจะมีคำว่าอะไรเป็นส่วนใหญ่?</t>
  </si>
  <si>
    <t>A) ทหาร; B) ราชดำเนิน; C) ศรีอยุธยา; D) มหาธีร์</t>
  </si>
  <si>
    <t>B) ราชดำเนิน</t>
  </si>
  <si>
    <t>ชื่อสนามมวยสำคัญมักมีคำว่า 'ราชดำเนิน' เช่น สนามมวยราชดำเนิน.</t>
  </si>
  <si>
    <t>มวยไทยเริ่มใช้เวทีมวยที่มีหลังคาครั้งแรกที่ไหน?</t>
  </si>
  <si>
    <t>A) สนามมวยราชดำเนิน; B) สนามมวยลุมพินี; C) สนามมวยเวทีใหญ่; D) สนามมวยจังหวัด</t>
  </si>
  <si>
    <t>สนามมวยราชดำเนินเป็นแห่งแรกที่ใช้เวทีมวยมีหลังคา.</t>
  </si>
  <si>
    <t>มวยไทยได้รับการยอมรับในระดับโลกผ่านการออกสื่อในรายการไหน?</t>
  </si>
  <si>
    <t>A) สารคดี; B) รายการกีฬา; C) ข่าวสาร; D) รายการท่องเที่ยว</t>
  </si>
  <si>
    <t>B) รายการกีฬา</t>
  </si>
  <si>
    <t>มวยไทยได้รับการเผยแพร่และยอมรับในระดับโลกผ่านการออกสื่อในรายการกีฬา.</t>
  </si>
  <si>
    <t>นักมวยไทยคนแรกที่ได้รับการฝึกโดยวิธีการใหม่ๆ ในยุคปัจจุบันคือใคร?</t>
  </si>
  <si>
    <t>A) ตะวัน; B) สมบัติ เมทะนี; C) พันธ์ทอง; D) จอมราชา</t>
  </si>
  <si>
    <t>A) ตะวัน</t>
  </si>
  <si>
    <t>ตะวันเป็นนักมวยไทยคนแรกที่ได้รับการฝึกโดยวิธีการใหม่ๆ ที่ทันสมัย.</t>
  </si>
  <si>
    <t>ศิลปะมวยไทยมีการสอนในระบบโรงเรียนหรือไม่?</t>
  </si>
  <si>
    <t>A) มี; B) ไม่มี</t>
  </si>
  <si>
    <t>ในปัจจุบันมีการสอนมวยไทยในโรงเรียนบางแห่ง.</t>
  </si>
  <si>
    <t>การต่อสู้ในมวยไทยมักจะมีการใช้มือหรือไม่?</t>
  </si>
  <si>
    <t>A) ใช้มือ; B) ไม่ใช้มือ</t>
  </si>
  <si>
    <t>A) ใช้มือ</t>
  </si>
  <si>
    <t>มือเป็นอาวุธหลักที่ใช้ในการโจมตีในมวยไทย.</t>
  </si>
  <si>
    <t>การใช้ท่าเตะในมวยไทยเริ่มใช้เมื่อใด?</t>
  </si>
  <si>
    <t>A) สมัยกรุงศรีอยุธยา; B) สมัยกรุงสุโขทัย; C) สมัยกรุงรัตนโกสินทร์; D) สมัยปัจจุบัน</t>
  </si>
  <si>
    <t>ท่าเตะเริ่มต้นใช้งานในสมัยกรุงศรีอยุธยา.</t>
  </si>
  <si>
    <t>ความสำคัญของศอกในมวยไทยคืออะไร?</t>
  </si>
  <si>
    <t>A) การป้องกันตัว; B) การโจมตีระยะใกล้; C) การเคลื่อนที่อย่างรวดเร็ว; D) การปิดจังหวะ</t>
  </si>
  <si>
    <t>B) การโจมตีระยะใกล้</t>
  </si>
  <si>
    <t>ศอกในมวยไทยใช้เพื่อการโจมตีในระยะใกล้.</t>
  </si>
  <si>
    <t>การเรียนรู้มวยไทยช่วยพัฒนาทักษะใดบ้าง?</t>
  </si>
  <si>
    <t>A) ความอดทน; B) ความเร็ว; C) ความคล่องแคล่ว; D) ทั้งหมดที่กล่าวมา</t>
  </si>
  <si>
    <t>การเรียนรู้มวยไทยช่วยพัฒนาความอดทน ความเร็ว และความคล่องแคล่ว.</t>
  </si>
  <si>
    <t>มวยไทยมีอาวุธหลักคืออะไร?</t>
  </si>
  <si>
    <t>A) หมัด; B) เข่า; C) ศอก; D) ทั้งหมดที่กล่าวมา</t>
  </si>
  <si>
    <t>มวยไทยมีการใช้ทั้งหมัด เข่า และศอกในการโจมตี.</t>
  </si>
  <si>
    <t>ในการแข่งขันมวยไทย จะมีการตัดสินผลอย่างไร?</t>
  </si>
  <si>
    <t>A) โดยคะแนน; B) โดยการน็อกเอาต์; C) โดยการตัดสินของผู้ฝึกสอน; D) โดยจำนวนการโจมตี</t>
  </si>
  <si>
    <t>A) โดยคะแนน</t>
  </si>
  <si>
    <t>การตัดสินผลการแข่งขันมวยไทยจะอาศัยคะแนนจากการโจมตีและการป้องกัน.</t>
  </si>
  <si>
    <t>การเรียนมวยไทยในปัจจุบันมักจะเกิดขึ้นที่ไหน?</t>
  </si>
  <si>
    <t>A) วัด; B) โรงเรียนกีฬา; C) สโมสรมวย; D) สถานีตำรวจ</t>
  </si>
  <si>
    <t>C) สโมสรมวย</t>
  </si>
  <si>
    <t>การเรียนมวยไทยในปัจจุบันมักจะเกิดขึ้นในสโมสรมวย.</t>
  </si>
  <si>
    <t>การต่อสู้ของมวยไทยมีลักษณะเด่นในเรื่องใด?</t>
  </si>
  <si>
    <t>A) การเคลื่อนที่เร็ว; B) การต่อสู้ระยะใกล้; C) การโจมตีด้วยเท้า; D) การใช้การป้องกันตัว</t>
  </si>
  <si>
    <t>B) การต่อสู้ระยะใกล้</t>
  </si>
  <si>
    <t>มวยไทยมีลักษณะเด่นในการต่อสู้ในระยะใกล้.</t>
  </si>
  <si>
    <t>มวยไทยถูกพัฒนาและปรับปรุงอย่างไรในปัจจุบัน?</t>
  </si>
  <si>
    <t>A) ใช้ท่าใหม่ๆ; B) มีการปรับปรุงกติกา; C) มีการสร้างสนามมวยใหม่; D) ทั้งหมดที่กล่าวมา</t>
  </si>
  <si>
    <t>มวยไทยในปัจจุบันได้รับการพัฒนาและปรับปรุงในหลายด้าน.</t>
  </si>
  <si>
    <t>นักมวยไทยคนไหนที่เป็นที่รู้จักมากที่สุดในโลก?</t>
  </si>
  <si>
    <t>A) สมบัติ เมทะนี; B) ตะวัน; C) บัวขาว; D) พันธ์ทอง</t>
  </si>
  <si>
    <t>C) บัวขาว</t>
  </si>
  <si>
    <t>บัวขาวเป็นนักมวยไทยที่เป็นที่รู้จักมากที่สุดในระดับโลก.</t>
  </si>
  <si>
    <t>การใช้หมัดในมวยไทยเริ่มต้นอย่างไร?</t>
  </si>
  <si>
    <t>A) เพื่อโจมตีระยะไกล; B) เพื่อป้องกันตัว; C) เพื่อโจมตีระยะใกล้; D) เพื่อเคลื่อนที่อย่างรวดเร็ว</t>
  </si>
  <si>
    <t>C) เพื่อโจมตีระยะใกล้</t>
  </si>
  <si>
    <t>หมัดในมวยไทยเริ่มต้นใช้เพื่อโจมตีในระยะใกล้.</t>
  </si>
  <si>
    <t>มวยไทยถูกพัฒนาและปรับปรุงจากศิลปะการต่อสู้แบบใด?</t>
  </si>
  <si>
    <t>A) คาราเต้; B) ซาแบท; C) จูจิตสู; D) จอมยุทธ์</t>
  </si>
  <si>
    <t>B) ซาแบท</t>
  </si>
  <si>
    <t>มวยไทยถูกพัฒนาและปรับปรุงจากศิลปะการต่อสู้แบบซาแบท.</t>
  </si>
  <si>
    <t>ในอดีตมวยไทยเคยเป็นส่วนหนึ่งของการฝึกทหารหรือไม่?</t>
  </si>
  <si>
    <t>มวยไทยเคยเป็นส่วนหนึ่งของการฝึกทหารในสมัยโบราณ.</t>
  </si>
  <si>
    <t>มวยไทยเริ่มเป็นที่นิยมในต่างประเทศหลังจากเกิดเหตุการณ์ใด?</t>
  </si>
  <si>
    <t>A) สงครามโลกครั้งที่ 2; B) การแข่งขันกีฬาเอเชียนเกมส์; C) การถ่ายทอดสดทางทีวี; D) การท่องเที่ยวในประเทศไทย</t>
  </si>
  <si>
    <t>C) การถ่ายทอดสดทางทีวี</t>
  </si>
  <si>
    <t>มวยไทยเริ่มเป็นที่นิยมในต่างประเทศหลังจากการถ่ายทอดสดทางทีวี.</t>
  </si>
  <si>
    <t>ในช่วงเวลาที่ผ่านมามวยไทยได้รับการพัฒนาไปในทิศทางใด?</t>
  </si>
  <si>
    <t>A) การใช้ท่าใหม่ๆ และกติกาที่ทันสมัย; B) การพัฒนาเป็นกีฬาโอลิมปิก; C) การปรับปรุงเครื่องแต่งกาย; D) การฝึกทหาร</t>
  </si>
  <si>
    <t>A) การใช้ท่าใหม่ๆ และกติกาที่ทันสมัย</t>
  </si>
  <si>
    <t>มวยไทยได้รับการพัฒนาโดยการใช้ท่าใหม่ๆ และกติกาที่ทันสมัย.</t>
  </si>
  <si>
    <t>มวยไทยได้เริ่มต้นเผยแพร่ไปในระดับโลกในช่วงใด?</t>
  </si>
  <si>
    <t>A) ช่วงทศวรรษ 1970; B) ช่วงทศวรรษ 1980; C) ช่วงทศวรรษ 1990; D) ช่วงทศวรรษ 2000</t>
  </si>
  <si>
    <t>A) ช่วงทศวรรษ 1970</t>
  </si>
  <si>
    <t>มวยไทยเริ่มเผยแพร่ไปในระดับโลกในช่วงทศวรรษ 1970.</t>
  </si>
  <si>
    <t>สนามมวยที่สำคัญที่สุดในประเทศไทยคือที่ไหน?</t>
  </si>
  <si>
    <t>A) สนามมวยเวทีใหญ่; B) สนามมวยราชดำเนิน; C) สนามมวยลุมพินี; D) สนามมวยเชียงใหม่</t>
  </si>
  <si>
    <t>B) สนามมวยราชดำเนิน</t>
  </si>
  <si>
    <t>สนามมวยราชดำเนินถือเป็นสนามมวยที่สำคัญที่สุดในประเทศไทย.</t>
  </si>
  <si>
    <t>การต่อสู้ของมวยไทยมีการพัฒนาหรือไม่ในช่วงทศวรรษ 2000?</t>
  </si>
  <si>
    <t>A) มีการพัฒนาในด้านกติกาและเทคนิค; B) ไม่มีการพัฒนา; C) การพัฒนาถูกจำกัด; D) การพัฒนาเกิดขึ้นหลังจากนั้น</t>
  </si>
  <si>
    <t>A) มีการพัฒนาในด้านกติกาและเทคนิค</t>
  </si>
  <si>
    <t>มวยไทยมีการพัฒนาในด้านกติกาและเทคนิคในช่วงทศวรรษ 2000.</t>
  </si>
  <si>
    <t>เมื่อใดที่มวยไทยได้รับการยอมรับเป็นกีฬาระดับนานาชาติ?</t>
  </si>
  <si>
    <t>A) หลังจากการแข่งขันกีฬาโอลิมปิกครั้งแรก; B) หลังจากการแข่งขันมวยโลก; C) หลังจากการถ่ายทอดสดการแข่งขันในต่างประเทศ; D) หลังจากการแข่งขันมวยไทยชิงแชมป์โลกครั้งแรก</t>
  </si>
  <si>
    <t>C) หลังจากการถ่ายทอดสดการแข่งขันในต่างประเทศ</t>
  </si>
  <si>
    <t>มวยไทยได้รับการยอมรับเป็นกีฬาระดับนานาชาติหลังจากการถ่ายทอดสดการแข่งขันในต่างประเทศ.</t>
  </si>
  <si>
    <t>มวยไทยเริ่มได้รับการยอมรับในประเทศไหนมากที่สุดในทวีปอเมริกา?</t>
  </si>
  <si>
    <t>A) สหรัฐอเมริกา; B) แคนาดา; C) เม็กซิโก; D) บราซิล</t>
  </si>
  <si>
    <t>มวยไทยได้รับการยอมรับมากที่สุดในสหรัฐอเมริกาในทวีปอเมริกา.</t>
  </si>
  <si>
    <t>อาวุธที่ใช้ในการต่อสู้ในมวยไทยมีอะไรบ้าง?</t>
  </si>
  <si>
    <t>A) หมัด, เข่า, ศอก, เท้า; B) ดาบ, กระบอง, ค้อน; C) เท้า, กระบอง, มีด; D) หมัด, ศอก, กระบอง</t>
  </si>
  <si>
    <t>A) หมัด, เข่า, ศอก, เท้า</t>
  </si>
  <si>
    <t>มวยไทยมีการใช้หมัด เข่า ศอกและเท้าในการต่อสู้.</t>
  </si>
  <si>
    <t>เมื่อใดที่มีการพัฒนาและปรับปรุงกติกามวยไทยครั้งใหญ่?</t>
  </si>
  <si>
    <t>กติกามวยไทยได้รับการพัฒนาและปรับปรุงในช่วงปี 1970.</t>
  </si>
  <si>
    <t>ในสมัยใดที่มวยไทยได้รับการเผยแพร่ในระดับนานาชาติ?</t>
  </si>
  <si>
    <t>A) สมัยกรุงศรีอยุธยา; B) สมัยกรุงรัตนโกสินทร์; C) สมัยหลังสงครามโลกครั้งที่ 2; D) สมัยปัจจุบัน</t>
  </si>
  <si>
    <t>C) สมัยหลังสงครามโลกครั้งที่ 2</t>
  </si>
  <si>
    <t>มวยไทยเริ่มเผยแพร่ในระดับนานาชาติหลังสงครามโลกครั้งที่ 2.</t>
  </si>
  <si>
    <t>บัวขาว บัญชาเมฆ มีความสำเร็จในการแข่งขันมวยไทยอย่างไร?</t>
  </si>
  <si>
    <t>A) ชนะการแข่งขันมวยโลกหลายครั้ง; B) เป็นแชมป์โลกในหลากหลายรุ่น; C) เป็นนักมวยที่ไม่มีพ่ายแพ้; D) เป็นนักมวยที่มีชื่อเสียงในประเทศไทยเท่านั้น</t>
  </si>
  <si>
    <t>B) เป็นแชมป์โลกในหลากหลายรุ่น</t>
  </si>
  <si>
    <t>บัวขาว บัญชาเมฆมีความสำเร็จในการแข่งขันมวยไทยโดยการเป็นแชมป์โลกในหลากหลายรุ่น.</t>
  </si>
  <si>
    <t>เหตุการณ์สำคัญที่ส่งเสริมการพัฒนามวยไทยในต่างประเทศคืออะไร?</t>
  </si>
  <si>
    <t>A) การแข่งขันในต่างประเทศ; B) การจัดการสอนมวยไทยในต่างประเทศ; C) การแสดงมวยไทยในงานเทศกาล; D) การพัฒนาเว็บไซต์มวยไทย</t>
  </si>
  <si>
    <t>A) การแข่งขันในต่างประเทศ</t>
  </si>
  <si>
    <t>การแข่งขันในต่างประเทศมีบทบาทสำคัญในการส่งเสริมการพัฒนามวยไทย.</t>
  </si>
  <si>
    <t>สนามมวยลุมพินีมีความสำคัญในประวัติศาสตร์ของมวยไทยอย่างไร?</t>
  </si>
  <si>
    <t>A) เป็นสนามแรกที่ใช้การแข่งขันระดับโลก; B) เป็นสนามที่มีการฝึกนักมวยชั้นนำ; C) เป็นสถานที่เกิดของมวยไทย; D) เป็นสนามที่ได้รับการยอมรับจากสหพันธ์มวยโลก</t>
  </si>
  <si>
    <t>B) เป็นสนามที่มีการฝึกนักมวยชั้นนำ</t>
  </si>
  <si>
    <t>สนามมวยลุมพินีมีความสำคัญในการฝึกนักมวยชั้นนำ.</t>
  </si>
  <si>
    <t>การนำมวยไทยไปเผยแพร่ในต่างประเทศเริ่มต้นจากการทำอะไร?</t>
  </si>
  <si>
    <t>A) จัดการฝึกมวยไทยในต่างประเทศ; B) ส่งนักมวยไทยไปแข่งขันในต่างประเทศ; C) การเผยแพร่ผ่านสื่อ; D) การจัดแสดงการต่อสู้ในต่างประเทศ</t>
  </si>
  <si>
    <t>B) ส่งนักมวยไทยไปแข่งขันในต่างประเทศ</t>
  </si>
  <si>
    <t>การเผยแพร่มวยไทยเริ่มต้นจากการส่งนักมวยไทยไปแข่งขันในต่างประเทศ.</t>
  </si>
  <si>
    <t>บัวขาว บัญชาเมฆ เกิดในจังหวัดไหนของประเทศไทย?</t>
  </si>
  <si>
    <t>A) กรุงเทพฯ; B) ชลบุรี; C) บุรีรัมย์; D) สุรินทร์</t>
  </si>
  <si>
    <t>C) บุรีรัมย์</t>
  </si>
  <si>
    <t>บัวขาว บัญชาเมฆเกิดในจังหวัดบุรีรัมย์.</t>
  </si>
  <si>
    <t>การฝึกมวยไทยมีรูปแบบที่เหมือนหรือแตกต่างจากการฝึกมวยอื่นๆ?</t>
  </si>
  <si>
    <t>A) แตกต่าง; B) เหมือน</t>
  </si>
  <si>
    <t>A) แตกต่าง</t>
  </si>
  <si>
    <t>การฝึกมวยไทยมีรูปแบบที่แตกต่างจากการฝึกมวยอื่นๆ โดยมีการใช้ท่าพิเศษ.</t>
  </si>
  <si>
    <t>มวยไทยเริ่มต้นจากการเป็นการต่อสู้ในรูปแบบใด?</t>
  </si>
  <si>
    <t>A) การต่อสู้ด้วยมือเปล่า; B) การต่อสู้ด้วยอาวุธ; C) การต่อสู้ในสนามกีฬา; D) การต่อสู้ในเวที</t>
  </si>
  <si>
    <t>A) การต่อสู้ด้วยมือเปล่า</t>
  </si>
  <si>
    <t>มวยไทยเริ่มต้นจากการเป็นการต่อสู้ด้วยมือเปล่า.</t>
  </si>
  <si>
    <t>ใครคือหนึ่งในนักมวยไทยที่มีชื่อเสียงที่สุดในระดับโลก?</t>
  </si>
  <si>
    <t>A) นีล เลเวน; B) บัวขาว บัญชาเมฆ; C) สมรักษ์ คำสิงห์; D) ทักษิณ ชินวัตร</t>
  </si>
  <si>
    <t>B) บัวขาว บัญชาเมฆ</t>
  </si>
  <si>
    <t>บัวขาว บัญชาเมฆเป็นนักมวยไทยที่มีชื่อเสียงในระดับโลก.</t>
  </si>
  <si>
    <t>มวยไทยใช้เวลานานเท่าไหร่ในการฝึกให้เก่ง?</t>
  </si>
  <si>
    <t>A) 6 เดือน; B) 1 ปี; C) 3-5 ปี; D) 10 ปี</t>
  </si>
  <si>
    <t>C) 3-5 ปี</t>
  </si>
  <si>
    <t>การฝึกมวยไทยต้องใช้เวลาหลายปีในการพัฒนาทักษะ.</t>
  </si>
  <si>
    <t>มวยไทยมีอิทธิพลจากวัฒนธรรมใดในประเทศไทย?</t>
  </si>
  <si>
    <t>A) วัฒนธรรมจีน; B) วัฒนธรรมมลายู; C) วัฒนธรรมอินเดีย; D) วัฒนธรรมไทย</t>
  </si>
  <si>
    <t>D) วัฒนธรรมไทย</t>
  </si>
  <si>
    <t>มวยไทยมีอิทธิพลจากวัฒนธรรมไทยที่มีความเฉพาะเจาะจงในทักษะการต่อสู้.</t>
  </si>
  <si>
    <t>การใช้เข่าในการต่อสู้ในมวยไทยมีจุดประสงค์อะไร?</t>
  </si>
  <si>
    <t>A) เพื่อทำให้คู่ต่อสู้ตกใจ; B) เพื่อโจมตีระยะใกล้; C) เพื่อป้องกันการโจมตี; D) เพื่อเคลื่อนที่ไปข้างหน้า</t>
  </si>
  <si>
    <t>B) เพื่อโจมตีระยะใกล้</t>
  </si>
  <si>
    <t>เข่ามักถูกใช้ในการโจมตีระยะใกล้เพื่อให้เกิดความได้เปรียบ.</t>
  </si>
  <si>
    <t>มวยไทยเริ่มได้รับการสนับสนุนจากภาครัฐในช่วงใด?</t>
  </si>
  <si>
    <t>A) สมัยรัชกาลที่ 5; B) สมัยรัชกาลที่ 7; C) สมัยรัชกาลที่ 9; D) สมัยรัชกาลที่ 10</t>
  </si>
  <si>
    <t>A) สมัยรัชกาลที่ 5</t>
  </si>
  <si>
    <t>มวยไทยได้รับการสนับสนุนจากภาครัฐในสมัยรัชกาลที่ 5.</t>
  </si>
  <si>
    <t>การฝึกมวยไทยจะเริ่มต้นจากการฝึกสิ่งใด?</t>
  </si>
  <si>
    <t>A) การเคลื่อนไหวขั้นพื้นฐาน; B) การฝึกกับคู่ต่อสู้; C) การเรียนรู้เทคนิคพิเศษ; D) การต่อสู้ในสนาม</t>
  </si>
  <si>
    <t>A) การเคลื่อนไหวขั้นพื้นฐาน</t>
  </si>
  <si>
    <t>การฝึกมวยไทยจะเริ่มต้นจากการฝึกสิ่งพื้นฐานอย่างการเคลื่อนไหว.</t>
  </si>
  <si>
    <t>ในช่วงเวลาที่ผ่านมา มีนักมวยไทยที่ได้รับการยกย่องเป็นฮีโร่ในวงการมวยไทยไหม?</t>
  </si>
  <si>
    <t>A) ใช่, เช่น บัวขาว บัญชาเมฆ; B) ไม่เคยมี; C) ใช่, แต่มีแค่บางคน; D) นักมวยไทยไม่เคยเป็นฮีโร่</t>
  </si>
  <si>
    <t>A) ใช่เช่น บัวขาว บัญชาเมฆ</t>
  </si>
  <si>
    <t>บัวขาว บัญชาเมฆได้รับการยกย่องเป็นฮีโร่ในวงการมวยไทย.</t>
  </si>
  <si>
    <t>การพัฒนากีฬามวยไทยในต่างประเทศเริ่มต้นจากประเทศไหน?</t>
  </si>
  <si>
    <t>A) สหรัฐอเมริกา; B) ออสเตรเลีย; C) อังกฤษ; D) จีน</t>
  </si>
  <si>
    <t>การพัฒนามวยไทยในต่างประเทศเริ่มต้นจากสหรัฐอเมริกา.</t>
  </si>
  <si>
    <t>นักมวยไทยคนใดที่ถือเป็นตำนานของวงการมวยไทย?</t>
  </si>
  <si>
    <t>A) สมรักษ์ คำสิงห์; B) บัวขาว บัญชาเมฆ; C) ทักษิณ ชินวัตร; D) สมบัติ เมทะนี</t>
  </si>
  <si>
    <t>บัวขาว บัญชาเมฆถือเป็นตำนานของวงการมวยไทย.</t>
  </si>
  <si>
    <t>มวยไทยเป็นส่วนหนึ่งของการฝึกอะไรในประวัติศาสตร์ไทย?</t>
  </si>
  <si>
    <t>A) ศิลปะการต่อสู้; B) การฝึกทหาร; C) การศึกษาประวัติศาสตร์; D) การฝึกจิตวิทยา</t>
  </si>
  <si>
    <t>มวยไทยเป็นส่วนหนึ่งของการฝึกทหารในประวัติศาสตร์ไทย.</t>
  </si>
  <si>
    <t>มวยไทยถูกปรับปรุงและพัฒนาเป็นกีฬาในรูปแบบที่แข่งขันกันอย่างเป็นทางการครั้งแรกในปีใด?</t>
  </si>
  <si>
    <t>มวยไทยได้รับการปรับปรุงและพัฒนาเป็นกีฬาแข่งขันอย่างเป็นทางการในปี 1920.</t>
  </si>
  <si>
    <t>สนามมวยที่มีชื่อเสียงที่สุดในประเทศไทยคือที่ไหน?</t>
  </si>
  <si>
    <t>A) สนามมวยราชดำเนิน; B) สนามมวยลุมพินี; C) สนามมวยใหญ่; D) สนามมวยมิตรภาพ</t>
  </si>
  <si>
    <t>สนามมวยราชดำเนินเป็นสนามมวยที่มีชื่อเสียงที่สุดในประเทศไทย.</t>
  </si>
  <si>
    <t>ใครคือผู้ที่มีส่วนสำคัญในการทำให้มวยไทยเป็นที่รู้จักในระดับนานาชาติ?</t>
  </si>
  <si>
    <t>A) สมรักษ์ คำสิงห์; B) บัวขาว บัญชาเมฆ; C) ทักษิณ ชินวัตร; D) บรรหาร ศิลปอาชา</t>
  </si>
  <si>
    <t>บัวขาว บัญชาเมฆมีส่วนสำคัญในการทำให้มวยไทยเป็นที่รู้จักในระดับนานาชาติ.</t>
  </si>
  <si>
    <t>มวยไทยเริ่มเป็นที่รู้จักในต่างประเทศในช่วงเวลาใด?</t>
  </si>
  <si>
    <t>A) ช่วงทศวรรษ 1950; B) ช่วงทศวรรษ 1960; C) ช่วงทศวรรษ 1970; D) ช่วงทศวรรษ 1980</t>
  </si>
  <si>
    <t>C) ช่วงทศวรรษ 1970</t>
  </si>
  <si>
    <t>มวยไทยเริ่มเป็นที่รู้จักในต่างประเทศในช่วงทศวรรษ 1970.</t>
  </si>
  <si>
    <t>นักมวยไทยคนใดที่เป็นแชมป์โลกในหลายรุ่น?</t>
  </si>
  <si>
    <t>A) สมรักษ์ คำสิงห์; B) บัวขาว บัญชาเมฆ; C) ปกรณ์ พงษ์พิบูลย์; D) ศิริชัย นามขำ</t>
  </si>
  <si>
    <t>บัวขาว บัญชาเมฆเป็นแชมป์โลกในหลายรุ่น.</t>
  </si>
  <si>
    <t>มวยไทยมีรากฐานมาจากการต่อสู้แบบใดในสมัยโบราณ?</t>
  </si>
  <si>
    <t>A) ซาแบท; B) พุทธศาสนา; C) ศิลปะการป้องกันตัว; D) การฝึกทหาร</t>
  </si>
  <si>
    <t>D) การฝึกทหาร</t>
  </si>
  <si>
    <t>มวยไทยมีรากฐานมาจากการฝึกทหารในสมัยโบราณ.</t>
  </si>
  <si>
    <t>เมื่อไรที่มวยไทยเริ่มเข้าสู่การแข่งขันระดับโลก?</t>
  </si>
  <si>
    <t>A) หลังสงครามโลกครั้งที่ 1; B) หลังสงครามโลกครั้งที่ 2; C) ช่วงทศวรรษ 1960; D) ช่วงทศวรรษ 1980</t>
  </si>
  <si>
    <t>B) หลังสงครามโลกครั้งที่ 2</t>
  </si>
  <si>
    <t>มวยไทยเริ่มเข้าสู่การแข่งขันระดับโลกหลังสงครามโลกครั้งที่ 2.</t>
  </si>
  <si>
    <t>การฝึกมวยไทยในอดีตจะเริ่มต้นจากการเรียนรู้อะไรเป็นอันดับแรก?</t>
  </si>
  <si>
    <t>A) การฝึกการยืน; B) การฝึกการเคลื่อนไหว; C) การฝึกการต่อสู้; D) การฝึกเทคนิคเฉพาะ</t>
  </si>
  <si>
    <t>A) การฝึกการยืน</t>
  </si>
  <si>
    <t>การฝึกมวยไทยในอดีตเริ่มต้นจากการเรียนรู้ท่าทางการยืน.</t>
  </si>
  <si>
    <t>มวยไทยเริ่มเข้าสู่การแข่งขันกีฬาโอลิมปิกหรือไม่?</t>
  </si>
  <si>
    <t>A) เริ่มเข้าสู่การคัดเลือกในปี 2000; B) มวยไทยยังไม่เคยเข้าสู่กีฬาโอลิมปิก; C) มวยไทยเคยเป็นกีฬาโอลิมปิก; D) มวยไทยเริ่มแข่งขันในปี 1980</t>
  </si>
  <si>
    <t>B) มวยไทยยังไม่เคยเข้าสู่กีฬาโอลิมปิก</t>
  </si>
  <si>
    <t>มวยไทยยังไม่ได้เข้าสู่กีฬาโอลิมปิก.</t>
  </si>
  <si>
    <t>บัวขาว บัญชาเมฆเริ่มต้นอาชีพนักมวยเมื่อใด?</t>
  </si>
  <si>
    <t>A) ตอนอายุ 10 ปี; B) ตอนอายุ 15 ปี; C) ตอนอายุ 18 ปี; D) ตอนอายุ 20 ปี</t>
  </si>
  <si>
    <t>B) ตอนอายุ 15 ปี</t>
  </si>
  <si>
    <t>บัวขาว บัญชาเมฆเริ่มต้นอาชีพนักมวยตอนอายุ 15 ปี.</t>
  </si>
  <si>
    <t>มวยไทยเริ่มได้รับการเผยแพร่ไปยังต่างประเทศในช่วงใด?</t>
  </si>
  <si>
    <t>มวยไทยเริ่มเผยแพร่ไปยังต่างประเทศในช่วงปี 1970.</t>
  </si>
  <si>
    <t>นักมวยไทยคนใดที่เป็นตำนานของวงการมวยไทย?</t>
  </si>
  <si>
    <t>A) สมรักษ์ คำสิงห์; B) บัวขาว บัญชาเมฆ; C) ทักษิณ ชินวัตร; D) ศิริชัย นามขำ</t>
  </si>
  <si>
    <t>บัวขาว บัญชาเมฆเป็นนักมวยที่ได้รับการยกย่องเป็นตำนานในวงการมวยไทย.</t>
  </si>
  <si>
    <t>ช่วงเวลาที่มวยไทยได้รับการปรับปรุงกติกาครั้งใหญ่คือเมื่อไร?</t>
  </si>
  <si>
    <t>มวยไทยได้รับการปรับปรุงกติกาครั้งใหญ่ในช่วงปี 1970.</t>
  </si>
  <si>
    <t>ใครคือผู้ที่มีบทบาทสำคัญในการทำให้มวยไทยเป็นที่รู้จักในระดับโลก?</t>
  </si>
  <si>
    <t>A) บัวขาว บัญชาเมฆ; B) สมรักษ์ คำสิงห์; C) ภิรมย์ สุริยวงศ์; D) ทักษิณ ชินวัตร</t>
  </si>
  <si>
    <t>A) บัวขาว บัญชาเมฆ</t>
  </si>
  <si>
    <t>บัวขาว บัญชาเมฆมีบทบาทสำคัญในการทำให้มวยไทยเป็นที่รู้จักในระดับโลก.</t>
  </si>
  <si>
    <t>มวยไทยมีความเกี่ยวข้องกับศาสนาใด?</t>
  </si>
  <si>
    <t>A) ศาสนาพุทธ; B) ศาสนาอิสลาม; C) ศาสนาคริสต์; D) ศาสนาฮินดู</t>
  </si>
  <si>
    <t>A) ศาสนาพุทธ</t>
  </si>
  <si>
    <t>มวยไทยมีความเกี่ยวข้องกับศาสนาพุทธและเป็นส่วนหนึ่งของพิธีกรรมบางอย่าง.</t>
  </si>
  <si>
    <t>ในประวัติศาสตร์มวยไทยมีกีฬาความบันเทิงใดที่เกี่ยวข้องกับการต่อสู้แบบเดียวกัน?</t>
  </si>
  <si>
    <t>A) คาราเต้; B) มวยปล้ำ; C) ซูโม่; D) ซาแบท</t>
  </si>
  <si>
    <t>B) มวยปล้ำ</t>
  </si>
  <si>
    <t>มวยไทยมีการเชื่อมโยงกับมวยปล้ำในอดีต.</t>
  </si>
  <si>
    <t>A) เป็นสนามแรกที่ใช้จัดการแข่งขันมวยไทย; B) เป็นสถานที่ฝึกฝนทักษะมวยไทย; C) เป็นสนามที่มีการจัดแข่งขันที่มีชื่อเสียง; D) เป็นสนามที่ใช้แข่งขันในระดับโลก</t>
  </si>
  <si>
    <t>C) เป็นสนามที่มีการจัดแข่งขันที่มีชื่อเสียง</t>
  </si>
  <si>
    <t>สนามมวยลุมพินีมีชื่อเสียงในการจัดการแข่งขันมวยไทยที่สำคัญ.</t>
  </si>
  <si>
    <t>มวยไทยเริ่มต้นในประเทศไหน?</t>
  </si>
  <si>
    <t>A) อินเดีย; B) ไทย; C) จีน; D) มองโกเลีย</t>
  </si>
  <si>
    <t>มวยไทยเริ่มต้นในประเทศไทยและมีความสำคัญในวัฒนธรรมไทย.</t>
  </si>
  <si>
    <t>มวยไทยเคยเป็นส่วนหนึ่งของการฝึกทหารในประเทศใด?</t>
  </si>
  <si>
    <t>A) ไทย; B) จีน; C) ญี่ปุ่น; D) อินเดีย</t>
  </si>
  <si>
    <t>มวยไทยเคยเป็นส่วนหนึ่งของการฝึกทหารในประเทศไทย.</t>
  </si>
  <si>
    <t>ในยุคสมัยใดที่มวยไทยได้รับการปรับปรุงเป็นกีฬาแบบมืออาชีพ?</t>
  </si>
  <si>
    <t>A) ช่วงรัชกาลที่ 5; B) ช่วงรัชกาลที่ 7; C) ช่วงรัชกาลที่ 9; D) ช่วงรัชกาลที่ 10</t>
  </si>
  <si>
    <t>B) ช่วงรัชกาลที่ 7</t>
  </si>
  <si>
    <t>มวยไทยได้รับการปรับปรุงเป็นกีฬาแบบมืออาชีพในช่วงรัชกาลที่ 7.</t>
  </si>
  <si>
    <t>การฝึกมวยไทยในสมัยก่อนมีวิธีการฝึกอย่างไร?</t>
  </si>
  <si>
    <t>A) ฝึกด้วยการเรียนรู้ท่าทางและการต่อสู้; B) ฝึกด้วยการศึกษากลยุทธ์ทางทหาร; C) ฝึกด้วยการอ่านหนังสือ; D) ฝึกด้วยการเดินทางฝึกในพื้นที่ต่างๆ</t>
  </si>
  <si>
    <t>A) ฝึกด้วยการเรียนรู้ท่าทางและการต่อสู้</t>
  </si>
  <si>
    <t>การฝึกมวยไทยในสมัยก่อนเน้นการเรียนรู้ท่าทางและเทคนิคการต่อสู้.</t>
  </si>
  <si>
    <t>มวยไทยมีชื่อเสียงในระดับโลกตั้งแต่เมื่อไหร่?</t>
  </si>
  <si>
    <t>A) หลังสงครามโลกครั้งที่ 1; B) หลังสงครามโลกครั้งที่ 2; C) ช่วงทศวรรษ 1970; D) ช่วงทศวรรษ 1990</t>
  </si>
  <si>
    <t>มวยไทยเริ่มมีชื่อเสียงในระดับโลกในช่วงทศวรรษ 1970.</t>
  </si>
  <si>
    <t>บัวขาว บัญชาเมฆมีชื่อเสียงจากการแข่งขันใด?</t>
  </si>
  <si>
    <t>A) มวยปล้ำ; B) มวยไทย; C) คาราเต้; D) คิกบ็อกซิ่ง</t>
  </si>
  <si>
    <t>B) มวยไทย</t>
  </si>
  <si>
    <t>บัวขาว บัญชาเมฆมีชื่อเสียงจากการแข่งขันมวยไทย.</t>
  </si>
  <si>
    <t>มวยไทยได้รับการยอมรับในฐานะกีฬามาตรฐานในระดับนานาชาติครั้งแรกเมื่อใด?</t>
  </si>
  <si>
    <t>A) ช่วงปี 1950; B) ช่วงปี 1970; C) ช่วงปี 1990; D) ช่วงปี 2000</t>
  </si>
  <si>
    <t>มวยไทยได้รับการยอมรับเป็นกีฬามาตรฐานในระดับนานาชาติในช่วงปี 1970.</t>
  </si>
  <si>
    <t>มวยไทยถือเป็นศิลปะการต่อสู้ที่มีรากฐานจากไหน?</t>
  </si>
  <si>
    <t>A) การฝึกทหารไทย; B) การฝึกทหารจีน; C) การฝึกทหารญี่ปุ่น; D) การฝึกทหารอินเดีย</t>
  </si>
  <si>
    <t>A) การฝึกทหารไทย</t>
  </si>
  <si>
    <t>มวยไทยมีรากฐานจากการฝึกทหารไทยเพื่อใช้ในสงคราม.</t>
  </si>
  <si>
    <t>การต่อสู้ในรูปแบบของมวยไทยเริ่มต้นจากการใช้ท่าใด?</t>
  </si>
  <si>
    <t>A) หมัด; B) เท้า; C) เข่า; D) ศอก</t>
  </si>
  <si>
    <t>B) เท้า</t>
  </si>
  <si>
    <t>มวยไทยเริ่มต้นจากการใช้ท่าเท้าในการต่อสู้.</t>
  </si>
  <si>
    <t>การจัดการมวยไทยในสมัยก่อนถูกควบคุมโดยองค์กรใด?</t>
  </si>
  <si>
    <t>A) สมาคมกีฬา; B) ราชการทหาร; C) คณะกรรมการมวยไทย; D) มูลนิธิมวยไทย</t>
  </si>
  <si>
    <t>B) ราชการทหาร</t>
  </si>
  <si>
    <t>การจัดการมวยไทยในสมัยก่อนถูกควบคุมโดยราชการทหาร.</t>
  </si>
  <si>
    <t>ใครเป็นนักมวยไทยที่ได้รับความนิยมในช่วงทศวรรษ 1970?</t>
  </si>
  <si>
    <t>A) สมรักษ์ คำสิงห์; B) มหาสมุทร สังข์แก้ว; C) ราชานนท์ สงวนรัตน์; D) ศิริชัย นามขำ</t>
  </si>
  <si>
    <t>B) มหาสมุทร สังข์แก้ว</t>
  </si>
  <si>
    <t>มหาสมุทร สังข์แก้วเป็นนักมวยไทยที่ได้รับความนิยมในช่วงทศวรรษ 1970.</t>
  </si>
  <si>
    <t>ทักษะการใช้เข่าในมวยไทยเริ่มมีการใช้ในการแข่งขันในช่วงเวลาใด?</t>
  </si>
  <si>
    <t>A) ช่วงศตวรรษที่ 18; B) ช่วงศตวรรษที่ 19; C) ช่วงทศวรรษ 1900; D) ช่วงทศวรรษ 1970</t>
  </si>
  <si>
    <t>B) ช่วงศตวรรษที่ 19</t>
  </si>
  <si>
    <t>ทักษะการใช้เข่าในมวยไทยเริ่มมีการใช้ในการแข่งขันในช่วงศตวรรษที่ 19.</t>
  </si>
  <si>
    <t>มวยไทยได้รับการยอมรับเป็นกีฬาแข่งขันในระดับโลกในช่วงเวลาใด?</t>
  </si>
  <si>
    <t>A) ช่วงปี 1950; B) ช่วงปี 1960; C) ช่วงปี 1970; D) ช่วงปี 1990</t>
  </si>
  <si>
    <t>C) ช่วงปี 1970</t>
  </si>
  <si>
    <t>มวยไทยได้รับการยอมรับเป็นกีฬาแข่งขันในระดับโลกในช่วงปี 1970.</t>
  </si>
  <si>
    <t>ใครเป็นนักมวยไทยที่ได้รับความนิยมในต่างประเทศมากที่สุดในช่วงปี 2000?</t>
  </si>
  <si>
    <t>A) สมรักษ์ คำสิงห์; B) บัวขาว บัญชาเมฆ; C) ราชานนท์ สงวนรัตน์; D) พิชิตมวยไทย</t>
  </si>
  <si>
    <t>บัวขาว บัญชาเมฆเป็นนักมวยไทยที่ได้รับความนิยมมากที่สุดในต่างประเทศในช่วงปี 2000.</t>
  </si>
  <si>
    <t>ช่วงเวลาที่มวยไทยเริ่มมีการเปลี่ยนแปลงกติกาอย่างเป็นทางการคือช่วงไหน?</t>
  </si>
  <si>
    <t>A) ช่วงปี 1900; B) ช่วงปี 1920; C) ช่วงปี 1930; D) ช่วงปี 1970</t>
  </si>
  <si>
    <t>D) ช่วงปี 1970</t>
  </si>
  <si>
    <t>มวยไทยเริ่มมีการเปลี่ยนแปลงกติกาอย่างเป็นทางการในช่วงปี 1970.</t>
  </si>
  <si>
    <t>มวยไทยเริ่มมีการแข่งขันในระดับสากลครั้งแรกเมื่อใด?</t>
  </si>
  <si>
    <t>มวยไทยเริ่มมีการแข่งขันในระดับสากลครั้งแรกในช่วงปี 1970.</t>
  </si>
  <si>
    <t>มวยไทยในอดีตมีบทบาทสำคัญในการฝึกทหารของประเทศใด?</t>
  </si>
  <si>
    <t>A) ไทย; B) พม่า; C) ลาว; D) เวียดนาม</t>
  </si>
  <si>
    <t>มวยไทยมีบทบาทสำคัญในการฝึกทหารในประเทศไทย.</t>
  </si>
  <si>
    <t>มวยไทยมีการใช้กลยุทธ์ที่เรียกว่า "การใช้หมัด" เป็นหลักในยุคไหน?</t>
  </si>
  <si>
    <t>A) สมัยโบราณ; B) สมัยรัชกาลที่ 5; C) สมัยรัชกาลที่ 7; D) สมัยรัชกาลที่ 9</t>
  </si>
  <si>
    <t>การใช้หมัดเป็นกลยุทธ์หลักในมวยไทยเริ่มมีการพัฒนาขึ้นในสมัยรัชกาลที่ 5.</t>
  </si>
  <si>
    <t>การฝึกมวยไทยในยุคแรกเริ่มมักจะเน้นอะไรเป็นหลัก?</t>
  </si>
  <si>
    <t>A) การเรียนรู้ท่าทางการยืน; B) การต่อสู้กับศัตรูจริง; C) การฝึกท่าทางการเคลื่อนไหว; D) การศึกษาศิลปะการป้องกันตัว</t>
  </si>
  <si>
    <t>A) การเรียนรู้ท่าทางการยืน</t>
  </si>
  <si>
    <t>การฝึกมวยไทยในยุคแรกเริ่มเน้นการเรียนรู้ท่าทางการยืน.</t>
  </si>
  <si>
    <t>มวยไทยในสมัยรัชกาลที่ 7 ได้รับการพัฒนาในด้านใด?</t>
  </si>
  <si>
    <t>A) การฝึกท่าทาง; B) การปรับปรุงกติกาและรูปแบบการแข่งขัน; C) การฝึกการเตะ; D) การพัฒนาเทคนิคการต่อสู้</t>
  </si>
  <si>
    <t>B) การปรับปรุงกติกาและรูปแบบการแข่งขัน</t>
  </si>
  <si>
    <t>มวยไทยในสมัยรัชกาลที่ 7 ได้รับการพัฒนาในด้านการปรับปรุงกติกาและรูปแบบการแข่งขัน.</t>
  </si>
  <si>
    <t>มวยไทยเริ่มได้รับการยอมรับจากสากลในช่วงปีไหน?</t>
  </si>
  <si>
    <t>A) 1930; B) 1940; C) 1950; D) 1970</t>
  </si>
  <si>
    <t>D) 1970</t>
  </si>
  <si>
    <t>มวยไทยเริ่มได้รับการยอมรับจากสากลในช่วงปี 1970.</t>
  </si>
  <si>
    <t>นักมวยไทยคนใดที่เป็นผู้ชนะการแข่งขันในระดับโลกครั้งแรก?</t>
  </si>
  <si>
    <t>A) สมรักษ์ คำสิงห์; B) บัวขาว บัญชาเมฆ; C) ชาญชัย ทองม้วน; D) ปกรณ์ พงษ์พิบูลย์</t>
  </si>
  <si>
    <t>บัวขาว บัญชาเมฆเป็นผู้ชนะการแข่งขันในระดับโลกครั้งแรก.</t>
  </si>
  <si>
    <t>มวยไทยเริ่มได้รับความนิยมในต่างประเทศในช่วงปีใด?</t>
  </si>
  <si>
    <t>ใครเป็นผู้ฝึกสอนที่มีชื่อเสียงในวงการมวยไทย?</t>
  </si>
  <si>
    <t>A) วิทยา ศิริสิทธิ์; B) สมรักษ์ คำสิงห์; C) ชาตรี ศิษย์สันติ; D) ธวัชชัย สัญชัย</t>
  </si>
  <si>
    <t>A) วิทยา ศิริสิทธิ์</t>
  </si>
  <si>
    <t>วิทยา ศิริสิทธิ์เป็นผู้ฝึกสอนที่มีชื่อเสียงในวงการมวยไทย.</t>
  </si>
  <si>
    <t>มวยไทยเริ่มถูกพัฒนาเป็นกีฬาแข่งขันระดับนานาชาติเมื่อใด?</t>
  </si>
  <si>
    <t>A) 1920; B) 1940; C) 1960; D) 1980</t>
  </si>
  <si>
    <t>มวยไทยเริ่มถูกพัฒนาเป็นกีฬาแข่งขันระดับนานาชาติในช่วงปี 1960.</t>
  </si>
  <si>
    <t>มวยไทยมีการใช้ท่าใดที่มีชื่อเสียงมากที่สุดในวงการกีฬา?</t>
  </si>
  <si>
    <t>A) ท่าหมัด; B) ท่าเข่า; C) ท่าเท้า; D) ท่าศอก</t>
  </si>
  <si>
    <t>D) ท่าศอก</t>
  </si>
  <si>
    <t>ท่าศอกเป็นท่าที่มีชื่อเสียงมากที่สุดในวงการมวยไทย.</t>
  </si>
  <si>
    <t>บัวขาว บัญชาเมฆได้รับความนิยมจากการชนะการแข่งขันในรายการใด?</t>
  </si>
  <si>
    <t>A) K-1; B) Muay Thai World Championship; C) UFC; D) One Championship</t>
  </si>
  <si>
    <t>A) K-1</t>
  </si>
  <si>
    <t>บัวขาว บัญชาเมฆได้รับความนิยมจากการชนะการแข่งขันในรายการ K-1.</t>
  </si>
  <si>
    <t>มวยไทยได้รับการพัฒนาเป็นกีฬาแบบมืออาชีพในช่วงปีใด?</t>
  </si>
  <si>
    <t>มวยไทยได้รับการพัฒนาเป็นกีฬาแบบมืออาชีพในช่วงปี 1970.</t>
  </si>
  <si>
    <t>มวยไทยได้รับการยอมรับจากประเทศไหนเป็นครั้งแรกในฐานะกีฬาสากล?</t>
  </si>
  <si>
    <t>A) ประเทศจีน; B) ประเทศญี่ปุ่น; C) ประเทศสหรัฐอเมริกา; D) ประเทศฝรั่งเศส</t>
  </si>
  <si>
    <t>C) ประเทศสหรัฐอเมริกา</t>
  </si>
  <si>
    <t>มวยไทยได้รับการยอมรับจากประเทศสหรัฐอเมริกาเป็นครั้งแรกในฐานะกีฬาสากล.</t>
  </si>
  <si>
    <t>มวยไทยมีบทบาทสำคัญในการฝึกทหารในประเทศใด?</t>
  </si>
  <si>
    <t>A) ไทย; B) เมียนมาร์; C) ลาว; D) กัมพูชา</t>
  </si>
  <si>
    <t>การฝึกมวยไทยในปัจจุบันมักจะมีการใช้เทคโนโลยีช่วยในการฝึกหรือไม่?</t>
  </si>
  <si>
    <t>A) ใช่, ใช้เพื่อพัฒนาทักษะ; B) ไม่, การฝึกเป็นวิธีการดั้งเดิม; C) ใช้เพียงบางครั้ง; D) ใช้ในทุกๆ การฝึก</t>
  </si>
  <si>
    <t>A) ใช่ ใช้เพื่อพัฒนาทักษะ</t>
  </si>
  <si>
    <t>การฝึกมวยไทยในปัจจุบันมีการใช้เทคโนโลยีเพื่อพัฒนาทักษะ.</t>
  </si>
  <si>
    <t>มวยไทยถูกใช้เป็นกีฬาในการฝึกทหารในยุคใด?</t>
  </si>
  <si>
    <t>A) สมัยโบราณ; B) สมัยกลาง; C) สมัยใหม่; D) สมัยสมัยรัชกาลที่ 5</t>
  </si>
  <si>
    <t>A) สมัยโบราณ</t>
  </si>
  <si>
    <t>มวยไทยถูกใช้ในการฝึกทหารในสมัยโบราณ.</t>
  </si>
  <si>
    <t>การใช้หมัดในมวยไทยมีความสำคัญอย่างไร?</t>
  </si>
  <si>
    <t>A) เป็นท่าทางหลักในการโจมตี; B) ใช้ในการป้องกันตัว; C) เป็นท่าเสริมสำหรับการเตะ; D) ใช้ในการปิดเกม</t>
  </si>
  <si>
    <t>A) เป็นท่าทางหลักในการโจมตี</t>
  </si>
  <si>
    <t>หมัดในมวยไทยเป็นท่าทางหลักในการโจมตี.</t>
  </si>
  <si>
    <t>มวยไทยในสมัยโบราณถูกใช้ในการป้องกันประเทศจากการรุกรานของศัตรูในช่วงเวลาใด?</t>
  </si>
  <si>
    <t>A) สมัยสุโขทัย; B) สมัยกรุงศรีอยุธยา; C) สมัยรัตนโกสินทร์; D) สมัยธนบุรี</t>
  </si>
  <si>
    <t>มวยไทยในสมัยกรุงศรีอยุธยาถูกใช้ในการป้องกันประเทศจากการรุกรานของศัตรู.</t>
  </si>
  <si>
    <t>การใช้ศอกในมวยไทยเริ่มมีการพัฒนาในช่วงใด?</t>
  </si>
  <si>
    <t>A) สมัยสุโขทัย; B) สมัยกรุงศรีอยุธยา; C) สมัยกรุงรัตนโกสินทร์; D) สมัยรัชกาลที่ 5</t>
  </si>
  <si>
    <t>การใช้ศอกในมวยไทยเริ่มมีการพัฒนาในสมัยกรุงศรีอยุธยา.</t>
  </si>
  <si>
    <t>มวยไทยได้รับการปรับปรุงเป็นกีฬาการแข่งขันในสมัยไหน?</t>
  </si>
  <si>
    <t>A) สมัยรัชกาลที่ 5; B) สมัยรัชกาลที่ 6; C) สมัยรัชกาลที่ 7; D) สมัยรัชกาลที่ 8</t>
  </si>
  <si>
    <t>มวยไทยได้รับการปรับปรุงให้เป็นกีฬาการแข่งขันในสมัยรัชกาลที่ 5.</t>
  </si>
  <si>
    <t>ในสมัยก่อนการแข่งมวยไทยจะเกิดขึ้นในสถานที่ใด?</t>
  </si>
  <si>
    <t>A) สนามกีฬา; B) ลานมวย; C) ศาลากลาง; D) โรงเรียน</t>
  </si>
  <si>
    <t>B) ลานมวย</t>
  </si>
  <si>
    <t>การแข่งมวยไทยในสมัยก่อนมักเกิดขึ้นในลานมวย.</t>
  </si>
  <si>
    <t>ใครเป็นคนแรกที่นำมวยไทยเข้าสู่การแข่งขันในต่างประเทศ?</t>
  </si>
  <si>
    <t>A) สมรักษ์ คำสิงห์; B) บัวขาว บัญชาเมฆ; C) ไทเกอร์ มวยไทย; D) นรุตม์ เสมสันต์</t>
  </si>
  <si>
    <t>บัวขาว บัญชาเมฆเป็นนักมวยไทยคนแรกที่นำมวยไทยเข้าสู่การแข่งขันในต่างประเทศ.</t>
  </si>
  <si>
    <t>มวยไทยได้รับการยอมรับเป็นกีฬามาตรฐานสากลในช่วงปีใด?</t>
  </si>
  <si>
    <t>มวยไทยได้รับการยอมรับเป็นกีฬามาตรฐานสากลในช่วงปี 1970.</t>
  </si>
  <si>
    <t>มวยไทยในอดีตมีการฝึกฝนในรูปแบบใด?</t>
  </si>
  <si>
    <t>A) การฝึกแบบคู่; B) การฝึกแบบเดี่ยว; C) การฝึกแบบกลุ่ม; D) การฝึกในสนามแข่งขัน</t>
  </si>
  <si>
    <t>A) การฝึกแบบคู่</t>
  </si>
  <si>
    <t>มวยไทยในอดีตมักจะมีการฝึกฝนในรูปแบบการฝึกแบบคู่.</t>
  </si>
  <si>
    <t>มวยไทยมีการใช้การเคลื่อนไหวที่เรียกว่า "การเดินกระโดด" ในช่วงใด?</t>
  </si>
  <si>
    <t>A) สมัยกรุงศรีอยุธยา; B) สมัยรัชกาลที่ 5; C) สมัยรัชกาลที่ 7; D) สมัยรัชกาลที่ 9</t>
  </si>
  <si>
    <t>การเดินกระโดดในมวยไทยเริ่มมีการใช้ในสมัยรัชกาลที่ 5.</t>
  </si>
  <si>
    <t>มวยไทยได้รับการยอมรับในระดับนานาชาติครั้งแรกในช่วงใด?</t>
  </si>
  <si>
    <t>A) ช่วงปี 1940; B) ช่วงปี 1950; C) ช่วงปี 1960; D) ช่วงปี 1970</t>
  </si>
  <si>
    <t>มวยไทยเริ่มได้รับการยอมรับในระดับนานาชาติในช่วงปี 1960.</t>
  </si>
  <si>
    <t>การใช้เข่าในมวยไทยเริ่มมีการพัฒนาในช่วงใด?</t>
  </si>
  <si>
    <t>A) สมัยกรุงศรีอยุธยา; B) สมัยกรุงรัตนโกสินทร์; C) สมัยรัชกาลที่ 6; D) สมัยรัชกาลที่ 5</t>
  </si>
  <si>
    <t>การใช้เข่าในมวยไทยเริ่มมีการพัฒนาในสมัยกรุงศรีอยุธยา.</t>
  </si>
  <si>
    <t>การฝึกมวยไทยในยุคปัจจุบันเน้นเรื่องใดเป็นหลัก?</t>
  </si>
  <si>
    <t>A) การฝึกท่าทางและการเคลื่อนไหว; B) การฝึกท่าเท้า; C) การฝึกท่าศอก; D) การฝึกพลังจิต</t>
  </si>
  <si>
    <t>A) การฝึกท่าทางและการเคลื่อนไหว</t>
  </si>
  <si>
    <t>การฝึกมวยไทยในยุคปัจจุบันเน้นการฝึกท่าทางและการเคลื่อนไหว.</t>
  </si>
  <si>
    <t>การใช้ศอกในมวยไทยเริ่มเป็นที่นิยมในช่วงใด?</t>
  </si>
  <si>
    <t>การใช้ศอกในมวยไทยเริ่มเป็นที่นิยมในสมัยกรุงศรีอยุธยา.</t>
  </si>
  <si>
    <t>A) ไทย; B) เมียนมาร์; C) กัมพูชา; D) ลาว</t>
  </si>
  <si>
    <t>มวยไทยเริ่มได้รับการพัฒนาเป็นกีฬาอย่างจริงจังในช่วงใด?</t>
  </si>
  <si>
    <t>A) ช่วงปี 1900; B) ช่วงปี 1950; C) ช่วงปี 1960; D) ช่วงปี 1970</t>
  </si>
  <si>
    <t>มวยไทยเริ่มได้รับการพัฒนาเป็นกีฬาอย่างจริงจังในช่วงปี 1970.</t>
  </si>
  <si>
    <t>การฝึกมวยไทยในอดีตเน้นการเรียนรู้จากการฝึกกับคู่ต่อสู้จริงหรือไม่?</t>
  </si>
  <si>
    <t>A) ใช่, การฝึกกับคู่ต่อสู้จริงเป็นส่วนสำคัญของการฝึก; B) ไม่ใช่, การฝึกจะใช้การเรียนรู้จากตำราหรือครู; C) ใช่, แต่ไม่บ่อยนัก; D) ไม่ใช่, การฝึกจะใช้การฝึกด้วยการเคลื่อนไหวเพียงอย่างเดียว</t>
  </si>
  <si>
    <t>A) ใช่ การฝึกกับคู่ต่อสู้จริงเป็นส่วนสำคัญของการฝึก</t>
  </si>
  <si>
    <t xml:space="preserve"> การฝึกมวยไทยในอดีตเน้นการเรียนรู้จากการฝึกกับคู่ต่อสู้จริง.</t>
  </si>
  <si>
    <t>มวยไทยเริ่มได้รับความนิยมในต่างประเทศเมื่อใด?</t>
  </si>
  <si>
    <t>A) ช่วงปี 1940; B) ช่วงปี 1950; C) ช่วงปี 1970; D) ช่วงปี 1980</t>
  </si>
  <si>
    <t>ใครเป็นนักมวยไทยที่ได้รับการยกย่องว่าเป็นผู้พัฒนาเทคนิคการต่อสู้ในมวยไทย?</t>
  </si>
  <si>
    <t>บัวขาว บัญชาเมฆได้รับการยกย่องว่าเป็นผู้พัฒนาเทคนิคการต่อสู้ในมวยไทย.</t>
  </si>
  <si>
    <t>มวยไทยได้รับการฝึกสอนในโรงเรียนและมหาวิทยาลัยในประเทศไทยตั้งแต่เมื่อไร?</t>
  </si>
  <si>
    <t>A) สมัยกรุงศรีอยุธยา; B) สมัยกรุงรัตนโกสินทร์; C) สมัยรัชกาลที่ 5; D) สมัยรัชกาลที่ 7</t>
  </si>
  <si>
    <t>มวยไทยเริ่มได้รับการฝึกสอนในโรงเรียนและมหาวิทยาลัยในสมัยรัชกาลที่ 5.</t>
  </si>
  <si>
    <t>ในสมัยก่อนมวยไทยมีการใช้เครื่องมืออะไรในการฝึก?</t>
  </si>
  <si>
    <t>A) ปืน; B) ดาบ; C) ถุงมือ; D) กระสอบทราย</t>
  </si>
  <si>
    <t>D) กระสอบทราย</t>
  </si>
  <si>
    <t>มวยไทยในสมัยก่อนมักใช้กระสอบทรายในการฝึก.</t>
  </si>
  <si>
    <t>มวยไทยได้รับการพัฒนาให้เป็นกีฬามาตรฐานในระดับสากลในช่วงเวลาใด?</t>
  </si>
  <si>
    <t>A) สมัยรัชกาลที่ 5; B) ช่วงปี 1960; C) ช่วงปี 1970; D) ช่วงปี 1980</t>
  </si>
  <si>
    <t>B) ช่วงปี 1960</t>
  </si>
  <si>
    <t>มวยไทยได้รับการพัฒนาให้เป็นกีฬามาตรฐานในระดับสากลในช่วงปี 1960.</t>
  </si>
  <si>
    <t>มวยไทยได้รับการพัฒนาให้เป็นกีฬาที่มีการแข่งขันระดับโลกในปีใด?</t>
  </si>
  <si>
    <t>มวยไทยเริ่มได้รับการพัฒนาให้เป็นกีฬาที่มีการแข่งขันระดับโลกในปี 1970.</t>
  </si>
  <si>
    <t>การต่อสู้ด้วยมวยไทยได้รับการยอมรับอย่างเป็นทางการในวงการกีฬาในประเทศไทยในช่วงใด?</t>
  </si>
  <si>
    <t>การต่อสู้ด้วยมวยไทยได้รับการยอมรับในวงการกีฬาในประเทศไทยในสมัยรัชกาลที่ 5.</t>
  </si>
  <si>
    <t>กีฬามวยไทยได้รับการยอมรับในระดับนานาชาติในปีใด?</t>
  </si>
  <si>
    <t>มวยไทยได้รับการยอมรับในระดับนานาชาติในปี 1970.</t>
  </si>
  <si>
    <t>ในสมัยโบราณนักมวยไทยมีการฝึกทักษะด้วยวิธีใด?</t>
  </si>
  <si>
    <t>A) การฝึกในสนามมวย; B) การฝึกกับคู่ต่อสู้จริง; C) การฝึกในห้องเรียน; D) การฝึกกับเครื่องมือ</t>
  </si>
  <si>
    <t>B) การฝึกกับคู่ต่อสู้จริง</t>
  </si>
  <si>
    <t>ในสมัยโบราณนักมวยไทยฝึกทักษะโดยการฝึกกับคู่ต่อสู้จริง.</t>
  </si>
  <si>
    <t>การใช้เทคนิคต่างๆ ในมวยไทยได้รับการพัฒนาในช่วงใด?</t>
  </si>
  <si>
    <t>เทคนิคต่างๆ ในมวยไทยได้รับการพัฒนาในสมัยกรุงศรีอยุธยา.</t>
  </si>
  <si>
    <t>มวยไทยได้เริ่มมีการจัดการแข่งขันในต่างประเทศเมื่อไหร่?</t>
  </si>
  <si>
    <t>มวยไทยเริ่มมีการจัดการแข่งขันในต่างประเทศในปี 1970.</t>
  </si>
  <si>
    <t>ในสมัยก่อนมวยไทยมีการใช้การเคลื่อนไหวแบบใดในการต่อสู้?</t>
  </si>
  <si>
    <t>A) การใช้เทคนิคการหมุน; B) การใช้เทคนิคการเตะสูง; C) การใช้การเคลื่อนไหวทางกายภาพที่รวดเร็ว; D) การใช้ท่าเตะแบบวงกลม</t>
  </si>
  <si>
    <t>C) การใช้การเคลื่อนไหวทางกายภาพที่รวดเร็ว</t>
  </si>
  <si>
    <t>มวยไทยในสมัยก่อนมีการใช้การเคลื่อนไหวทางกายภาพที่รวดเร็ว.</t>
  </si>
  <si>
    <t>มวยไทยเริ่มได้รับการฝึกฝนในระบบโรงเรียนในช่วงใด?</t>
  </si>
  <si>
    <t>มวยไทยเริ่มได้รับการฝึกฝนในระบบโรงเรียนในสมัยรัชกาลที่ 5.</t>
  </si>
  <si>
    <t>มวยไทยเริ่มมีการยอมรับในฐานะกีฬาระดับสากลในช่วงปีใด?</t>
  </si>
  <si>
    <t>มวยไทยเริ่มมีการยอมรับในฐานะกีฬาระดับสากลในช่วงปี 1970.</t>
  </si>
  <si>
    <t>การต่อสู้ด้วยมวยไทยถูกนำมาประยุกต์ใช้ในกีฬาชนิดใดในช่วงปี 1980?</t>
  </si>
  <si>
    <t>A) คิกบ็อกซิ่ง; B) ยูโด; C) แฮนด์บัล; D) มวยสากล</t>
  </si>
  <si>
    <t>A) คิกบ็อกซิ่ง</t>
  </si>
  <si>
    <t>มวยไทยถูกนำมาประยุกต์ใช้ในกีฬาคิกบ็อกซิ่งในช่วงปี 1980.</t>
  </si>
  <si>
    <t>ในสมัยกรุงศรีอยุธยา มวยไทยถูกใช้ในบทบาทใด?</t>
  </si>
  <si>
    <t>A) การฝึกทหาร; B) การฝึกนักเรียน; C) การแข่งขันกีฬา; D) การฝึกเจ้าหน้าที่ตำรวจ</t>
  </si>
  <si>
    <t>ในสมัยกรุงศรีอยุธยา มวยไทยถูกใช้ในการฝึกทหาร.</t>
  </si>
  <si>
    <t>มวยไทยในสมัยกรุงรัตนโกสินทร์ได้รับการพัฒนาในทางใด?</t>
  </si>
  <si>
    <t>A) การฝึกในโรงเรียน; B) การใช้เทคนิคที่หลากหลาย; C) การแข่งขันกีฬา; D) การฝึกในกองทัพ</t>
  </si>
  <si>
    <t>B) การใช้เทคนิคที่หลากหลาย</t>
  </si>
  <si>
    <t>มวยไทยในสมัยกรุงรัตนโกสินทร์ได้รับการพัฒนาโดยการใช้เทคนิคที่หลากหลาย.</t>
  </si>
  <si>
    <t>นักมวยไทยคนไหนที่ได้รับการยกย่องว่าเป็นผู้สร้างชื่อเสียงให้กับมวยไทยในต่างประเทศ?</t>
  </si>
  <si>
    <t>A) สมรักษ์ คำสิงห์; B) บัวขาว บัญชาเมฆ; C) แสงมณี สวนกล้วย; D) พิชิตมวยไทย</t>
  </si>
  <si>
    <t>บัวขาว บัญชาเมฆได้รับการยกย่องว่าเป็นผู้สร้างชื่อเสียงให้กับมวยไทยในต่างประเทศ.</t>
  </si>
  <si>
    <t>มวยไทยในสมัยกรุงศรีอยุธยาใช้ในการฝึกทหาร.</t>
  </si>
  <si>
    <t>มวยไทยเริ่มมีการฝึกฝนตามหลักสูตรอย่างเป็นทางการในสมัยใด?</t>
  </si>
  <si>
    <t>A) สมัยกรุงศรีอยุธยา; B) สมัยรัชกาลที่ 5; C) สมัยรัชกาลที่ 6; D) สมัยรัชกาลที่ 9</t>
  </si>
  <si>
    <t>มวยไทยเริ่มมีการฝึกฝนตามหลักสูตรอย่างเป็นทางการในสมัยรัชกาลที่ 5.</t>
  </si>
  <si>
    <t>ในปีไหนที่มีการจัดการแข่งขันมวยไทยระดับโลกครั้งแรก?</t>
  </si>
  <si>
    <t>การแข่งขันมวยไทยระดับโลกครั้งแรกจัดขึ้นในปี 1970.</t>
  </si>
  <si>
    <t>มวยไทยได้รับการยอมรับในฐานะกีฬาของชาติไทยในช่วงใด?</t>
  </si>
  <si>
    <t>มวยไทยได้รับการยอมรับในฐานะกีฬาของชาติไทยในสมัยรัชกาลที่ 5.</t>
  </si>
  <si>
    <t>การฝึกมวยไทยในอดีตจะเน้นการใช้เครื่องมืออะไร?</t>
  </si>
  <si>
    <t>A) ดาบ; B) ปืน; C) กระสอบทราย; D) ม่าน</t>
  </si>
  <si>
    <t>C) กระสอบทราย</t>
  </si>
  <si>
    <t>การฝึกมวยไทยในอดีตมักใช้กระสอบทรายในการฝึก.</t>
  </si>
  <si>
    <t>มวยไทยเริ่มมีการฝึกสอนในระดับสากลเมื่อใด?</t>
  </si>
  <si>
    <t>มวยไทยเริ่มมีการฝึกสอนในระดับสากลในช่วงปี 1970.</t>
  </si>
  <si>
    <t>ใครคือผู้ที่นำมวยไทยเข้าสู่สนามกีฬาโลกครั้งแรก?</t>
  </si>
  <si>
    <t>A) บัวขาว บัญชาเมฆ; B) สมรักษ์ คำสิงห์; C) ชาตรี ศิษย์ยอดธง; D) พิชิตมวยไทย</t>
  </si>
  <si>
    <t>บัวขาว บัญชาเมฆคือผู้ที่นำมวยไทยเข้าสู่สนามกีฬาโลกครั้งแรก.</t>
  </si>
  <si>
    <t>มวยไทยได้รับการยอมรับในฐานะกีฬามาตรฐานสากลในปีใด?</t>
  </si>
  <si>
    <t>มวยไทยได้รับการยอมรับในฐานะกีฬามาตรฐานสากลในปี 1970.</t>
  </si>
  <si>
    <t>ในปีใดที่มวยไทยได้รับการบรรจุในรายการการแข่งขันกีฬาแห่งชาติไทย?</t>
  </si>
  <si>
    <t>มวยไทยได้รับการบรรจุในรายการการแข่งขันกีฬาแห่งชาติไทยในปี 1970.</t>
  </si>
  <si>
    <t>ในสมัยโบราณมวยไทยถูกใช้ในการต่อสู้ในลักษณะใด?</t>
  </si>
  <si>
    <t>A) การฝึกทหาร; B) การแข่งขันกีฬา; C) การป้องกันตัว; D) การต่อสู้ในสนามรบ</t>
  </si>
  <si>
    <t>C) การป้องกันตัว</t>
  </si>
  <si>
    <t>มวยไทยในสมัยโบราณถูกใช้ในการป้องกันตัว.</t>
  </si>
  <si>
    <t>กีฬามวยไทยได้รับการยอมรับในฐานะกีฬาของชาติไทยในสมัยใด?</t>
  </si>
  <si>
    <t>ใครเป็นผู้ที่มีบทบาทสำคัญในการส่งเสริมมวยไทยในระดับโลก?</t>
  </si>
  <si>
    <t>A) สมรักษ์ คำสิงห์; B) บัวขาว บัญชาเมฆ; C) ชาตรี ศิษย์ยอดธง; D) พิชิตมวยไทย</t>
  </si>
  <si>
    <t>บัวขาว บัญชาเมฆมีบทบาทสำคัญในการส่งเสริมมวยไทยในระดับโลก.</t>
  </si>
  <si>
    <t>กีฬามวยไทยเริ่มได้รับการพัฒนาให้มีการฝึกสอนในโรงเรียนเมื่อใด?</t>
  </si>
  <si>
    <t>มวยไทยเริ่มได้รับการพัฒนาให้มีการฝึกสอนในโรงเรียนในสมัยรัชกาลที่ 5.</t>
  </si>
  <si>
    <t>การแข่งขันมวยไทยในต่างประเทศเริ่มขึ้นในปีใด?</t>
  </si>
  <si>
    <t>การแข่งขันมวยไทยในต่างประเทศเริ่มขึ้นในปี 1970.</t>
  </si>
  <si>
    <t>มวยไทยในอดีตมีการฝึกทักษะต่างๆ อย่างไร?</t>
  </si>
  <si>
    <t>A) ฝึกในสนามมวย; B) ฝึกในโรงเรียน; C) ฝึกกับคู่ต่อสู้จริง; D) ฝึกด้วยอุปกรณ์พิเศษ</t>
  </si>
  <si>
    <t>C) ฝึกกับคู่ต่อสู้จริง</t>
  </si>
  <si>
    <t>มวยไทยในอดีตมีการฝึกทักษะโดยการฝึกกับคู่ต่อสู้จริง.</t>
  </si>
  <si>
    <t>การฝึกมวยไทยในสมัยโบราณจะเน้นการใช้ท่าไหนเป็นหลัก?</t>
  </si>
  <si>
    <t>A) ท่าเตะ; B) ท่าชก; C) ท่าคลุกคลี; D) ท่าหมุนตัว</t>
  </si>
  <si>
    <t>A) ท่าเตะ</t>
  </si>
  <si>
    <t>การฝึกมวยไทยในสมัยโบราณจะเน้นการใช้ท่าเตะเป็นหลัก.</t>
  </si>
  <si>
    <t>มวยไทยได้รับการยอมรับในวงการกีฬาของประเทศไหนในปี 1970?</t>
  </si>
  <si>
    <t>A) สหรัฐอเมริกา; B) ญี่ปุ่น; C) เกาหลีใต้; D) ออสเตรเลีย</t>
  </si>
  <si>
    <t>มวยไทยได้รับการยอมรับในวงการกีฬาของสหรัฐอเมริกาในปี 1970.</t>
  </si>
  <si>
    <t>ใครเป็นคนแรกที่ได้นำมวยไทยเข้าสู่สนามกีฬาระดับโลก?</t>
  </si>
  <si>
    <t>บัวขาว บัญชาเมฆเป็นคนแรกที่ได้นำมวยไทยเข้าสู่สนามกีฬาระดับโลก.</t>
  </si>
  <si>
    <t>ในสมัยโบราณมวยไทยถูกใช้ในการต่อสู้ที่ใดบ้าง?</t>
  </si>
  <si>
    <t>A) สนามรบ; B) สนามมวย; C) ท้องสนามหลวง; D) ในพระราชวัง</t>
  </si>
  <si>
    <t>A) สนามรบ</t>
  </si>
  <si>
    <t>มวยไทยในสมัยโบราณถูกใช้ในการต่อสู้ในสนามรบ.</t>
  </si>
  <si>
    <t>การใช้มวยไทยในปัจจุบันสามารถพบได้ในกีฬาอะไร?</t>
  </si>
  <si>
    <t>A) คิกบ็อกซิ่ง; B) มวยสากล; C) ยูโด; D) เทควันโด</t>
  </si>
  <si>
    <t>มวยไทยในปัจจุบันสามารถพบได้ในกีฬา คิกบ็อกซิ่ง.</t>
  </si>
  <si>
    <t>ในสมัยโบราณมวยไทยมีการฝึกฝนกันในลักษณะใด?</t>
  </si>
  <si>
    <t>A) การฝึกเป็นทีม; B) การฝึกแบบตัวต่อตัว; C) การฝึกด้วยเครื่องมือ; D) การฝึกในสนามกีฬา</t>
  </si>
  <si>
    <t>ในสมัยโบราณมวยไทยมีการฝึกฝนกันในลักษณะตัวต่อตัว.</t>
  </si>
  <si>
    <t>มวยไทยได้รับการบรรจุเป็นกีฬาสากลในปีใด?</t>
  </si>
  <si>
    <t>มวยไทยได้รับการบรรจุเป็นกีฬาสากลในปี 1970.</t>
  </si>
  <si>
    <t>ในการแข่งขันมวยไทยมีการใช้การป้องกันตัวอย่างไร?</t>
  </si>
  <si>
    <t>A) การเตะ; B) การหลบ; C) การหมุนตัว; D) การป้องกันด้วยมือ</t>
  </si>
  <si>
    <t>B) การหลบ</t>
  </si>
  <si>
    <t>ในการแข่งขันมวยไทยมีการใช้การหลบเป็นการป้องกันตัว.</t>
  </si>
  <si>
    <t>การฝึกมวยไทยในสมัยโบราณจะใช้วิธีการใดในการฝึกความแข็งแกร่ง?</t>
  </si>
  <si>
    <t>A) การวิ่ง; B) การฝึกในน้ำ; C) การฝึกในที่สูง; D) การฝึกด้วยการถือของหนัก</t>
  </si>
  <si>
    <t>D) การฝึกด้วยการถือของหนัก</t>
  </si>
  <si>
    <t>ในสมัยโบราณการฝึกมวยไทยจะใช้การฝึกด้วยการถือของหนักเพื่อฝึกความแข็งแกร่ง.</t>
  </si>
  <si>
    <t>การแข่งขันมวยไทยในต่างประเทศเริ่มมีการแข่งขันในปีใด?</t>
  </si>
  <si>
    <t>การแข่งขันมวยไทยในต่างประเทศเริ่มมีการแข่งขันในปี 1970.</t>
  </si>
  <si>
    <t>มวยไทยได้รับการพัฒนาให้มีการฝึกฝนในระดับโลกในช่วงปีใด?</t>
  </si>
  <si>
    <t>มวยไทยได้รับการพัฒนาให้มีการฝึกฝนในระดับโลกในช่วงปี 1970.</t>
  </si>
  <si>
    <t>ในสมัยกรุงศรีอยุธยา มวยไทยถูกใช้ในการแข่งขันที่ใด?</t>
  </si>
  <si>
    <t>A) สนามพระราชวัง; B) สนามมวยกลางเมือง; C) ท้องสนามหลวง; D) สนามกีฬาแห่งชาติ</t>
  </si>
  <si>
    <t>C) ท้องสนามหลวง</t>
  </si>
  <si>
    <t>มวยไทยในสมัยกรุงศรีอยุธยาใช้ในการแข่งขันที่ท้องสนามหลวง.</t>
  </si>
  <si>
    <t>การฝึกมวยไทยในอดีตเน้นการเรียนรู้จากการฝึกกับคู่ต่อสู้จริง.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</si>
</sst>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">
    <border/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5" fontId="2" numFmtId="0" xfId="0" applyFill="1" applyFont="1"/>
    <xf borderId="0" fillId="5" fontId="2" numFmtId="0" xfId="0" applyAlignment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1" fillId="6" fontId="4" numFmtId="0" xfId="0" applyAlignment="1" applyBorder="1" applyFill="1" applyFont="1">
      <alignment horizontal="right" readingOrder="0" shrinkToFit="0" vertical="bottom" wrapText="0"/>
    </xf>
    <xf borderId="1" fillId="6" fontId="4" numFmtId="0" xfId="0" applyAlignment="1" applyBorder="1" applyFont="1">
      <alignment horizontal="left" readingOrder="0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9">
    <tableStyle count="4" pivot="0" name="chon w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wu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eng ru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eng ru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n w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n wo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epak  takraw-style">
      <tableStyleElement dxfId="5" type="headerRow"/>
      <tableStyleElement dxfId="6" type="firstRowStripe"/>
      <tableStyleElement dxfId="7" type="secondRowStripe"/>
    </tableStyle>
    <tableStyle count="4" pivot="0" name="thai box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i box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1" displayName="Table2" name="Table2" id="1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chon wua-style" showColumnStripes="0" showFirstColumn="1" showLastColumn="1" showRowStripes="1"/>
</table>
</file>

<file path=xl/tables/table2.xml><?xml version="1.0" encoding="utf-8"?>
<table xmlns="http://schemas.openxmlformats.org/spreadsheetml/2006/main" ref="G1:K201" displayName="Table1" name="Table1" id="2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chon wua-style 2" showColumnStripes="0" showFirstColumn="1" showLastColumn="1" showRowStripes="1"/>
</table>
</file>

<file path=xl/tables/table3.xml><?xml version="1.0" encoding="utf-8"?>
<table xmlns="http://schemas.openxmlformats.org/spreadsheetml/2006/main" ref="A1:E200" displayName="Table8" name="Table8" id="3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kaeng ruer-style" showColumnStripes="0" showFirstColumn="1" showLastColumn="1" showRowStripes="1"/>
</table>
</file>

<file path=xl/tables/table4.xml><?xml version="1.0" encoding="utf-8"?>
<table xmlns="http://schemas.openxmlformats.org/spreadsheetml/2006/main" ref="G1:K201" displayName="Table7" name="Table7" id="4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kaeng ruer-style 2" showColumnStripes="0" showFirstColumn="1" showLastColumn="1" showRowStripes="1"/>
</table>
</file>

<file path=xl/tables/table5.xml><?xml version="1.0" encoding="utf-8"?>
<table xmlns="http://schemas.openxmlformats.org/spreadsheetml/2006/main" ref="A1:E200" displayName="Table4" name="Table4" id="5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len wow-style" showColumnStripes="0" showFirstColumn="1" showLastColumn="1" showRowStripes="1"/>
</table>
</file>

<file path=xl/tables/table6.xml><?xml version="1.0" encoding="utf-8"?>
<table xmlns="http://schemas.openxmlformats.org/spreadsheetml/2006/main" ref="G1:K202" displayName="Table3" name="Table3" id="6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len wow-style 2" showColumnStripes="0" showFirstColumn="1" showLastColumn="1" showRowStripes="1"/>
</table>
</file>

<file path=xl/tables/table7.xml><?xml version="1.0" encoding="utf-8"?>
<table xmlns="http://schemas.openxmlformats.org/spreadsheetml/2006/main" ref="A1:K202" displayName="Table_1" name="Table_1" id="7">
  <tableColumns count="11">
    <tableColumn name="Question No." id="1"/>
    <tableColumn name="Question" id="2"/>
    <tableColumn name="Options" id="3"/>
    <tableColumn name="Answer" id="4"/>
    <tableColumn name="Description" id="5"/>
    <tableColumn name="Column1" id="6"/>
    <tableColumn name="_1" id="7"/>
    <tableColumn name="_2" id="8"/>
    <tableColumn name="_3" id="9"/>
    <tableColumn name="_4" id="10"/>
    <tableColumn name="_5" id="11"/>
  </tableColumns>
  <tableStyleInfo name="Sepak  takraw-style" showColumnStripes="0" showFirstColumn="1" showLastColumn="1" showRowStripes="1"/>
</table>
</file>

<file path=xl/tables/table8.xml><?xml version="1.0" encoding="utf-8"?>
<table xmlns="http://schemas.openxmlformats.org/spreadsheetml/2006/main" ref="A1:E200" displayName="Table5" name="Table5" id="8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thai boxing-style" showColumnStripes="0" showFirstColumn="1" showLastColumn="1" showRowStripes="1"/>
</table>
</file>

<file path=xl/tables/table9.xml><?xml version="1.0" encoding="utf-8"?>
<table xmlns="http://schemas.openxmlformats.org/spreadsheetml/2006/main" ref="G1:K201" displayName="Table6" name="Table6" id="9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thai box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14.29"/>
    <col customWidth="1" min="3" max="3" width="75.57"/>
    <col customWidth="1" min="4" max="5" width="80.86"/>
    <col customWidth="1" min="6" max="6" width="19.0"/>
    <col customWidth="1" min="7" max="7" width="13.71"/>
    <col customWidth="1" min="8" max="8" width="23.71"/>
    <col customWidth="1" min="9" max="9" width="38.71"/>
    <col customWidth="1" min="10" max="10" width="38.57"/>
    <col customWidth="1" min="11" max="11" width="44.0"/>
    <col customWidth="1" min="12" max="13" width="8.71"/>
    <col customWidth="1" min="14" max="15" width="43.0"/>
    <col customWidth="1" min="16" max="16" width="55.57"/>
    <col customWidth="1" min="17" max="17" width="43.0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""en"")"),"When did bullfighting first begin?")</f>
        <v>When did bullfighting first begin?</v>
      </c>
      <c r="C2" s="5" t="str">
        <f>IFERROR(__xludf.DUMMYFUNCTION("GOOGLETRANSLATE(I2, ""th"", ""en"")"),"A) Ancient, B) Middle Age, C) Modern, D) Stone Age")</f>
        <v>A) Ancient, B) Middle Age, C) Modern, D) Stone Age</v>
      </c>
      <c r="D2" s="5" t="str">
        <f>IFERROR(__xludf.DUMMYFUNCTION("GOOGLETRANSLATE(J2, ""th"", ""en"")"),"A) Ancient times")</f>
        <v>A) Ancient times</v>
      </c>
      <c r="E2" s="5" t="str">
        <f>IFERROR(__xludf.DUMMYFUNCTION("GOOGLETRANSLATE(K2, ""th"", ""en"")"),"Bullfighting has ancient origins and is part of the culture in many areas.")</f>
        <v>Bullfighting has ancient origins and is part of the culture in many areas.</v>
      </c>
      <c r="G2" s="6">
        <v>1.0</v>
      </c>
      <c r="H2" s="7" t="s">
        <v>10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""en"")"),"Where did bullfighting originate in Thailand?")</f>
        <v>Where did bullfighting originate in Thailand?</v>
      </c>
      <c r="C3" s="5" t="str">
        <f>IFERROR(__xludf.DUMMYFUNCTION("GOOGLETRANSLATE(I3, ""th"", ""en"")"),"A) Krabi, B) Nakhon Si Thammarat, C) Surat Thani, D) Songkhla")</f>
        <v>A) Krabi, B) Nakhon Si Thammarat, C) Surat Thani, D) Songkhla</v>
      </c>
      <c r="D3" s="5" t="str">
        <f>IFERROR(__xludf.DUMMYFUNCTION("GOOGLETRANSLATE(J3, ""th"", ""en"")"),"B) Nakhon Si Thammarat")</f>
        <v>B) Nakhon Si Thammarat</v>
      </c>
      <c r="E3" s="5" t="str">
        <f>IFERROR(__xludf.DUMMYFUNCTION("GOOGLETRANSLATE(K3, ""th"", ""en"")"),"Bullfighting in Thailand began in the southern region, particularly in Nakhon Si Thammarat Province.")</f>
        <v>Bullfighting in Thailand began in the southern region, particularly in Nakhon Si Thammarat Province.</v>
      </c>
      <c r="G3" s="6">
        <v>2.0</v>
      </c>
      <c r="H3" s="7" t="s">
        <v>14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""en"")"),"Bullfighting has been influenced by which country's culture?")</f>
        <v>Bullfighting has been influenced by which country's culture?</v>
      </c>
      <c r="C4" s="5" t="str">
        <f>IFERROR(__xludf.DUMMYFUNCTION("GOOGLETRANSLATE(I4, ""th"", ""en"")"),"A) India, B) Spain, C) China, D) Indonesia")</f>
        <v>A) India, B) Spain, C) China, D) Indonesia</v>
      </c>
      <c r="D4" s="5" t="str">
        <f>IFERROR(__xludf.DUMMYFUNCTION("GOOGLETRANSLATE(J4, ""th"", ""en"")"),"B) Spain")</f>
        <v>B) Spain</v>
      </c>
      <c r="E4" s="5" t="str">
        <f>IFERROR(__xludf.DUMMYFUNCTION("GOOGLETRANSLATE(K4, ""th"", ""en"")"),"Bullfighting has been influenced in some ways by Spanish culture, such as bullfighting.")</f>
        <v>Bullfighting has been influenced in some ways by Spanish culture, such as bullfighting.</v>
      </c>
      <c r="G4" s="6">
        <v>3.0</v>
      </c>
      <c r="H4" s="7" t="s">
        <v>18</v>
      </c>
      <c r="I4" s="7" t="s">
        <v>19</v>
      </c>
      <c r="J4" s="7" t="s">
        <v>20</v>
      </c>
      <c r="K4" s="7" t="s">
        <v>21</v>
      </c>
    </row>
    <row r="5" ht="14.25" customHeight="1">
      <c r="A5" s="4">
        <v>4.0</v>
      </c>
      <c r="B5" s="5" t="str">
        <f>IFERROR(__xludf.DUMMYFUNCTION("GOOGLETRANSLATE(H5, ""th"", ""en"")"),"What characteristics must a bull used in bullfighting have?")</f>
        <v>What characteristics must a bull used in bullfighting have?</v>
      </c>
      <c r="C5" s="5" t="str">
        <f>IFERROR(__xludf.DUMMYFUNCTION("GOOGLETRANSLATE(I5, ""th"", ""en"")"),"A) strong and horned, B) long-haired, C) small and agile, D) heavy")</f>
        <v>A) strong and horned, B) long-haired, C) small and agile, D) heavy</v>
      </c>
      <c r="D5" s="5" t="str">
        <f>IFERROR(__xludf.DUMMYFUNCTION("GOOGLETRANSLATE(J5, ""th"", ""en"")"),"A) Strong and has sharp horns.")</f>
        <v>A) Strong and has sharp horns.</v>
      </c>
      <c r="E5" s="5" t="str">
        <f>IFERROR(__xludf.DUMMYFUNCTION("GOOGLETRANSLATE(K5, ""th"", ""en"")"),"Bulls used in fighting must have strong muscles and horns suitable for fighting.")</f>
        <v>Bulls used in fighting must have strong muscles and horns suitable for fighting.</v>
      </c>
      <c r="G5" s="6">
        <v>4.0</v>
      </c>
      <c r="H5" s="7" t="s">
        <v>22</v>
      </c>
      <c r="I5" s="7" t="s">
        <v>23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""en"")"),"In the past, on what occasions were bullfights usually held?")</f>
        <v>In the past, on what occasions were bullfights usually held?</v>
      </c>
      <c r="C6" s="5" t="str">
        <f>IFERROR(__xludf.DUMMYFUNCTION("GOOGLETRANSLATE(I6, ""th"", ""en"")"),"A) annual festival, B) harvest, C) community celebration, D) religious ritual")</f>
        <v>A) annual festival, B) harvest, C) community celebration, D) religious ritual</v>
      </c>
      <c r="D6" s="5" t="str">
        <f>IFERROR(__xludf.DUMMYFUNCTION("GOOGLETRANSLATE(J6, ""th"", ""en"")"),"C) Community celebration")</f>
        <v>C) Community celebration</v>
      </c>
      <c r="E6" s="5" t="str">
        <f>IFERROR(__xludf.DUMMYFUNCTION("GOOGLETRANSLATE(K6, ""th"", ""en"")"),"Bullfighting is often held as a community celebration for entertainment.")</f>
        <v>Bullfighting is often held as a community celebration for entertainment.</v>
      </c>
      <c r="G6" s="6">
        <v>5.0</v>
      </c>
      <c r="H6" s="7" t="s">
        <v>26</v>
      </c>
      <c r="I6" s="7" t="s">
        <v>27</v>
      </c>
      <c r="J6" s="7" t="s">
        <v>28</v>
      </c>
      <c r="K6" s="7" t="s">
        <v>29</v>
      </c>
    </row>
    <row r="7" ht="14.25" customHeight="1">
      <c r="A7" s="4">
        <v>6.0</v>
      </c>
      <c r="B7" s="5" t="str">
        <f>IFERROR(__xludf.DUMMYFUNCTION("GOOGLETRANSLATE(H7, ""th"", ""en"")"),"In the past, what important role did bullfighting play in society?")</f>
        <v>In the past, what important role did bullfighting play in society?</v>
      </c>
      <c r="C7" s="5" t="str">
        <f>IFERROR(__xludf.DUMMYFUNCTION("GOOGLETRANSLATE(I7, ""th"", ""en"")"),"A) It is a recreational activity; B) It is a religious ritual; C) It is a competition for honor; D) It is a bull-training.")</f>
        <v>A) It is a recreational activity; B) It is a religious ritual; C) It is a competition for honor; D) It is a bull-training.</v>
      </c>
      <c r="D7" s="5" t="str">
        <f>IFERROR(__xludf.DUMMYFUNCTION("GOOGLETRANSLATE(J7, ""th"", ""en"")"),"A) It is a recreational activity.")</f>
        <v>A) It is a recreational activity.</v>
      </c>
      <c r="E7" s="5" t="str">
        <f>IFERROR(__xludf.DUMMYFUNCTION("GOOGLETRANSLATE(K7, ""th"", ""en"")"),"Bullfighting is an activity for entertainment and community gathering.")</f>
        <v>Bullfighting is an activity for entertainment and community gathering.</v>
      </c>
      <c r="G7" s="6">
        <v>6.0</v>
      </c>
      <c r="H7" s="7" t="s">
        <v>30</v>
      </c>
      <c r="I7" s="7" t="s">
        <v>31</v>
      </c>
      <c r="J7" s="7" t="s">
        <v>32</v>
      </c>
      <c r="K7" s="7" t="s">
        <v>33</v>
      </c>
    </row>
    <row r="8" ht="14.25" customHeight="1">
      <c r="A8" s="4">
        <v>7.0</v>
      </c>
      <c r="B8" s="5" t="str">
        <f>IFERROR(__xludf.DUMMYFUNCTION("GOOGLETRANSLATE(H8, ""th"", ""en"")"),"When did the rules of bullfighting in Thailand develop?")</f>
        <v>When did the rules of bullfighting in Thailand develop?</v>
      </c>
      <c r="C8" s="5" t="str">
        <f>IFERROR(__xludf.DUMMYFUNCTION("GOOGLETRANSLATE(I8, ""th"", ""en"")"),"A) Rattanakosin period; B) Sukhothai period; C) Ayutthaya period; D) Thonburi period")</f>
        <v>A) Rattanakosin period; B) Sukhothai period; C) Ayutthaya period; D) Thonburi period</v>
      </c>
      <c r="D8" s="5" t="str">
        <f>IFERROR(__xludf.DUMMYFUNCTION("GOOGLETRANSLATE(J8, ""th"", ""en"")"),"A) Rattanakosin period")</f>
        <v>A) Rattanakosin period</v>
      </c>
      <c r="E8" s="5" t="str">
        <f>IFERROR(__xludf.DUMMYFUNCTION("GOOGLETRANSLATE(K8, ""th"", ""en"")"),"The rules of bullfighting began to develop systematically in the Rattanakosin era.")</f>
        <v>The rules of bullfighting began to develop systematically in the Rattanakosin era.</v>
      </c>
      <c r="G8" s="6">
        <v>7.0</v>
      </c>
      <c r="H8" s="7" t="s">
        <v>34</v>
      </c>
      <c r="I8" s="7" t="s">
        <v>35</v>
      </c>
      <c r="J8" s="7" t="s">
        <v>36</v>
      </c>
      <c r="K8" s="7" t="s">
        <v>37</v>
      </c>
    </row>
    <row r="9" ht="14.25" customHeight="1">
      <c r="A9" s="4">
        <v>8.0</v>
      </c>
      <c r="B9" s="5" t="str">
        <f>IFERROR(__xludf.DUMMYFUNCTION("GOOGLETRANSLATE(H9, ""th"", ""en"")"),"In the past, what prizes were awarded to winning bulls?")</f>
        <v>In the past, what prizes were awarded to winning bulls?</v>
      </c>
      <c r="C9" s="5" t="str">
        <f>IFERROR(__xludf.DUMMYFUNCTION("GOOGLETRANSLATE(I9, ""th"", ""en"")"),"A) cash; B) rice; C) pets; D) household appliances")</f>
        <v>A) cash; B) rice; C) pets; D) household appliances</v>
      </c>
      <c r="D9" s="5" t="str">
        <f>IFERROR(__xludf.DUMMYFUNCTION("GOOGLETRANSLATE(J9, ""th"", ""en"")"),"B) Rice")</f>
        <v>B) Rice</v>
      </c>
      <c r="E9" s="5" t="str">
        <f>IFERROR(__xludf.DUMMYFUNCTION("GOOGLETRANSLATE(K9, ""th"", ""en"")"),"In the past, winning bullfights were often rewarded with rice or other property.")</f>
        <v>In the past, winning bullfights were often rewarded with rice or other property.</v>
      </c>
      <c r="G9" s="6">
        <v>8.0</v>
      </c>
      <c r="H9" s="7" t="s">
        <v>38</v>
      </c>
      <c r="I9" s="7" t="s">
        <v>39</v>
      </c>
      <c r="J9" s="7" t="s">
        <v>40</v>
      </c>
      <c r="K9" s="7" t="s">
        <v>41</v>
      </c>
    </row>
    <row r="10" ht="14.25" customHeight="1">
      <c r="A10" s="4">
        <v>9.0</v>
      </c>
      <c r="B10" s="5" t="str">
        <f>IFERROR(__xludf.DUMMYFUNCTION("GOOGLETRANSLATE(H10, ""th"", ""en"")"),"Where were bullfighting venues popular in the past?")</f>
        <v>Where were bullfighting venues popular in the past?</v>
      </c>
      <c r="C10" s="5" t="str">
        <f>IFERROR(__xludf.DUMMYFUNCTION("GOOGLETRANSLATE(I10, ""th"", ""en"")"),"A) a wide open space in the middle of the village; B) under a big tree; C) a sports field; D) near the river")</f>
        <v>A) a wide open space in the middle of the village; B) under a big tree; C) a sports field; D) near the river</v>
      </c>
      <c r="D10" s="5" t="str">
        <f>IFERROR(__xludf.DUMMYFUNCTION("GOOGLETRANSLATE(J10, ""th"", ""en"")"),"A) A wide open space in the middle of the village")</f>
        <v>A) A wide open space in the middle of the village</v>
      </c>
      <c r="E10" s="5" t="str">
        <f>IFERROR(__xludf.DUMMYFUNCTION("GOOGLETRANSLATE(K10, ""th"", ""en"")"),"Bullfights are often held in the village square to bring together the community.")</f>
        <v>Bullfights are often held in the village square to bring together the community.</v>
      </c>
      <c r="G10" s="6">
        <v>9.0</v>
      </c>
      <c r="H10" s="7" t="s">
        <v>42</v>
      </c>
      <c r="I10" s="7" t="s">
        <v>43</v>
      </c>
      <c r="J10" s="7" t="s">
        <v>44</v>
      </c>
      <c r="K10" s="7" t="s">
        <v>45</v>
      </c>
    </row>
    <row r="11" ht="14.25" customHeight="1">
      <c r="A11" s="4">
        <v>10.0</v>
      </c>
      <c r="B11" s="5" t="str">
        <f>IFERROR(__xludf.DUMMYFUNCTION("GOOGLETRANSLATE(H11, ""th"", ""en"")"),"How is bullfighting different today from the past?")</f>
        <v>How is bullfighting different today from the past?</v>
      </c>
      <c r="C11" s="5" t="str">
        <f>IFERROR(__xludf.DUMMYFUNCTION("GOOGLETRANSLATE(I11, ""th"", ""en"")"),"A) There is more use of technology; B) There are stricter rules; C) There is betting; D) All of them.")</f>
        <v>A) There is more use of technology; B) There are stricter rules; C) There is betting; D) All of them.</v>
      </c>
      <c r="D11" s="5" t="str">
        <f>IFERROR(__xludf.DUMMYFUNCTION("GOOGLETRANSLATE(J11, ""th"", ""en"")"),"D) All")</f>
        <v>D) All</v>
      </c>
      <c r="E11" s="5" t="str">
        <f>IFERROR(__xludf.DUMMYFUNCTION("GOOGLETRANSLATE(K11, ""th"", ""en"")"),"Bullfighting today has evolved in many ways, including the use of technology, rules, and betting.")</f>
        <v>Bullfighting today has evolved in many ways, including the use of technology, rules, and betting.</v>
      </c>
      <c r="G11" s="6">
        <v>10.0</v>
      </c>
      <c r="H11" s="7" t="s">
        <v>46</v>
      </c>
      <c r="I11" s="7" t="s">
        <v>47</v>
      </c>
      <c r="J11" s="7" t="s">
        <v>48</v>
      </c>
      <c r="K11" s="7" t="s">
        <v>49</v>
      </c>
    </row>
    <row r="12" ht="14.25" customHeight="1">
      <c r="A12" s="4">
        <v>11.0</v>
      </c>
      <c r="B12" s="5" t="str">
        <f>IFERROR(__xludf.DUMMYFUNCTION("GOOGLETRANSLATE(H12, ""th"", ""en"")"),"What beliefs were associated with bullfighting in the past?")</f>
        <v>What beliefs were associated with bullfighting in the past?</v>
      </c>
      <c r="C12" s="5" t="str">
        <f>IFERROR(__xludf.DUMMYFUNCTION("GOOGLETRANSLATE(I12, ""th"", ""en"")"),"A) Battle of the gods; B) Exorcism of evil; C) Strengthening one's destiny; D) Asking for rain.")</f>
        <v>A) Battle of the gods; B) Exorcism of evil; C) Strengthening one's destiny; D) Asking for rain.</v>
      </c>
      <c r="D12" s="5" t="str">
        <f>IFERROR(__xludf.DUMMYFUNCTION("GOOGLETRANSLATE(J12, ""th"", ""en"")"),"B) Exorcism of evil")</f>
        <v>B) Exorcism of evil</v>
      </c>
      <c r="E12" s="5" t="str">
        <f>IFERROR(__xludf.DUMMYFUNCTION("GOOGLETRANSLATE(K12, ""th"", ""en"")"),"Bullfighting in the past was associated with rituals to ward off evil.")</f>
        <v>Bullfighting in the past was associated with rituals to ward off evil.</v>
      </c>
      <c r="G12" s="6">
        <v>11.0</v>
      </c>
      <c r="H12" s="7" t="s">
        <v>50</v>
      </c>
      <c r="I12" s="7" t="s">
        <v>51</v>
      </c>
      <c r="J12" s="7" t="s">
        <v>52</v>
      </c>
      <c r="K12" s="7" t="s">
        <v>53</v>
      </c>
    </row>
    <row r="13" ht="14.25" customHeight="1">
      <c r="A13" s="4">
        <v>12.0</v>
      </c>
      <c r="B13" s="5" t="str">
        <f>IFERROR(__xludf.DUMMYFUNCTION("GOOGLETRANSLATE(H13, ""th"", ""en"")"),"In which region is bullfighting popular in Thailand?")</f>
        <v>In which region is bullfighting popular in Thailand?</v>
      </c>
      <c r="C13" s="5" t="str">
        <f>IFERROR(__xludf.DUMMYFUNCTION("GOOGLETRANSLATE(I13, ""th"", ""en"")"),"A) Northern region; B) Southern region; C) Eastern region; D) Central region")</f>
        <v>A) Northern region; B) Southern region; C) Eastern region; D) Central region</v>
      </c>
      <c r="D13" s="5" t="str">
        <f>IFERROR(__xludf.DUMMYFUNCTION("GOOGLETRANSLATE(J13, ""th"", ""en"")"),"B) Southern region")</f>
        <v>B) Southern region</v>
      </c>
      <c r="E13" s="5" t="str">
        <f>IFERROR(__xludf.DUMMYFUNCTION("GOOGLETRANSLATE(K13, ""th"", ""en"")"),"Bull fighting is a popular activity in southern Thailand.")</f>
        <v>Bull fighting is a popular activity in southern Thailand.</v>
      </c>
      <c r="G13" s="6">
        <v>12.0</v>
      </c>
      <c r="H13" s="7" t="s">
        <v>54</v>
      </c>
      <c r="I13" s="7" t="s">
        <v>55</v>
      </c>
      <c r="J13" s="7" t="s">
        <v>56</v>
      </c>
      <c r="K13" s="7" t="s">
        <v>57</v>
      </c>
    </row>
    <row r="14" ht="14.25" customHeight="1">
      <c r="A14" s="4">
        <v>13.0</v>
      </c>
      <c r="B14" s="5" t="str">
        <f>IFERROR(__xludf.DUMMYFUNCTION("GOOGLETRANSLATE(H14, ""th"", ""en"")"),"Does bullfighting play a role in Thai literature or history?")</f>
        <v>Does bullfighting play a role in Thai literature or history?</v>
      </c>
      <c r="C14" s="5" t="str">
        <f>IFERROR(__xludf.DUMMYFUNCTION("GOOGLETRANSLATE(I14, ""th"", ""en"")"),"A) Yes; B) No; C) Only a little; D) Not sure")</f>
        <v>A) Yes; B) No; C) Only a little; D) Not sure</v>
      </c>
      <c r="D14" s="5" t="str">
        <f>IFERROR(__xludf.DUMMYFUNCTION("GOOGLETRANSLATE(J14, ""th"", ""en"")"),"A) Yes")</f>
        <v>A) Yes</v>
      </c>
      <c r="E14" s="5" t="str">
        <f>IFERROR(__xludf.DUMMYFUNCTION("GOOGLETRANSLATE(K14, ""th"", ""en"")"),"Bullfighting appears in southern literature and history.")</f>
        <v>Bullfighting appears in southern literature and history.</v>
      </c>
      <c r="G14" s="6">
        <v>13.0</v>
      </c>
      <c r="H14" s="7" t="s">
        <v>58</v>
      </c>
      <c r="I14" s="7" t="s">
        <v>59</v>
      </c>
      <c r="J14" s="7" t="s">
        <v>60</v>
      </c>
      <c r="K14" s="7" t="s">
        <v>61</v>
      </c>
    </row>
    <row r="15" ht="14.25" customHeight="1">
      <c r="A15" s="4">
        <v>14.0</v>
      </c>
      <c r="B15" s="5" t="str">
        <f>IFERROR(__xludf.DUMMYFUNCTION("GOOGLETRANSLATE(H15, ""th"", ""en"")"),"What age were bulls used in the past for bullfighting?")</f>
        <v>What age were bulls used in the past for bullfighting?</v>
      </c>
      <c r="C15" s="5" t="str">
        <f>IFERROR(__xludf.DUMMYFUNCTION("GOOGLETRANSLATE(I15, ""th"", ""en"")"),"A) 1-2 years; B) 3-5 years; C) 6-8 years; D) more than 10 years")</f>
        <v>A) 1-2 years; B) 3-5 years; C) 6-8 years; D) more than 10 years</v>
      </c>
      <c r="D15" s="5" t="str">
        <f>IFERROR(__xludf.DUMMYFUNCTION("GOOGLETRANSLATE(J15, ""th"", ""en"")"),"B) 3-5 years")</f>
        <v>B) 3-5 years</v>
      </c>
      <c r="E15" s="5" t="str">
        <f>IFERROR(__xludf.DUMMYFUNCTION("GOOGLETRANSLATE(K15, ""th"", ""en"")"),"Bulls suitable for fighting are usually 3-5 years old, which is the most robust age.")</f>
        <v>Bulls suitable for fighting are usually 3-5 years old, which is the most robust age.</v>
      </c>
      <c r="G15" s="6">
        <v>14.0</v>
      </c>
      <c r="H15" s="7" t="s">
        <v>62</v>
      </c>
      <c r="I15" s="7" t="s">
        <v>63</v>
      </c>
      <c r="J15" s="7" t="s">
        <v>64</v>
      </c>
      <c r="K15" s="7" t="s">
        <v>65</v>
      </c>
    </row>
    <row r="16" ht="14.25" customHeight="1">
      <c r="A16" s="4">
        <v>15.0</v>
      </c>
      <c r="B16" s="5" t="str">
        <f>IFERROR(__xludf.DUMMYFUNCTION("GOOGLETRANSLATE(H16, ""th"", ""en"")"),"How important was bullfighting in the past to the community economy?")</f>
        <v>How important was bullfighting in the past to the community economy?</v>
      </c>
      <c r="C16" s="5" t="str">
        <f>IFERROR(__xludf.DUMMYFUNCTION("GOOGLETRANSLATE(I16, ""th"", ""en"")"),"A) is a source of income; B) promotes cattle raising; C) attracts tourists; D) all")</f>
        <v>A) is a source of income; B) promotes cattle raising; C) attracts tourists; D) all</v>
      </c>
      <c r="D16" s="5" t="str">
        <f>IFERROR(__xludf.DUMMYFUNCTION("GOOGLETRANSLATE(J16, ""th"", ""en"")"),"D) All")</f>
        <v>D) All</v>
      </c>
      <c r="E16" s="5" t="str">
        <f>IFERROR(__xludf.DUMMYFUNCTION("GOOGLETRANSLATE(K16, ""th"", ""en"")"),"Bullfighting helps promote the local economy in many ways.")</f>
        <v>Bullfighting helps promote the local economy in many ways.</v>
      </c>
      <c r="G16" s="6">
        <v>15.0</v>
      </c>
      <c r="H16" s="7" t="s">
        <v>66</v>
      </c>
      <c r="I16" s="7" t="s">
        <v>67</v>
      </c>
      <c r="J16" s="7" t="s">
        <v>48</v>
      </c>
      <c r="K16" s="7" t="s">
        <v>68</v>
      </c>
    </row>
    <row r="17" ht="14.25" customHeight="1">
      <c r="A17" s="4">
        <v>16.0</v>
      </c>
      <c r="B17" s="5" t="str">
        <f>IFERROR(__xludf.DUMMYFUNCTION("GOOGLETRANSLATE(H17, ""th"", ""en"")"),"How does bullfighting affect the cattle raising culture in the community?")</f>
        <v>How does bullfighting affect the cattle raising culture in the community?</v>
      </c>
      <c r="C17" s="5" t="str">
        <f>IFERROR(__xludf.DUMMYFUNCTION("GOOGLETRANSLATE(I17, ""th"", ""en"")"),"A) It has given more attention to cattle raising; B) It has increased the special care given to cattle; C) It has stimulated the development of cattle breeds; D) All of them.")</f>
        <v>A) It has given more attention to cattle raising; B) It has increased the special care given to cattle; C) It has stimulated the development of cattle breeds; D) All of them.</v>
      </c>
      <c r="D17" s="5" t="str">
        <f>IFERROR(__xludf.DUMMYFUNCTION("GOOGLETRANSLATE(J17, ""th"", ""en"")"),"D) All")</f>
        <v>D) All</v>
      </c>
      <c r="E17" s="5" t="str">
        <f>IFERROR(__xludf.DUMMYFUNCTION("GOOGLETRANSLATE(K17, ""th"", ""en"")"),"Bullfighting promotes cattle raising and cattle breed development.")</f>
        <v>Bullfighting promotes cattle raising and cattle breed development.</v>
      </c>
      <c r="G17" s="6">
        <v>16.0</v>
      </c>
      <c r="H17" s="7" t="s">
        <v>69</v>
      </c>
      <c r="I17" s="7" t="s">
        <v>70</v>
      </c>
      <c r="J17" s="7" t="s">
        <v>48</v>
      </c>
      <c r="K17" s="7" t="s">
        <v>71</v>
      </c>
    </row>
    <row r="18" ht="14.25" customHeight="1">
      <c r="A18" s="4">
        <v>17.0</v>
      </c>
      <c r="B18" s="5" t="str">
        <f>IFERROR(__xludf.DUMMYFUNCTION("GOOGLETRANSLATE(H18, ""th"", ""en"")"),"How were winning bulls in fights treated in the past?")</f>
        <v>How were winning bulls in fights treated in the past?</v>
      </c>
      <c r="C18" s="5" t="str">
        <f>IFERROR(__xludf.DUMMYFUNCTION("GOOGLETRANSLATE(I18, ""th"", ""en"")"),"A) well-raised; B) used as a stud; C) highly regarded in the community; D) all")</f>
        <v>A) well-raised; B) used as a stud; C) highly regarded in the community; D) all</v>
      </c>
      <c r="D18" s="5" t="str">
        <f>IFERROR(__xludf.DUMMYFUNCTION("GOOGLETRANSLATE(J18, ""th"", ""en"")"),"D) All")</f>
        <v>D) All</v>
      </c>
      <c r="E18" s="5" t="str">
        <f>IFERROR(__xludf.DUMMYFUNCTION("GOOGLETRANSLATE(K18, ""th"", ""en"")"),"Winning bulls are often well cared for and highly prized.")</f>
        <v>Winning bulls are often well cared for and highly prized.</v>
      </c>
      <c r="G18" s="6">
        <v>17.0</v>
      </c>
      <c r="H18" s="7" t="s">
        <v>72</v>
      </c>
      <c r="I18" s="7" t="s">
        <v>73</v>
      </c>
      <c r="J18" s="7" t="s">
        <v>48</v>
      </c>
      <c r="K18" s="7" t="s">
        <v>74</v>
      </c>
    </row>
    <row r="19" ht="14.25" customHeight="1">
      <c r="A19" s="4">
        <v>18.0</v>
      </c>
      <c r="B19" s="5" t="str">
        <f>IFERROR(__xludf.DUMMYFUNCTION("GOOGLETRANSLATE(H19, ""th"", ""en"")"),"Did bullfighters in the past have a belief in predictions?")</f>
        <v>Did bullfighters in the past have a belief in predictions?</v>
      </c>
      <c r="C19" s="5" t="str">
        <f>IFERROR(__xludf.DUMMYFUNCTION("GOOGLETRANSLATE(I19, ""th"", ""en"")"),"A) Yes; B) No; C) Only a little; D) Not sure")</f>
        <v>A) Yes; B) No; C) Only a little; D) Not sure</v>
      </c>
      <c r="D19" s="5" t="str">
        <f>IFERROR(__xludf.DUMMYFUNCTION("GOOGLETRANSLATE(J19, ""th"", ""en"")"),"A) Yes")</f>
        <v>A) Yes</v>
      </c>
      <c r="E19" s="5" t="str">
        <f>IFERROR(__xludf.DUMMYFUNCTION("GOOGLETRANSLATE(K19, ""th"", ""en"")"),"In the past, people believed that the outcome of bullfights could predict fate.")</f>
        <v>In the past, people believed that the outcome of bullfights could predict fate.</v>
      </c>
      <c r="G19" s="6">
        <v>18.0</v>
      </c>
      <c r="H19" s="7" t="s">
        <v>75</v>
      </c>
      <c r="I19" s="7" t="s">
        <v>59</v>
      </c>
      <c r="J19" s="7" t="s">
        <v>60</v>
      </c>
      <c r="K19" s="7" t="s">
        <v>76</v>
      </c>
    </row>
    <row r="20" ht="14.25" customHeight="1">
      <c r="A20" s="4">
        <v>19.0</v>
      </c>
      <c r="B20" s="5" t="str">
        <f>IFERROR(__xludf.DUMMYFUNCTION("GOOGLETRANSLATE(H20, ""th"", ""en"")"),"When did bullfighting evolve into commercial competition?")</f>
        <v>When did bullfighting evolve into commercial competition?</v>
      </c>
      <c r="C20" s="5" t="str">
        <f>IFERROR(__xludf.DUMMYFUNCTION("GOOGLETRANSLATE(I20, ""th"", ""en"")"),"A) Sukhothai period; B) Ayutthaya period; C) Rattanakosin period; D) Present era")</f>
        <v>A) Sukhothai period; B) Ayutthaya period; C) Rattanakosin period; D) Present era</v>
      </c>
      <c r="D20" s="5" t="str">
        <f>IFERROR(__xludf.DUMMYFUNCTION("GOOGLETRANSLATE(J20, ""th"", ""en"")"),"D) Present era")</f>
        <v>D) Present era</v>
      </c>
      <c r="E20" s="5" t="str">
        <f>IFERROR(__xludf.DUMMYFUNCTION("GOOGLETRANSLATE(K20, ""th"", ""en"")"),"Bullfighting has become a commercial sport in the modern era.")</f>
        <v>Bullfighting has become a commercial sport in the modern era.</v>
      </c>
      <c r="G20" s="6">
        <v>19.0</v>
      </c>
      <c r="H20" s="7" t="s">
        <v>77</v>
      </c>
      <c r="I20" s="7" t="s">
        <v>78</v>
      </c>
      <c r="J20" s="7" t="s">
        <v>79</v>
      </c>
      <c r="K20" s="7" t="s">
        <v>80</v>
      </c>
    </row>
    <row r="21" ht="14.25" customHeight="1">
      <c r="A21" s="4">
        <v>20.0</v>
      </c>
      <c r="B21" s="5" t="str">
        <f>IFERROR(__xludf.DUMMYFUNCTION("GOOGLETRANSLATE(H21, ""th"", ""en"")"),"Was bullfighting ever banned in the past?")</f>
        <v>Was bullfighting ever banned in the past?</v>
      </c>
      <c r="C21" s="5" t="str">
        <f>IFERROR(__xludf.DUMMYFUNCTION("GOOGLETRANSLATE(I21, ""th"", ""en"")"),"A) Yes; B) No; C) Not sure; D) Prohibited in some areas.")</f>
        <v>A) Yes; B) No; C) Not sure; D) Prohibited in some areas.</v>
      </c>
      <c r="D21" s="5" t="str">
        <f>IFERROR(__xludf.DUMMYFUNCTION("GOOGLETRANSLATE(J21, ""th"", ""en"")"),"A) Ever")</f>
        <v>A) Ever</v>
      </c>
      <c r="E21" s="5" t="str">
        <f>IFERROR(__xludf.DUMMYFUNCTION("GOOGLETRANSLATE(K21, ""th"", ""en"")"),"Bullfighting was once banned in some areas for moral reasons.")</f>
        <v>Bullfighting was once banned in some areas for moral reasons.</v>
      </c>
      <c r="G21" s="6">
        <v>20.0</v>
      </c>
      <c r="H21" s="7" t="s">
        <v>81</v>
      </c>
      <c r="I21" s="7" t="s">
        <v>82</v>
      </c>
      <c r="J21" s="7" t="s">
        <v>83</v>
      </c>
      <c r="K21" s="7" t="s">
        <v>84</v>
      </c>
    </row>
    <row r="22" ht="14.25" customHeight="1">
      <c r="A22" s="4">
        <v>21.0</v>
      </c>
      <c r="B22" s="5" t="str">
        <f>IFERROR(__xludf.DUMMYFUNCTION("GOOGLETRANSLATE(H22, ""th"", ""en"")"),"Has bullfighting in the past been passed down from generation to generation?")</f>
        <v>Has bullfighting in the past been passed down from generation to generation?</v>
      </c>
      <c r="C22" s="5" t="str">
        <f>IFERROR(__xludf.DUMMYFUNCTION("GOOGLETRANSLATE(I22, ""th"", ""en"")"),"A) Yes; B) No; C) Yes in some areas; D) Not sure")</f>
        <v>A) Yes; B) No; C) Yes in some areas; D) Not sure</v>
      </c>
      <c r="D22" s="5" t="str">
        <f>IFERROR(__xludf.DUMMYFUNCTION("GOOGLETRANSLATE(J22, ""th"", ""en"")"),"A) Yes")</f>
        <v>A) Yes</v>
      </c>
      <c r="E22" s="5" t="str">
        <f>IFERROR(__xludf.DUMMYFUNCTION("GOOGLETRANSLATE(K22, ""th"", ""en"")"),"Bullfighting is a culture that has been passed down through generations.")</f>
        <v>Bullfighting is a culture that has been passed down through generations.</v>
      </c>
      <c r="G22" s="6">
        <v>21.0</v>
      </c>
      <c r="H22" s="7" t="s">
        <v>85</v>
      </c>
      <c r="I22" s="7" t="s">
        <v>86</v>
      </c>
      <c r="J22" s="7" t="s">
        <v>60</v>
      </c>
      <c r="K22" s="7" t="s">
        <v>87</v>
      </c>
    </row>
    <row r="23" ht="14.25" customHeight="1">
      <c r="A23" s="4">
        <v>22.0</v>
      </c>
      <c r="B23" s="5" t="str">
        <f>IFERROR(__xludf.DUMMYFUNCTION("GOOGLETRANSLATE(H23, ""th"", ""en"")"),"In the past, were there any classifications of bulls?")</f>
        <v>In the past, were there any classifications of bulls?</v>
      </c>
      <c r="C23" s="5" t="str">
        <f>IFERROR(__xludf.DUMMYFUNCTION("GOOGLETRANSLATE(I23, ""th"", ""en"")"),"A) Yes; B) No; C) Yes in some areas; D) Not sure")</f>
        <v>A) Yes; B) No; C) Yes in some areas; D) Not sure</v>
      </c>
      <c r="D23" s="5" t="str">
        <f>IFERROR(__xludf.DUMMYFUNCTION("GOOGLETRANSLATE(J23, ""th"", ""en"")"),"A) Yes")</f>
        <v>A) Yes</v>
      </c>
      <c r="E23" s="5" t="str">
        <f>IFERROR(__xludf.DUMMYFUNCTION("GOOGLETRANSLATE(K23, ""th"", ""en"")"),"Bulls used for fighting are often classified according to their size and ability.")</f>
        <v>Bulls used for fighting are often classified according to their size and ability.</v>
      </c>
      <c r="G23" s="6">
        <v>22.0</v>
      </c>
      <c r="H23" s="7" t="s">
        <v>88</v>
      </c>
      <c r="I23" s="7" t="s">
        <v>86</v>
      </c>
      <c r="J23" s="7" t="s">
        <v>60</v>
      </c>
      <c r="K23" s="7" t="s">
        <v>89</v>
      </c>
    </row>
    <row r="24" ht="14.25" customHeight="1">
      <c r="A24" s="4">
        <v>23.0</v>
      </c>
      <c r="B24" s="5" t="str">
        <f>IFERROR(__xludf.DUMMYFUNCTION("GOOGLETRANSLATE(H24, ""th"", ""en"")"),"Did bullfights in the past have a specific time period?")</f>
        <v>Did bullfights in the past have a specific time period?</v>
      </c>
      <c r="C24" s="5" t="str">
        <f>IFERROR(__xludf.DUMMYFUNCTION("GOOGLETRANSLATE(I24, ""th"", ""en"")"),"A) available during harvest season; B) available during festivals; C) available at any time; D) not available at any specific time")</f>
        <v>A) available during harvest season; B) available during festivals; C) available at any time; D) not available at any specific time</v>
      </c>
      <c r="D24" s="5" t="str">
        <f>IFERROR(__xludf.DUMMYFUNCTION("GOOGLETRANSLATE(J24, ""th"", ""en"")"),"B) Available at festivals")</f>
        <v>B) Available at festivals</v>
      </c>
      <c r="E24" s="5" t="str">
        <f>IFERROR(__xludf.DUMMYFUNCTION("GOOGLETRANSLATE(K24, ""th"", ""en"")"),"Bullfights are often held during festivals or special occasions.")</f>
        <v>Bullfights are often held during festivals or special occasions.</v>
      </c>
      <c r="G24" s="6">
        <v>23.0</v>
      </c>
      <c r="H24" s="7" t="s">
        <v>90</v>
      </c>
      <c r="I24" s="7" t="s">
        <v>91</v>
      </c>
      <c r="J24" s="7" t="s">
        <v>92</v>
      </c>
      <c r="K24" s="7" t="s">
        <v>93</v>
      </c>
    </row>
    <row r="25" ht="14.25" customHeight="1">
      <c r="A25" s="4">
        <v>24.0</v>
      </c>
      <c r="B25" s="5" t="str">
        <f>IFERROR(__xludf.DUMMYFUNCTION("GOOGLETRANSLATE(H25, ""th"", ""en"")"),"In the past, who were the bullfighters?")</f>
        <v>In the past, who were the bullfighters?</v>
      </c>
      <c r="C25" s="5" t="str">
        <f>IFERROR(__xludf.DUMMYFUNCTION("GOOGLETRANSLATE(I25, ""th"", ""en"")"),"A) farmer; B) oligarch; C) merchant; D) fisherman")</f>
        <v>A) farmer; B) oligarch; C) merchant; D) fisherman</v>
      </c>
      <c r="D25" s="5" t="str">
        <f>IFERROR(__xludf.DUMMYFUNCTION("GOOGLETRANSLATE(J25, ""th"", ""en"")"),"A) Farmer")</f>
        <v>A) Farmer</v>
      </c>
      <c r="E25" s="5" t="str">
        <f>IFERROR(__xludf.DUMMYFUNCTION("GOOGLETRANSLATE(K25, ""th"", ""en"")"),"In the past, most bullfighters were farmers whose cattle were a part of their daily life.")</f>
        <v>In the past, most bullfighters were farmers whose cattle were a part of their daily life.</v>
      </c>
      <c r="G25" s="6">
        <v>24.0</v>
      </c>
      <c r="H25" s="7" t="s">
        <v>94</v>
      </c>
      <c r="I25" s="7" t="s">
        <v>95</v>
      </c>
      <c r="J25" s="7" t="s">
        <v>96</v>
      </c>
      <c r="K25" s="7" t="s">
        <v>97</v>
      </c>
    </row>
    <row r="26" ht="14.25" customHeight="1">
      <c r="A26" s="4">
        <v>25.0</v>
      </c>
      <c r="B26" s="5" t="str">
        <f>IFERROR(__xludf.DUMMYFUNCTION("GOOGLETRANSLATE(H26, ""th"", ""en"")"),"Does bullfighting play a role in building community relationships?")</f>
        <v>Does bullfighting play a role in building community relationships?</v>
      </c>
      <c r="C26" s="5" t="str">
        <f>IFERROR(__xludf.DUMMYFUNCTION("GOOGLETRANSLATE(I26, ""th"", ""en"")"),"A) Yes; B) No; C) Yes in some areas; D) Not sure")</f>
        <v>A) Yes; B) No; C) Yes in some areas; D) Not sure</v>
      </c>
      <c r="D26" s="5" t="str">
        <f>IFERROR(__xludf.DUMMYFUNCTION("GOOGLETRANSLATE(J26, ""th"", ""en"")"),"A) Yes")</f>
        <v>A) Yes</v>
      </c>
      <c r="E26" s="5" t="str">
        <f>IFERROR(__xludf.DUMMYFUNCTION("GOOGLETRANSLATE(K26, ""th"", ""en"")"),"Bullfighting helps build relationships and unity in the community.")</f>
        <v>Bullfighting helps build relationships and unity in the community.</v>
      </c>
      <c r="G26" s="6">
        <v>25.0</v>
      </c>
      <c r="H26" s="7" t="s">
        <v>98</v>
      </c>
      <c r="I26" s="7" t="s">
        <v>86</v>
      </c>
      <c r="J26" s="7" t="s">
        <v>60</v>
      </c>
      <c r="K26" s="7" t="s">
        <v>99</v>
      </c>
    </row>
    <row r="27" ht="14.25" customHeight="1">
      <c r="A27" s="4">
        <v>26.0</v>
      </c>
      <c r="B27" s="5" t="str">
        <f>IFERROR(__xludf.DUMMYFUNCTION("GOOGLETRANSLATE(H27, ""th"", ""en"")"),"How long did bullfights in the past take?")</f>
        <v>How long did bullfights in the past take?</v>
      </c>
      <c r="C27" s="5" t="str">
        <f>IFERROR(__xludf.DUMMYFUNCTION("GOOGLETRANSLATE(I27, ""th"", ""en"")"),"A) 10-15 minutes; B) 30 minutes; C) 1 hour; D) depending on the cow's ability.")</f>
        <v>A) 10-15 minutes; B) 30 minutes; C) 1 hour; D) depending on the cow's ability.</v>
      </c>
      <c r="D27" s="5" t="str">
        <f>IFERROR(__xludf.DUMMYFUNCTION("GOOGLETRANSLATE(J27, ""th"", ""en"")"),"D) Depends on the ability of the cow.")</f>
        <v>D) Depends on the ability of the cow.</v>
      </c>
      <c r="E27" s="5" t="str">
        <f>IFERROR(__xludf.DUMMYFUNCTION("GOOGLETRANSLATE(K27, ""th"", ""en"")"),"The duration of the fight depends on each individual bull.")</f>
        <v>The duration of the fight depends on each individual bull.</v>
      </c>
      <c r="G27" s="6">
        <v>26.0</v>
      </c>
      <c r="H27" s="7" t="s">
        <v>100</v>
      </c>
      <c r="I27" s="7" t="s">
        <v>101</v>
      </c>
      <c r="J27" s="7" t="s">
        <v>102</v>
      </c>
      <c r="K27" s="7" t="s">
        <v>103</v>
      </c>
    </row>
    <row r="28" ht="14.25" customHeight="1">
      <c r="A28" s="4">
        <v>27.0</v>
      </c>
      <c r="B28" s="5" t="str">
        <f>IFERROR(__xludf.DUMMYFUNCTION("GOOGLETRANSLATE(H28, ""th"", ""en"")"),"What role did bullfighting play in the past in developing skills?")</f>
        <v>What role did bullfighting play in the past in developing skills?</v>
      </c>
      <c r="C28" s="5" t="str">
        <f>IFERROR(__xludf.DUMMYFUNCTION("GOOGLETRANSLATE(I28, ""th"", ""en"")"),"A) animal husbandry; B) cattle development; C) community grouping; D) all")</f>
        <v>A) animal husbandry; B) cattle development; C) community grouping; D) all</v>
      </c>
      <c r="D28" s="5" t="str">
        <f>IFERROR(__xludf.DUMMYFUNCTION("GOOGLETRANSLATE(J28, ""th"", ""en"")"),"D) All")</f>
        <v>D) All</v>
      </c>
      <c r="E28" s="5" t="str">
        <f>IFERROR(__xludf.DUMMYFUNCTION("GOOGLETRANSLATE(K28, ""th"", ""en"")"),"Bullfighting develops many skills related to the community.")</f>
        <v>Bullfighting develops many skills related to the community.</v>
      </c>
      <c r="G28" s="6">
        <v>27.0</v>
      </c>
      <c r="H28" s="7" t="s">
        <v>104</v>
      </c>
      <c r="I28" s="7" t="s">
        <v>105</v>
      </c>
      <c r="J28" s="7" t="s">
        <v>48</v>
      </c>
      <c r="K28" s="7" t="s">
        <v>106</v>
      </c>
    </row>
    <row r="29" ht="14.25" customHeight="1">
      <c r="A29" s="4">
        <v>28.0</v>
      </c>
      <c r="B29" s="5" t="str">
        <f>IFERROR(__xludf.DUMMYFUNCTION("GOOGLETRANSLATE(H29, ""th"", ""en"")"),"How did cattle fighting in the past pass on knowledge about cattle raising?")</f>
        <v>How did cattle fighting in the past pass on knowledge about cattle raising?</v>
      </c>
      <c r="C29" s="5" t="str">
        <f>IFERROR(__xludf.DUMMYFUNCTION("GOOGLETRANSLATE(I29, ""th"", ""en"")"),"A) through tradition; B) through family; C) through storytelling; D) all")</f>
        <v>A) through tradition; B) through family; C) through storytelling; D) all</v>
      </c>
      <c r="D29" s="5" t="str">
        <f>IFERROR(__xludf.DUMMYFUNCTION("GOOGLETRANSLATE(J29, ""th"", ""en"")"),"D) All")</f>
        <v>D) All</v>
      </c>
      <c r="E29" s="5" t="str">
        <f>IFERROR(__xludf.DUMMYFUNCTION("GOOGLETRANSLATE(K29, ""th"", ""en"")"),"Knowledge transfer takes place in many forms, both within families and communities.")</f>
        <v>Knowledge transfer takes place in many forms, both within families and communities.</v>
      </c>
      <c r="G29" s="6">
        <v>28.0</v>
      </c>
      <c r="H29" s="7" t="s">
        <v>107</v>
      </c>
      <c r="I29" s="7" t="s">
        <v>108</v>
      </c>
      <c r="J29" s="7" t="s">
        <v>48</v>
      </c>
      <c r="K29" s="7" t="s">
        <v>109</v>
      </c>
    </row>
    <row r="30" ht="14.25" customHeight="1">
      <c r="A30" s="4">
        <v>29.0</v>
      </c>
      <c r="B30" s="5" t="str">
        <f>IFERROR(__xludf.DUMMYFUNCTION("GOOGLETRANSLATE(H30, ""th"", ""en"")"),"In what ways did bullfighting in the past affect Thai society?")</f>
        <v>In what ways did bullfighting in the past affect Thai society?</v>
      </c>
      <c r="C30" s="5" t="str">
        <f>IFERROR(__xludf.DUMMYFUNCTION("GOOGLETRANSLATE(I30, ""th"", ""en"")"),"A) culture; B) economy; C) agriculture; D) all")</f>
        <v>A) culture; B) economy; C) agriculture; D) all</v>
      </c>
      <c r="D30" s="5" t="str">
        <f>IFERROR(__xludf.DUMMYFUNCTION("GOOGLETRANSLATE(J30, ""th"", ""en"")"),"D) All")</f>
        <v>D) All</v>
      </c>
      <c r="E30" s="5" t="str">
        <f>IFERROR(__xludf.DUMMYFUNCTION("GOOGLETRANSLATE(K30, ""th"", ""en"")"),"Bullfighting has cultural, economic, and agricultural impacts.")</f>
        <v>Bullfighting has cultural, economic, and agricultural impacts.</v>
      </c>
      <c r="G30" s="6">
        <v>29.0</v>
      </c>
      <c r="H30" s="7" t="s">
        <v>110</v>
      </c>
      <c r="I30" s="7" t="s">
        <v>111</v>
      </c>
      <c r="J30" s="7" t="s">
        <v>48</v>
      </c>
      <c r="K30" s="7" t="s">
        <v>112</v>
      </c>
    </row>
    <row r="31" ht="14.25" customHeight="1">
      <c r="A31" s="4">
        <v>30.0</v>
      </c>
      <c r="B31" s="5" t="str">
        <f>IFERROR(__xludf.DUMMYFUNCTION("GOOGLETRANSLATE(H31, ""th"", ""en"")"),"Have bullfights ever been recorded in historical documents?")</f>
        <v>Have bullfights ever been recorded in historical documents?</v>
      </c>
      <c r="C31" s="5" t="str">
        <f>IFERROR(__xludf.DUMMYFUNCTION("GOOGLETRANSLATE(I31, ""th"", ""en"")"),"A) Yes; B) No; C) Only in some areas; D) Not sure")</f>
        <v>A) Yes; B) No; C) Only in some areas; D) Not sure</v>
      </c>
      <c r="D31" s="5" t="str">
        <f>IFERROR(__xludf.DUMMYFUNCTION("GOOGLETRANSLATE(J31, ""th"", ""en"")"),"C) Available only in some areas.")</f>
        <v>C) Available only in some areas.</v>
      </c>
      <c r="E31" s="5" t="str">
        <f>IFERROR(__xludf.DUMMYFUNCTION("GOOGLETRANSLATE(K31, ""th"", ""en"")"),"Bullfighting in the past was often recorded in regional histories.")</f>
        <v>Bullfighting in the past was often recorded in regional histories.</v>
      </c>
      <c r="G31" s="6">
        <v>30.0</v>
      </c>
      <c r="H31" s="7" t="s">
        <v>113</v>
      </c>
      <c r="I31" s="7" t="s">
        <v>114</v>
      </c>
      <c r="J31" s="7" t="s">
        <v>115</v>
      </c>
      <c r="K31" s="7" t="s">
        <v>116</v>
      </c>
    </row>
    <row r="32" ht="14.25" customHeight="1">
      <c r="A32" s="4">
        <v>31.0</v>
      </c>
      <c r="B32" s="5" t="str">
        <f>IFERROR(__xludf.DUMMYFUNCTION("GOOGLETRANSLATE(H32, ""th"", ""en"")"),"In what year did bullfighting begin to be recorded in Thai history?")</f>
        <v>In what year did bullfighting begin to be recorded in Thai history?</v>
      </c>
      <c r="C32" s="5" t="str">
        <f>IFERROR(__xludf.DUMMYFUNCTION("GOOGLETRANSLATE(I32, ""th"", ""en"")"),"A) 1500; B) 1600; C) 1700; D) 1800")</f>
        <v>A) 1500; B) 1600; C) 1700; D) 1800</v>
      </c>
      <c r="D32" s="5" t="str">
        <f>IFERROR(__xludf.DUMMYFUNCTION("GOOGLETRANSLATE(J32, ""th"", ""en"")"),"C) 1700")</f>
        <v>C) 1700</v>
      </c>
      <c r="E32" s="5" t="str">
        <f>IFERROR(__xludf.DUMMYFUNCTION("GOOGLETRANSLATE(K32, ""th"", ""en"")"),"Bullfighting in Thailand began to be recorded in history during the Ayutthaya period.")</f>
        <v>Bullfighting in Thailand began to be recorded in history during the Ayutthaya period.</v>
      </c>
      <c r="G32" s="6">
        <v>31.0</v>
      </c>
      <c r="H32" s="7" t="s">
        <v>117</v>
      </c>
      <c r="I32" s="7" t="s">
        <v>118</v>
      </c>
      <c r="J32" s="7" t="s">
        <v>119</v>
      </c>
      <c r="K32" s="7" t="s">
        <v>120</v>
      </c>
    </row>
    <row r="33" ht="14.25" customHeight="1">
      <c r="A33" s="4">
        <v>32.0</v>
      </c>
      <c r="B33" s="5" t="str">
        <f>IFERROR(__xludf.DUMMYFUNCTION("GOOGLETRANSLATE(H33, ""th"", ""en"")"),"Bullfighting in Thailand plays an important role in the culture of which region?")</f>
        <v>Bullfighting in Thailand plays an important role in the culture of which region?</v>
      </c>
      <c r="C33" s="5" t="str">
        <f>IFERROR(__xludf.DUMMYFUNCTION("GOOGLETRANSLATE(I33, ""th"", ""en"")"),"A) Northern region; B) Southern region; C) Eastern region; D) Western region")</f>
        <v>A) Northern region; B) Southern region; C) Eastern region; D) Western region</v>
      </c>
      <c r="D33" s="5" t="str">
        <f>IFERROR(__xludf.DUMMYFUNCTION("GOOGLETRANSLATE(J33, ""th"", ""en"")"),"B) Southern region")</f>
        <v>B) Southern region</v>
      </c>
      <c r="E33" s="5" t="str">
        <f>IFERROR(__xludf.DUMMYFUNCTION("GOOGLETRANSLATE(K33, ""th"", ""en"")"),"Bullfighting plays an important role in southern Thailand, especially in Nakhon Si Thammarat Province.")</f>
        <v>Bullfighting plays an important role in southern Thailand, especially in Nakhon Si Thammarat Province.</v>
      </c>
      <c r="G33" s="6">
        <v>32.0</v>
      </c>
      <c r="H33" s="7" t="s">
        <v>121</v>
      </c>
      <c r="I33" s="7" t="s">
        <v>122</v>
      </c>
      <c r="J33" s="7" t="s">
        <v>56</v>
      </c>
      <c r="K33" s="7" t="s">
        <v>123</v>
      </c>
    </row>
    <row r="34" ht="14.25" customHeight="1">
      <c r="A34" s="4">
        <v>33.0</v>
      </c>
      <c r="B34" s="5" t="str">
        <f>IFERROR(__xludf.DUMMYFUNCTION("GOOGLETRANSLATE(H34, ""th"", ""en"")"),"Before bullfighting in Thailand, how were bulls trained?")</f>
        <v>Before bullfighting in Thailand, how were bulls trained?</v>
      </c>
      <c r="C34" s="5" t="str">
        <f>IFERROR(__xludf.DUMMYFUNCTION("GOOGLETRANSLATE(I34, ""th"", ""en"")"),"A) Training in the pasture; B) Training in the arena; C) Training in the cattle pen; D) Training through fighting with other animals.")</f>
        <v>A) Training in the pasture; B) Training in the arena; C) Training in the cattle pen; D) Training through fighting with other animals.</v>
      </c>
      <c r="D34" s="5" t="str">
        <f>IFERROR(__xludf.DUMMYFUNCTION("GOOGLETRANSLATE(J34, ""th"", ""en"")"),"C) Training in the cowshed")</f>
        <v>C) Training in the cowshed</v>
      </c>
      <c r="E34" s="5" t="str">
        <f>IFERROR(__xludf.DUMMYFUNCTION("GOOGLETRANSLATE(K34, ""th"", ""en"")"),"Bullfighting training is usually done in a confined area for control and skill training.")</f>
        <v>Bullfighting training is usually done in a confined area for control and skill training.</v>
      </c>
      <c r="G34" s="6">
        <v>33.0</v>
      </c>
      <c r="H34" s="7" t="s">
        <v>124</v>
      </c>
      <c r="I34" s="7" t="s">
        <v>125</v>
      </c>
      <c r="J34" s="7" t="s">
        <v>126</v>
      </c>
      <c r="K34" s="7" t="s">
        <v>127</v>
      </c>
    </row>
    <row r="35" ht="14.25" customHeight="1">
      <c r="A35" s="4">
        <v>34.0</v>
      </c>
      <c r="B35" s="5" t="str">
        <f>IFERROR(__xludf.DUMMYFUNCTION("GOOGLETRANSLATE(H35, ""th"", ""en"")"),"In which year was bullfighting first supported by the government?")</f>
        <v>In which year was bullfighting first supported by the government?</v>
      </c>
      <c r="C35" s="5" t="str">
        <f>IFERROR(__xludf.DUMMYFUNCTION("GOOGLETRANSLATE(I35, ""th"", ""en"")"),"A) 1900; B) 1920; C) 1940; D) 1970")</f>
        <v>A) 1900; B) 1920; C) 1940; D) 1970</v>
      </c>
      <c r="D35" s="5" t="str">
        <f>IFERROR(__xludf.DUMMYFUNCTION("GOOGLETRANSLATE(J35, ""th"", ""en"")"),"B) 1920")</f>
        <v>B) 1920</v>
      </c>
      <c r="E35" s="5" t="str">
        <f>IFERROR(__xludf.DUMMYFUNCTION("GOOGLETRANSLATE(K35, ""th"", ""en"")"),"Government support began in the 1920s during the development of the sport.")</f>
        <v>Government support began in the 1920s during the development of the sport.</v>
      </c>
      <c r="G35" s="6">
        <v>34.0</v>
      </c>
      <c r="H35" s="7" t="s">
        <v>128</v>
      </c>
      <c r="I35" s="7" t="s">
        <v>129</v>
      </c>
      <c r="J35" s="7" t="s">
        <v>130</v>
      </c>
      <c r="K35" s="7" t="s">
        <v>131</v>
      </c>
    </row>
    <row r="36" ht="14.25" customHeight="1">
      <c r="A36" s="4">
        <v>35.0</v>
      </c>
      <c r="B36" s="5" t="str">
        <f>IFERROR(__xludf.DUMMYFUNCTION("GOOGLETRANSLATE(H36, ""th"", ""en"")"),"Was bullfighting an important occupation in ancient times?")</f>
        <v>Was bullfighting an important occupation in ancient times?</v>
      </c>
      <c r="C36" s="5" t="str">
        <f>IFERROR(__xludf.DUMMYFUNCTION("GOOGLETRANSLATE(I36, ""th"", ""en"")"),"A) Yes; B) No; C) Some areas; D) Not sure")</f>
        <v>A) Yes; B) No; C) Some areas; D) Not sure</v>
      </c>
      <c r="D36" s="5" t="str">
        <f>IFERROR(__xludf.DUMMYFUNCTION("GOOGLETRANSLATE(J36, ""th"", ""en"")"),"A) Yes.")</f>
        <v>A) Yes.</v>
      </c>
      <c r="E36" s="5" t="str">
        <f>IFERROR(__xludf.DUMMYFUNCTION("GOOGLETRANSLATE(K36, ""th"", ""en"")"),"In the past, bullfighting was an important occupation in some communities.")</f>
        <v>In the past, bullfighting was an important occupation in some communities.</v>
      </c>
      <c r="G36" s="6">
        <v>35.0</v>
      </c>
      <c r="H36" s="7" t="s">
        <v>132</v>
      </c>
      <c r="I36" s="7" t="s">
        <v>133</v>
      </c>
      <c r="J36" s="7" t="s">
        <v>134</v>
      </c>
      <c r="K36" s="7" t="s">
        <v>135</v>
      </c>
    </row>
    <row r="37" ht="14.25" customHeight="1">
      <c r="A37" s="4">
        <v>36.0</v>
      </c>
      <c r="B37" s="5" t="str">
        <f>IFERROR(__xludf.DUMMYFUNCTION("GOOGLETRANSLATE(H37, ""th"", ""en"")"),"On what day of the year were bullfights held in the past?")</f>
        <v>On what day of the year were bullfights held in the past?</v>
      </c>
      <c r="C37" s="5" t="str">
        <f>IFERROR(__xludf.DUMMYFUNCTION("GOOGLETRANSLATE(I37, ""th"", ""en"")"),"A) all year round; B) during important festivals; C) during the rainy season; D) during the summer")</f>
        <v>A) all year round; B) during important festivals; C) during the rainy season; D) during the summer</v>
      </c>
      <c r="D37" s="5" t="str">
        <f>IFERROR(__xludf.DUMMYFUNCTION("GOOGLETRANSLATE(J37, ""th"", ""en"")"),"B) On important festivals")</f>
        <v>B) On important festivals</v>
      </c>
      <c r="E37" s="5" t="str">
        <f>IFERROR(__xludf.DUMMYFUNCTION("GOOGLETRANSLATE(K37, ""th"", ""en"")"),"Bullfighting competitions are often held during important festivals in each community.")</f>
        <v>Bullfighting competitions are often held during important festivals in each community.</v>
      </c>
      <c r="G37" s="6">
        <v>36.0</v>
      </c>
      <c r="H37" s="7" t="s">
        <v>136</v>
      </c>
      <c r="I37" s="7" t="s">
        <v>137</v>
      </c>
      <c r="J37" s="7" t="s">
        <v>138</v>
      </c>
      <c r="K37" s="7" t="s">
        <v>139</v>
      </c>
    </row>
    <row r="38" ht="14.25" customHeight="1">
      <c r="A38" s="4">
        <v>37.0</v>
      </c>
      <c r="B38" s="5" t="str">
        <f>IFERROR(__xludf.DUMMYFUNCTION("GOOGLETRANSLATE(H38, ""th"", ""en"")"),"Bullfighting in Thailand was preserved by which group in the past?")</f>
        <v>Bullfighting in Thailand was preserved by which group in the past?</v>
      </c>
      <c r="C38" s="5" t="str">
        <f>IFERROR(__xludf.DUMMYFUNCTION("GOOGLETRANSLATE(I38, ""th"", ""en"")"),"A) farmers; B) fishermen; C) monks; D) villagers")</f>
        <v>A) farmers; B) fishermen; C) monks; D) villagers</v>
      </c>
      <c r="D38" s="5" t="str">
        <f>IFERROR(__xludf.DUMMYFUNCTION("GOOGLETRANSLATE(J38, ""th"", ""en"")"),"D) Village community")</f>
        <v>D) Village community</v>
      </c>
      <c r="E38" s="5" t="str">
        <f>IFERROR(__xludf.DUMMYFUNCTION("GOOGLETRANSLATE(K38, ""th"", ""en"")"),"Bullfighting has been preserved and passed down from generation to generation in local communities.")</f>
        <v>Bullfighting has been preserved and passed down from generation to generation in local communities.</v>
      </c>
      <c r="G38" s="6">
        <v>37.0</v>
      </c>
      <c r="H38" s="7" t="s">
        <v>140</v>
      </c>
      <c r="I38" s="7" t="s">
        <v>141</v>
      </c>
      <c r="J38" s="7" t="s">
        <v>142</v>
      </c>
      <c r="K38" s="7" t="s">
        <v>143</v>
      </c>
    </row>
    <row r="39" ht="14.25" customHeight="1">
      <c r="A39" s="4">
        <v>38.0</v>
      </c>
      <c r="B39" s="5" t="str">
        <f>IFERROR(__xludf.DUMMYFUNCTION("GOOGLETRANSLATE(H39, ""th"", ""en"")"),"When was bullfighting banned in Thailand?")</f>
        <v>When was bullfighting banned in Thailand?</v>
      </c>
      <c r="C39" s="5" t="str">
        <f>IFERROR(__xludf.DUMMYFUNCTION("GOOGLETRANSLATE(I39, ""th"", ""en"")"),"A) Ayutthaya period; B) Rattanakosin period; C) Thonburi period; D) Military government period")</f>
        <v>A) Ayutthaya period; B) Rattanakosin period; C) Thonburi period; D) Military government period</v>
      </c>
      <c r="D39" s="5" t="str">
        <f>IFERROR(__xludf.DUMMYFUNCTION("GOOGLETRANSLATE(J39, ""th"", ""en"")"),"B) Rattanakosin period")</f>
        <v>B) Rattanakosin period</v>
      </c>
      <c r="E39" s="5" t="str">
        <f>IFERROR(__xludf.DUMMYFUNCTION("GOOGLETRANSLATE(K39, ""th"", ""en"")"),"Bull fighting was banned for some periods during the Rattanakosin period for moral reasons.")</f>
        <v>Bull fighting was banned for some periods during the Rattanakosin period for moral reasons.</v>
      </c>
      <c r="G39" s="6">
        <v>38.0</v>
      </c>
      <c r="H39" s="7" t="s">
        <v>144</v>
      </c>
      <c r="I39" s="7" t="s">
        <v>145</v>
      </c>
      <c r="J39" s="7" t="s">
        <v>146</v>
      </c>
      <c r="K39" s="7" t="s">
        <v>147</v>
      </c>
    </row>
    <row r="40" ht="14.25" customHeight="1">
      <c r="A40" s="4">
        <v>39.0</v>
      </c>
      <c r="B40" s="5" t="str">
        <f>IFERROR(__xludf.DUMMYFUNCTION("GOOGLETRANSLATE(H40, ""th"", ""en"")"),"What breed of bulls were often used in ancient bullfights?")</f>
        <v>What breed of bulls were often used in ancient bullfights?</v>
      </c>
      <c r="C40" s="5" t="str">
        <f>IFERROR(__xludf.DUMMYFUNCTION("GOOGLETRANSLATE(I40, ""th"", ""en"")"),"A) Elephant breed cattle; B) Native Thai breed cattle; C) Foreign breed cattle; D) European breed cattle")</f>
        <v>A) Elephant breed cattle; B) Native Thai breed cattle; C) Foreign breed cattle; D) European breed cattle</v>
      </c>
      <c r="D40" s="5" t="str">
        <f>IFERROR(__xludf.DUMMYFUNCTION("GOOGLETRANSLATE(J40, ""th"", ""en"")"),"B) Native Thai cattle")</f>
        <v>B) Native Thai cattle</v>
      </c>
      <c r="E40" s="5" t="str">
        <f>IFERROR(__xludf.DUMMYFUNCTION("GOOGLETRANSLATE(K40, ""th"", ""en"")"),"Fighting bulls are usually native breeds that are strong and durable.")</f>
        <v>Fighting bulls are usually native breeds that are strong and durable.</v>
      </c>
      <c r="G40" s="6">
        <v>39.0</v>
      </c>
      <c r="H40" s="7" t="s">
        <v>148</v>
      </c>
      <c r="I40" s="7" t="s">
        <v>149</v>
      </c>
      <c r="J40" s="7" t="s">
        <v>150</v>
      </c>
      <c r="K40" s="7" t="s">
        <v>151</v>
      </c>
    </row>
    <row r="41" ht="14.25" customHeight="1">
      <c r="A41" s="4">
        <v>40.0</v>
      </c>
      <c r="B41" s="5" t="str">
        <f>IFERROR(__xludf.DUMMYFUNCTION("GOOGLETRANSLATE(H41, ""th"", ""en"")"),"In ancient times, what tools were often used to increase the fun of bullfighting?")</f>
        <v>In ancient times, what tools were often used to increase the fun of bullfighting?</v>
      </c>
      <c r="C41" s="5" t="str">
        <f>IFERROR(__xludf.DUMMYFUNCTION("GOOGLETRANSLATE(I41, ""th"", ""en"")"),"A) musical instruments; B) special clothing; C) lion dance; D) contest organization")</f>
        <v>A) musical instruments; B) special clothing; C) lion dance; D) contest organization</v>
      </c>
      <c r="D41" s="5" t="str">
        <f>IFERROR(__xludf.DUMMYFUNCTION("GOOGLETRANSLATE(J41, ""th"", ""en"")"),"A) Musical instruments")</f>
        <v>A) Musical instruments</v>
      </c>
      <c r="E41" s="5" t="str">
        <f>IFERROR(__xludf.DUMMYFUNCTION("GOOGLETRANSLATE(K41, ""th"", ""en"")"),"Bullfighting is often accompanied by the use of musical instruments to add entertainment to the audience.")</f>
        <v>Bullfighting is often accompanied by the use of musical instruments to add entertainment to the audience.</v>
      </c>
      <c r="G41" s="6">
        <v>40.0</v>
      </c>
      <c r="H41" s="7" t="s">
        <v>152</v>
      </c>
      <c r="I41" s="7" t="s">
        <v>153</v>
      </c>
      <c r="J41" s="7" t="s">
        <v>154</v>
      </c>
      <c r="K41" s="7" t="s">
        <v>155</v>
      </c>
    </row>
    <row r="42" ht="14.25" customHeight="1">
      <c r="A42" s="4">
        <v>41.0</v>
      </c>
      <c r="B42" s="5" t="str">
        <f>IFERROR(__xludf.DUMMYFUNCTION("GOOGLETRANSLATE(H42, ""th"", ""en"")"),"How has bullfighting in Thailand changed during the Rattanakosin period?")</f>
        <v>How has bullfighting in Thailand changed during the Rattanakosin period?</v>
      </c>
      <c r="C42" s="5" t="str">
        <f>IFERROR(__xludf.DUMMYFUNCTION("GOOGLETRANSLATE(I42, ""th"", ""en"")"),"A) technical development; B) increasing equipment; C) developing rules; D) decreasing betting.")</f>
        <v>A) technical development; B) increasing equipment; C) developing rules; D) decreasing betting.</v>
      </c>
      <c r="D42" s="5" t="str">
        <f>IFERROR(__xludf.DUMMYFUNCTION("GOOGLETRANSLATE(J42, ""th"", ""en"")"),"C) Development of rules")</f>
        <v>C) Development of rules</v>
      </c>
      <c r="E42" s="5" t="str">
        <f>IFERROR(__xludf.DUMMYFUNCTION("GOOGLETRANSLATE(K42, ""th"", ""en"")"),"During the Rattanakosin period, the rules of bullfighting were developed to ensure fair play.")</f>
        <v>During the Rattanakosin period, the rules of bullfighting were developed to ensure fair play.</v>
      </c>
      <c r="G42" s="6">
        <v>41.0</v>
      </c>
      <c r="H42" s="7" t="s">
        <v>156</v>
      </c>
      <c r="I42" s="7" t="s">
        <v>157</v>
      </c>
      <c r="J42" s="7" t="s">
        <v>158</v>
      </c>
      <c r="K42" s="7" t="s">
        <v>159</v>
      </c>
    </row>
    <row r="43" ht="14.25" customHeight="1">
      <c r="A43" s="4">
        <v>42.0</v>
      </c>
      <c r="B43" s="5" t="str">
        <f>IFERROR(__xludf.DUMMYFUNCTION("GOOGLETRANSLATE(H43, ""th"", ""en"")"),"Where were bullfighting competitions held in early Thailand?")</f>
        <v>Where were bullfighting competitions held in early Thailand?</v>
      </c>
      <c r="C43" s="5" t="str">
        <f>IFERROR(__xludf.DUMMYFUNCTION("GOOGLETRANSLATE(I43, ""th"", ""en"")"),"A) Central Market; B) Community Square; C) Temple; D) Residence")</f>
        <v>A) Central Market; B) Community Square; C) Temple; D) Residence</v>
      </c>
      <c r="D43" s="5" t="str">
        <f>IFERROR(__xludf.DUMMYFUNCTION("GOOGLETRANSLATE(J43, ""th"", ""en"")"),"B) Community square")</f>
        <v>B) Community square</v>
      </c>
      <c r="E43" s="5" t="str">
        <f>IFERROR(__xludf.DUMMYFUNCTION("GOOGLETRANSLATE(K43, ""th"", ""en"")"),"In the early days, bullfights were often held in the village or community square.")</f>
        <v>In the early days, bullfights were often held in the village or community square.</v>
      </c>
      <c r="G43" s="6">
        <v>42.0</v>
      </c>
      <c r="H43" s="7" t="s">
        <v>160</v>
      </c>
      <c r="I43" s="7" t="s">
        <v>161</v>
      </c>
      <c r="J43" s="7" t="s">
        <v>162</v>
      </c>
      <c r="K43" s="7" t="s">
        <v>163</v>
      </c>
    </row>
    <row r="44" ht="14.25" customHeight="1">
      <c r="A44" s="4">
        <v>43.0</v>
      </c>
      <c r="B44" s="5" t="str">
        <f>IFERROR(__xludf.DUMMYFUNCTION("GOOGLETRANSLATE(H44, ""th"", ""en"")"),"What was used in bullfighting in the past to improve results?")</f>
        <v>What was used in bullfighting in the past to improve results?</v>
      </c>
      <c r="C44" s="5" t="str">
        <f>IFERROR(__xludf.DUMMYFUNCTION("GOOGLETRANSLATE(I44, ""th"", ""en"")"),"A) practice; B) betting; C) gambling; D) study")</f>
        <v>A) practice; B) betting; C) gambling; D) study</v>
      </c>
      <c r="D44" s="5" t="str">
        <f>IFERROR(__xludf.DUMMYFUNCTION("GOOGLETRANSLATE(J44, ""th"", ""en"")"),"A) Training")</f>
        <v>A) Training</v>
      </c>
      <c r="E44" s="5" t="str">
        <f>IFERROR(__xludf.DUMMYFUNCTION("GOOGLETRANSLATE(K44, ""th"", ""en"")"),"Training is essential to improve the results of bullfighting.")</f>
        <v>Training is essential to improve the results of bullfighting.</v>
      </c>
      <c r="G44" s="6">
        <v>43.0</v>
      </c>
      <c r="H44" s="7" t="s">
        <v>164</v>
      </c>
      <c r="I44" s="7" t="s">
        <v>165</v>
      </c>
      <c r="J44" s="7" t="s">
        <v>166</v>
      </c>
      <c r="K44" s="7" t="s">
        <v>167</v>
      </c>
    </row>
    <row r="45" ht="14.25" customHeight="1">
      <c r="A45" s="4">
        <v>44.0</v>
      </c>
      <c r="B45" s="5" t="str">
        <f>IFERROR(__xludf.DUMMYFUNCTION("GOOGLETRANSLATE(H45, ""th"", ""en"")"),"In the past, bullfighting helped to develop whose career?")</f>
        <v>In the past, bullfighting helped to develop whose career?</v>
      </c>
      <c r="C45" s="5" t="str">
        <f>IFERROR(__xludf.DUMMYFUNCTION("GOOGLETRANSLATE(I45, ""th"", ""en"")"),"A) farmer; B) trader; C) fisherman; D) athlete")</f>
        <v>A) farmer; B) trader; C) fisherman; D) athlete</v>
      </c>
      <c r="D45" s="5" t="str">
        <f>IFERROR(__xludf.DUMMYFUNCTION("GOOGLETRANSLATE(J45, ""th"", ""en"")"),"A) Farmers")</f>
        <v>A) Farmers</v>
      </c>
      <c r="E45" s="5" t="str">
        <f>IFERROR(__xludf.DUMMYFUNCTION("GOOGLETRANSLATE(K45, ""th"", ""en"")"),"Bullfighting helps to strengthen the livelihoods of farmers, especially in rural areas.")</f>
        <v>Bullfighting helps to strengthen the livelihoods of farmers, especially in rural areas.</v>
      </c>
      <c r="G45" s="6">
        <v>44.0</v>
      </c>
      <c r="H45" s="7" t="s">
        <v>168</v>
      </c>
      <c r="I45" s="7" t="s">
        <v>169</v>
      </c>
      <c r="J45" s="7" t="s">
        <v>170</v>
      </c>
      <c r="K45" s="7" t="s">
        <v>171</v>
      </c>
    </row>
    <row r="46" ht="14.25" customHeight="1">
      <c r="A46" s="4">
        <v>45.0</v>
      </c>
      <c r="B46" s="5" t="str">
        <f>IFERROR(__xludf.DUMMYFUNCTION("GOOGLETRANSLATE(H46, ""th"", ""en"")"),"How long did early bullfights last?")</f>
        <v>How long did early bullfights last?</v>
      </c>
      <c r="C46" s="5" t="str">
        <f>IFERROR(__xludf.DUMMYFUNCTION("GOOGLETRANSLATE(I46, ""th"", ""en"")"),"A) 10-15 minutes; B) 20-30 minutes; C) 45-60 minutes; D) more than an hour")</f>
        <v>A) 10-15 minutes; B) 20-30 minutes; C) 45-60 minutes; D) more than an hour</v>
      </c>
      <c r="D46" s="5" t="str">
        <f>IFERROR(__xludf.DUMMYFUNCTION("GOOGLETRANSLATE(J46, ""th"", ""en"")"),"B) 20-30 minutes")</f>
        <v>B) 20-30 minutes</v>
      </c>
      <c r="E46" s="5" t="str">
        <f>IFERROR(__xludf.DUMMYFUNCTION("GOOGLETRANSLATE(K46, ""th"", ""en"")"),"Early bullfights typically lasted 20-30 minutes.")</f>
        <v>Early bullfights typically lasted 20-30 minutes.</v>
      </c>
      <c r="G46" s="6">
        <v>45.0</v>
      </c>
      <c r="H46" s="7" t="s">
        <v>172</v>
      </c>
      <c r="I46" s="7" t="s">
        <v>173</v>
      </c>
      <c r="J46" s="7" t="s">
        <v>174</v>
      </c>
      <c r="K46" s="7" t="s">
        <v>175</v>
      </c>
    </row>
    <row r="47" ht="14.25" customHeight="1">
      <c r="A47" s="4">
        <v>46.0</v>
      </c>
      <c r="B47" s="5" t="str">
        <f>IFERROR(__xludf.DUMMYFUNCTION("GOOGLETRANSLATE(H47, ""th"", ""en"")"),"What type of bullfighting competition was organized in the Rattanakosin period?")</f>
        <v>What type of bullfighting competition was organized in the Rattanakosin period?</v>
      </c>
      <c r="C47" s="5" t="str">
        <f>IFERROR(__xludf.DUMMYFUNCTION("GOOGLETRANSLATE(I47, ""th"", ""en"")"),"A) Team competition; B) Individual competition; C) Village competition; D) Travel competition")</f>
        <v>A) Team competition; B) Individual competition; C) Village competition; D) Travel competition</v>
      </c>
      <c r="D47" s="5" t="str">
        <f>IFERROR(__xludf.DUMMYFUNCTION("GOOGLETRANSLATE(J47, ""th"", ""en"")"),"B) Singles competition")</f>
        <v>B) Singles competition</v>
      </c>
      <c r="E47" s="5" t="str">
        <f>IFERROR(__xludf.DUMMYFUNCTION("GOOGLETRANSLATE(K47, ""th"", ""en"")"),"In the Rattanakosin period, bullfighting was usually a single competition.")</f>
        <v>In the Rattanakosin period, bullfighting was usually a single competition.</v>
      </c>
      <c r="G47" s="6">
        <v>46.0</v>
      </c>
      <c r="H47" s="7" t="s">
        <v>176</v>
      </c>
      <c r="I47" s="7" t="s">
        <v>177</v>
      </c>
      <c r="J47" s="7" t="s">
        <v>178</v>
      </c>
      <c r="K47" s="7" t="s">
        <v>179</v>
      </c>
    </row>
    <row r="48" ht="14.25" customHeight="1">
      <c r="A48" s="4">
        <v>47.0</v>
      </c>
      <c r="B48" s="5" t="str">
        <f>IFERROR(__xludf.DUMMYFUNCTION("GOOGLETRANSLATE(H48, ""th"", ""en"")"),"What was the purpose of bullfights in the past?")</f>
        <v>What was the purpose of bullfights in the past?</v>
      </c>
      <c r="C48" s="5" t="str">
        <f>IFERROR(__xludf.DUMMYFUNCTION("GOOGLETRANSLATE(I48, ""th"", ""en"")"),"A) to celebrate; B) to promote agriculture; C) to train skills; D) to earn money.")</f>
        <v>A) to celebrate; B) to promote agriculture; C) to train skills; D) to earn money.</v>
      </c>
      <c r="D48" s="5" t="str">
        <f>IFERROR(__xludf.DUMMYFUNCTION("GOOGLETRANSLATE(J48, ""th"", ""en"")"),"A) To celebrate")</f>
        <v>A) To celebrate</v>
      </c>
      <c r="E48" s="5" t="str">
        <f>IFERROR(__xludf.DUMMYFUNCTION("GOOGLETRANSLATE(K48, ""th"", ""en"")"),"Bullfights are often held to celebrate festivals.")</f>
        <v>Bullfights are often held to celebrate festivals.</v>
      </c>
      <c r="G48" s="6">
        <v>47.0</v>
      </c>
      <c r="H48" s="7" t="s">
        <v>180</v>
      </c>
      <c r="I48" s="7" t="s">
        <v>181</v>
      </c>
      <c r="J48" s="7" t="s">
        <v>182</v>
      </c>
      <c r="K48" s="7" t="s">
        <v>183</v>
      </c>
    </row>
    <row r="49" ht="14.25" customHeight="1">
      <c r="A49" s="4">
        <v>48.0</v>
      </c>
      <c r="B49" s="5" t="str">
        <f>IFERROR(__xludf.DUMMYFUNCTION("GOOGLETRANSLATE(H49, ""th"", ""en"")"),"How has bullfighting in Thailand changed over the past 20 years?")</f>
        <v>How has bullfighting in Thailand changed over the past 20 years?</v>
      </c>
      <c r="C49" s="5" t="str">
        <f>IFERROR(__xludf.DUMMYFUNCTION("GOOGLETRANSLATE(I49, ""th"", ""en"")"),"A) Decrease play; B) Increase popularity; C) Increase practice; D) Increase betting.")</f>
        <v>A) Decrease play; B) Increase popularity; C) Increase practice; D) Increase betting.</v>
      </c>
      <c r="D49" s="5" t="str">
        <f>IFERROR(__xludf.DUMMYFUNCTION("GOOGLETRANSLATE(J49, ""th"", ""en"")"),"B) Increase popularity")</f>
        <v>B) Increase popularity</v>
      </c>
      <c r="E49" s="5" t="str">
        <f>IFERROR(__xludf.DUMMYFUNCTION("GOOGLETRANSLATE(K49, ""th"", ""en"")"),"Bullfighting has become increasingly popular over the past 20 years.")</f>
        <v>Bullfighting has become increasingly popular over the past 20 years.</v>
      </c>
      <c r="G49" s="6">
        <v>48.0</v>
      </c>
      <c r="H49" s="7" t="s">
        <v>184</v>
      </c>
      <c r="I49" s="7" t="s">
        <v>185</v>
      </c>
      <c r="J49" s="7" t="s">
        <v>186</v>
      </c>
      <c r="K49" s="7" t="s">
        <v>187</v>
      </c>
    </row>
    <row r="50" ht="14.25" customHeight="1">
      <c r="A50" s="4">
        <v>49.0</v>
      </c>
      <c r="B50" s="5" t="str">
        <f>IFERROR(__xludf.DUMMYFUNCTION("GOOGLETRANSLATE(H50, ""th"", ""en"")"),"To what level did bullfighting in Thailand develop during the 20th century?")</f>
        <v>To what level did bullfighting in Thailand develop during the 20th century?</v>
      </c>
      <c r="C50" s="5" t="str">
        <f>IFERROR(__xludf.DUMMYFUNCTION("GOOGLETRANSLATE(I50, ""th"", ""en"")"),"A) local competition; B) provincial competition; C) national competition; D) international competition")</f>
        <v>A) local competition; B) provincial competition; C) national competition; D) international competition</v>
      </c>
      <c r="D50" s="5" t="str">
        <f>IFERROR(__xludf.DUMMYFUNCTION("GOOGLETRANSLATE(J50, ""th"", ""en"")"),"C) National competition")</f>
        <v>C) National competition</v>
      </c>
      <c r="E50" s="5" t="str">
        <f>IFERROR(__xludf.DUMMYFUNCTION("GOOGLETRANSLATE(K50, ""th"", ""en"")"),"During the 20th century, bullfighting evolved into a national competition.")</f>
        <v>During the 20th century, bullfighting evolved into a national competition.</v>
      </c>
      <c r="G50" s="6">
        <v>49.0</v>
      </c>
      <c r="H50" s="7" t="s">
        <v>188</v>
      </c>
      <c r="I50" s="7" t="s">
        <v>189</v>
      </c>
      <c r="J50" s="7" t="s">
        <v>190</v>
      </c>
      <c r="K50" s="7" t="s">
        <v>191</v>
      </c>
    </row>
    <row r="51" ht="14.25" customHeight="1">
      <c r="A51" s="4">
        <v>50.0</v>
      </c>
      <c r="B51" s="5" t="str">
        <f>IFERROR(__xludf.DUMMYFUNCTION("GOOGLETRANSLATE(H51, ""th"", ""en"")"),"When did bullfighting become internationally recognized?")</f>
        <v>When did bullfighting become internationally recognized?</v>
      </c>
      <c r="C51" s="5" t="str">
        <f>IFERROR(__xludf.DUMMYFUNCTION("GOOGLETRANSLATE(I51, ""th"", ""en"")"),"A) Ayutthaya period; B) Rattanakosin period; C) Present period; D) No acceptance")</f>
        <v>A) Ayutthaya period; B) Rattanakosin period; C) Present period; D) No acceptance</v>
      </c>
      <c r="D51" s="5" t="str">
        <f>IFERROR(__xludf.DUMMYFUNCTION("GOOGLETRANSLATE(J51, ""th"", ""en"")"),"C) Modern times")</f>
        <v>C) Modern times</v>
      </c>
      <c r="E51" s="5" t="str">
        <f>IFERROR(__xludf.DUMMYFUNCTION("GOOGLETRANSLATE(K51, ""th"", ""en"")"),"Bullfighting has gained international recognition in recent times.")</f>
        <v>Bullfighting has gained international recognition in recent times.</v>
      </c>
      <c r="G51" s="6">
        <v>50.0</v>
      </c>
      <c r="H51" s="7" t="s">
        <v>192</v>
      </c>
      <c r="I51" s="7" t="s">
        <v>193</v>
      </c>
      <c r="J51" s="7" t="s">
        <v>194</v>
      </c>
      <c r="K51" s="7" t="s">
        <v>195</v>
      </c>
    </row>
    <row r="52" ht="14.25" customHeight="1">
      <c r="A52" s="4">
        <v>51.0</v>
      </c>
      <c r="B52" s="5" t="str">
        <f>IFERROR(__xludf.DUMMYFUNCTION("GOOGLETRANSLATE(H52, ""th"", ""en"")"),"In the past, were bullfights held on religious holidays?")</f>
        <v>In the past, were bullfights held on religious holidays?</v>
      </c>
      <c r="C52" s="5" t="str">
        <f>IFERROR(__xludf.DUMMYFUNCTION("GOOGLETRANSLATE(I52, ""th"", ""en"")"),"A) Yes; B) No; C) Some cases; D) Not sure")</f>
        <v>A) Yes; B) No; C) Some cases; D) Not sure</v>
      </c>
      <c r="D52" s="5" t="str">
        <f>IFERROR(__xludf.DUMMYFUNCTION("GOOGLETRANSLATE(J52, ""th"", ""en"")"),"A) Yes")</f>
        <v>A) Yes</v>
      </c>
      <c r="E52" s="5" t="str">
        <f>IFERROR(__xludf.DUMMYFUNCTION("GOOGLETRANSLATE(K52, ""th"", ""en"")"),"In the past, bullfights were often held on religious holidays as a supplementary activity.")</f>
        <v>In the past, bullfights were often held on religious holidays as a supplementary activity.</v>
      </c>
      <c r="G52" s="6">
        <v>51.0</v>
      </c>
      <c r="H52" s="7" t="s">
        <v>196</v>
      </c>
      <c r="I52" s="7" t="s">
        <v>197</v>
      </c>
      <c r="J52" s="7" t="s">
        <v>60</v>
      </c>
      <c r="K52" s="7" t="s">
        <v>198</v>
      </c>
    </row>
    <row r="53" ht="14.25" customHeight="1">
      <c r="A53" s="4">
        <v>52.0</v>
      </c>
      <c r="B53" s="5" t="str">
        <f>IFERROR(__xludf.DUMMYFUNCTION("GOOGLETRANSLATE(H53, ""th"", ""en"")"),"Who were the organizers of bullfights in the past?")</f>
        <v>Who were the organizers of bullfights in the past?</v>
      </c>
      <c r="C53" s="5" t="str">
        <f>IFERROR(__xludf.DUMMYFUNCTION("GOOGLETRANSLATE(I53, ""th"", ""en"")"),"A) villagers; B) monks; C) nobles; D) merchants")</f>
        <v>A) villagers; B) monks; C) nobles; D) merchants</v>
      </c>
      <c r="D53" s="5" t="str">
        <f>IFERROR(__xludf.DUMMYFUNCTION("GOOGLETRANSLATE(J53, ""th"", ""en"")"),"C) Nobles")</f>
        <v>C) Nobles</v>
      </c>
      <c r="E53" s="5" t="str">
        <f>IFERROR(__xludf.DUMMYFUNCTION("GOOGLETRANSLATE(K53, ""th"", ""en"")"),"In the past, organizing bullfights was often the responsibility of the responsible nobility.")</f>
        <v>In the past, organizing bullfights was often the responsibility of the responsible nobility.</v>
      </c>
      <c r="G53" s="6">
        <v>52.0</v>
      </c>
      <c r="H53" s="7" t="s">
        <v>199</v>
      </c>
      <c r="I53" s="7" t="s">
        <v>200</v>
      </c>
      <c r="J53" s="7" t="s">
        <v>201</v>
      </c>
      <c r="K53" s="7" t="s">
        <v>202</v>
      </c>
    </row>
    <row r="54" ht="14.25" customHeight="1">
      <c r="A54" s="4">
        <v>53.0</v>
      </c>
      <c r="B54" s="5" t="str">
        <f>IFERROR(__xludf.DUMMYFUNCTION("GOOGLETRANSLATE(H54, ""th"", ""en"")"),"When did bullfighting become popular in Thailand?")</f>
        <v>When did bullfighting become popular in Thailand?</v>
      </c>
      <c r="C54" s="5" t="str">
        <f>IFERROR(__xludf.DUMMYFUNCTION("GOOGLETRANSLATE(I54, ""th"", ""en"")"),"A) Ayutthaya period; B) Rattanakosin period; C) Thonburi period; D) the current government period")</f>
        <v>A) Ayutthaya period; B) Rattanakosin period; C) Thonburi period; D) the current government period</v>
      </c>
      <c r="D54" s="5" t="str">
        <f>IFERROR(__xludf.DUMMYFUNCTION("GOOGLETRANSLATE(J54, ""th"", ""en"")"),"B) Rattanakosin period")</f>
        <v>B) Rattanakosin period</v>
      </c>
      <c r="E54" s="5" t="str">
        <f>IFERROR(__xludf.DUMMYFUNCTION("GOOGLETRANSLATE(K54, ""th"", ""en"")"),"Bullfighting was very popular during the Rattanakosin period, especially in the southern region.")</f>
        <v>Bullfighting was very popular during the Rattanakosin period, especially in the southern region.</v>
      </c>
      <c r="G54" s="6">
        <v>53.0</v>
      </c>
      <c r="H54" s="7" t="s">
        <v>203</v>
      </c>
      <c r="I54" s="7" t="s">
        <v>204</v>
      </c>
      <c r="J54" s="7" t="s">
        <v>146</v>
      </c>
      <c r="K54" s="7" t="s">
        <v>205</v>
      </c>
    </row>
    <row r="55" ht="14.25" customHeight="1">
      <c r="A55" s="4">
        <v>54.0</v>
      </c>
      <c r="B55" s="5" t="str">
        <f>IFERROR(__xludf.DUMMYFUNCTION("GOOGLETRANSLATE(H55, ""th"", ""en"")"),"What type of bullfighting competition was held in ancient times?")</f>
        <v>What type of bullfighting competition was held in ancient times?</v>
      </c>
      <c r="C55" s="5" t="str">
        <f>IFERROR(__xludf.DUMMYFUNCTION("GOOGLETRANSLATE(I55, ""th"", ""en"")"),"A) Individual competition; B) Team competition; C) Village competition; D) National competition")</f>
        <v>A) Individual competition; B) Team competition; C) Village competition; D) National competition</v>
      </c>
      <c r="D55" s="5" t="str">
        <f>IFERROR(__xludf.DUMMYFUNCTION("GOOGLETRANSLATE(J55, ""th"", ""en"")"),"A) Singles competition")</f>
        <v>A) Singles competition</v>
      </c>
      <c r="E55" s="5" t="str">
        <f>IFERROR(__xludf.DUMMYFUNCTION("GOOGLETRANSLATE(K55, ""th"", ""en"")"),"In ancient times, bullfights were often fought between single bulls.")</f>
        <v>In ancient times, bullfights were often fought between single bulls.</v>
      </c>
      <c r="G55" s="6">
        <v>54.0</v>
      </c>
      <c r="H55" s="7" t="s">
        <v>206</v>
      </c>
      <c r="I55" s="7" t="s">
        <v>207</v>
      </c>
      <c r="J55" s="7" t="s">
        <v>208</v>
      </c>
      <c r="K55" s="7" t="s">
        <v>209</v>
      </c>
    </row>
    <row r="56" ht="14.25" customHeight="1">
      <c r="A56" s="4">
        <v>55.0</v>
      </c>
      <c r="B56" s="5" t="str">
        <f>IFERROR(__xludf.DUMMYFUNCTION("GOOGLETRANSLATE(H56, ""th"", ""en"")"),"In what year was bullfighting developed into an official sport in Thailand?")</f>
        <v>In what year was bullfighting developed into an official sport in Thailand?</v>
      </c>
      <c r="C56" s="5" t="str">
        <f>IFERROR(__xludf.DUMMYFUNCTION("GOOGLETRANSLATE(I56, ""th"", ""en"")"),"A) 1900; B) 1920; C) 1940; D) 1970")</f>
        <v>A) 1900; B) 1920; C) 1940; D) 1970</v>
      </c>
      <c r="D56" s="5" t="str">
        <f>IFERROR(__xludf.DUMMYFUNCTION("GOOGLETRANSLATE(J56, ""th"", ""en"")"),"B) 1920")</f>
        <v>B) 1920</v>
      </c>
      <c r="E56" s="5" t="str">
        <f>IFERROR(__xludf.DUMMYFUNCTION("GOOGLETRANSLATE(K56, ""th"", ""en"")"),"Bullfighting began to develop into a formal sport in the 1920s.")</f>
        <v>Bullfighting began to develop into a formal sport in the 1920s.</v>
      </c>
      <c r="G56" s="6">
        <v>55.0</v>
      </c>
      <c r="H56" s="7" t="s">
        <v>210</v>
      </c>
      <c r="I56" s="7" t="s">
        <v>129</v>
      </c>
      <c r="J56" s="7" t="s">
        <v>130</v>
      </c>
      <c r="K56" s="7" t="s">
        <v>211</v>
      </c>
    </row>
    <row r="57" ht="14.25" customHeight="1">
      <c r="A57" s="4">
        <v>56.0</v>
      </c>
      <c r="B57" s="5" t="str">
        <f>IFERROR(__xludf.DUMMYFUNCTION("GOOGLETRANSLATE(H57, ""th"", ""en"")"),"How did bullfighting in the past affect the livelihoods of villagers?")</f>
        <v>How did bullfighting in the past affect the livelihoods of villagers?</v>
      </c>
      <c r="C57" s="5" t="str">
        <f>IFERROR(__xludf.DUMMYFUNCTION("GOOGLETRANSLATE(I57, ""th"", ""en"")"),"A) Helps increase income; B) Provides entertainment; C) Increases knowledge about agriculture; D) Does not affect the career.")</f>
        <v>A) Helps increase income; B) Provides entertainment; C) Increases knowledge about agriculture; D) Does not affect the career.</v>
      </c>
      <c r="D57" s="5" t="str">
        <f>IFERROR(__xludf.DUMMYFUNCTION("GOOGLETRANSLATE(J57, ""th"", ""en"")"),"A) Help increase income")</f>
        <v>A) Help increase income</v>
      </c>
      <c r="E57" s="5" t="str">
        <f>IFERROR(__xludf.DUMMYFUNCTION("GOOGLETRANSLATE(K57, ""th"", ""en"")"),"Bullfighting competitions were once a major source of income for some communities.")</f>
        <v>Bullfighting competitions were once a major source of income for some communities.</v>
      </c>
      <c r="G57" s="6">
        <v>56.0</v>
      </c>
      <c r="H57" s="7" t="s">
        <v>212</v>
      </c>
      <c r="I57" s="7" t="s">
        <v>213</v>
      </c>
      <c r="J57" s="7" t="s">
        <v>214</v>
      </c>
      <c r="K57" s="7" t="s">
        <v>215</v>
      </c>
    </row>
    <row r="58" ht="14.25" customHeight="1">
      <c r="A58" s="4">
        <v>57.0</v>
      </c>
      <c r="B58" s="5" t="str">
        <f>IFERROR(__xludf.DUMMYFUNCTION("GOOGLETRANSLATE(H58, ""th"", ""en"")"),"In the past, bullfighting was often used to celebrate which festival in Thailand?")</f>
        <v>In the past, bullfighting was often used to celebrate which festival in Thailand?</v>
      </c>
      <c r="C58" s="5" t="str">
        <f>IFERROR(__xludf.DUMMYFUNCTION("GOOGLETRANSLATE(I58, ""th"", ""en"")"),"A) Songkran Festival; B) Loi Krathong Festival; C) Buddhist Lent Festival; D) Chinese New Year Festival")</f>
        <v>A) Songkran Festival; B) Loi Krathong Festival; C) Buddhist Lent Festival; D) Chinese New Year Festival</v>
      </c>
      <c r="D58" s="5" t="str">
        <f>IFERROR(__xludf.DUMMYFUNCTION("GOOGLETRANSLATE(J58, ""th"", ""en"")"),"A) Songkran Festival")</f>
        <v>A) Songkran Festival</v>
      </c>
      <c r="E58" s="5" t="str">
        <f>IFERROR(__xludf.DUMMYFUNCTION("GOOGLETRANSLATE(K58, ""th"", ""en"")"),"Bullfighting is often held during the Songkran festival to celebrate.")</f>
        <v>Bullfighting is often held during the Songkran festival to celebrate.</v>
      </c>
      <c r="G58" s="6">
        <v>57.0</v>
      </c>
      <c r="H58" s="7" t="s">
        <v>216</v>
      </c>
      <c r="I58" s="7" t="s">
        <v>217</v>
      </c>
      <c r="J58" s="7" t="s">
        <v>218</v>
      </c>
      <c r="K58" s="7" t="s">
        <v>219</v>
      </c>
    </row>
    <row r="59" ht="14.25" customHeight="1">
      <c r="A59" s="4">
        <v>58.0</v>
      </c>
      <c r="B59" s="5" t="str">
        <f>IFERROR(__xludf.DUMMYFUNCTION("GOOGLETRANSLATE(H59, ""th"", ""en"")"),"Did bullfighting in the past involve betting?")</f>
        <v>Did bullfighting in the past involve betting?</v>
      </c>
      <c r="C59" s="5" t="str">
        <f>IFERROR(__xludf.DUMMYFUNCTION("GOOGLETRANSLATE(I59, ""th"", ""en"")"),"A) Yes; B) No; C) Sometimes; D) It depends on the organizer.")</f>
        <v>A) Yes; B) No; C) Sometimes; D) It depends on the organizer.</v>
      </c>
      <c r="D59" s="5" t="str">
        <f>IFERROR(__xludf.DUMMYFUNCTION("GOOGLETRANSLATE(J59, ""th"", ""en"")"),"A) Yes.")</f>
        <v>A) Yes.</v>
      </c>
      <c r="E59" s="5" t="str">
        <f>IFERROR(__xludf.DUMMYFUNCTION("GOOGLETRANSLATE(K59, ""th"", ""en"")"),"Bullfights in the past often involved betting to increase the excitement for the audience.")</f>
        <v>Bullfights in the past often involved betting to increase the excitement for the audience.</v>
      </c>
      <c r="G59" s="6">
        <v>58.0</v>
      </c>
      <c r="H59" s="7" t="s">
        <v>220</v>
      </c>
      <c r="I59" s="7" t="s">
        <v>221</v>
      </c>
      <c r="J59" s="7" t="s">
        <v>134</v>
      </c>
      <c r="K59" s="7" t="s">
        <v>222</v>
      </c>
    </row>
    <row r="60" ht="14.25" customHeight="1">
      <c r="A60" s="4">
        <v>59.0</v>
      </c>
      <c r="B60" s="5" t="str">
        <f>IFERROR(__xludf.DUMMYFUNCTION("GOOGLETRANSLATE(H60, ""th"", ""en"")"),"When is bullfighting most popular?")</f>
        <v>When is bullfighting most popular?</v>
      </c>
      <c r="C60" s="5" t="str">
        <f>IFERROR(__xludf.DUMMYFUNCTION("GOOGLETRANSLATE(I60, ""th"", ""en"")"),"A) summer; B) rainy season; C) winter; D) all seasons")</f>
        <v>A) summer; B) rainy season; C) winter; D) all seasons</v>
      </c>
      <c r="D60" s="5" t="str">
        <f>IFERROR(__xludf.DUMMYFUNCTION("GOOGLETRANSLATE(J60, ""th"", ""en"")"),"C) Winter")</f>
        <v>C) Winter</v>
      </c>
      <c r="E60" s="5" t="str">
        <f>IFERROR(__xludf.DUMMYFUNCTION("GOOGLETRANSLATE(K60, ""th"", ""en"")"),"Bullfighting is most popular during the winter months when the weather is not too hot.")</f>
        <v>Bullfighting is most popular during the winter months when the weather is not too hot.</v>
      </c>
      <c r="G60" s="6">
        <v>59.0</v>
      </c>
      <c r="H60" s="7" t="s">
        <v>223</v>
      </c>
      <c r="I60" s="7" t="s">
        <v>224</v>
      </c>
      <c r="J60" s="7" t="s">
        <v>225</v>
      </c>
      <c r="K60" s="7" t="s">
        <v>226</v>
      </c>
    </row>
    <row r="61" ht="14.25" customHeight="1">
      <c r="A61" s="4">
        <v>60.0</v>
      </c>
      <c r="B61" s="5" t="str">
        <f>IFERROR(__xludf.DUMMYFUNCTION("GOOGLETRANSLATE(H61, ""th"", ""en"")"),"Where were bullfights held in the past?")</f>
        <v>Where were bullfights held in the past?</v>
      </c>
      <c r="C61" s="5" t="str">
        <f>IFERROR(__xludf.DUMMYFUNCTION("GOOGLETRANSLATE(I61, ""th"", ""en"")"),"A) Sports field; B) Village square; C) Assembly hall; D) Private area")</f>
        <v>A) Sports field; B) Village square; C) Assembly hall; D) Private area</v>
      </c>
      <c r="D61" s="5" t="str">
        <f>IFERROR(__xludf.DUMMYFUNCTION("GOOGLETRANSLATE(J61, ""th"", ""en"")"),"B) Village courtyard")</f>
        <v>B) Village courtyard</v>
      </c>
      <c r="E61" s="5" t="str">
        <f>IFERROR(__xludf.DUMMYFUNCTION("GOOGLETRANSLATE(K61, ""th"", ""en"")"),"In the past, bullfights were often held in village squares or open fields.")</f>
        <v>In the past, bullfights were often held in village squares or open fields.</v>
      </c>
      <c r="G61" s="6">
        <v>60.0</v>
      </c>
      <c r="H61" s="7" t="s">
        <v>227</v>
      </c>
      <c r="I61" s="7" t="s">
        <v>228</v>
      </c>
      <c r="J61" s="7" t="s">
        <v>229</v>
      </c>
      <c r="K61" s="7" t="s">
        <v>230</v>
      </c>
    </row>
    <row r="62" ht="14.25" customHeight="1">
      <c r="A62" s="4">
        <v>61.0</v>
      </c>
      <c r="B62" s="5" t="str">
        <f>IFERROR(__xludf.DUMMYFUNCTION("GOOGLETRANSLATE(H62, ""th"", ""en"")"),"Where was the first bullfighting competition held in Thailand?")</f>
        <v>Where was the first bullfighting competition held in Thailand?</v>
      </c>
      <c r="C62" s="5" t="str">
        <f>IFERROR(__xludf.DUMMYFUNCTION("GOOGLETRANSLATE(I62, ""th"", ""en"")"),"A) Northern region; B) Central region; C) Southern region; D) Eastern region")</f>
        <v>A) Northern region; B) Central region; C) Southern region; D) Eastern region</v>
      </c>
      <c r="D62" s="5" t="str">
        <f>IFERROR(__xludf.DUMMYFUNCTION("GOOGLETRANSLATE(J62, ""th"", ""en"")"),"C) Southern region")</f>
        <v>C) Southern region</v>
      </c>
      <c r="E62" s="5" t="str">
        <f>IFERROR(__xludf.DUMMYFUNCTION("GOOGLETRANSLATE(K62, ""th"", ""en"")"),"Bullfighting competitions were first held in southern Thailand.")</f>
        <v>Bullfighting competitions were first held in southern Thailand.</v>
      </c>
      <c r="G62" s="6">
        <v>61.0</v>
      </c>
      <c r="H62" s="7" t="s">
        <v>231</v>
      </c>
      <c r="I62" s="7" t="s">
        <v>232</v>
      </c>
      <c r="J62" s="7" t="s">
        <v>233</v>
      </c>
      <c r="K62" s="7" t="s">
        <v>234</v>
      </c>
    </row>
    <row r="63" ht="14.25" customHeight="1">
      <c r="A63" s="4">
        <v>62.0</v>
      </c>
      <c r="B63" s="5" t="str">
        <f>IFERROR(__xludf.DUMMYFUNCTION("GOOGLETRANSLATE(H63, ""th"", ""en"")"),"At what point in Thai history was bullfighting banned?")</f>
        <v>At what point in Thai history was bullfighting banned?</v>
      </c>
      <c r="C63" s="5" t="str">
        <f>IFERROR(__xludf.DUMMYFUNCTION("GOOGLETRANSLATE(I63, ""th"", ""en"")"),"A) Ayutthaya period; B) Thonburi period; C) Rattanakosin period; D) Present period")</f>
        <v>A) Ayutthaya period; B) Thonburi period; C) Rattanakosin period; D) Present period</v>
      </c>
      <c r="D63" s="5" t="str">
        <f>IFERROR(__xludf.DUMMYFUNCTION("GOOGLETRANSLATE(J63, ""th"", ""en"")"),"C) Rattanakosin period")</f>
        <v>C) Rattanakosin period</v>
      </c>
      <c r="E63" s="5" t="str">
        <f>IFERROR(__xludf.DUMMYFUNCTION("GOOGLETRANSLATE(K63, ""th"", ""en"")"),"During some periods of the Rattanakosin period, bullfighting was banned due to moral concerns.")</f>
        <v>During some periods of the Rattanakosin period, bullfighting was banned due to moral concerns.</v>
      </c>
      <c r="G63" s="6">
        <v>62.0</v>
      </c>
      <c r="H63" s="7" t="s">
        <v>235</v>
      </c>
      <c r="I63" s="7" t="s">
        <v>236</v>
      </c>
      <c r="J63" s="7" t="s">
        <v>237</v>
      </c>
      <c r="K63" s="7" t="s">
        <v>238</v>
      </c>
    </row>
    <row r="64" ht="14.25" customHeight="1">
      <c r="A64" s="4">
        <v>63.0</v>
      </c>
      <c r="B64" s="5" t="str">
        <f>IFERROR(__xludf.DUMMYFUNCTION("GOOGLETRANSLATE(H64, ""th"", ""en"")"),"What was bullfighting in ancient times often associated with?")</f>
        <v>What was bullfighting in ancient times often associated with?</v>
      </c>
      <c r="C64" s="5" t="str">
        <f>IFERROR(__xludf.DUMMYFUNCTION("GOOGLETRANSLATE(I64, ""th"", ""en"")"),"A) military; B) education; C) agriculture; D) gambling")</f>
        <v>A) military; B) education; C) agriculture; D) gambling</v>
      </c>
      <c r="D64" s="5" t="str">
        <f>IFERROR(__xludf.DUMMYFUNCTION("GOOGLETRANSLATE(J64, ""th"", ""en"")"),"C) Agriculture")</f>
        <v>C) Agriculture</v>
      </c>
      <c r="E64" s="5" t="str">
        <f>IFERROR(__xludf.DUMMYFUNCTION("GOOGLETRANSLATE(K64, ""th"", ""en"")"),"Bullfighting is often associated with agriculture in rural areas.")</f>
        <v>Bullfighting is often associated with agriculture in rural areas.</v>
      </c>
      <c r="G64" s="6">
        <v>63.0</v>
      </c>
      <c r="H64" s="7" t="s">
        <v>239</v>
      </c>
      <c r="I64" s="7" t="s">
        <v>240</v>
      </c>
      <c r="J64" s="7" t="s">
        <v>241</v>
      </c>
      <c r="K64" s="7" t="s">
        <v>242</v>
      </c>
    </row>
    <row r="65" ht="14.25" customHeight="1">
      <c r="A65" s="4">
        <v>64.0</v>
      </c>
      <c r="B65" s="5" t="str">
        <f>IFERROR(__xludf.DUMMYFUNCTION("GOOGLETRANSLATE(H65, ""th"", ""en"")"),"What prizes did the winners of past bullfights receive?")</f>
        <v>What prizes did the winners of past bullfights receive?</v>
      </c>
      <c r="C65" s="5" t="str">
        <f>IFERROR(__xludf.DUMMYFUNCTION("GOOGLETRANSLATE(I65, ""th"", ""en"")"),"A) money; B) jewelry; C) cows; D) land")</f>
        <v>A) money; B) jewelry; C) cows; D) land</v>
      </c>
      <c r="D65" s="5" t="str">
        <f>IFERROR(__xludf.DUMMYFUNCTION("GOOGLETRANSLATE(J65, ""th"", ""en"")"),"C) Cow")</f>
        <v>C) Cow</v>
      </c>
      <c r="E65" s="5" t="str">
        <f>IFERROR(__xludf.DUMMYFUNCTION("GOOGLETRANSLATE(K65, ""th"", ""en"")"),"The winner of a bullfight is often rewarded with a high-quality bull to use in bullfighting events.")</f>
        <v>The winner of a bullfight is often rewarded with a high-quality bull to use in bullfighting events.</v>
      </c>
      <c r="G65" s="6">
        <v>64.0</v>
      </c>
      <c r="H65" s="7" t="s">
        <v>243</v>
      </c>
      <c r="I65" s="7" t="s">
        <v>244</v>
      </c>
      <c r="J65" s="7" t="s">
        <v>245</v>
      </c>
      <c r="K65" s="7" t="s">
        <v>246</v>
      </c>
    </row>
    <row r="66" ht="14.25" customHeight="1">
      <c r="A66" s="4">
        <v>65.0</v>
      </c>
      <c r="B66" s="5" t="str">
        <f>IFERROR(__xludf.DUMMYFUNCTION("GOOGLETRANSLATE(H66, ""th"", ""en"")"),"What breed of bulls were often used in ancient bullfights?")</f>
        <v>What breed of bulls were often used in ancient bullfights?</v>
      </c>
      <c r="C66" s="5" t="str">
        <f>IFERROR(__xludf.DUMMYFUNCTION("GOOGLETRANSLATE(I66, ""th"", ""en"")"),"A) Thai cattle; B) Foreign cattle; C) Mixed cattle; D) Imported cattle")</f>
        <v>A) Thai cattle; B) Foreign cattle; C) Mixed cattle; D) Imported cattle</v>
      </c>
      <c r="D66" s="5" t="str">
        <f>IFERROR(__xludf.DUMMYFUNCTION("GOOGLETRANSLATE(J66, ""th"", ""en"")"),"A) Thai cattle")</f>
        <v>A) Thai cattle</v>
      </c>
      <c r="E66" s="5" t="str">
        <f>IFERROR(__xludf.DUMMYFUNCTION("GOOGLETRANSLATE(K66, ""th"", ""en"")"),"In ancient times, fighting bulls were often of a strong Thai breed with suitable characteristics.")</f>
        <v>In ancient times, fighting bulls were often of a strong Thai breed with suitable characteristics.</v>
      </c>
      <c r="G66" s="6">
        <v>65.0</v>
      </c>
      <c r="H66" s="7" t="s">
        <v>247</v>
      </c>
      <c r="I66" s="7" t="s">
        <v>248</v>
      </c>
      <c r="J66" s="7" t="s">
        <v>249</v>
      </c>
      <c r="K66" s="7" t="s">
        <v>250</v>
      </c>
    </row>
    <row r="67" ht="14.25" customHeight="1">
      <c r="A67" s="4">
        <v>66.0</v>
      </c>
      <c r="B67" s="5" t="str">
        <f>IFERROR(__xludf.DUMMYFUNCTION("GOOGLETRANSLATE(H67, ""th"", ""en"")"),"When was bullfighting in Thailand supported by the government?")</f>
        <v>When was bullfighting in Thailand supported by the government?</v>
      </c>
      <c r="C67" s="5" t="str">
        <f>IFERROR(__xludf.DUMMYFUNCTION("GOOGLETRANSLATE(I67, ""th"", ""en"")"),"A) before 1900; B) in 1920; C) in 1940; D) in 1970")</f>
        <v>A) before 1900; B) in 1920; C) in 1940; D) in 1970</v>
      </c>
      <c r="D67" s="5" t="str">
        <f>IFERROR(__xludf.DUMMYFUNCTION("GOOGLETRANSLATE(J67, ""th"", ""en"")"),"B) In 1920")</f>
        <v>B) In 1920</v>
      </c>
      <c r="E67" s="5" t="str">
        <f>IFERROR(__xludf.DUMMYFUNCTION("GOOGLETRANSLATE(K67, ""th"", ""en"")"),"Government support began in the 1920s to formalize the sport of bullfighting.")</f>
        <v>Government support began in the 1920s to formalize the sport of bullfighting.</v>
      </c>
      <c r="G67" s="6">
        <v>66.0</v>
      </c>
      <c r="H67" s="7" t="s">
        <v>251</v>
      </c>
      <c r="I67" s="7" t="s">
        <v>252</v>
      </c>
      <c r="J67" s="7" t="s">
        <v>253</v>
      </c>
      <c r="K67" s="7" t="s">
        <v>254</v>
      </c>
    </row>
    <row r="68" ht="14.25" customHeight="1">
      <c r="A68" s="4">
        <v>67.0</v>
      </c>
      <c r="B68" s="5" t="str">
        <f>IFERROR(__xludf.DUMMYFUNCTION("GOOGLETRANSLATE(H68, ""th"", ""en"")"),"How did early bullfighting play an important role in Thai society?")</f>
        <v>How did early bullfighting play an important role in Thai society?</v>
      </c>
      <c r="C68" s="5" t="str">
        <f>IFERROR(__xludf.DUMMYFUNCTION("GOOGLETRANSLATE(I68, ""th"", ""en"")"),"A) It is an activity to enhance military skills; B) It is a test of the villagers' strength; C) It is a celebration of an important festival; D) It is a training for agriculture.")</f>
        <v>A) It is an activity to enhance military skills; B) It is a test of the villagers' strength; C) It is a celebration of an important festival; D) It is a training for agriculture.</v>
      </c>
      <c r="D68" s="5" t="str">
        <f>IFERROR(__xludf.DUMMYFUNCTION("GOOGLETRANSLATE(J68, ""th"", ""en"")"),"C) It is a celebration of an important festival.")</f>
        <v>C) It is a celebration of an important festival.</v>
      </c>
      <c r="E68" s="5" t="str">
        <f>IFERROR(__xludf.DUMMYFUNCTION("GOOGLETRANSLATE(K68, ""th"", ""en"")"),"Bullfighting is often used in important festivals to create entertainment.")</f>
        <v>Bullfighting is often used in important festivals to create entertainment.</v>
      </c>
      <c r="G68" s="6">
        <v>67.0</v>
      </c>
      <c r="H68" s="7" t="s">
        <v>255</v>
      </c>
      <c r="I68" s="7" t="s">
        <v>256</v>
      </c>
      <c r="J68" s="7" t="s">
        <v>257</v>
      </c>
      <c r="K68" s="7" t="s">
        <v>258</v>
      </c>
    </row>
    <row r="69" ht="14.25" customHeight="1">
      <c r="A69" s="4">
        <v>68.0</v>
      </c>
      <c r="B69" s="5" t="str">
        <f>IFERROR(__xludf.DUMMYFUNCTION("GOOGLETRANSLATE(H69, ""th"", ""en"")"),"What rules were used in ancient bullfights?")</f>
        <v>What rules were used in ancient bullfights?</v>
      </c>
      <c r="C69" s="5" t="str">
        <f>IFERROR(__xludf.DUMMYFUNCTION("GOOGLETRANSLATE(I69, ""th"", ""en"")"),"A) formal rules; B) informal rules; C) situational rules; D) no rules are applied.")</f>
        <v>A) formal rules; B) informal rules; C) situational rules; D) no rules are applied.</v>
      </c>
      <c r="D69" s="5" t="str">
        <f>IFERROR(__xludf.DUMMYFUNCTION("GOOGLETRANSLATE(J69, ""th"", ""en"")"),"B) Informal rules")</f>
        <v>B) Informal rules</v>
      </c>
      <c r="E69" s="5" t="str">
        <f>IFERROR(__xludf.DUMMYFUNCTION("GOOGLETRANSLATE(K69, ""th"", ""en"")"),"Bullfights in ancient times often had informal rules and were based on the agreement of the organizer.")</f>
        <v>Bullfights in ancient times often had informal rules and were based on the agreement of the organizer.</v>
      </c>
      <c r="G69" s="6">
        <v>68.0</v>
      </c>
      <c r="H69" s="7" t="s">
        <v>259</v>
      </c>
      <c r="I69" s="7" t="s">
        <v>260</v>
      </c>
      <c r="J69" s="7" t="s">
        <v>261</v>
      </c>
      <c r="K69" s="7" t="s">
        <v>262</v>
      </c>
    </row>
    <row r="70" ht="14.25" customHeight="1">
      <c r="A70" s="4">
        <v>69.0</v>
      </c>
      <c r="B70" s="5" t="str">
        <f>IFERROR(__xludf.DUMMYFUNCTION("GOOGLETRANSLATE(H70, ""th"", ""en"")"),"How did bullfighting in the past help foster community relations?")</f>
        <v>How did bullfighting in the past help foster community relations?</v>
      </c>
      <c r="C70" s="5" t="str">
        <f>IFERROR(__xludf.DUMMYFUNCTION("GOOGLETRANSLATE(I70, ""th"", ""en"")"),"A) By sharing profits; B) By developing teamwork skills; C) By cooperating in organizing competitions; D) By taking risks.")</f>
        <v>A) By sharing profits; B) By developing teamwork skills; C) By cooperating in organizing competitions; D) By taking risks.</v>
      </c>
      <c r="D70" s="5" t="str">
        <f>IFERROR(__xludf.DUMMYFUNCTION("GOOGLETRANSLATE(J70, ""th"", ""en"")"),"C) By cooperating in organizing the competition")</f>
        <v>C) By cooperating in organizing the competition</v>
      </c>
      <c r="E70" s="5" t="str">
        <f>IFERROR(__xludf.DUMMYFUNCTION("GOOGLETRANSLATE(K70, ""th"", ""en"")"),"Organizing bullfights helps strengthen community relationships through cooperation.")</f>
        <v>Organizing bullfights helps strengthen community relationships through cooperation.</v>
      </c>
      <c r="G70" s="6">
        <v>69.0</v>
      </c>
      <c r="H70" s="7" t="s">
        <v>263</v>
      </c>
      <c r="I70" s="7" t="s">
        <v>264</v>
      </c>
      <c r="J70" s="7" t="s">
        <v>265</v>
      </c>
      <c r="K70" s="7" t="s">
        <v>266</v>
      </c>
    </row>
    <row r="71" ht="14.25" customHeight="1">
      <c r="A71" s="4">
        <v>70.0</v>
      </c>
      <c r="B71" s="5" t="str">
        <f>IFERROR(__xludf.DUMMYFUNCTION("GOOGLETRANSLATE(H71, ""th"", ""en"")"),"Was bullfighting more popular in rural areas in the past?")</f>
        <v>Was bullfighting more popular in rural areas in the past?</v>
      </c>
      <c r="C71" s="5" t="str">
        <f>IFERROR(__xludf.DUMMYFUNCTION("GOOGLETRANSLATE(I71, ""th"", ""en"")"),"A) Yes; B) No; C) Some areas; D) Depends on the time.")</f>
        <v>A) Yes; B) No; C) Some areas; D) Depends on the time.</v>
      </c>
      <c r="D71" s="5" t="str">
        <f>IFERROR(__xludf.DUMMYFUNCTION("GOOGLETRANSLATE(J71, ""th"", ""en"")"),"A) Yes.")</f>
        <v>A) Yes.</v>
      </c>
      <c r="E71" s="5" t="str">
        <f>IFERROR(__xludf.DUMMYFUNCTION("GOOGLETRANSLATE(K71, ""th"", ""en"")"),"Bullfighting was historically more popular in rural areas than in urban areas.")</f>
        <v>Bullfighting was historically more popular in rural areas than in urban areas.</v>
      </c>
      <c r="G71" s="6">
        <v>70.0</v>
      </c>
      <c r="H71" s="7" t="s">
        <v>267</v>
      </c>
      <c r="I71" s="7" t="s">
        <v>268</v>
      </c>
      <c r="J71" s="7" t="s">
        <v>134</v>
      </c>
      <c r="K71" s="7" t="s">
        <v>269</v>
      </c>
    </row>
    <row r="72" ht="14.25" customHeight="1">
      <c r="A72" s="4">
        <v>71.0</v>
      </c>
      <c r="B72" s="5" t="str">
        <f>IFERROR(__xludf.DUMMYFUNCTION("GOOGLETRANSLATE(H72, ""th"", ""en"")"),"Bullfighting is often held during what festival in the South?")</f>
        <v>Bullfighting is often held during what festival in the South?</v>
      </c>
      <c r="C72" s="5" t="str">
        <f>IFERROR(__xludf.DUMMYFUNCTION("GOOGLETRANSLATE(I72, ""th"", ""en"")"),"A) Songkran Festival; B) Buddhist Lent; C) Loi Krathong Festival; D) Pak Phra Festival")</f>
        <v>A) Songkran Festival; B) Buddhist Lent; C) Loi Krathong Festival; D) Pak Phra Festival</v>
      </c>
      <c r="D72" s="5" t="str">
        <f>IFERROR(__xludf.DUMMYFUNCTION("GOOGLETRANSLATE(J72, ""th"", ""en"")"),"D) Pak Phra Festival")</f>
        <v>D) Pak Phra Festival</v>
      </c>
      <c r="E72" s="5" t="str">
        <f>IFERROR(__xludf.DUMMYFUNCTION("GOOGLETRANSLATE(K72, ""th"", ""en"")"),"In the South, bullfighting is often held during the Pak Phra festival to celebrate.")</f>
        <v>In the South, bullfighting is often held during the Pak Phra festival to celebrate.</v>
      </c>
      <c r="G72" s="6">
        <v>71.0</v>
      </c>
      <c r="H72" s="7" t="s">
        <v>270</v>
      </c>
      <c r="I72" s="7" t="s">
        <v>271</v>
      </c>
      <c r="J72" s="7" t="s">
        <v>272</v>
      </c>
      <c r="K72" s="7" t="s">
        <v>273</v>
      </c>
    </row>
    <row r="73" ht="14.25" customHeight="1">
      <c r="A73" s="4">
        <v>72.0</v>
      </c>
      <c r="B73" s="5" t="str">
        <f>IFERROR(__xludf.DUMMYFUNCTION("GOOGLETRANSLATE(H73, ""th"", ""en"")"),"Was early bullfighting more about fighting or training?")</f>
        <v>Was early bullfighting more about fighting or training?</v>
      </c>
      <c r="C73" s="5" t="str">
        <f>IFERROR(__xludf.DUMMYFUNCTION("GOOGLETRANSLATE(I73, ""th"", ""en"")"),"A) fighting; B) training; C) both; D) neither")</f>
        <v>A) fighting; B) training; C) both; D) neither</v>
      </c>
      <c r="D73" s="5" t="str">
        <f>IFERROR(__xludf.DUMMYFUNCTION("GOOGLETRANSLATE(J73, ""th"", ""en"")"),"B) Training")</f>
        <v>B) Training</v>
      </c>
      <c r="E73" s="5" t="str">
        <f>IFERROR(__xludf.DUMMYFUNCTION("GOOGLETRANSLATE(K73, ""th"", ""en"")"),"Early bullfighting was associated with training the bull's strength.")</f>
        <v>Early bullfighting was associated with training the bull's strength.</v>
      </c>
      <c r="G73" s="6">
        <v>72.0</v>
      </c>
      <c r="H73" s="7" t="s">
        <v>274</v>
      </c>
      <c r="I73" s="7" t="s">
        <v>275</v>
      </c>
      <c r="J73" s="7" t="s">
        <v>276</v>
      </c>
      <c r="K73" s="7" t="s">
        <v>277</v>
      </c>
    </row>
    <row r="74" ht="14.25" customHeight="1">
      <c r="A74" s="4">
        <v>73.0</v>
      </c>
      <c r="B74" s="5" t="str">
        <f>IFERROR(__xludf.DUMMYFUNCTION("GOOGLETRANSLATE(H74, ""th"", ""en"")"),"Were bullfights held in Thailand in the past on religious holidays?")</f>
        <v>Were bullfights held in Thailand in the past on religious holidays?</v>
      </c>
      <c r="C74" s="5" t="str">
        <f>IFERROR(__xludf.DUMMYFUNCTION("GOOGLETRANSLATE(I74, ""th"", ""en"")"),"A) Yes; B) No; C) Sometimes; D) Not sure")</f>
        <v>A) Yes; B) No; C) Sometimes; D) Not sure</v>
      </c>
      <c r="D74" s="5" t="str">
        <f>IFERROR(__xludf.DUMMYFUNCTION("GOOGLETRANSLATE(J74, ""th"", ""en"")"),"A) Yes.")</f>
        <v>A) Yes.</v>
      </c>
      <c r="E74" s="5" t="str">
        <f>IFERROR(__xludf.DUMMYFUNCTION("GOOGLETRANSLATE(K74, ""th"", ""en"")"),"Bullfights are often held on religious holidays.")</f>
        <v>Bullfights are often held on religious holidays.</v>
      </c>
      <c r="G74" s="6">
        <v>73.0</v>
      </c>
      <c r="H74" s="7" t="s">
        <v>278</v>
      </c>
      <c r="I74" s="7" t="s">
        <v>279</v>
      </c>
      <c r="J74" s="7" t="s">
        <v>134</v>
      </c>
      <c r="K74" s="7" t="s">
        <v>280</v>
      </c>
    </row>
    <row r="75" ht="14.25" customHeight="1">
      <c r="A75" s="4">
        <v>74.0</v>
      </c>
      <c r="B75" s="5" t="str">
        <f>IFERROR(__xludf.DUMMYFUNCTION("GOOGLETRANSLATE(H75, ""th"", ""en"")"),"What was the purpose of bullfighting in ancient times?")</f>
        <v>What was the purpose of bullfighting in ancient times?</v>
      </c>
      <c r="C75" s="5" t="str">
        <f>IFERROR(__xludf.DUMMYFUNCTION("GOOGLETRANSLATE(I75, ""th"", ""en"")"),"A) to find a winner; B) to test one's courage; C) to strengthen relationships; D) to earn money.")</f>
        <v>A) to find a winner; B) to test one's courage; C) to strengthen relationships; D) to earn money.</v>
      </c>
      <c r="D75" s="5" t="str">
        <f>IFERROR(__xludf.DUMMYFUNCTION("GOOGLETRANSLATE(J75, ""th"", ""en"")"),"C) To strengthen relationships")</f>
        <v>C) To strengthen relationships</v>
      </c>
      <c r="E75" s="5" t="str">
        <f>IFERROR(__xludf.DUMMYFUNCTION("GOOGLETRANSLATE(K75, ""th"", ""en"")"),"In ancient times, bullfights were often held to strengthen community relations.")</f>
        <v>In ancient times, bullfights were often held to strengthen community relations.</v>
      </c>
      <c r="G75" s="6">
        <v>74.0</v>
      </c>
      <c r="H75" s="7" t="s">
        <v>281</v>
      </c>
      <c r="I75" s="7" t="s">
        <v>282</v>
      </c>
      <c r="J75" s="7" t="s">
        <v>283</v>
      </c>
      <c r="K75" s="7" t="s">
        <v>284</v>
      </c>
    </row>
    <row r="76" ht="14.25" customHeight="1">
      <c r="A76" s="4">
        <v>75.0</v>
      </c>
      <c r="B76" s="5" t="str">
        <f>IFERROR(__xludf.DUMMYFUNCTION("GOOGLETRANSLATE(H76, ""th"", ""en"")"),"Who in Thai society accepted bullfighting during the Rattanakosin period?")</f>
        <v>Who in Thai society accepted bullfighting during the Rattanakosin period?</v>
      </c>
      <c r="C76" s="5" t="str">
        <f>IFERROR(__xludf.DUMMYFUNCTION("GOOGLETRANSLATE(I76, ""th"", ""en"")"),"A) king; B) nobles; C) commoners; D) politicians")</f>
        <v>A) king; B) nobles; C) commoners; D) politicians</v>
      </c>
      <c r="D76" s="5" t="str">
        <f>IFERROR(__xludf.DUMMYFUNCTION("GOOGLETRANSLATE(J76, ""th"", ""en"")"),"A) The King")</f>
        <v>A) The King</v>
      </c>
      <c r="E76" s="5" t="str">
        <f>IFERROR(__xludf.DUMMYFUNCTION("GOOGLETRANSLATE(K76, ""th"", ""en"")"),"Bullfighting was accepted by the kings during the Rattanakosin period.")</f>
        <v>Bullfighting was accepted by the kings during the Rattanakosin period.</v>
      </c>
      <c r="G76" s="6">
        <v>75.0</v>
      </c>
      <c r="H76" s="7" t="s">
        <v>285</v>
      </c>
      <c r="I76" s="7" t="s">
        <v>286</v>
      </c>
      <c r="J76" s="7" t="s">
        <v>287</v>
      </c>
      <c r="K76" s="7" t="s">
        <v>288</v>
      </c>
    </row>
    <row r="77" ht="14.25" customHeight="1">
      <c r="A77" s="4">
        <v>76.0</v>
      </c>
      <c r="B77" s="5" t="str">
        <f>IFERROR(__xludf.DUMMYFUNCTION("GOOGLETRANSLATE(H77, ""th"", ""en"")"),"Were there any restrictions on participants in bullfights in the past?")</f>
        <v>Were there any restrictions on participants in bullfights in the past?</v>
      </c>
      <c r="C77" s="5" t="str">
        <f>IFERROR(__xludf.DUMMYFUNCTION("GOOGLETRANSLATE(I77, ""th"", ""en"")"),"A) Yes; B) No; C) It depends on the area; D) It depends on the number of cows.")</f>
        <v>A) Yes; B) No; C) It depends on the area; D) It depends on the number of cows.</v>
      </c>
      <c r="D77" s="5" t="str">
        <f>IFERROR(__xludf.DUMMYFUNCTION("GOOGLETRANSLATE(J77, ""th"", ""en"")"),"C) Depends on the area.")</f>
        <v>C) Depends on the area.</v>
      </c>
      <c r="E77" s="5" t="str">
        <f>IFERROR(__xludf.DUMMYFUNCTION("GOOGLETRANSLATE(K77, ""th"", ""en"")"),"The number of participants in bullfights often depends on the area and management of each area.")</f>
        <v>The number of participants in bullfights often depends on the area and management of each area.</v>
      </c>
      <c r="G77" s="6">
        <v>76.0</v>
      </c>
      <c r="H77" s="7" t="s">
        <v>289</v>
      </c>
      <c r="I77" s="7" t="s">
        <v>290</v>
      </c>
      <c r="J77" s="7" t="s">
        <v>291</v>
      </c>
      <c r="K77" s="7" t="s">
        <v>292</v>
      </c>
    </row>
    <row r="78" ht="14.25" customHeight="1">
      <c r="A78" s="4">
        <v>77.0</v>
      </c>
      <c r="B78" s="5" t="str">
        <f>IFERROR(__xludf.DUMMYFUNCTION("GOOGLETRANSLATE(H78, ""th"", ""en"")"),"When were bullfights held in the past?")</f>
        <v>When were bullfights held in the past?</v>
      </c>
      <c r="C78" s="5" t="str">
        <f>IFERROR(__xludf.DUMMYFUNCTION("GOOGLETRANSLATE(I78, ""th"", ""en"")"),"A) morning; B) afternoon; C) evening; D) night")</f>
        <v>A) morning; B) afternoon; C) evening; D) night</v>
      </c>
      <c r="D78" s="5" t="str">
        <f>IFERROR(__xludf.DUMMYFUNCTION("GOOGLETRANSLATE(J78, ""th"", ""en"")"),"B) Afternoon")</f>
        <v>B) Afternoon</v>
      </c>
      <c r="E78" s="5" t="str">
        <f>IFERROR(__xludf.DUMMYFUNCTION("GOOGLETRANSLATE(K78, ""th"", ""en"")"),"Bullfights are usually held in the afternoon to avoid the midday heat.")</f>
        <v>Bullfights are usually held in the afternoon to avoid the midday heat.</v>
      </c>
      <c r="G78" s="6">
        <v>77.0</v>
      </c>
      <c r="H78" s="7" t="s">
        <v>293</v>
      </c>
      <c r="I78" s="7" t="s">
        <v>294</v>
      </c>
      <c r="J78" s="7" t="s">
        <v>295</v>
      </c>
      <c r="K78" s="7" t="s">
        <v>296</v>
      </c>
    </row>
    <row r="79" ht="14.25" customHeight="1">
      <c r="A79" s="4">
        <v>78.0</v>
      </c>
      <c r="B79" s="5" t="str">
        <f>IFERROR(__xludf.DUMMYFUNCTION("GOOGLETRANSLATE(H79, ""th"", ""en"")"),"When is bullfighting popular in Thailand?")</f>
        <v>When is bullfighting popular in Thailand?</v>
      </c>
      <c r="C79" s="5" t="str">
        <f>IFERROR(__xludf.DUMMYFUNCTION("GOOGLETRANSLATE(I79, ""th"", ""en"")"),"A) summer; B) rainy season; C) winter; D) spring")</f>
        <v>A) summer; B) rainy season; C) winter; D) spring</v>
      </c>
      <c r="D79" s="5" t="str">
        <f>IFERROR(__xludf.DUMMYFUNCTION("GOOGLETRANSLATE(J79, ""th"", ""en"")"),"C) Winter")</f>
        <v>C) Winter</v>
      </c>
      <c r="E79" s="5" t="str">
        <f>IFERROR(__xludf.DUMMYFUNCTION("GOOGLETRANSLATE(K79, ""th"", ""en"")"),"Bullfighting is popular during the cool winter months.")</f>
        <v>Bullfighting is popular during the cool winter months.</v>
      </c>
      <c r="G79" s="6">
        <v>78.0</v>
      </c>
      <c r="H79" s="7" t="s">
        <v>297</v>
      </c>
      <c r="I79" s="7" t="s">
        <v>298</v>
      </c>
      <c r="J79" s="7" t="s">
        <v>225</v>
      </c>
      <c r="K79" s="7" t="s">
        <v>299</v>
      </c>
    </row>
    <row r="80" ht="14.25" customHeight="1">
      <c r="A80" s="4">
        <v>79.0</v>
      </c>
      <c r="B80" s="5" t="str">
        <f>IFERROR(__xludf.DUMMYFUNCTION("GOOGLETRANSLATE(H80, ""th"", ""en"")"),"Are bullfights held in Thailand to celebrate religious holidays?")</f>
        <v>Are bullfights held in Thailand to celebrate religious holidays?</v>
      </c>
      <c r="C80" s="5" t="str">
        <f>IFERROR(__xludf.DUMMYFUNCTION("GOOGLETRANSLATE(I80, ""th"", ""en"")"),"A) Yes; B) No; C) It depends on the situation; D) Sometimes.")</f>
        <v>A) Yes; B) No; C) It depends on the situation; D) Sometimes.</v>
      </c>
      <c r="D80" s="5" t="str">
        <f>IFERROR(__xludf.DUMMYFUNCTION("GOOGLETRANSLATE(J80, ""th"", ""en"")"),"A) Yes.")</f>
        <v>A) Yes.</v>
      </c>
      <c r="E80" s="5" t="str">
        <f>IFERROR(__xludf.DUMMYFUNCTION("GOOGLETRANSLATE(K80, ""th"", ""en"")"),"Bullfighting is often part of religious celebrations.")</f>
        <v>Bullfighting is often part of religious celebrations.</v>
      </c>
      <c r="G80" s="6">
        <v>79.0</v>
      </c>
      <c r="H80" s="7" t="s">
        <v>300</v>
      </c>
      <c r="I80" s="7" t="s">
        <v>301</v>
      </c>
      <c r="J80" s="7" t="s">
        <v>134</v>
      </c>
      <c r="K80" s="7" t="s">
        <v>302</v>
      </c>
    </row>
    <row r="81" ht="14.25" customHeight="1">
      <c r="A81" s="4">
        <v>80.0</v>
      </c>
      <c r="B81" s="5" t="str">
        <f>IFERROR(__xludf.DUMMYFUNCTION("GOOGLETRANSLATE(H81, ""th"", ""en"")"),"How did bullfighting in the past affect Thai society?")</f>
        <v>How did bullfighting in the past affect Thai society?</v>
      </c>
      <c r="C81" s="5" t="str">
        <f>IFERROR(__xludf.DUMMYFUNCTION("GOOGLETRANSLATE(I81, ""th"", ""en"")"),"A) causes division; B) strengthens unity in communities; C) creates excitement in big cities; D) affects agriculture.")</f>
        <v>A) causes division; B) strengthens unity in communities; C) creates excitement in big cities; D) affects agriculture.</v>
      </c>
      <c r="D81" s="5" t="str">
        <f>IFERROR(__xludf.DUMMYFUNCTION("GOOGLETRANSLATE(J81, ""th"", ""en"")"),"B) Strengthen unity in the community.")</f>
        <v>B) Strengthen unity in the community.</v>
      </c>
      <c r="E81" s="5" t="str">
        <f>IFERROR(__xludf.DUMMYFUNCTION("GOOGLETRANSLATE(K81, ""th"", ""en"")"),"Bullfighting helps strengthen relationships in villages and communities.")</f>
        <v>Bullfighting helps strengthen relationships in villages and communities.</v>
      </c>
      <c r="G81" s="6">
        <v>80.0</v>
      </c>
      <c r="H81" s="7" t="s">
        <v>303</v>
      </c>
      <c r="I81" s="7" t="s">
        <v>304</v>
      </c>
      <c r="J81" s="7" t="s">
        <v>305</v>
      </c>
      <c r="K81" s="7" t="s">
        <v>306</v>
      </c>
    </row>
    <row r="82" ht="14.25" customHeight="1">
      <c r="A82" s="4">
        <v>81.0</v>
      </c>
      <c r="B82" s="5" t="str">
        <f>IFERROR(__xludf.DUMMYFUNCTION("GOOGLETRANSLATE(H82, ""th"", ""en"")"),"What methods were used to control bullfighting in the past?")</f>
        <v>What methods were used to control bullfighting in the past?</v>
      </c>
      <c r="C82" s="5" t="str">
        <f>IFERROR(__xludf.DUMMYFUNCTION("GOOGLETRANSLATE(I82, ""th"", ""en"")"),"A) Rules from the organizer; B) Rules from the king; C) Agreement between the competitors; D) Rules from the community.")</f>
        <v>A) Rules from the organizer; B) Rules from the king; C) Agreement between the competitors; D) Rules from the community.</v>
      </c>
      <c r="D82" s="5" t="str">
        <f>IFERROR(__xludf.DUMMYFUNCTION("GOOGLETRANSLATE(J82, ""th"", ""en"")"),"A) Rules from the organizer")</f>
        <v>A) Rules from the organizer</v>
      </c>
      <c r="E82" s="5" t="str">
        <f>IFERROR(__xludf.DUMMYFUNCTION("GOOGLETRANSLATE(K82, ""th"", ""en"")"),"In the past, the control of bullfighting competitions was usually based on rules set by the organizers.")</f>
        <v>In the past, the control of bullfighting competitions was usually based on rules set by the organizers.</v>
      </c>
      <c r="G82" s="6">
        <v>81.0</v>
      </c>
      <c r="H82" s="7" t="s">
        <v>307</v>
      </c>
      <c r="I82" s="7" t="s">
        <v>308</v>
      </c>
      <c r="J82" s="7" t="s">
        <v>309</v>
      </c>
      <c r="K82" s="7" t="s">
        <v>310</v>
      </c>
    </row>
    <row r="83" ht="14.25" customHeight="1">
      <c r="A83" s="4">
        <v>82.0</v>
      </c>
      <c r="B83" s="5" t="str">
        <f>IFERROR(__xludf.DUMMYFUNCTION("GOOGLETRANSLATE(H83, ""th"", ""en"")"),"Did bullfighting in ancient times use any special tools or equipment?")</f>
        <v>Did bullfighting in ancient times use any special tools or equipment?</v>
      </c>
      <c r="C83" s="5" t="str">
        <f>IFERROR(__xludf.DUMMYFUNCTION("GOOGLETRANSLATE(I83, ""th"", ""en"")"),"A) Yes; B) No; C) Sometimes; D) It depends on the type of competition.")</f>
        <v>A) Yes; B) No; C) Sometimes; D) It depends on the type of competition.</v>
      </c>
      <c r="D83" s="5" t="str">
        <f>IFERROR(__xludf.DUMMYFUNCTION("GOOGLETRANSLATE(J83, ""th"", ""en"")"),"B) No.")</f>
        <v>B) No.</v>
      </c>
      <c r="E83" s="5" t="str">
        <f>IFERROR(__xludf.DUMMYFUNCTION("GOOGLETRANSLATE(K83, ""th"", ""en"")"),"Bullfighting in ancient times did not require any special tools or equipment.")</f>
        <v>Bullfighting in ancient times did not require any special tools or equipment.</v>
      </c>
      <c r="G83" s="6">
        <v>82.0</v>
      </c>
      <c r="H83" s="7" t="s">
        <v>311</v>
      </c>
      <c r="I83" s="7" t="s">
        <v>312</v>
      </c>
      <c r="J83" s="7" t="s">
        <v>313</v>
      </c>
      <c r="K83" s="7" t="s">
        <v>314</v>
      </c>
    </row>
    <row r="84" ht="14.25" customHeight="1">
      <c r="A84" s="4">
        <v>83.0</v>
      </c>
      <c r="B84" s="5" t="str">
        <f>IFERROR(__xludf.DUMMYFUNCTION("GOOGLETRANSLATE(H84, ""th"", ""en"")"),"Where in the past was bullfighting in Thailand certified?")</f>
        <v>Where in the past was bullfighting in Thailand certified?</v>
      </c>
      <c r="C84" s="5" t="str">
        <f>IFERROR(__xludf.DUMMYFUNCTION("GOOGLETRANSLATE(I84, ""th"", ""en"")"),"A) Ministry of Tourism and Sports; B) Ministry of Agriculture and Cooperatives; C) Ministry of Culture; D) No certifying agency.")</f>
        <v>A) Ministry of Tourism and Sports; B) Ministry of Agriculture and Cooperatives; C) Ministry of Culture; D) No certifying agency.</v>
      </c>
      <c r="D84" s="5" t="str">
        <f>IFERROR(__xludf.DUMMYFUNCTION("GOOGLETRANSLATE(J84, ""th"", ""en"")"),"D) There is no certifying agency.")</f>
        <v>D) There is no certifying agency.</v>
      </c>
      <c r="E84" s="5" t="str">
        <f>IFERROR(__xludf.DUMMYFUNCTION("GOOGLETRANSLATE(K84, ""th"", ""en"")"),"Bullfighting in the past was not recognized by any government agency.")</f>
        <v>Bullfighting in the past was not recognized by any government agency.</v>
      </c>
      <c r="G84" s="6">
        <v>83.0</v>
      </c>
      <c r="H84" s="7" t="s">
        <v>315</v>
      </c>
      <c r="I84" s="7" t="s">
        <v>316</v>
      </c>
      <c r="J84" s="7" t="s">
        <v>317</v>
      </c>
      <c r="K84" s="7" t="s">
        <v>318</v>
      </c>
    </row>
    <row r="85" ht="14.25" customHeight="1">
      <c r="A85" s="4">
        <v>84.0</v>
      </c>
      <c r="B85" s="5" t="str">
        <f>IFERROR(__xludf.DUMMYFUNCTION("GOOGLETRANSLATE(H85, ""th"", ""en"")"),"How did bullfighting in the past promote any method in Thai society?")</f>
        <v>How did bullfighting in the past promote any method in Thai society?</v>
      </c>
      <c r="C85" s="5" t="str">
        <f>IFERROR(__xludf.DUMMYFUNCTION("GOOGLETRANSLATE(I85, ""th"", ""en"")"),"A) promote scientific studies; B) promote the practice of agricultural skills; C) promote the building of social relationships; D) promote gambling.")</f>
        <v>A) promote scientific studies; B) promote the practice of agricultural skills; C) promote the building of social relationships; D) promote gambling.</v>
      </c>
      <c r="D85" s="5" t="str">
        <f>IFERROR(__xludf.DUMMYFUNCTION("GOOGLETRANSLATE(J85, ""th"", ""en"")"),"C) Promote the creation of social relationships.")</f>
        <v>C) Promote the creation of social relationships.</v>
      </c>
      <c r="E85" s="5" t="str">
        <f>IFERROR(__xludf.DUMMYFUNCTION("GOOGLETRANSLATE(K85, ""th"", ""en"")"),"Bullfighting helps strengthen relationships and unity in communities.")</f>
        <v>Bullfighting helps strengthen relationships and unity in communities.</v>
      </c>
      <c r="G85" s="6">
        <v>84.0</v>
      </c>
      <c r="H85" s="7" t="s">
        <v>319</v>
      </c>
      <c r="I85" s="7" t="s">
        <v>320</v>
      </c>
      <c r="J85" s="7" t="s">
        <v>321</v>
      </c>
      <c r="K85" s="7" t="s">
        <v>322</v>
      </c>
    </row>
    <row r="86" ht="14.25" customHeight="1">
      <c r="A86" s="4">
        <v>85.0</v>
      </c>
      <c r="B86" s="5" t="str">
        <f>IFERROR(__xludf.DUMMYFUNCTION("GOOGLETRANSLATE(H86, ""th"", ""en"")"),"In the past, what festival were bullfights usually held?")</f>
        <v>In the past, what festival were bullfights usually held?</v>
      </c>
      <c r="C86" s="5" t="str">
        <f>IFERROR(__xludf.DUMMYFUNCTION("GOOGLETRANSLATE(I86, ""th"", ""en"")"),"A) Songkran Festival; B) Ok Phansa Festival; C) Loi Krathong Festival; D) Chinese New Year Festival")</f>
        <v>A) Songkran Festival; B) Ok Phansa Festival; C) Loi Krathong Festival; D) Chinese New Year Festival</v>
      </c>
      <c r="D86" s="5" t="str">
        <f>IFERROR(__xludf.DUMMYFUNCTION("GOOGLETRANSLATE(J86, ""th"", ""en"")"),"A) Songkran Festival")</f>
        <v>A) Songkran Festival</v>
      </c>
      <c r="E86" s="5" t="str">
        <f>IFERROR(__xludf.DUMMYFUNCTION("GOOGLETRANSLATE(K86, ""th"", ""en"")"),"Bullfighting competitions are often held during the Songkran festival to provide entertainment.")</f>
        <v>Bullfighting competitions are often held during the Songkran festival to provide entertainment.</v>
      </c>
      <c r="G86" s="6">
        <v>85.0</v>
      </c>
      <c r="H86" s="7" t="s">
        <v>323</v>
      </c>
      <c r="I86" s="7" t="s">
        <v>324</v>
      </c>
      <c r="J86" s="7" t="s">
        <v>218</v>
      </c>
      <c r="K86" s="7" t="s">
        <v>325</v>
      </c>
    </row>
    <row r="87" ht="14.25" customHeight="1">
      <c r="A87" s="4">
        <v>86.0</v>
      </c>
      <c r="B87" s="5" t="str">
        <f>IFERROR(__xludf.DUMMYFUNCTION("GOOGLETRANSLATE(H87, ""th"", ""en"")"),"Is bullfighting in Thailand related to agriculture?")</f>
        <v>Is bullfighting in Thailand related to agriculture?</v>
      </c>
      <c r="C87" s="5" t="str">
        <f>IFERROR(__xludf.DUMMYFUNCTION("GOOGLETRANSLATE(I87, ""th"", ""en"")"),"A) Yes; B) No; C) Sometimes; D) Depends on the area.")</f>
        <v>A) Yes; B) No; C) Sometimes; D) Depends on the area.</v>
      </c>
      <c r="D87" s="5" t="str">
        <f>IFERROR(__xludf.DUMMYFUNCTION("GOOGLETRANSLATE(J87, ""th"", ""en"")"),"A) Yes")</f>
        <v>A) Yes</v>
      </c>
      <c r="E87" s="5" t="str">
        <f>IFERROR(__xludf.DUMMYFUNCTION("GOOGLETRANSLATE(K87, ""th"", ""en"")"),"Cow fighting in Thailand is closely related to agriculture, especially in rural areas where cattle raising is an important part of daily life.")</f>
        <v>Cow fighting in Thailand is closely related to agriculture, especially in rural areas where cattle raising is an important part of daily life.</v>
      </c>
      <c r="G87" s="6">
        <v>86.0</v>
      </c>
      <c r="H87" s="7" t="s">
        <v>326</v>
      </c>
      <c r="I87" s="7" t="s">
        <v>327</v>
      </c>
      <c r="J87" s="7" t="s">
        <v>60</v>
      </c>
      <c r="K87" s="7" t="s">
        <v>328</v>
      </c>
    </row>
    <row r="88" ht="14.25" customHeight="1">
      <c r="A88" s="4">
        <v>87.0</v>
      </c>
      <c r="B88" s="5" t="str">
        <f>IFERROR(__xludf.DUMMYFUNCTION("GOOGLETRANSLATE(H88, ""th"", ""en"")"),"When did bullfighting develop in Thailand?")</f>
        <v>When did bullfighting develop in Thailand?</v>
      </c>
      <c r="C88" s="5" t="str">
        <f>IFERROR(__xludf.DUMMYFUNCTION("GOOGLETRANSLATE(I88, ""th"", ""en"")"),"A) Before the Ayutthaya period; B) Thonburi period; C) Rattanakosin period; D) Chakri dynasty period")</f>
        <v>A) Before the Ayutthaya period; B) Thonburi period; C) Rattanakosin period; D) Chakri dynasty period</v>
      </c>
      <c r="D88" s="5" t="str">
        <f>IFERROR(__xludf.DUMMYFUNCTION("GOOGLETRANSLATE(J88, ""th"", ""en"")"),"C) Rattanakosin period")</f>
        <v>C) Rattanakosin period</v>
      </c>
      <c r="E88" s="5" t="str">
        <f>IFERROR(__xludf.DUMMYFUNCTION("GOOGLETRANSLATE(K88, ""th"", ""en"")"),"Bullfighting was developed during the Rattanakosin period.")</f>
        <v>Bullfighting was developed during the Rattanakosin period.</v>
      </c>
      <c r="G88" s="6">
        <v>87.0</v>
      </c>
      <c r="H88" s="7" t="s">
        <v>329</v>
      </c>
      <c r="I88" s="7" t="s">
        <v>330</v>
      </c>
      <c r="J88" s="7" t="s">
        <v>237</v>
      </c>
      <c r="K88" s="7" t="s">
        <v>331</v>
      </c>
    </row>
    <row r="89" ht="14.25" customHeight="1">
      <c r="A89" s="4">
        <v>88.0</v>
      </c>
      <c r="B89" s="5" t="str">
        <f>IFERROR(__xludf.DUMMYFUNCTION("GOOGLETRANSLATE(H89, ""th"", ""en"")"),"What was the purpose of bullfights in the past?")</f>
        <v>What was the purpose of bullfights in the past?</v>
      </c>
      <c r="C89" s="5" t="str">
        <f>IFERROR(__xludf.DUMMYFUNCTION("GOOGLETRANSLATE(I89, ""th"", ""en"")"),"A) to make money; B) to test the strength of the bull; C) to strengthen the relationship; D) to try your luck.")</f>
        <v>A) to make money; B) to test the strength of the bull; C) to strengthen the relationship; D) to try your luck.</v>
      </c>
      <c r="D89" s="5" t="str">
        <f>IFERROR(__xludf.DUMMYFUNCTION("GOOGLETRANSLATE(J89, ""th"", ""en"")"),"C) To strengthen relationships")</f>
        <v>C) To strengthen relationships</v>
      </c>
      <c r="E89" s="5" t="str">
        <f>IFERROR(__xludf.DUMMYFUNCTION("GOOGLETRANSLATE(K89, ""th"", ""en"")"),"Bullfighting competitions are often held to strengthen relationships among the community and the local people.")</f>
        <v>Bullfighting competitions are often held to strengthen relationships among the community and the local people.</v>
      </c>
      <c r="G89" s="6">
        <v>88.0</v>
      </c>
      <c r="H89" s="7" t="s">
        <v>332</v>
      </c>
      <c r="I89" s="7" t="s">
        <v>333</v>
      </c>
      <c r="J89" s="7" t="s">
        <v>283</v>
      </c>
      <c r="K89" s="7" t="s">
        <v>334</v>
      </c>
    </row>
    <row r="90" ht="14.25" customHeight="1">
      <c r="A90" s="4">
        <v>89.0</v>
      </c>
      <c r="B90" s="5" t="str">
        <f>IFERROR(__xludf.DUMMYFUNCTION("GOOGLETRANSLATE(H90, ""th"", ""en"")"),"Who promoted bullfighting in the past in Thai society?")</f>
        <v>Who promoted bullfighting in the past in Thai society?</v>
      </c>
      <c r="C90" s="5" t="str">
        <f>IFERROR(__xludf.DUMMYFUNCTION("GOOGLETRANSLATE(I90, ""th"", ""en"")"),"A) commoners; B) nobles; C) kings; D) businessmen")</f>
        <v>A) commoners; B) nobles; C) kings; D) businessmen</v>
      </c>
      <c r="D90" s="5" t="str">
        <f>IFERROR(__xludf.DUMMYFUNCTION("GOOGLETRANSLATE(J90, ""th"", ""en"")"),"C) The King")</f>
        <v>C) The King</v>
      </c>
      <c r="E90" s="5" t="str">
        <f>IFERROR(__xludf.DUMMYFUNCTION("GOOGLETRANSLATE(K90, ""th"", ""en"")"),"Ancient kings often promoted bullfighting.")</f>
        <v>Ancient kings often promoted bullfighting.</v>
      </c>
      <c r="G90" s="6">
        <v>89.0</v>
      </c>
      <c r="H90" s="7" t="s">
        <v>335</v>
      </c>
      <c r="I90" s="7" t="s">
        <v>336</v>
      </c>
      <c r="J90" s="7" t="s">
        <v>337</v>
      </c>
      <c r="K90" s="7" t="s">
        <v>338</v>
      </c>
    </row>
    <row r="91" ht="14.25" customHeight="1">
      <c r="A91" s="4">
        <v>90.0</v>
      </c>
      <c r="B91" s="5" t="str">
        <f>IFERROR(__xludf.DUMMYFUNCTION("GOOGLETRANSLATE(H91, ""th"", ""en"")"),"How was it like training cows for competition in the old days?")</f>
        <v>How was it like training cows for competition in the old days?</v>
      </c>
      <c r="C91" s="5" t="str">
        <f>IFERROR(__xludf.DUMMYFUNCTION("GOOGLETRANSLATE(I91, ""th"", ""en"")"),"A) independent training; B) organized training; C) training in the stadium; D) family training")</f>
        <v>A) independent training; B) organized training; C) training in the stadium; D) family training</v>
      </c>
      <c r="D91" s="5" t="str">
        <f>IFERROR(__xludf.DUMMYFUNCTION("GOOGLETRANSLATE(J91, ""th"", ""en"")"),"B) Orderly training")</f>
        <v>B) Orderly training</v>
      </c>
      <c r="E91" s="5" t="str">
        <f>IFERROR(__xludf.DUMMYFUNCTION("GOOGLETRANSLATE(K91, ""th"", ""en"")"),"Bull training is often methodical and systematic in preparation for competition.")</f>
        <v>Bull training is often methodical and systematic in preparation for competition.</v>
      </c>
      <c r="G91" s="6">
        <v>90.0</v>
      </c>
      <c r="H91" s="7" t="s">
        <v>339</v>
      </c>
      <c r="I91" s="7" t="s">
        <v>340</v>
      </c>
      <c r="J91" s="7" t="s">
        <v>341</v>
      </c>
      <c r="K91" s="7" t="s">
        <v>342</v>
      </c>
    </row>
    <row r="92" ht="14.25" customHeight="1">
      <c r="A92" s="4">
        <v>91.0</v>
      </c>
      <c r="B92" s="5" t="str">
        <f>IFERROR(__xludf.DUMMYFUNCTION("GOOGLETRANSLATE(H92, ""th"", ""en"")"),"How was bullfighting evaluated in the past?")</f>
        <v>How was bullfighting evaluated in the past?</v>
      </c>
      <c r="C92" s="5" t="str">
        <f>IFERROR(__xludf.DUMMYFUNCTION("GOOGLETRANSLATE(I92, ""th"", ""en"")"),"A) Judgement by the audience; B) Judgement by the coach; C) Judgement by the officials; D) Judgement by the winner.")</f>
        <v>A) Judgement by the audience; B) Judgement by the coach; C) Judgement by the officials; D) Judgement by the winner.</v>
      </c>
      <c r="D92" s="5" t="str">
        <f>IFERROR(__xludf.DUMMYFUNCTION("GOOGLETRANSLATE(J92, ""th"", ""en"")"),"C) Decision by the official")</f>
        <v>C) Decision by the official</v>
      </c>
      <c r="E92" s="5" t="str">
        <f>IFERROR(__xludf.DUMMYFUNCTION("GOOGLETRANSLATE(K92, ""th"", ""en"")"),"Judging in bullfights in the past was usually done by appointed officials.")</f>
        <v>Judging in bullfights in the past was usually done by appointed officials.</v>
      </c>
      <c r="G92" s="6">
        <v>91.0</v>
      </c>
      <c r="H92" s="7" t="s">
        <v>343</v>
      </c>
      <c r="I92" s="7" t="s">
        <v>344</v>
      </c>
      <c r="J92" s="7" t="s">
        <v>345</v>
      </c>
      <c r="K92" s="7" t="s">
        <v>346</v>
      </c>
    </row>
    <row r="93" ht="14.25" customHeight="1">
      <c r="A93" s="4">
        <v>92.0</v>
      </c>
      <c r="B93" s="5" t="str">
        <f>IFERROR(__xludf.DUMMYFUNCTION("GOOGLETRANSLATE(H93, ""th"", ""en"")"),"In the past, did bullfighting use any special orders from the organizers?")</f>
        <v>In the past, did bullfighting use any special orders from the organizers?</v>
      </c>
      <c r="C93" s="5" t="str">
        <f>IFERROR(__xludf.DUMMYFUNCTION("GOOGLETRANSLATE(I93, ""th"", ""en"")"),"A) Yes; B) No; C) It depends on the contestant; D) It is unclear.")</f>
        <v>A) Yes; B) No; C) It depends on the contestant; D) It is unclear.</v>
      </c>
      <c r="D93" s="5" t="str">
        <f>IFERROR(__xludf.DUMMYFUNCTION("GOOGLETRANSLATE(J93, ""th"", ""en"")"),"A) Yes.")</f>
        <v>A) Yes.</v>
      </c>
      <c r="E93" s="5" t="str">
        <f>IFERROR(__xludf.DUMMYFUNCTION("GOOGLETRANSLATE(K93, ""th"", ""en"")"),"Bullfighting competitions often have special orders from the organizers to control the competition.")</f>
        <v>Bullfighting competitions often have special orders from the organizers to control the competition.</v>
      </c>
      <c r="G93" s="6">
        <v>92.0</v>
      </c>
      <c r="H93" s="7" t="s">
        <v>347</v>
      </c>
      <c r="I93" s="7" t="s">
        <v>348</v>
      </c>
      <c r="J93" s="7" t="s">
        <v>134</v>
      </c>
      <c r="K93" s="7" t="s">
        <v>349</v>
      </c>
    </row>
    <row r="94" ht="14.25" customHeight="1">
      <c r="A94" s="4">
        <v>93.0</v>
      </c>
      <c r="B94" s="5" t="str">
        <f>IFERROR(__xludf.DUMMYFUNCTION("GOOGLETRANSLATE(H94, ""th"", ""en"")"),"What kind of celebration were bullfights in ancient times often associated with?")</f>
        <v>What kind of celebration were bullfights in ancient times often associated with?</v>
      </c>
      <c r="C94" s="5" t="str">
        <f>IFERROR(__xludf.DUMMYFUNCTION("GOOGLETRANSLATE(I94, ""th"", ""en"")"),"A) military celebration; B) agricultural celebration; C) religious celebration; D) social celebration")</f>
        <v>A) military celebration; B) agricultural celebration; C) religious celebration; D) social celebration</v>
      </c>
      <c r="D94" s="5" t="str">
        <f>IFERROR(__xludf.DUMMYFUNCTION("GOOGLETRANSLATE(J94, ""th"", ""en"")"),"C) Religious celebrations")</f>
        <v>C) Religious celebrations</v>
      </c>
      <c r="E94" s="5" t="str">
        <f>IFERROR(__xludf.DUMMYFUNCTION("GOOGLETRANSLATE(K94, ""th"", ""en"")"),"Bullfighting is often part of religious celebrations in communities.")</f>
        <v>Bullfighting is often part of religious celebrations in communities.</v>
      </c>
      <c r="G94" s="6">
        <v>93.0</v>
      </c>
      <c r="H94" s="7" t="s">
        <v>350</v>
      </c>
      <c r="I94" s="7" t="s">
        <v>351</v>
      </c>
      <c r="J94" s="7" t="s">
        <v>352</v>
      </c>
      <c r="K94" s="7" t="s">
        <v>353</v>
      </c>
    </row>
    <row r="95" ht="14.25" customHeight="1">
      <c r="A95" s="4">
        <v>94.0</v>
      </c>
      <c r="B95" s="5" t="str">
        <f>IFERROR(__xludf.DUMMYFUNCTION("GOOGLETRANSLATE(H95, ""th"", ""en"")"),"Where do bullfights usually take place?")</f>
        <v>Where do bullfights usually take place?</v>
      </c>
      <c r="C95" s="5" t="str">
        <f>IFERROR(__xludf.DUMMYFUNCTION("GOOGLETRANSLATE(I95, ""th"", ""en"")"),"A) Stadium; B) Village Square; C) Organizer's House; D) Temple")</f>
        <v>A) Stadium; B) Village Square; C) Organizer's House; D) Temple</v>
      </c>
      <c r="D95" s="5" t="str">
        <f>IFERROR(__xludf.DUMMYFUNCTION("GOOGLETRANSLATE(J95, ""th"", ""en"")"),"B) Village courtyard")</f>
        <v>B) Village courtyard</v>
      </c>
      <c r="E95" s="5" t="str">
        <f>IFERROR(__xludf.DUMMYFUNCTION("GOOGLETRANSLATE(K95, ""th"", ""en"")"),"Bullfighting competitions are usually held in the village square or in an outdoor arena.")</f>
        <v>Bullfighting competitions are usually held in the village square or in an outdoor arena.</v>
      </c>
      <c r="G95" s="6">
        <v>94.0</v>
      </c>
      <c r="H95" s="7" t="s">
        <v>354</v>
      </c>
      <c r="I95" s="7" t="s">
        <v>355</v>
      </c>
      <c r="J95" s="7" t="s">
        <v>229</v>
      </c>
      <c r="K95" s="7" t="s">
        <v>356</v>
      </c>
    </row>
    <row r="96" ht="14.25" customHeight="1">
      <c r="A96" s="4">
        <v>95.0</v>
      </c>
      <c r="B96" s="5" t="str">
        <f>IFERROR(__xludf.DUMMYFUNCTION("GOOGLETRANSLATE(H96, ""th"", ""en"")"),"Who watched bullfights in the past?")</f>
        <v>Who watched bullfights in the past?</v>
      </c>
      <c r="C96" s="5" t="str">
        <f>IFERROR(__xludf.DUMMYFUNCTION("GOOGLETRANSLATE(I96, ""th"", ""en"")"),"A) the common people; B) the nobles and rulers; C) the king; D) everyone in the community")</f>
        <v>A) the common people; B) the nobles and rulers; C) the king; D) everyone in the community</v>
      </c>
      <c r="D96" s="5" t="str">
        <f>IFERROR(__xludf.DUMMYFUNCTION("GOOGLETRANSLATE(J96, ""th"", ""en"")"),"D) Everyone in the community")</f>
        <v>D) Everyone in the community</v>
      </c>
      <c r="E96" s="5" t="str">
        <f>IFERROR(__xludf.DUMMYFUNCTION("GOOGLETRANSLATE(K96, ""th"", ""en"")"),"Bullfighting in the past was open to everyone in the community to participate and watch.")</f>
        <v>Bullfighting in the past was open to everyone in the community to participate and watch.</v>
      </c>
      <c r="G96" s="6">
        <v>95.0</v>
      </c>
      <c r="H96" s="7" t="s">
        <v>357</v>
      </c>
      <c r="I96" s="7" t="s">
        <v>358</v>
      </c>
      <c r="J96" s="7" t="s">
        <v>359</v>
      </c>
      <c r="K96" s="7" t="s">
        <v>360</v>
      </c>
    </row>
    <row r="97" ht="14.25" customHeight="1">
      <c r="A97" s="4">
        <v>96.0</v>
      </c>
      <c r="B97" s="5" t="str">
        <f>IFERROR(__xludf.DUMMYFUNCTION("GOOGLETRANSLATE(H97, ""th"", ""en"")"),"Did any special techniques apply to training cattle for competition in the past?")</f>
        <v>Did any special techniques apply to training cattle for competition in the past?</v>
      </c>
      <c r="C97" s="5" t="str">
        <f>IFERROR(__xludf.DUMMYFUNCTION("GOOGLETRANSLATE(I97, ""th"", ""en"")"),"A) Yes; B) No; C) It depends on the type of cow; D) Sometimes.")</f>
        <v>A) Yes; B) No; C) It depends on the type of cow; D) Sometimes.</v>
      </c>
      <c r="D97" s="5" t="str">
        <f>IFERROR(__xludf.DUMMYFUNCTION("GOOGLETRANSLATE(J97, ""th"", ""en"")"),"A) Yes.")</f>
        <v>A) Yes.</v>
      </c>
      <c r="E97" s="5" t="str">
        <f>IFERROR(__xludf.DUMMYFUNCTION("GOOGLETRANSLATE(K97, ""th"", ""en"")"),"In the past, cattle training often used special techniques to prepare the cattle for competition.")</f>
        <v>In the past, cattle training often used special techniques to prepare the cattle for competition.</v>
      </c>
      <c r="G97" s="6">
        <v>96.0</v>
      </c>
      <c r="H97" s="7" t="s">
        <v>361</v>
      </c>
      <c r="I97" s="7" t="s">
        <v>362</v>
      </c>
      <c r="J97" s="7" t="s">
        <v>134</v>
      </c>
      <c r="K97" s="7" t="s">
        <v>363</v>
      </c>
    </row>
    <row r="98" ht="14.25" customHeight="1">
      <c r="A98" s="4">
        <v>97.0</v>
      </c>
      <c r="B98" s="5" t="str">
        <f>IFERROR(__xludf.DUMMYFUNCTION("GOOGLETRANSLATE(H98, ""th"", ""en"")"),"In what month did bullfights in the past usually take place?")</f>
        <v>In what month did bullfights in the past usually take place?</v>
      </c>
      <c r="C98" s="5" t="str">
        <f>IFERROR(__xludf.DUMMYFUNCTION("GOOGLETRANSLATE(I98, ""th"", ""en"")"),"A) January; B) April; C) July; D) October")</f>
        <v>A) January; B) April; C) July; D) October</v>
      </c>
      <c r="D98" s="5" t="str">
        <f>IFERROR(__xludf.DUMMYFUNCTION("GOOGLETRANSLATE(J98, ""th"", ""en"")"),"B) April")</f>
        <v>B) April</v>
      </c>
      <c r="E98" s="5" t="str">
        <f>IFERROR(__xludf.DUMMYFUNCTION("GOOGLETRANSLATE(K98, ""th"", ""en"")"),"Bullfighting usually takes place in April to suit the weather conditions.")</f>
        <v>Bullfighting usually takes place in April to suit the weather conditions.</v>
      </c>
      <c r="G98" s="6">
        <v>97.0</v>
      </c>
      <c r="H98" s="7" t="s">
        <v>364</v>
      </c>
      <c r="I98" s="7" t="s">
        <v>365</v>
      </c>
      <c r="J98" s="7" t="s">
        <v>366</v>
      </c>
      <c r="K98" s="7" t="s">
        <v>367</v>
      </c>
    </row>
    <row r="99" ht="14.25" customHeight="1">
      <c r="A99" s="4">
        <v>98.0</v>
      </c>
      <c r="B99" s="5" t="str">
        <f>IFERROR(__xludf.DUMMYFUNCTION("GOOGLETRANSLATE(H99, ""th"", ""en"")"),"Was cattle training an activity done in the villages in the past?")</f>
        <v>Was cattle training an activity done in the villages in the past?</v>
      </c>
      <c r="C99" s="5" t="str">
        <f>IFERROR(__xludf.DUMMYFUNCTION("GOOGLETRANSLATE(I99, ""th"", ""en"")"),"A) Yes; B) No; C) It depends on the area; D) It depends on the management.")</f>
        <v>A) Yes; B) No; C) It depends on the area; D) It depends on the management.</v>
      </c>
      <c r="D99" s="5" t="str">
        <f>IFERROR(__xludf.DUMMYFUNCTION("GOOGLETRANSLATE(J99, ""th"", ""en"")"),"A) Yes.")</f>
        <v>A) Yes.</v>
      </c>
      <c r="E99" s="5" t="str">
        <f>IFERROR(__xludf.DUMMYFUNCTION("GOOGLETRANSLATE(K99, ""th"", ""en"")"),"Cow training is often done in villages as part of daily activities.")</f>
        <v>Cow training is often done in villages as part of daily activities.</v>
      </c>
      <c r="G99" s="6">
        <v>98.0</v>
      </c>
      <c r="H99" s="7" t="s">
        <v>368</v>
      </c>
      <c r="I99" s="7" t="s">
        <v>369</v>
      </c>
      <c r="J99" s="7" t="s">
        <v>134</v>
      </c>
      <c r="K99" s="7" t="s">
        <v>370</v>
      </c>
    </row>
    <row r="100" ht="14.25" customHeight="1">
      <c r="A100" s="4">
        <v>99.0</v>
      </c>
      <c r="B100" s="5" t="str">
        <f>IFERROR(__xludf.DUMMYFUNCTION("GOOGLETRANSLATE(H100, ""th"", ""en"")"),"Was bullfighting an event in the past that had participants from many provinces?")</f>
        <v>Was bullfighting an event in the past that had participants from many provinces?</v>
      </c>
      <c r="C100" s="5" t="str">
        <f>IFERROR(__xludf.DUMMYFUNCTION("GOOGLETRANSLATE(I100, ""th"", ""en"")"),"A) Yes; B) No; C) It depends on the situation; D) Sometimes.")</f>
        <v>A) Yes; B) No; C) It depends on the situation; D) Sometimes.</v>
      </c>
      <c r="D100" s="5" t="str">
        <f>IFERROR(__xludf.DUMMYFUNCTION("GOOGLETRANSLATE(J100, ""th"", ""en"")"),"A) Yes.")</f>
        <v>A) Yes.</v>
      </c>
      <c r="E100" s="5" t="str">
        <f>IFERROR(__xludf.DUMMYFUNCTION("GOOGLETRANSLATE(K100, ""th"", ""en"")"),"Bullfighting in the past often attracted participants from many provinces to create excitement.")</f>
        <v>Bullfighting in the past often attracted participants from many provinces to create excitement.</v>
      </c>
      <c r="G100" s="6">
        <v>99.0</v>
      </c>
      <c r="H100" s="7" t="s">
        <v>371</v>
      </c>
      <c r="I100" s="7" t="s">
        <v>301</v>
      </c>
      <c r="J100" s="7" t="s">
        <v>134</v>
      </c>
      <c r="K100" s="7" t="s">
        <v>372</v>
      </c>
    </row>
    <row r="101" ht="14.25" customHeight="1">
      <c r="A101" s="4">
        <v>100.0</v>
      </c>
      <c r="B101" s="5" t="str">
        <f>IFERROR(__xludf.DUMMYFUNCTION("GOOGLETRANSLATE(H101, ""th"", ""en"")"),"Who supported bullfighting during the Rattanakosin period?")</f>
        <v>Who supported bullfighting during the Rattanakosin period?</v>
      </c>
      <c r="C101" s="5" t="str">
        <f>IFERROR(__xludf.DUMMYFUNCTION("GOOGLETRANSLATE(I101, ""th"", ""en"")"),"A) nobles; B) kings; C) commoners; D) politicians")</f>
        <v>A) nobles; B) kings; C) commoners; D) politicians</v>
      </c>
      <c r="D101" s="5" t="str">
        <f>IFERROR(__xludf.DUMMYFUNCTION("GOOGLETRANSLATE(J101, ""th"", ""en"")"),"B) The King")</f>
        <v>B) The King</v>
      </c>
      <c r="E101" s="5" t="str">
        <f>IFERROR(__xludf.DUMMYFUNCTION("GOOGLETRANSLATE(K101, ""th"", ""en"")"),"Bullfighting was supported by the kings during the Rattanakosin period.")</f>
        <v>Bullfighting was supported by the kings during the Rattanakosin period.</v>
      </c>
      <c r="G101" s="6">
        <v>100.0</v>
      </c>
      <c r="H101" s="7" t="s">
        <v>373</v>
      </c>
      <c r="I101" s="7" t="s">
        <v>374</v>
      </c>
      <c r="J101" s="7" t="s">
        <v>375</v>
      </c>
      <c r="K101" s="7" t="s">
        <v>376</v>
      </c>
    </row>
    <row r="102" ht="14.25" customHeight="1">
      <c r="A102" s="4">
        <v>101.0</v>
      </c>
      <c r="B102" s="5" t="str">
        <f>IFERROR(__xludf.DUMMYFUNCTION("GOOGLETRANSLATE(H102, ""th"", ""en"")"),"What was the significance of bullfighting in the Ayutthaya period?")</f>
        <v>What was the significance of bullfighting in the Ayutthaya period?</v>
      </c>
      <c r="C102" s="5" t="str">
        <f>IFERROR(__xludf.DUMMYFUNCTION("GOOGLETRANSLATE(I102, ""th"", ""en"")"),"A) to strengthen relations between communities; B) to test the strength of the bulls; C) to be a religious activity; D) to entertain the upper class.")</f>
        <v>A) to strengthen relations between communities; B) to test the strength of the bulls; C) to be a religious activity; D) to entertain the upper class.</v>
      </c>
      <c r="D102" s="5" t="str">
        <f>IFERROR(__xludf.DUMMYFUNCTION("GOOGLETRANSLATE(J102, ""th"", ""en"")"),"A) To strengthen relations between communities")</f>
        <v>A) To strengthen relations between communities</v>
      </c>
      <c r="E102" s="5" t="str">
        <f>IFERROR(__xludf.DUMMYFUNCTION("GOOGLETRANSLATE(K102, ""th"", ""en"")"),"Bullfighting competitions during the Ayutthaya period helped strengthen relationships within villages and communities.")</f>
        <v>Bullfighting competitions during the Ayutthaya period helped strengthen relationships within villages and communities.</v>
      </c>
      <c r="G102" s="6">
        <v>101.0</v>
      </c>
      <c r="H102" s="7" t="s">
        <v>377</v>
      </c>
      <c r="I102" s="7" t="s">
        <v>378</v>
      </c>
      <c r="J102" s="7" t="s">
        <v>379</v>
      </c>
      <c r="K102" s="7" t="s">
        <v>380</v>
      </c>
    </row>
    <row r="103" ht="14.25" customHeight="1">
      <c r="A103" s="4">
        <v>102.0</v>
      </c>
      <c r="B103" s="5" t="str">
        <f>IFERROR(__xludf.DUMMYFUNCTION("GOOGLETRANSLATE(H103, ""th"", ""en"")"),"During the Ayutthaya period, what activity was bullfighting often used for?")</f>
        <v>During the Ayutthaya period, what activity was bullfighting often used for?</v>
      </c>
      <c r="C103" s="5" t="str">
        <f>IFERROR(__xludf.DUMMYFUNCTION("GOOGLETRANSLATE(I103, ""th"", ""en"")"),"A) celebration; B) funeral; C) wedding; D) festival")</f>
        <v>A) celebration; B) funeral; C) wedding; D) festival</v>
      </c>
      <c r="D103" s="5" t="str">
        <f>IFERROR(__xludf.DUMMYFUNCTION("GOOGLETRANSLATE(J103, ""th"", ""en"")"),"A) Celebration")</f>
        <v>A) Celebration</v>
      </c>
      <c r="E103" s="5" t="str">
        <f>IFERROR(__xludf.DUMMYFUNCTION("GOOGLETRANSLATE(K103, ""th"", ""en"")"),"Bullfighting is often used as an activity in community celebrations.")</f>
        <v>Bullfighting is often used as an activity in community celebrations.</v>
      </c>
      <c r="G103" s="6">
        <v>102.0</v>
      </c>
      <c r="H103" s="7" t="s">
        <v>381</v>
      </c>
      <c r="I103" s="7" t="s">
        <v>382</v>
      </c>
      <c r="J103" s="7" t="s">
        <v>383</v>
      </c>
      <c r="K103" s="7" t="s">
        <v>384</v>
      </c>
    </row>
    <row r="104" ht="14.25" customHeight="1">
      <c r="A104" s="4">
        <v>103.0</v>
      </c>
      <c r="B104" s="5" t="str">
        <f>IFERROR(__xludf.DUMMYFUNCTION("GOOGLETRANSLATE(H104, ""th"", ""en"")"),"How were the winners determined in bullfights during the Ayutthaya period?")</f>
        <v>How were the winners determined in bullfights during the Ayutthaya period?</v>
      </c>
      <c r="C104" s="5" t="str">
        <f>IFERROR(__xludf.DUMMYFUNCTION("GOOGLETRANSLATE(I104, ""th"", ""en"")"),"A) One who is accepted by the public; B) One who can make rival bulls surrender; C) One who can make one's own bulls go out of control; D) Not specified.")</f>
        <v>A) One who is accepted by the public; B) One who can make rival bulls surrender; C) One who can make one's own bulls go out of control; D) Not specified.</v>
      </c>
      <c r="D104" s="5" t="str">
        <f>IFERROR(__xludf.DUMMYFUNCTION("GOOGLETRANSLATE(J104, ""th"", ""en"")"),"B) A person who can make the rival bulls surrender.")</f>
        <v>B) A person who can make the rival bulls surrender.</v>
      </c>
      <c r="E104" s="5" t="str">
        <f>IFERROR(__xludf.DUMMYFUNCTION("GOOGLETRANSLATE(K104, ""th"", ""en"")"),"The decision of the competition is based on the surrender of the competing bull.")</f>
        <v>The decision of the competition is based on the surrender of the competing bull.</v>
      </c>
      <c r="G104" s="6">
        <v>103.0</v>
      </c>
      <c r="H104" s="7" t="s">
        <v>385</v>
      </c>
      <c r="I104" s="7" t="s">
        <v>386</v>
      </c>
      <c r="J104" s="7" t="s">
        <v>387</v>
      </c>
      <c r="K104" s="7" t="s">
        <v>388</v>
      </c>
    </row>
    <row r="105" ht="14.25" customHeight="1">
      <c r="A105" s="4">
        <v>104.0</v>
      </c>
      <c r="B105" s="5" t="str">
        <f>IFERROR(__xludf.DUMMYFUNCTION("GOOGLETRANSLATE(H105, ""th"", ""en"")"),"In the past, bullfighting was often supported by which group in Thai society?")</f>
        <v>In the past, bullfighting was often supported by which group in Thai society?</v>
      </c>
      <c r="C105" s="5" t="str">
        <f>IFERROR(__xludf.DUMMYFUNCTION("GOOGLETRANSLATE(I105, ""th"", ""en"")"),"A) nobles; B) kings; C) commoners; D) businessmen")</f>
        <v>A) nobles; B) kings; C) commoners; D) businessmen</v>
      </c>
      <c r="D105" s="5" t="str">
        <f>IFERROR(__xludf.DUMMYFUNCTION("GOOGLETRANSLATE(J105, ""th"", ""en"")"),"B) The King")</f>
        <v>B) The King</v>
      </c>
      <c r="E105" s="5" t="str">
        <f>IFERROR(__xludf.DUMMYFUNCTION("GOOGLETRANSLATE(K105, ""th"", ""en"")"),"Kings during the Ayutthaya period often supported bullfighting competitions.")</f>
        <v>Kings during the Ayutthaya period often supported bullfighting competitions.</v>
      </c>
      <c r="G105" s="6">
        <v>104.0</v>
      </c>
      <c r="H105" s="7" t="s">
        <v>389</v>
      </c>
      <c r="I105" s="7" t="s">
        <v>390</v>
      </c>
      <c r="J105" s="7" t="s">
        <v>375</v>
      </c>
      <c r="K105" s="7" t="s">
        <v>391</v>
      </c>
    </row>
    <row r="106" ht="14.25" customHeight="1">
      <c r="A106" s="4">
        <v>105.0</v>
      </c>
      <c r="B106" s="5" t="str">
        <f>IFERROR(__xludf.DUMMYFUNCTION("GOOGLETRANSLATE(H106, ""th"", ""en"")"),"What significance did bullfighting have in the past?")</f>
        <v>What significance did bullfighting have in the past?</v>
      </c>
      <c r="C106" s="5" t="str">
        <f>IFERROR(__xludf.DUMMYFUNCTION("GOOGLETRANSLATE(I106, ""th"", ""en"")"),"A) entertainment; B) military competition; C) community relations; D) education")</f>
        <v>A) entertainment; B) military competition; C) community relations; D) education</v>
      </c>
      <c r="D106" s="5" t="str">
        <f>IFERROR(__xludf.DUMMYFUNCTION("GOOGLETRANSLATE(J106, ""th"", ""en"")"),"C) Community relations")</f>
        <v>C) Community relations</v>
      </c>
      <c r="E106" s="5" t="str">
        <f>IFERROR(__xludf.DUMMYFUNCTION("GOOGLETRANSLATE(K106, ""th"", ""en"")"),"Bullfighting in the past was part of strengthening relationships in villages and communities.")</f>
        <v>Bullfighting in the past was part of strengthening relationships in villages and communities.</v>
      </c>
      <c r="G106" s="6">
        <v>105.0</v>
      </c>
      <c r="H106" s="7" t="s">
        <v>392</v>
      </c>
      <c r="I106" s="7" t="s">
        <v>393</v>
      </c>
      <c r="J106" s="7" t="s">
        <v>394</v>
      </c>
      <c r="K106" s="7" t="s">
        <v>395</v>
      </c>
    </row>
    <row r="107" ht="14.25" customHeight="1">
      <c r="A107" s="4">
        <v>106.0</v>
      </c>
      <c r="B107" s="5" t="str">
        <f>IFERROR(__xludf.DUMMYFUNCTION("GOOGLETRANSLATE(H107, ""th"", ""en"")"),"In the past, bullfights were held on important Thai holidays, such as what day?")</f>
        <v>In the past, bullfights were held on important Thai holidays, such as what day?</v>
      </c>
      <c r="C107" s="5" t="str">
        <f>IFERROR(__xludf.DUMMYFUNCTION("GOOGLETRANSLATE(I107, ""th"", ""en"")"),"A) Songkran Day; B) Mother's Day; C) Labor Day; D) Loi Krathong Day")</f>
        <v>A) Songkran Day; B) Mother's Day; C) Labor Day; D) Loi Krathong Day</v>
      </c>
      <c r="D107" s="5" t="str">
        <f>IFERROR(__xludf.DUMMYFUNCTION("GOOGLETRANSLATE(J107, ""th"", ""en"")"),"A) Songkran Day")</f>
        <v>A) Songkran Day</v>
      </c>
      <c r="E107" s="5" t="str">
        <f>IFERROR(__xludf.DUMMYFUNCTION("GOOGLETRANSLATE(K107, ""th"", ""en"")"),"Bullfighting is often held on Songkran Day as a celebratory event.")</f>
        <v>Bullfighting is often held on Songkran Day as a celebratory event.</v>
      </c>
      <c r="G107" s="6">
        <v>106.0</v>
      </c>
      <c r="H107" s="7" t="s">
        <v>396</v>
      </c>
      <c r="I107" s="7" t="s">
        <v>397</v>
      </c>
      <c r="J107" s="7" t="s">
        <v>398</v>
      </c>
      <c r="K107" s="7" t="s">
        <v>399</v>
      </c>
    </row>
    <row r="108" ht="14.25" customHeight="1">
      <c r="A108" s="4">
        <v>107.0</v>
      </c>
      <c r="B108" s="5" t="str">
        <f>IFERROR(__xludf.DUMMYFUNCTION("GOOGLETRANSLATE(H108, ""th"", ""en"")"),"How popular was bullfighting during the Rattanakosin period?")</f>
        <v>How popular was bullfighting during the Rattanakosin period?</v>
      </c>
      <c r="C108" s="5" t="str">
        <f>IFERROR(__xludf.DUMMYFUNCTION("GOOGLETRANSLATE(I108, ""th"", ""en"")"),"A) very popular in the capital; B) popular in all provinces; C) popular only in the countryside; D) not popular")</f>
        <v>A) very popular in the capital; B) popular in all provinces; C) popular only in the countryside; D) not popular</v>
      </c>
      <c r="D108" s="5" t="str">
        <f>IFERROR(__xludf.DUMMYFUNCTION("GOOGLETRANSLATE(J108, ""th"", ""en"")"),"B) Popular in every province")</f>
        <v>B) Popular in every province</v>
      </c>
      <c r="E108" s="5" t="str">
        <f>IFERROR(__xludf.DUMMYFUNCTION("GOOGLETRANSLATE(K108, ""th"", ""en"")"),"Bullfighting was popular in every province throughout Thailand during the Rattanakosin period.")</f>
        <v>Bullfighting was popular in every province throughout Thailand during the Rattanakosin period.</v>
      </c>
      <c r="G108" s="6">
        <v>107.0</v>
      </c>
      <c r="H108" s="7" t="s">
        <v>400</v>
      </c>
      <c r="I108" s="7" t="s">
        <v>401</v>
      </c>
      <c r="J108" s="7" t="s">
        <v>402</v>
      </c>
      <c r="K108" s="7" t="s">
        <v>403</v>
      </c>
    </row>
    <row r="109" ht="14.25" customHeight="1">
      <c r="A109" s="4">
        <v>108.0</v>
      </c>
      <c r="B109" s="5" t="str">
        <f>IFERROR(__xludf.DUMMYFUNCTION("GOOGLETRANSLATE(H109, ""th"", ""en"")"),"How much was bullfighting accepted by the community during the Rattanakosin period?")</f>
        <v>How much was bullfighting accepted by the community during the Rattanakosin period?</v>
      </c>
      <c r="C109" s="5" t="str">
        <f>IFERROR(__xludf.DUMMYFUNCTION("GOOGLETRANSLATE(I109, ""th"", ""en"")"),"A) a lot; B) a little; C) not accepted; D) depends on class")</f>
        <v>A) a lot; B) a little; C) not accepted; D) depends on class</v>
      </c>
      <c r="D109" s="5" t="str">
        <f>IFERROR(__xludf.DUMMYFUNCTION("GOOGLETRANSLATE(J109, ""th"", ""en"")"),"A) a lot")</f>
        <v>A) a lot</v>
      </c>
      <c r="E109" s="5" t="str">
        <f>IFERROR(__xludf.DUMMYFUNCTION("GOOGLETRANSLATE(K109, ""th"", ""en"")"),"Bullfighting was accepted and supported by the community during the Rattanakosin period.")</f>
        <v>Bullfighting was accepted and supported by the community during the Rattanakosin period.</v>
      </c>
      <c r="G109" s="6">
        <v>108.0</v>
      </c>
      <c r="H109" s="7" t="s">
        <v>404</v>
      </c>
      <c r="I109" s="7" t="s">
        <v>405</v>
      </c>
      <c r="J109" s="7" t="s">
        <v>406</v>
      </c>
      <c r="K109" s="7" t="s">
        <v>407</v>
      </c>
    </row>
    <row r="110" ht="14.25" customHeight="1">
      <c r="A110" s="4">
        <v>109.0</v>
      </c>
      <c r="B110" s="5" t="str">
        <f>IFERROR(__xludf.DUMMYFUNCTION("GOOGLETRANSLATE(H110, ""th"", ""en"")"),"How was bullfighting organized during the Rattanakosin period?")</f>
        <v>How was bullfighting organized during the Rattanakosin period?</v>
      </c>
      <c r="C110" s="5" t="str">
        <f>IFERROR(__xludf.DUMMYFUNCTION("GOOGLETRANSLATE(I110, ""th"", ""en"")"),"A) by local communities; B) by nobles; C) by kings; D) by businessmen.")</f>
        <v>A) by local communities; B) by nobles; C) by kings; D) by businessmen.</v>
      </c>
      <c r="D110" s="5" t="str">
        <f>IFERROR(__xludf.DUMMYFUNCTION("GOOGLETRANSLATE(J110, ""th"", ""en"")"),"A) By local communities")</f>
        <v>A) By local communities</v>
      </c>
      <c r="E110" s="5" t="str">
        <f>IFERROR(__xludf.DUMMYFUNCTION("GOOGLETRANSLATE(K110, ""th"", ""en"")"),"Bullfighting competitions during the Rattanakosin period were often organized by local communities.")</f>
        <v>Bullfighting competitions during the Rattanakosin period were often organized by local communities.</v>
      </c>
      <c r="G110" s="6">
        <v>109.0</v>
      </c>
      <c r="H110" s="7" t="s">
        <v>408</v>
      </c>
      <c r="I110" s="7" t="s">
        <v>409</v>
      </c>
      <c r="J110" s="7" t="s">
        <v>410</v>
      </c>
      <c r="K110" s="7" t="s">
        <v>411</v>
      </c>
    </row>
    <row r="111" ht="14.25" customHeight="1">
      <c r="A111" s="4">
        <v>110.0</v>
      </c>
      <c r="B111" s="5" t="str">
        <f>IFERROR(__xludf.DUMMYFUNCTION("GOOGLETRANSLATE(H111, ""th"", ""en"")"),"In the past, were there any rules for bullfighting?")</f>
        <v>In the past, were there any rules for bullfighting?</v>
      </c>
      <c r="C111" s="5" t="str">
        <f>IFERROR(__xludf.DUMMYFUNCTION("GOOGLETRANSLATE(I111, ""th"", ""en"")"),"A) Yes; B) No; C) It depends on the organizer; D) The rules are only in the capital.")</f>
        <v>A) Yes; B) No; C) It depends on the organizer; D) The rules are only in the capital.</v>
      </c>
      <c r="D111" s="5" t="str">
        <f>IFERROR(__xludf.DUMMYFUNCTION("GOOGLETRANSLATE(J111, ""th"", ""en"")"),"A) Yes")</f>
        <v>A) Yes</v>
      </c>
      <c r="E111" s="5" t="str">
        <f>IFERROR(__xludf.DUMMYFUNCTION("GOOGLETRANSLATE(K111, ""th"", ""en"")"),"Bullfighting in the past had clear rules for the competition.")</f>
        <v>Bullfighting in the past had clear rules for the competition.</v>
      </c>
      <c r="G111" s="6">
        <v>110.0</v>
      </c>
      <c r="H111" s="7" t="s">
        <v>412</v>
      </c>
      <c r="I111" s="7" t="s">
        <v>413</v>
      </c>
      <c r="J111" s="7" t="s">
        <v>60</v>
      </c>
      <c r="K111" s="7" t="s">
        <v>414</v>
      </c>
    </row>
    <row r="112" ht="14.25" customHeight="1">
      <c r="A112" s="4">
        <v>111.0</v>
      </c>
      <c r="B112" s="5" t="str">
        <f>IFERROR(__xludf.DUMMYFUNCTION("GOOGLETRANSLATE(H112, ""th"", ""en"")"),"Where did the bulls used in ancient bullfights come from?")</f>
        <v>Where did the bulls used in ancient bullfights come from?</v>
      </c>
      <c r="C112" s="5" t="str">
        <f>IFERROR(__xludf.DUMMYFUNCTION("GOOGLETRANSLATE(I112, ""th"", ""en"")"),"A) came from the nobles' farms; B) came from the peasants' farms; C) came from the king's farms; D) came from trading in the market.")</f>
        <v>A) came from the nobles' farms; B) came from the peasants' farms; C) came from the king's farms; D) came from trading in the market.</v>
      </c>
      <c r="D112" s="5" t="str">
        <f>IFERROR(__xludf.DUMMYFUNCTION("GOOGLETRANSLATE(J112, ""th"", ""en"")"),"B) Comes from villagers' farms.")</f>
        <v>B) Comes from villagers' farms.</v>
      </c>
      <c r="E112" s="5" t="str">
        <f>IFERROR(__xludf.DUMMYFUNCTION("GOOGLETRANSLATE(K112, ""th"", ""en"")"),"The cattle used in the competition usually come from local farms.")</f>
        <v>The cattle used in the competition usually come from local farms.</v>
      </c>
      <c r="G112" s="6">
        <v>111.0</v>
      </c>
      <c r="H112" s="7" t="s">
        <v>415</v>
      </c>
      <c r="I112" s="7" t="s">
        <v>416</v>
      </c>
      <c r="J112" s="7" t="s">
        <v>417</v>
      </c>
      <c r="K112" s="7" t="s">
        <v>418</v>
      </c>
    </row>
    <row r="113" ht="14.25" customHeight="1">
      <c r="A113" s="4">
        <v>112.0</v>
      </c>
      <c r="B113" s="5" t="str">
        <f>IFERROR(__xludf.DUMMYFUNCTION("GOOGLETRANSLATE(H113, ""th"", ""en"")"),"How did bullfighting in the past affect Thai society?")</f>
        <v>How did bullfighting in the past affect Thai society?</v>
      </c>
      <c r="C113" s="5" t="str">
        <f>IFERROR(__xludf.DUMMYFUNCTION("GOOGLETRANSLATE(I113, ""th"", ""en"")"),"A) cause division; B) promote unity in the community; C) cause tension; D) create wealth.")</f>
        <v>A) cause division; B) promote unity in the community; C) cause tension; D) create wealth.</v>
      </c>
      <c r="D113" s="5" t="str">
        <f>IFERROR(__xludf.DUMMYFUNCTION("GOOGLETRANSLATE(J113, ""th"", ""en"")"),"B) Promote unity in the community.")</f>
        <v>B) Promote unity in the community.</v>
      </c>
      <c r="E113" s="5" t="str">
        <f>IFERROR(__xludf.DUMMYFUNCTION("GOOGLETRANSLATE(K113, ""th"", ""en"")"),"Bullfighting helps strengthen relationships and unity among communities.")</f>
        <v>Bullfighting helps strengthen relationships and unity among communities.</v>
      </c>
      <c r="G113" s="6">
        <v>112.0</v>
      </c>
      <c r="H113" s="7" t="s">
        <v>419</v>
      </c>
      <c r="I113" s="7" t="s">
        <v>420</v>
      </c>
      <c r="J113" s="7" t="s">
        <v>421</v>
      </c>
      <c r="K113" s="7" t="s">
        <v>422</v>
      </c>
    </row>
    <row r="114" ht="14.25" customHeight="1">
      <c r="A114" s="4">
        <v>113.0</v>
      </c>
      <c r="B114" s="5" t="str">
        <f>IFERROR(__xludf.DUMMYFUNCTION("GOOGLETRANSLATE(H114, ""th"", ""en"")"),"On what day were bullfights held in the Ayutthaya period?")</f>
        <v>On what day were bullfights held in the Ayutthaya period?</v>
      </c>
      <c r="C114" s="5" t="str">
        <f>IFERROR(__xludf.DUMMYFUNCTION("GOOGLETRANSLATE(I114, ""th"", ""en"")"),"A) Saturday; B) Sunday; C) Wednesday; D) Friday")</f>
        <v>A) Saturday; B) Sunday; C) Wednesday; D) Friday</v>
      </c>
      <c r="D114" s="5" t="str">
        <f>IFERROR(__xludf.DUMMYFUNCTION("GOOGLETRANSLATE(J114, ""th"", ""en"")"),"B) Sunday")</f>
        <v>B) Sunday</v>
      </c>
      <c r="E114" s="5" t="str">
        <f>IFERROR(__xludf.DUMMYFUNCTION("GOOGLETRANSLATE(K114, ""th"", ""en"")"),"Bullfighting is usually held on Sundays, a day convenient for the community.")</f>
        <v>Bullfighting is usually held on Sundays, a day convenient for the community.</v>
      </c>
      <c r="G114" s="6">
        <v>113.0</v>
      </c>
      <c r="H114" s="7" t="s">
        <v>423</v>
      </c>
      <c r="I114" s="7" t="s">
        <v>424</v>
      </c>
      <c r="J114" s="7" t="s">
        <v>425</v>
      </c>
      <c r="K114" s="7" t="s">
        <v>426</v>
      </c>
    </row>
    <row r="115" ht="14.25" customHeight="1">
      <c r="A115" s="4">
        <v>114.0</v>
      </c>
      <c r="B115" s="5" t="str">
        <f>IFERROR(__xludf.DUMMYFUNCTION("GOOGLETRANSLATE(H115, ""th"", ""en"")"),"Did bullfighting in the past have political implications?")</f>
        <v>Did bullfighting in the past have political implications?</v>
      </c>
      <c r="C115" s="5" t="str">
        <f>IFERROR(__xludf.DUMMYFUNCTION("GOOGLETRANSLATE(I115, ""th"", ""en"")"),"A) has no effect; B) affects the government; C) helps support the government; D) creates political tension.")</f>
        <v>A) has no effect; B) affects the government; C) helps support the government; D) creates political tension.</v>
      </c>
      <c r="D115" s="5" t="str">
        <f>IFERROR(__xludf.DUMMYFUNCTION("GOOGLETRANSLATE(J115, ""th"", ""en"")"),"B) Affecting governance")</f>
        <v>B) Affecting governance</v>
      </c>
      <c r="E115" s="5" t="str">
        <f>IFERROR(__xludf.DUMMYFUNCTION("GOOGLETRANSLATE(K115, ""th"", ""en"")"),"Bullfighting sometimes had an impact on politics during the Ayutthaya period.")</f>
        <v>Bullfighting sometimes had an impact on politics during the Ayutthaya period.</v>
      </c>
      <c r="G115" s="6">
        <v>114.0</v>
      </c>
      <c r="H115" s="7" t="s">
        <v>427</v>
      </c>
      <c r="I115" s="7" t="s">
        <v>428</v>
      </c>
      <c r="J115" s="7" t="s">
        <v>429</v>
      </c>
      <c r="K115" s="7" t="s">
        <v>430</v>
      </c>
    </row>
    <row r="116" ht="14.25" customHeight="1">
      <c r="A116" s="4">
        <v>115.0</v>
      </c>
      <c r="B116" s="5" t="str">
        <f>IFERROR(__xludf.DUMMYFUNCTION("GOOGLETRANSLATE(H116, ""th"", ""en"")"),"Was bullfighting passed down from generation to generation in ancient times?")</f>
        <v>Was bullfighting passed down from generation to generation in ancient times?</v>
      </c>
      <c r="C116" s="5" t="str">
        <f>IFERROR(__xludf.DUMMYFUNCTION("GOOGLETRANSLATE(I116, ""th"", ""en"")"),"A) Yes; B) No; C) It depends on the area; D) It depends on the class.")</f>
        <v>A) Yes; B) No; C) It depends on the area; D) It depends on the class.</v>
      </c>
      <c r="D116" s="5" t="str">
        <f>IFERROR(__xludf.DUMMYFUNCTION("GOOGLETRANSLATE(J116, ""th"", ""en"")"),"A) Yes.")</f>
        <v>A) Yes.</v>
      </c>
      <c r="E116" s="5" t="str">
        <f>IFERROR(__xludf.DUMMYFUNCTION("GOOGLETRANSLATE(K116, ""th"", ""en"")"),"Bullfighting has often been passed down from generation to generation in communities.")</f>
        <v>Bullfighting has often been passed down from generation to generation in communities.</v>
      </c>
      <c r="G116" s="6">
        <v>115.0</v>
      </c>
      <c r="H116" s="7" t="s">
        <v>431</v>
      </c>
      <c r="I116" s="7" t="s">
        <v>432</v>
      </c>
      <c r="J116" s="7" t="s">
        <v>134</v>
      </c>
      <c r="K116" s="7" t="s">
        <v>433</v>
      </c>
    </row>
    <row r="117" ht="14.25" customHeight="1">
      <c r="A117" s="4">
        <v>116.0</v>
      </c>
      <c r="B117" s="5" t="str">
        <f>IFERROR(__xludf.DUMMYFUNCTION("GOOGLETRANSLATE(H117, ""th"", ""en"")"),"Was bullfighting in the past a village activity?")</f>
        <v>Was bullfighting in the past a village activity?</v>
      </c>
      <c r="C117" s="5" t="str">
        <f>IFERROR(__xludf.DUMMYFUNCTION("GOOGLETRANSLATE(I117, ""th"", ""en"")"),"A) Yes; B) No; C) Sometimes; D) It depends on the size of the community.")</f>
        <v>A) Yes; B) No; C) Sometimes; D) It depends on the size of the community.</v>
      </c>
      <c r="D117" s="5" t="str">
        <f>IFERROR(__xludf.DUMMYFUNCTION("GOOGLETRANSLATE(J117, ""th"", ""en"")"),"A) Yes.")</f>
        <v>A) Yes.</v>
      </c>
      <c r="E117" s="5" t="str">
        <f>IFERROR(__xludf.DUMMYFUNCTION("GOOGLETRANSLATE(K117, ""th"", ""en"")"),"Bullfighting is often organized as an activity within the village or nearby areas.")</f>
        <v>Bullfighting is often organized as an activity within the village or nearby areas.</v>
      </c>
      <c r="G117" s="6">
        <v>116.0</v>
      </c>
      <c r="H117" s="7" t="s">
        <v>434</v>
      </c>
      <c r="I117" s="7" t="s">
        <v>435</v>
      </c>
      <c r="J117" s="7" t="s">
        <v>134</v>
      </c>
      <c r="K117" s="7" t="s">
        <v>436</v>
      </c>
    </row>
    <row r="118" ht="14.25" customHeight="1">
      <c r="A118" s="4">
        <v>117.0</v>
      </c>
      <c r="B118" s="5" t="str">
        <f>IFERROR(__xludf.DUMMYFUNCTION("GOOGLETRANSLATE(H118, ""th"", ""en"")"),"Which social classes participate in bullfighting?")</f>
        <v>Which social classes participate in bullfighting?</v>
      </c>
      <c r="C118" s="5" t="str">
        <f>IFERROR(__xludf.DUMMYFUNCTION("GOOGLETRANSLATE(I118, ""th"", ""en"")"),"A) nobles and commoners; B) nobles and businessmen; C) nobles and kings; D) all commoners")</f>
        <v>A) nobles and commoners; B) nobles and businessmen; C) nobles and kings; D) all commoners</v>
      </c>
      <c r="D118" s="5" t="str">
        <f>IFERROR(__xludf.DUMMYFUNCTION("GOOGLETRANSLATE(J118, ""th"", ""en"")"),"A) Nobles and commoners")</f>
        <v>A) Nobles and commoners</v>
      </c>
      <c r="E118" s="5" t="str">
        <f>IFERROR(__xludf.DUMMYFUNCTION("GOOGLETRANSLATE(K118, ""th"", ""en"")"),"Bullfighting in the Ayutthaya period involved participation from nobles and commoners.")</f>
        <v>Bullfighting in the Ayutthaya period involved participation from nobles and commoners.</v>
      </c>
      <c r="G118" s="6">
        <v>117.0</v>
      </c>
      <c r="H118" s="7" t="s">
        <v>437</v>
      </c>
      <c r="I118" s="7" t="s">
        <v>438</v>
      </c>
      <c r="J118" s="7" t="s">
        <v>439</v>
      </c>
      <c r="K118" s="7" t="s">
        <v>440</v>
      </c>
    </row>
    <row r="119" ht="14.25" customHeight="1">
      <c r="A119" s="4">
        <v>118.0</v>
      </c>
      <c r="B119" s="5" t="str">
        <f>IFERROR(__xludf.DUMMYFUNCTION("GOOGLETRANSLATE(H119, ""th"", ""en"")"),"What was bullfighting in the Ayutthaya period often part of?")</f>
        <v>What was bullfighting in the Ayutthaya period often part of?</v>
      </c>
      <c r="C119" s="5" t="str">
        <f>IFERROR(__xludf.DUMMYFUNCTION("GOOGLETRANSLATE(I119, ""th"", ""en"")"),"A) sporting events; B) religious celebrations; C) political gatherings; D) social gatherings")</f>
        <v>A) sporting events; B) religious celebrations; C) political gatherings; D) social gatherings</v>
      </c>
      <c r="D119" s="5" t="str">
        <f>IFERROR(__xludf.DUMMYFUNCTION("GOOGLETRANSLATE(J119, ""th"", ""en"")"),"B) Religious celebrations")</f>
        <v>B) Religious celebrations</v>
      </c>
      <c r="E119" s="5" t="str">
        <f>IFERROR(__xludf.DUMMYFUNCTION("GOOGLETRANSLATE(K119, ""th"", ""en"")"),"Bullfights are often part of religious celebrations.")</f>
        <v>Bullfights are often part of religious celebrations.</v>
      </c>
      <c r="G119" s="6">
        <v>118.0</v>
      </c>
      <c r="H119" s="7" t="s">
        <v>441</v>
      </c>
      <c r="I119" s="7" t="s">
        <v>442</v>
      </c>
      <c r="J119" s="7" t="s">
        <v>443</v>
      </c>
      <c r="K119" s="7" t="s">
        <v>444</v>
      </c>
    </row>
    <row r="120" ht="14.25" customHeight="1">
      <c r="A120" s="4">
        <v>119.0</v>
      </c>
      <c r="B120" s="5" t="str">
        <f>IFERROR(__xludf.DUMMYFUNCTION("GOOGLETRANSLATE(H120, ""th"", ""en"")"),"In the past, bullfighting was most popular among which group?")</f>
        <v>In the past, bullfighting was most popular among which group?</v>
      </c>
      <c r="C120" s="5" t="str">
        <f>IFERROR(__xludf.DUMMYFUNCTION("GOOGLETRANSLATE(I120, ""th"", ""en"")"),"A) commoners; B) nobles; C) businessmen; D) kings")</f>
        <v>A) commoners; B) nobles; C) businessmen; D) kings</v>
      </c>
      <c r="D120" s="5" t="str">
        <f>IFERROR(__xludf.DUMMYFUNCTION("GOOGLETRANSLATE(J120, ""th"", ""en"")"),"A) Villagers")</f>
        <v>A) Villagers</v>
      </c>
      <c r="E120" s="5" t="str">
        <f>IFERROR(__xludf.DUMMYFUNCTION("GOOGLETRANSLATE(K120, ""th"", ""en"")"),"Rural villagers are often the ones who are interested in and participate in bullfighting.")</f>
        <v>Rural villagers are often the ones who are interested in and participate in bullfighting.</v>
      </c>
      <c r="G120" s="6">
        <v>119.0</v>
      </c>
      <c r="H120" s="7" t="s">
        <v>445</v>
      </c>
      <c r="I120" s="7" t="s">
        <v>446</v>
      </c>
      <c r="J120" s="7" t="s">
        <v>447</v>
      </c>
      <c r="K120" s="7" t="s">
        <v>448</v>
      </c>
    </row>
    <row r="121" ht="14.25" customHeight="1">
      <c r="A121" s="4">
        <v>120.0</v>
      </c>
      <c r="B121" s="5" t="str">
        <f>IFERROR(__xludf.DUMMYFUNCTION("GOOGLETRANSLATE(H121, ""th"", ""en"")"),"What are bulls used for testing?")</f>
        <v>What are bulls used for testing?</v>
      </c>
      <c r="C121" s="5" t="str">
        <f>IFERROR(__xludf.DUMMYFUNCTION("GOOGLETRANSLATE(I121, ""th"", ""en"")"),"A) The bull's fighting ability; B) Its training ability; C) Its owner's ability to control it; D) Its resistance.")</f>
        <v>A) The bull's fighting ability; B) Its training ability; C) Its owner's ability to control it; D) Its resistance.</v>
      </c>
      <c r="D121" s="5" t="str">
        <f>IFERROR(__xludf.DUMMYFUNCTION("GOOGLETRANSLATE(J121, ""th"", ""en"")"),"A) The fighting ability of the bull")</f>
        <v>A) The fighting ability of the bull</v>
      </c>
      <c r="E121" s="5" t="str">
        <f>IFERROR(__xludf.DUMMYFUNCTION("GOOGLETRANSLATE(K121, ""th"", ""en"")"),"Bullfighting is used to test a bull's fighting ability.")</f>
        <v>Bullfighting is used to test a bull's fighting ability.</v>
      </c>
      <c r="G121" s="6">
        <v>120.0</v>
      </c>
      <c r="H121" s="7" t="s">
        <v>449</v>
      </c>
      <c r="I121" s="7" t="s">
        <v>450</v>
      </c>
      <c r="J121" s="7" t="s">
        <v>451</v>
      </c>
      <c r="K121" s="7" t="s">
        <v>452</v>
      </c>
    </row>
    <row r="122" ht="14.25" customHeight="1">
      <c r="A122" s="4">
        <v>121.0</v>
      </c>
      <c r="B122" s="5" t="str">
        <f>IFERROR(__xludf.DUMMYFUNCTION("GOOGLETRANSLATE(H122, ""th"", ""en"")"),"Where were bullfighting competitions held during the Ayutthaya period?")</f>
        <v>Where were bullfighting competitions held during the Ayutthaya period?</v>
      </c>
      <c r="C122" s="5" t="str">
        <f>IFERROR(__xludf.DUMMYFUNCTION("GOOGLETRANSLATE(I122, ""th"", ""en"")"),"A) in the palace; B) in the village; C) in the capital; D) in the stadium")</f>
        <v>A) in the palace; B) in the village; C) in the capital; D) in the stadium</v>
      </c>
      <c r="D122" s="5" t="str">
        <f>IFERROR(__xludf.DUMMYFUNCTION("GOOGLETRANSLATE(J122, ""th"", ""en"")"),"B) In the village")</f>
        <v>B) In the village</v>
      </c>
      <c r="E122" s="5" t="str">
        <f>IFERROR(__xludf.DUMMYFUNCTION("GOOGLETRANSLATE(K122, ""th"", ""en"")"),"Bullfighting competitions are usually held in villages or local communities.")</f>
        <v>Bullfighting competitions are usually held in villages or local communities.</v>
      </c>
      <c r="G122" s="6">
        <v>121.0</v>
      </c>
      <c r="H122" s="7" t="s">
        <v>453</v>
      </c>
      <c r="I122" s="7" t="s">
        <v>454</v>
      </c>
      <c r="J122" s="7" t="s">
        <v>455</v>
      </c>
      <c r="K122" s="7" t="s">
        <v>456</v>
      </c>
    </row>
    <row r="123" ht="14.25" customHeight="1">
      <c r="A123" s="4">
        <v>122.0</v>
      </c>
      <c r="B123" s="5" t="str">
        <f>IFERROR(__xludf.DUMMYFUNCTION("GOOGLETRANSLATE(H123, ""th"", ""en"")"),"What role did bullfighting play in Thai society in the past?")</f>
        <v>What role did bullfighting play in Thai society in the past?</v>
      </c>
      <c r="C123" s="5" t="str">
        <f>IFERROR(__xludf.DUMMYFUNCTION("GOOGLETRANSLATE(I123, ""th"", ""en"")"),"A) upper class society; B) politics; C) entertainment and relationship building; D) education")</f>
        <v>A) upper class society; B) politics; C) entertainment and relationship building; D) education</v>
      </c>
      <c r="D123" s="5" t="str">
        <f>IFERROR(__xludf.DUMMYFUNCTION("GOOGLETRANSLATE(J123, ""th"", ""en"")"),"C) Entertainment and relationship building")</f>
        <v>C) Entertainment and relationship building</v>
      </c>
      <c r="E123" s="5" t="str">
        <f>IFERROR(__xludf.DUMMYFUNCTION("GOOGLETRANSLATE(K123, ""th"", ""en"")"),"Bullfighting helps strengthen relationships within villages and communities.")</f>
        <v>Bullfighting helps strengthen relationships within villages and communities.</v>
      </c>
      <c r="G123" s="6">
        <v>122.0</v>
      </c>
      <c r="H123" s="7" t="s">
        <v>457</v>
      </c>
      <c r="I123" s="7" t="s">
        <v>458</v>
      </c>
      <c r="J123" s="7" t="s">
        <v>459</v>
      </c>
      <c r="K123" s="7" t="s">
        <v>460</v>
      </c>
    </row>
    <row r="124" ht="14.25" customHeight="1">
      <c r="A124" s="4">
        <v>123.0</v>
      </c>
      <c r="B124" s="5" t="str">
        <f>IFERROR(__xludf.DUMMYFUNCTION("GOOGLETRANSLATE(H124, ""th"", ""en"")"),"During the Ayutthaya period, what characteristics did bulls usually have in competitions?")</f>
        <v>During the Ayutthaya period, what characteristics did bulls usually have in competitions?</v>
      </c>
      <c r="C124" s="5" t="str">
        <f>IFERROR(__xludf.DUMMYFUNCTION("GOOGLETRANSLATE(I124, ""th"", ""en"")"),"A) a strong and fierce cow; B) a tame and obedient cow; C) a large cow; D) a brightly colored cow")</f>
        <v>A) a strong and fierce cow; B) a tame and obedient cow; C) a large cow; D) a brightly colored cow</v>
      </c>
      <c r="D124" s="5" t="str">
        <f>IFERROR(__xludf.DUMMYFUNCTION("GOOGLETRANSLATE(J124, ""th"", ""en"")"),"A) A strong and fierce cow.")</f>
        <v>A) A strong and fierce cow.</v>
      </c>
      <c r="E124" s="5" t="str">
        <f>IFERROR(__xludf.DUMMYFUNCTION("GOOGLETRANSLATE(K124, ""th"", ""en"")"),"Bulls used in bullfighting competitions must be strong and ferocious.")</f>
        <v>Bulls used in bullfighting competitions must be strong and ferocious.</v>
      </c>
      <c r="G124" s="6">
        <v>123.0</v>
      </c>
      <c r="H124" s="7" t="s">
        <v>461</v>
      </c>
      <c r="I124" s="7" t="s">
        <v>462</v>
      </c>
      <c r="J124" s="7" t="s">
        <v>463</v>
      </c>
      <c r="K124" s="7" t="s">
        <v>464</v>
      </c>
    </row>
    <row r="125" ht="14.25" customHeight="1">
      <c r="A125" s="4">
        <v>124.0</v>
      </c>
      <c r="B125" s="5" t="str">
        <f>IFERROR(__xludf.DUMMYFUNCTION("GOOGLETRANSLATE(H125, ""th"", ""en"")"),"How was bull training done for bullfighting in the old days?")</f>
        <v>How was bull training done for bullfighting in the old days?</v>
      </c>
      <c r="C125" s="5" t="str">
        <f>IFERROR(__xludf.DUMMYFUNCTION("GOOGLETRANSLATE(I125, ""th"", ""en"")"),"A) Training in an open field; B) Training in a barn; C) Training in a garden or open area; D) Training in water.")</f>
        <v>A) Training in an open field; B) Training in a barn; C) Training in a garden or open area; D) Training in water.</v>
      </c>
      <c r="D125" s="5" t="str">
        <f>IFERROR(__xludf.DUMMYFUNCTION("GOOGLETRANSLATE(J125, ""th"", ""en"")"),"C) Practice in the garden or open area.")</f>
        <v>C) Practice in the garden or open area.</v>
      </c>
      <c r="E125" s="5" t="str">
        <f>IFERROR(__xludf.DUMMYFUNCTION("GOOGLETRANSLATE(K125, ""th"", ""en"")"),"Cow training is often done in gardens or open areas to allow the cows to move around and have space to train.")</f>
        <v>Cow training is often done in gardens or open areas to allow the cows to move around and have space to train.</v>
      </c>
      <c r="G125" s="6">
        <v>124.0</v>
      </c>
      <c r="H125" s="7" t="s">
        <v>465</v>
      </c>
      <c r="I125" s="7" t="s">
        <v>466</v>
      </c>
      <c r="J125" s="7" t="s">
        <v>467</v>
      </c>
      <c r="K125" s="7" t="s">
        <v>468</v>
      </c>
    </row>
    <row r="126" ht="14.25" customHeight="1">
      <c r="A126" s="4">
        <v>125.0</v>
      </c>
      <c r="B126" s="5" t="str">
        <f>IFERROR(__xludf.DUMMYFUNCTION("GOOGLETRANSLATE(H126, ""th"", ""en"")"),"Was bullfighting in the Ayutthaya period related to other activities?")</f>
        <v>Was bullfighting in the Ayutthaya period related to other activities?</v>
      </c>
      <c r="C126" s="5" t="str">
        <f>IFERROR(__xludf.DUMMYFUNCTION("GOOGLETRANSLATE(I126, ""th"", ""en"")"),"A) Not relevant; B) Related to other sports competitions; C) Related to religious activities; D) Related to military activities.")</f>
        <v>A) Not relevant; B) Related to other sports competitions; C) Related to religious activities; D) Related to military activities.</v>
      </c>
      <c r="D126" s="5" t="str">
        <f>IFERROR(__xludf.DUMMYFUNCTION("GOOGLETRANSLATE(J126, ""th"", ""en"")"),"C) Related to religious activities")</f>
        <v>C) Related to religious activities</v>
      </c>
      <c r="E126" s="5" t="str">
        <f>IFERROR(__xludf.DUMMYFUNCTION("GOOGLETRANSLATE(K126, ""th"", ""en"")"),"Bullfighting is often part of religious and ritual activities.")</f>
        <v>Bullfighting is often part of religious and ritual activities.</v>
      </c>
      <c r="G126" s="6">
        <v>125.0</v>
      </c>
      <c r="H126" s="7" t="s">
        <v>469</v>
      </c>
      <c r="I126" s="7" t="s">
        <v>470</v>
      </c>
      <c r="J126" s="7" t="s">
        <v>471</v>
      </c>
      <c r="K126" s="7" t="s">
        <v>472</v>
      </c>
    </row>
    <row r="127" ht="14.25" customHeight="1">
      <c r="A127" s="4">
        <v>126.0</v>
      </c>
      <c r="B127" s="5" t="str">
        <f>IFERROR(__xludf.DUMMYFUNCTION("GOOGLETRANSLATE(H127, ""th"", ""en"")"),"Bullfighting during the Rattanakosin period was most popular among which group of Thai society?")</f>
        <v>Bullfighting during the Rattanakosin period was most popular among which group of Thai society?</v>
      </c>
      <c r="C127" s="5" t="str">
        <f>IFERROR(__xludf.DUMMYFUNCTION("GOOGLETRANSLATE(I127, ""th"", ""en"")"),"A) peasants; B) nobles and kings; C) merchants and businessmen; D) people in the capital.")</f>
        <v>A) peasants; B) nobles and kings; C) merchants and businessmen; D) people in the capital.</v>
      </c>
      <c r="D127" s="5" t="str">
        <f>IFERROR(__xludf.DUMMYFUNCTION("GOOGLETRANSLATE(J127, ""th"", ""en"")"),"B) Nobles and the King")</f>
        <v>B) Nobles and the King</v>
      </c>
      <c r="E127" s="5" t="str">
        <f>IFERROR(__xludf.DUMMYFUNCTION("GOOGLETRANSLATE(K127, ""th"", ""en"")"),"Bullfighting was popular among nobles and kings during the Rattanakosin period.")</f>
        <v>Bullfighting was popular among nobles and kings during the Rattanakosin period.</v>
      </c>
      <c r="G127" s="6">
        <v>126.0</v>
      </c>
      <c r="H127" s="7" t="s">
        <v>473</v>
      </c>
      <c r="I127" s="7" t="s">
        <v>474</v>
      </c>
      <c r="J127" s="7" t="s">
        <v>475</v>
      </c>
      <c r="K127" s="7" t="s">
        <v>476</v>
      </c>
    </row>
    <row r="128" ht="14.25" customHeight="1">
      <c r="A128" s="4">
        <v>127.0</v>
      </c>
      <c r="B128" s="5" t="str">
        <f>IFERROR(__xludf.DUMMYFUNCTION("GOOGLETRANSLATE(H128, ""th"", ""en"")"),"How were the winners of bullfights in the Ayutthaya period determined?")</f>
        <v>How were the winners of bullfights in the Ayutthaya period determined?</v>
      </c>
      <c r="C128" s="5" t="str">
        <f>IFERROR(__xludf.DUMMYFUNCTION("GOOGLETRANSLATE(I128, ""th"", ""en"")"),"A) by the number of spectators; B) by the competition between bulls; C) by the test of the strength of the bulls; D) by the selection of the nobility.")</f>
        <v>A) by the number of spectators; B) by the competition between bulls; C) by the test of the strength of the bulls; D) by the selection of the nobility.</v>
      </c>
      <c r="D128" s="5" t="str">
        <f>IFERROR(__xludf.DUMMYFUNCTION("GOOGLETRANSLATE(J128, ""th"", ""en"")"),"B) By the competition between bulls")</f>
        <v>B) By the competition between bulls</v>
      </c>
      <c r="E128" s="5" t="str">
        <f>IFERROR(__xludf.DUMMYFUNCTION("GOOGLETRANSLATE(K128, ""th"", ""en"")"),"The winner of a bullfight is determined by the contest between the bulls.")</f>
        <v>The winner of a bullfight is determined by the contest between the bulls.</v>
      </c>
      <c r="G128" s="6">
        <v>127.0</v>
      </c>
      <c r="H128" s="7" t="s">
        <v>477</v>
      </c>
      <c r="I128" s="7" t="s">
        <v>478</v>
      </c>
      <c r="J128" s="7" t="s">
        <v>479</v>
      </c>
      <c r="K128" s="7" t="s">
        <v>480</v>
      </c>
    </row>
    <row r="129" ht="14.25" customHeight="1">
      <c r="A129" s="4">
        <v>128.0</v>
      </c>
      <c r="B129" s="5" t="str">
        <f>IFERROR(__xludf.DUMMYFUNCTION("GOOGLETRANSLATE(H129, ""th"", ""en"")"),"Bullfighting was part of what festival celebration in ancient times?")</f>
        <v>Bullfighting was part of what festival celebration in ancient times?</v>
      </c>
      <c r="C129" s="5" t="str">
        <f>IFERROR(__xludf.DUMMYFUNCTION("GOOGLETRANSLATE(I129, ""th"", ""en"")"),"A) New Year Festival; B) Songkran Festival; C) Loi Krathong Festival; D) Buddhist Lent Festival")</f>
        <v>A) New Year Festival; B) Songkran Festival; C) Loi Krathong Festival; D) Buddhist Lent Festival</v>
      </c>
      <c r="D129" s="5" t="str">
        <f>IFERROR(__xludf.DUMMYFUNCTION("GOOGLETRANSLATE(J129, ""th"", ""en"")"),"B) Songkran Festival")</f>
        <v>B) Songkran Festival</v>
      </c>
      <c r="E129" s="5" t="str">
        <f>IFERROR(__xludf.DUMMYFUNCTION("GOOGLETRANSLATE(K129, ""th"", ""en"")"),"Bullfighting is often held during the Songkran festival as part of the celebrations.")</f>
        <v>Bullfighting is often held during the Songkran festival as part of the celebrations.</v>
      </c>
      <c r="G129" s="6">
        <v>128.0</v>
      </c>
      <c r="H129" s="7" t="s">
        <v>481</v>
      </c>
      <c r="I129" s="7" t="s">
        <v>482</v>
      </c>
      <c r="J129" s="7" t="s">
        <v>483</v>
      </c>
      <c r="K129" s="7" t="s">
        <v>484</v>
      </c>
    </row>
    <row r="130" ht="14.25" customHeight="1">
      <c r="A130" s="4">
        <v>129.0</v>
      </c>
      <c r="B130" s="5" t="str">
        <f>IFERROR(__xludf.DUMMYFUNCTION("GOOGLETRANSLATE(H130, ""th"", ""en"")"),"How has bullfighting changed during the Rattanakosin period compared to the Ayutthaya period?")</f>
        <v>How has bullfighting changed during the Rattanakosin period compared to the Ayutthaya period?</v>
      </c>
      <c r="C130" s="5" t="str">
        <f>IFERROR(__xludf.DUMMYFUNCTION("GOOGLETRANSLATE(I130, ""th"", ""en"")"),"A) less competition; B) increased popularity among the upper class; C) competition became more complex; D) cattle training became more intense.")</f>
        <v>A) less competition; B) increased popularity among the upper class; C) competition became more complex; D) cattle training became more intense.</v>
      </c>
      <c r="D130" s="5" t="str">
        <f>IFERROR(__xludf.DUMMYFUNCTION("GOOGLETRANSLATE(J130, ""th"", ""en"")"),"B) Increase popularity among the upper class.")</f>
        <v>B) Increase popularity among the upper class.</v>
      </c>
      <c r="E130" s="5" t="str">
        <f>IFERROR(__xludf.DUMMYFUNCTION("GOOGLETRANSLATE(K130, ""th"", ""en"")"),"Bullfighting during the Rattanakosin period became more popular among the upper class.")</f>
        <v>Bullfighting during the Rattanakosin period became more popular among the upper class.</v>
      </c>
      <c r="G130" s="6">
        <v>129.0</v>
      </c>
      <c r="H130" s="7" t="s">
        <v>485</v>
      </c>
      <c r="I130" s="7" t="s">
        <v>486</v>
      </c>
      <c r="J130" s="7" t="s">
        <v>487</v>
      </c>
      <c r="K130" s="7" t="s">
        <v>488</v>
      </c>
    </row>
    <row r="131" ht="14.25" customHeight="1">
      <c r="A131" s="4">
        <v>130.0</v>
      </c>
      <c r="B131" s="5" t="str">
        <f>IFERROR(__xludf.DUMMYFUNCTION("GOOGLETRANSLATE(H131, ""th"", ""en"")"),"Was there a passing down of knowledge about bullfighting from generation to generation during the Ayutthaya period?")</f>
        <v>Was there a passing down of knowledge about bullfighting from generation to generation during the Ayutthaya period?</v>
      </c>
      <c r="C131" s="5" t="str">
        <f>IFERROR(__xludf.DUMMYFUNCTION("GOOGLETRANSLATE(I131, ""th"", ""en"")"),"A) Yes; B) No; C) It depends on the area; D) It depends on the interest.")</f>
        <v>A) Yes; B) No; C) It depends on the area; D) It depends on the interest.</v>
      </c>
      <c r="D131" s="5" t="str">
        <f>IFERROR(__xludf.DUMMYFUNCTION("GOOGLETRANSLATE(J131, ""th"", ""en"")"),"A) Yes.")</f>
        <v>A) Yes.</v>
      </c>
      <c r="E131" s="5" t="str">
        <f>IFERROR(__xludf.DUMMYFUNCTION("GOOGLETRANSLATE(K131, ""th"", ""en"")"),"Bullfighting training and competitions are often passed down from generation to generation in communities.")</f>
        <v>Bullfighting training and competitions are often passed down from generation to generation in communities.</v>
      </c>
      <c r="G131" s="6">
        <v>130.0</v>
      </c>
      <c r="H131" s="7" t="s">
        <v>489</v>
      </c>
      <c r="I131" s="7" t="s">
        <v>490</v>
      </c>
      <c r="J131" s="7" t="s">
        <v>134</v>
      </c>
      <c r="K131" s="7" t="s">
        <v>491</v>
      </c>
    </row>
    <row r="132" ht="14.25" customHeight="1">
      <c r="A132" s="4">
        <v>131.0</v>
      </c>
      <c r="B132" s="5" t="str">
        <f>IFERROR(__xludf.DUMMYFUNCTION("GOOGLETRANSLATE(H132, ""th"", ""en"")"),"What time of year were bullfights traditionally held?")</f>
        <v>What time of year were bullfights traditionally held?</v>
      </c>
      <c r="C132" s="5" t="str">
        <f>IFERROR(__xludf.DUMMYFUNCTION("GOOGLETRANSLATE(I132, ""th"", ""en"")"),"A) all year round; B) during the rainy season; C) during important festivals; D) during the summer")</f>
        <v>A) all year round; B) during the rainy season; C) during important festivals; D) during the summer</v>
      </c>
      <c r="D132" s="5" t="str">
        <f>IFERROR(__xludf.DUMMYFUNCTION("GOOGLETRANSLATE(J132, ""th"", ""en"")"),"C) During important festivals")</f>
        <v>C) During important festivals</v>
      </c>
      <c r="E132" s="5" t="str">
        <f>IFERROR(__xludf.DUMMYFUNCTION("GOOGLETRANSLATE(K132, ""th"", ""en"")"),"Bullfighting is often held during important festivals such as Songkran.")</f>
        <v>Bullfighting is often held during important festivals such as Songkran.</v>
      </c>
      <c r="G132" s="6">
        <v>131.0</v>
      </c>
      <c r="H132" s="7" t="s">
        <v>492</v>
      </c>
      <c r="I132" s="7" t="s">
        <v>493</v>
      </c>
      <c r="J132" s="7" t="s">
        <v>494</v>
      </c>
      <c r="K132" s="7" t="s">
        <v>495</v>
      </c>
    </row>
    <row r="133" ht="14.25" customHeight="1">
      <c r="A133" s="4">
        <v>132.0</v>
      </c>
      <c r="B133" s="5" t="str">
        <f>IFERROR(__xludf.DUMMYFUNCTION("GOOGLETRANSLATE(H133, ""th"", ""en"")"),"Who supported bullfighting during the Ayutthaya period?")</f>
        <v>Who supported bullfighting during the Ayutthaya period?</v>
      </c>
      <c r="C133" s="5" t="str">
        <f>IFERROR(__xludf.DUMMYFUNCTION("GOOGLETRANSLATE(I133, ""th"", ""en"")"),"A) commoners; B) nobles; C) kings; D) businessmen")</f>
        <v>A) commoners; B) nobles; C) kings; D) businessmen</v>
      </c>
      <c r="D133" s="5" t="str">
        <f>IFERROR(__xludf.DUMMYFUNCTION("GOOGLETRANSLATE(J133, ""th"", ""en"")"),"C) The King")</f>
        <v>C) The King</v>
      </c>
      <c r="E133" s="5" t="str">
        <f>IFERROR(__xludf.DUMMYFUNCTION("GOOGLETRANSLATE(K133, ""th"", ""en"")"),"Kings during the Ayutthaya period often supported bullfighting competitions.")</f>
        <v>Kings during the Ayutthaya period often supported bullfighting competitions.</v>
      </c>
      <c r="G133" s="6">
        <v>132.0</v>
      </c>
      <c r="H133" s="7" t="s">
        <v>496</v>
      </c>
      <c r="I133" s="7" t="s">
        <v>497</v>
      </c>
      <c r="J133" s="7" t="s">
        <v>337</v>
      </c>
      <c r="K133" s="7" t="s">
        <v>391</v>
      </c>
    </row>
    <row r="134" ht="14.25" customHeight="1">
      <c r="A134" s="4">
        <v>133.0</v>
      </c>
      <c r="B134" s="5" t="str">
        <f>IFERROR(__xludf.DUMMYFUNCTION("GOOGLETRANSLATE(H134, ""th"", ""en"")"),"Where did the bulls used in bullfighting competitions in the Ayutthaya period originate?")</f>
        <v>Where did the bulls used in bullfighting competitions in the Ayutthaya period originate?</v>
      </c>
      <c r="C134" s="5" t="str">
        <f>IFERROR(__xludf.DUMMYFUNCTION("GOOGLETRANSLATE(I134, ""th"", ""en"")"),"A) Native Thai cattle; B) Imported cattle; C) Cows from noble farms; D) Cows from exchange")</f>
        <v>A) Native Thai cattle; B) Imported cattle; C) Cows from noble farms; D) Cows from exchange</v>
      </c>
      <c r="D134" s="5" t="str">
        <f>IFERROR(__xludf.DUMMYFUNCTION("GOOGLETRANSLATE(J134, ""th"", ""en"")"),"A) Thai native cattle")</f>
        <v>A) Thai native cattle</v>
      </c>
      <c r="E134" s="5" t="str">
        <f>IFERROR(__xludf.DUMMYFUNCTION("GOOGLETRANSLATE(K134, ""th"", ""en"")"),"The bulls used in bullfighting competitions are usually native to Thailand.")</f>
        <v>The bulls used in bullfighting competitions are usually native to Thailand.</v>
      </c>
      <c r="G134" s="6">
        <v>133.0</v>
      </c>
      <c r="H134" s="7" t="s">
        <v>498</v>
      </c>
      <c r="I134" s="7" t="s">
        <v>499</v>
      </c>
      <c r="J134" s="7" t="s">
        <v>500</v>
      </c>
      <c r="K134" s="7" t="s">
        <v>501</v>
      </c>
    </row>
    <row r="135" ht="14.25" customHeight="1">
      <c r="A135" s="4">
        <v>134.0</v>
      </c>
      <c r="B135" s="5" t="str">
        <f>IFERROR(__xludf.DUMMYFUNCTION("GOOGLETRANSLATE(H135, ""th"", ""en"")"),"Was bullfighting in the Ayutthaya period related to the military?")</f>
        <v>Was bullfighting in the Ayutthaya period related to the military?</v>
      </c>
      <c r="C135" s="5" t="str">
        <f>IFERROR(__xludf.DUMMYFUNCTION("GOOGLETRANSLATE(I135, ""th"", ""en"")"),"A) Not relevant; B) Relevant due to the bull's strength test; C) Relevant to military training; D) Relevant to strengthening security.")</f>
        <v>A) Not relevant; B) Relevant due to the bull's strength test; C) Relevant to military training; D) Relevant to strengthening security.</v>
      </c>
      <c r="D135" s="5" t="str">
        <f>IFERROR(__xludf.DUMMYFUNCTION("GOOGLETRANSLATE(J135, ""th"", ""en"")"),"B) It is related to the strength test of the cow.")</f>
        <v>B) It is related to the strength test of the cow.</v>
      </c>
      <c r="E135" s="5" t="str">
        <f>IFERROR(__xludf.DUMMYFUNCTION("GOOGLETRANSLATE(K135, ""th"", ""en"")"),"Bullfighting is sometimes used as a test of strength.")</f>
        <v>Bullfighting is sometimes used as a test of strength.</v>
      </c>
      <c r="G135" s="6">
        <v>134.0</v>
      </c>
      <c r="H135" s="7" t="s">
        <v>502</v>
      </c>
      <c r="I135" s="7" t="s">
        <v>503</v>
      </c>
      <c r="J135" s="7" t="s">
        <v>504</v>
      </c>
      <c r="K135" s="7" t="s">
        <v>505</v>
      </c>
    </row>
    <row r="136" ht="14.25" customHeight="1">
      <c r="A136" s="4">
        <v>135.0</v>
      </c>
      <c r="B136" s="5" t="str">
        <f>IFERROR(__xludf.DUMMYFUNCTION("GOOGLETRANSLATE(H136, ""th"", ""en"")"),"In the past, bullfighting was a popular activity among which group of society?")</f>
        <v>In the past, bullfighting was a popular activity among which group of society?</v>
      </c>
      <c r="C136" s="5" t="str">
        <f>IFERROR(__xludf.DUMMYFUNCTION("GOOGLETRANSLATE(I136, ""th"", ""en"")"),"A) the common people; B) the nobles and the upper class; C) the merchants; D) the military.")</f>
        <v>A) the common people; B) the nobles and the upper class; C) the merchants; D) the military.</v>
      </c>
      <c r="D136" s="5" t="str">
        <f>IFERROR(__xludf.DUMMYFUNCTION("GOOGLETRANSLATE(J136, ""th"", ""en"")"),"A) Villagers")</f>
        <v>A) Villagers</v>
      </c>
      <c r="E136" s="5" t="str">
        <f>IFERROR(__xludf.DUMMYFUNCTION("GOOGLETRANSLATE(K136, ""th"", ""en"")"),"Bullfighting in the past was a popular activity among villagers.")</f>
        <v>Bullfighting in the past was a popular activity among villagers.</v>
      </c>
      <c r="G136" s="6">
        <v>135.0</v>
      </c>
      <c r="H136" s="7" t="s">
        <v>506</v>
      </c>
      <c r="I136" s="7" t="s">
        <v>507</v>
      </c>
      <c r="J136" s="7" t="s">
        <v>508</v>
      </c>
      <c r="K136" s="7" t="s">
        <v>509</v>
      </c>
    </row>
    <row r="137" ht="14.25" customHeight="1">
      <c r="A137" s="4">
        <v>136.0</v>
      </c>
      <c r="B137" s="5" t="str">
        <f>IFERROR(__xludf.DUMMYFUNCTION("GOOGLETRANSLATE(H137, ""th"", ""en"")"),"In the Ayutthaya period, what characteristics did bulls used in fighting have to have?")</f>
        <v>In the Ayutthaya period, what characteristics did bulls used in fighting have to have?</v>
      </c>
      <c r="C137" s="5" t="str">
        <f>IFERROR(__xludf.DUMMYFUNCTION("GOOGLETRANSLATE(I137, ""th"", ""en"")"),"A) must be large; B) must be ferocious; C) must be fast; D) must be a bull that can be easily trained.")</f>
        <v>A) must be large; B) must be ferocious; C) must be fast; D) must be a bull that can be easily trained.</v>
      </c>
      <c r="D137" s="5" t="str">
        <f>IFERROR(__xludf.DUMMYFUNCTION("GOOGLETRANSLATE(J137, ""th"", ""en"")"),"B) Must be ferocious.")</f>
        <v>B) Must be ferocious.</v>
      </c>
      <c r="E137" s="5" t="str">
        <f>IFERROR(__xludf.DUMMYFUNCTION("GOOGLETRANSLATE(K137, ""th"", ""en"")"),"Bulls used in fighting must be ferocious and ready to fight.")</f>
        <v>Bulls used in fighting must be ferocious and ready to fight.</v>
      </c>
      <c r="G137" s="6">
        <v>136.0</v>
      </c>
      <c r="H137" s="7" t="s">
        <v>510</v>
      </c>
      <c r="I137" s="7" t="s">
        <v>511</v>
      </c>
      <c r="J137" s="7" t="s">
        <v>512</v>
      </c>
      <c r="K137" s="7" t="s">
        <v>513</v>
      </c>
    </row>
    <row r="138" ht="14.25" customHeight="1">
      <c r="A138" s="4">
        <v>137.0</v>
      </c>
      <c r="B138" s="5" t="str">
        <f>IFERROR(__xludf.DUMMYFUNCTION("GOOGLETRANSLATE(H138, ""th"", ""en"")"),"Where were bullfights held in the Ayutthaya period?")</f>
        <v>Where were bullfights held in the Ayutthaya period?</v>
      </c>
      <c r="C138" s="5" t="str">
        <f>IFERROR(__xludf.DUMMYFUNCTION("GOOGLETRANSLATE(I138, ""th"", ""en"")"),"A) in the grass; B) in the open; C) in the sports field; D) in the temple courtyard")</f>
        <v>A) in the grass; B) in the open; C) in the sports field; D) in the temple courtyard</v>
      </c>
      <c r="D138" s="5" t="str">
        <f>IFERROR(__xludf.DUMMYFUNCTION("GOOGLETRANSLATE(J138, ""th"", ""en"")"),"B) In the open")</f>
        <v>B) In the open</v>
      </c>
      <c r="E138" s="5" t="str">
        <f>IFERROR(__xludf.DUMMYFUNCTION("GOOGLETRANSLATE(K138, ""th"", ""en"")"),"Bullfights are usually held in open areas or in large arenas.")</f>
        <v>Bullfights are usually held in open areas or in large arenas.</v>
      </c>
      <c r="G138" s="6">
        <v>137.0</v>
      </c>
      <c r="H138" s="7" t="s">
        <v>514</v>
      </c>
      <c r="I138" s="7" t="s">
        <v>515</v>
      </c>
      <c r="J138" s="7" t="s">
        <v>516</v>
      </c>
      <c r="K138" s="7" t="s">
        <v>517</v>
      </c>
    </row>
    <row r="139" ht="14.25" customHeight="1">
      <c r="A139" s="4">
        <v>138.0</v>
      </c>
      <c r="B139" s="5" t="str">
        <f>IFERROR(__xludf.DUMMYFUNCTION("GOOGLETRANSLATE(H139, ""th"", ""en"")"),"What are the differences between bullfighting in the Ayutthaya and Rattanakosin periods?")</f>
        <v>What are the differences between bullfighting in the Ayutthaya and Rattanakosin periods?</v>
      </c>
      <c r="C139" s="5" t="str">
        <f>IFERROR(__xludf.DUMMYFUNCTION("GOOGLETRANSLATE(I139, ""th"", ""en"")"),"A) The Ayutthaya period had more intensive training; B) The Rattanakosin period had more complex training; C) The Ayutthaya period had daily competitions; D) The Rattanakosin period was more popular among the common people.")</f>
        <v>A) The Ayutthaya period had more intensive training; B) The Rattanakosin period had more complex training; C) The Ayutthaya period had daily competitions; D) The Rattanakosin period was more popular among the common people.</v>
      </c>
      <c r="D139" s="5" t="str">
        <f>IFERROR(__xludf.DUMMYFUNCTION("GOOGLETRANSLATE(J139, ""th"", ""en"")"),"B) During the Rattanakosin period, there was more complex training.")</f>
        <v>B) During the Rattanakosin period, there was more complex training.</v>
      </c>
      <c r="E139" s="5" t="str">
        <f>IFERROR(__xludf.DUMMYFUNCTION("GOOGLETRANSLATE(K139, ""th"", ""en"")"),"Bullfighting in the Rattanakosin period had more complex training.")</f>
        <v>Bullfighting in the Rattanakosin period had more complex training.</v>
      </c>
      <c r="G139" s="6">
        <v>138.0</v>
      </c>
      <c r="H139" s="7" t="s">
        <v>518</v>
      </c>
      <c r="I139" s="7" t="s">
        <v>519</v>
      </c>
      <c r="J139" s="7" t="s">
        <v>520</v>
      </c>
      <c r="K139" s="7" t="s">
        <v>521</v>
      </c>
    </row>
    <row r="140" ht="14.25" customHeight="1">
      <c r="A140" s="4">
        <v>139.0</v>
      </c>
      <c r="B140" s="5" t="str">
        <f>IFERROR(__xludf.DUMMYFUNCTION("GOOGLETRANSLATE(H140, ""th"", ""en"")"),"Did bullfighting in ancient times play a role in building community relationships?")</f>
        <v>Did bullfighting in ancient times play a role in building community relationships?</v>
      </c>
      <c r="C140" s="5" t="str">
        <f>IFERROR(__xludf.DUMMYFUNCTION("GOOGLETRANSLATE(I140, ""th"", ""en"")"),"A) Yes; B) No; C) It depends on the area; D) It depends on the class.")</f>
        <v>A) Yes; B) No; C) It depends on the area; D) It depends on the class.</v>
      </c>
      <c r="D140" s="5" t="str">
        <f>IFERROR(__xludf.DUMMYFUNCTION("GOOGLETRANSLATE(J140, ""th"", ""en"")"),"A) Yes.")</f>
        <v>A) Yes.</v>
      </c>
      <c r="E140" s="5" t="str">
        <f>IFERROR(__xludf.DUMMYFUNCTION("GOOGLETRANSLATE(K140, ""th"", ""en"")"),"Bullfighting helps strengthen relationships within communities and villages.")</f>
        <v>Bullfighting helps strengthen relationships within communities and villages.</v>
      </c>
      <c r="G140" s="6">
        <v>139.0</v>
      </c>
      <c r="H140" s="7" t="s">
        <v>522</v>
      </c>
      <c r="I140" s="7" t="s">
        <v>432</v>
      </c>
      <c r="J140" s="7" t="s">
        <v>134</v>
      </c>
      <c r="K140" s="7" t="s">
        <v>523</v>
      </c>
    </row>
    <row r="141" ht="14.25" customHeight="1">
      <c r="A141" s="4">
        <v>140.0</v>
      </c>
      <c r="B141" s="5" t="str">
        <f>IFERROR(__xludf.DUMMYFUNCTION("GOOGLETRANSLATE(H141, ""th"", ""en"")"),"Was bullfighting in ancient times related to military training?")</f>
        <v>Was bullfighting in ancient times related to military training?</v>
      </c>
      <c r="C141" s="5" t="str">
        <f>IFERROR(__xludf.DUMMYFUNCTION("GOOGLETRANSLATE(I141, ""th"", ""en"")"),"A) Not relevant; B) Relevant in some cases; C) Very relevant; D) Relevant only to high-ranking soldiers.")</f>
        <v>A) Not relevant; B) Relevant in some cases; C) Very relevant; D) Relevant only to high-ranking soldiers.</v>
      </c>
      <c r="D141" s="5" t="str">
        <f>IFERROR(__xludf.DUMMYFUNCTION("GOOGLETRANSLATE(J141, ""th"", ""en"")"),"B) Involved in some cases")</f>
        <v>B) Involved in some cases</v>
      </c>
      <c r="E141" s="5" t="str">
        <f>IFERROR(__xludf.DUMMYFUNCTION("GOOGLETRANSLATE(K141, ""th"", ""en"")"),"Bullfighting has sometimes been associated with military training in the past.")</f>
        <v>Bullfighting has sometimes been associated with military training in the past.</v>
      </c>
      <c r="G141" s="6">
        <v>140.0</v>
      </c>
      <c r="H141" s="7" t="s">
        <v>524</v>
      </c>
      <c r="I141" s="7" t="s">
        <v>525</v>
      </c>
      <c r="J141" s="7" t="s">
        <v>526</v>
      </c>
      <c r="K141" s="7" t="s">
        <v>527</v>
      </c>
    </row>
    <row r="142" ht="14.25" customHeight="1">
      <c r="A142" s="4">
        <v>141.0</v>
      </c>
      <c r="B142" s="5" t="str">
        <f>IFERROR(__xludf.DUMMYFUNCTION("GOOGLETRANSLATE(H142, ""th"", ""en"")"),"What breed of bulls were used in bullfighting during the Ayutthaya period?")</f>
        <v>What breed of bulls were used in bullfighting during the Ayutthaya period?</v>
      </c>
      <c r="C142" s="5" t="str">
        <f>IFERROR(__xludf.DUMMYFUNCTION("GOOGLETRANSLATE(I142, ""th"", ""en"")"),"A) Native Thai cows; B) Cows from India; C) Cows from China; D) Cows from Malaysia")</f>
        <v>A) Native Thai cows; B) Cows from India; C) Cows from China; D) Cows from Malaysia</v>
      </c>
      <c r="D142" s="5" t="str">
        <f>IFERROR(__xludf.DUMMYFUNCTION("GOOGLETRANSLATE(J142, ""th"", ""en"")"),"A) Thai native cows")</f>
        <v>A) Thai native cows</v>
      </c>
      <c r="E142" s="5" t="str">
        <f>IFERROR(__xludf.DUMMYFUNCTION("GOOGLETRANSLATE(K142, ""th"", ""en"")"),"Most of the bulls used in bullfighting are native Thai bulls.")</f>
        <v>Most of the bulls used in bullfighting are native Thai bulls.</v>
      </c>
      <c r="G142" s="6">
        <v>141.0</v>
      </c>
      <c r="H142" s="7" t="s">
        <v>528</v>
      </c>
      <c r="I142" s="7" t="s">
        <v>529</v>
      </c>
      <c r="J142" s="7" t="s">
        <v>530</v>
      </c>
      <c r="K142" s="7" t="s">
        <v>531</v>
      </c>
    </row>
    <row r="143" ht="14.25" customHeight="1">
      <c r="A143" s="4">
        <v>142.0</v>
      </c>
      <c r="B143" s="5" t="str">
        <f>IFERROR(__xludf.DUMMYFUNCTION("GOOGLETRANSLATE(H143, ""th"", ""en"")"),"What tools or equipment were used in bullfighting in the past for training or competition?")</f>
        <v>What tools or equipment were used in bullfighting in the past for training or competition?</v>
      </c>
      <c r="C143" s="5" t="str">
        <f>IFERROR(__xludf.DUMMYFUNCTION("GOOGLETRANSLATE(I143, ""th"", ""en"")"),"A) No tools used; B) Iron ring used; C) Neck strap used; D) Beat with a stick.")</f>
        <v>A) No tools used; B) Iron ring used; C) Neck strap used; D) Beat with a stick.</v>
      </c>
      <c r="D143" s="5" t="str">
        <f>IFERROR(__xludf.DUMMYFUNCTION("GOOGLETRANSLATE(J143, ""th"", ""en"")"),"C) Use a neck strap.")</f>
        <v>C) Use a neck strap.</v>
      </c>
      <c r="E143" s="5" t="str">
        <f>IFERROR(__xludf.DUMMYFUNCTION("GOOGLETRANSLATE(K143, ""th"", ""en"")"),"Cow training often uses a neck harness to control the cow.")</f>
        <v>Cow training often uses a neck harness to control the cow.</v>
      </c>
      <c r="G143" s="6">
        <v>142.0</v>
      </c>
      <c r="H143" s="7" t="s">
        <v>532</v>
      </c>
      <c r="I143" s="7" t="s">
        <v>533</v>
      </c>
      <c r="J143" s="7" t="s">
        <v>534</v>
      </c>
      <c r="K143" s="7" t="s">
        <v>535</v>
      </c>
    </row>
    <row r="144" ht="14.25" customHeight="1">
      <c r="A144" s="4">
        <v>143.0</v>
      </c>
      <c r="B144" s="5" t="str">
        <f>IFERROR(__xludf.DUMMYFUNCTION("GOOGLETRANSLATE(H144, ""th"", ""en"")"),"In the past, bullfighting was associated with a display of bravery by whom?")</f>
        <v>In the past, bullfighting was associated with a display of bravery by whom?</v>
      </c>
      <c r="C144" s="5" t="str">
        <f>IFERROR(__xludf.DUMMYFUNCTION("GOOGLETRANSLATE(I144, ""th"", ""en"")"),"A) nobles; B) kings; C) commoners; D) soldiers")</f>
        <v>A) nobles; B) kings; C) commoners; D) soldiers</v>
      </c>
      <c r="D144" s="5" t="str">
        <f>IFERROR(__xludf.DUMMYFUNCTION("GOOGLETRANSLATE(J144, ""th"", ""en"")"),"B) The King")</f>
        <v>B) The King</v>
      </c>
      <c r="E144" s="5" t="str">
        <f>IFERROR(__xludf.DUMMYFUNCTION("GOOGLETRANSLATE(K144, ""th"", ""en"")"),"Bullfighting is sometimes associated with the display of bravery of the king.")</f>
        <v>Bullfighting is sometimes associated with the display of bravery of the king.</v>
      </c>
      <c r="G144" s="6">
        <v>143.0</v>
      </c>
      <c r="H144" s="7" t="s">
        <v>536</v>
      </c>
      <c r="I144" s="7" t="s">
        <v>537</v>
      </c>
      <c r="J144" s="7" t="s">
        <v>375</v>
      </c>
      <c r="K144" s="7" t="s">
        <v>538</v>
      </c>
    </row>
    <row r="145" ht="14.25" customHeight="1">
      <c r="A145" s="4">
        <v>144.0</v>
      </c>
      <c r="B145" s="5" t="str">
        <f>IFERROR(__xludf.DUMMYFUNCTION("GOOGLETRANSLATE(H145, ""th"", ""en"")"),"During which festival period did bullfighting usually take place in the Ayutthaya period?")</f>
        <v>During which festival period did bullfighting usually take place in the Ayutthaya period?</v>
      </c>
      <c r="C145" s="5" t="str">
        <f>IFERROR(__xludf.DUMMYFUNCTION("GOOGLETRANSLATE(I145, ""th"", ""en"")"),"A) Buddhist Ordination Festival; B) Songkran Festival; C) Loi Krathong Festival; D) Christmas Festival")</f>
        <v>A) Buddhist Ordination Festival; B) Songkran Festival; C) Loi Krathong Festival; D) Christmas Festival</v>
      </c>
      <c r="D145" s="5" t="str">
        <f>IFERROR(__xludf.DUMMYFUNCTION("GOOGLETRANSLATE(J145, ""th"", ""en"")"),"B) Songkran Festival")</f>
        <v>B) Songkran Festival</v>
      </c>
      <c r="E145" s="5" t="str">
        <f>IFERROR(__xludf.DUMMYFUNCTION("GOOGLETRANSLATE(K145, ""th"", ""en"")"),"Bullfighting is often held during the Songkran festival to celebrate.")</f>
        <v>Bullfighting is often held during the Songkran festival to celebrate.</v>
      </c>
      <c r="G145" s="6">
        <v>144.0</v>
      </c>
      <c r="H145" s="7" t="s">
        <v>539</v>
      </c>
      <c r="I145" s="7" t="s">
        <v>540</v>
      </c>
      <c r="J145" s="7" t="s">
        <v>483</v>
      </c>
      <c r="K145" s="7" t="s">
        <v>541</v>
      </c>
    </row>
    <row r="146" ht="14.25" customHeight="1">
      <c r="A146" s="4">
        <v>145.0</v>
      </c>
      <c r="B146" s="5" t="str">
        <f>IFERROR(__xludf.DUMMYFUNCTION("GOOGLETRANSLATE(H146, ""th"", ""en"")"),"In the past, who judged the bullfights?")</f>
        <v>In the past, who judged the bullfights?</v>
      </c>
      <c r="C146" s="5" t="str">
        <f>IFERROR(__xludf.DUMMYFUNCTION("GOOGLETRANSLATE(I146, ""th"", ""en"")"),"A) nobles; B) kings; C) commoners; D) appointed committee members")</f>
        <v>A) nobles; B) kings; C) commoners; D) appointed committee members</v>
      </c>
      <c r="D146" s="5" t="str">
        <f>IFERROR(__xludf.DUMMYFUNCTION("GOOGLETRANSLATE(J146, ""th"", ""en"")"),"D) Appointed directors")</f>
        <v>D) Appointed directors</v>
      </c>
      <c r="E146" s="5" t="str">
        <f>IFERROR(__xludf.DUMMYFUNCTION("GOOGLETRANSLATE(K146, ""th"", ""en"")"),"An appointed referee is usually responsible for deciding the outcome of a match.")</f>
        <v>An appointed referee is usually responsible for deciding the outcome of a match.</v>
      </c>
      <c r="G146" s="6">
        <v>145.0</v>
      </c>
      <c r="H146" s="7" t="s">
        <v>542</v>
      </c>
      <c r="I146" s="7" t="s">
        <v>543</v>
      </c>
      <c r="J146" s="7" t="s">
        <v>544</v>
      </c>
      <c r="K146" s="7" t="s">
        <v>545</v>
      </c>
    </row>
    <row r="147" ht="14.25" customHeight="1">
      <c r="A147" s="4">
        <v>146.0</v>
      </c>
      <c r="B147" s="5" t="str">
        <f>IFERROR(__xludf.DUMMYFUNCTION("GOOGLETRANSLATE(H147, ""th"", ""en"")"),"Was bullfighting in the past associated with religious ceremonies?")</f>
        <v>Was bullfighting in the past associated with religious ceremonies?</v>
      </c>
      <c r="C147" s="5" t="str">
        <f>IFERROR(__xludf.DUMMYFUNCTION("GOOGLETRANSLATE(I147, ""th"", ""en"")"),"A) Yes, it is part of a ritual; B) It is not religious; C) Yes, but it is a training exercise for soldiers; D) It has no ritual involved.")</f>
        <v>A) Yes, it is part of a ritual; B) It is not religious; C) Yes, but it is a training exercise for soldiers; D) It has no ritual involved.</v>
      </c>
      <c r="D147" s="5" t="str">
        <f>IFERROR(__xludf.DUMMYFUNCTION("GOOGLETRANSLATE(J147, ""th"", ""en"")"),"It is part of the ritual.")</f>
        <v>It is part of the ritual.</v>
      </c>
      <c r="E147" s="5" t="str">
        <f>IFERROR(__xludf.DUMMYFUNCTION("GOOGLETRANSLATE(K147, ""th"", ""en"")"),"Bullfights are often part of religious celebrations.")</f>
        <v>Bullfights are often part of religious celebrations.</v>
      </c>
      <c r="G147" s="6">
        <v>146.0</v>
      </c>
      <c r="H147" s="7" t="s">
        <v>546</v>
      </c>
      <c r="I147" s="7" t="s">
        <v>547</v>
      </c>
      <c r="J147" s="7" t="s">
        <v>548</v>
      </c>
      <c r="K147" s="7" t="s">
        <v>549</v>
      </c>
    </row>
    <row r="148" ht="14.25" customHeight="1">
      <c r="A148" s="4">
        <v>147.0</v>
      </c>
      <c r="B148" s="5" t="str">
        <f>IFERROR(__xludf.DUMMYFUNCTION("GOOGLETRANSLATE(H148, ""th"", ""en"")"),"What abilities did bullfighting in the past train the bulls to have?")</f>
        <v>What abilities did bullfighting in the past train the bulls to have?</v>
      </c>
      <c r="C148" s="5" t="str">
        <f>IFERROR(__xludf.DUMMYFUNCTION("GOOGLETRANSLATE(I148, ""th"", ""en"")"),"A) speed; B) ferocity; C) intelligence; D) jumping ability")</f>
        <v>A) speed; B) ferocity; C) intelligence; D) jumping ability</v>
      </c>
      <c r="D148" s="5" t="str">
        <f>IFERROR(__xludf.DUMMYFUNCTION("GOOGLETRANSLATE(J148, ""th"", ""en"")"),"B) Brutality")</f>
        <v>B) Brutality</v>
      </c>
      <c r="E148" s="5" t="str">
        <f>IFERROR(__xludf.DUMMYFUNCTION("GOOGLETRANSLATE(K148, ""th"", ""en"")"),"Bulls used in competitions are often aggressive and ready to fight.")</f>
        <v>Bulls used in competitions are often aggressive and ready to fight.</v>
      </c>
      <c r="G148" s="6">
        <v>147.0</v>
      </c>
      <c r="H148" s="7" t="s">
        <v>550</v>
      </c>
      <c r="I148" s="7" t="s">
        <v>551</v>
      </c>
      <c r="J148" s="7" t="s">
        <v>552</v>
      </c>
      <c r="K148" s="7" t="s">
        <v>553</v>
      </c>
    </row>
    <row r="149" ht="14.25" customHeight="1">
      <c r="A149" s="4">
        <v>148.0</v>
      </c>
      <c r="B149" s="5" t="str">
        <f>IFERROR(__xludf.DUMMYFUNCTION("GOOGLETRANSLATE(H149, ""th"", ""en"")"),"Bullfighting during the Ayutthaya period was supported by which group of society?")</f>
        <v>Bullfighting during the Ayutthaya period was supported by which group of society?</v>
      </c>
      <c r="C149" s="5" t="str">
        <f>IFERROR(__xludf.DUMMYFUNCTION("GOOGLETRANSLATE(I149, ""th"", ""en"")"),"A) commoners; B) nobles and kings; C) businessmen; D) soldiers")</f>
        <v>A) commoners; B) nobles and kings; C) businessmen; D) soldiers</v>
      </c>
      <c r="D149" s="5" t="str">
        <f>IFERROR(__xludf.DUMMYFUNCTION("GOOGLETRANSLATE(J149, ""th"", ""en"")"),"B) Nobles and the King")</f>
        <v>B) Nobles and the King</v>
      </c>
      <c r="E149" s="5" t="str">
        <f>IFERROR(__xludf.DUMMYFUNCTION("GOOGLETRANSLATE(K149, ""th"", ""en"")"),"Bullfighting was supported by nobles and kings during the Ayutthaya period.")</f>
        <v>Bullfighting was supported by nobles and kings during the Ayutthaya period.</v>
      </c>
      <c r="G149" s="6">
        <v>148.0</v>
      </c>
      <c r="H149" s="7" t="s">
        <v>554</v>
      </c>
      <c r="I149" s="7" t="s">
        <v>555</v>
      </c>
      <c r="J149" s="7" t="s">
        <v>475</v>
      </c>
      <c r="K149" s="7" t="s">
        <v>556</v>
      </c>
    </row>
    <row r="150" ht="14.25" customHeight="1">
      <c r="A150" s="4">
        <v>149.0</v>
      </c>
      <c r="B150" s="5" t="str">
        <f>IFERROR(__xludf.DUMMYFUNCTION("GOOGLETRANSLATE(H150, ""th"", ""en"")"),"How did bullfighting in ancient times affect Thai culture?")</f>
        <v>How did bullfighting in ancient times affect Thai culture?</v>
      </c>
      <c r="C150" s="5" t="str">
        <f>IFERROR(__xludf.DUMMYFUNCTION("GOOGLETRANSLATE(I150, ""th"", ""en"")"),"A) It helps strengthen community relations; B) It causes conflict in the community; C) It reduces social ties; D) It increases the popularity of other sports.")</f>
        <v>A) It helps strengthen community relations; B) It causes conflict in the community; C) It reduces social ties; D) It increases the popularity of other sports.</v>
      </c>
      <c r="D150" s="5" t="str">
        <f>IFERROR(__xludf.DUMMYFUNCTION("GOOGLETRANSLATE(J150, ""th"", ""en"")"),"A) Help strengthen relationships in the community.")</f>
        <v>A) Help strengthen relationships in the community.</v>
      </c>
      <c r="E150" s="5" t="str">
        <f>IFERROR(__xludf.DUMMYFUNCTION("GOOGLETRANSLATE(K150, ""th"", ""en"")"),"Bullfighting helps strengthen relationships among community members.")</f>
        <v>Bullfighting helps strengthen relationships among community members.</v>
      </c>
      <c r="G150" s="6">
        <v>149.0</v>
      </c>
      <c r="H150" s="7" t="s">
        <v>557</v>
      </c>
      <c r="I150" s="7" t="s">
        <v>558</v>
      </c>
      <c r="J150" s="7" t="s">
        <v>559</v>
      </c>
      <c r="K150" s="7" t="s">
        <v>560</v>
      </c>
    </row>
    <row r="151" ht="14.25" customHeight="1">
      <c r="A151" s="4">
        <v>150.0</v>
      </c>
      <c r="B151" s="5" t="str">
        <f>IFERROR(__xludf.DUMMYFUNCTION("GOOGLETRANSLATE(H151, ""th"", ""en"")"),"What types of bulls were used in bullfighting in the past?")</f>
        <v>What types of bulls were used in bullfighting in the past?</v>
      </c>
      <c r="C151" s="5" t="str">
        <f>IFERROR(__xludf.DUMMYFUNCTION("GOOGLETRANSLATE(I151, ""th"", ""en"")"),"A) male cow; B) female cow; C) crossbred cow; D) both sexes")</f>
        <v>A) male cow; B) female cow; C) crossbred cow; D) both sexes</v>
      </c>
      <c r="D151" s="5" t="str">
        <f>IFERROR(__xludf.DUMMYFUNCTION("GOOGLETRANSLATE(J151, ""th"", ""en"")"),"A) Male cow")</f>
        <v>A) Male cow</v>
      </c>
      <c r="E151" s="5" t="str">
        <f>IFERROR(__xludf.DUMMYFUNCTION("GOOGLETRANSLATE(K151, ""th"", ""en"")"),"Male bulls are often used in bullfighting.")</f>
        <v>Male bulls are often used in bullfighting.</v>
      </c>
      <c r="G151" s="6">
        <v>150.0</v>
      </c>
      <c r="H151" s="7" t="s">
        <v>561</v>
      </c>
      <c r="I151" s="7" t="s">
        <v>562</v>
      </c>
      <c r="J151" s="7" t="s">
        <v>563</v>
      </c>
      <c r="K151" s="7" t="s">
        <v>564</v>
      </c>
    </row>
    <row r="152" ht="14.25" customHeight="1">
      <c r="A152" s="4">
        <v>151.0</v>
      </c>
      <c r="B152" s="5" t="str">
        <f>IFERROR(__xludf.DUMMYFUNCTION("GOOGLETRANSLATE(H152, ""th"", ""en"")"),"How was bullfighting different from other sports in ancient times?")</f>
        <v>How was bullfighting different from other sports in ancient times?</v>
      </c>
      <c r="C152" s="5" t="str">
        <f>IFERROR(__xludf.DUMMYFUNCTION("GOOGLETRANSLATE(I152, ""th"", ""en"")"),"A) No tools are used; B) The competition is held in a bounded field; C) The competition is characterized by a test of the animals' strength; D) The competition does not require a judge.")</f>
        <v>A) No tools are used; B) The competition is held in a bounded field; C) The competition is characterized by a test of the animals' strength; D) The competition does not require a judge.</v>
      </c>
      <c r="D152" s="5" t="str">
        <f>IFERROR(__xludf.DUMMYFUNCTION("GOOGLETRANSLATE(J152, ""th"", ""en"")"),"C) The competition is characterized by testing the strength of the animals.")</f>
        <v>C) The competition is characterized by testing the strength of the animals.</v>
      </c>
      <c r="E152" s="5" t="str">
        <f>IFERROR(__xludf.DUMMYFUNCTION("GOOGLETRANSLATE(K152, ""th"", ""en"")"),"Bullfighting often focuses on testing the bull's strength.")</f>
        <v>Bullfighting often focuses on testing the bull's strength.</v>
      </c>
      <c r="G152" s="6">
        <v>151.0</v>
      </c>
      <c r="H152" s="7" t="s">
        <v>565</v>
      </c>
      <c r="I152" s="7" t="s">
        <v>566</v>
      </c>
      <c r="J152" s="7" t="s">
        <v>567</v>
      </c>
      <c r="K152" s="7" t="s">
        <v>568</v>
      </c>
    </row>
    <row r="153" ht="14.25" customHeight="1">
      <c r="A153" s="4">
        <v>152.0</v>
      </c>
      <c r="B153" s="5" t="str">
        <f>IFERROR(__xludf.DUMMYFUNCTION("GOOGLETRANSLATE(H153, ""th"", ""en"")"),"Where were bullfights held in the Ayutthaya period?")</f>
        <v>Where were bullfights held in the Ayutthaya period?</v>
      </c>
      <c r="C153" s="5" t="str">
        <f>IFERROR(__xludf.DUMMYFUNCTION("GOOGLETRANSLATE(I153, ""th"", ""en"")"),"A) stadium; B) temple courtyard; C) in the palace; D) in the village")</f>
        <v>A) stadium; B) temple courtyard; C) in the palace; D) in the village</v>
      </c>
      <c r="D153" s="5" t="str">
        <f>IFERROR(__xludf.DUMMYFUNCTION("GOOGLETRANSLATE(J153, ""th"", ""en"")"),"B) Temple courtyard")</f>
        <v>B) Temple courtyard</v>
      </c>
      <c r="E153" s="5" t="str">
        <f>IFERROR(__xludf.DUMMYFUNCTION("GOOGLETRANSLATE(K153, ""th"", ""en"")"),"Bullfights are usually held in temple grounds or open areas in villages.")</f>
        <v>Bullfights are usually held in temple grounds or open areas in villages.</v>
      </c>
      <c r="G153" s="6">
        <v>152.0</v>
      </c>
      <c r="H153" s="7" t="s">
        <v>569</v>
      </c>
      <c r="I153" s="7" t="s">
        <v>570</v>
      </c>
      <c r="J153" s="7" t="s">
        <v>571</v>
      </c>
      <c r="K153" s="7" t="s">
        <v>572</v>
      </c>
    </row>
    <row r="154" ht="14.25" customHeight="1">
      <c r="A154" s="4">
        <v>153.0</v>
      </c>
      <c r="B154" s="5" t="str">
        <f>IFERROR(__xludf.DUMMYFUNCTION("GOOGLETRANSLATE(H154, ""th"", ""en"")"),"Bullfighting during the Ayutthaya period was a popular activity among whom?")</f>
        <v>Bullfighting during the Ayutthaya period was a popular activity among whom?</v>
      </c>
      <c r="C154" s="5" t="str">
        <f>IFERROR(__xludf.DUMMYFUNCTION("GOOGLETRANSLATE(I154, ""th"", ""en"")"),"A) nobles and kings; B) common people; C) merchants; D) soldiers")</f>
        <v>A) nobles and kings; B) common people; C) merchants; D) soldiers</v>
      </c>
      <c r="D154" s="5" t="str">
        <f>IFERROR(__xludf.DUMMYFUNCTION("GOOGLETRANSLATE(J154, ""th"", ""en"")"),"B) Ordinary people")</f>
        <v>B) Ordinary people</v>
      </c>
      <c r="E154" s="5" t="str">
        <f>IFERROR(__xludf.DUMMYFUNCTION("GOOGLETRANSLATE(K154, ""th"", ""en"")"),"Bull fighting is popular among villagers and communities.")</f>
        <v>Bull fighting is popular among villagers and communities.</v>
      </c>
      <c r="G154" s="6">
        <v>153.0</v>
      </c>
      <c r="H154" s="7" t="s">
        <v>573</v>
      </c>
      <c r="I154" s="7" t="s">
        <v>574</v>
      </c>
      <c r="J154" s="7" t="s">
        <v>575</v>
      </c>
      <c r="K154" s="7" t="s">
        <v>576</v>
      </c>
    </row>
    <row r="155" ht="14.25" customHeight="1">
      <c r="A155" s="4">
        <v>154.0</v>
      </c>
      <c r="B155" s="5" t="str">
        <f>IFERROR(__xludf.DUMMYFUNCTION("GOOGLETRANSLATE(H155, ""th"", ""en"")"),"Bullfighting in the Ayutthaya period was influenced by which culture?")</f>
        <v>Bullfighting in the Ayutthaya period was influenced by which culture?</v>
      </c>
      <c r="C155" s="5" t="str">
        <f>IFERROR(__xludf.DUMMYFUNCTION("GOOGLETRANSLATE(I155, ""th"", ""en"")"),"A) Chinese culture; B) Indian culture; C) Tibetan culture; D) Thai folk culture")</f>
        <v>A) Chinese culture; B) Indian culture; C) Tibetan culture; D) Thai folk culture</v>
      </c>
      <c r="D155" s="5" t="str">
        <f>IFERROR(__xludf.DUMMYFUNCTION("GOOGLETRANSLATE(J155, ""th"", ""en"")"),"B) Indian culture")</f>
        <v>B) Indian culture</v>
      </c>
      <c r="E155" s="5" t="str">
        <f>IFERROR(__xludf.DUMMYFUNCTION("GOOGLETRANSLATE(K155, ""th"", ""en"")"),"Bullfighting in some ways is influenced by Indian culture.")</f>
        <v>Bullfighting in some ways is influenced by Indian culture.</v>
      </c>
      <c r="G155" s="6">
        <v>154.0</v>
      </c>
      <c r="H155" s="7" t="s">
        <v>577</v>
      </c>
      <c r="I155" s="7" t="s">
        <v>578</v>
      </c>
      <c r="J155" s="7" t="s">
        <v>579</v>
      </c>
      <c r="K155" s="7" t="s">
        <v>580</v>
      </c>
    </row>
    <row r="156" ht="14.25" customHeight="1">
      <c r="A156" s="4">
        <v>155.0</v>
      </c>
      <c r="B156" s="5" t="str">
        <f>IFERROR(__xludf.DUMMYFUNCTION("GOOGLETRANSLATE(H156, ""th"", ""en"")"),"In the past, what types of competitions were held in bullfighting?")</f>
        <v>In the past, what types of competitions were held in bullfighting?</v>
      </c>
      <c r="C156" s="5" t="str">
        <f>IFERROR(__xludf.DUMMYFUNCTION("GOOGLETRANSLATE(I156, ""th"", ""en"")"),"A) Team competition; B) Individual competition; C) Strength test competition; D) Individual or pair competition.")</f>
        <v>A) Team competition; B) Individual competition; C) Strength test competition; D) Individual or pair competition.</v>
      </c>
      <c r="D156" s="5" t="str">
        <f>IFERROR(__xludf.DUMMYFUNCTION("GOOGLETRANSLATE(J156, ""th"", ""en"")"),"D) Individual or pair competition")</f>
        <v>D) Individual or pair competition</v>
      </c>
      <c r="E156" s="5" t="str">
        <f>IFERROR(__xludf.DUMMYFUNCTION("GOOGLETRANSLATE(K156, ""th"", ""en"")"),"Bullfighting competitions are usually held in individual or pair format.")</f>
        <v>Bullfighting competitions are usually held in individual or pair format.</v>
      </c>
      <c r="G156" s="6">
        <v>155.0</v>
      </c>
      <c r="H156" s="7" t="s">
        <v>581</v>
      </c>
      <c r="I156" s="7" t="s">
        <v>582</v>
      </c>
      <c r="J156" s="7" t="s">
        <v>583</v>
      </c>
      <c r="K156" s="7" t="s">
        <v>584</v>
      </c>
    </row>
    <row r="157" ht="14.25" customHeight="1">
      <c r="A157" s="4">
        <v>156.0</v>
      </c>
      <c r="B157" s="5" t="str">
        <f>IFERROR(__xludf.DUMMYFUNCTION("GOOGLETRANSLATE(H157, ""th"", ""en"")"),"What characteristics must bulls used in bullfighting during the Ayutthaya period have?")</f>
        <v>What characteristics must bulls used in bullfighting during the Ayutthaya period have?</v>
      </c>
      <c r="C157" s="5" t="str">
        <f>IFERROR(__xludf.DUMMYFUNCTION("GOOGLETRANSLATE(I157, ""th"", ""en"")"),"A) must be large and strong; B) must be intelligent and tame; C) must have thick fur; D) must have extensive training.")</f>
        <v>A) must be large and strong; B) must be intelligent and tame; C) must have thick fur; D) must have extensive training.</v>
      </c>
      <c r="D157" s="5" t="str">
        <f>IFERROR(__xludf.DUMMYFUNCTION("GOOGLETRANSLATE(J157, ""th"", ""en"")"),"A) Must be large and strong.")</f>
        <v>A) Must be large and strong.</v>
      </c>
      <c r="E157" s="5" t="str">
        <f>IFERROR(__xludf.DUMMYFUNCTION("GOOGLETRANSLATE(K157, ""th"", ""en"")"),"Bulls used in bullfighting must be large and strong to handle the competition.")</f>
        <v>Bulls used in bullfighting must be large and strong to handle the competition.</v>
      </c>
      <c r="G157" s="6">
        <v>156.0</v>
      </c>
      <c r="H157" s="7" t="s">
        <v>585</v>
      </c>
      <c r="I157" s="7" t="s">
        <v>586</v>
      </c>
      <c r="J157" s="7" t="s">
        <v>587</v>
      </c>
      <c r="K157" s="7" t="s">
        <v>588</v>
      </c>
    </row>
    <row r="158" ht="14.25" customHeight="1">
      <c r="A158" s="4">
        <v>157.0</v>
      </c>
      <c r="B158" s="5" t="str">
        <f>IFERROR(__xludf.DUMMYFUNCTION("GOOGLETRANSLATE(H158, ""th"", ""en"")"),"In what ways was bullfighting considered a beneficial activity in ancient times?")</f>
        <v>In what ways was bullfighting considered a beneficial activity in ancient times?</v>
      </c>
      <c r="C158" s="5" t="str">
        <f>IFERROR(__xludf.DUMMYFUNCTION("GOOGLETRANSLATE(I158, ""th"", ""en"")"),"A) used as a test of strength; B) used only as entertainment; C) used as military training; D) used as training in driving techniques.")</f>
        <v>A) used as a test of strength; B) used only as entertainment; C) used as military training; D) used as training in driving techniques.</v>
      </c>
      <c r="D158" s="5" t="str">
        <f>IFERROR(__xludf.DUMMYFUNCTION("GOOGLETRANSLATE(J158, ""th"", ""en"")"),"A) Used as a strength test.")</f>
        <v>A) Used as a strength test.</v>
      </c>
      <c r="E158" s="5" t="str">
        <f>IFERROR(__xludf.DUMMYFUNCTION("GOOGLETRANSLATE(K158, ""th"", ""en"")"),"Bullfighting is used to test the strength of the bull.")</f>
        <v>Bullfighting is used to test the strength of the bull.</v>
      </c>
      <c r="G158" s="6">
        <v>157.0</v>
      </c>
      <c r="H158" s="7" t="s">
        <v>589</v>
      </c>
      <c r="I158" s="7" t="s">
        <v>590</v>
      </c>
      <c r="J158" s="7" t="s">
        <v>591</v>
      </c>
      <c r="K158" s="7" t="s">
        <v>592</v>
      </c>
    </row>
    <row r="159" ht="14.25" customHeight="1">
      <c r="A159" s="4">
        <v>158.0</v>
      </c>
      <c r="B159" s="5" t="str">
        <f>IFERROR(__xludf.DUMMYFUNCTION("GOOGLETRANSLATE(H159, ""th"", ""en"")"),"Who passed on knowledge about bullfighting in the past?")</f>
        <v>Who passed on knowledge about bullfighting in the past?</v>
      </c>
      <c r="C159" s="5" t="str">
        <f>IFERROR(__xludf.DUMMYFUNCTION("GOOGLETRANSLATE(I159, ""th"", ""en"")"),"A) nobleman; B) animal trainer; C) king; D) commoner")</f>
        <v>A) nobleman; B) animal trainer; C) king; D) commoner</v>
      </c>
      <c r="D159" s="5" t="str">
        <f>IFERROR(__xludf.DUMMYFUNCTION("GOOGLETRANSLATE(J159, ""th"", ""en"")"),"B) Animal trainer")</f>
        <v>B) Animal trainer</v>
      </c>
      <c r="E159" s="5" t="str">
        <f>IFERROR(__xludf.DUMMYFUNCTION("GOOGLETRANSLATE(K159, ""th"", ""en"")"),"Training and knowledge about bullfighting is often passed down through animal trainers.")</f>
        <v>Training and knowledge about bullfighting is often passed down through animal trainers.</v>
      </c>
      <c r="G159" s="6">
        <v>158.0</v>
      </c>
      <c r="H159" s="7" t="s">
        <v>593</v>
      </c>
      <c r="I159" s="7" t="s">
        <v>594</v>
      </c>
      <c r="J159" s="7" t="s">
        <v>595</v>
      </c>
      <c r="K159" s="7" t="s">
        <v>596</v>
      </c>
    </row>
    <row r="160" ht="14.25" customHeight="1">
      <c r="A160" s="4">
        <v>159.0</v>
      </c>
      <c r="B160" s="5" t="str">
        <f>IFERROR(__xludf.DUMMYFUNCTION("GOOGLETRANSLATE(H160, ""th"", ""en"")"),"Was bullfighting an activity that helped to build unity in the community in the past?")</f>
        <v>Was bullfighting an activity that helped to build unity in the community in the past?</v>
      </c>
      <c r="C160" s="5" t="str">
        <f>IFERROR(__xludf.DUMMYFUNCTION("GOOGLETRANSLATE(I160, ""th"", ""en"")"),"A) Yes, it helps build community relationships; B) No, it causes conflict; C) Yes, but only in the capital; D) Not relevant.")</f>
        <v>A) Yes, it helps build community relationships; B) No, it causes conflict; C) Yes, but only in the capital; D) Not relevant.</v>
      </c>
      <c r="D160" s="5" t="str">
        <f>IFERROR(__xludf.DUMMYFUNCTION("GOOGLETRANSLATE(J160, ""th"", ""en"")"),"Help build relationships in the community")</f>
        <v>Help build relationships in the community</v>
      </c>
      <c r="E160" s="5" t="str">
        <f>IFERROR(__xludf.DUMMYFUNCTION("GOOGLETRANSLATE(K160, ""th"", ""en"")"),"Bullfighting helps to strengthen community unity.")</f>
        <v>Bullfighting helps to strengthen community unity.</v>
      </c>
      <c r="G160" s="6">
        <v>159.0</v>
      </c>
      <c r="H160" s="7" t="s">
        <v>597</v>
      </c>
      <c r="I160" s="7" t="s">
        <v>598</v>
      </c>
      <c r="J160" s="7" t="s">
        <v>599</v>
      </c>
      <c r="K160" s="7" t="s">
        <v>600</v>
      </c>
    </row>
    <row r="161" ht="14.25" customHeight="1">
      <c r="A161" s="4">
        <v>160.0</v>
      </c>
      <c r="B161" s="5" t="str">
        <f>IFERROR(__xludf.DUMMYFUNCTION("GOOGLETRANSLATE(H161, ""th"", ""en"")"),"What values ​​did bullfighting in the past promote?")</f>
        <v>What values ​​did bullfighting in the past promote?</v>
      </c>
      <c r="C161" s="5" t="str">
        <f>IFERROR(__xludf.DUMMYFUNCTION("GOOGLETRANSLATE(I161, ""th"", ""en"")"),"A) technological development; B) physical strengthening; C) promotion of agricultural knowledge; D) strengthening of social relations.")</f>
        <v>A) technological development; B) physical strengthening; C) promotion of agricultural knowledge; D) strengthening of social relations.</v>
      </c>
      <c r="D161" s="5" t="str">
        <f>IFERROR(__xludf.DUMMYFUNCTION("GOOGLETRANSLATE(J161, ""th"", ""en"")"),"D) Strengthening social relations")</f>
        <v>D) Strengthening social relations</v>
      </c>
      <c r="E161" s="5" t="str">
        <f>IFERROR(__xludf.DUMMYFUNCTION("GOOGLETRANSLATE(K161, ""th"", ""en"")"),"Bullfighting helps to strengthen community relationships.")</f>
        <v>Bullfighting helps to strengthen community relationships.</v>
      </c>
      <c r="G161" s="6">
        <v>160.0</v>
      </c>
      <c r="H161" s="7" t="s">
        <v>601</v>
      </c>
      <c r="I161" s="7" t="s">
        <v>602</v>
      </c>
      <c r="J161" s="7" t="s">
        <v>603</v>
      </c>
      <c r="K161" s="7" t="s">
        <v>604</v>
      </c>
    </row>
    <row r="162" ht="14.25" customHeight="1">
      <c r="A162" s="4">
        <v>161.0</v>
      </c>
      <c r="B162" s="5" t="str">
        <f>IFERROR(__xludf.DUMMYFUNCTION("GOOGLETRANSLATE(H162, ""th"", ""en"")"),"What was involved in bullfighting during the Ayutthaya period?")</f>
        <v>What was involved in bullfighting during the Ayutthaya period?</v>
      </c>
      <c r="C162" s="5" t="str">
        <f>IFERROR(__xludf.DUMMYFUNCTION("GOOGLETRANSLATE(I162, ""th"", ""en"")"),"A) military training; B) animal strength testing; C) economic development; D) entertainment for the upper class.")</f>
        <v>A) military training; B) animal strength testing; C) economic development; D) entertainment for the upper class.</v>
      </c>
      <c r="D162" s="5" t="str">
        <f>IFERROR(__xludf.DUMMYFUNCTION("GOOGLETRANSLATE(J162, ""th"", ""en"")"),"B) Animal strength test")</f>
        <v>B) Animal strength test</v>
      </c>
      <c r="E162" s="5" t="str">
        <f>IFERROR(__xludf.DUMMYFUNCTION("GOOGLETRANSLATE(K162, ""th"", ""en"")"),"Bullfighting is an activity used to test the strength of animals.")</f>
        <v>Bullfighting is an activity used to test the strength of animals.</v>
      </c>
      <c r="G162" s="6">
        <v>161.0</v>
      </c>
      <c r="H162" s="7" t="s">
        <v>605</v>
      </c>
      <c r="I162" s="7" t="s">
        <v>606</v>
      </c>
      <c r="J162" s="7" t="s">
        <v>607</v>
      </c>
      <c r="K162" s="7" t="s">
        <v>608</v>
      </c>
    </row>
    <row r="163" ht="14.25" customHeight="1">
      <c r="A163" s="4">
        <v>162.0</v>
      </c>
      <c r="B163" s="5" t="str">
        <f>IFERROR(__xludf.DUMMYFUNCTION("GOOGLETRANSLATE(H163, ""th"", ""en"")"),"Bullfighting in the Ayutthaya period is associated with which festival celebration?")</f>
        <v>Bullfighting in the Ayutthaya period is associated with which festival celebration?</v>
      </c>
      <c r="C163" s="5" t="str">
        <f>IFERROR(__xludf.DUMMYFUNCTION("GOOGLETRANSLATE(I163, ""th"", ""en"")"),"A) Songkran Festival; B) Loi Krathong Festival; C) Ok Phansa Festival; D) Christmas Festival")</f>
        <v>A) Songkran Festival; B) Loi Krathong Festival; C) Ok Phansa Festival; D) Christmas Festival</v>
      </c>
      <c r="D163" s="5" t="str">
        <f>IFERROR(__xludf.DUMMYFUNCTION("GOOGLETRANSLATE(J163, ""th"", ""en"")"),"A) Songkran Festival")</f>
        <v>A) Songkran Festival</v>
      </c>
      <c r="E163" s="5" t="str">
        <f>IFERROR(__xludf.DUMMYFUNCTION("GOOGLETRANSLATE(K163, ""th"", ""en"")"),"Bullfighting is often held during the Songkran festival to celebrate.")</f>
        <v>Bullfighting is often held during the Songkran festival to celebrate.</v>
      </c>
      <c r="G163" s="6">
        <v>162.0</v>
      </c>
      <c r="H163" s="7" t="s">
        <v>609</v>
      </c>
      <c r="I163" s="7" t="s">
        <v>610</v>
      </c>
      <c r="J163" s="7" t="s">
        <v>218</v>
      </c>
      <c r="K163" s="7" t="s">
        <v>611</v>
      </c>
    </row>
    <row r="164" ht="14.25" customHeight="1">
      <c r="A164" s="4">
        <v>163.0</v>
      </c>
      <c r="B164" s="5" t="str">
        <f>IFERROR(__xludf.DUMMYFUNCTION("GOOGLETRANSLATE(H164, ""th"", ""en"")"),"Who supported bullfighting during the Ayutthaya period?")</f>
        <v>Who supported bullfighting during the Ayutthaya period?</v>
      </c>
      <c r="C164" s="5" t="str">
        <f>IFERROR(__xludf.DUMMYFUNCTION("GOOGLETRANSLATE(I164, ""th"", ""en"")"),"A) nobles and kings; B) soldiers; C) common people; D) merchants")</f>
        <v>A) nobles and kings; B) soldiers; C) common people; D) merchants</v>
      </c>
      <c r="D164" s="5" t="str">
        <f>IFERROR(__xludf.DUMMYFUNCTION("GOOGLETRANSLATE(J164, ""th"", ""en"")"),"A) Nobles and the King")</f>
        <v>A) Nobles and the King</v>
      </c>
      <c r="E164" s="5" t="str">
        <f>IFERROR(__xludf.DUMMYFUNCTION("GOOGLETRANSLATE(K164, ""th"", ""en"")"),"Bullfighting was supported by the nobility and kings of that time.")</f>
        <v>Bullfighting was supported by the nobility and kings of that time.</v>
      </c>
      <c r="G164" s="6">
        <v>163.0</v>
      </c>
      <c r="H164" s="7" t="s">
        <v>496</v>
      </c>
      <c r="I164" s="7" t="s">
        <v>612</v>
      </c>
      <c r="J164" s="7" t="s">
        <v>613</v>
      </c>
      <c r="K164" s="7" t="s">
        <v>614</v>
      </c>
    </row>
    <row r="165" ht="14.25" customHeight="1">
      <c r="A165" s="4">
        <v>164.0</v>
      </c>
      <c r="B165" s="5" t="str">
        <f>IFERROR(__xludf.DUMMYFUNCTION("GOOGLETRANSLATE(H165, ""th"", ""en"")"),"In the past, where were bullfighting competitions held?")</f>
        <v>In the past, where were bullfighting competitions held?</v>
      </c>
      <c r="C165" s="5" t="str">
        <f>IFERROR(__xludf.DUMMYFUNCTION("GOOGLETRANSLATE(I165, ""th"", ""en"")"),"A) temple grounds; B) palaces; C) stadiums; D) courtyards")</f>
        <v>A) temple grounds; B) palaces; C) stadiums; D) courtyards</v>
      </c>
      <c r="D165" s="5" t="str">
        <f>IFERROR(__xludf.DUMMYFUNCTION("GOOGLETRANSLATE(J165, ""th"", ""en"")"),"A) Temple courtyard")</f>
        <v>A) Temple courtyard</v>
      </c>
      <c r="E165" s="5" t="str">
        <f>IFERROR(__xludf.DUMMYFUNCTION("GOOGLETRANSLATE(K165, ""th"", ""en"")"),"Bullfights are usually held in temple courtyards or outdoor areas.")</f>
        <v>Bullfights are usually held in temple courtyards or outdoor areas.</v>
      </c>
      <c r="G165" s="6">
        <v>164.0</v>
      </c>
      <c r="H165" s="7" t="s">
        <v>615</v>
      </c>
      <c r="I165" s="7" t="s">
        <v>616</v>
      </c>
      <c r="J165" s="7" t="s">
        <v>617</v>
      </c>
      <c r="K165" s="7" t="s">
        <v>618</v>
      </c>
    </row>
    <row r="166" ht="14.25" customHeight="1">
      <c r="A166" s="4">
        <v>165.0</v>
      </c>
      <c r="B166" s="5" t="str">
        <f>IFERROR(__xludf.DUMMYFUNCTION("GOOGLETRANSLATE(H166, ""th"", ""en"")"),"What cultures influenced bullfighting in the past?")</f>
        <v>What cultures influenced bullfighting in the past?</v>
      </c>
      <c r="C166" s="5" t="str">
        <f>IFERROR(__xludf.DUMMYFUNCTION("GOOGLETRANSLATE(I166, ""th"", ""en"")"),"A) Indian culture; B) Chinese culture; C) Tibetan culture; D) Thai folk culture")</f>
        <v>A) Indian culture; B) Chinese culture; C) Tibetan culture; D) Thai folk culture</v>
      </c>
      <c r="D166" s="5" t="str">
        <f>IFERROR(__xludf.DUMMYFUNCTION("GOOGLETRANSLATE(J166, ""th"", ""en"")"),"A) Indian culture")</f>
        <v>A) Indian culture</v>
      </c>
      <c r="E166" s="5" t="str">
        <f>IFERROR(__xludf.DUMMYFUNCTION("GOOGLETRANSLATE(K166, ""th"", ""en"")"),"Bullfighting has been influenced by Indian culture in some ways.")</f>
        <v>Bullfighting has been influenced by Indian culture in some ways.</v>
      </c>
      <c r="G166" s="6">
        <v>165.0</v>
      </c>
      <c r="H166" s="7" t="s">
        <v>619</v>
      </c>
      <c r="I166" s="7" t="s">
        <v>620</v>
      </c>
      <c r="J166" s="7" t="s">
        <v>621</v>
      </c>
      <c r="K166" s="7" t="s">
        <v>622</v>
      </c>
    </row>
    <row r="167" ht="14.25" customHeight="1">
      <c r="A167" s="4">
        <v>166.0</v>
      </c>
      <c r="B167" s="5" t="str">
        <f>IFERROR(__xludf.DUMMYFUNCTION("GOOGLETRANSLATE(H167, ""th"", ""en"")"),"In the past, in bullfights, who was responsible for deciding the outcome?")</f>
        <v>In the past, in bullfights, who was responsible for deciding the outcome?</v>
      </c>
      <c r="C167" s="5" t="str">
        <f>IFERROR(__xludf.DUMMYFUNCTION("GOOGLETRANSLATE(I167, ""th"", ""en"")"),"A) nobles; B) commoners; C) kings; D) appointed officials")</f>
        <v>A) nobles; B) commoners; C) kings; D) appointed officials</v>
      </c>
      <c r="D167" s="5" t="str">
        <f>IFERROR(__xludf.DUMMYFUNCTION("GOOGLETRANSLATE(J167, ""th"", ""en"")"),"D) Appointed directors")</f>
        <v>D) Appointed directors</v>
      </c>
      <c r="E167" s="5" t="str">
        <f>IFERROR(__xludf.DUMMYFUNCTION("GOOGLETRANSLATE(K167, ""th"", ""en"")"),"The appointed referee is responsible for deciding the results of the competition.")</f>
        <v>The appointed referee is responsible for deciding the results of the competition.</v>
      </c>
      <c r="G167" s="6">
        <v>166.0</v>
      </c>
      <c r="H167" s="7" t="s">
        <v>623</v>
      </c>
      <c r="I167" s="7" t="s">
        <v>624</v>
      </c>
      <c r="J167" s="7" t="s">
        <v>544</v>
      </c>
      <c r="K167" s="7" t="s">
        <v>625</v>
      </c>
    </row>
    <row r="168" ht="14.25" customHeight="1">
      <c r="A168" s="4">
        <v>167.0</v>
      </c>
      <c r="B168" s="5" t="str">
        <f>IFERROR(__xludf.DUMMYFUNCTION("GOOGLETRANSLATE(H168, ""th"", ""en"")"),"During the Ayutthaya period, bullfights were usually held at what time of year?")</f>
        <v>During the Ayutthaya period, bullfights were usually held at what time of year?</v>
      </c>
      <c r="C168" s="5" t="str">
        <f>IFERROR(__xludf.DUMMYFUNCTION("GOOGLETRANSLATE(I168, ""th"", ""en"")"),"A) during the summer; B) during the rainy season; C) during the Songkran festival; D) during the winter")</f>
        <v>A) during the summer; B) during the rainy season; C) during the Songkran festival; D) during the winter</v>
      </c>
      <c r="D168" s="5" t="str">
        <f>IFERROR(__xludf.DUMMYFUNCTION("GOOGLETRANSLATE(J168, ""th"", ""en"")"),"C) During the Songkran Festival")</f>
        <v>C) During the Songkran Festival</v>
      </c>
      <c r="E168" s="5" t="str">
        <f>IFERROR(__xludf.DUMMYFUNCTION("GOOGLETRANSLATE(K168, ""th"", ""en"")"),"Bullfighting is often held during the Songkran festival as a celebration.")</f>
        <v>Bullfighting is often held during the Songkran festival as a celebration.</v>
      </c>
      <c r="G168" s="6">
        <v>167.0</v>
      </c>
      <c r="H168" s="7" t="s">
        <v>626</v>
      </c>
      <c r="I168" s="7" t="s">
        <v>627</v>
      </c>
      <c r="J168" s="7" t="s">
        <v>628</v>
      </c>
      <c r="K168" s="7" t="s">
        <v>629</v>
      </c>
    </row>
    <row r="169" ht="14.25" customHeight="1">
      <c r="A169" s="4">
        <v>168.0</v>
      </c>
      <c r="B169" s="5" t="str">
        <f>IFERROR(__xludf.DUMMYFUNCTION("GOOGLETRANSLATE(H169, ""th"", ""en"")"),"What breed of bulls were often used in ancient bullfights?")</f>
        <v>What breed of bulls were often used in ancient bullfights?</v>
      </c>
      <c r="C169" s="5" t="str">
        <f>IFERROR(__xludf.DUMMYFUNCTION("GOOGLETRANSLATE(I169, ""th"", ""en"")"),"A) Native Thai cows; B) Cows from India; C) Cows from Malaysia; D) Cows from China")</f>
        <v>A) Native Thai cows; B) Cows from India; C) Cows from Malaysia; D) Cows from China</v>
      </c>
      <c r="D169" s="5" t="str">
        <f>IFERROR(__xludf.DUMMYFUNCTION("GOOGLETRANSLATE(J169, ""th"", ""en"")"),"A) Thai native cows")</f>
        <v>A) Thai native cows</v>
      </c>
      <c r="E169" s="5" t="str">
        <f>IFERROR(__xludf.DUMMYFUNCTION("GOOGLETRANSLATE(K169, ""th"", ""en"")"),"Most of the bulls used in bullfighting are native Thai breeds.")</f>
        <v>Most of the bulls used in bullfighting are native Thai breeds.</v>
      </c>
      <c r="G169" s="6">
        <v>168.0</v>
      </c>
      <c r="H169" s="7" t="s">
        <v>630</v>
      </c>
      <c r="I169" s="7" t="s">
        <v>631</v>
      </c>
      <c r="J169" s="7" t="s">
        <v>530</v>
      </c>
      <c r="K169" s="7" t="s">
        <v>632</v>
      </c>
    </row>
    <row r="170" ht="14.25" customHeight="1">
      <c r="A170" s="4">
        <v>169.0</v>
      </c>
      <c r="B170" s="5" t="str">
        <f>IFERROR(__xludf.DUMMYFUNCTION("GOOGLETRANSLATE(H170, ""th"", ""en"")"),"What role did bullfighting play in society during the Ayutthaya period?")</f>
        <v>What role did bullfighting play in society during the Ayutthaya period?</v>
      </c>
      <c r="C170" s="5" t="str">
        <f>IFERROR(__xludf.DUMMYFUNCTION("GOOGLETRANSLATE(I170, ""th"", ""en"")"),"A) agricultural development; B) strengthening community relations; C) promoting trade; D) military training.")</f>
        <v>A) agricultural development; B) strengthening community relations; C) promoting trade; D) military training.</v>
      </c>
      <c r="D170" s="5" t="str">
        <f>IFERROR(__xludf.DUMMYFUNCTION("GOOGLETRANSLATE(J170, ""th"", ""en"")"),"B) Strengthening community relationships")</f>
        <v>B) Strengthening community relationships</v>
      </c>
      <c r="E170" s="5" t="str">
        <f>IFERROR(__xludf.DUMMYFUNCTION("GOOGLETRANSLATE(K170, ""th"", ""en"")"),"Bullfighting plays a role in strengthening relationships and uniting communities.")</f>
        <v>Bullfighting plays a role in strengthening relationships and uniting communities.</v>
      </c>
      <c r="G170" s="6">
        <v>169.0</v>
      </c>
      <c r="H170" s="7" t="s">
        <v>633</v>
      </c>
      <c r="I170" s="7" t="s">
        <v>634</v>
      </c>
      <c r="J170" s="7" t="s">
        <v>635</v>
      </c>
      <c r="K170" s="7" t="s">
        <v>636</v>
      </c>
    </row>
    <row r="171" ht="14.25" customHeight="1">
      <c r="A171" s="4">
        <v>170.0</v>
      </c>
      <c r="B171" s="5" t="str">
        <f>IFERROR(__xludf.DUMMYFUNCTION("GOOGLETRANSLATE(H171, ""th"", ""en"")"),"In bullfighting, what characteristics do the bulls usually have?")</f>
        <v>In bullfighting, what characteristics do the bulls usually have?</v>
      </c>
      <c r="C171" s="5" t="str">
        <f>IFERROR(__xludf.DUMMYFUNCTION("GOOGLETRANSLATE(I171, ""th"", ""en"")"),"A) large and strong; B) intelligent and tame; C) thickly furred; D) colorful")</f>
        <v>A) large and strong; B) intelligent and tame; C) thickly furred; D) colorful</v>
      </c>
      <c r="D171" s="5" t="str">
        <f>IFERROR(__xludf.DUMMYFUNCTION("GOOGLETRANSLATE(J171, ""th"", ""en"")"),"A) Large and strong")</f>
        <v>A) Large and strong</v>
      </c>
      <c r="E171" s="5" t="str">
        <f>IFERROR(__xludf.DUMMYFUNCTION("GOOGLETRANSLATE(K171, ""th"", ""en"")"),"Bulls used in bullfighting are usually large and strong for long fights.")</f>
        <v>Bulls used in bullfighting are usually large and strong for long fights.</v>
      </c>
      <c r="G171" s="6">
        <v>170.0</v>
      </c>
      <c r="H171" s="7" t="s">
        <v>637</v>
      </c>
      <c r="I171" s="7" t="s">
        <v>638</v>
      </c>
      <c r="J171" s="7" t="s">
        <v>639</v>
      </c>
      <c r="K171" s="7" t="s">
        <v>640</v>
      </c>
    </row>
    <row r="172" ht="14.25" customHeight="1">
      <c r="A172" s="4">
        <v>171.0</v>
      </c>
      <c r="B172" s="5" t="str">
        <f>IFERROR(__xludf.DUMMYFUNCTION("GOOGLETRANSLATE(H172, ""th"", ""en"")"),"What did bullfighting in the past help the community?")</f>
        <v>What did bullfighting in the past help the community?</v>
      </c>
      <c r="C172" s="5" t="str">
        <f>IFERROR(__xludf.DUMMYFUNCTION("GOOGLETRANSLATE(I172, ""th"", ""en"")"),"A) conflict; B) political stability; C) community harmony; D) religious understanding")</f>
        <v>A) conflict; B) political stability; C) community harmony; D) religious understanding</v>
      </c>
      <c r="D172" s="5" t="str">
        <f>IFERROR(__xludf.DUMMYFUNCTION("GOOGLETRANSLATE(J172, ""th"", ""en"")"),"C) Community unity")</f>
        <v>C) Community unity</v>
      </c>
      <c r="E172" s="5" t="str">
        <f>IFERROR(__xludf.DUMMYFUNCTION("GOOGLETRANSLATE(K172, ""th"", ""en"")"),"Bullfighting helps to strengthen unity and relationships in the community.")</f>
        <v>Bullfighting helps to strengthen unity and relationships in the community.</v>
      </c>
      <c r="G172" s="6">
        <v>171.0</v>
      </c>
      <c r="H172" s="7" t="s">
        <v>641</v>
      </c>
      <c r="I172" s="7" t="s">
        <v>642</v>
      </c>
      <c r="J172" s="7" t="s">
        <v>643</v>
      </c>
      <c r="K172" s="7" t="s">
        <v>644</v>
      </c>
    </row>
    <row r="173" ht="14.25" customHeight="1">
      <c r="A173" s="4">
        <v>172.0</v>
      </c>
      <c r="B173" s="5" t="str">
        <f>IFERROR(__xludf.DUMMYFUNCTION("GOOGLETRANSLATE(H173, ""th"", ""en"")"),"Who passed on the knowledge of bullfighting in the Ayutthaya period?")</f>
        <v>Who passed on the knowledge of bullfighting in the Ayutthaya period?</v>
      </c>
      <c r="C173" s="5" t="str">
        <f>IFERROR(__xludf.DUMMYFUNCTION("GOOGLETRANSLATE(I173, ""th"", ""en"")"),"A) a king; B) a nobleman; C) an experienced commoner; D) an animal trainer.")</f>
        <v>A) a king; B) a nobleman; C) an experienced commoner; D) an animal trainer.</v>
      </c>
      <c r="D173" s="5" t="str">
        <f>IFERROR(__xludf.DUMMYFUNCTION("GOOGLETRANSLATE(J173, ""th"", ""en"")"),"C) Experienced villagers")</f>
        <v>C) Experienced villagers</v>
      </c>
      <c r="E173" s="5" t="str">
        <f>IFERROR(__xludf.DUMMYFUNCTION("GOOGLETRANSLATE(K173, ""th"", ""en"")"),"Cow training is often passed down from villagers who have experience in this field.")</f>
        <v>Cow training is often passed down from villagers who have experience in this field.</v>
      </c>
      <c r="G173" s="6">
        <v>172.0</v>
      </c>
      <c r="H173" s="7" t="s">
        <v>645</v>
      </c>
      <c r="I173" s="7" t="s">
        <v>646</v>
      </c>
      <c r="J173" s="7" t="s">
        <v>647</v>
      </c>
      <c r="K173" s="7" t="s">
        <v>648</v>
      </c>
    </row>
    <row r="174" ht="14.25" customHeight="1">
      <c r="A174" s="4">
        <v>173.0</v>
      </c>
      <c r="B174" s="5" t="str">
        <f>IFERROR(__xludf.DUMMYFUNCTION("GOOGLETRANSLATE(H174, ""th"", ""en"")"),"What training methods were used in bullfighting during the Ayutthaya period?")</f>
        <v>What training methods were used in bullfighting during the Ayutthaya period?</v>
      </c>
      <c r="C174" s="5" t="str">
        <f>IFERROR(__xludf.DUMMYFUNCTION("GOOGLETRANSLATE(I174, ""th"", ""en"")"),"A) quiet training; B) training by fighting with other bulls; C) training in a bullfighting school; D) training by using physical labor.")</f>
        <v>A) quiet training; B) training by fighting with other bulls; C) training in a bullfighting school; D) training by using physical labor.</v>
      </c>
      <c r="D174" s="5" t="str">
        <f>IFERROR(__xludf.DUMMYFUNCTION("GOOGLETRANSLATE(J174, ""th"", ""en"")"),"B) Training by fighting with other bulls.")</f>
        <v>B) Training by fighting with other bulls.</v>
      </c>
      <c r="E174" s="5" t="str">
        <f>IFERROR(__xludf.DUMMYFUNCTION("GOOGLETRANSLATE(K174, ""th"", ""en"")"),"Bulls are often trained by fighting other bulls to test their abilities.")</f>
        <v>Bulls are often trained by fighting other bulls to test their abilities.</v>
      </c>
      <c r="G174" s="6">
        <v>173.0</v>
      </c>
      <c r="H174" s="7" t="s">
        <v>649</v>
      </c>
      <c r="I174" s="7" t="s">
        <v>650</v>
      </c>
      <c r="J174" s="7" t="s">
        <v>651</v>
      </c>
      <c r="K174" s="7" t="s">
        <v>652</v>
      </c>
    </row>
    <row r="175" ht="14.25" customHeight="1">
      <c r="A175" s="4">
        <v>174.0</v>
      </c>
      <c r="B175" s="5" t="str">
        <f>IFERROR(__xludf.DUMMYFUNCTION("GOOGLETRANSLATE(H175, ""th"", ""en"")"),"Bullfighting during the Ayutthaya period was a popular activity among which class?")</f>
        <v>Bullfighting during the Ayutthaya period was a popular activity among which class?</v>
      </c>
      <c r="C175" s="5" t="str">
        <f>IFERROR(__xludf.DUMMYFUNCTION("GOOGLETRANSLATE(I175, ""th"", ""en"")"),"A) nobles; B) commoners; C) kings; D) businessmen")</f>
        <v>A) nobles; B) commoners; C) kings; D) businessmen</v>
      </c>
      <c r="D175" s="5" t="str">
        <f>IFERROR(__xludf.DUMMYFUNCTION("GOOGLETRANSLATE(J175, ""th"", ""en"")"),"B) Villagers")</f>
        <v>B) Villagers</v>
      </c>
      <c r="E175" s="5" t="str">
        <f>IFERROR(__xludf.DUMMYFUNCTION("GOOGLETRANSLATE(K175, ""th"", ""en"")"),"Bull fighting is a popular activity among locals and the general community.")</f>
        <v>Bull fighting is a popular activity among locals and the general community.</v>
      </c>
      <c r="G175" s="6">
        <v>174.0</v>
      </c>
      <c r="H175" s="7" t="s">
        <v>653</v>
      </c>
      <c r="I175" s="7" t="s">
        <v>654</v>
      </c>
      <c r="J175" s="7" t="s">
        <v>655</v>
      </c>
      <c r="K175" s="7" t="s">
        <v>656</v>
      </c>
    </row>
    <row r="176" ht="14.25" customHeight="1">
      <c r="A176" s="4">
        <v>175.0</v>
      </c>
      <c r="B176" s="5" t="str">
        <f>IFERROR(__xludf.DUMMYFUNCTION("GOOGLETRANSLATE(H176, ""th"", ""en"")"),"What traditions does bullfighting in the Ayutthaya period involve?")</f>
        <v>What traditions does bullfighting in the Ayutthaya period involve?</v>
      </c>
      <c r="C176" s="5" t="str">
        <f>IFERROR(__xludf.DUMMYFUNCTION("GOOGLETRANSLATE(I176, ""th"", ""en"")"),"A) Songkran Festival; B) Loi Krathong Festival; C) Ok Phansa Festival; D) Christmas Festival")</f>
        <v>A) Songkran Festival; B) Loi Krathong Festival; C) Ok Phansa Festival; D) Christmas Festival</v>
      </c>
      <c r="D176" s="5" t="str">
        <f>IFERROR(__xludf.DUMMYFUNCTION("GOOGLETRANSLATE(J176, ""th"", ""en"")"),"A) Songkran tradition")</f>
        <v>A) Songkran tradition</v>
      </c>
      <c r="E176" s="5" t="str">
        <f>IFERROR(__xludf.DUMMYFUNCTION("GOOGLETRANSLATE(K176, ""th"", ""en"")"),"Bullfighting is often held during the Songkran festival to celebrate.")</f>
        <v>Bullfighting is often held during the Songkran festival to celebrate.</v>
      </c>
      <c r="G176" s="6">
        <v>175.0</v>
      </c>
      <c r="H176" s="7" t="s">
        <v>657</v>
      </c>
      <c r="I176" s="7" t="s">
        <v>658</v>
      </c>
      <c r="J176" s="7" t="s">
        <v>659</v>
      </c>
      <c r="K176" s="7" t="s">
        <v>660</v>
      </c>
    </row>
    <row r="177" ht="14.25" customHeight="1">
      <c r="A177" s="4">
        <v>176.0</v>
      </c>
      <c r="B177" s="5" t="str">
        <f>IFERROR(__xludf.DUMMYFUNCTION("GOOGLETRANSLATE(H177, ""th"", ""en"")"),"What social role did bullfighting play in the Ayutthaya period?")</f>
        <v>What social role did bullfighting play in the Ayutthaya period?</v>
      </c>
      <c r="C177" s="5" t="str">
        <f>IFERROR(__xludf.DUMMYFUNCTION("GOOGLETRANSLATE(I177, ""th"", ""en"")"),"A) It is a show of bravery; B) It is a test of the soldiers' abilities; C) It is an activity to enhance fun; D) It is an activity to build relationships in the community.")</f>
        <v>A) It is a show of bravery; B) It is a test of the soldiers' abilities; C) It is an activity to enhance fun; D) It is an activity to build relationships in the community.</v>
      </c>
      <c r="D177" s="5" t="str">
        <f>IFERROR(__xludf.DUMMYFUNCTION("GOOGLETRANSLATE(J177, ""th"", ""en"")"),"D) It is an activity to build relationships in the community.")</f>
        <v>D) It is an activity to build relationships in the community.</v>
      </c>
      <c r="E177" s="5" t="str">
        <f>IFERROR(__xludf.DUMMYFUNCTION("GOOGLETRANSLATE(K177, ""th"", ""en"")"),"Bullfighting helps build relationships among community members.")</f>
        <v>Bullfighting helps build relationships among community members.</v>
      </c>
      <c r="G177" s="6">
        <v>176.0</v>
      </c>
      <c r="H177" s="7" t="s">
        <v>661</v>
      </c>
      <c r="I177" s="7" t="s">
        <v>662</v>
      </c>
      <c r="J177" s="7" t="s">
        <v>663</v>
      </c>
      <c r="K177" s="7" t="s">
        <v>664</v>
      </c>
    </row>
    <row r="178" ht="14.25" customHeight="1">
      <c r="A178" s="4">
        <v>177.0</v>
      </c>
      <c r="B178" s="5" t="str">
        <f>IFERROR(__xludf.DUMMYFUNCTION("GOOGLETRANSLATE(H178, ""th"", ""en"")"),"Has bullfighting evolved in the past?")</f>
        <v>Has bullfighting evolved in the past?</v>
      </c>
      <c r="C178" s="5" t="str">
        <f>IFERROR(__xludf.DUMMYFUNCTION("GOOGLETRANSLATE(I178, ""th"", ""en"")"),"A) No development; B) Development by increasing the form of competition; C) Development by using new technology; D) Development is not relevant.")</f>
        <v>A) No development; B) Development by increasing the form of competition; C) Development by using new technology; D) Development is not relevant.</v>
      </c>
      <c r="D178" s="5" t="str">
        <f>IFERROR(__xludf.DUMMYFUNCTION("GOOGLETRANSLATE(J178, ""th"", ""en"")"),"B) It has been developed by adding a competitive format.")</f>
        <v>B) It has been developed by adding a competitive format.</v>
      </c>
      <c r="E178" s="5" t="str">
        <f>IFERROR(__xludf.DUMMYFUNCTION("GOOGLETRANSLATE(K178, ""th"", ""en"")"),"Bullfighting has evolved with the addition of various forms of competition.")</f>
        <v>Bullfighting has evolved with the addition of various forms of competition.</v>
      </c>
      <c r="G178" s="6">
        <v>177.0</v>
      </c>
      <c r="H178" s="7" t="s">
        <v>665</v>
      </c>
      <c r="I178" s="7" t="s">
        <v>666</v>
      </c>
      <c r="J178" s="7" t="s">
        <v>667</v>
      </c>
      <c r="K178" s="7" t="s">
        <v>668</v>
      </c>
    </row>
    <row r="179" ht="14.25" customHeight="1">
      <c r="A179" s="4">
        <v>178.0</v>
      </c>
      <c r="B179" s="5" t="str">
        <f>IFERROR(__xludf.DUMMYFUNCTION("GOOGLETRANSLATE(H179, ""th"", ""en"")"),"What was the significance of bullfighting in the Ayutthaya period?")</f>
        <v>What was the significance of bullfighting in the Ayutthaya period?</v>
      </c>
      <c r="C179" s="5" t="str">
        <f>IFERROR(__xludf.DUMMYFUNCTION("GOOGLETRANSLATE(I179, ""th"", ""en"")"),"A) strengthening agricultural skills; B) military training; C) promoting the economy; D) strengthening social relations.")</f>
        <v>A) strengthening agricultural skills; B) military training; C) promoting the economy; D) strengthening social relations.</v>
      </c>
      <c r="D179" s="5" t="str">
        <f>IFERROR(__xludf.DUMMYFUNCTION("GOOGLETRANSLATE(J179, ""th"", ""en"")"),"D) Strengthening social relations")</f>
        <v>D) Strengthening social relations</v>
      </c>
      <c r="E179" s="5" t="str">
        <f>IFERROR(__xludf.DUMMYFUNCTION("GOOGLETRANSLATE(K179, ""th"", ""en"")"),"Bullfighting helps promote relationships and connections within the community.")</f>
        <v>Bullfighting helps promote relationships and connections within the community.</v>
      </c>
      <c r="G179" s="6">
        <v>178.0</v>
      </c>
      <c r="H179" s="7" t="s">
        <v>669</v>
      </c>
      <c r="I179" s="7" t="s">
        <v>670</v>
      </c>
      <c r="J179" s="7" t="s">
        <v>603</v>
      </c>
      <c r="K179" s="7" t="s">
        <v>671</v>
      </c>
    </row>
    <row r="180" ht="14.25" customHeight="1">
      <c r="A180" s="4">
        <v>179.0</v>
      </c>
      <c r="B180" s="5" t="str">
        <f>IFERROR(__xludf.DUMMYFUNCTION("GOOGLETRANSLATE(H180, ""th"", ""en"")"),"Which group of people in the past accepted bullfighting the most?")</f>
        <v>Which group of people in the past accepted bullfighting the most?</v>
      </c>
      <c r="C180" s="5" t="str">
        <f>IFERROR(__xludf.DUMMYFUNCTION("GOOGLETRANSLATE(I180, ""th"", ""en"")"),"A) nobles; B) commoners; C) kings; D) soldiers")</f>
        <v>A) nobles; B) commoners; C) kings; D) soldiers</v>
      </c>
      <c r="D180" s="5" t="str">
        <f>IFERROR(__xludf.DUMMYFUNCTION("GOOGLETRANSLATE(J180, ""th"", ""en"")"),"B) Villagers")</f>
        <v>B) Villagers</v>
      </c>
      <c r="E180" s="5" t="str">
        <f>IFERROR(__xludf.DUMMYFUNCTION("GOOGLETRANSLATE(K180, ""th"", ""en"")"),"Bull fighting is most popular among the villagers.")</f>
        <v>Bull fighting is most popular among the villagers.</v>
      </c>
      <c r="G180" s="6">
        <v>179.0</v>
      </c>
      <c r="H180" s="7" t="s">
        <v>672</v>
      </c>
      <c r="I180" s="7" t="s">
        <v>673</v>
      </c>
      <c r="J180" s="7" t="s">
        <v>655</v>
      </c>
      <c r="K180" s="7" t="s">
        <v>674</v>
      </c>
    </row>
    <row r="181" ht="14.25" customHeight="1">
      <c r="A181" s="4">
        <v>180.0</v>
      </c>
      <c r="B181" s="5" t="str">
        <f>IFERROR(__xludf.DUMMYFUNCTION("GOOGLETRANSLATE(H181, ""th"", ""en"")"),"What additional activities were held during bullfights in the past?")</f>
        <v>What additional activities were held during bullfights in the past?</v>
      </c>
      <c r="C181" s="5" t="str">
        <f>IFERROR(__xludf.DUMMYFUNCTION("GOOGLETRANSLATE(I181, ""th"", ""en"")"),"A) horse racing; B) cock racing; C) bull strength testing; D) military training")</f>
        <v>A) horse racing; B) cock racing; C) bull strength testing; D) military training</v>
      </c>
      <c r="D181" s="5" t="str">
        <f>IFERROR(__xludf.DUMMYFUNCTION("GOOGLETRANSLATE(J181, ""th"", ""en"")"),"C) Cow strength test")</f>
        <v>C) Cow strength test</v>
      </c>
      <c r="E181" s="5" t="str">
        <f>IFERROR(__xludf.DUMMYFUNCTION("GOOGLETRANSLATE(K181, ""th"", ""en"")"),"Bullfighting is an activity used to test the strength of bulls.")</f>
        <v>Bullfighting is an activity used to test the strength of bulls.</v>
      </c>
      <c r="G181" s="6">
        <v>180.0</v>
      </c>
      <c r="H181" s="7" t="s">
        <v>675</v>
      </c>
      <c r="I181" s="7" t="s">
        <v>676</v>
      </c>
      <c r="J181" s="7" t="s">
        <v>677</v>
      </c>
      <c r="K181" s="7" t="s">
        <v>678</v>
      </c>
    </row>
    <row r="182" ht="14.25" customHeight="1">
      <c r="A182" s="4">
        <v>181.0</v>
      </c>
      <c r="B182" s="5" t="str">
        <f>IFERROR(__xludf.DUMMYFUNCTION("GOOGLETRANSLATE(H182, ""th"", ""en"")"),"How were bullfights linked to religious beliefs in ancient times?")</f>
        <v>How were bullfights linked to religious beliefs in ancient times?</v>
      </c>
      <c r="C182" s="5" t="str">
        <f>IFERROR(__xludf.DUMMYFUNCTION("GOOGLETRANSLATE(I182, ""th"", ""en"")"),"A) It is a worship of the gods; B) It is a Buddhist ritual; C) It is an offering of animals to the gods; D) It is a request for rain.")</f>
        <v>A) It is a worship of the gods; B) It is a Buddhist ritual; C) It is an offering of animals to the gods; D) It is a request for rain.</v>
      </c>
      <c r="D182" s="5" t="str">
        <f>IFERROR(__xludf.DUMMYFUNCTION("GOOGLETRANSLATE(J182, ""th"", ""en"")"),"A) It is a worship of the gods.")</f>
        <v>A) It is a worship of the gods.</v>
      </c>
      <c r="E182" s="5" t="str">
        <f>IFERROR(__xludf.DUMMYFUNCTION("GOOGLETRANSLATE(K182, ""th"", ""en"")"),"Bullfighting in ancient times was sometimes considered a form of worship or a way of paying homage to the gods involved in agriculture.")</f>
        <v>Bullfighting in ancient times was sometimes considered a form of worship or a way of paying homage to the gods involved in agriculture.</v>
      </c>
      <c r="G182" s="6">
        <v>181.0</v>
      </c>
      <c r="H182" s="7" t="s">
        <v>679</v>
      </c>
      <c r="I182" s="7" t="s">
        <v>680</v>
      </c>
      <c r="J182" s="7" t="s">
        <v>681</v>
      </c>
      <c r="K182" s="7" t="s">
        <v>682</v>
      </c>
    </row>
    <row r="183" ht="14.25" customHeight="1">
      <c r="A183" s="4">
        <v>182.0</v>
      </c>
      <c r="B183" s="5" t="str">
        <f>IFERROR(__xludf.DUMMYFUNCTION("GOOGLETRANSLATE(H183, ""th"", ""en"")"),"In what ways did bullfighting develop during the Rattanakosin period?")</f>
        <v>In what ways did bullfighting develop during the Rattanakosin period?</v>
      </c>
      <c r="C183" s="5" t="str">
        <f>IFERROR(__xludf.DUMMYFUNCTION("GOOGLETRANSLATE(I183, ""th"", ""en"")"),"A) Using technology to train animals; B) Increasing the number of bullfights; C) Organizing official competitions; D) Bringing bulls from abroad to compete.")</f>
        <v>A) Using technology to train animals; B) Increasing the number of bullfights; C) Organizing official competitions; D) Bringing bulls from abroad to compete.</v>
      </c>
      <c r="D183" s="5" t="str">
        <f>IFERROR(__xludf.DUMMYFUNCTION("GOOGLETRANSLATE(J183, ""th"", ""en"")"),"C) Organizing official competitions")</f>
        <v>C) Organizing official competitions</v>
      </c>
      <c r="E183" s="5" t="str">
        <f>IFERROR(__xludf.DUMMYFUNCTION("GOOGLETRANSLATE(K183, ""th"", ""en"")"),"During the Rattanakosin period, bullfighting began to be organized as an official competition.")</f>
        <v>During the Rattanakosin period, bullfighting began to be organized as an official competition.</v>
      </c>
      <c r="G183" s="6">
        <v>182.0</v>
      </c>
      <c r="H183" s="7" t="s">
        <v>683</v>
      </c>
      <c r="I183" s="7" t="s">
        <v>684</v>
      </c>
      <c r="J183" s="7" t="s">
        <v>685</v>
      </c>
      <c r="K183" s="7" t="s">
        <v>686</v>
      </c>
    </row>
    <row r="184" ht="14.25" customHeight="1">
      <c r="A184" s="4">
        <v>183.0</v>
      </c>
      <c r="B184" s="5" t="str">
        <f>IFERROR(__xludf.DUMMYFUNCTION("GOOGLETRANSLATE(H184, ""th"", ""en"")"),"How is bullfighting in Thai history related to cultural expression?")</f>
        <v>How is bullfighting in Thai history related to cultural expression?</v>
      </c>
      <c r="C184" s="5" t="str">
        <f>IFERROR(__xludf.DUMMYFUNCTION("GOOGLETRANSLATE(I184, ""th"", ""en"")"),"A) It is a demonstration of military might; B) It is an annual festival celebration; C) It is an agricultural demonstration; D) It is a community training.")</f>
        <v>A) It is a demonstration of military might; B) It is an annual festival celebration; C) It is an agricultural demonstration; D) It is a community training.</v>
      </c>
      <c r="D184" s="5" t="str">
        <f>IFERROR(__xludf.DUMMYFUNCTION("GOOGLETRANSLATE(J184, ""th"", ""en"")"),"B) It is an annual festival celebration.")</f>
        <v>B) It is an annual festival celebration.</v>
      </c>
      <c r="E184" s="5" t="str">
        <f>IFERROR(__xludf.DUMMYFUNCTION("GOOGLETRANSLATE(K184, ""th"", ""en"")"),"Bullfighting is an activity that is often held during festivals to foster fun and community bonding.")</f>
        <v>Bullfighting is an activity that is often held during festivals to foster fun and community bonding.</v>
      </c>
      <c r="G184" s="6">
        <v>183.0</v>
      </c>
      <c r="H184" s="7" t="s">
        <v>687</v>
      </c>
      <c r="I184" s="7" t="s">
        <v>688</v>
      </c>
      <c r="J184" s="7" t="s">
        <v>689</v>
      </c>
      <c r="K184" s="7" t="s">
        <v>690</v>
      </c>
    </row>
    <row r="185" ht="14.25" customHeight="1">
      <c r="A185" s="4">
        <v>184.0</v>
      </c>
      <c r="B185" s="5" t="str">
        <f>IFERROR(__xludf.DUMMYFUNCTION("GOOGLETRANSLATE(H185, ""th"", ""en"")"),"How important was bullfighting to Thai society in the past?")</f>
        <v>How important was bullfighting to Thai society in the past?</v>
      </c>
      <c r="C185" s="5" t="str">
        <f>IFERROR(__xludf.DUMMYFUNCTION("GOOGLETRANSLATE(I185, ""th"", ""en"")"),"A) It promotes economic development; B) It trains soldiers; C) It promotes unity in the community; D) It prepares for war.")</f>
        <v>A) It promotes economic development; B) It trains soldiers; C) It promotes unity in the community; D) It prepares for war.</v>
      </c>
      <c r="D185" s="5" t="str">
        <f>IFERROR(__xludf.DUMMYFUNCTION("GOOGLETRANSLATE(J185, ""th"", ""en"")"),"C) It promotes unity in the community.")</f>
        <v>C) It promotes unity in the community.</v>
      </c>
      <c r="E185" s="5" t="str">
        <f>IFERROR(__xludf.DUMMYFUNCTION("GOOGLETRANSLATE(K185, ""th"", ""en"")"),"Bullfighting helps to strengthen unity and relationships among people in the community.")</f>
        <v>Bullfighting helps to strengthen unity and relationships among people in the community.</v>
      </c>
      <c r="G185" s="6">
        <v>184.0</v>
      </c>
      <c r="H185" s="7" t="s">
        <v>691</v>
      </c>
      <c r="I185" s="7" t="s">
        <v>692</v>
      </c>
      <c r="J185" s="7" t="s">
        <v>693</v>
      </c>
      <c r="K185" s="7" t="s">
        <v>694</v>
      </c>
    </row>
    <row r="186" ht="14.25" customHeight="1">
      <c r="A186" s="4">
        <v>185.0</v>
      </c>
      <c r="B186" s="5" t="str">
        <f>IFERROR(__xludf.DUMMYFUNCTION("GOOGLETRANSLATE(H186, ""th"", ""en"")"),"Who supported bullfighting in the past?")</f>
        <v>Who supported bullfighting in the past?</v>
      </c>
      <c r="C186" s="5" t="str">
        <f>IFERROR(__xludf.DUMMYFUNCTION("GOOGLETRANSLATE(I186, ""th"", ""en"")"),"A) the king and nobles; B) the common people; C) politicians; D) the military")</f>
        <v>A) the king and nobles; B) the common people; C) politicians; D) the military</v>
      </c>
      <c r="D186" s="5" t="str">
        <f>IFERROR(__xludf.DUMMYFUNCTION("GOOGLETRANSLATE(J186, ""th"", ""en"")"),"A) The King and the nobles")</f>
        <v>A) The King and the nobles</v>
      </c>
      <c r="E186" s="5" t="str">
        <f>IFERROR(__xludf.DUMMYFUNCTION("GOOGLETRANSLATE(K186, ""th"", ""en"")"),"Bullfighting in ancient times was supported by kings and nobles.")</f>
        <v>Bullfighting in ancient times was supported by kings and nobles.</v>
      </c>
      <c r="G186" s="6">
        <v>185.0</v>
      </c>
      <c r="H186" s="7" t="s">
        <v>695</v>
      </c>
      <c r="I186" s="7" t="s">
        <v>696</v>
      </c>
      <c r="J186" s="7" t="s">
        <v>697</v>
      </c>
      <c r="K186" s="7" t="s">
        <v>698</v>
      </c>
    </row>
    <row r="187" ht="14.25" customHeight="1">
      <c r="A187" s="4">
        <v>186.0</v>
      </c>
      <c r="B187" s="5" t="str">
        <f>IFERROR(__xludf.DUMMYFUNCTION("GOOGLETRANSLATE(H187, ""th"", ""en"")"),"What tests did bullfighting in ancient times involve?")</f>
        <v>What tests did bullfighting in ancient times involve?</v>
      </c>
      <c r="C187" s="5" t="str">
        <f>IFERROR(__xludf.DUMMYFUNCTION("GOOGLETRANSLATE(I187, ""th"", ""en"")"),"A) Working ability; B) Running speed; C) Strength and endurance; D) Walking ability")</f>
        <v>A) Working ability; B) Running speed; C) Strength and endurance; D) Walking ability</v>
      </c>
      <c r="D187" s="5" t="str">
        <f>IFERROR(__xludf.DUMMYFUNCTION("GOOGLETRANSLATE(J187, ""th"", ""en"")"),"C) Strength and durability")</f>
        <v>C) Strength and durability</v>
      </c>
      <c r="E187" s="5" t="str">
        <f>IFERROR(__xludf.DUMMYFUNCTION("GOOGLETRANSLATE(K187, ""th"", ""en"")"),"Bullfighting is used to test the strength and endurance of bulls.")</f>
        <v>Bullfighting is used to test the strength and endurance of bulls.</v>
      </c>
      <c r="G187" s="6">
        <v>186.0</v>
      </c>
      <c r="H187" s="7" t="s">
        <v>699</v>
      </c>
      <c r="I187" s="7" t="s">
        <v>700</v>
      </c>
      <c r="J187" s="7" t="s">
        <v>701</v>
      </c>
      <c r="K187" s="7" t="s">
        <v>702</v>
      </c>
    </row>
    <row r="188" ht="14.25" customHeight="1">
      <c r="A188" s="4">
        <v>187.0</v>
      </c>
      <c r="B188" s="5" t="str">
        <f>IFERROR(__xludf.DUMMYFUNCTION("GOOGLETRANSLATE(H188, ""th"", ""en"")"),"In the past, in bullfights, what prize did the winning bull receive?")</f>
        <v>In the past, in bullfights, what prize did the winning bull receive?</v>
      </c>
      <c r="C188" s="5" t="str">
        <f>IFERROR(__xludf.DUMMYFUNCTION("GOOGLETRANSLATE(I188, ""th"", ""en"")"),"A) a monetary reward; B) special treatment; C) being a symbol of good luck; D) being accepted by the community.")</f>
        <v>A) a monetary reward; B) special treatment; C) being a symbol of good luck; D) being accepted by the community.</v>
      </c>
      <c r="D188" s="5" t="str">
        <f>IFERROR(__xludf.DUMMYFUNCTION("GOOGLETRANSLATE(J188, ""th"", ""en"")"),"D) Community acceptance")</f>
        <v>D) Community acceptance</v>
      </c>
      <c r="E188" s="5" t="str">
        <f>IFERROR(__xludf.DUMMYFUNCTION("GOOGLETRANSLATE(K188, ""th"", ""en"")"),"The winning cow in the competition will be recognized and respected by the community.")</f>
        <v>The winning cow in the competition will be recognized and respected by the community.</v>
      </c>
      <c r="G188" s="6">
        <v>187.0</v>
      </c>
      <c r="H188" s="7" t="s">
        <v>703</v>
      </c>
      <c r="I188" s="7" t="s">
        <v>704</v>
      </c>
      <c r="J188" s="7" t="s">
        <v>705</v>
      </c>
      <c r="K188" s="7" t="s">
        <v>706</v>
      </c>
    </row>
    <row r="189" ht="14.25" customHeight="1">
      <c r="A189" s="4">
        <v>188.0</v>
      </c>
      <c r="B189" s="5" t="str">
        <f>IFERROR(__xludf.DUMMYFUNCTION("GOOGLETRANSLATE(H189, ""th"", ""en"")"),"What developmental significance did bullfighting have in the past?")</f>
        <v>What developmental significance did bullfighting have in the past?</v>
      </c>
      <c r="C189" s="5" t="str">
        <f>IFERROR(__xludf.DUMMYFUNCTION("GOOGLETRANSLATE(I189, ""th"", ""en"")"),"A) agricultural development; B) military development; C) community relations development; D) trade development")</f>
        <v>A) agricultural development; B) military development; C) community relations development; D) trade development</v>
      </c>
      <c r="D189" s="5" t="str">
        <f>IFERROR(__xludf.DUMMYFUNCTION("GOOGLETRANSLATE(J189, ""th"", ""en"")"),"C) Development of community relations")</f>
        <v>C) Development of community relations</v>
      </c>
      <c r="E189" s="5" t="str">
        <f>IFERROR(__xludf.DUMMYFUNCTION("GOOGLETRANSLATE(K189, ""th"", ""en"")"),"Bullfighting plays a role in building relationships in the community.")</f>
        <v>Bullfighting plays a role in building relationships in the community.</v>
      </c>
      <c r="G189" s="6">
        <v>188.0</v>
      </c>
      <c r="H189" s="7" t="s">
        <v>707</v>
      </c>
      <c r="I189" s="7" t="s">
        <v>708</v>
      </c>
      <c r="J189" s="7" t="s">
        <v>709</v>
      </c>
      <c r="K189" s="7" t="s">
        <v>710</v>
      </c>
    </row>
    <row r="190" ht="14.25" customHeight="1">
      <c r="A190" s="4">
        <v>189.0</v>
      </c>
      <c r="B190" s="5" t="str">
        <f>IFERROR(__xludf.DUMMYFUNCTION("GOOGLETRANSLATE(H190, ""th"", ""en"")"),"During the Ayutthaya period, when were bullfighting competitions held?")</f>
        <v>During the Ayutthaya period, when were bullfighting competitions held?</v>
      </c>
      <c r="C190" s="5" t="str">
        <f>IFERROR(__xludf.DUMMYFUNCTION("GOOGLETRANSLATE(I190, ""th"", ""en"")"),"A) Summer; B) Songkran Festival; C) Loi Krathong Festival; D) Winter")</f>
        <v>A) Summer; B) Songkran Festival; C) Loi Krathong Festival; D) Winter</v>
      </c>
      <c r="D190" s="5" t="str">
        <f>IFERROR(__xludf.DUMMYFUNCTION("GOOGLETRANSLATE(J190, ""th"", ""en"")"),"B) During the Songkran Festival")</f>
        <v>B) During the Songkran Festival</v>
      </c>
      <c r="E190" s="5" t="str">
        <f>IFERROR(__xludf.DUMMYFUNCTION("GOOGLETRANSLATE(K190, ""th"", ""en"")"),"Bullfights are often held during the Songkran festival as a celebration.")</f>
        <v>Bullfights are often held during the Songkran festival as a celebration.</v>
      </c>
      <c r="G190" s="6">
        <v>189.0</v>
      </c>
      <c r="H190" s="7" t="s">
        <v>711</v>
      </c>
      <c r="I190" s="7" t="s">
        <v>712</v>
      </c>
      <c r="J190" s="7" t="s">
        <v>713</v>
      </c>
      <c r="K190" s="7" t="s">
        <v>714</v>
      </c>
    </row>
    <row r="191" ht="14.25" customHeight="1">
      <c r="A191" s="4">
        <v>190.0</v>
      </c>
      <c r="B191" s="5" t="str">
        <f>IFERROR(__xludf.DUMMYFUNCTION("GOOGLETRANSLATE(H191, ""th"", ""en"")"),"Bullfighting in the Ayutthaya period was related to what test for the competitors?")</f>
        <v>Bullfighting in the Ayutthaya period was related to what test for the competitors?</v>
      </c>
      <c r="C191" s="5" t="str">
        <f>IFERROR(__xludf.DUMMYFUNCTION("GOOGLETRANSLATE(I191, ""th"", ""en"")"),"A) the ability to train cattle; B) courage; C) physical strength; D) the ability to judge.")</f>
        <v>A) the ability to train cattle; B) courage; C) physical strength; D) the ability to judge.</v>
      </c>
      <c r="D191" s="5" t="str">
        <f>IFERROR(__xludf.DUMMYFUNCTION("GOOGLETRANSLATE(J191, ""th"", ""en"")"),"C) Physical strength")</f>
        <v>C) Physical strength</v>
      </c>
      <c r="E191" s="5" t="str">
        <f>IFERROR(__xludf.DUMMYFUNCTION("GOOGLETRANSLATE(K191, ""th"", ""en"")"),"Competitors must have the physical strength to control and train the bulls in the competition.")</f>
        <v>Competitors must have the physical strength to control and train the bulls in the competition.</v>
      </c>
      <c r="G191" s="6">
        <v>190.0</v>
      </c>
      <c r="H191" s="7" t="s">
        <v>715</v>
      </c>
      <c r="I191" s="7" t="s">
        <v>716</v>
      </c>
      <c r="J191" s="7" t="s">
        <v>717</v>
      </c>
      <c r="K191" s="7" t="s">
        <v>718</v>
      </c>
    </row>
    <row r="192" ht="14.25" customHeight="1">
      <c r="A192" s="4">
        <v>191.0</v>
      </c>
      <c r="B192" s="5" t="str">
        <f>IFERROR(__xludf.DUMMYFUNCTION("GOOGLETRANSLATE(H192, ""th"", ""en"")"),"In the past, bullfighting was considered an activity for whom?")</f>
        <v>In the past, bullfighting was considered an activity for whom?</v>
      </c>
      <c r="C192" s="5" t="str">
        <f>IFERROR(__xludf.DUMMYFUNCTION("GOOGLETRANSLATE(I192, ""th"", ""en"")"),"A) nobles and aristocrats; B) peasants and farmers; C) soldiers and warriors; D) politicians")</f>
        <v>A) nobles and aristocrats; B) peasants and farmers; C) soldiers and warriors; D) politicians</v>
      </c>
      <c r="D192" s="5" t="str">
        <f>IFERROR(__xludf.DUMMYFUNCTION("GOOGLETRANSLATE(J192, ""th"", ""en"")"),"B) Villagers and farmers")</f>
        <v>B) Villagers and farmers</v>
      </c>
      <c r="E192" s="5" t="str">
        <f>IFERROR(__xludf.DUMMYFUNCTION("GOOGLETRANSLATE(K192, ""th"", ""en"")"),"Bull fighting is a popular activity among villagers and farmers.")</f>
        <v>Bull fighting is a popular activity among villagers and farmers.</v>
      </c>
      <c r="G192" s="6">
        <v>191.0</v>
      </c>
      <c r="H192" s="7" t="s">
        <v>719</v>
      </c>
      <c r="I192" s="7" t="s">
        <v>720</v>
      </c>
      <c r="J192" s="7" t="s">
        <v>721</v>
      </c>
      <c r="K192" s="7" t="s">
        <v>722</v>
      </c>
    </row>
    <row r="193" ht="14.25" customHeight="1">
      <c r="A193" s="4">
        <v>192.0</v>
      </c>
      <c r="B193" s="5" t="str">
        <f>IFERROR(__xludf.DUMMYFUNCTION("GOOGLETRANSLATE(H193, ""th"", ""en"")"),"How has bullfighting evolved in the past into a competitive sport?")</f>
        <v>How has bullfighting evolved in the past into a competitive sport?</v>
      </c>
      <c r="C193" s="5" t="str">
        <f>IFERROR(__xludf.DUMMYFUNCTION("GOOGLETRANSLATE(I193, ""th"", ""en"")"),"A) Increasing the number of bulls in the competition; B) Creating clear competition rules; C) Using technology to train bulls; D) Organizing international competitions.")</f>
        <v>A) Increasing the number of bulls in the competition; B) Creating clear competition rules; C) Using technology to train bulls; D) Organizing international competitions.</v>
      </c>
      <c r="D193" s="5" t="str">
        <f>IFERROR(__xludf.DUMMYFUNCTION("GOOGLETRANSLATE(J193, ""th"", ""en"")"),"B) Creating clear competition rules")</f>
        <v>B) Creating clear competition rules</v>
      </c>
      <c r="E193" s="5" t="str">
        <f>IFERROR(__xludf.DUMMYFUNCTION("GOOGLETRANSLATE(K193, ""th"", ""en"")"),"Bullfighting in the past has evolved to create clear competition rules for fairness.")</f>
        <v>Bullfighting in the past has evolved to create clear competition rules for fairness.</v>
      </c>
      <c r="G193" s="6">
        <v>192.0</v>
      </c>
      <c r="H193" s="7" t="s">
        <v>723</v>
      </c>
      <c r="I193" s="7" t="s">
        <v>724</v>
      </c>
      <c r="J193" s="7" t="s">
        <v>725</v>
      </c>
      <c r="K193" s="7" t="s">
        <v>726</v>
      </c>
    </row>
    <row r="194" ht="14.25" customHeight="1">
      <c r="A194" s="4">
        <v>193.0</v>
      </c>
      <c r="B194" s="5" t="str">
        <f>IFERROR(__xludf.DUMMYFUNCTION("GOOGLETRANSLATE(H194, ""th"", ""en"")"),"Was bullfighting in ancient times linked to military training?")</f>
        <v>Was bullfighting in ancient times linked to military training?</v>
      </c>
      <c r="C194" s="5" t="str">
        <f>IFERROR(__xludf.DUMMYFUNCTION("GOOGLETRANSLATE(I194, ""th"", ""en"")"),"A) Yes, bullfighting in the past involved military training; B) No, bullfighting has no military relevance; C) Yes, but very little; D) Not sure.")</f>
        <v>A) Yes, bullfighting in the past involved military training; B) No, bullfighting has no military relevance; C) Yes, but very little; D) Not sure.</v>
      </c>
      <c r="D194" s="5" t="str">
        <f>IFERROR(__xludf.DUMMYFUNCTION("GOOGLETRANSLATE(J194, ""th"", ""en"")"),"In the past, military training used cows.")</f>
        <v>In the past, military training used cows.</v>
      </c>
      <c r="E194" s="5" t="str">
        <f>IFERROR(__xludf.DUMMYFUNCTION("GOOGLETRANSLATE(K194, ""th"", ""en"")"),"Military training sometimes uses bullfighting to test the strength and control of the animals.")</f>
        <v>Military training sometimes uses bullfighting to test the strength and control of the animals.</v>
      </c>
      <c r="G194" s="6">
        <v>193.0</v>
      </c>
      <c r="H194" s="7" t="s">
        <v>727</v>
      </c>
      <c r="I194" s="7" t="s">
        <v>728</v>
      </c>
      <c r="J194" s="7" t="s">
        <v>729</v>
      </c>
      <c r="K194" s="7" t="s">
        <v>730</v>
      </c>
    </row>
    <row r="195" ht="14.25" customHeight="1">
      <c r="A195" s="4">
        <v>194.0</v>
      </c>
      <c r="B195" s="5" t="str">
        <f>IFERROR(__xludf.DUMMYFUNCTION("GOOGLETRANSLATE(H195, ""th"", ""en"")"),"What did the bulls used in bullfighting in the past look like?")</f>
        <v>What did the bulls used in bullfighting in the past look like?</v>
      </c>
      <c r="C195" s="5" t="str">
        <f>IFERROR(__xludf.DUMMYFUNCTION("GOOGLETRANSLATE(I195, ""th"", ""en"")"),"A) large and strong; B) thick fur; C) small but strong; D) large and tame")</f>
        <v>A) large and strong; B) thick fur; C) small but strong; D) large and tame</v>
      </c>
      <c r="D195" s="5" t="str">
        <f>IFERROR(__xludf.DUMMYFUNCTION("GOOGLETRANSLATE(J195, ""th"", ""en"")"),"A) It is large and strong.")</f>
        <v>A) It is large and strong.</v>
      </c>
      <c r="E195" s="5" t="str">
        <f>IFERROR(__xludf.DUMMYFUNCTION("GOOGLETRANSLATE(K195, ""th"", ""en"")"),"Bulls used in bullfighting are usually large and strong for long fights.")</f>
        <v>Bulls used in bullfighting are usually large and strong for long fights.</v>
      </c>
      <c r="G195" s="6">
        <v>194.0</v>
      </c>
      <c r="H195" s="7" t="s">
        <v>731</v>
      </c>
      <c r="I195" s="7" t="s">
        <v>732</v>
      </c>
      <c r="J195" s="7" t="s">
        <v>733</v>
      </c>
      <c r="K195" s="7" t="s">
        <v>734</v>
      </c>
    </row>
    <row r="196" ht="14.25" customHeight="1">
      <c r="A196" s="4">
        <v>195.0</v>
      </c>
      <c r="B196" s="5" t="str">
        <f>IFERROR(__xludf.DUMMYFUNCTION("GOOGLETRANSLATE(H196, ""th"", ""en"")"),"Where were bullfights held during the Ayutthaya period?")</f>
        <v>Where were bullfights held during the Ayutthaya period?</v>
      </c>
      <c r="C196" s="5" t="str">
        <f>IFERROR(__xludf.DUMMYFUNCTION("GOOGLETRANSLATE(I196, ""th"", ""en"")"),"A) at the stadium; B) in the temple and open spaces; C) in the palace; D) at the market")</f>
        <v>A) at the stadium; B) in the temple and open spaces; C) in the palace; D) at the market</v>
      </c>
      <c r="D196" s="5" t="str">
        <f>IFERROR(__xludf.DUMMYFUNCTION("GOOGLETRANSLATE(J196, ""th"", ""en"")"),"B) In the temple and outdoor area")</f>
        <v>B) In the temple and outdoor area</v>
      </c>
      <c r="E196" s="5" t="str">
        <f>IFERROR(__xludf.DUMMYFUNCTION("GOOGLETRANSLATE(K196, ""th"", ""en"")"),"Bullfights are usually held in open spaces or temple grounds.")</f>
        <v>Bullfights are usually held in open spaces or temple grounds.</v>
      </c>
      <c r="G196" s="6">
        <v>195.0</v>
      </c>
      <c r="H196" s="7" t="s">
        <v>735</v>
      </c>
      <c r="I196" s="7" t="s">
        <v>736</v>
      </c>
      <c r="J196" s="7" t="s">
        <v>737</v>
      </c>
      <c r="K196" s="7" t="s">
        <v>738</v>
      </c>
    </row>
    <row r="197" ht="14.25" customHeight="1">
      <c r="A197" s="4">
        <v>196.0</v>
      </c>
      <c r="B197" s="5" t="str">
        <f>IFERROR(__xludf.DUMMYFUNCTION("GOOGLETRANSLATE(H197, ""th"", ""en"")"),"What agricultural beliefs did bullfighting in ancient times relate to?")</f>
        <v>What agricultural beliefs did bullfighting in ancient times relate to?</v>
      </c>
      <c r="C197" s="5" t="str">
        <f>IFERROR(__xludf.DUMMYFUNCTION("GOOGLETRANSLATE(I197, ""th"", ""en"")"),"A) Asking for rain and blessing for a good harvest; B) Worshiping God; C) Asking for luck in business; D) Asking for victory in war.")</f>
        <v>A) Asking for rain and blessing for a good harvest; B) Worshiping God; C) Asking for luck in business; D) Asking for victory in war.</v>
      </c>
      <c r="D197" s="5" t="str">
        <f>IFERROR(__xludf.DUMMYFUNCTION("GOOGLETRANSLATE(J197, ""th"", ""en"")"),"A) Asking for rain and wishing for good harvests.")</f>
        <v>A) Asking for rain and wishing for good harvests.</v>
      </c>
      <c r="E197" s="5" t="str">
        <f>IFERROR(__xludf.DUMMYFUNCTION("GOOGLETRANSLATE(K197, ""th"", ""en"")"),"Bullfighting is sometimes considered a ritual to pray for rain and good agricultural yields.")</f>
        <v>Bullfighting is sometimes considered a ritual to pray for rain and good agricultural yields.</v>
      </c>
      <c r="G197" s="6">
        <v>196.0</v>
      </c>
      <c r="H197" s="7" t="s">
        <v>739</v>
      </c>
      <c r="I197" s="7" t="s">
        <v>740</v>
      </c>
      <c r="J197" s="7" t="s">
        <v>741</v>
      </c>
      <c r="K197" s="7" t="s">
        <v>742</v>
      </c>
    </row>
    <row r="198" ht="14.25" customHeight="1">
      <c r="A198" s="4">
        <v>197.0</v>
      </c>
      <c r="B198" s="5" t="str">
        <f>IFERROR(__xludf.DUMMYFUNCTION("GOOGLETRANSLATE(H198, ""th"", ""en"")"),"What role did bullfighting play in the Ayutthaya period?")</f>
        <v>What role did bullfighting play in the Ayutthaya period?</v>
      </c>
      <c r="C198" s="5" t="str">
        <f>IFERROR(__xludf.DUMMYFUNCTION("GOOGLETRANSLATE(I198, ""th"", ""en"")"),"A) Agricultural ability testing; B) Military training; C) Community relationship building; D) Social entertainment.")</f>
        <v>A) Agricultural ability testing; B) Military training; C) Community relationship building; D) Social entertainment.</v>
      </c>
      <c r="D198" s="5" t="str">
        <f>IFERROR(__xludf.DUMMYFUNCTION("GOOGLETRANSLATE(J198, ""th"", ""en"")"),"C) Building relationships in the community")</f>
        <v>C) Building relationships in the community</v>
      </c>
      <c r="E198" s="5" t="str">
        <f>IFERROR(__xludf.DUMMYFUNCTION("GOOGLETRANSLATE(K198, ""th"", ""en"")"),"Bullfighting often helps build good relationships within the community.")</f>
        <v>Bullfighting often helps build good relationships within the community.</v>
      </c>
      <c r="G198" s="6">
        <v>197.0</v>
      </c>
      <c r="H198" s="7" t="s">
        <v>743</v>
      </c>
      <c r="I198" s="7" t="s">
        <v>744</v>
      </c>
      <c r="J198" s="7" t="s">
        <v>745</v>
      </c>
      <c r="K198" s="7" t="s">
        <v>746</v>
      </c>
    </row>
    <row r="199" ht="14.25" customHeight="1">
      <c r="A199" s="4">
        <v>198.0</v>
      </c>
      <c r="B199" s="5" t="str">
        <f>IFERROR(__xludf.DUMMYFUNCTION("GOOGLETRANSLATE(H199, ""th"", ""en"")"),"In the past, bullfighting played a role in which Thai tradition?")</f>
        <v>In the past, bullfighting played a role in which Thai tradition?</v>
      </c>
      <c r="C199" s="5" t="str">
        <f>IFERROR(__xludf.DUMMYFUNCTION("GOOGLETRANSLATE(I199, ""th"", ""en"")"),"A) Songkran Festival; B) Loi Krathong Festival; C) Buddhist Lent Festival; D) Asarnha Bucha Festival")</f>
        <v>A) Songkran Festival; B) Loi Krathong Festival; C) Buddhist Lent Festival; D) Asarnha Bucha Festival</v>
      </c>
      <c r="D199" s="5" t="str">
        <f>IFERROR(__xludf.DUMMYFUNCTION("GOOGLETRANSLATE(J199, ""th"", ""en"")"),"A) Songkran tradition")</f>
        <v>A) Songkran tradition</v>
      </c>
      <c r="E199" s="5" t="str">
        <f>IFERROR(__xludf.DUMMYFUNCTION("GOOGLETRANSLATE(K199, ""th"", ""en"")"),"Bullfighting is often held during the Songkran festival to celebrate.")</f>
        <v>Bullfighting is often held during the Songkran festival to celebrate.</v>
      </c>
      <c r="G199" s="6">
        <v>198.0</v>
      </c>
      <c r="H199" s="7" t="s">
        <v>747</v>
      </c>
      <c r="I199" s="7" t="s">
        <v>748</v>
      </c>
      <c r="J199" s="7" t="s">
        <v>659</v>
      </c>
      <c r="K199" s="7" t="s">
        <v>749</v>
      </c>
    </row>
    <row r="200" ht="14.25" customHeight="1">
      <c r="A200" s="4">
        <v>199.0</v>
      </c>
      <c r="B200" s="5" t="str">
        <f>IFERROR(__xludf.DUMMYFUNCTION("GOOGLETRANSLATE(H200, ""th"", ""en"")"),"How did bullfighting in the Ayutthaya period affect Thai society?")</f>
        <v>How did bullfighting in the Ayutthaya period affect Thai society?</v>
      </c>
      <c r="C200" s="5" t="str">
        <f>IFERROR(__xludf.DUMMYFUNCTION("GOOGLETRANSLATE(I200, ""th"", ""en"")"),"A) Help develop agriculture; B) Help strengthen social relations; C) Help develop the military; D) Help develop trade.")</f>
        <v>A) Help develop agriculture; B) Help strengthen social relations; C) Help develop the military; D) Help develop trade.</v>
      </c>
      <c r="D200" s="5" t="str">
        <f>IFERROR(__xludf.DUMMYFUNCTION("GOOGLETRANSLATE(J200, ""th"", ""en"")"),"B) Helps strengthen social relationships.")</f>
        <v>B) Helps strengthen social relationships.</v>
      </c>
      <c r="E200" s="5" t="str">
        <f>IFERROR(__xludf.DUMMYFUNCTION("GOOGLETRANSLATE(K200, ""th"", ""en"")"),"Bullfighting helps strengthen social relationships in the community.")</f>
        <v>Bullfighting helps strengthen social relationships in the community.</v>
      </c>
      <c r="G200" s="6">
        <v>199.0</v>
      </c>
      <c r="H200" s="7" t="s">
        <v>750</v>
      </c>
      <c r="I200" s="7" t="s">
        <v>751</v>
      </c>
      <c r="J200" s="7" t="s">
        <v>752</v>
      </c>
      <c r="K200" s="7" t="s">
        <v>753</v>
      </c>
    </row>
    <row r="201" ht="14.25" customHeight="1">
      <c r="A201" s="4">
        <v>200.0</v>
      </c>
      <c r="B201" s="5" t="str">
        <f>IFERROR(__xludf.DUMMYFUNCTION("GOOGLETRANSLATE(H201, ""th"", ""en"")"),"How were bullfights organized during the Ayutthaya period?")</f>
        <v>How were bullfights organized during the Ayutthaya period?</v>
      </c>
      <c r="C201" s="5" t="str">
        <f>IFERROR(__xludf.DUMMYFUNCTION("GOOGLETRANSLATE(I201, ""th"", ""en"")"),"A) a competition with no set rules; B) a competition with clearly set rules; C) a test of courage; D) a casual competition.")</f>
        <v>A) a competition with no set rules; B) a competition with clearly set rules; C) a test of courage; D) a casual competition.</v>
      </c>
      <c r="D201" s="5" t="str">
        <f>IFERROR(__xludf.DUMMYFUNCTION("GOOGLETRANSLATE(J201, ""th"", ""en"")"),"B) The competition has clearly defined rules.")</f>
        <v>B) The competition has clearly defined rules.</v>
      </c>
      <c r="E201" s="5" t="str">
        <f>IFERROR(__xludf.DUMMYFUNCTION("GOOGLETRANSLATE(K201, ""th"", ""en"")"),"Bullfighting in the Ayutthaya period had clear rules for fairness.")</f>
        <v>Bullfighting in the Ayutthaya period had clear rules for fairness.</v>
      </c>
      <c r="G201" s="6">
        <v>200.0</v>
      </c>
      <c r="H201" s="7" t="s">
        <v>754</v>
      </c>
      <c r="I201" s="7" t="s">
        <v>755</v>
      </c>
      <c r="J201" s="7" t="s">
        <v>756</v>
      </c>
      <c r="K201" s="7" t="s">
        <v>757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>
      <c r="A207" s="8"/>
      <c r="B207" s="8" t="s">
        <v>758</v>
      </c>
    </row>
    <row r="208" ht="14.25" customHeight="1">
      <c r="A208" s="9"/>
      <c r="B208" s="9" t="s">
        <v>5</v>
      </c>
      <c r="C208" s="9" t="s">
        <v>1</v>
      </c>
      <c r="D208" s="9" t="s">
        <v>759</v>
      </c>
      <c r="E208" s="9" t="s">
        <v>760</v>
      </c>
      <c r="F208" s="9" t="s">
        <v>2</v>
      </c>
      <c r="G208" s="9" t="s">
        <v>761</v>
      </c>
      <c r="H208" s="9" t="s">
        <v>3</v>
      </c>
      <c r="I208" s="9" t="s">
        <v>762</v>
      </c>
      <c r="J208" s="9" t="s">
        <v>4</v>
      </c>
      <c r="K208" s="9" t="s">
        <v>763</v>
      </c>
    </row>
    <row r="209" ht="14.25" customHeight="1">
      <c r="A209" s="10"/>
      <c r="B209" s="10">
        <v>1.0</v>
      </c>
      <c r="C209" s="11" t="s">
        <v>10</v>
      </c>
      <c r="D209" s="12"/>
      <c r="E209" s="12"/>
      <c r="F209" s="11" t="s">
        <v>11</v>
      </c>
      <c r="G209" s="12"/>
      <c r="H209" s="11" t="s">
        <v>12</v>
      </c>
      <c r="I209" s="12"/>
      <c r="J209" s="11" t="s">
        <v>13</v>
      </c>
      <c r="K209" s="12"/>
    </row>
    <row r="210" ht="14.25" customHeight="1">
      <c r="A210" s="13"/>
      <c r="B210" s="13">
        <v>2.0</v>
      </c>
      <c r="C210" s="14" t="s">
        <v>14</v>
      </c>
      <c r="D210" s="15"/>
      <c r="E210" s="15"/>
      <c r="F210" s="14" t="s">
        <v>15</v>
      </c>
      <c r="G210" s="15"/>
      <c r="H210" s="14" t="s">
        <v>16</v>
      </c>
      <c r="I210" s="15"/>
      <c r="J210" s="14" t="s">
        <v>17</v>
      </c>
      <c r="K210" s="15"/>
    </row>
    <row r="211" ht="14.25" customHeight="1">
      <c r="A211" s="10"/>
      <c r="B211" s="10">
        <v>3.0</v>
      </c>
      <c r="C211" s="11" t="s">
        <v>18</v>
      </c>
      <c r="D211" s="12"/>
      <c r="E211" s="12"/>
      <c r="F211" s="11" t="s">
        <v>19</v>
      </c>
      <c r="G211" s="12"/>
      <c r="H211" s="11" t="s">
        <v>20</v>
      </c>
      <c r="I211" s="12"/>
      <c r="J211" s="11" t="s">
        <v>21</v>
      </c>
      <c r="K211" s="12"/>
    </row>
    <row r="212" ht="14.25" customHeight="1">
      <c r="A212" s="13"/>
      <c r="B212" s="13">
        <v>4.0</v>
      </c>
      <c r="C212" s="14" t="s">
        <v>22</v>
      </c>
      <c r="D212" s="15"/>
      <c r="E212" s="15"/>
      <c r="F212" s="14" t="s">
        <v>23</v>
      </c>
      <c r="G212" s="15"/>
      <c r="H212" s="14" t="s">
        <v>24</v>
      </c>
      <c r="I212" s="15"/>
      <c r="J212" s="14" t="s">
        <v>25</v>
      </c>
      <c r="K212" s="15"/>
    </row>
    <row r="213" ht="14.25" customHeight="1">
      <c r="A213" s="10"/>
      <c r="B213" s="10">
        <v>5.0</v>
      </c>
      <c r="C213" s="11" t="s">
        <v>26</v>
      </c>
      <c r="D213" s="12"/>
      <c r="E213" s="12"/>
      <c r="F213" s="11" t="s">
        <v>27</v>
      </c>
      <c r="G213" s="12"/>
      <c r="H213" s="11" t="s">
        <v>28</v>
      </c>
      <c r="I213" s="12"/>
      <c r="J213" s="11" t="s">
        <v>29</v>
      </c>
      <c r="K213" s="12"/>
    </row>
    <row r="214" ht="14.25" customHeight="1">
      <c r="A214" s="13"/>
      <c r="B214" s="13">
        <v>6.0</v>
      </c>
      <c r="C214" s="14" t="s">
        <v>30</v>
      </c>
      <c r="D214" s="15"/>
      <c r="E214" s="15"/>
      <c r="F214" s="14" t="s">
        <v>31</v>
      </c>
      <c r="G214" s="15"/>
      <c r="H214" s="14" t="s">
        <v>32</v>
      </c>
      <c r="I214" s="15"/>
      <c r="J214" s="14" t="s">
        <v>33</v>
      </c>
      <c r="K214" s="15"/>
    </row>
    <row r="215" ht="14.25" customHeight="1">
      <c r="A215" s="10"/>
      <c r="B215" s="10">
        <v>7.0</v>
      </c>
      <c r="C215" s="11" t="s">
        <v>34</v>
      </c>
      <c r="D215" s="12"/>
      <c r="E215" s="12"/>
      <c r="F215" s="11" t="s">
        <v>35</v>
      </c>
      <c r="G215" s="12"/>
      <c r="H215" s="11" t="s">
        <v>36</v>
      </c>
      <c r="I215" s="12"/>
      <c r="J215" s="11" t="s">
        <v>37</v>
      </c>
      <c r="K215" s="12"/>
    </row>
    <row r="216" ht="14.25" customHeight="1">
      <c r="A216" s="13"/>
      <c r="B216" s="13">
        <v>8.0</v>
      </c>
      <c r="C216" s="14" t="s">
        <v>38</v>
      </c>
      <c r="D216" s="15"/>
      <c r="E216" s="15"/>
      <c r="F216" s="14" t="s">
        <v>39</v>
      </c>
      <c r="G216" s="15"/>
      <c r="H216" s="14" t="s">
        <v>40</v>
      </c>
      <c r="I216" s="15"/>
      <c r="J216" s="14" t="s">
        <v>41</v>
      </c>
      <c r="K216" s="15"/>
    </row>
    <row r="217" ht="14.25" customHeight="1">
      <c r="A217" s="10"/>
      <c r="B217" s="10">
        <v>9.0</v>
      </c>
      <c r="C217" s="11" t="s">
        <v>42</v>
      </c>
      <c r="D217" s="12"/>
      <c r="E217" s="12"/>
      <c r="F217" s="11" t="s">
        <v>43</v>
      </c>
      <c r="G217" s="12"/>
      <c r="H217" s="11" t="s">
        <v>44</v>
      </c>
      <c r="I217" s="12"/>
      <c r="J217" s="11" t="s">
        <v>45</v>
      </c>
      <c r="K217" s="12"/>
    </row>
    <row r="218" ht="14.25" customHeight="1">
      <c r="A218" s="13"/>
      <c r="B218" s="13">
        <v>10.0</v>
      </c>
      <c r="C218" s="14" t="s">
        <v>46</v>
      </c>
      <c r="D218" s="15"/>
      <c r="E218" s="15"/>
      <c r="F218" s="14" t="s">
        <v>47</v>
      </c>
      <c r="G218" s="15"/>
      <c r="H218" s="14" t="s">
        <v>48</v>
      </c>
      <c r="I218" s="15"/>
      <c r="J218" s="14" t="s">
        <v>49</v>
      </c>
      <c r="K218" s="15"/>
    </row>
    <row r="219" ht="14.25" customHeight="1">
      <c r="A219" s="10"/>
      <c r="B219" s="10">
        <v>11.0</v>
      </c>
      <c r="C219" s="11" t="s">
        <v>50</v>
      </c>
      <c r="D219" s="12"/>
      <c r="E219" s="12"/>
      <c r="F219" s="11" t="s">
        <v>51</v>
      </c>
      <c r="G219" s="12"/>
      <c r="H219" s="11" t="s">
        <v>52</v>
      </c>
      <c r="I219" s="12"/>
      <c r="J219" s="11" t="s">
        <v>53</v>
      </c>
      <c r="K219" s="12"/>
    </row>
    <row r="220" ht="14.25" customHeight="1">
      <c r="A220" s="13"/>
      <c r="B220" s="13">
        <v>12.0</v>
      </c>
      <c r="C220" s="14" t="s">
        <v>54</v>
      </c>
      <c r="D220" s="15"/>
      <c r="E220" s="15"/>
      <c r="F220" s="14" t="s">
        <v>55</v>
      </c>
      <c r="G220" s="15"/>
      <c r="H220" s="14" t="s">
        <v>56</v>
      </c>
      <c r="I220" s="15"/>
      <c r="J220" s="14" t="s">
        <v>57</v>
      </c>
      <c r="K220" s="15"/>
    </row>
    <row r="221" ht="14.25" customHeight="1">
      <c r="A221" s="10"/>
      <c r="B221" s="10">
        <v>13.0</v>
      </c>
      <c r="C221" s="11" t="s">
        <v>58</v>
      </c>
      <c r="D221" s="12"/>
      <c r="E221" s="12"/>
      <c r="F221" s="11" t="s">
        <v>59</v>
      </c>
      <c r="G221" s="12"/>
      <c r="H221" s="11" t="s">
        <v>60</v>
      </c>
      <c r="I221" s="12"/>
      <c r="J221" s="11" t="s">
        <v>61</v>
      </c>
      <c r="K221" s="12"/>
    </row>
    <row r="222" ht="14.25" customHeight="1">
      <c r="A222" s="13"/>
      <c r="B222" s="13">
        <v>14.0</v>
      </c>
      <c r="C222" s="14" t="s">
        <v>62</v>
      </c>
      <c r="D222" s="15"/>
      <c r="E222" s="15"/>
      <c r="F222" s="14" t="s">
        <v>63</v>
      </c>
      <c r="G222" s="15"/>
      <c r="H222" s="14" t="s">
        <v>64</v>
      </c>
      <c r="I222" s="15"/>
      <c r="J222" s="14" t="s">
        <v>65</v>
      </c>
      <c r="K222" s="15"/>
    </row>
    <row r="223" ht="14.25" customHeight="1">
      <c r="A223" s="10"/>
      <c r="B223" s="10">
        <v>15.0</v>
      </c>
      <c r="C223" s="11" t="s">
        <v>66</v>
      </c>
      <c r="D223" s="12"/>
      <c r="E223" s="12"/>
      <c r="F223" s="11" t="s">
        <v>67</v>
      </c>
      <c r="G223" s="12"/>
      <c r="H223" s="11" t="s">
        <v>48</v>
      </c>
      <c r="I223" s="12"/>
      <c r="J223" s="11" t="s">
        <v>68</v>
      </c>
      <c r="K223" s="12"/>
    </row>
    <row r="224" ht="14.25" customHeight="1">
      <c r="A224" s="13"/>
      <c r="B224" s="13">
        <v>16.0</v>
      </c>
      <c r="C224" s="14" t="s">
        <v>69</v>
      </c>
      <c r="D224" s="15"/>
      <c r="E224" s="15"/>
      <c r="F224" s="14" t="s">
        <v>70</v>
      </c>
      <c r="G224" s="15"/>
      <c r="H224" s="14" t="s">
        <v>48</v>
      </c>
      <c r="I224" s="15"/>
      <c r="J224" s="14" t="s">
        <v>71</v>
      </c>
      <c r="K224" s="15"/>
    </row>
    <row r="225" ht="14.25" customHeight="1">
      <c r="A225" s="10"/>
      <c r="B225" s="10">
        <v>17.0</v>
      </c>
      <c r="C225" s="11" t="s">
        <v>72</v>
      </c>
      <c r="D225" s="12"/>
      <c r="E225" s="12"/>
      <c r="F225" s="11" t="s">
        <v>73</v>
      </c>
      <c r="G225" s="12"/>
      <c r="H225" s="11" t="s">
        <v>48</v>
      </c>
      <c r="I225" s="12"/>
      <c r="J225" s="11" t="s">
        <v>74</v>
      </c>
      <c r="K225" s="12"/>
    </row>
    <row r="226" ht="14.25" customHeight="1">
      <c r="A226" s="13"/>
      <c r="B226" s="13">
        <v>18.0</v>
      </c>
      <c r="C226" s="14" t="s">
        <v>75</v>
      </c>
      <c r="D226" s="15"/>
      <c r="E226" s="15"/>
      <c r="F226" s="14" t="s">
        <v>59</v>
      </c>
      <c r="G226" s="15"/>
      <c r="H226" s="14" t="s">
        <v>60</v>
      </c>
      <c r="I226" s="15"/>
      <c r="J226" s="14" t="s">
        <v>76</v>
      </c>
      <c r="K226" s="15"/>
    </row>
    <row r="227" ht="14.25" customHeight="1">
      <c r="A227" s="10"/>
      <c r="B227" s="10">
        <v>19.0</v>
      </c>
      <c r="C227" s="11" t="s">
        <v>77</v>
      </c>
      <c r="D227" s="12"/>
      <c r="E227" s="12"/>
      <c r="F227" s="11" t="s">
        <v>78</v>
      </c>
      <c r="G227" s="12"/>
      <c r="H227" s="11" t="s">
        <v>79</v>
      </c>
      <c r="I227" s="12"/>
      <c r="J227" s="11" t="s">
        <v>80</v>
      </c>
      <c r="K227" s="12"/>
    </row>
    <row r="228" ht="14.25" customHeight="1">
      <c r="A228" s="13"/>
      <c r="B228" s="13">
        <v>20.0</v>
      </c>
      <c r="C228" s="14" t="s">
        <v>81</v>
      </c>
      <c r="D228" s="15"/>
      <c r="E228" s="15"/>
      <c r="F228" s="14" t="s">
        <v>82</v>
      </c>
      <c r="G228" s="15"/>
      <c r="H228" s="14" t="s">
        <v>83</v>
      </c>
      <c r="I228" s="15"/>
      <c r="J228" s="14" t="s">
        <v>84</v>
      </c>
      <c r="K228" s="15"/>
    </row>
    <row r="229" ht="14.25" customHeight="1">
      <c r="A229" s="10"/>
      <c r="B229" s="10">
        <v>21.0</v>
      </c>
      <c r="C229" s="11" t="s">
        <v>85</v>
      </c>
      <c r="D229" s="12"/>
      <c r="E229" s="12"/>
      <c r="F229" s="11" t="s">
        <v>86</v>
      </c>
      <c r="G229" s="12"/>
      <c r="H229" s="11" t="s">
        <v>60</v>
      </c>
      <c r="I229" s="12"/>
      <c r="J229" s="11" t="s">
        <v>87</v>
      </c>
      <c r="K229" s="12"/>
    </row>
    <row r="230" ht="14.25" customHeight="1">
      <c r="A230" s="13"/>
      <c r="B230" s="13">
        <v>22.0</v>
      </c>
      <c r="C230" s="14" t="s">
        <v>88</v>
      </c>
      <c r="D230" s="15"/>
      <c r="E230" s="15"/>
      <c r="F230" s="14" t="s">
        <v>86</v>
      </c>
      <c r="G230" s="15"/>
      <c r="H230" s="14" t="s">
        <v>60</v>
      </c>
      <c r="I230" s="15"/>
      <c r="J230" s="14" t="s">
        <v>89</v>
      </c>
      <c r="K230" s="15"/>
    </row>
    <row r="231" ht="14.25" customHeight="1">
      <c r="A231" s="10"/>
      <c r="B231" s="10">
        <v>23.0</v>
      </c>
      <c r="C231" s="11" t="s">
        <v>90</v>
      </c>
      <c r="D231" s="12"/>
      <c r="E231" s="12"/>
      <c r="F231" s="11" t="s">
        <v>91</v>
      </c>
      <c r="G231" s="12"/>
      <c r="H231" s="11" t="s">
        <v>92</v>
      </c>
      <c r="I231" s="12"/>
      <c r="J231" s="11" t="s">
        <v>93</v>
      </c>
      <c r="K231" s="12"/>
    </row>
    <row r="232" ht="14.25" customHeight="1">
      <c r="A232" s="13"/>
      <c r="B232" s="13">
        <v>24.0</v>
      </c>
      <c r="C232" s="14" t="s">
        <v>94</v>
      </c>
      <c r="D232" s="15"/>
      <c r="E232" s="15"/>
      <c r="F232" s="14" t="s">
        <v>95</v>
      </c>
      <c r="G232" s="15"/>
      <c r="H232" s="14" t="s">
        <v>96</v>
      </c>
      <c r="I232" s="15"/>
      <c r="J232" s="14" t="s">
        <v>97</v>
      </c>
      <c r="K232" s="15"/>
    </row>
    <row r="233" ht="14.25" customHeight="1">
      <c r="A233" s="10"/>
      <c r="B233" s="10">
        <v>25.0</v>
      </c>
      <c r="C233" s="11" t="s">
        <v>98</v>
      </c>
      <c r="D233" s="12"/>
      <c r="E233" s="12"/>
      <c r="F233" s="11" t="s">
        <v>86</v>
      </c>
      <c r="G233" s="12"/>
      <c r="H233" s="11" t="s">
        <v>60</v>
      </c>
      <c r="I233" s="12"/>
      <c r="J233" s="11" t="s">
        <v>99</v>
      </c>
      <c r="K233" s="12"/>
    </row>
    <row r="234" ht="14.25" customHeight="1">
      <c r="A234" s="13"/>
      <c r="B234" s="13">
        <v>26.0</v>
      </c>
      <c r="C234" s="14" t="s">
        <v>100</v>
      </c>
      <c r="D234" s="15"/>
      <c r="E234" s="15"/>
      <c r="F234" s="14" t="s">
        <v>101</v>
      </c>
      <c r="G234" s="15"/>
      <c r="H234" s="14" t="s">
        <v>102</v>
      </c>
      <c r="I234" s="15"/>
      <c r="J234" s="14" t="s">
        <v>103</v>
      </c>
      <c r="K234" s="15"/>
    </row>
    <row r="235" ht="14.25" customHeight="1">
      <c r="A235" s="10"/>
      <c r="B235" s="10">
        <v>27.0</v>
      </c>
      <c r="C235" s="11" t="s">
        <v>104</v>
      </c>
      <c r="D235" s="12"/>
      <c r="E235" s="12"/>
      <c r="F235" s="11" t="s">
        <v>105</v>
      </c>
      <c r="G235" s="12"/>
      <c r="H235" s="11" t="s">
        <v>48</v>
      </c>
      <c r="I235" s="12"/>
      <c r="J235" s="11" t="s">
        <v>106</v>
      </c>
      <c r="K235" s="12"/>
    </row>
    <row r="236" ht="14.25" customHeight="1">
      <c r="A236" s="13"/>
      <c r="B236" s="13">
        <v>28.0</v>
      </c>
      <c r="C236" s="14" t="s">
        <v>107</v>
      </c>
      <c r="D236" s="15"/>
      <c r="E236" s="15"/>
      <c r="F236" s="14" t="s">
        <v>108</v>
      </c>
      <c r="G236" s="15"/>
      <c r="H236" s="14" t="s">
        <v>48</v>
      </c>
      <c r="I236" s="15"/>
      <c r="J236" s="14" t="s">
        <v>109</v>
      </c>
      <c r="K236" s="15"/>
    </row>
    <row r="237" ht="14.25" customHeight="1">
      <c r="A237" s="10"/>
      <c r="B237" s="10">
        <v>29.0</v>
      </c>
      <c r="C237" s="11" t="s">
        <v>110</v>
      </c>
      <c r="D237" s="12"/>
      <c r="E237" s="12"/>
      <c r="F237" s="11" t="s">
        <v>111</v>
      </c>
      <c r="G237" s="12"/>
      <c r="H237" s="11" t="s">
        <v>48</v>
      </c>
      <c r="I237" s="12"/>
      <c r="J237" s="11" t="s">
        <v>112</v>
      </c>
      <c r="K237" s="12"/>
    </row>
    <row r="238" ht="14.25" customHeight="1">
      <c r="A238" s="13"/>
      <c r="B238" s="13">
        <v>30.0</v>
      </c>
      <c r="C238" s="14" t="s">
        <v>113</v>
      </c>
      <c r="D238" s="15"/>
      <c r="E238" s="15"/>
      <c r="F238" s="14" t="s">
        <v>114</v>
      </c>
      <c r="G238" s="15"/>
      <c r="H238" s="14" t="s">
        <v>115</v>
      </c>
      <c r="I238" s="15"/>
      <c r="J238" s="14" t="s">
        <v>116</v>
      </c>
      <c r="K238" s="15"/>
    </row>
    <row r="239" ht="14.25" customHeight="1">
      <c r="A239" s="10"/>
      <c r="B239" s="10">
        <v>31.0</v>
      </c>
      <c r="C239" s="11" t="s">
        <v>117</v>
      </c>
      <c r="D239" s="12"/>
      <c r="E239" s="12"/>
      <c r="F239" s="11" t="s">
        <v>118</v>
      </c>
      <c r="G239" s="12"/>
      <c r="H239" s="11" t="s">
        <v>119</v>
      </c>
      <c r="I239" s="12"/>
      <c r="J239" s="11" t="s">
        <v>120</v>
      </c>
      <c r="K239" s="12"/>
    </row>
    <row r="240" ht="14.25" customHeight="1">
      <c r="A240" s="13"/>
      <c r="B240" s="13">
        <v>32.0</v>
      </c>
      <c r="C240" s="14" t="s">
        <v>121</v>
      </c>
      <c r="D240" s="15"/>
      <c r="E240" s="15"/>
      <c r="F240" s="14" t="s">
        <v>122</v>
      </c>
      <c r="G240" s="15"/>
      <c r="H240" s="14" t="s">
        <v>56</v>
      </c>
      <c r="I240" s="15"/>
      <c r="J240" s="14" t="s">
        <v>123</v>
      </c>
      <c r="K240" s="15"/>
    </row>
    <row r="241" ht="14.25" customHeight="1">
      <c r="A241" s="10"/>
      <c r="B241" s="10">
        <v>33.0</v>
      </c>
      <c r="C241" s="11" t="s">
        <v>124</v>
      </c>
      <c r="D241" s="12"/>
      <c r="E241" s="12"/>
      <c r="F241" s="11" t="s">
        <v>125</v>
      </c>
      <c r="G241" s="12"/>
      <c r="H241" s="11" t="s">
        <v>126</v>
      </c>
      <c r="I241" s="12"/>
      <c r="J241" s="11" t="s">
        <v>127</v>
      </c>
      <c r="K241" s="12"/>
    </row>
    <row r="242" ht="14.25" customHeight="1">
      <c r="A242" s="13"/>
      <c r="B242" s="13">
        <v>34.0</v>
      </c>
      <c r="C242" s="14" t="s">
        <v>128</v>
      </c>
      <c r="D242" s="15"/>
      <c r="E242" s="15"/>
      <c r="F242" s="14" t="s">
        <v>129</v>
      </c>
      <c r="G242" s="15"/>
      <c r="H242" s="14" t="s">
        <v>130</v>
      </c>
      <c r="I242" s="15"/>
      <c r="J242" s="14" t="s">
        <v>131</v>
      </c>
      <c r="K242" s="15"/>
    </row>
    <row r="243" ht="14.25" customHeight="1">
      <c r="A243" s="10"/>
      <c r="B243" s="10">
        <v>35.0</v>
      </c>
      <c r="C243" s="11" t="s">
        <v>132</v>
      </c>
      <c r="D243" s="12"/>
      <c r="E243" s="12"/>
      <c r="F243" s="11" t="s">
        <v>133</v>
      </c>
      <c r="G243" s="12"/>
      <c r="H243" s="11" t="s">
        <v>134</v>
      </c>
      <c r="I243" s="12"/>
      <c r="J243" s="11" t="s">
        <v>135</v>
      </c>
      <c r="K243" s="12"/>
    </row>
    <row r="244" ht="14.25" customHeight="1">
      <c r="A244" s="13"/>
      <c r="B244" s="13">
        <v>36.0</v>
      </c>
      <c r="C244" s="14" t="s">
        <v>136</v>
      </c>
      <c r="D244" s="15"/>
      <c r="E244" s="15"/>
      <c r="F244" s="14" t="s">
        <v>137</v>
      </c>
      <c r="G244" s="15"/>
      <c r="H244" s="14" t="s">
        <v>138</v>
      </c>
      <c r="I244" s="15"/>
      <c r="J244" s="14" t="s">
        <v>139</v>
      </c>
      <c r="K244" s="15"/>
    </row>
    <row r="245" ht="14.25" customHeight="1">
      <c r="A245" s="10"/>
      <c r="B245" s="10">
        <v>37.0</v>
      </c>
      <c r="C245" s="11" t="s">
        <v>140</v>
      </c>
      <c r="D245" s="12"/>
      <c r="E245" s="12"/>
      <c r="F245" s="11" t="s">
        <v>141</v>
      </c>
      <c r="G245" s="12"/>
      <c r="H245" s="11" t="s">
        <v>142</v>
      </c>
      <c r="I245" s="12"/>
      <c r="J245" s="11" t="s">
        <v>143</v>
      </c>
      <c r="K245" s="12"/>
    </row>
    <row r="246" ht="14.25" customHeight="1">
      <c r="A246" s="13"/>
      <c r="B246" s="13">
        <v>38.0</v>
      </c>
      <c r="C246" s="14" t="s">
        <v>144</v>
      </c>
      <c r="D246" s="15"/>
      <c r="E246" s="15"/>
      <c r="F246" s="14" t="s">
        <v>145</v>
      </c>
      <c r="G246" s="15"/>
      <c r="H246" s="14" t="s">
        <v>146</v>
      </c>
      <c r="I246" s="15"/>
      <c r="J246" s="14" t="s">
        <v>147</v>
      </c>
      <c r="K246" s="15"/>
    </row>
    <row r="247" ht="14.25" customHeight="1">
      <c r="A247" s="10"/>
      <c r="B247" s="10">
        <v>39.0</v>
      </c>
      <c r="C247" s="11" t="s">
        <v>148</v>
      </c>
      <c r="D247" s="12"/>
      <c r="E247" s="12"/>
      <c r="F247" s="11" t="s">
        <v>149</v>
      </c>
      <c r="G247" s="12"/>
      <c r="H247" s="11" t="s">
        <v>150</v>
      </c>
      <c r="I247" s="12"/>
      <c r="J247" s="11" t="s">
        <v>151</v>
      </c>
      <c r="K247" s="12"/>
    </row>
    <row r="248" ht="14.25" customHeight="1">
      <c r="A248" s="13"/>
      <c r="B248" s="13">
        <v>40.0</v>
      </c>
      <c r="C248" s="14" t="s">
        <v>152</v>
      </c>
      <c r="D248" s="15"/>
      <c r="E248" s="15"/>
      <c r="F248" s="14" t="s">
        <v>153</v>
      </c>
      <c r="G248" s="15"/>
      <c r="H248" s="14" t="s">
        <v>154</v>
      </c>
      <c r="I248" s="15"/>
      <c r="J248" s="14" t="s">
        <v>155</v>
      </c>
      <c r="K248" s="15"/>
    </row>
    <row r="249" ht="14.25" customHeight="1">
      <c r="A249" s="10"/>
      <c r="B249" s="10">
        <v>41.0</v>
      </c>
      <c r="C249" s="11" t="s">
        <v>156</v>
      </c>
      <c r="D249" s="12"/>
      <c r="E249" s="12"/>
      <c r="F249" s="11" t="s">
        <v>157</v>
      </c>
      <c r="G249" s="12"/>
      <c r="H249" s="11" t="s">
        <v>158</v>
      </c>
      <c r="I249" s="12"/>
      <c r="J249" s="11" t="s">
        <v>159</v>
      </c>
      <c r="K249" s="12"/>
    </row>
    <row r="250" ht="14.25" customHeight="1">
      <c r="A250" s="13"/>
      <c r="B250" s="13">
        <v>42.0</v>
      </c>
      <c r="C250" s="14" t="s">
        <v>160</v>
      </c>
      <c r="D250" s="15"/>
      <c r="E250" s="15"/>
      <c r="F250" s="14" t="s">
        <v>161</v>
      </c>
      <c r="G250" s="15"/>
      <c r="H250" s="14" t="s">
        <v>162</v>
      </c>
      <c r="I250" s="15"/>
      <c r="J250" s="14" t="s">
        <v>163</v>
      </c>
      <c r="K250" s="15"/>
    </row>
    <row r="251" ht="14.25" customHeight="1">
      <c r="A251" s="10"/>
      <c r="B251" s="10">
        <v>43.0</v>
      </c>
      <c r="C251" s="11" t="s">
        <v>164</v>
      </c>
      <c r="D251" s="12"/>
      <c r="E251" s="12"/>
      <c r="F251" s="11" t="s">
        <v>165</v>
      </c>
      <c r="G251" s="12"/>
      <c r="H251" s="11" t="s">
        <v>166</v>
      </c>
      <c r="I251" s="12"/>
      <c r="J251" s="11" t="s">
        <v>167</v>
      </c>
      <c r="K251" s="12"/>
    </row>
    <row r="252" ht="14.25" customHeight="1">
      <c r="A252" s="13"/>
      <c r="B252" s="13">
        <v>44.0</v>
      </c>
      <c r="C252" s="14" t="s">
        <v>168</v>
      </c>
      <c r="D252" s="15"/>
      <c r="E252" s="15"/>
      <c r="F252" s="14" t="s">
        <v>169</v>
      </c>
      <c r="G252" s="15"/>
      <c r="H252" s="14" t="s">
        <v>170</v>
      </c>
      <c r="I252" s="15"/>
      <c r="J252" s="14" t="s">
        <v>171</v>
      </c>
      <c r="K252" s="15"/>
    </row>
    <row r="253" ht="14.25" customHeight="1">
      <c r="A253" s="10"/>
      <c r="B253" s="10">
        <v>45.0</v>
      </c>
      <c r="C253" s="11" t="s">
        <v>172</v>
      </c>
      <c r="D253" s="12"/>
      <c r="E253" s="12"/>
      <c r="F253" s="11" t="s">
        <v>173</v>
      </c>
      <c r="G253" s="12"/>
      <c r="H253" s="11" t="s">
        <v>174</v>
      </c>
      <c r="I253" s="12"/>
      <c r="J253" s="11" t="s">
        <v>175</v>
      </c>
      <c r="K253" s="12"/>
    </row>
    <row r="254" ht="14.25" customHeight="1">
      <c r="A254" s="13"/>
      <c r="B254" s="13">
        <v>46.0</v>
      </c>
      <c r="C254" s="14" t="s">
        <v>176</v>
      </c>
      <c r="D254" s="15"/>
      <c r="E254" s="15"/>
      <c r="F254" s="14" t="s">
        <v>177</v>
      </c>
      <c r="G254" s="15"/>
      <c r="H254" s="14" t="s">
        <v>178</v>
      </c>
      <c r="I254" s="15"/>
      <c r="J254" s="14" t="s">
        <v>179</v>
      </c>
      <c r="K254" s="15"/>
    </row>
    <row r="255" ht="14.25" customHeight="1">
      <c r="A255" s="10"/>
      <c r="B255" s="10">
        <v>47.0</v>
      </c>
      <c r="C255" s="11" t="s">
        <v>180</v>
      </c>
      <c r="D255" s="12"/>
      <c r="E255" s="12"/>
      <c r="F255" s="11" t="s">
        <v>181</v>
      </c>
      <c r="G255" s="12"/>
      <c r="H255" s="11" t="s">
        <v>182</v>
      </c>
      <c r="I255" s="12"/>
      <c r="J255" s="11" t="s">
        <v>183</v>
      </c>
      <c r="K255" s="12"/>
    </row>
    <row r="256" ht="14.25" customHeight="1">
      <c r="A256" s="13"/>
      <c r="B256" s="13">
        <v>48.0</v>
      </c>
      <c r="C256" s="14" t="s">
        <v>184</v>
      </c>
      <c r="D256" s="15"/>
      <c r="E256" s="15"/>
      <c r="F256" s="14" t="s">
        <v>185</v>
      </c>
      <c r="G256" s="15"/>
      <c r="H256" s="14" t="s">
        <v>186</v>
      </c>
      <c r="I256" s="15"/>
      <c r="J256" s="14" t="s">
        <v>187</v>
      </c>
      <c r="K256" s="15"/>
    </row>
    <row r="257" ht="14.25" customHeight="1">
      <c r="A257" s="10"/>
      <c r="B257" s="10">
        <v>49.0</v>
      </c>
      <c r="C257" s="11" t="s">
        <v>188</v>
      </c>
      <c r="D257" s="12"/>
      <c r="E257" s="12"/>
      <c r="F257" s="11" t="s">
        <v>189</v>
      </c>
      <c r="H257" s="11" t="s">
        <v>190</v>
      </c>
      <c r="I257" s="12"/>
      <c r="J257" s="11" t="s">
        <v>191</v>
      </c>
      <c r="K257" s="12"/>
    </row>
    <row r="258" ht="14.25" customHeight="1">
      <c r="A258" s="13"/>
      <c r="B258" s="13">
        <v>50.0</v>
      </c>
      <c r="C258" s="14" t="s">
        <v>192</v>
      </c>
      <c r="D258" s="15"/>
      <c r="E258" s="15"/>
      <c r="F258" s="14" t="s">
        <v>193</v>
      </c>
      <c r="G258" s="15"/>
      <c r="H258" s="14" t="s">
        <v>194</v>
      </c>
      <c r="I258" s="15"/>
      <c r="J258" s="14" t="s">
        <v>195</v>
      </c>
      <c r="K258" s="15"/>
    </row>
    <row r="259" ht="14.25" customHeight="1">
      <c r="A259" s="10"/>
      <c r="B259" s="10">
        <v>51.0</v>
      </c>
      <c r="C259" s="11" t="s">
        <v>196</v>
      </c>
      <c r="D259" s="12"/>
      <c r="E259" s="12"/>
      <c r="F259" s="11" t="s">
        <v>197</v>
      </c>
      <c r="G259" s="12"/>
      <c r="H259" s="11" t="s">
        <v>60</v>
      </c>
      <c r="I259" s="12"/>
      <c r="J259" s="11" t="s">
        <v>198</v>
      </c>
      <c r="K259" s="12"/>
    </row>
    <row r="260" ht="14.25" customHeight="1">
      <c r="A260" s="13"/>
      <c r="B260" s="13">
        <v>52.0</v>
      </c>
      <c r="C260" s="14" t="s">
        <v>199</v>
      </c>
      <c r="D260" s="15"/>
      <c r="E260" s="15"/>
      <c r="F260" s="14" t="s">
        <v>200</v>
      </c>
      <c r="G260" s="15"/>
      <c r="H260" s="14" t="s">
        <v>201</v>
      </c>
      <c r="I260" s="15"/>
      <c r="J260" s="14" t="s">
        <v>202</v>
      </c>
      <c r="K260" s="15"/>
    </row>
    <row r="261" ht="14.25" customHeight="1">
      <c r="A261" s="10"/>
      <c r="B261" s="10">
        <v>53.0</v>
      </c>
      <c r="C261" s="11" t="s">
        <v>203</v>
      </c>
      <c r="D261" s="12"/>
      <c r="E261" s="12"/>
      <c r="F261" s="11" t="s">
        <v>204</v>
      </c>
      <c r="G261" s="12"/>
      <c r="H261" s="11" t="s">
        <v>146</v>
      </c>
      <c r="I261" s="12"/>
      <c r="J261" s="11" t="s">
        <v>205</v>
      </c>
      <c r="K261" s="12"/>
    </row>
    <row r="262" ht="14.25" customHeight="1">
      <c r="A262" s="13"/>
      <c r="B262" s="13">
        <v>54.0</v>
      </c>
      <c r="C262" s="14" t="s">
        <v>206</v>
      </c>
      <c r="D262" s="15"/>
      <c r="E262" s="15"/>
      <c r="F262" s="14" t="s">
        <v>207</v>
      </c>
      <c r="G262" s="15"/>
      <c r="H262" s="14" t="s">
        <v>208</v>
      </c>
      <c r="I262" s="15"/>
      <c r="J262" s="14" t="s">
        <v>209</v>
      </c>
      <c r="K262" s="15"/>
    </row>
    <row r="263" ht="14.25" customHeight="1">
      <c r="A263" s="10"/>
      <c r="B263" s="10">
        <v>55.0</v>
      </c>
      <c r="C263" s="11" t="s">
        <v>210</v>
      </c>
      <c r="D263" s="12"/>
      <c r="E263" s="12"/>
      <c r="F263" s="11" t="s">
        <v>129</v>
      </c>
      <c r="G263" s="12"/>
      <c r="H263" s="11" t="s">
        <v>130</v>
      </c>
      <c r="I263" s="12"/>
      <c r="J263" s="11" t="s">
        <v>211</v>
      </c>
      <c r="K263" s="12"/>
    </row>
    <row r="264" ht="14.25" customHeight="1">
      <c r="A264" s="13"/>
      <c r="B264" s="13">
        <v>56.0</v>
      </c>
      <c r="C264" s="14" t="s">
        <v>212</v>
      </c>
      <c r="D264" s="15"/>
      <c r="E264" s="15"/>
      <c r="F264" s="14" t="s">
        <v>213</v>
      </c>
      <c r="G264" s="15"/>
      <c r="H264" s="14" t="s">
        <v>214</v>
      </c>
      <c r="I264" s="15"/>
      <c r="J264" s="14" t="s">
        <v>215</v>
      </c>
      <c r="K264" s="15"/>
    </row>
    <row r="265" ht="14.25" customHeight="1">
      <c r="A265" s="10"/>
      <c r="B265" s="10">
        <v>57.0</v>
      </c>
      <c r="C265" s="11" t="s">
        <v>216</v>
      </c>
      <c r="D265" s="12"/>
      <c r="E265" s="12"/>
      <c r="F265" s="11" t="s">
        <v>217</v>
      </c>
      <c r="G265" s="12"/>
      <c r="H265" s="11" t="s">
        <v>218</v>
      </c>
      <c r="I265" s="12"/>
      <c r="J265" s="11" t="s">
        <v>219</v>
      </c>
      <c r="K265" s="12"/>
    </row>
    <row r="266" ht="14.25" customHeight="1">
      <c r="A266" s="13"/>
      <c r="B266" s="13">
        <v>58.0</v>
      </c>
      <c r="C266" s="14" t="s">
        <v>220</v>
      </c>
      <c r="D266" s="15"/>
      <c r="E266" s="15"/>
      <c r="F266" s="14" t="s">
        <v>221</v>
      </c>
      <c r="G266" s="15"/>
      <c r="H266" s="14" t="s">
        <v>134</v>
      </c>
      <c r="I266" s="15"/>
      <c r="J266" s="14" t="s">
        <v>222</v>
      </c>
      <c r="K266" s="15"/>
    </row>
    <row r="267" ht="14.25" customHeight="1">
      <c r="A267" s="10"/>
      <c r="B267" s="10">
        <v>59.0</v>
      </c>
      <c r="C267" s="11" t="s">
        <v>223</v>
      </c>
      <c r="D267" s="12"/>
      <c r="E267" s="12"/>
      <c r="F267" s="11" t="s">
        <v>224</v>
      </c>
      <c r="G267" s="12"/>
      <c r="H267" s="11" t="s">
        <v>225</v>
      </c>
      <c r="I267" s="12"/>
      <c r="J267" s="11" t="s">
        <v>226</v>
      </c>
      <c r="K267" s="12"/>
    </row>
    <row r="268" ht="14.25" customHeight="1">
      <c r="A268" s="13"/>
      <c r="B268" s="13">
        <v>60.0</v>
      </c>
      <c r="C268" s="14" t="s">
        <v>227</v>
      </c>
      <c r="D268" s="15"/>
      <c r="E268" s="15"/>
      <c r="F268" s="14" t="s">
        <v>228</v>
      </c>
      <c r="G268" s="15"/>
      <c r="H268" s="14" t="s">
        <v>229</v>
      </c>
      <c r="I268" s="15"/>
      <c r="J268" s="14" t="s">
        <v>230</v>
      </c>
      <c r="K268" s="15"/>
    </row>
    <row r="269" ht="14.25" customHeight="1">
      <c r="A269" s="10"/>
      <c r="B269" s="10">
        <v>61.0</v>
      </c>
      <c r="C269" s="11" t="s">
        <v>231</v>
      </c>
      <c r="D269" s="12"/>
      <c r="E269" s="12"/>
      <c r="F269" s="11" t="s">
        <v>232</v>
      </c>
      <c r="G269" s="12"/>
      <c r="H269" s="11" t="s">
        <v>233</v>
      </c>
      <c r="I269" s="12"/>
      <c r="J269" s="11" t="s">
        <v>234</v>
      </c>
      <c r="K269" s="12"/>
    </row>
    <row r="270" ht="14.25" customHeight="1">
      <c r="A270" s="13"/>
      <c r="B270" s="13">
        <v>62.0</v>
      </c>
      <c r="C270" s="14" t="s">
        <v>235</v>
      </c>
      <c r="D270" s="15"/>
      <c r="E270" s="15"/>
      <c r="F270" s="14" t="s">
        <v>236</v>
      </c>
      <c r="G270" s="15"/>
      <c r="H270" s="14" t="s">
        <v>237</v>
      </c>
      <c r="I270" s="15"/>
      <c r="J270" s="14" t="s">
        <v>238</v>
      </c>
      <c r="K270" s="15"/>
    </row>
    <row r="271" ht="14.25" customHeight="1">
      <c r="A271" s="10"/>
      <c r="B271" s="10">
        <v>63.0</v>
      </c>
      <c r="C271" s="11" t="s">
        <v>239</v>
      </c>
      <c r="D271" s="12"/>
      <c r="E271" s="12"/>
      <c r="F271" s="11" t="s">
        <v>240</v>
      </c>
      <c r="G271" s="12"/>
      <c r="H271" s="11" t="s">
        <v>241</v>
      </c>
      <c r="I271" s="12"/>
      <c r="J271" s="11" t="s">
        <v>242</v>
      </c>
      <c r="K271" s="12"/>
    </row>
    <row r="272" ht="14.25" customHeight="1">
      <c r="A272" s="13"/>
      <c r="B272" s="13">
        <v>64.0</v>
      </c>
      <c r="C272" s="14" t="s">
        <v>243</v>
      </c>
      <c r="D272" s="15"/>
      <c r="E272" s="15"/>
      <c r="F272" s="14" t="s">
        <v>244</v>
      </c>
      <c r="G272" s="15"/>
      <c r="H272" s="14" t="s">
        <v>245</v>
      </c>
      <c r="I272" s="15"/>
      <c r="J272" s="14" t="s">
        <v>246</v>
      </c>
      <c r="K272" s="15"/>
    </row>
    <row r="273" ht="14.25" customHeight="1">
      <c r="A273" s="10"/>
      <c r="B273" s="10">
        <v>65.0</v>
      </c>
      <c r="C273" s="11" t="s">
        <v>247</v>
      </c>
      <c r="D273" s="12"/>
      <c r="E273" s="12"/>
      <c r="F273" s="11" t="s">
        <v>248</v>
      </c>
      <c r="G273" s="12"/>
      <c r="H273" s="11" t="s">
        <v>249</v>
      </c>
      <c r="I273" s="12"/>
      <c r="J273" s="11" t="s">
        <v>250</v>
      </c>
      <c r="K273" s="12"/>
    </row>
    <row r="274" ht="14.25" customHeight="1">
      <c r="A274" s="13"/>
      <c r="B274" s="13">
        <v>66.0</v>
      </c>
      <c r="C274" s="14" t="s">
        <v>251</v>
      </c>
      <c r="D274" s="15"/>
      <c r="E274" s="15"/>
      <c r="F274" s="14" t="s">
        <v>252</v>
      </c>
      <c r="G274" s="15"/>
      <c r="H274" s="14" t="s">
        <v>253</v>
      </c>
      <c r="I274" s="15"/>
      <c r="J274" s="14" t="s">
        <v>254</v>
      </c>
      <c r="K274" s="15"/>
    </row>
    <row r="275" ht="14.25" customHeight="1">
      <c r="A275" s="10"/>
      <c r="B275" s="10">
        <v>67.0</v>
      </c>
      <c r="C275" s="11" t="s">
        <v>255</v>
      </c>
      <c r="D275" s="12"/>
      <c r="E275" s="12"/>
      <c r="F275" s="11" t="s">
        <v>256</v>
      </c>
      <c r="H275" s="11" t="s">
        <v>257</v>
      </c>
      <c r="I275" s="12"/>
      <c r="J275" s="11" t="s">
        <v>258</v>
      </c>
      <c r="K275" s="12"/>
    </row>
    <row r="276" ht="14.25" customHeight="1">
      <c r="A276" s="13"/>
      <c r="B276" s="13">
        <v>68.0</v>
      </c>
      <c r="C276" s="14" t="s">
        <v>259</v>
      </c>
      <c r="D276" s="15"/>
      <c r="E276" s="15"/>
      <c r="F276" s="14" t="s">
        <v>260</v>
      </c>
      <c r="H276" s="14" t="s">
        <v>261</v>
      </c>
      <c r="I276" s="15"/>
      <c r="J276" s="14" t="s">
        <v>262</v>
      </c>
      <c r="K276" s="15"/>
    </row>
    <row r="277" ht="14.25" customHeight="1">
      <c r="A277" s="10"/>
      <c r="B277" s="10">
        <v>69.0</v>
      </c>
      <c r="C277" s="11" t="s">
        <v>263</v>
      </c>
      <c r="D277" s="12"/>
      <c r="E277" s="12"/>
      <c r="F277" s="11" t="s">
        <v>264</v>
      </c>
      <c r="H277" s="11" t="s">
        <v>265</v>
      </c>
      <c r="I277" s="12"/>
      <c r="J277" s="11" t="s">
        <v>266</v>
      </c>
      <c r="K277" s="12"/>
    </row>
    <row r="278" ht="14.25" customHeight="1">
      <c r="A278" s="13"/>
      <c r="B278" s="13">
        <v>70.0</v>
      </c>
      <c r="C278" s="14" t="s">
        <v>267</v>
      </c>
      <c r="D278" s="15"/>
      <c r="E278" s="15"/>
      <c r="F278" s="14" t="s">
        <v>268</v>
      </c>
      <c r="G278" s="15"/>
      <c r="H278" s="14" t="s">
        <v>134</v>
      </c>
      <c r="I278" s="15"/>
      <c r="J278" s="14" t="s">
        <v>269</v>
      </c>
      <c r="K278" s="15"/>
    </row>
    <row r="279" ht="14.25" customHeight="1">
      <c r="A279" s="10"/>
      <c r="B279" s="10">
        <v>71.0</v>
      </c>
      <c r="C279" s="11" t="s">
        <v>270</v>
      </c>
      <c r="D279" s="12"/>
      <c r="E279" s="12"/>
      <c r="F279" s="11" t="s">
        <v>271</v>
      </c>
      <c r="G279" s="12"/>
      <c r="H279" s="11" t="s">
        <v>272</v>
      </c>
      <c r="I279" s="12"/>
      <c r="J279" s="11" t="s">
        <v>273</v>
      </c>
      <c r="K279" s="12"/>
    </row>
    <row r="280" ht="14.25" customHeight="1">
      <c r="A280" s="13"/>
      <c r="B280" s="13">
        <v>72.0</v>
      </c>
      <c r="C280" s="14" t="s">
        <v>274</v>
      </c>
      <c r="D280" s="15"/>
      <c r="E280" s="15"/>
      <c r="F280" s="14" t="s">
        <v>275</v>
      </c>
      <c r="G280" s="15"/>
      <c r="H280" s="14" t="s">
        <v>276</v>
      </c>
      <c r="I280" s="15"/>
      <c r="J280" s="14" t="s">
        <v>277</v>
      </c>
      <c r="K280" s="15"/>
    </row>
    <row r="281" ht="14.25" customHeight="1">
      <c r="A281" s="10"/>
      <c r="B281" s="10">
        <v>73.0</v>
      </c>
      <c r="C281" s="11" t="s">
        <v>278</v>
      </c>
      <c r="D281" s="12"/>
      <c r="E281" s="12"/>
      <c r="F281" s="11" t="s">
        <v>279</v>
      </c>
      <c r="G281" s="12"/>
      <c r="H281" s="11" t="s">
        <v>134</v>
      </c>
      <c r="I281" s="12"/>
      <c r="J281" s="11" t="s">
        <v>280</v>
      </c>
      <c r="K281" s="12"/>
    </row>
    <row r="282" ht="14.25" customHeight="1">
      <c r="A282" s="13"/>
      <c r="B282" s="13">
        <v>74.0</v>
      </c>
      <c r="C282" s="14" t="s">
        <v>281</v>
      </c>
      <c r="D282" s="15"/>
      <c r="E282" s="15"/>
      <c r="F282" s="14" t="s">
        <v>282</v>
      </c>
      <c r="G282" s="15"/>
      <c r="H282" s="14" t="s">
        <v>283</v>
      </c>
      <c r="I282" s="15"/>
      <c r="J282" s="14" t="s">
        <v>284</v>
      </c>
      <c r="K282" s="15"/>
    </row>
    <row r="283" ht="14.25" customHeight="1">
      <c r="A283" s="10"/>
      <c r="B283" s="10">
        <v>75.0</v>
      </c>
      <c r="C283" s="11" t="s">
        <v>285</v>
      </c>
      <c r="D283" s="12"/>
      <c r="E283" s="12"/>
      <c r="F283" s="11" t="s">
        <v>286</v>
      </c>
      <c r="G283" s="12"/>
      <c r="H283" s="11" t="s">
        <v>287</v>
      </c>
      <c r="I283" s="12"/>
      <c r="J283" s="11" t="s">
        <v>288</v>
      </c>
      <c r="K283" s="12"/>
    </row>
    <row r="284" ht="14.25" customHeight="1">
      <c r="A284" s="13"/>
      <c r="B284" s="13">
        <v>76.0</v>
      </c>
      <c r="C284" s="14" t="s">
        <v>289</v>
      </c>
      <c r="D284" s="15"/>
      <c r="E284" s="15"/>
      <c r="F284" s="14" t="s">
        <v>290</v>
      </c>
      <c r="G284" s="15"/>
      <c r="H284" s="14" t="s">
        <v>291</v>
      </c>
      <c r="I284" s="15"/>
      <c r="J284" s="14" t="s">
        <v>292</v>
      </c>
      <c r="K284" s="15"/>
    </row>
    <row r="285" ht="14.25" customHeight="1">
      <c r="A285" s="10"/>
      <c r="B285" s="10">
        <v>77.0</v>
      </c>
      <c r="C285" s="11" t="s">
        <v>293</v>
      </c>
      <c r="D285" s="12"/>
      <c r="E285" s="12"/>
      <c r="F285" s="11" t="s">
        <v>294</v>
      </c>
      <c r="G285" s="12"/>
      <c r="H285" s="11" t="s">
        <v>295</v>
      </c>
      <c r="I285" s="12"/>
      <c r="J285" s="11" t="s">
        <v>296</v>
      </c>
      <c r="K285" s="12"/>
    </row>
    <row r="286" ht="14.25" customHeight="1">
      <c r="A286" s="13"/>
      <c r="B286" s="13">
        <v>78.0</v>
      </c>
      <c r="C286" s="14" t="s">
        <v>297</v>
      </c>
      <c r="D286" s="15"/>
      <c r="E286" s="15"/>
      <c r="F286" s="14" t="s">
        <v>298</v>
      </c>
      <c r="G286" s="15"/>
      <c r="H286" s="14" t="s">
        <v>225</v>
      </c>
      <c r="I286" s="15"/>
      <c r="J286" s="14" t="s">
        <v>299</v>
      </c>
      <c r="K286" s="15"/>
    </row>
    <row r="287" ht="14.25" customHeight="1">
      <c r="A287" s="10"/>
      <c r="B287" s="10">
        <v>79.0</v>
      </c>
      <c r="C287" s="11" t="s">
        <v>300</v>
      </c>
      <c r="D287" s="12"/>
      <c r="E287" s="12"/>
      <c r="F287" s="11" t="s">
        <v>301</v>
      </c>
      <c r="G287" s="12"/>
      <c r="H287" s="11" t="s">
        <v>134</v>
      </c>
      <c r="I287" s="12"/>
      <c r="J287" s="11" t="s">
        <v>302</v>
      </c>
      <c r="K287" s="12"/>
    </row>
    <row r="288" ht="14.25" customHeight="1">
      <c r="A288" s="13"/>
      <c r="B288" s="13">
        <v>80.0</v>
      </c>
      <c r="C288" s="14" t="s">
        <v>303</v>
      </c>
      <c r="D288" s="15"/>
      <c r="E288" s="15"/>
      <c r="F288" s="14" t="s">
        <v>304</v>
      </c>
      <c r="H288" s="14" t="s">
        <v>305</v>
      </c>
      <c r="I288" s="15"/>
      <c r="J288" s="14" t="s">
        <v>306</v>
      </c>
      <c r="K288" s="15"/>
    </row>
    <row r="289" ht="14.25" customHeight="1">
      <c r="A289" s="10"/>
      <c r="B289" s="10">
        <v>81.0</v>
      </c>
      <c r="C289" s="11" t="s">
        <v>307</v>
      </c>
      <c r="D289" s="12"/>
      <c r="E289" s="12"/>
      <c r="F289" s="11" t="s">
        <v>308</v>
      </c>
      <c r="H289" s="11" t="s">
        <v>309</v>
      </c>
      <c r="I289" s="12"/>
      <c r="J289" s="11" t="s">
        <v>310</v>
      </c>
      <c r="K289" s="12"/>
    </row>
    <row r="290" ht="14.25" customHeight="1">
      <c r="A290" s="13"/>
      <c r="B290" s="13">
        <v>82.0</v>
      </c>
      <c r="C290" s="14" t="s">
        <v>311</v>
      </c>
      <c r="D290" s="15"/>
      <c r="E290" s="15"/>
      <c r="F290" s="14" t="s">
        <v>312</v>
      </c>
      <c r="G290" s="15"/>
      <c r="H290" s="14" t="s">
        <v>313</v>
      </c>
      <c r="I290" s="15"/>
      <c r="J290" s="14" t="s">
        <v>314</v>
      </c>
      <c r="K290" s="15"/>
    </row>
    <row r="291" ht="14.25" customHeight="1">
      <c r="A291" s="10"/>
      <c r="B291" s="10">
        <v>83.0</v>
      </c>
      <c r="C291" s="11" t="s">
        <v>315</v>
      </c>
      <c r="D291" s="12"/>
      <c r="E291" s="12"/>
      <c r="F291" s="11" t="s">
        <v>316</v>
      </c>
      <c r="G291" s="12"/>
      <c r="H291" s="11" t="s">
        <v>317</v>
      </c>
      <c r="I291" s="12"/>
      <c r="J291" s="11" t="s">
        <v>318</v>
      </c>
      <c r="K291" s="12"/>
    </row>
    <row r="292" ht="14.25" customHeight="1">
      <c r="A292" s="13"/>
      <c r="B292" s="13">
        <v>84.0</v>
      </c>
      <c r="C292" s="14" t="s">
        <v>319</v>
      </c>
      <c r="D292" s="15"/>
      <c r="E292" s="15"/>
      <c r="F292" s="14" t="s">
        <v>320</v>
      </c>
      <c r="H292" s="14" t="s">
        <v>321</v>
      </c>
      <c r="I292" s="15"/>
      <c r="J292" s="14" t="s">
        <v>322</v>
      </c>
      <c r="K292" s="15"/>
    </row>
    <row r="293" ht="14.25" customHeight="1">
      <c r="A293" s="10"/>
      <c r="B293" s="10">
        <v>85.0</v>
      </c>
      <c r="C293" s="11" t="s">
        <v>323</v>
      </c>
      <c r="D293" s="12"/>
      <c r="E293" s="12"/>
      <c r="F293" s="11" t="s">
        <v>324</v>
      </c>
      <c r="G293" s="12"/>
      <c r="H293" s="11" t="s">
        <v>218</v>
      </c>
      <c r="I293" s="12"/>
      <c r="J293" s="11" t="s">
        <v>325</v>
      </c>
      <c r="K293" s="12"/>
    </row>
    <row r="294" ht="14.25" customHeight="1">
      <c r="A294" s="13"/>
      <c r="B294" s="13">
        <v>86.0</v>
      </c>
      <c r="C294" s="14" t="s">
        <v>326</v>
      </c>
      <c r="D294" s="15"/>
      <c r="E294" s="15"/>
      <c r="F294" s="14" t="s">
        <v>327</v>
      </c>
      <c r="G294" s="15"/>
      <c r="H294" s="14" t="s">
        <v>60</v>
      </c>
      <c r="I294" s="15"/>
      <c r="J294" s="14" t="s">
        <v>328</v>
      </c>
      <c r="K294" s="15"/>
    </row>
    <row r="295" ht="14.25" customHeight="1">
      <c r="A295" s="10"/>
      <c r="B295" s="10">
        <v>87.0</v>
      </c>
      <c r="C295" s="11" t="s">
        <v>329</v>
      </c>
      <c r="D295" s="12"/>
      <c r="E295" s="12"/>
      <c r="F295" s="11" t="s">
        <v>330</v>
      </c>
      <c r="G295" s="12"/>
      <c r="H295" s="11" t="s">
        <v>237</v>
      </c>
      <c r="I295" s="12"/>
      <c r="J295" s="11" t="s">
        <v>331</v>
      </c>
      <c r="K295" s="12"/>
    </row>
    <row r="296" ht="14.25" customHeight="1">
      <c r="A296" s="13"/>
      <c r="B296" s="13">
        <v>88.0</v>
      </c>
      <c r="C296" s="14" t="s">
        <v>332</v>
      </c>
      <c r="D296" s="15"/>
      <c r="E296" s="15"/>
      <c r="F296" s="14" t="s">
        <v>333</v>
      </c>
      <c r="G296" s="15"/>
      <c r="H296" s="14" t="s">
        <v>283</v>
      </c>
      <c r="I296" s="15"/>
      <c r="J296" s="14" t="s">
        <v>334</v>
      </c>
      <c r="K296" s="15"/>
    </row>
    <row r="297" ht="14.25" customHeight="1">
      <c r="A297" s="10"/>
      <c r="B297" s="10">
        <v>89.0</v>
      </c>
      <c r="C297" s="11" t="s">
        <v>335</v>
      </c>
      <c r="D297" s="12"/>
      <c r="E297" s="12"/>
      <c r="F297" s="11" t="s">
        <v>336</v>
      </c>
      <c r="G297" s="12"/>
      <c r="H297" s="11" t="s">
        <v>337</v>
      </c>
      <c r="I297" s="12"/>
      <c r="J297" s="11" t="s">
        <v>338</v>
      </c>
      <c r="K297" s="12"/>
    </row>
    <row r="298" ht="14.25" customHeight="1">
      <c r="A298" s="13"/>
      <c r="B298" s="13">
        <v>90.0</v>
      </c>
      <c r="C298" s="14" t="s">
        <v>339</v>
      </c>
      <c r="D298" s="15"/>
      <c r="E298" s="15"/>
      <c r="F298" s="14" t="s">
        <v>340</v>
      </c>
      <c r="G298" s="15"/>
      <c r="H298" s="14" t="s">
        <v>341</v>
      </c>
      <c r="I298" s="15"/>
      <c r="J298" s="14" t="s">
        <v>342</v>
      </c>
      <c r="K298" s="15"/>
    </row>
    <row r="299" ht="14.25" customHeight="1">
      <c r="A299" s="10"/>
      <c r="B299" s="10">
        <v>91.0</v>
      </c>
      <c r="C299" s="11" t="s">
        <v>343</v>
      </c>
      <c r="D299" s="12"/>
      <c r="E299" s="12"/>
      <c r="F299" s="11" t="s">
        <v>344</v>
      </c>
      <c r="G299" s="12"/>
      <c r="H299" s="11" t="s">
        <v>345</v>
      </c>
      <c r="I299" s="12"/>
      <c r="J299" s="11" t="s">
        <v>346</v>
      </c>
      <c r="K299" s="12"/>
    </row>
    <row r="300" ht="14.25" customHeight="1">
      <c r="A300" s="13"/>
      <c r="B300" s="13">
        <v>92.0</v>
      </c>
      <c r="C300" s="14" t="s">
        <v>347</v>
      </c>
      <c r="D300" s="15"/>
      <c r="E300" s="15"/>
      <c r="F300" s="14" t="s">
        <v>348</v>
      </c>
      <c r="G300" s="15"/>
      <c r="H300" s="14" t="s">
        <v>134</v>
      </c>
      <c r="I300" s="15"/>
      <c r="J300" s="14" t="s">
        <v>349</v>
      </c>
      <c r="K300" s="15"/>
    </row>
    <row r="301" ht="14.25" customHeight="1">
      <c r="A301" s="10"/>
      <c r="B301" s="10">
        <v>93.0</v>
      </c>
      <c r="C301" s="11" t="s">
        <v>350</v>
      </c>
      <c r="D301" s="12"/>
      <c r="E301" s="12"/>
      <c r="F301" s="11" t="s">
        <v>351</v>
      </c>
      <c r="H301" s="11" t="s">
        <v>352</v>
      </c>
      <c r="I301" s="12"/>
      <c r="J301" s="11" t="s">
        <v>353</v>
      </c>
      <c r="K301" s="12"/>
    </row>
    <row r="302" ht="14.25" customHeight="1">
      <c r="A302" s="13"/>
      <c r="B302" s="13">
        <v>94.0</v>
      </c>
      <c r="C302" s="14" t="s">
        <v>354</v>
      </c>
      <c r="D302" s="15"/>
      <c r="E302" s="15"/>
      <c r="F302" s="14" t="s">
        <v>355</v>
      </c>
      <c r="G302" s="15"/>
      <c r="H302" s="14" t="s">
        <v>229</v>
      </c>
      <c r="I302" s="15"/>
      <c r="J302" s="14" t="s">
        <v>356</v>
      </c>
      <c r="K302" s="15"/>
    </row>
    <row r="303" ht="14.25" customHeight="1">
      <c r="A303" s="10"/>
      <c r="B303" s="10">
        <v>95.0</v>
      </c>
      <c r="C303" s="11" t="s">
        <v>357</v>
      </c>
      <c r="D303" s="12"/>
      <c r="E303" s="12"/>
      <c r="F303" s="11" t="s">
        <v>358</v>
      </c>
      <c r="G303" s="12"/>
      <c r="H303" s="11" t="s">
        <v>359</v>
      </c>
      <c r="I303" s="12"/>
      <c r="J303" s="11" t="s">
        <v>360</v>
      </c>
      <c r="K303" s="12"/>
    </row>
    <row r="304" ht="14.25" customHeight="1">
      <c r="A304" s="13"/>
      <c r="B304" s="13">
        <v>96.0</v>
      </c>
      <c r="C304" s="14" t="s">
        <v>361</v>
      </c>
      <c r="D304" s="15"/>
      <c r="E304" s="15"/>
      <c r="F304" s="14" t="s">
        <v>362</v>
      </c>
      <c r="G304" s="15"/>
      <c r="H304" s="14" t="s">
        <v>134</v>
      </c>
      <c r="I304" s="15"/>
      <c r="J304" s="14" t="s">
        <v>363</v>
      </c>
      <c r="K304" s="15"/>
    </row>
    <row r="305" ht="14.25" customHeight="1">
      <c r="A305" s="10"/>
      <c r="B305" s="10">
        <v>97.0</v>
      </c>
      <c r="C305" s="11" t="s">
        <v>364</v>
      </c>
      <c r="D305" s="12"/>
      <c r="E305" s="12"/>
      <c r="F305" s="11" t="s">
        <v>365</v>
      </c>
      <c r="G305" s="12"/>
      <c r="H305" s="11" t="s">
        <v>366</v>
      </c>
      <c r="I305" s="12"/>
      <c r="J305" s="11" t="s">
        <v>367</v>
      </c>
      <c r="K305" s="12"/>
    </row>
    <row r="306" ht="14.25" customHeight="1">
      <c r="A306" s="13"/>
      <c r="B306" s="13">
        <v>98.0</v>
      </c>
      <c r="C306" s="14" t="s">
        <v>368</v>
      </c>
      <c r="D306" s="15"/>
      <c r="E306" s="15"/>
      <c r="F306" s="14" t="s">
        <v>369</v>
      </c>
      <c r="G306" s="15"/>
      <c r="H306" s="14" t="s">
        <v>134</v>
      </c>
      <c r="I306" s="15"/>
      <c r="J306" s="14" t="s">
        <v>370</v>
      </c>
      <c r="K306" s="15"/>
    </row>
    <row r="307" ht="14.25" customHeight="1">
      <c r="A307" s="10"/>
      <c r="B307" s="10">
        <v>99.0</v>
      </c>
      <c r="C307" s="11" t="s">
        <v>371</v>
      </c>
      <c r="D307" s="12"/>
      <c r="E307" s="12"/>
      <c r="F307" s="11" t="s">
        <v>301</v>
      </c>
      <c r="G307" s="12"/>
      <c r="H307" s="11" t="s">
        <v>134</v>
      </c>
      <c r="I307" s="12"/>
      <c r="J307" s="11" t="s">
        <v>372</v>
      </c>
      <c r="K307" s="12"/>
    </row>
    <row r="308" ht="14.25" customHeight="1">
      <c r="A308" s="13"/>
      <c r="B308" s="13">
        <v>100.0</v>
      </c>
      <c r="C308" s="14" t="s">
        <v>373</v>
      </c>
      <c r="D308" s="15"/>
      <c r="E308" s="15"/>
      <c r="F308" s="14" t="s">
        <v>374</v>
      </c>
      <c r="G308" s="15"/>
      <c r="H308" s="14" t="s">
        <v>375</v>
      </c>
      <c r="I308" s="15"/>
      <c r="J308" s="14" t="s">
        <v>376</v>
      </c>
      <c r="K308" s="15"/>
    </row>
    <row r="309" ht="14.25" customHeight="1">
      <c r="A309" s="10"/>
      <c r="B309" s="10">
        <v>101.0</v>
      </c>
      <c r="C309" s="11" t="s">
        <v>377</v>
      </c>
      <c r="D309" s="12"/>
      <c r="E309" s="12"/>
      <c r="F309" s="11" t="s">
        <v>378</v>
      </c>
      <c r="H309" s="11" t="s">
        <v>379</v>
      </c>
      <c r="I309" s="12"/>
      <c r="J309" s="11" t="s">
        <v>764</v>
      </c>
      <c r="K309" s="12"/>
    </row>
    <row r="310" ht="14.25" customHeight="1">
      <c r="A310" s="13"/>
      <c r="B310" s="13">
        <v>102.0</v>
      </c>
      <c r="C310" s="14" t="s">
        <v>765</v>
      </c>
      <c r="D310" s="15"/>
      <c r="E310" s="15"/>
      <c r="F310" s="14" t="s">
        <v>382</v>
      </c>
      <c r="G310" s="15"/>
      <c r="H310" s="14" t="s">
        <v>383</v>
      </c>
      <c r="I310" s="15"/>
      <c r="J310" s="14" t="s">
        <v>766</v>
      </c>
      <c r="K310" s="15"/>
    </row>
    <row r="311" ht="14.25" customHeight="1">
      <c r="A311" s="10"/>
      <c r="B311" s="10">
        <v>103.0</v>
      </c>
      <c r="C311" s="11" t="s">
        <v>767</v>
      </c>
      <c r="D311" s="12"/>
      <c r="E311" s="12"/>
      <c r="F311" s="11" t="s">
        <v>386</v>
      </c>
      <c r="H311" s="11" t="s">
        <v>387</v>
      </c>
      <c r="I311" s="12"/>
      <c r="J311" s="11" t="s">
        <v>768</v>
      </c>
      <c r="K311" s="12"/>
    </row>
    <row r="312" ht="14.25" customHeight="1">
      <c r="A312" s="13"/>
      <c r="B312" s="13">
        <v>104.0</v>
      </c>
      <c r="C312" s="14" t="s">
        <v>769</v>
      </c>
      <c r="D312" s="15"/>
      <c r="E312" s="15"/>
      <c r="F312" s="14" t="s">
        <v>390</v>
      </c>
      <c r="G312" s="15"/>
      <c r="H312" s="14" t="s">
        <v>375</v>
      </c>
      <c r="I312" s="15"/>
      <c r="J312" s="14" t="s">
        <v>770</v>
      </c>
      <c r="K312" s="15"/>
    </row>
    <row r="313" ht="14.25" customHeight="1">
      <c r="A313" s="10"/>
      <c r="B313" s="10">
        <v>105.0</v>
      </c>
      <c r="C313" s="11" t="s">
        <v>771</v>
      </c>
      <c r="D313" s="12"/>
      <c r="E313" s="12"/>
      <c r="F313" s="11" t="s">
        <v>393</v>
      </c>
      <c r="G313" s="12"/>
      <c r="H313" s="11" t="s">
        <v>394</v>
      </c>
      <c r="I313" s="12"/>
      <c r="J313" s="11" t="s">
        <v>772</v>
      </c>
      <c r="K313" s="12"/>
    </row>
    <row r="314" ht="14.25" customHeight="1">
      <c r="A314" s="13"/>
      <c r="B314" s="13">
        <v>106.0</v>
      </c>
      <c r="C314" s="14" t="s">
        <v>773</v>
      </c>
      <c r="D314" s="15"/>
      <c r="E314" s="15"/>
      <c r="F314" s="14" t="s">
        <v>397</v>
      </c>
      <c r="G314" s="15"/>
      <c r="H314" s="14" t="s">
        <v>398</v>
      </c>
      <c r="I314" s="15"/>
      <c r="J314" s="14" t="s">
        <v>774</v>
      </c>
      <c r="K314" s="15"/>
    </row>
    <row r="315" ht="14.25" customHeight="1">
      <c r="A315" s="10"/>
      <c r="B315" s="10">
        <v>107.0</v>
      </c>
      <c r="C315" s="11" t="s">
        <v>775</v>
      </c>
      <c r="D315" s="12"/>
      <c r="E315" s="12"/>
      <c r="F315" s="11" t="s">
        <v>401</v>
      </c>
      <c r="G315" s="12"/>
      <c r="H315" s="11" t="s">
        <v>402</v>
      </c>
      <c r="I315" s="12"/>
      <c r="J315" s="11" t="s">
        <v>776</v>
      </c>
      <c r="K315" s="12"/>
    </row>
    <row r="316" ht="14.25" customHeight="1">
      <c r="A316" s="13"/>
      <c r="B316" s="13">
        <v>108.0</v>
      </c>
      <c r="C316" s="14" t="s">
        <v>777</v>
      </c>
      <c r="D316" s="15"/>
      <c r="E316" s="15"/>
      <c r="F316" s="14" t="s">
        <v>405</v>
      </c>
      <c r="G316" s="15"/>
      <c r="H316" s="14" t="s">
        <v>406</v>
      </c>
      <c r="I316" s="15"/>
      <c r="J316" s="14" t="s">
        <v>778</v>
      </c>
      <c r="K316" s="15"/>
    </row>
    <row r="317" ht="14.25" customHeight="1">
      <c r="A317" s="10"/>
      <c r="B317" s="10">
        <v>109.0</v>
      </c>
      <c r="C317" s="11" t="s">
        <v>779</v>
      </c>
      <c r="D317" s="12"/>
      <c r="E317" s="12"/>
      <c r="F317" s="11" t="s">
        <v>409</v>
      </c>
      <c r="G317" s="12"/>
      <c r="H317" s="11" t="s">
        <v>410</v>
      </c>
      <c r="I317" s="12"/>
      <c r="J317" s="11" t="s">
        <v>780</v>
      </c>
      <c r="K317" s="12"/>
    </row>
    <row r="318" ht="14.25" customHeight="1">
      <c r="A318" s="13"/>
      <c r="B318" s="13">
        <v>110.0</v>
      </c>
      <c r="C318" s="14" t="s">
        <v>781</v>
      </c>
      <c r="D318" s="15"/>
      <c r="E318" s="15"/>
      <c r="F318" s="14" t="s">
        <v>413</v>
      </c>
      <c r="G318" s="15"/>
      <c r="H318" s="14" t="s">
        <v>60</v>
      </c>
      <c r="I318" s="15"/>
      <c r="J318" s="14" t="s">
        <v>782</v>
      </c>
      <c r="K318" s="15"/>
    </row>
    <row r="319" ht="14.25" customHeight="1">
      <c r="A319" s="10"/>
      <c r="B319" s="10">
        <v>111.0</v>
      </c>
      <c r="C319" s="11" t="s">
        <v>783</v>
      </c>
      <c r="D319" s="12"/>
      <c r="E319" s="12"/>
      <c r="F319" s="11" t="s">
        <v>416</v>
      </c>
      <c r="H319" s="11" t="s">
        <v>417</v>
      </c>
      <c r="I319" s="12"/>
      <c r="J319" s="11" t="s">
        <v>784</v>
      </c>
      <c r="K319" s="12"/>
    </row>
    <row r="320" ht="14.25" customHeight="1">
      <c r="A320" s="13"/>
      <c r="B320" s="13">
        <v>112.0</v>
      </c>
      <c r="C320" s="14" t="s">
        <v>785</v>
      </c>
      <c r="D320" s="15"/>
      <c r="E320" s="15"/>
      <c r="F320" s="14" t="s">
        <v>420</v>
      </c>
      <c r="G320" s="15"/>
      <c r="H320" s="14" t="s">
        <v>421</v>
      </c>
      <c r="I320" s="15"/>
      <c r="J320" s="14" t="s">
        <v>786</v>
      </c>
      <c r="K320" s="15"/>
    </row>
    <row r="321" ht="14.25" customHeight="1">
      <c r="A321" s="10"/>
      <c r="B321" s="10">
        <v>113.0</v>
      </c>
      <c r="C321" s="11" t="s">
        <v>787</v>
      </c>
      <c r="D321" s="12"/>
      <c r="E321" s="12"/>
      <c r="F321" s="11" t="s">
        <v>424</v>
      </c>
      <c r="G321" s="12"/>
      <c r="H321" s="11" t="s">
        <v>425</v>
      </c>
      <c r="I321" s="12"/>
      <c r="J321" s="11" t="s">
        <v>788</v>
      </c>
      <c r="K321" s="12"/>
    </row>
    <row r="322" ht="14.25" customHeight="1">
      <c r="A322" s="13"/>
      <c r="B322" s="13">
        <v>114.0</v>
      </c>
      <c r="C322" s="14" t="s">
        <v>789</v>
      </c>
      <c r="D322" s="15"/>
      <c r="E322" s="15"/>
      <c r="F322" s="14" t="s">
        <v>428</v>
      </c>
      <c r="G322" s="15"/>
      <c r="H322" s="14" t="s">
        <v>429</v>
      </c>
      <c r="I322" s="15"/>
      <c r="J322" s="14" t="s">
        <v>790</v>
      </c>
      <c r="K322" s="15"/>
    </row>
    <row r="323" ht="14.25" customHeight="1">
      <c r="A323" s="10"/>
      <c r="B323" s="10">
        <v>115.0</v>
      </c>
      <c r="C323" s="11" t="s">
        <v>791</v>
      </c>
      <c r="D323" s="12"/>
      <c r="E323" s="12"/>
      <c r="F323" s="11" t="s">
        <v>432</v>
      </c>
      <c r="G323" s="12"/>
      <c r="H323" s="11" t="s">
        <v>134</v>
      </c>
      <c r="I323" s="12"/>
      <c r="J323" s="11" t="s">
        <v>792</v>
      </c>
      <c r="K323" s="12"/>
    </row>
    <row r="324" ht="14.25" customHeight="1">
      <c r="A324" s="13"/>
      <c r="B324" s="13">
        <v>116.0</v>
      </c>
      <c r="C324" s="14" t="s">
        <v>793</v>
      </c>
      <c r="D324" s="15"/>
      <c r="E324" s="15"/>
      <c r="F324" s="14" t="s">
        <v>435</v>
      </c>
      <c r="G324" s="15"/>
      <c r="H324" s="14" t="s">
        <v>134</v>
      </c>
      <c r="I324" s="15"/>
      <c r="J324" s="14" t="s">
        <v>794</v>
      </c>
      <c r="K324" s="15"/>
    </row>
    <row r="325" ht="14.25" customHeight="1">
      <c r="A325" s="10"/>
      <c r="B325" s="10">
        <v>117.0</v>
      </c>
      <c r="C325" s="11" t="s">
        <v>795</v>
      </c>
      <c r="D325" s="12"/>
      <c r="E325" s="12"/>
      <c r="F325" s="11" t="s">
        <v>438</v>
      </c>
      <c r="G325" s="12"/>
      <c r="H325" s="11" t="s">
        <v>439</v>
      </c>
      <c r="I325" s="12"/>
      <c r="J325" s="11" t="s">
        <v>796</v>
      </c>
      <c r="K325" s="12"/>
    </row>
    <row r="326" ht="14.25" customHeight="1">
      <c r="A326" s="13"/>
      <c r="B326" s="13">
        <v>118.0</v>
      </c>
      <c r="C326" s="14" t="s">
        <v>797</v>
      </c>
      <c r="D326" s="15"/>
      <c r="E326" s="15"/>
      <c r="F326" s="14" t="s">
        <v>442</v>
      </c>
      <c r="G326" s="15"/>
      <c r="H326" s="14" t="s">
        <v>443</v>
      </c>
      <c r="I326" s="15"/>
      <c r="J326" s="14" t="s">
        <v>798</v>
      </c>
      <c r="K326" s="15"/>
    </row>
    <row r="327" ht="14.25" customHeight="1">
      <c r="A327" s="10"/>
      <c r="B327" s="10">
        <v>119.0</v>
      </c>
      <c r="C327" s="11" t="s">
        <v>799</v>
      </c>
      <c r="D327" s="12"/>
      <c r="E327" s="12"/>
      <c r="F327" s="11" t="s">
        <v>446</v>
      </c>
      <c r="G327" s="12"/>
      <c r="H327" s="11" t="s">
        <v>447</v>
      </c>
      <c r="I327" s="12"/>
      <c r="J327" s="11" t="s">
        <v>800</v>
      </c>
      <c r="K327" s="12"/>
    </row>
    <row r="328" ht="14.25" customHeight="1">
      <c r="A328" s="13"/>
      <c r="B328" s="13">
        <v>120.0</v>
      </c>
      <c r="C328" s="14" t="s">
        <v>801</v>
      </c>
      <c r="D328" s="15"/>
      <c r="E328" s="15"/>
      <c r="F328" s="14" t="s">
        <v>450</v>
      </c>
      <c r="H328" s="14" t="s">
        <v>451</v>
      </c>
      <c r="I328" s="15"/>
      <c r="J328" s="14" t="s">
        <v>802</v>
      </c>
      <c r="K328" s="15"/>
    </row>
    <row r="329" ht="14.25" customHeight="1">
      <c r="A329" s="10"/>
      <c r="B329" s="10">
        <v>121.0</v>
      </c>
      <c r="C329" s="11" t="s">
        <v>803</v>
      </c>
      <c r="D329" s="12"/>
      <c r="E329" s="12"/>
      <c r="F329" s="11" t="s">
        <v>454</v>
      </c>
      <c r="G329" s="12"/>
      <c r="H329" s="11" t="s">
        <v>455</v>
      </c>
      <c r="I329" s="12"/>
      <c r="J329" s="11" t="s">
        <v>804</v>
      </c>
      <c r="K329" s="12"/>
    </row>
    <row r="330" ht="14.25" customHeight="1">
      <c r="A330" s="13"/>
      <c r="B330" s="13">
        <v>122.0</v>
      </c>
      <c r="C330" s="14" t="s">
        <v>805</v>
      </c>
      <c r="D330" s="15"/>
      <c r="E330" s="15"/>
      <c r="F330" s="14" t="s">
        <v>458</v>
      </c>
      <c r="G330" s="15"/>
      <c r="H330" s="14" t="s">
        <v>459</v>
      </c>
      <c r="I330" s="15"/>
      <c r="J330" s="14" t="s">
        <v>806</v>
      </c>
      <c r="K330" s="15"/>
    </row>
    <row r="331" ht="14.25" customHeight="1">
      <c r="A331" s="10"/>
      <c r="B331" s="10">
        <v>123.0</v>
      </c>
      <c r="C331" s="11" t="s">
        <v>807</v>
      </c>
      <c r="D331" s="12"/>
      <c r="E331" s="12"/>
      <c r="F331" s="11" t="s">
        <v>462</v>
      </c>
      <c r="G331" s="12"/>
      <c r="H331" s="11" t="s">
        <v>463</v>
      </c>
      <c r="I331" s="12"/>
      <c r="J331" s="11" t="s">
        <v>808</v>
      </c>
      <c r="K331" s="12"/>
    </row>
    <row r="332" ht="14.25" customHeight="1">
      <c r="A332" s="13"/>
      <c r="B332" s="13">
        <v>124.0</v>
      </c>
      <c r="C332" s="14" t="s">
        <v>809</v>
      </c>
      <c r="D332" s="15"/>
      <c r="E332" s="15"/>
      <c r="F332" s="14" t="s">
        <v>466</v>
      </c>
      <c r="G332" s="15"/>
      <c r="H332" s="14" t="s">
        <v>467</v>
      </c>
      <c r="I332" s="15"/>
      <c r="J332" s="14" t="s">
        <v>810</v>
      </c>
      <c r="K332" s="15"/>
    </row>
    <row r="333" ht="14.25" customHeight="1">
      <c r="A333" s="10"/>
      <c r="B333" s="10">
        <v>125.0</v>
      </c>
      <c r="C333" s="11" t="s">
        <v>811</v>
      </c>
      <c r="D333" s="12"/>
      <c r="E333" s="12"/>
      <c r="F333" s="11" t="s">
        <v>470</v>
      </c>
      <c r="H333" s="11" t="s">
        <v>471</v>
      </c>
      <c r="I333" s="12"/>
      <c r="J333" s="11" t="s">
        <v>812</v>
      </c>
      <c r="K333" s="12"/>
    </row>
    <row r="334" ht="14.25" customHeight="1">
      <c r="A334" s="13"/>
      <c r="B334" s="13">
        <v>126.0</v>
      </c>
      <c r="C334" s="14" t="s">
        <v>813</v>
      </c>
      <c r="D334" s="15"/>
      <c r="E334" s="15"/>
      <c r="F334" s="14" t="s">
        <v>474</v>
      </c>
      <c r="G334" s="15"/>
      <c r="H334" s="14" t="s">
        <v>475</v>
      </c>
      <c r="I334" s="15"/>
      <c r="J334" s="14" t="s">
        <v>814</v>
      </c>
      <c r="K334" s="15"/>
    </row>
    <row r="335" ht="14.25" customHeight="1">
      <c r="A335" s="10"/>
      <c r="B335" s="10">
        <v>127.0</v>
      </c>
      <c r="C335" s="11" t="s">
        <v>815</v>
      </c>
      <c r="D335" s="12"/>
      <c r="E335" s="12"/>
      <c r="F335" s="11" t="s">
        <v>478</v>
      </c>
      <c r="H335" s="11" t="s">
        <v>479</v>
      </c>
      <c r="I335" s="12"/>
      <c r="J335" s="11" t="s">
        <v>816</v>
      </c>
      <c r="K335" s="12"/>
    </row>
    <row r="336" ht="14.25" customHeight="1">
      <c r="A336" s="13"/>
      <c r="B336" s="13">
        <v>128.0</v>
      </c>
      <c r="C336" s="14" t="s">
        <v>817</v>
      </c>
      <c r="D336" s="15"/>
      <c r="E336" s="15"/>
      <c r="F336" s="14" t="s">
        <v>482</v>
      </c>
      <c r="G336" s="15"/>
      <c r="H336" s="14" t="s">
        <v>483</v>
      </c>
      <c r="I336" s="15"/>
      <c r="J336" s="14" t="s">
        <v>818</v>
      </c>
      <c r="K336" s="15"/>
    </row>
    <row r="337" ht="14.25" customHeight="1">
      <c r="A337" s="10"/>
      <c r="B337" s="10">
        <v>129.0</v>
      </c>
      <c r="C337" s="11" t="s">
        <v>819</v>
      </c>
      <c r="D337" s="12"/>
      <c r="E337" s="12"/>
      <c r="F337" s="11" t="s">
        <v>486</v>
      </c>
      <c r="H337" s="11" t="s">
        <v>487</v>
      </c>
      <c r="I337" s="12"/>
      <c r="J337" s="11" t="s">
        <v>820</v>
      </c>
      <c r="K337" s="12"/>
    </row>
    <row r="338" ht="14.25" customHeight="1">
      <c r="A338" s="13"/>
      <c r="B338" s="13">
        <v>130.0</v>
      </c>
      <c r="C338" s="14" t="s">
        <v>821</v>
      </c>
      <c r="D338" s="15"/>
      <c r="E338" s="15"/>
      <c r="F338" s="14" t="s">
        <v>490</v>
      </c>
      <c r="G338" s="15"/>
      <c r="H338" s="14" t="s">
        <v>134</v>
      </c>
      <c r="I338" s="15"/>
      <c r="J338" s="14" t="s">
        <v>822</v>
      </c>
      <c r="K338" s="15"/>
    </row>
    <row r="339" ht="14.25" customHeight="1">
      <c r="A339" s="10"/>
      <c r="B339" s="10">
        <v>131.0</v>
      </c>
      <c r="C339" s="11" t="s">
        <v>823</v>
      </c>
      <c r="D339" s="12"/>
      <c r="E339" s="12"/>
      <c r="F339" s="11" t="s">
        <v>493</v>
      </c>
      <c r="G339" s="12"/>
      <c r="H339" s="11" t="s">
        <v>494</v>
      </c>
      <c r="I339" s="12"/>
      <c r="J339" s="11" t="s">
        <v>824</v>
      </c>
      <c r="K339" s="12"/>
    </row>
    <row r="340" ht="14.25" customHeight="1">
      <c r="A340" s="13"/>
      <c r="B340" s="13">
        <v>132.0</v>
      </c>
      <c r="C340" s="14" t="s">
        <v>825</v>
      </c>
      <c r="D340" s="15"/>
      <c r="E340" s="15"/>
      <c r="F340" s="14" t="s">
        <v>497</v>
      </c>
      <c r="G340" s="15"/>
      <c r="H340" s="14" t="s">
        <v>337</v>
      </c>
      <c r="I340" s="15"/>
      <c r="J340" s="14" t="s">
        <v>770</v>
      </c>
      <c r="K340" s="15"/>
    </row>
    <row r="341" ht="14.25" customHeight="1">
      <c r="A341" s="10"/>
      <c r="B341" s="10">
        <v>133.0</v>
      </c>
      <c r="C341" s="11" t="s">
        <v>826</v>
      </c>
      <c r="D341" s="12"/>
      <c r="E341" s="12"/>
      <c r="F341" s="11" t="s">
        <v>499</v>
      </c>
      <c r="G341" s="12"/>
      <c r="H341" s="11" t="s">
        <v>500</v>
      </c>
      <c r="I341" s="12"/>
      <c r="J341" s="11" t="s">
        <v>827</v>
      </c>
      <c r="K341" s="12"/>
    </row>
    <row r="342" ht="14.25" customHeight="1">
      <c r="A342" s="13"/>
      <c r="B342" s="13">
        <v>134.0</v>
      </c>
      <c r="C342" s="14" t="s">
        <v>828</v>
      </c>
      <c r="D342" s="15"/>
      <c r="E342" s="15"/>
      <c r="F342" s="14" t="s">
        <v>503</v>
      </c>
      <c r="H342" s="14" t="s">
        <v>504</v>
      </c>
      <c r="I342" s="15"/>
      <c r="J342" s="14" t="s">
        <v>829</v>
      </c>
      <c r="K342" s="15"/>
    </row>
    <row r="343" ht="14.25" customHeight="1">
      <c r="A343" s="10"/>
      <c r="B343" s="10">
        <v>135.0</v>
      </c>
      <c r="C343" s="11" t="s">
        <v>830</v>
      </c>
      <c r="D343" s="12"/>
      <c r="E343" s="12"/>
      <c r="F343" s="11" t="s">
        <v>507</v>
      </c>
      <c r="G343" s="12"/>
      <c r="H343" s="11" t="s">
        <v>508</v>
      </c>
      <c r="I343" s="12"/>
      <c r="J343" s="11" t="s">
        <v>831</v>
      </c>
      <c r="K343" s="12"/>
    </row>
    <row r="344" ht="14.25" customHeight="1">
      <c r="A344" s="13"/>
      <c r="B344" s="13">
        <v>136.0</v>
      </c>
      <c r="C344" s="14" t="s">
        <v>832</v>
      </c>
      <c r="D344" s="15"/>
      <c r="E344" s="15"/>
      <c r="F344" s="14" t="s">
        <v>511</v>
      </c>
      <c r="G344" s="15"/>
      <c r="H344" s="14" t="s">
        <v>512</v>
      </c>
      <c r="I344" s="15"/>
      <c r="J344" s="14" t="s">
        <v>833</v>
      </c>
      <c r="K344" s="15"/>
    </row>
    <row r="345" ht="14.25" customHeight="1">
      <c r="A345" s="10"/>
      <c r="B345" s="10">
        <v>137.0</v>
      </c>
      <c r="C345" s="11" t="s">
        <v>834</v>
      </c>
      <c r="D345" s="12"/>
      <c r="E345" s="12"/>
      <c r="F345" s="11" t="s">
        <v>515</v>
      </c>
      <c r="G345" s="12"/>
      <c r="H345" s="11" t="s">
        <v>516</v>
      </c>
      <c r="I345" s="12"/>
      <c r="J345" s="11" t="s">
        <v>835</v>
      </c>
      <c r="K345" s="12"/>
    </row>
    <row r="346" ht="14.25" customHeight="1">
      <c r="A346" s="13"/>
      <c r="B346" s="13">
        <v>138.0</v>
      </c>
      <c r="C346" s="14" t="s">
        <v>836</v>
      </c>
      <c r="D346" s="15"/>
      <c r="E346" s="15"/>
      <c r="F346" s="14" t="s">
        <v>519</v>
      </c>
      <c r="H346" s="14" t="s">
        <v>520</v>
      </c>
      <c r="I346" s="15"/>
      <c r="J346" s="14" t="s">
        <v>837</v>
      </c>
      <c r="K346" s="15"/>
    </row>
    <row r="347" ht="14.25" customHeight="1">
      <c r="A347" s="10"/>
      <c r="B347" s="10">
        <v>139.0</v>
      </c>
      <c r="C347" s="11" t="s">
        <v>838</v>
      </c>
      <c r="D347" s="12"/>
      <c r="E347" s="12"/>
      <c r="F347" s="11" t="s">
        <v>432</v>
      </c>
      <c r="G347" s="12"/>
      <c r="H347" s="11" t="s">
        <v>134</v>
      </c>
      <c r="I347" s="12"/>
      <c r="J347" s="11" t="s">
        <v>839</v>
      </c>
      <c r="K347" s="12"/>
    </row>
    <row r="348" ht="14.25" customHeight="1">
      <c r="A348" s="13"/>
      <c r="B348" s="13">
        <v>140.0</v>
      </c>
      <c r="C348" s="14" t="s">
        <v>840</v>
      </c>
      <c r="D348" s="15"/>
      <c r="E348" s="15"/>
      <c r="F348" s="14" t="s">
        <v>525</v>
      </c>
      <c r="G348" s="15"/>
      <c r="H348" s="14" t="s">
        <v>526</v>
      </c>
      <c r="I348" s="15"/>
      <c r="J348" s="14" t="s">
        <v>841</v>
      </c>
      <c r="K348" s="15"/>
    </row>
    <row r="349" ht="14.25" customHeight="1">
      <c r="A349" s="10"/>
      <c r="B349" s="10">
        <v>141.0</v>
      </c>
      <c r="C349" s="11" t="s">
        <v>842</v>
      </c>
      <c r="D349" s="12"/>
      <c r="E349" s="12"/>
      <c r="F349" s="11" t="s">
        <v>529</v>
      </c>
      <c r="G349" s="12"/>
      <c r="H349" s="11" t="s">
        <v>530</v>
      </c>
      <c r="I349" s="12"/>
      <c r="J349" s="11" t="s">
        <v>843</v>
      </c>
      <c r="K349" s="12"/>
    </row>
    <row r="350" ht="14.25" customHeight="1">
      <c r="A350" s="13"/>
      <c r="B350" s="13">
        <v>142.0</v>
      </c>
      <c r="C350" s="14" t="s">
        <v>844</v>
      </c>
      <c r="D350" s="15"/>
      <c r="E350" s="15"/>
      <c r="F350" s="14" t="s">
        <v>533</v>
      </c>
      <c r="G350" s="15"/>
      <c r="H350" s="14" t="s">
        <v>534</v>
      </c>
      <c r="I350" s="15"/>
      <c r="J350" s="14" t="s">
        <v>845</v>
      </c>
      <c r="K350" s="15"/>
    </row>
    <row r="351" ht="14.25" customHeight="1">
      <c r="A351" s="10"/>
      <c r="B351" s="10">
        <v>143.0</v>
      </c>
      <c r="C351" s="11" t="s">
        <v>846</v>
      </c>
      <c r="D351" s="12"/>
      <c r="E351" s="12"/>
      <c r="F351" s="11" t="s">
        <v>537</v>
      </c>
      <c r="G351" s="12"/>
      <c r="H351" s="11" t="s">
        <v>375</v>
      </c>
      <c r="I351" s="12"/>
      <c r="J351" s="11" t="s">
        <v>847</v>
      </c>
      <c r="K351" s="12"/>
    </row>
    <row r="352" ht="14.25" customHeight="1">
      <c r="A352" s="13"/>
      <c r="B352" s="13">
        <v>144.0</v>
      </c>
      <c r="C352" s="14" t="s">
        <v>848</v>
      </c>
      <c r="D352" s="15"/>
      <c r="E352" s="15"/>
      <c r="F352" s="14" t="s">
        <v>540</v>
      </c>
      <c r="G352" s="15"/>
      <c r="H352" s="14" t="s">
        <v>483</v>
      </c>
      <c r="I352" s="15"/>
      <c r="J352" s="14" t="s">
        <v>849</v>
      </c>
      <c r="K352" s="15"/>
    </row>
    <row r="353" ht="14.25" customHeight="1">
      <c r="A353" s="10"/>
      <c r="B353" s="10">
        <v>145.0</v>
      </c>
      <c r="C353" s="11" t="s">
        <v>850</v>
      </c>
      <c r="D353" s="12"/>
      <c r="E353" s="12"/>
      <c r="F353" s="11" t="s">
        <v>543</v>
      </c>
      <c r="G353" s="12"/>
      <c r="H353" s="11" t="s">
        <v>544</v>
      </c>
      <c r="I353" s="12"/>
      <c r="J353" s="11" t="s">
        <v>851</v>
      </c>
      <c r="K353" s="12"/>
    </row>
    <row r="354" ht="14.25" customHeight="1">
      <c r="A354" s="13"/>
      <c r="B354" s="13">
        <v>146.0</v>
      </c>
      <c r="C354" s="14" t="s">
        <v>852</v>
      </c>
      <c r="D354" s="15"/>
      <c r="E354" s="15"/>
      <c r="F354" s="14" t="s">
        <v>547</v>
      </c>
      <c r="H354" s="14" t="s">
        <v>853</v>
      </c>
      <c r="I354" s="15"/>
      <c r="J354" s="14" t="s">
        <v>854</v>
      </c>
      <c r="K354" s="15"/>
    </row>
    <row r="355" ht="14.25" customHeight="1">
      <c r="A355" s="10"/>
      <c r="B355" s="10">
        <v>147.0</v>
      </c>
      <c r="C355" s="11" t="s">
        <v>855</v>
      </c>
      <c r="D355" s="12"/>
      <c r="E355" s="12"/>
      <c r="F355" s="11" t="s">
        <v>551</v>
      </c>
      <c r="G355" s="12"/>
      <c r="H355" s="11" t="s">
        <v>552</v>
      </c>
      <c r="I355" s="12"/>
      <c r="J355" s="11" t="s">
        <v>856</v>
      </c>
      <c r="K355" s="12"/>
    </row>
    <row r="356" ht="14.25" customHeight="1">
      <c r="A356" s="13"/>
      <c r="B356" s="13">
        <v>148.0</v>
      </c>
      <c r="C356" s="14" t="s">
        <v>857</v>
      </c>
      <c r="D356" s="15"/>
      <c r="E356" s="15"/>
      <c r="F356" s="14" t="s">
        <v>555</v>
      </c>
      <c r="G356" s="15"/>
      <c r="H356" s="14" t="s">
        <v>475</v>
      </c>
      <c r="I356" s="15"/>
      <c r="J356" s="14" t="s">
        <v>858</v>
      </c>
      <c r="K356" s="15"/>
    </row>
    <row r="357" ht="14.25" customHeight="1">
      <c r="A357" s="10"/>
      <c r="B357" s="10">
        <v>149.0</v>
      </c>
      <c r="C357" s="11" t="s">
        <v>859</v>
      </c>
      <c r="D357" s="12"/>
      <c r="E357" s="12"/>
      <c r="F357" s="11" t="s">
        <v>558</v>
      </c>
      <c r="H357" s="11" t="s">
        <v>559</v>
      </c>
      <c r="I357" s="12"/>
      <c r="J357" s="11" t="s">
        <v>860</v>
      </c>
      <c r="K357" s="12"/>
    </row>
    <row r="358" ht="14.25" customHeight="1">
      <c r="A358" s="13"/>
      <c r="B358" s="13">
        <v>150.0</v>
      </c>
      <c r="C358" s="14" t="s">
        <v>861</v>
      </c>
      <c r="D358" s="15"/>
      <c r="E358" s="15"/>
      <c r="F358" s="14" t="s">
        <v>562</v>
      </c>
      <c r="G358" s="15"/>
      <c r="H358" s="14" t="s">
        <v>563</v>
      </c>
      <c r="I358" s="15"/>
      <c r="J358" s="14" t="s">
        <v>862</v>
      </c>
      <c r="K358" s="15"/>
    </row>
    <row r="359" ht="14.25" customHeight="1">
      <c r="A359" s="10"/>
      <c r="B359" s="10">
        <v>151.0</v>
      </c>
      <c r="C359" s="11" t="s">
        <v>863</v>
      </c>
      <c r="D359" s="12"/>
      <c r="E359" s="12"/>
      <c r="F359" s="11" t="s">
        <v>566</v>
      </c>
      <c r="H359" s="11" t="s">
        <v>567</v>
      </c>
      <c r="I359" s="12"/>
      <c r="J359" s="11" t="s">
        <v>864</v>
      </c>
      <c r="K359" s="12"/>
    </row>
    <row r="360" ht="14.25" customHeight="1">
      <c r="A360" s="13"/>
      <c r="B360" s="13">
        <v>152.0</v>
      </c>
      <c r="C360" s="14" t="s">
        <v>865</v>
      </c>
      <c r="D360" s="15"/>
      <c r="E360" s="15"/>
      <c r="F360" s="14" t="s">
        <v>570</v>
      </c>
      <c r="G360" s="15"/>
      <c r="H360" s="14" t="s">
        <v>571</v>
      </c>
      <c r="I360" s="15"/>
      <c r="J360" s="14" t="s">
        <v>866</v>
      </c>
      <c r="K360" s="15"/>
    </row>
    <row r="361" ht="14.25" customHeight="1">
      <c r="A361" s="10"/>
      <c r="B361" s="10">
        <v>153.0</v>
      </c>
      <c r="C361" s="11" t="s">
        <v>867</v>
      </c>
      <c r="D361" s="12"/>
      <c r="E361" s="12"/>
      <c r="F361" s="11" t="s">
        <v>574</v>
      </c>
      <c r="G361" s="12"/>
      <c r="H361" s="11" t="s">
        <v>575</v>
      </c>
      <c r="I361" s="12"/>
      <c r="J361" s="11" t="s">
        <v>868</v>
      </c>
      <c r="K361" s="12"/>
    </row>
    <row r="362" ht="14.25" customHeight="1">
      <c r="A362" s="13"/>
      <c r="B362" s="13">
        <v>154.0</v>
      </c>
      <c r="C362" s="14" t="s">
        <v>869</v>
      </c>
      <c r="D362" s="15"/>
      <c r="E362" s="15"/>
      <c r="F362" s="14" t="s">
        <v>578</v>
      </c>
      <c r="G362" s="15"/>
      <c r="H362" s="14" t="s">
        <v>579</v>
      </c>
      <c r="I362" s="15"/>
      <c r="J362" s="14" t="s">
        <v>870</v>
      </c>
      <c r="K362" s="15"/>
    </row>
    <row r="363" ht="14.25" customHeight="1">
      <c r="A363" s="10"/>
      <c r="B363" s="10">
        <v>155.0</v>
      </c>
      <c r="C363" s="11" t="s">
        <v>871</v>
      </c>
      <c r="D363" s="12"/>
      <c r="E363" s="12"/>
      <c r="F363" s="11" t="s">
        <v>582</v>
      </c>
      <c r="G363" s="12"/>
      <c r="H363" s="11" t="s">
        <v>583</v>
      </c>
      <c r="I363" s="12"/>
      <c r="J363" s="11" t="s">
        <v>872</v>
      </c>
      <c r="K363" s="12"/>
    </row>
    <row r="364" ht="14.25" customHeight="1">
      <c r="A364" s="13"/>
      <c r="B364" s="13">
        <v>156.0</v>
      </c>
      <c r="C364" s="14" t="s">
        <v>873</v>
      </c>
      <c r="D364" s="15"/>
      <c r="E364" s="15"/>
      <c r="F364" s="14" t="s">
        <v>586</v>
      </c>
      <c r="G364" s="15"/>
      <c r="H364" s="14" t="s">
        <v>587</v>
      </c>
      <c r="I364" s="15"/>
      <c r="J364" s="14" t="s">
        <v>874</v>
      </c>
      <c r="K364" s="15"/>
    </row>
    <row r="365" ht="14.25" customHeight="1">
      <c r="A365" s="10"/>
      <c r="B365" s="10">
        <v>157.0</v>
      </c>
      <c r="C365" s="11" t="s">
        <v>875</v>
      </c>
      <c r="D365" s="12"/>
      <c r="E365" s="12"/>
      <c r="F365" s="11" t="s">
        <v>590</v>
      </c>
      <c r="H365" s="11" t="s">
        <v>591</v>
      </c>
      <c r="I365" s="12"/>
      <c r="J365" s="11" t="s">
        <v>876</v>
      </c>
      <c r="K365" s="12"/>
    </row>
    <row r="366" ht="14.25" customHeight="1">
      <c r="A366" s="13"/>
      <c r="B366" s="13">
        <v>158.0</v>
      </c>
      <c r="C366" s="14" t="s">
        <v>877</v>
      </c>
      <c r="D366" s="15"/>
      <c r="E366" s="15"/>
      <c r="F366" s="14" t="s">
        <v>594</v>
      </c>
      <c r="G366" s="15"/>
      <c r="H366" s="14" t="s">
        <v>595</v>
      </c>
      <c r="I366" s="15"/>
      <c r="J366" s="14" t="s">
        <v>878</v>
      </c>
      <c r="K366" s="15"/>
    </row>
    <row r="367" ht="14.25" customHeight="1">
      <c r="A367" s="10"/>
      <c r="B367" s="10">
        <v>159.0</v>
      </c>
      <c r="C367" s="11" t="s">
        <v>879</v>
      </c>
      <c r="D367" s="12"/>
      <c r="E367" s="12"/>
      <c r="F367" s="11" t="s">
        <v>598</v>
      </c>
      <c r="H367" s="11" t="s">
        <v>880</v>
      </c>
      <c r="I367" s="12"/>
      <c r="J367" s="11" t="s">
        <v>881</v>
      </c>
      <c r="K367" s="12"/>
    </row>
    <row r="368" ht="14.25" customHeight="1">
      <c r="A368" s="13"/>
      <c r="B368" s="13">
        <v>160.0</v>
      </c>
      <c r="C368" s="14" t="s">
        <v>882</v>
      </c>
      <c r="D368" s="15"/>
      <c r="E368" s="15"/>
      <c r="F368" s="14" t="s">
        <v>602</v>
      </c>
      <c r="H368" s="14" t="s">
        <v>603</v>
      </c>
      <c r="I368" s="15"/>
      <c r="J368" s="14" t="s">
        <v>883</v>
      </c>
      <c r="K368" s="15"/>
    </row>
    <row r="369" ht="14.25" customHeight="1">
      <c r="A369" s="10"/>
      <c r="B369" s="10">
        <v>161.0</v>
      </c>
      <c r="C369" s="11" t="s">
        <v>884</v>
      </c>
      <c r="D369" s="12"/>
      <c r="E369" s="12"/>
      <c r="F369" s="11" t="s">
        <v>606</v>
      </c>
      <c r="G369" s="12"/>
      <c r="H369" s="11" t="s">
        <v>607</v>
      </c>
      <c r="I369" s="12"/>
      <c r="J369" s="11" t="s">
        <v>885</v>
      </c>
      <c r="K369" s="12"/>
    </row>
    <row r="370" ht="14.25" customHeight="1">
      <c r="A370" s="13"/>
      <c r="B370" s="13">
        <v>162.0</v>
      </c>
      <c r="C370" s="14" t="s">
        <v>886</v>
      </c>
      <c r="D370" s="15"/>
      <c r="E370" s="15"/>
      <c r="F370" s="14" t="s">
        <v>610</v>
      </c>
      <c r="G370" s="15"/>
      <c r="H370" s="14" t="s">
        <v>218</v>
      </c>
      <c r="I370" s="15"/>
      <c r="J370" s="14" t="s">
        <v>887</v>
      </c>
      <c r="K370" s="15"/>
    </row>
    <row r="371" ht="14.25" customHeight="1">
      <c r="A371" s="10"/>
      <c r="B371" s="10">
        <v>163.0</v>
      </c>
      <c r="C371" s="11" t="s">
        <v>825</v>
      </c>
      <c r="D371" s="12"/>
      <c r="E371" s="12"/>
      <c r="F371" s="11" t="s">
        <v>612</v>
      </c>
      <c r="G371" s="12"/>
      <c r="H371" s="11" t="s">
        <v>613</v>
      </c>
      <c r="I371" s="12"/>
      <c r="J371" s="11" t="s">
        <v>888</v>
      </c>
      <c r="K371" s="12"/>
    </row>
    <row r="372" ht="14.25" customHeight="1">
      <c r="A372" s="13"/>
      <c r="B372" s="13">
        <v>164.0</v>
      </c>
      <c r="C372" s="14" t="s">
        <v>889</v>
      </c>
      <c r="D372" s="15"/>
      <c r="E372" s="15"/>
      <c r="F372" s="14" t="s">
        <v>616</v>
      </c>
      <c r="G372" s="15"/>
      <c r="H372" s="14" t="s">
        <v>617</v>
      </c>
      <c r="I372" s="15"/>
      <c r="J372" s="14" t="s">
        <v>890</v>
      </c>
      <c r="K372" s="15"/>
    </row>
    <row r="373" ht="14.25" customHeight="1">
      <c r="A373" s="10"/>
      <c r="B373" s="10">
        <v>165.0</v>
      </c>
      <c r="C373" s="11" t="s">
        <v>891</v>
      </c>
      <c r="D373" s="12"/>
      <c r="E373" s="12"/>
      <c r="F373" s="11" t="s">
        <v>620</v>
      </c>
      <c r="G373" s="12"/>
      <c r="H373" s="11" t="s">
        <v>621</v>
      </c>
      <c r="I373" s="12"/>
      <c r="J373" s="11" t="s">
        <v>892</v>
      </c>
      <c r="K373" s="12"/>
    </row>
    <row r="374" ht="14.25" customHeight="1">
      <c r="A374" s="13"/>
      <c r="B374" s="13">
        <v>166.0</v>
      </c>
      <c r="C374" s="14" t="s">
        <v>893</v>
      </c>
      <c r="D374" s="15"/>
      <c r="E374" s="15"/>
      <c r="F374" s="14" t="s">
        <v>624</v>
      </c>
      <c r="G374" s="15"/>
      <c r="H374" s="14" t="s">
        <v>544</v>
      </c>
      <c r="I374" s="15"/>
      <c r="J374" s="14" t="s">
        <v>894</v>
      </c>
      <c r="K374" s="15"/>
    </row>
    <row r="375" ht="14.25" customHeight="1">
      <c r="A375" s="10"/>
      <c r="B375" s="10">
        <v>167.0</v>
      </c>
      <c r="C375" s="11" t="s">
        <v>895</v>
      </c>
      <c r="D375" s="12"/>
      <c r="E375" s="12"/>
      <c r="F375" s="11" t="s">
        <v>627</v>
      </c>
      <c r="G375" s="12"/>
      <c r="H375" s="11" t="s">
        <v>628</v>
      </c>
      <c r="I375" s="12"/>
      <c r="J375" s="11" t="s">
        <v>896</v>
      </c>
      <c r="K375" s="12"/>
    </row>
    <row r="376" ht="14.25" customHeight="1">
      <c r="A376" s="13"/>
      <c r="B376" s="13">
        <v>168.0</v>
      </c>
      <c r="C376" s="14" t="s">
        <v>897</v>
      </c>
      <c r="D376" s="15"/>
      <c r="E376" s="15"/>
      <c r="F376" s="14" t="s">
        <v>631</v>
      </c>
      <c r="G376" s="15"/>
      <c r="H376" s="14" t="s">
        <v>530</v>
      </c>
      <c r="I376" s="15"/>
      <c r="J376" s="14" t="s">
        <v>898</v>
      </c>
      <c r="K376" s="15"/>
    </row>
    <row r="377" ht="14.25" customHeight="1">
      <c r="A377" s="10"/>
      <c r="B377" s="10">
        <v>169.0</v>
      </c>
      <c r="C377" s="11" t="s">
        <v>899</v>
      </c>
      <c r="D377" s="12"/>
      <c r="E377" s="12"/>
      <c r="F377" s="11" t="s">
        <v>634</v>
      </c>
      <c r="G377" s="12"/>
      <c r="H377" s="11" t="s">
        <v>635</v>
      </c>
      <c r="I377" s="12"/>
      <c r="J377" s="11" t="s">
        <v>900</v>
      </c>
      <c r="K377" s="12"/>
    </row>
    <row r="378" ht="14.25" customHeight="1">
      <c r="A378" s="13"/>
      <c r="B378" s="13">
        <v>170.0</v>
      </c>
      <c r="C378" s="14" t="s">
        <v>901</v>
      </c>
      <c r="D378" s="15"/>
      <c r="E378" s="15"/>
      <c r="F378" s="14" t="s">
        <v>638</v>
      </c>
      <c r="G378" s="15"/>
      <c r="H378" s="14" t="s">
        <v>639</v>
      </c>
      <c r="I378" s="15"/>
      <c r="J378" s="14" t="s">
        <v>902</v>
      </c>
      <c r="K378" s="15"/>
    </row>
    <row r="379" ht="14.25" customHeight="1">
      <c r="A379" s="10"/>
      <c r="B379" s="10">
        <v>171.0</v>
      </c>
      <c r="C379" s="11" t="s">
        <v>903</v>
      </c>
      <c r="D379" s="12"/>
      <c r="E379" s="12"/>
      <c r="F379" s="11" t="s">
        <v>642</v>
      </c>
      <c r="G379" s="12"/>
      <c r="H379" s="11" t="s">
        <v>643</v>
      </c>
      <c r="I379" s="12"/>
      <c r="J379" s="11" t="s">
        <v>904</v>
      </c>
      <c r="K379" s="12"/>
    </row>
    <row r="380" ht="14.25" customHeight="1">
      <c r="A380" s="13"/>
      <c r="B380" s="13">
        <v>172.0</v>
      </c>
      <c r="C380" s="14" t="s">
        <v>905</v>
      </c>
      <c r="D380" s="15"/>
      <c r="E380" s="15"/>
      <c r="F380" s="14" t="s">
        <v>646</v>
      </c>
      <c r="G380" s="15"/>
      <c r="H380" s="14" t="s">
        <v>647</v>
      </c>
      <c r="I380" s="15"/>
      <c r="J380" s="14" t="s">
        <v>906</v>
      </c>
      <c r="K380" s="15"/>
    </row>
    <row r="381" ht="14.25" customHeight="1">
      <c r="A381" s="10"/>
      <c r="B381" s="10">
        <v>173.0</v>
      </c>
      <c r="C381" s="11" t="s">
        <v>907</v>
      </c>
      <c r="D381" s="12"/>
      <c r="E381" s="12"/>
      <c r="F381" s="11" t="s">
        <v>650</v>
      </c>
      <c r="H381" s="11" t="s">
        <v>651</v>
      </c>
      <c r="I381" s="12"/>
      <c r="J381" s="11" t="s">
        <v>908</v>
      </c>
      <c r="K381" s="12"/>
    </row>
    <row r="382" ht="14.25" customHeight="1">
      <c r="A382" s="13"/>
      <c r="B382" s="13">
        <v>174.0</v>
      </c>
      <c r="C382" s="14" t="s">
        <v>909</v>
      </c>
      <c r="D382" s="15"/>
      <c r="E382" s="15"/>
      <c r="F382" s="14" t="s">
        <v>654</v>
      </c>
      <c r="G382" s="15"/>
      <c r="H382" s="14" t="s">
        <v>655</v>
      </c>
      <c r="I382" s="15"/>
      <c r="J382" s="14" t="s">
        <v>910</v>
      </c>
      <c r="K382" s="15"/>
    </row>
    <row r="383" ht="14.25" customHeight="1">
      <c r="A383" s="10"/>
      <c r="B383" s="10">
        <v>175.0</v>
      </c>
      <c r="C383" s="11" t="s">
        <v>911</v>
      </c>
      <c r="D383" s="12"/>
      <c r="E383" s="12"/>
      <c r="F383" s="11" t="s">
        <v>658</v>
      </c>
      <c r="G383" s="12"/>
      <c r="H383" s="11" t="s">
        <v>659</v>
      </c>
      <c r="I383" s="12"/>
      <c r="J383" s="11" t="s">
        <v>912</v>
      </c>
      <c r="K383" s="12"/>
    </row>
    <row r="384" ht="14.25" customHeight="1">
      <c r="A384" s="13"/>
      <c r="B384" s="13">
        <v>176.0</v>
      </c>
      <c r="C384" s="14" t="s">
        <v>913</v>
      </c>
      <c r="D384" s="15"/>
      <c r="E384" s="15"/>
      <c r="F384" s="14" t="s">
        <v>662</v>
      </c>
      <c r="H384" s="14" t="s">
        <v>663</v>
      </c>
      <c r="I384" s="15"/>
      <c r="J384" s="14" t="s">
        <v>914</v>
      </c>
      <c r="K384" s="15"/>
    </row>
    <row r="385" ht="14.25" customHeight="1">
      <c r="A385" s="10"/>
      <c r="B385" s="10">
        <v>177.0</v>
      </c>
      <c r="C385" s="11" t="s">
        <v>915</v>
      </c>
      <c r="D385" s="12"/>
      <c r="E385" s="12"/>
      <c r="F385" s="11" t="s">
        <v>666</v>
      </c>
      <c r="H385" s="11" t="s">
        <v>667</v>
      </c>
      <c r="I385" s="12"/>
      <c r="J385" s="11" t="s">
        <v>916</v>
      </c>
      <c r="K385" s="12"/>
    </row>
    <row r="386" ht="14.25" customHeight="1">
      <c r="A386" s="13"/>
      <c r="B386" s="13">
        <v>178.0</v>
      </c>
      <c r="C386" s="14" t="s">
        <v>917</v>
      </c>
      <c r="D386" s="15"/>
      <c r="E386" s="15"/>
      <c r="F386" s="14" t="s">
        <v>670</v>
      </c>
      <c r="H386" s="14" t="s">
        <v>603</v>
      </c>
      <c r="I386" s="15"/>
      <c r="J386" s="14" t="s">
        <v>918</v>
      </c>
      <c r="K386" s="15"/>
    </row>
    <row r="387" ht="14.25" customHeight="1">
      <c r="A387" s="10"/>
      <c r="B387" s="10">
        <v>179.0</v>
      </c>
      <c r="C387" s="11" t="s">
        <v>919</v>
      </c>
      <c r="D387" s="12"/>
      <c r="E387" s="12"/>
      <c r="F387" s="11" t="s">
        <v>673</v>
      </c>
      <c r="G387" s="12"/>
      <c r="H387" s="11" t="s">
        <v>655</v>
      </c>
      <c r="I387" s="12"/>
      <c r="J387" s="11" t="s">
        <v>920</v>
      </c>
      <c r="K387" s="12"/>
    </row>
    <row r="388" ht="14.25" customHeight="1">
      <c r="A388" s="13"/>
      <c r="B388" s="13">
        <v>180.0</v>
      </c>
      <c r="C388" s="14" t="s">
        <v>921</v>
      </c>
      <c r="D388" s="15"/>
      <c r="E388" s="15"/>
      <c r="F388" s="14" t="s">
        <v>676</v>
      </c>
      <c r="G388" s="15"/>
      <c r="H388" s="14" t="s">
        <v>677</v>
      </c>
      <c r="I388" s="15"/>
      <c r="J388" s="14" t="s">
        <v>922</v>
      </c>
      <c r="K388" s="15"/>
    </row>
    <row r="389" ht="14.25" customHeight="1">
      <c r="A389" s="10"/>
      <c r="B389" s="10">
        <v>181.0</v>
      </c>
      <c r="C389" s="11" t="s">
        <v>923</v>
      </c>
      <c r="D389" s="12"/>
      <c r="E389" s="12"/>
      <c r="F389" s="11" t="s">
        <v>680</v>
      </c>
      <c r="G389" s="12"/>
      <c r="H389" s="11" t="s">
        <v>681</v>
      </c>
      <c r="I389" s="12"/>
      <c r="J389" s="11" t="s">
        <v>924</v>
      </c>
      <c r="K389" s="12"/>
    </row>
    <row r="390" ht="14.25" customHeight="1">
      <c r="A390" s="13"/>
      <c r="B390" s="13">
        <v>182.0</v>
      </c>
      <c r="C390" s="14" t="s">
        <v>925</v>
      </c>
      <c r="D390" s="15"/>
      <c r="E390" s="15"/>
      <c r="F390" s="14" t="s">
        <v>684</v>
      </c>
      <c r="H390" s="14" t="s">
        <v>685</v>
      </c>
      <c r="I390" s="15"/>
      <c r="J390" s="14" t="s">
        <v>926</v>
      </c>
      <c r="K390" s="15"/>
    </row>
    <row r="391" ht="14.25" customHeight="1">
      <c r="A391" s="10"/>
      <c r="B391" s="10">
        <v>183.0</v>
      </c>
      <c r="C391" s="11" t="s">
        <v>927</v>
      </c>
      <c r="D391" s="12"/>
      <c r="E391" s="12"/>
      <c r="F391" s="11" t="s">
        <v>688</v>
      </c>
      <c r="H391" s="11" t="s">
        <v>689</v>
      </c>
      <c r="I391" s="12"/>
      <c r="J391" s="11" t="s">
        <v>928</v>
      </c>
      <c r="K391" s="12"/>
    </row>
    <row r="392" ht="14.25" customHeight="1">
      <c r="A392" s="13"/>
      <c r="B392" s="13">
        <v>184.0</v>
      </c>
      <c r="C392" s="14" t="s">
        <v>929</v>
      </c>
      <c r="D392" s="15"/>
      <c r="E392" s="15"/>
      <c r="F392" s="14" t="s">
        <v>692</v>
      </c>
      <c r="H392" s="14" t="s">
        <v>693</v>
      </c>
      <c r="I392" s="15"/>
      <c r="J392" s="14" t="s">
        <v>930</v>
      </c>
      <c r="K392" s="15"/>
    </row>
    <row r="393" ht="14.25" customHeight="1">
      <c r="A393" s="10"/>
      <c r="B393" s="10">
        <v>185.0</v>
      </c>
      <c r="C393" s="11" t="s">
        <v>931</v>
      </c>
      <c r="D393" s="12"/>
      <c r="E393" s="12"/>
      <c r="F393" s="11" t="s">
        <v>696</v>
      </c>
      <c r="G393" s="12"/>
      <c r="H393" s="11" t="s">
        <v>697</v>
      </c>
      <c r="I393" s="12"/>
      <c r="J393" s="11" t="s">
        <v>932</v>
      </c>
      <c r="K393" s="12"/>
    </row>
    <row r="394" ht="14.25" customHeight="1">
      <c r="A394" s="13"/>
      <c r="B394" s="13">
        <v>186.0</v>
      </c>
      <c r="C394" s="14" t="s">
        <v>933</v>
      </c>
      <c r="D394" s="15"/>
      <c r="E394" s="15"/>
      <c r="F394" s="14" t="s">
        <v>700</v>
      </c>
      <c r="H394" s="14" t="s">
        <v>701</v>
      </c>
      <c r="I394" s="15"/>
      <c r="J394" s="14" t="s">
        <v>934</v>
      </c>
      <c r="K394" s="15"/>
    </row>
    <row r="395" ht="14.25" customHeight="1">
      <c r="A395" s="10"/>
      <c r="B395" s="10">
        <v>187.0</v>
      </c>
      <c r="C395" s="11" t="s">
        <v>935</v>
      </c>
      <c r="D395" s="12"/>
      <c r="E395" s="12"/>
      <c r="F395" s="11" t="s">
        <v>704</v>
      </c>
      <c r="G395" s="12"/>
      <c r="H395" s="11" t="s">
        <v>705</v>
      </c>
      <c r="I395" s="12"/>
      <c r="J395" s="11" t="s">
        <v>936</v>
      </c>
      <c r="K395" s="12"/>
    </row>
    <row r="396" ht="14.25" customHeight="1">
      <c r="A396" s="13"/>
      <c r="B396" s="13">
        <v>188.0</v>
      </c>
      <c r="C396" s="14" t="s">
        <v>937</v>
      </c>
      <c r="D396" s="15"/>
      <c r="E396" s="15"/>
      <c r="F396" s="14" t="s">
        <v>708</v>
      </c>
      <c r="G396" s="15"/>
      <c r="H396" s="14" t="s">
        <v>709</v>
      </c>
      <c r="I396" s="15"/>
      <c r="J396" s="14" t="s">
        <v>938</v>
      </c>
      <c r="K396" s="15"/>
    </row>
    <row r="397" ht="14.25" customHeight="1">
      <c r="A397" s="10"/>
      <c r="B397" s="10">
        <v>189.0</v>
      </c>
      <c r="C397" s="11" t="s">
        <v>939</v>
      </c>
      <c r="D397" s="12"/>
      <c r="E397" s="12"/>
      <c r="F397" s="11" t="s">
        <v>712</v>
      </c>
      <c r="G397" s="12"/>
      <c r="H397" s="11" t="s">
        <v>713</v>
      </c>
      <c r="I397" s="12"/>
      <c r="J397" s="11" t="s">
        <v>940</v>
      </c>
      <c r="K397" s="12"/>
    </row>
    <row r="398" ht="14.25" customHeight="1">
      <c r="A398" s="13"/>
      <c r="B398" s="13">
        <v>190.0</v>
      </c>
      <c r="C398" s="14" t="s">
        <v>941</v>
      </c>
      <c r="D398" s="15"/>
      <c r="E398" s="15"/>
      <c r="F398" s="14" t="s">
        <v>716</v>
      </c>
      <c r="G398" s="15"/>
      <c r="H398" s="14" t="s">
        <v>717</v>
      </c>
      <c r="I398" s="15"/>
      <c r="J398" s="14" t="s">
        <v>942</v>
      </c>
      <c r="K398" s="15"/>
    </row>
    <row r="399" ht="14.25" customHeight="1">
      <c r="A399" s="10"/>
      <c r="B399" s="10">
        <v>191.0</v>
      </c>
      <c r="C399" s="11" t="s">
        <v>943</v>
      </c>
      <c r="D399" s="12"/>
      <c r="E399" s="12"/>
      <c r="F399" s="11" t="s">
        <v>720</v>
      </c>
      <c r="G399" s="12"/>
      <c r="H399" s="11" t="s">
        <v>721</v>
      </c>
      <c r="I399" s="12"/>
      <c r="J399" s="11" t="s">
        <v>944</v>
      </c>
      <c r="K399" s="12"/>
    </row>
    <row r="400" ht="14.25" customHeight="1">
      <c r="A400" s="13"/>
      <c r="B400" s="13">
        <v>192.0</v>
      </c>
      <c r="C400" s="14" t="s">
        <v>945</v>
      </c>
      <c r="D400" s="15"/>
      <c r="E400" s="15"/>
      <c r="F400" s="14" t="s">
        <v>724</v>
      </c>
      <c r="H400" s="14" t="s">
        <v>725</v>
      </c>
      <c r="I400" s="15"/>
      <c r="J400" s="14" t="s">
        <v>946</v>
      </c>
      <c r="K400" s="15"/>
    </row>
    <row r="401" ht="14.25" customHeight="1">
      <c r="A401" s="10"/>
      <c r="B401" s="10">
        <v>193.0</v>
      </c>
      <c r="C401" s="11" t="s">
        <v>947</v>
      </c>
      <c r="D401" s="12"/>
      <c r="E401" s="12"/>
      <c r="F401" s="11" t="s">
        <v>728</v>
      </c>
      <c r="H401" s="11" t="s">
        <v>948</v>
      </c>
      <c r="I401" s="12"/>
      <c r="J401" s="11" t="s">
        <v>949</v>
      </c>
      <c r="K401" s="12"/>
    </row>
    <row r="402" ht="14.25" customHeight="1">
      <c r="A402" s="13"/>
      <c r="B402" s="13">
        <v>194.0</v>
      </c>
      <c r="C402" s="14" t="s">
        <v>950</v>
      </c>
      <c r="D402" s="15"/>
      <c r="E402" s="15"/>
      <c r="F402" s="14" t="s">
        <v>732</v>
      </c>
      <c r="G402" s="15"/>
      <c r="H402" s="14" t="s">
        <v>733</v>
      </c>
      <c r="I402" s="15"/>
      <c r="J402" s="14" t="s">
        <v>951</v>
      </c>
      <c r="K402" s="15"/>
    </row>
    <row r="403" ht="14.25" customHeight="1">
      <c r="A403" s="10"/>
      <c r="B403" s="10">
        <v>195.0</v>
      </c>
      <c r="C403" s="11" t="s">
        <v>952</v>
      </c>
      <c r="D403" s="12"/>
      <c r="E403" s="12"/>
      <c r="F403" s="11" t="s">
        <v>736</v>
      </c>
      <c r="G403" s="12"/>
      <c r="H403" s="11" t="s">
        <v>737</v>
      </c>
      <c r="I403" s="12"/>
      <c r="J403" s="11" t="s">
        <v>953</v>
      </c>
      <c r="K403" s="12"/>
    </row>
    <row r="404" ht="14.25" customHeight="1">
      <c r="A404" s="13"/>
      <c r="B404" s="13">
        <v>196.0</v>
      </c>
      <c r="C404" s="14" t="s">
        <v>954</v>
      </c>
      <c r="D404" s="15"/>
      <c r="E404" s="15"/>
      <c r="F404" s="14" t="s">
        <v>740</v>
      </c>
      <c r="H404" s="14" t="s">
        <v>741</v>
      </c>
      <c r="I404" s="15"/>
      <c r="J404" s="14" t="s">
        <v>955</v>
      </c>
      <c r="K404" s="15"/>
    </row>
    <row r="405" ht="14.25" customHeight="1">
      <c r="A405" s="10"/>
      <c r="B405" s="10">
        <v>197.0</v>
      </c>
      <c r="C405" s="11" t="s">
        <v>956</v>
      </c>
      <c r="D405" s="12"/>
      <c r="E405" s="12"/>
      <c r="F405" s="11" t="s">
        <v>744</v>
      </c>
      <c r="H405" s="11" t="s">
        <v>745</v>
      </c>
      <c r="I405" s="12"/>
      <c r="J405" s="11" t="s">
        <v>957</v>
      </c>
      <c r="K405" s="12"/>
    </row>
    <row r="406" ht="14.25" customHeight="1">
      <c r="A406" s="13"/>
      <c r="B406" s="13">
        <v>198.0</v>
      </c>
      <c r="C406" s="14" t="s">
        <v>958</v>
      </c>
      <c r="D406" s="15"/>
      <c r="E406" s="15"/>
      <c r="F406" s="14" t="s">
        <v>748</v>
      </c>
      <c r="G406" s="15"/>
      <c r="H406" s="14" t="s">
        <v>659</v>
      </c>
      <c r="I406" s="15"/>
      <c r="J406" s="14" t="s">
        <v>959</v>
      </c>
      <c r="K406" s="15"/>
    </row>
    <row r="407" ht="14.25" customHeight="1">
      <c r="A407" s="10"/>
      <c r="B407" s="10">
        <v>199.0</v>
      </c>
      <c r="C407" s="11" t="s">
        <v>960</v>
      </c>
      <c r="D407" s="12"/>
      <c r="E407" s="12"/>
      <c r="F407" s="11" t="s">
        <v>751</v>
      </c>
      <c r="H407" s="11" t="s">
        <v>752</v>
      </c>
      <c r="I407" s="12"/>
      <c r="J407" s="11" t="s">
        <v>961</v>
      </c>
      <c r="K407" s="12"/>
    </row>
    <row r="408" ht="14.25" customHeight="1">
      <c r="A408" s="13"/>
      <c r="B408" s="13">
        <v>200.0</v>
      </c>
      <c r="C408" s="14" t="s">
        <v>962</v>
      </c>
      <c r="D408" s="15"/>
      <c r="E408" s="15"/>
      <c r="F408" s="14" t="s">
        <v>755</v>
      </c>
      <c r="H408" s="14" t="s">
        <v>756</v>
      </c>
      <c r="I408" s="15"/>
      <c r="J408" s="14" t="s">
        <v>963</v>
      </c>
      <c r="K408" s="15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F257:G257"/>
    <mergeCell ref="F275:G275"/>
    <mergeCell ref="F276:G276"/>
    <mergeCell ref="F277:G277"/>
    <mergeCell ref="F288:G288"/>
    <mergeCell ref="F289:G289"/>
    <mergeCell ref="F292:G292"/>
    <mergeCell ref="F301:G301"/>
    <mergeCell ref="F309:G309"/>
    <mergeCell ref="F311:G311"/>
    <mergeCell ref="F319:G319"/>
    <mergeCell ref="F328:G328"/>
    <mergeCell ref="F333:G333"/>
    <mergeCell ref="F335:G335"/>
    <mergeCell ref="F337:G337"/>
    <mergeCell ref="F342:G342"/>
    <mergeCell ref="F346:G346"/>
    <mergeCell ref="F354:G354"/>
    <mergeCell ref="F357:G357"/>
    <mergeCell ref="F359:G359"/>
    <mergeCell ref="F365:G365"/>
    <mergeCell ref="F367:G367"/>
    <mergeCell ref="F368:G368"/>
    <mergeCell ref="F381:G381"/>
    <mergeCell ref="F384:G384"/>
    <mergeCell ref="F385:G385"/>
    <mergeCell ref="F386:G386"/>
    <mergeCell ref="F390:G390"/>
    <mergeCell ref="F407:G407"/>
    <mergeCell ref="F408:G408"/>
    <mergeCell ref="F391:G391"/>
    <mergeCell ref="F392:G392"/>
    <mergeCell ref="F394:G394"/>
    <mergeCell ref="F400:G400"/>
    <mergeCell ref="F401:G401"/>
    <mergeCell ref="F404:G404"/>
    <mergeCell ref="F405:G40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29"/>
    <col customWidth="1" min="2" max="2" width="73.57"/>
    <col customWidth="1" min="3" max="3" width="80.86"/>
    <col customWidth="1" min="4" max="4" width="40.29"/>
    <col customWidth="1" min="5" max="5" width="80.86"/>
    <col customWidth="1" min="6" max="6" width="8.71"/>
    <col customWidth="1" min="7" max="7" width="13.71"/>
    <col customWidth="1" min="8" max="8" width="33.43"/>
    <col customWidth="1" min="9" max="9" width="36.57"/>
    <col customWidth="1" min="10" max="10" width="26.57"/>
    <col customWidth="1" min="11" max="11" width="45.71"/>
    <col customWidth="1" min="12" max="17" width="8.71"/>
  </cols>
  <sheetData>
    <row r="1" ht="14.25" customHeight="1">
      <c r="A1" s="16" t="s">
        <v>5</v>
      </c>
      <c r="B1" s="16" t="s">
        <v>1</v>
      </c>
      <c r="C1" s="16" t="s">
        <v>2</v>
      </c>
      <c r="D1" s="16" t="s">
        <v>3</v>
      </c>
      <c r="E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7"/>
    </row>
    <row r="2" ht="14.25" customHeight="1">
      <c r="A2" s="18" t="str">
        <f>IFERROR(__xludf.DUMMYFUNCTION("GOOGLETRANSLATE(G2, ""th"", ""en"")"),"1")</f>
        <v>1</v>
      </c>
      <c r="B2" s="18" t="str">
        <f>IFERROR(__xludf.DUMMYFUNCTION("GOOGLETRANSLATE(H2, ""th"", ""en"")"),"Where does the sport of boat racing (Kaeng Ruer) originate from?")</f>
        <v>Where does the sport of boat racing (Kaeng Ruer) originate from?</v>
      </c>
      <c r="C2" s="18" t="str">
        <f>IFERROR(__xludf.DUMMYFUNCTION("GOOGLETRANSLATE(I2, ""th"", ""en"")"),"A) Thai culture; B) Chinese culture; C) Japanese culture; D) Indian culture")</f>
        <v>A) Thai culture; B) Chinese culture; C) Japanese culture; D) Indian culture</v>
      </c>
      <c r="D2" s="18" t="str">
        <f>IFERROR(__xludf.DUMMYFUNCTION("GOOGLETRANSLATE(J2, ""th"", ""en"")"),"A) Thai culture")</f>
        <v>A) Thai culture</v>
      </c>
      <c r="E2" s="18" t="str">
        <f>IFERROR(__xludf.DUMMYFUNCTION("GOOGLETRANSLATE(K2, ""th"", ""en"")"),"Boat racing has its origins in Thai culture and is related to the way of life of people living near water.")</f>
        <v>Boat racing has its origins in Thai culture and is related to the way of life of people living near water.</v>
      </c>
      <c r="G2" s="18">
        <v>1.0</v>
      </c>
      <c r="H2" s="19" t="s">
        <v>964</v>
      </c>
      <c r="I2" s="19" t="s">
        <v>965</v>
      </c>
      <c r="J2" s="19" t="s">
        <v>966</v>
      </c>
      <c r="K2" s="19" t="s">
        <v>967</v>
      </c>
      <c r="L2" s="17"/>
    </row>
    <row r="3" ht="14.25" customHeight="1">
      <c r="A3" s="18" t="str">
        <f>IFERROR(__xludf.DUMMYFUNCTION("GOOGLETRANSLATE(G3, ""th"", ""en"")"),"2")</f>
        <v>2</v>
      </c>
      <c r="B3" s="18" t="str">
        <f>IFERROR(__xludf.DUMMYFUNCTION("GOOGLETRANSLATE(H3, ""th"", ""en"")"),"When did boat racing begin in Thailand?")</f>
        <v>When did boat racing begin in Thailand?</v>
      </c>
      <c r="C3" s="18" t="str">
        <f>IFERROR(__xludf.DUMMYFUNCTION("GOOGLETRANSLATE(I3, ""th"", ""en"")"),"A) Ayutthaya period; B) Rattanakosin period; C) Thonburi period; D) Sukhothai period")</f>
        <v>A) Ayutthaya period; B) Rattanakosin period; C) Thonburi period; D) Sukhothai period</v>
      </c>
      <c r="D3" s="18" t="str">
        <f>IFERROR(__xludf.DUMMYFUNCTION("GOOGLETRANSLATE(J3, ""th"", ""en"")"),"A) Ayutthaya period")</f>
        <v>A) Ayutthaya period</v>
      </c>
      <c r="E3" s="18" t="str">
        <f>IFERROR(__xludf.DUMMYFUNCTION("GOOGLETRANSLATE(K3, ""th"", ""en"")"),"Boat racing has a long history dating back to the Ayutthaya period.")</f>
        <v>Boat racing has a long history dating back to the Ayutthaya period.</v>
      </c>
      <c r="G3" s="18">
        <v>2.0</v>
      </c>
      <c r="H3" s="19" t="s">
        <v>968</v>
      </c>
      <c r="I3" s="19" t="s">
        <v>969</v>
      </c>
      <c r="J3" s="19" t="s">
        <v>970</v>
      </c>
      <c r="K3" s="19" t="s">
        <v>971</v>
      </c>
      <c r="L3" s="17"/>
    </row>
    <row r="4" ht="14.25" customHeight="1">
      <c r="A4" s="18" t="str">
        <f>IFERROR(__xludf.DUMMYFUNCTION("GOOGLETRANSLATE(G4, ""th"", ""en"")"),"3")</f>
        <v>3</v>
      </c>
      <c r="B4" s="18" t="str">
        <f>IFERROR(__xludf.DUMMYFUNCTION("GOOGLETRANSLATE(H4, ""th"", ""en"")"),"What time of year are long-boat races usually held in Thailand?")</f>
        <v>What time of year are long-boat races usually held in Thailand?</v>
      </c>
      <c r="C4" s="18" t="str">
        <f>IFERROR(__xludf.DUMMYFUNCTION("GOOGLETRANSLATE(I4, ""th"", ""en"")"),"A) rainy season; B) winter; C) summer; D) all year round")</f>
        <v>A) rainy season; B) winter; C) summer; D) all year round</v>
      </c>
      <c r="D4" s="18" t="str">
        <f>IFERROR(__xludf.DUMMYFUNCTION("GOOGLETRANSLATE(J4, ""th"", ""en"")"),"A) Rainy season")</f>
        <v>A) Rainy season</v>
      </c>
      <c r="E4" s="18" t="str">
        <f>IFERROR(__xludf.DUMMYFUNCTION("GOOGLETRANSLATE(K4, ""th"", ""en"")"),"Long boat races are usually held during the rainy season when the river water level is high.")</f>
        <v>Long boat races are usually held during the rainy season when the river water level is high.</v>
      </c>
      <c r="G4" s="18">
        <v>3.0</v>
      </c>
      <c r="H4" s="19" t="s">
        <v>972</v>
      </c>
      <c r="I4" s="19" t="s">
        <v>973</v>
      </c>
      <c r="J4" s="19" t="s">
        <v>974</v>
      </c>
      <c r="K4" s="19" t="s">
        <v>975</v>
      </c>
      <c r="L4" s="17"/>
    </row>
    <row r="5" ht="14.25" customHeight="1">
      <c r="A5" s="18" t="str">
        <f>IFERROR(__xludf.DUMMYFUNCTION("GOOGLETRANSLATE(G5, ""th"", ""en"")"),"4")</f>
        <v>4</v>
      </c>
      <c r="B5" s="18" t="str">
        <f>IFERROR(__xludf.DUMMYFUNCTION("GOOGLETRANSLATE(H5, ""th"", ""en"")"),"What festival in Thailand is the long boat race related to?")</f>
        <v>What festival in Thailand is the long boat race related to?</v>
      </c>
      <c r="C5" s="18" t="str">
        <f>IFERROR(__xludf.DUMMYFUNCTION("GOOGLETRANSLATE(I5, ""th"", ""en"")"),"A) Buddhist Lent Festival; B) Songkran Festival; C) Loi Krathong Festival; D) New Year Festival")</f>
        <v>A) Buddhist Lent Festival; B) Songkran Festival; C) Loi Krathong Festival; D) New Year Festival</v>
      </c>
      <c r="D5" s="18" t="str">
        <f>IFERROR(__xludf.DUMMYFUNCTION("GOOGLETRANSLATE(J5, ""th"", ""en"")"),"A) The end of Buddhist Lent")</f>
        <v>A) The end of Buddhist Lent</v>
      </c>
      <c r="E5" s="18" t="str">
        <f>IFERROR(__xludf.DUMMYFUNCTION("GOOGLETRANSLATE(K5, ""th"", ""en"")"),"Long boat races are often held in conjunction with the Ok Phansa festival to show unity.")</f>
        <v>Long boat races are often held in conjunction with the Ok Phansa festival to show unity.</v>
      </c>
      <c r="G5" s="18">
        <v>4.0</v>
      </c>
      <c r="H5" s="19" t="s">
        <v>976</v>
      </c>
      <c r="I5" s="19" t="s">
        <v>977</v>
      </c>
      <c r="J5" s="19" t="s">
        <v>978</v>
      </c>
      <c r="K5" s="19" t="s">
        <v>979</v>
      </c>
      <c r="L5" s="17"/>
    </row>
    <row r="6" ht="14.25" customHeight="1">
      <c r="A6" s="18" t="str">
        <f>IFERROR(__xludf.DUMMYFUNCTION("GOOGLETRANSLATE(G6, ""th"", ""en"")"),"5")</f>
        <v>5</v>
      </c>
      <c r="B6" s="18" t="str">
        <f>IFERROR(__xludf.DUMMYFUNCTION("GOOGLETRANSLATE(H6, ""th"", ""en"")"),"What materials are the boats used in long boat racing made of?")</f>
        <v>What materials are the boats used in long boat racing made of?</v>
      </c>
      <c r="C6" s="18" t="str">
        <f>IFERROR(__xludf.DUMMYFUNCTION("GOOGLETRANSLATE(I6, ""th"", ""en"")"),"A) wood; B) plastic; C) metal; D) carbon fiber")</f>
        <v>A) wood; B) plastic; C) metal; D) carbon fiber</v>
      </c>
      <c r="D6" s="18" t="str">
        <f>IFERROR(__xludf.DUMMYFUNCTION("GOOGLETRANSLATE(J6, ""th"", ""en"")"),"A) Wood")</f>
        <v>A) Wood</v>
      </c>
      <c r="E6" s="18" t="str">
        <f>IFERROR(__xludf.DUMMYFUNCTION("GOOGLETRANSLATE(K6, ""th"", ""en"")"),"Longboats used in racing are usually made of durable hardwood.")</f>
        <v>Longboats used in racing are usually made of durable hardwood.</v>
      </c>
      <c r="G6" s="18">
        <v>5.0</v>
      </c>
      <c r="H6" s="19" t="s">
        <v>980</v>
      </c>
      <c r="I6" s="19" t="s">
        <v>981</v>
      </c>
      <c r="J6" s="19" t="s">
        <v>982</v>
      </c>
      <c r="K6" s="19" t="s">
        <v>983</v>
      </c>
      <c r="L6" s="17"/>
    </row>
    <row r="7" ht="14.25" customHeight="1">
      <c r="A7" s="18" t="str">
        <f>IFERROR(__xludf.DUMMYFUNCTION("GOOGLETRANSLATE(G7, ""th"", ""en"")"),"6")</f>
        <v>6</v>
      </c>
      <c r="B7" s="18" t="str">
        <f>IFERROR(__xludf.DUMMYFUNCTION("GOOGLETRANSLATE(H7, ""th"", ""en"")"),"What was longboat racing used for in the past?")</f>
        <v>What was longboat racing used for in the past?</v>
      </c>
      <c r="C7" s="18" t="str">
        <f>IFERROR(__xludf.DUMMYFUNCTION("GOOGLETRANSLATE(I7, ""th"", ""en"")"),"A) river worship; B) fun competition; C) community power show; D) all of the above")</f>
        <v>A) river worship; B) fun competition; C) community power show; D) all of the above</v>
      </c>
      <c r="D7" s="18" t="str">
        <f>IFERROR(__xludf.DUMMYFUNCTION("GOOGLETRANSLATE(J7, ""th"", ""en"")"),"D) All of the above")</f>
        <v>D) All of the above</v>
      </c>
      <c r="E7" s="18" t="str">
        <f>IFERROR(__xludf.DUMMYFUNCTION("GOOGLETRANSLATE(K7, ""th"", ""en"")"),"Long-boat racing has historically served many purposes, including worship and unity.")</f>
        <v>Long-boat racing has historically served many purposes, including worship and unity.</v>
      </c>
      <c r="G7" s="18">
        <v>6.0</v>
      </c>
      <c r="H7" s="19" t="s">
        <v>984</v>
      </c>
      <c r="I7" s="19" t="s">
        <v>985</v>
      </c>
      <c r="J7" s="19" t="s">
        <v>986</v>
      </c>
      <c r="K7" s="19" t="s">
        <v>987</v>
      </c>
      <c r="L7" s="17"/>
    </row>
    <row r="8" ht="14.25" customHeight="1">
      <c r="A8" s="18" t="str">
        <f>IFERROR(__xludf.DUMMYFUNCTION("GOOGLETRANSLATE(G8, ""th"", ""en"")"),"7")</f>
        <v>7</v>
      </c>
      <c r="B8" s="18" t="str">
        <f>IFERROR(__xludf.DUMMYFUNCTION("GOOGLETRANSLATE(H8, ""th"", ""en"")"),"What religion is associated with long-boat racing in Thailand?")</f>
        <v>What religion is associated with long-boat racing in Thailand?</v>
      </c>
      <c r="C8" s="18" t="str">
        <f>IFERROR(__xludf.DUMMYFUNCTION("GOOGLETRANSLATE(I8, ""th"", ""en"")"),"A) Buddhism; B) Christianity; C) Islam; D) No relation")</f>
        <v>A) Buddhism; B) Christianity; C) Islam; D) No relation</v>
      </c>
      <c r="D8" s="18" t="str">
        <f>IFERROR(__xludf.DUMMYFUNCTION("GOOGLETRANSLATE(J8, ""th"", ""en"")"),"A) Buddhism")</f>
        <v>A) Buddhism</v>
      </c>
      <c r="E8" s="18" t="str">
        <f>IFERROR(__xludf.DUMMYFUNCTION("GOOGLETRANSLATE(K8, ""th"", ""en"")"),"Long boat racing is often associated with Buddhist rituals.")</f>
        <v>Long boat racing is often associated with Buddhist rituals.</v>
      </c>
      <c r="G8" s="18">
        <v>7.0</v>
      </c>
      <c r="H8" s="19" t="s">
        <v>988</v>
      </c>
      <c r="I8" s="19" t="s">
        <v>989</v>
      </c>
      <c r="J8" s="19" t="s">
        <v>990</v>
      </c>
      <c r="K8" s="19" t="s">
        <v>991</v>
      </c>
      <c r="L8" s="17"/>
    </row>
    <row r="9" ht="14.25" customHeight="1">
      <c r="A9" s="18" t="str">
        <f>IFERROR(__xludf.DUMMYFUNCTION("GOOGLETRANSLATE(G9, ""th"", ""en"")"),"8")</f>
        <v>8</v>
      </c>
      <c r="B9" s="18" t="str">
        <f>IFERROR(__xludf.DUMMYFUNCTION("GOOGLETRANSLATE(H9, ""th"", ""en"")"),"In which river are boat races usually held in Thailand?")</f>
        <v>In which river are boat races usually held in Thailand?</v>
      </c>
      <c r="C9" s="18" t="str">
        <f>IFERROR(__xludf.DUMMYFUNCTION("GOOGLETRANSLATE(I9, ""th"", ""en"")"),"A) Chao Phraya River; B) Mekong River; C) Pa Sak River; D) All rivers in the community")</f>
        <v>A) Chao Phraya River; B) Mekong River; C) Pa Sak River; D) All rivers in the community</v>
      </c>
      <c r="D9" s="18" t="str">
        <f>IFERROR(__xludf.DUMMYFUNCTION("GOOGLETRANSLATE(J9, ""th"", ""en"")"),"A) Chao Phraya River")</f>
        <v>A) Chao Phraya River</v>
      </c>
      <c r="E9" s="18" t="str">
        <f>IFERROR(__xludf.DUMMYFUNCTION("GOOGLETRANSLATE(K9, ""th"", ""en"")"),"The Chao Phraya River is one of the famous venues for long-boat races.")</f>
        <v>The Chao Phraya River is one of the famous venues for long-boat races.</v>
      </c>
      <c r="G9" s="18">
        <v>8.0</v>
      </c>
      <c r="H9" s="19" t="s">
        <v>992</v>
      </c>
      <c r="I9" s="19" t="s">
        <v>993</v>
      </c>
      <c r="J9" s="19" t="s">
        <v>994</v>
      </c>
      <c r="K9" s="19" t="s">
        <v>995</v>
      </c>
      <c r="L9" s="17"/>
    </row>
    <row r="10" ht="14.25" customHeight="1">
      <c r="A10" s="18" t="str">
        <f>IFERROR(__xludf.DUMMYFUNCTION("GOOGLETRANSLATE(G10, ""th"", ""en"")"),"9")</f>
        <v>9</v>
      </c>
      <c r="B10" s="18" t="str">
        <f>IFERROR(__xludf.DUMMYFUNCTION("GOOGLETRANSLATE(H10, ""th"", ""en"")"),"What class was longboat racing in Thailand associated with in the past?")</f>
        <v>What class was longboat racing in Thailand associated with in the past?</v>
      </c>
      <c r="C10" s="18" t="str">
        <f>IFERROR(__xludf.DUMMYFUNCTION("GOOGLETRANSLATE(I10, ""th"", ""en"")"),"A) royalty; B) farmers; C) fishermen; D) all of the above")</f>
        <v>A) royalty; B) farmers; C) fishermen; D) all of the above</v>
      </c>
      <c r="D10" s="18" t="str">
        <f>IFERROR(__xludf.DUMMYFUNCTION("GOOGLETRANSLATE(J10, ""th"", ""en"")"),"D) All of the above")</f>
        <v>D) All of the above</v>
      </c>
      <c r="E10" s="18" t="str">
        <f>IFERROR(__xludf.DUMMYFUNCTION("GOOGLETRANSLATE(K10, ""th"", ""en"")"),"Long boat racing was once an activity that both the royal family and the common people participated in.")</f>
        <v>Long boat racing was once an activity that both the royal family and the common people participated in.</v>
      </c>
      <c r="G10" s="18">
        <v>9.0</v>
      </c>
      <c r="H10" s="19" t="s">
        <v>996</v>
      </c>
      <c r="I10" s="19" t="s">
        <v>997</v>
      </c>
      <c r="J10" s="19" t="s">
        <v>986</v>
      </c>
      <c r="K10" s="19" t="s">
        <v>998</v>
      </c>
      <c r="L10" s="17"/>
    </row>
    <row r="11" ht="14.25" customHeight="1">
      <c r="A11" s="18" t="str">
        <f>IFERROR(__xludf.DUMMYFUNCTION("GOOGLETRANSLATE(G11, ""th"", ""en"")"),"10")</f>
        <v>10</v>
      </c>
      <c r="B11" s="18" t="str">
        <f>IFERROR(__xludf.DUMMYFUNCTION("GOOGLETRANSLATE(H11, ""th"", ""en"")"),"In the past, what activities were longboats used for besides racing?")</f>
        <v>In the past, what activities were longboats used for besides racing?</v>
      </c>
      <c r="C11" s="18" t="str">
        <f>IFERROR(__xludf.DUMMYFUNCTION("GOOGLETRANSLATE(I11, ""th"", ""en"")"),"A) travel; B) trade; C) warfare; D) all of the above")</f>
        <v>A) travel; B) trade; C) warfare; D) all of the above</v>
      </c>
      <c r="D11" s="18" t="str">
        <f>IFERROR(__xludf.DUMMYFUNCTION("GOOGLETRANSLATE(J11, ""th"", ""en"")"),"D) All of the above")</f>
        <v>D) All of the above</v>
      </c>
      <c r="E11" s="18" t="str">
        <f>IFERROR(__xludf.DUMMYFUNCTION("GOOGLETRANSLATE(K11, ""th"", ""en"")"),"Long boats in the past were used for various activities such as travel and warfare.")</f>
        <v>Long boats in the past were used for various activities such as travel and warfare.</v>
      </c>
      <c r="G11" s="18">
        <v>10.0</v>
      </c>
      <c r="H11" s="19" t="s">
        <v>999</v>
      </c>
      <c r="I11" s="19" t="s">
        <v>1000</v>
      </c>
      <c r="J11" s="19" t="s">
        <v>986</v>
      </c>
      <c r="K11" s="19" t="s">
        <v>1001</v>
      </c>
      <c r="L11" s="17"/>
    </row>
    <row r="12" ht="14.25" customHeight="1">
      <c r="A12" s="18" t="str">
        <f>IFERROR(__xludf.DUMMYFUNCTION("GOOGLETRANSLATE(G12, ""th"", ""en"")"),"11")</f>
        <v>11</v>
      </c>
      <c r="B12" s="18" t="str">
        <f>IFERROR(__xludf.DUMMYFUNCTION("GOOGLETRANSLATE(H12, ""th"", ""en"")"),"What is the name of the song used in the opening ceremony of the long boat race?")</f>
        <v>What is the name of the song used in the opening ceremony of the long boat race?</v>
      </c>
      <c r="C12" s="18" t="str">
        <f>IFERROR(__xludf.DUMMYFUNCTION("GOOGLETRANSLATE(I12, ""th"", ""en"")"),"A) boat song; B) rowing song; C) praise song; D) folk song")</f>
        <v>A) boat song; B) rowing song; C) praise song; D) folk song</v>
      </c>
      <c r="D12" s="18" t="str">
        <f>IFERROR(__xludf.DUMMYFUNCTION("GOOGLETRANSLATE(J12, ""th"", ""en"")"),"A) Boat Song")</f>
        <v>A) Boat Song</v>
      </c>
      <c r="E12" s="18" t="str">
        <f>IFERROR(__xludf.DUMMYFUNCTION("GOOGLETRANSLATE(K12, ""th"", ""en"")"),"Boat songs are often used in opening ceremonies to create atmosphere.")</f>
        <v>Boat songs are often used in opening ceremonies to create atmosphere.</v>
      </c>
      <c r="G12" s="18">
        <v>11.0</v>
      </c>
      <c r="H12" s="19" t="s">
        <v>1002</v>
      </c>
      <c r="I12" s="19" t="s">
        <v>1003</v>
      </c>
      <c r="J12" s="19" t="s">
        <v>1004</v>
      </c>
      <c r="K12" s="19" t="s">
        <v>1005</v>
      </c>
      <c r="L12" s="17"/>
    </row>
    <row r="13" ht="14.25" customHeight="1">
      <c r="A13" s="18" t="str">
        <f>IFERROR(__xludf.DUMMYFUNCTION("GOOGLETRANSLATE(G13, ""th"", ""en"")"),"12")</f>
        <v>12</v>
      </c>
      <c r="B13" s="18" t="str">
        <f>IFERROR(__xludf.DUMMYFUNCTION("GOOGLETRANSLATE(H13, ""th"", ""en"")"),"What was the main purpose of long boat racing in the past?")</f>
        <v>What was the main purpose of long boat racing in the past?</v>
      </c>
      <c r="C13" s="18" t="str">
        <f>IFERROR(__xludf.DUMMYFUNCTION("GOOGLETRANSLATE(I13, ""th"", ""en"")"),"A) river worship; B) strengthening of unity; C) celebration; D) all of the above")</f>
        <v>A) river worship; B) strengthening of unity; C) celebration; D) all of the above</v>
      </c>
      <c r="D13" s="18" t="str">
        <f>IFERROR(__xludf.DUMMYFUNCTION("GOOGLETRANSLATE(J13, ""th"", ""en"")"),"D) All of the above")</f>
        <v>D) All of the above</v>
      </c>
      <c r="E13" s="18" t="str">
        <f>IFERROR(__xludf.DUMMYFUNCTION("GOOGLETRANSLATE(K13, ""th"", ""en"")"),"Long boat racing in the past had both religious and celebratory purposes.")</f>
        <v>Long boat racing in the past had both religious and celebratory purposes.</v>
      </c>
      <c r="G13" s="18">
        <v>12.0</v>
      </c>
      <c r="H13" s="19" t="s">
        <v>1006</v>
      </c>
      <c r="I13" s="19" t="s">
        <v>1007</v>
      </c>
      <c r="J13" s="19" t="s">
        <v>986</v>
      </c>
      <c r="K13" s="19" t="s">
        <v>1008</v>
      </c>
      <c r="L13" s="17"/>
    </row>
    <row r="14" ht="14.25" customHeight="1">
      <c r="A14" s="18" t="str">
        <f>IFERROR(__xludf.DUMMYFUNCTION("GOOGLETRANSLATE(G14, ""th"", ""en"")"),"13")</f>
        <v>13</v>
      </c>
      <c r="B14" s="18" t="str">
        <f>IFERROR(__xludf.DUMMYFUNCTION("GOOGLETRANSLATE(H14, ""th"", ""en"")"),"What type of boats were used in long-boat races in the past?")</f>
        <v>What type of boats were used in long-boat races in the past?</v>
      </c>
      <c r="C14" s="18" t="str">
        <f>IFERROR(__xludf.DUMMYFUNCTION("GOOGLETRANSLATE(I14, ""th"", ""en"")"),"A) Dragon-headed boat; B) Ordinary boat; C) Carved wooden long boat; D) Bamboo boat")</f>
        <v>A) Dragon-headed boat; B) Ordinary boat; C) Carved wooden long boat; D) Bamboo boat</v>
      </c>
      <c r="D14" s="18" t="str">
        <f>IFERROR(__xludf.DUMMYFUNCTION("GOOGLETRANSLATE(J14, ""th"", ""en"")"),"C) Carved wooden long boat")</f>
        <v>C) Carved wooden long boat</v>
      </c>
      <c r="E14" s="18" t="str">
        <f>IFERROR(__xludf.DUMMYFUNCTION("GOOGLETRANSLATE(K14, ""th"", ""en"")"),"Long boats in the past were often intricately carved to show their beauty.")</f>
        <v>Long boats in the past were often intricately carved to show their beauty.</v>
      </c>
      <c r="G14" s="18">
        <v>13.0</v>
      </c>
      <c r="H14" s="19" t="s">
        <v>1009</v>
      </c>
      <c r="I14" s="19" t="s">
        <v>1010</v>
      </c>
      <c r="J14" s="19" t="s">
        <v>1011</v>
      </c>
      <c r="K14" s="19" t="s">
        <v>1012</v>
      </c>
      <c r="L14" s="17"/>
    </row>
    <row r="15" ht="14.25" customHeight="1">
      <c r="A15" s="18" t="str">
        <f>IFERROR(__xludf.DUMMYFUNCTION("GOOGLETRANSLATE(G15, ""th"", ""en"")"),"14")</f>
        <v>14</v>
      </c>
      <c r="B15" s="18" t="str">
        <f>IFERROR(__xludf.DUMMYFUNCTION("GOOGLETRANSLATE(H15, ""th"", ""en"")"),"Where have the longboat races in Thai history been held the most?")</f>
        <v>Where have the longboat races in Thai history been held the most?</v>
      </c>
      <c r="C15" s="18" t="str">
        <f>IFERROR(__xludf.DUMMYFUNCTION("GOOGLETRANSLATE(I15, ""th"", ""en"")"),"A) riverside communities; B) capital cities; C) rural areas; D) all of the above")</f>
        <v>A) riverside communities; B) capital cities; C) rural areas; D) all of the above</v>
      </c>
      <c r="D15" s="18" t="str">
        <f>IFERROR(__xludf.DUMMYFUNCTION("GOOGLETRANSLATE(J15, ""th"", ""en"")"),"A) Riverside community")</f>
        <v>A) Riverside community</v>
      </c>
      <c r="E15" s="18" t="str">
        <f>IFERROR(__xludf.DUMMYFUNCTION("GOOGLETRANSLATE(K15, ""th"", ""en"")"),"Long-boat races are often held in riverside communities to connect their way of life with nature.")</f>
        <v>Long-boat races are often held in riverside communities to connect their way of life with nature.</v>
      </c>
      <c r="G15" s="18">
        <v>14.0</v>
      </c>
      <c r="H15" s="19" t="s">
        <v>1013</v>
      </c>
      <c r="I15" s="19" t="s">
        <v>1014</v>
      </c>
      <c r="J15" s="19" t="s">
        <v>1015</v>
      </c>
      <c r="K15" s="19" t="s">
        <v>1016</v>
      </c>
      <c r="L15" s="17"/>
    </row>
    <row r="16" ht="14.25" customHeight="1">
      <c r="A16" s="18" t="str">
        <f>IFERROR(__xludf.DUMMYFUNCTION("GOOGLETRANSLATE(G16, ""th"", ""en"")"),"15")</f>
        <v>15</v>
      </c>
      <c r="B16" s="18" t="str">
        <f>IFERROR(__xludf.DUMMYFUNCTION("GOOGLETRANSLATE(H16, ""th"", ""en"")"),"What important role does longboat racing play in Thai society?")</f>
        <v>What important role does longboat racing play in Thai society?</v>
      </c>
      <c r="C16" s="18" t="str">
        <f>IFERROR(__xludf.DUMMYFUNCTION("GOOGLETRANSLATE(I16, ""th"", ""en"")"),"A) It promotes unity; B) It is an entertainment activity; C) It is a show of community strength; D) All of the above.")</f>
        <v>A) It promotes unity; B) It is an entertainment activity; C) It is a show of community strength; D) All of the above.</v>
      </c>
      <c r="D16" s="18" t="str">
        <f>IFERROR(__xludf.DUMMYFUNCTION("GOOGLETRANSLATE(J16, ""th"", ""en"")"),"D) All of the above")</f>
        <v>D) All of the above</v>
      </c>
      <c r="E16" s="18" t="str">
        <f>IFERROR(__xludf.DUMMYFUNCTION("GOOGLETRANSLATE(K16, ""th"", ""en"")"),"Long-boat racing plays an important role in all aspects related to culture and community.")</f>
        <v>Long-boat racing plays an important role in all aspects related to culture and community.</v>
      </c>
      <c r="G16" s="18">
        <v>15.0</v>
      </c>
      <c r="H16" s="19" t="s">
        <v>1017</v>
      </c>
      <c r="I16" s="19" t="s">
        <v>1018</v>
      </c>
      <c r="J16" s="19" t="s">
        <v>986</v>
      </c>
      <c r="K16" s="19" t="s">
        <v>1019</v>
      </c>
      <c r="L16" s="17"/>
    </row>
    <row r="17" ht="14.25" customHeight="1">
      <c r="A17" s="18" t="str">
        <f>IFERROR(__xludf.DUMMYFUNCTION("GOOGLETRANSLATE(G17, ""th"", ""en"")"),"16")</f>
        <v>16</v>
      </c>
      <c r="B17" s="18" t="str">
        <f>IFERROR(__xludf.DUMMYFUNCTION("GOOGLETRANSLATE(H17, ""th"", ""en"")"),"In ancient times, who was the leader of the rowing team?")</f>
        <v>In ancient times, who was the leader of the rowing team?</v>
      </c>
      <c r="C17" s="18" t="str">
        <f>IFERROR(__xludf.DUMMYFUNCTION("GOOGLETRANSLATE(I17, ""th"", ""en"")"),"A) village chief; B) monk; C) senior fisherman; D) military officer")</f>
        <v>A) village chief; B) monk; C) senior fisherman; D) military officer</v>
      </c>
      <c r="D17" s="18" t="str">
        <f>IFERROR(__xludf.DUMMYFUNCTION("GOOGLETRANSLATE(J17, ""th"", ""en"")"),"A) Village chief")</f>
        <v>A) Village chief</v>
      </c>
      <c r="E17" s="18" t="str">
        <f>IFERROR(__xludf.DUMMYFUNCTION("GOOGLETRANSLATE(K17, ""th"", ""en"")"),"The village chief is often the leader of the team in the long boat race.")</f>
        <v>The village chief is often the leader of the team in the long boat race.</v>
      </c>
      <c r="G17" s="18">
        <v>16.0</v>
      </c>
      <c r="H17" s="19" t="s">
        <v>1020</v>
      </c>
      <c r="I17" s="19" t="s">
        <v>1021</v>
      </c>
      <c r="J17" s="19" t="s">
        <v>1022</v>
      </c>
      <c r="K17" s="19" t="s">
        <v>1023</v>
      </c>
      <c r="L17" s="17"/>
    </row>
    <row r="18" ht="14.25" customHeight="1">
      <c r="A18" s="18" t="str">
        <f>IFERROR(__xludf.DUMMYFUNCTION("GOOGLETRANSLATE(G18, ""th"", ""en"")"),"17")</f>
        <v>17</v>
      </c>
      <c r="B18" s="18" t="str">
        <f>IFERROR(__xludf.DUMMYFUNCTION("GOOGLETRANSLATE(H18, ""th"", ""en"")"),"What worship was often associated with long-boat racing in the past?")</f>
        <v>What worship was often associated with long-boat racing in the past?</v>
      </c>
      <c r="C18" s="18" t="str">
        <f>IFERROR(__xludf.DUMMYFUNCTION("GOOGLETRANSLATE(I18, ""th"", ""en"")"),"A) God of Water; B) Grandfather; C) Naga; D) All of the above")</f>
        <v>A) God of Water; B) Grandfather; C) Naga; D) All of the above</v>
      </c>
      <c r="D18" s="18" t="str">
        <f>IFERROR(__xludf.DUMMYFUNCTION("GOOGLETRANSLATE(J18, ""th"", ""en"")"),"D) All of the above")</f>
        <v>D) All of the above</v>
      </c>
      <c r="E18" s="18" t="str">
        <f>IFERROR(__xludf.DUMMYFUNCTION("GOOGLETRANSLATE(K18, ""th"", ""en"")"),"Historically, worship was often associated with the belief in a sacred being that protected the river.")</f>
        <v>Historically, worship was often associated with the belief in a sacred being that protected the river.</v>
      </c>
      <c r="G18" s="18">
        <v>17.0</v>
      </c>
      <c r="H18" s="19" t="s">
        <v>1024</v>
      </c>
      <c r="I18" s="19" t="s">
        <v>1025</v>
      </c>
      <c r="J18" s="19" t="s">
        <v>986</v>
      </c>
      <c r="K18" s="19" t="s">
        <v>1026</v>
      </c>
      <c r="L18" s="17"/>
    </row>
    <row r="19" ht="14.25" customHeight="1">
      <c r="A19" s="18" t="str">
        <f>IFERROR(__xludf.DUMMYFUNCTION("GOOGLETRANSLATE(G19, ""th"", ""en"")"),"18")</f>
        <v>18</v>
      </c>
      <c r="B19" s="18" t="str">
        <f>IFERROR(__xludf.DUMMYFUNCTION("GOOGLETRANSLATE(H19, ""th"", ""en"")"),"In the past, long boat racing was an activity associated with which class?")</f>
        <v>In the past, long boat racing was an activity associated with which class?</v>
      </c>
      <c r="C19" s="18" t="str">
        <f>IFERROR(__xludf.DUMMYFUNCTION("GOOGLETRANSLATE(I19, ""th"", ""en"")"),"A) villagers; B) palace people; C) monks; D) all of the above")</f>
        <v>A) villagers; B) palace people; C) monks; D) all of the above</v>
      </c>
      <c r="D19" s="18" t="str">
        <f>IFERROR(__xludf.DUMMYFUNCTION("GOOGLETRANSLATE(J19, ""th"", ""en"")"),"D) All of the above")</f>
        <v>D) All of the above</v>
      </c>
      <c r="E19" s="18" t="str">
        <f>IFERROR(__xludf.DUMMYFUNCTION("GOOGLETRANSLATE(K19, ""th"", ""en"")"),"Long-boat racing involves all classes of Thai society.")</f>
        <v>Long-boat racing involves all classes of Thai society.</v>
      </c>
      <c r="G19" s="18">
        <v>18.0</v>
      </c>
      <c r="H19" s="19" t="s">
        <v>1027</v>
      </c>
      <c r="I19" s="19" t="s">
        <v>1028</v>
      </c>
      <c r="J19" s="19" t="s">
        <v>986</v>
      </c>
      <c r="K19" s="19" t="s">
        <v>1029</v>
      </c>
      <c r="L19" s="17"/>
    </row>
    <row r="20" ht="14.25" customHeight="1">
      <c r="A20" s="18" t="str">
        <f>IFERROR(__xludf.DUMMYFUNCTION("GOOGLETRANSLATE(G20, ""th"", ""en"")"),"19")</f>
        <v>19</v>
      </c>
      <c r="B20" s="18" t="str">
        <f>IFERROR(__xludf.DUMMYFUNCTION("GOOGLETRANSLATE(H20, ""th"", ""en"")"),"What organization is currently supporting the long boat races?")</f>
        <v>What organization is currently supporting the long boat races?</v>
      </c>
      <c r="C20" s="18" t="str">
        <f>IFERROR(__xludf.DUMMYFUNCTION("GOOGLETRANSLATE(I20, ""th"", ""en"")"),"A) Sports Authority of Thailand; B) Ministry of Culture; C) Ministry of Tourism; D) All of the above")</f>
        <v>A) Sports Authority of Thailand; B) Ministry of Culture; C) Ministry of Tourism; D) All of the above</v>
      </c>
      <c r="D20" s="18" t="str">
        <f>IFERROR(__xludf.DUMMYFUNCTION("GOOGLETRANSLATE(J20, ""th"", ""en"")"),"D) All of the above")</f>
        <v>D) All of the above</v>
      </c>
      <c r="E20" s="18" t="str">
        <f>IFERROR(__xludf.DUMMYFUNCTION("GOOGLETRANSLATE(K20, ""th"", ""en"")"),"Long boat racing is currently supported by many organizations.")</f>
        <v>Long boat racing is currently supported by many organizations.</v>
      </c>
      <c r="G20" s="18">
        <v>19.0</v>
      </c>
      <c r="H20" s="19" t="s">
        <v>1030</v>
      </c>
      <c r="I20" s="19" t="s">
        <v>1031</v>
      </c>
      <c r="J20" s="19" t="s">
        <v>986</v>
      </c>
      <c r="K20" s="19" t="s">
        <v>1032</v>
      </c>
      <c r="L20" s="17"/>
    </row>
    <row r="21" ht="14.25" customHeight="1">
      <c r="A21" s="18" t="str">
        <f>IFERROR(__xludf.DUMMYFUNCTION("GOOGLETRANSLATE(G21, ""th"", ""en"")"),"20")</f>
        <v>20</v>
      </c>
      <c r="B21" s="18" t="str">
        <f>IFERROR(__xludf.DUMMYFUNCTION("GOOGLETRANSLATE(H21, ""th"", ""en"")"),"In what way does longboat racing contribute to the Thai community?")</f>
        <v>In what way does longboat racing contribute to the Thai community?</v>
      </c>
      <c r="C21" s="18" t="str">
        <f>IFERROR(__xludf.DUMMYFUNCTION("GOOGLETRANSLATE(I21, ""th"", ""en"")"),"A) Tourism; B) Cultural preservation; C) Strengthening unity; D) All of the above.")</f>
        <v>A) Tourism; B) Cultural preservation; C) Strengthening unity; D) All of the above.</v>
      </c>
      <c r="D21" s="18" t="str">
        <f>IFERROR(__xludf.DUMMYFUNCTION("GOOGLETRANSLATE(J21, ""th"", ""en"")"),"D) All of the above")</f>
        <v>D) All of the above</v>
      </c>
      <c r="E21" s="18" t="str">
        <f>IFERROR(__xludf.DUMMYFUNCTION("GOOGLETRANSLATE(K21, ""th"", ""en"")"),"Long-boat racing helps promote both tourism and community unity.")</f>
        <v>Long-boat racing helps promote both tourism and community unity.</v>
      </c>
      <c r="G21" s="18">
        <v>20.0</v>
      </c>
      <c r="H21" s="19" t="s">
        <v>1033</v>
      </c>
      <c r="I21" s="19" t="s">
        <v>1034</v>
      </c>
      <c r="J21" s="19" t="s">
        <v>986</v>
      </c>
      <c r="K21" s="19" t="s">
        <v>1035</v>
      </c>
      <c r="L21" s="17"/>
    </row>
    <row r="22" ht="14.25" customHeight="1">
      <c r="A22" s="18" t="str">
        <f>IFERROR(__xludf.DUMMYFUNCTION("GOOGLETRANSLATE(G22, ""th"", ""en"")"),"21")</f>
        <v>21</v>
      </c>
      <c r="B22" s="18" t="str">
        <f>IFERROR(__xludf.DUMMYFUNCTION("GOOGLETRANSLATE(H22, ""th"", ""en"")"),"What did long boats in the past look like?")</f>
        <v>What did long boats in the past look like?</v>
      </c>
      <c r="C22" s="18" t="str">
        <f>IFERROR(__xludf.DUMMYFUNCTION("GOOGLETRANSLATE(I22, ""th"", ""en"")"),"A) carved prow; B) made of hardwood; C) beautifully decorated; D) all of the above")</f>
        <v>A) carved prow; B) made of hardwood; C) beautifully decorated; D) all of the above</v>
      </c>
      <c r="D22" s="18" t="str">
        <f>IFERROR(__xludf.DUMMYFUNCTION("GOOGLETRANSLATE(J22, ""th"", ""en"")"),"D) All of the above")</f>
        <v>D) All of the above</v>
      </c>
      <c r="E22" s="18" t="str">
        <f>IFERROR(__xludf.DUMMYFUNCTION("GOOGLETRANSLATE(K22, ""th"", ""en"")"),"Long boats in the past were often elaborately decorated to show their uniqueness.")</f>
        <v>Long boats in the past were often elaborately decorated to show their uniqueness.</v>
      </c>
      <c r="G22" s="18">
        <v>21.0</v>
      </c>
      <c r="H22" s="19" t="s">
        <v>1036</v>
      </c>
      <c r="I22" s="19" t="s">
        <v>1037</v>
      </c>
      <c r="J22" s="19" t="s">
        <v>986</v>
      </c>
      <c r="K22" s="19" t="s">
        <v>1038</v>
      </c>
      <c r="L22" s="17"/>
    </row>
    <row r="23" ht="14.25" customHeight="1">
      <c r="A23" s="18" t="str">
        <f>IFERROR(__xludf.DUMMYFUNCTION("GOOGLETRANSLATE(G23, ""th"", ""en"")"),"22")</f>
        <v>22</v>
      </c>
      <c r="B23" s="18" t="str">
        <f>IFERROR(__xludf.DUMMYFUNCTION("GOOGLETRANSLATE(H23, ""th"", ""en"")"),"In what year did longboat racing in Thailand begin to be held as a national competition?")</f>
        <v>In what year did longboat racing in Thailand begin to be held as a national competition?</v>
      </c>
      <c r="C23" s="18" t="str">
        <f>IFERROR(__xludf.DUMMYFUNCTION("GOOGLETRANSLATE(I23, ""th"", ""en"")"),"A) 1957; B) 1977; C) 1997; D) 2017")</f>
        <v>A) 1957; B) 1977; C) 1997; D) 2017</v>
      </c>
      <c r="D23" s="18" t="str">
        <f>IFERROR(__xludf.DUMMYFUNCTION("GOOGLETRANSLATE(J23, ""th"", ""en"")"),"B) 1977")</f>
        <v>B) 1977</v>
      </c>
      <c r="E23" s="18" t="str">
        <f>IFERROR(__xludf.DUMMYFUNCTION("GOOGLETRANSLATE(K23, ""th"", ""en"")"),"Long boat racing competitions began to be held at the national level in 1977.")</f>
        <v>Long boat racing competitions began to be held at the national level in 1977.</v>
      </c>
      <c r="G23" s="18">
        <v>22.0</v>
      </c>
      <c r="H23" s="19" t="s">
        <v>1039</v>
      </c>
      <c r="I23" s="19" t="s">
        <v>1040</v>
      </c>
      <c r="J23" s="19" t="s">
        <v>1041</v>
      </c>
      <c r="K23" s="19" t="s">
        <v>1042</v>
      </c>
      <c r="L23" s="17"/>
    </row>
    <row r="24" ht="14.25" customHeight="1">
      <c r="A24" s="18" t="str">
        <f>IFERROR(__xludf.DUMMYFUNCTION("GOOGLETRANSLATE(G24, ""th"", ""en"")"),"23")</f>
        <v>23</v>
      </c>
      <c r="B24" s="18" t="str">
        <f>IFERROR(__xludf.DUMMYFUNCTION("GOOGLETRANSLATE(H24, ""th"", ""en"")"),"In which year was long boat racing included in the tourism promotion activities?")</f>
        <v>In which year was long boat racing included in the tourism promotion activities?</v>
      </c>
      <c r="C24" s="18" t="str">
        <f>IFERROR(__xludf.DUMMYFUNCTION("GOOGLETRANSLATE(I24, ""th"", ""en"")"),"A) 1987; B) 2007; C) 2017; D) 2022")</f>
        <v>A) 1987; B) 2007; C) 2017; D) 2022</v>
      </c>
      <c r="D24" s="18" t="str">
        <f>IFERROR(__xludf.DUMMYFUNCTION("GOOGLETRANSLATE(J24, ""th"", ""en"")"),"B) 2007")</f>
        <v>B) 2007</v>
      </c>
      <c r="E24" s="18" t="str">
        <f>IFERROR(__xludf.DUMMYFUNCTION("GOOGLETRANSLATE(K24, ""th"", ""en"")"),"Long boat racing has been part of tourism promotion activities since 2007.")</f>
        <v>Long boat racing has been part of tourism promotion activities since 2007.</v>
      </c>
      <c r="G24" s="18">
        <v>23.0</v>
      </c>
      <c r="H24" s="19" t="s">
        <v>1043</v>
      </c>
      <c r="I24" s="19" t="s">
        <v>1044</v>
      </c>
      <c r="J24" s="19" t="s">
        <v>1045</v>
      </c>
      <c r="K24" s="19" t="s">
        <v>1046</v>
      </c>
      <c r="L24" s="17"/>
    </row>
    <row r="25" ht="14.25" customHeight="1">
      <c r="A25" s="18" t="str">
        <f>IFERROR(__xludf.DUMMYFUNCTION("GOOGLETRANSLATE(G25, ""th"", ""en"")"),"24")</f>
        <v>24</v>
      </c>
      <c r="B25" s="18" t="str">
        <f>IFERROR(__xludf.DUMMYFUNCTION("GOOGLETRANSLATE(H25, ""th"", ""en"")"),"In which year did longboat racing in Thailand first gain international fame?")</f>
        <v>In which year did longboat racing in Thailand first gain international fame?</v>
      </c>
      <c r="C25" s="18" t="str">
        <f>IFERROR(__xludf.DUMMYFUNCTION("GOOGLETRANSLATE(I25, ""th"", ""en"")"),"A) 1972; B) 1992; C) 2012; D) 2022")</f>
        <v>A) 1972; B) 1992; C) 2012; D) 2022</v>
      </c>
      <c r="D25" s="18" t="str">
        <f>IFERROR(__xludf.DUMMYFUNCTION("GOOGLETRANSLATE(J25, ""th"", ""en"")"),"C) 2012")</f>
        <v>C) 2012</v>
      </c>
      <c r="E25" s="18" t="str">
        <f>IFERROR(__xludf.DUMMYFUNCTION("GOOGLETRANSLATE(K25, ""th"", ""en"")"),"Longboat racing began to gain international recognition in 2012.")</f>
        <v>Longboat racing began to gain international recognition in 2012.</v>
      </c>
      <c r="G25" s="18">
        <v>24.0</v>
      </c>
      <c r="H25" s="19" t="s">
        <v>1047</v>
      </c>
      <c r="I25" s="19" t="s">
        <v>1048</v>
      </c>
      <c r="J25" s="19" t="s">
        <v>1049</v>
      </c>
      <c r="K25" s="19" t="s">
        <v>1050</v>
      </c>
      <c r="L25" s="17"/>
    </row>
    <row r="26" ht="14.25" customHeight="1">
      <c r="A26" s="18" t="str">
        <f>IFERROR(__xludf.DUMMYFUNCTION("GOOGLETRANSLATE(G26, ""th"", ""en"")"),"25")</f>
        <v>25</v>
      </c>
      <c r="B26" s="18" t="str">
        <f>IFERROR(__xludf.DUMMYFUNCTION("GOOGLETRANSLATE(H26, ""th"", ""en"")"),"How are longboats used today different from those used in the past?")</f>
        <v>How are longboats used today different from those used in the past?</v>
      </c>
      <c r="C26" s="18" t="str">
        <f>IFERROR(__xludf.DUMMYFUNCTION("GOOGLETRANSLATE(I26, ""th"", ""en"")"),"A) Use modern materials; B) Designed for speed; C) Meet international standards; D) All of the above.")</f>
        <v>A) Use modern materials; B) Designed for speed; C) Meet international standards; D) All of the above.</v>
      </c>
      <c r="D26" s="18" t="str">
        <f>IFERROR(__xludf.DUMMYFUNCTION("GOOGLETRANSLATE(J26, ""th"", ""en"")"),"D) All of the above")</f>
        <v>D) All of the above</v>
      </c>
      <c r="E26" s="18" t="str">
        <f>IFERROR(__xludf.DUMMYFUNCTION("GOOGLETRANSLATE(K26, ""th"", ""en"")"),"Longboats today are being improved to be more modern.")</f>
        <v>Longboats today are being improved to be more modern.</v>
      </c>
      <c r="G26" s="18">
        <v>25.0</v>
      </c>
      <c r="H26" s="19" t="s">
        <v>1051</v>
      </c>
      <c r="I26" s="19" t="s">
        <v>1052</v>
      </c>
      <c r="J26" s="19" t="s">
        <v>986</v>
      </c>
      <c r="K26" s="19" t="s">
        <v>1053</v>
      </c>
      <c r="L26" s="17"/>
    </row>
    <row r="27" ht="14.25" customHeight="1">
      <c r="A27" s="18" t="str">
        <f>IFERROR(__xludf.DUMMYFUNCTION("GOOGLETRANSLATE(G27, ""th"", ""en"")"),"26")</f>
        <v>26</v>
      </c>
      <c r="B27" s="18" t="str">
        <f>IFERROR(__xludf.DUMMYFUNCTION("GOOGLETRANSLATE(H27, ""th"", ""en"")"),"How does longboat racing benefit the economy?")</f>
        <v>How does longboat racing benefit the economy?</v>
      </c>
      <c r="C27" s="18" t="str">
        <f>IFERROR(__xludf.DUMMYFUNCTION("GOOGLETRANSLATE(I27, ""th"", ""en"")"),"A) Increase income from tourism; B) Create jobs in the community; C) Promote local products; D) All of the above.")</f>
        <v>A) Increase income from tourism; B) Create jobs in the community; C) Promote local products; D) All of the above.</v>
      </c>
      <c r="D27" s="18" t="str">
        <f>IFERROR(__xludf.DUMMYFUNCTION("GOOGLETRANSLATE(J27, ""th"", ""en"")"),"D) All of the above")</f>
        <v>D) All of the above</v>
      </c>
      <c r="E27" s="18" t="str">
        <f>IFERROR(__xludf.DUMMYFUNCTION("GOOGLETRANSLATE(K27, ""th"", ""en"")"),"Long-boat racing stimulates both local and national economies.")</f>
        <v>Long-boat racing stimulates both local and national economies.</v>
      </c>
      <c r="G27" s="18">
        <v>26.0</v>
      </c>
      <c r="H27" s="19" t="s">
        <v>1054</v>
      </c>
      <c r="I27" s="19" t="s">
        <v>1055</v>
      </c>
      <c r="J27" s="19" t="s">
        <v>986</v>
      </c>
      <c r="K27" s="19" t="s">
        <v>1056</v>
      </c>
      <c r="L27" s="17"/>
    </row>
    <row r="28" ht="14.25" customHeight="1">
      <c r="A28" s="18" t="str">
        <f>IFERROR(__xludf.DUMMYFUNCTION("GOOGLETRANSLATE(G28, ""th"", ""en"")"),"27")</f>
        <v>27</v>
      </c>
      <c r="B28" s="18" t="str">
        <f>IFERROR(__xludf.DUMMYFUNCTION("GOOGLETRANSLATE(H28, ""th"", ""en"")"),"What rules were used in long-boat racing in the past?")</f>
        <v>What rules were used in long-boat racing in the past?</v>
      </c>
      <c r="C28" s="18" t="str">
        <f>IFERROR(__xludf.DUMMYFUNCTION("GOOGLETRANSLATE(I28, ""th"", ""en"")"),"A) No rules are set; B) Community rules are set; C) Basic rules are used; D) Strict rules are set.")</f>
        <v>A) No rules are set; B) Community rules are set; C) Basic rules are used; D) Strict rules are set.</v>
      </c>
      <c r="D28" s="18" t="str">
        <f>IFERROR(__xludf.DUMMYFUNCTION("GOOGLETRANSLATE(J28, ""th"", ""en"")"),"B) Rules depend on the community.")</f>
        <v>B) Rules depend on the community.</v>
      </c>
      <c r="E28" s="18" t="str">
        <f>IFERROR(__xludf.DUMMYFUNCTION("GOOGLETRANSLATE(K28, ""th"", ""en"")"),"In the past, long-boat racing often had rules set by the community.")</f>
        <v>In the past, long-boat racing often had rules set by the community.</v>
      </c>
      <c r="G28" s="18">
        <v>27.0</v>
      </c>
      <c r="H28" s="19" t="s">
        <v>1057</v>
      </c>
      <c r="I28" s="19" t="s">
        <v>1058</v>
      </c>
      <c r="J28" s="19" t="s">
        <v>1059</v>
      </c>
      <c r="K28" s="19" t="s">
        <v>1060</v>
      </c>
      <c r="L28" s="17"/>
    </row>
    <row r="29" ht="14.25" customHeight="1">
      <c r="A29" s="18" t="str">
        <f>IFERROR(__xludf.DUMMYFUNCTION("GOOGLETRANSLATE(G29, ""th"", ""en"")"),"28")</f>
        <v>28</v>
      </c>
      <c r="B29" s="18" t="str">
        <f>IFERROR(__xludf.DUMMYFUNCTION("GOOGLETRANSLATE(H29, ""th"", ""en"")"),"What important event is often associated with long-boat racing in the community?")</f>
        <v>What important event is often associated with long-boat racing in the community?</v>
      </c>
      <c r="C29" s="18" t="str">
        <f>IFERROR(__xludf.DUMMYFUNCTION("GOOGLETRANSLATE(I29, ""th"", ""en"")"),"A) Merit-making ceremonies; B) Temple fairs; C) Local celebrations; D) All of the above")</f>
        <v>A) Merit-making ceremonies; B) Temple fairs; C) Local celebrations; D) All of the above</v>
      </c>
      <c r="D29" s="18" t="str">
        <f>IFERROR(__xludf.DUMMYFUNCTION("GOOGLETRANSLATE(J29, ""th"", ""en"")"),"D) All of the above")</f>
        <v>D) All of the above</v>
      </c>
      <c r="E29" s="18" t="str">
        <f>IFERROR(__xludf.DUMMYFUNCTION("GOOGLETRANSLATE(K29, ""th"", ""en"")"),"Long boat races are often held at important events to create fun and unity.")</f>
        <v>Long boat races are often held at important events to create fun and unity.</v>
      </c>
      <c r="G29" s="18">
        <v>28.0</v>
      </c>
      <c r="H29" s="19" t="s">
        <v>1061</v>
      </c>
      <c r="I29" s="19" t="s">
        <v>1062</v>
      </c>
      <c r="J29" s="19" t="s">
        <v>986</v>
      </c>
      <c r="K29" s="19" t="s">
        <v>1063</v>
      </c>
      <c r="L29" s="17"/>
    </row>
    <row r="30" ht="14.25" customHeight="1">
      <c r="A30" s="18" t="str">
        <f>IFERROR(__xludf.DUMMYFUNCTION("GOOGLETRANSLATE(G30, ""th"", ""en"")"),"29")</f>
        <v>29</v>
      </c>
      <c r="B30" s="18" t="str">
        <f>IFERROR(__xludf.DUMMYFUNCTION("GOOGLETRANSLATE(H30, ""th"", ""en"")"),"What qualities must boats used in long-boat racing nowadays have?")</f>
        <v>What qualities must boats used in long-boat racing nowadays have?</v>
      </c>
      <c r="C30" s="18" t="str">
        <f>IFERROR(__xludf.DUMMYFUNCTION("GOOGLETRANSLATE(I30, ""th"", ""en"")"),"A) light weight; B) durable; C) standard size; D) all of the above")</f>
        <v>A) light weight; B) durable; C) standard size; D) all of the above</v>
      </c>
      <c r="D30" s="18" t="str">
        <f>IFERROR(__xludf.DUMMYFUNCTION("GOOGLETRANSLATE(J30, ""th"", ""en"")"),"D) All of the above")</f>
        <v>D) All of the above</v>
      </c>
      <c r="E30" s="18" t="str">
        <f>IFERROR(__xludf.DUMMYFUNCTION("GOOGLETRANSLATE(K30, ""th"", ""en"")"),"The boats used must be designed and inspected to meet standards.")</f>
        <v>The boats used must be designed and inspected to meet standards.</v>
      </c>
      <c r="G30" s="18">
        <v>29.0</v>
      </c>
      <c r="H30" s="19" t="s">
        <v>1064</v>
      </c>
      <c r="I30" s="19" t="s">
        <v>1065</v>
      </c>
      <c r="J30" s="19" t="s">
        <v>986</v>
      </c>
      <c r="K30" s="19" t="s">
        <v>1066</v>
      </c>
      <c r="L30" s="17"/>
    </row>
    <row r="31" ht="14.25" customHeight="1">
      <c r="A31" s="18" t="str">
        <f>IFERROR(__xludf.DUMMYFUNCTION("GOOGLETRANSLATE(G31, ""th"", ""en"")"),"30")</f>
        <v>30</v>
      </c>
      <c r="B31" s="18" t="str">
        <f>IFERROR(__xludf.DUMMYFUNCTION("GOOGLETRANSLATE(H31, ""th"", ""en"")"),"How many rowers were used in traditional long-boat races?")</f>
        <v>How many rowers were used in traditional long-boat races?</v>
      </c>
      <c r="C31" s="18" t="str">
        <f>IFERROR(__xludf.DUMMYFUNCTION("GOOGLETRANSLATE(I31, ""th"", ""en"")"),"A) 10-15 people; B) 20-30 people; C) 30-50 people; D) depending on the size of the boat.")</f>
        <v>A) 10-15 people; B) 20-30 people; C) 30-50 people; D) depending on the size of the boat.</v>
      </c>
      <c r="D31" s="18" t="str">
        <f>IFERROR(__xludf.DUMMYFUNCTION("GOOGLETRANSLATE(J31, ""th"", ""en"")"),"D) Depends on the size of the ship.")</f>
        <v>D) Depends on the size of the ship.</v>
      </c>
      <c r="E31" s="18" t="str">
        <f>IFERROR(__xludf.DUMMYFUNCTION("GOOGLETRANSLATE(K31, ""th"", ""en"")"),"The number of rowers depends on the size of the boat and the type of race.")</f>
        <v>The number of rowers depends on the size of the boat and the type of race.</v>
      </c>
      <c r="G31" s="18">
        <v>30.0</v>
      </c>
      <c r="H31" s="19" t="s">
        <v>1067</v>
      </c>
      <c r="I31" s="19" t="s">
        <v>1068</v>
      </c>
      <c r="J31" s="19" t="s">
        <v>1069</v>
      </c>
      <c r="K31" s="19" t="s">
        <v>1070</v>
      </c>
      <c r="L31" s="17"/>
    </row>
    <row r="32" ht="14.25" customHeight="1">
      <c r="A32" s="18" t="str">
        <f>IFERROR(__xludf.DUMMYFUNCTION("GOOGLETRANSLATE(G32, ""th"", ""en"")"),"31")</f>
        <v>31</v>
      </c>
      <c r="B32" s="18" t="str">
        <f>IFERROR(__xludf.DUMMYFUNCTION("GOOGLETRANSLATE(H32, ""th"", ""en"")"),"In which year was the first time that longboat racing in Thailand was held on an international level?")</f>
        <v>In which year was the first time that longboat racing in Thailand was held on an international level?</v>
      </c>
      <c r="C32" s="18" t="str">
        <f>IFERROR(__xludf.DUMMYFUNCTION("GOOGLETRANSLATE(I32, ""th"", ""en"")"),"A) 1960; B) 1970; C) 1980; D) 1990")</f>
        <v>A) 1960; B) 1970; C) 1980; D) 1990</v>
      </c>
      <c r="D32" s="18" t="str">
        <f>IFERROR(__xludf.DUMMYFUNCTION("GOOGLETRANSLATE(J32, ""th"", ""en"")"),"B) 1970")</f>
        <v>B) 1970</v>
      </c>
      <c r="E32" s="18" t="str">
        <f>IFERROR(__xludf.DUMMYFUNCTION("GOOGLETRANSLATE(K32, ""th"", ""en"")"),"Longboat racing first gained global attention in the 1970s.")</f>
        <v>Longboat racing first gained global attention in the 1970s.</v>
      </c>
      <c r="G32" s="18">
        <v>31.0</v>
      </c>
      <c r="H32" s="19" t="s">
        <v>1071</v>
      </c>
      <c r="I32" s="19" t="s">
        <v>1072</v>
      </c>
      <c r="J32" s="19" t="s">
        <v>1073</v>
      </c>
      <c r="K32" s="19" t="s">
        <v>1074</v>
      </c>
      <c r="L32" s="17"/>
    </row>
    <row r="33" ht="14.25" customHeight="1">
      <c r="A33" s="18" t="str">
        <f>IFERROR(__xludf.DUMMYFUNCTION("GOOGLETRANSLATE(G33, ""th"", ""en"")"),"32")</f>
        <v>32</v>
      </c>
      <c r="B33" s="18" t="str">
        <f>IFERROR(__xludf.DUMMYFUNCTION("GOOGLETRANSLATE(H33, ""th"", ""en"")"),"Where were the long boat races held in ancient times?")</f>
        <v>Where were the long boat races held in ancient times?</v>
      </c>
      <c r="C33" s="18" t="str">
        <f>IFERROR(__xludf.DUMMYFUNCTION("GOOGLETRANSLATE(I33, ""th"", ""en"")"),"A) sea; B) river; C) swamp; D) marsh")</f>
        <v>A) sea; B) river; C) swamp; D) marsh</v>
      </c>
      <c r="D33" s="18" t="str">
        <f>IFERROR(__xludf.DUMMYFUNCTION("GOOGLETRANSLATE(J33, ""th"", ""en"")"),"A) The sea")</f>
        <v>A) The sea</v>
      </c>
      <c r="E33" s="18" t="str">
        <f>IFERROR(__xludf.DUMMYFUNCTION("GOOGLETRANSLATE(K33, ""th"", ""en"")"),"In ancient times, long-boat races were often held in the sea or in areas where water flowed.")</f>
        <v>In ancient times, long-boat races were often held in the sea or in areas where water flowed.</v>
      </c>
      <c r="G33" s="18">
        <v>32.0</v>
      </c>
      <c r="H33" s="19" t="s">
        <v>1075</v>
      </c>
      <c r="I33" s="19" t="s">
        <v>1076</v>
      </c>
      <c r="J33" s="19" t="s">
        <v>1077</v>
      </c>
      <c r="K33" s="19" t="s">
        <v>1078</v>
      </c>
      <c r="L33" s="17"/>
    </row>
    <row r="34" ht="14.25" customHeight="1">
      <c r="A34" s="18" t="str">
        <f>IFERROR(__xludf.DUMMYFUNCTION("GOOGLETRANSLATE(G34, ""th"", ""en"")"),"33")</f>
        <v>33</v>
      </c>
      <c r="B34" s="18" t="str">
        <f>IFERROR(__xludf.DUMMYFUNCTION("GOOGLETRANSLATE(H34, ""th"", ""en"")"),"When were long-boat racing competitions held in ancient times?")</f>
        <v>When were long-boat racing competitions held in ancient times?</v>
      </c>
      <c r="C34" s="18" t="str">
        <f>IFERROR(__xludf.DUMMYFUNCTION("GOOGLETRANSLATE(I34, ""th"", ""en"")"),"A) summer; B) winter; C) rainy season; D) all year round")</f>
        <v>A) summer; B) winter; C) rainy season; D) all year round</v>
      </c>
      <c r="D34" s="18" t="str">
        <f>IFERROR(__xludf.DUMMYFUNCTION("GOOGLETRANSLATE(J34, ""th"", ""en"")"),"C) Rainy season")</f>
        <v>C) Rainy season</v>
      </c>
      <c r="E34" s="18" t="str">
        <f>IFERROR(__xludf.DUMMYFUNCTION("GOOGLETRANSLATE(K34, ""th"", ""en"")"),"In ancient times, long boat races were held during the rainy season when the river had a lot of water.")</f>
        <v>In ancient times, long boat races were held during the rainy season when the river had a lot of water.</v>
      </c>
      <c r="G34" s="18">
        <v>33.0</v>
      </c>
      <c r="H34" s="19" t="s">
        <v>1079</v>
      </c>
      <c r="I34" s="19" t="s">
        <v>1080</v>
      </c>
      <c r="J34" s="19" t="s">
        <v>1081</v>
      </c>
      <c r="K34" s="19" t="s">
        <v>1082</v>
      </c>
      <c r="L34" s="17"/>
    </row>
    <row r="35" ht="14.25" customHeight="1">
      <c r="A35" s="18" t="str">
        <f>IFERROR(__xludf.DUMMYFUNCTION("GOOGLETRANSLATE(G35, ""th"", ""en"")"),"34")</f>
        <v>34</v>
      </c>
      <c r="B35" s="18" t="str">
        <f>IFERROR(__xludf.DUMMYFUNCTION("GOOGLETRANSLATE(H35, ""th"", ""en"")"),"In which year did Thailand begin organizing national long-boat races?")</f>
        <v>In which year did Thailand begin organizing national long-boat races?</v>
      </c>
      <c r="C35" s="18" t="str">
        <f>IFERROR(__xludf.DUMMYFUNCTION("GOOGLETRANSLATE(I35, ""th"", ""en"")"),"A) 1945; B) 1950; C) 1955; D) 1960")</f>
        <v>A) 1945; B) 1950; C) 1955; D) 1960</v>
      </c>
      <c r="D35" s="18" t="str">
        <f>IFERROR(__xludf.DUMMYFUNCTION("GOOGLETRANSLATE(J35, ""th"", ""en"")"),"C) 1955")</f>
        <v>C) 1955</v>
      </c>
      <c r="E35" s="18" t="str">
        <f>IFERROR(__xludf.DUMMYFUNCTION("GOOGLETRANSLATE(K35, ""th"", ""en"")"),"Thailand began organizing national long-boat races in 1955.")</f>
        <v>Thailand began organizing national long-boat races in 1955.</v>
      </c>
      <c r="G35" s="18">
        <v>34.0</v>
      </c>
      <c r="H35" s="19" t="s">
        <v>1083</v>
      </c>
      <c r="I35" s="19" t="s">
        <v>1084</v>
      </c>
      <c r="J35" s="19" t="s">
        <v>1085</v>
      </c>
      <c r="K35" s="19" t="s">
        <v>1086</v>
      </c>
      <c r="L35" s="17"/>
    </row>
    <row r="36" ht="14.25" customHeight="1">
      <c r="A36" s="18" t="str">
        <f>IFERROR(__xludf.DUMMYFUNCTION("GOOGLETRANSLATE(G36, ""th"", ""en"")"),"35")</f>
        <v>35</v>
      </c>
      <c r="B36" s="18" t="str">
        <f>IFERROR(__xludf.DUMMYFUNCTION("GOOGLETRANSLATE(H36, ""th"", ""en"")"),"When was the long-boat race in Thailand ever supported by the King?")</f>
        <v>When was the long-boat race in Thailand ever supported by the King?</v>
      </c>
      <c r="C36" s="18" t="str">
        <f>IFERROR(__xludf.DUMMYFUNCTION("GOOGLETRANSLATE(I36, ""th"", ""en"")"),"A) King Rama V; B) King Rama VI; C) King Rama VII; D) King Rama IX")</f>
        <v>A) King Rama V; B) King Rama VI; C) King Rama VII; D) King Rama IX</v>
      </c>
      <c r="D36" s="18" t="str">
        <f>IFERROR(__xludf.DUMMYFUNCTION("GOOGLETRANSLATE(J36, ""th"", ""en"")"),"B) King Rama VI")</f>
        <v>B) King Rama VI</v>
      </c>
      <c r="E36" s="18" t="str">
        <f>IFERROR(__xludf.DUMMYFUNCTION("GOOGLETRANSLATE(K36, ""th"", ""en"")"),"Long boat racing was supported by the King during the reign of King Rama VI.")</f>
        <v>Long boat racing was supported by the King during the reign of King Rama VI.</v>
      </c>
      <c r="G36" s="18">
        <v>35.0</v>
      </c>
      <c r="H36" s="19" t="s">
        <v>1087</v>
      </c>
      <c r="I36" s="19" t="s">
        <v>1088</v>
      </c>
      <c r="J36" s="19" t="s">
        <v>1089</v>
      </c>
      <c r="K36" s="19" t="s">
        <v>1090</v>
      </c>
      <c r="L36" s="17"/>
    </row>
    <row r="37" ht="14.25" customHeight="1">
      <c r="A37" s="18" t="str">
        <f>IFERROR(__xludf.DUMMYFUNCTION("GOOGLETRANSLATE(G37, ""th"", ""en"")"),"36")</f>
        <v>36</v>
      </c>
      <c r="B37" s="18" t="str">
        <f>IFERROR(__xludf.DUMMYFUNCTION("GOOGLETRANSLATE(H37, ""th"", ""en"")"),"In ancient times, what materials were used to build long boats in long boat races?")</f>
        <v>In ancient times, what materials were used to build long boats in long boat races?</v>
      </c>
      <c r="C37" s="18" t="str">
        <f>IFERROR(__xludf.DUMMYFUNCTION("GOOGLETRANSLATE(I37, ""th"", ""en"")"),"A) hardwood; B) bamboo; C) metal; D) plastic")</f>
        <v>A) hardwood; B) bamboo; C) metal; D) plastic</v>
      </c>
      <c r="D37" s="18" t="str">
        <f>IFERROR(__xludf.DUMMYFUNCTION("GOOGLETRANSLATE(J37, ""th"", ""en"")"),"A) Hardwood")</f>
        <v>A) Hardwood</v>
      </c>
      <c r="E37" s="18" t="str">
        <f>IFERROR(__xludf.DUMMYFUNCTION("GOOGLETRANSLATE(K37, ""th"", ""en"")"),"In ancient times, long boats were often built from hardwood to ensure durability.")</f>
        <v>In ancient times, long boats were often built from hardwood to ensure durability.</v>
      </c>
      <c r="G37" s="18">
        <v>36.0</v>
      </c>
      <c r="H37" s="19" t="s">
        <v>1091</v>
      </c>
      <c r="I37" s="19" t="s">
        <v>1092</v>
      </c>
      <c r="J37" s="19" t="s">
        <v>1093</v>
      </c>
      <c r="K37" s="19" t="s">
        <v>1094</v>
      </c>
      <c r="L37" s="17"/>
    </row>
    <row r="38" ht="14.25" customHeight="1">
      <c r="A38" s="18" t="str">
        <f>IFERROR(__xludf.DUMMYFUNCTION("GOOGLETRANSLATE(G38, ""th"", ""en"")"),"37")</f>
        <v>37</v>
      </c>
      <c r="B38" s="18" t="str">
        <f>IFERROR(__xludf.DUMMYFUNCTION("GOOGLETRANSLATE(H38, ""th"", ""en"")"),"What was long-boat racing involved in the Ayutthaya period?")</f>
        <v>What was long-boat racing involved in the Ayutthaya period?</v>
      </c>
      <c r="C38" s="18" t="str">
        <f>IFERROR(__xludf.DUMMYFUNCTION("GOOGLETRANSLATE(I38, ""th"", ""en"")"),"A) national defense; B) trade; C) worship of water gods; D) military training")</f>
        <v>A) national defense; B) trade; C) worship of water gods; D) military training</v>
      </c>
      <c r="D38" s="18" t="str">
        <f>IFERROR(__xludf.DUMMYFUNCTION("GOOGLETRANSLATE(J38, ""th"", ""en"")"),"C) Worship of water gods")</f>
        <v>C) Worship of water gods</v>
      </c>
      <c r="E38" s="18" t="str">
        <f>IFERROR(__xludf.DUMMYFUNCTION("GOOGLETRANSLATE(K38, ""th"", ""en"")"),"Long-boat racing in the Ayutthaya period was associated with a ceremony to worship the water gods.")</f>
        <v>Long-boat racing in the Ayutthaya period was associated with a ceremony to worship the water gods.</v>
      </c>
      <c r="G38" s="18">
        <v>37.0</v>
      </c>
      <c r="H38" s="19" t="s">
        <v>1095</v>
      </c>
      <c r="I38" s="19" t="s">
        <v>1096</v>
      </c>
      <c r="J38" s="19" t="s">
        <v>1097</v>
      </c>
      <c r="K38" s="19" t="s">
        <v>1098</v>
      </c>
      <c r="L38" s="17"/>
    </row>
    <row r="39" ht="14.25" customHeight="1">
      <c r="A39" s="18" t="str">
        <f>IFERROR(__xludf.DUMMYFUNCTION("GOOGLETRANSLATE(G39, ""th"", ""en"")"),"38")</f>
        <v>38</v>
      </c>
      <c r="B39" s="18" t="str">
        <f>IFERROR(__xludf.DUMMYFUNCTION("GOOGLETRANSLATE(H39, ""th"", ""en"")"),"How many rowers were used in ancient long-boat races?")</f>
        <v>How many rowers were used in ancient long-boat races?</v>
      </c>
      <c r="C39" s="18" t="str">
        <f>IFERROR(__xludf.DUMMYFUNCTION("GOOGLETRANSLATE(I39, ""th"", ""en"")"),"A) 10-20 people; B) 20-30 people; C) 30-40 people; D) 40-50 people")</f>
        <v>A) 10-20 people; B) 20-30 people; C) 30-40 people; D) 40-50 people</v>
      </c>
      <c r="D39" s="18" t="str">
        <f>IFERROR(__xludf.DUMMYFUNCTION("GOOGLETRANSLATE(J39, ""th"", ""en"")"),"C) 30-40 people")</f>
        <v>C) 30-40 people</v>
      </c>
      <c r="E39" s="18" t="str">
        <f>IFERROR(__xludf.DUMMYFUNCTION("GOOGLETRANSLATE(K39, ""th"", ""en"")"),"In ancient times, long-boat races often used 30-40 rowers.")</f>
        <v>In ancient times, long-boat races often used 30-40 rowers.</v>
      </c>
      <c r="G39" s="18">
        <v>38.0</v>
      </c>
      <c r="H39" s="19" t="s">
        <v>1099</v>
      </c>
      <c r="I39" s="19" t="s">
        <v>1100</v>
      </c>
      <c r="J39" s="19" t="s">
        <v>1101</v>
      </c>
      <c r="K39" s="19" t="s">
        <v>1102</v>
      </c>
      <c r="L39" s="17"/>
    </row>
    <row r="40" ht="14.25" customHeight="1">
      <c r="A40" s="18" t="str">
        <f>IFERROR(__xludf.DUMMYFUNCTION("GOOGLETRANSLATE(G40, ""th"", ""en"")"),"39")</f>
        <v>39</v>
      </c>
      <c r="B40" s="18" t="str">
        <f>IFERROR(__xludf.DUMMYFUNCTION("GOOGLETRANSLATE(H40, ""th"", ""en"")"),"What role did longboat racing play in Thai society in the early days?")</f>
        <v>What role did longboat racing play in Thai society in the early days?</v>
      </c>
      <c r="C40" s="18" t="str">
        <f>IFERROR(__xludf.DUMMYFUNCTION("GOOGLETRANSLATE(I40, ""th"", ""en"")"),"A) to entertain; B) to build unity; C) to promote trade; D) to create respect for religion.")</f>
        <v>A) to entertain; B) to build unity; C) to promote trade; D) to create respect for religion.</v>
      </c>
      <c r="D40" s="18" t="str">
        <f>IFERROR(__xludf.DUMMYFUNCTION("GOOGLETRANSLATE(J40, ""th"", ""en"")"),"B) Create unity")</f>
        <v>B) Create unity</v>
      </c>
      <c r="E40" s="18" t="str">
        <f>IFERROR(__xludf.DUMMYFUNCTION("GOOGLETRANSLATE(K40, ""th"", ""en"")"),"Long-boat racing in the past played a role in strengthening unity in the community.")</f>
        <v>Long-boat racing in the past played a role in strengthening unity in the community.</v>
      </c>
      <c r="G40" s="18">
        <v>39.0</v>
      </c>
      <c r="H40" s="19" t="s">
        <v>1103</v>
      </c>
      <c r="I40" s="19" t="s">
        <v>1104</v>
      </c>
      <c r="J40" s="19" t="s">
        <v>1105</v>
      </c>
      <c r="K40" s="19" t="s">
        <v>1106</v>
      </c>
      <c r="L40" s="17"/>
    </row>
    <row r="41" ht="14.25" customHeight="1">
      <c r="A41" s="18" t="str">
        <f>IFERROR(__xludf.DUMMYFUNCTION("GOOGLETRANSLATE(G41, ""th"", ""en"")"),"40")</f>
        <v>40</v>
      </c>
      <c r="B41" s="18" t="str">
        <f>IFERROR(__xludf.DUMMYFUNCTION("GOOGLETRANSLATE(H41, ""th"", ""en"")"),"During the Ayutthaya period, what rituals were often involved in long boat races?")</f>
        <v>During the Ayutthaya period, what rituals were often involved in long boat races?</v>
      </c>
      <c r="C41" s="18" t="str">
        <f>IFERROR(__xludf.DUMMYFUNCTION("GOOGLETRANSLATE(I41, ""th"", ""en"")"),"A) a ceremony to worship the gods; B) a ceremony to ward off bad luck; C) a ceremony to sprinkle holy water; D) an opening ceremony")</f>
        <v>A) a ceremony to worship the gods; B) a ceremony to ward off bad luck; C) a ceremony to sprinkle holy water; D) an opening ceremony</v>
      </c>
      <c r="D41" s="18" t="str">
        <f>IFERROR(__xludf.DUMMYFUNCTION("GOOGLETRANSLATE(J41, ""th"", ""en"")"),"A) Ceremony to worship the gods")</f>
        <v>A) Ceremony to worship the gods</v>
      </c>
      <c r="E41" s="18" t="str">
        <f>IFERROR(__xludf.DUMMYFUNCTION("GOOGLETRANSLATE(K41, ""th"", ""en"")"),"Long boat races often have a ceremony to worship the gods to pray for the success of the race.")</f>
        <v>Long boat races often have a ceremony to worship the gods to pray for the success of the race.</v>
      </c>
      <c r="G41" s="18">
        <v>40.0</v>
      </c>
      <c r="H41" s="19" t="s">
        <v>1107</v>
      </c>
      <c r="I41" s="19" t="s">
        <v>1108</v>
      </c>
      <c r="J41" s="19" t="s">
        <v>1109</v>
      </c>
      <c r="K41" s="19" t="s">
        <v>1110</v>
      </c>
      <c r="L41" s="17"/>
    </row>
    <row r="42" ht="14.25" customHeight="1">
      <c r="A42" s="18" t="str">
        <f>IFERROR(__xludf.DUMMYFUNCTION("GOOGLETRANSLATE(G42, ""th"", ""en"")"),"41")</f>
        <v>41</v>
      </c>
      <c r="B42" s="18" t="str">
        <f>IFERROR(__xludf.DUMMYFUNCTION("GOOGLETRANSLATE(H42, ""th"", ""en"")"),"Where were longboat races held in Thailand in the past?")</f>
        <v>Where were longboat races held in Thailand in the past?</v>
      </c>
      <c r="C42" s="18" t="str">
        <f>IFERROR(__xludf.DUMMYFUNCTION("GOOGLETRANSLATE(I42, ""th"", ""en"")"),"A) river; B) sea; C) lake; D) swamp")</f>
        <v>A) river; B) sea; C) lake; D) swamp</v>
      </c>
      <c r="D42" s="18" t="str">
        <f>IFERROR(__xludf.DUMMYFUNCTION("GOOGLETRANSLATE(J42, ""th"", ""en"")"),"A) River")</f>
        <v>A) River</v>
      </c>
      <c r="E42" s="18" t="str">
        <f>IFERROR(__xludf.DUMMYFUNCTION("GOOGLETRANSLATE(K42, ""th"", ""en"")"),"Longboat races in Thailand are usually held on rivers with suitable conditions.")</f>
        <v>Longboat races in Thailand are usually held on rivers with suitable conditions.</v>
      </c>
      <c r="G42" s="18">
        <v>41.0</v>
      </c>
      <c r="H42" s="19" t="s">
        <v>1111</v>
      </c>
      <c r="I42" s="19" t="s">
        <v>1112</v>
      </c>
      <c r="J42" s="19" t="s">
        <v>1113</v>
      </c>
      <c r="K42" s="19" t="s">
        <v>1114</v>
      </c>
      <c r="L42" s="17"/>
    </row>
    <row r="43" ht="14.25" customHeight="1">
      <c r="A43" s="18" t="str">
        <f>IFERROR(__xludf.DUMMYFUNCTION("GOOGLETRANSLATE(G43, ""th"", ""en"")"),"42")</f>
        <v>42</v>
      </c>
      <c r="B43" s="18" t="str">
        <f>IFERROR(__xludf.DUMMYFUNCTION("GOOGLETRANSLATE(H43, ""th"", ""en"")"),"What role did long-boat racing play during the reign of King Rama V?")</f>
        <v>What role did long-boat racing play during the reign of King Rama V?</v>
      </c>
      <c r="C43" s="18" t="str">
        <f>IFERROR(__xludf.DUMMYFUNCTION("GOOGLETRANSLATE(I43, ""th"", ""en"")"),"A) Creating national pride; B) Military training; C) Promoting tourism; D) Creating community unity.")</f>
        <v>A) Creating national pride; B) Military training; C) Promoting tourism; D) Creating community unity.</v>
      </c>
      <c r="D43" s="18" t="str">
        <f>IFERROR(__xludf.DUMMYFUNCTION("GOOGLETRANSLATE(J43, ""th"", ""en"")"),"A) Creating national pride")</f>
        <v>A) Creating national pride</v>
      </c>
      <c r="E43" s="18" t="str">
        <f>IFERROR(__xludf.DUMMYFUNCTION("GOOGLETRANSLATE(K43, ""th"", ""en"")"),"Long-boat racing during the reign of King Rama V was a tool for creating national pride.")</f>
        <v>Long-boat racing during the reign of King Rama V was a tool for creating national pride.</v>
      </c>
      <c r="G43" s="18">
        <v>42.0</v>
      </c>
      <c r="H43" s="19" t="s">
        <v>1115</v>
      </c>
      <c r="I43" s="19" t="s">
        <v>1116</v>
      </c>
      <c r="J43" s="19" t="s">
        <v>1117</v>
      </c>
      <c r="K43" s="19" t="s">
        <v>1118</v>
      </c>
      <c r="L43" s="17"/>
    </row>
    <row r="44" ht="14.25" customHeight="1">
      <c r="A44" s="18" t="str">
        <f>IFERROR(__xludf.DUMMYFUNCTION("GOOGLETRANSLATE(G44, ""th"", ""en"")"),"43")</f>
        <v>43</v>
      </c>
      <c r="B44" s="18" t="str">
        <f>IFERROR(__xludf.DUMMYFUNCTION("GOOGLETRANSLATE(H44, ""th"", ""en"")"),"In ancient times, what techniques were used in rowing long boat races?")</f>
        <v>In ancient times, what techniques were used in rowing long boat races?</v>
      </c>
      <c r="C44" s="18" t="str">
        <f>IFERROR(__xludf.DUMMYFUNCTION("GOOGLETRANSLATE(I44, ""th"", ""en"")"),"A) Group rowing; B) Individual rowing; C) Traditional rowing; D) Roll rowing")</f>
        <v>A) Group rowing; B) Individual rowing; C) Traditional rowing; D) Roll rowing</v>
      </c>
      <c r="D44" s="18" t="str">
        <f>IFERROR(__xludf.DUMMYFUNCTION("GOOGLETRANSLATE(J44, ""th"", ""en"")"),"B) Split rowing")</f>
        <v>B) Split rowing</v>
      </c>
      <c r="E44" s="18" t="str">
        <f>IFERROR(__xludf.DUMMYFUNCTION("GOOGLETRANSLATE(K44, ""th"", ""en"")"),"In ancient times, long-distance rowing used a sequential rowing technique to make the movement faster.")</f>
        <v>In ancient times, long-distance rowing used a sequential rowing technique to make the movement faster.</v>
      </c>
      <c r="G44" s="18">
        <v>43.0</v>
      </c>
      <c r="H44" s="19" t="s">
        <v>1119</v>
      </c>
      <c r="I44" s="19" t="s">
        <v>1120</v>
      </c>
      <c r="J44" s="19" t="s">
        <v>1121</v>
      </c>
      <c r="K44" s="19" t="s">
        <v>1122</v>
      </c>
      <c r="L44" s="17"/>
    </row>
    <row r="45" ht="14.25" customHeight="1">
      <c r="A45" s="18" t="str">
        <f>IFERROR(__xludf.DUMMYFUNCTION("GOOGLETRANSLATE(G45, ""th"", ""en"")"),"44")</f>
        <v>44</v>
      </c>
      <c r="B45" s="18" t="str">
        <f>IFERROR(__xludf.DUMMYFUNCTION("GOOGLETRANSLATE(H45, ""th"", ""en"")"),"Did long boat races in the past have a judging committee?")</f>
        <v>Did long boat races in the past have a judging committee?</v>
      </c>
      <c r="C45" s="18" t="str">
        <f>IFERROR(__xludf.DUMMYFUNCTION("GOOGLETRANSLATE(I45, ""th"", ""en"")"),"A) No committee was established; B) A committee was established from community leaders; C) A committee was established from rowers; D) A committee was established from monks.")</f>
        <v>A) No committee was established; B) A committee was established from community leaders; C) A committee was established from rowers; D) A committee was established from monks.</v>
      </c>
      <c r="D45" s="18" t="str">
        <f>IFERROR(__xludf.DUMMYFUNCTION("GOOGLETRANSLATE(J45, ""th"", ""en"")"),"B) Establish a committee made up of community leaders.")</f>
        <v>B) Establish a committee made up of community leaders.</v>
      </c>
      <c r="E45" s="18" t="str">
        <f>IFERROR(__xludf.DUMMYFUNCTION("GOOGLETRANSLATE(K45, ""th"", ""en"")"),"In the past, the competition was judged by community leaders.")</f>
        <v>In the past, the competition was judged by community leaders.</v>
      </c>
      <c r="G45" s="18">
        <v>44.0</v>
      </c>
      <c r="H45" s="19" t="s">
        <v>1123</v>
      </c>
      <c r="I45" s="19" t="s">
        <v>1124</v>
      </c>
      <c r="J45" s="19" t="s">
        <v>1125</v>
      </c>
      <c r="K45" s="19" t="s">
        <v>1126</v>
      </c>
      <c r="L45" s="17"/>
    </row>
    <row r="46" ht="14.25" customHeight="1">
      <c r="A46" s="18" t="str">
        <f>IFERROR(__xludf.DUMMYFUNCTION("GOOGLETRANSLATE(G46, ""th"", ""en"")"),"45")</f>
        <v>45</v>
      </c>
      <c r="B46" s="18" t="str">
        <f>IFERROR(__xludf.DUMMYFUNCTION("GOOGLETRANSLATE(H46, ""th"", ""en"")"),"Were long-boat races held regularly in the past?")</f>
        <v>Were long-boat races held regularly in the past?</v>
      </c>
      <c r="C46" s="18" t="str">
        <f>IFERROR(__xludf.DUMMYFUNCTION("GOOGLETRANSLATE(I46, ""th"", ""en"")"),"A) There is no regular competition; B) The competition is held during important festivals; C) The competition is held every month; D) The competition is held every year.")</f>
        <v>A) There is no regular competition; B) The competition is held during important festivals; C) The competition is held every month; D) The competition is held every year.</v>
      </c>
      <c r="D46" s="18" t="str">
        <f>IFERROR(__xludf.DUMMYFUNCTION("GOOGLETRANSLATE(J46, ""th"", ""en"")"),"B) Organize competitions during important festivals.")</f>
        <v>B) Organize competitions during important festivals.</v>
      </c>
      <c r="E46" s="18" t="str">
        <f>IFERROR(__xludf.DUMMYFUNCTION("GOOGLETRANSLATE(K46, ""th"", ""en"")"),"Long-boat races are often held during important festivals.")</f>
        <v>Long-boat races are often held during important festivals.</v>
      </c>
      <c r="G46" s="18">
        <v>45.0</v>
      </c>
      <c r="H46" s="19" t="s">
        <v>1127</v>
      </c>
      <c r="I46" s="19" t="s">
        <v>1128</v>
      </c>
      <c r="J46" s="19" t="s">
        <v>1129</v>
      </c>
      <c r="K46" s="19" t="s">
        <v>1130</v>
      </c>
      <c r="L46" s="17"/>
    </row>
    <row r="47" ht="14.25" customHeight="1">
      <c r="A47" s="18" t="str">
        <f>IFERROR(__xludf.DUMMYFUNCTION("GOOGLETRANSLATE(G47, ""th"", ""en"")"),"46")</f>
        <v>46</v>
      </c>
      <c r="B47" s="18" t="str">
        <f>IFERROR(__xludf.DUMMYFUNCTION("GOOGLETRANSLATE(H47, ""th"", ""en"")"),"In which year did longboat racing become an official sport in Thailand?")</f>
        <v>In which year did longboat racing become an official sport in Thailand?</v>
      </c>
      <c r="C47" s="18" t="str">
        <f>IFERROR(__xludf.DUMMYFUNCTION("GOOGLETRANSLATE(I47, ""th"", ""en"")"),"A) 1920; B) 1930; C) 1940; D) 1950")</f>
        <v>A) 1920; B) 1930; C) 1940; D) 1950</v>
      </c>
      <c r="D47" s="18" t="str">
        <f>IFERROR(__xludf.DUMMYFUNCTION("GOOGLETRANSLATE(J47, ""th"", ""en"")"),"C) 1940")</f>
        <v>C) 1940</v>
      </c>
      <c r="E47" s="18" t="str">
        <f>IFERROR(__xludf.DUMMYFUNCTION("GOOGLETRANSLATE(K47, ""th"", ""en"")"),"Longboat racing began to gain acceptance and become an official sport in 1940.")</f>
        <v>Longboat racing began to gain acceptance and become an official sport in 1940.</v>
      </c>
      <c r="G47" s="18">
        <v>46.0</v>
      </c>
      <c r="H47" s="19" t="s">
        <v>1131</v>
      </c>
      <c r="I47" s="19" t="s">
        <v>1132</v>
      </c>
      <c r="J47" s="19" t="s">
        <v>1133</v>
      </c>
      <c r="K47" s="19" t="s">
        <v>1134</v>
      </c>
      <c r="L47" s="17"/>
    </row>
    <row r="48" ht="14.25" customHeight="1">
      <c r="A48" s="18" t="str">
        <f>IFERROR(__xludf.DUMMYFUNCTION("GOOGLETRANSLATE(G48, ""th"", ""en"")"),"47")</f>
        <v>47</v>
      </c>
      <c r="B48" s="18" t="str">
        <f>IFERROR(__xludf.DUMMYFUNCTION("GOOGLETRANSLATE(H48, ""th"", ""en"")"),"What were long-boat races in the past often associated with?")</f>
        <v>What were long-boat races in the past often associated with?</v>
      </c>
      <c r="C48" s="18" t="str">
        <f>IFERROR(__xludf.DUMMYFUNCTION("GOOGLETRANSLATE(I48, ""th"", ""en"")"),"A) Worship of the guardian; B) Military training; C) New Year celebrations; D) Skill competitions")</f>
        <v>A) Worship of the guardian; B) Military training; C) New Year celebrations; D) Skill competitions</v>
      </c>
      <c r="D48" s="18" t="str">
        <f>IFERROR(__xludf.DUMMYFUNCTION("GOOGLETRANSLATE(J48, ""th"", ""en"")"),"A) Worship of the Guardians")</f>
        <v>A) Worship of the Guardians</v>
      </c>
      <c r="E48" s="18" t="str">
        <f>IFERROR(__xludf.DUMMYFUNCTION("GOOGLETRANSLATE(K48, ""th"", ""en"")"),"Long boat races are often held to honor guardians or guardian deities.")</f>
        <v>Long boat races are often held to honor guardians or guardian deities.</v>
      </c>
      <c r="G48" s="18">
        <v>47.0</v>
      </c>
      <c r="H48" s="19" t="s">
        <v>1135</v>
      </c>
      <c r="I48" s="19" t="s">
        <v>1136</v>
      </c>
      <c r="J48" s="19" t="s">
        <v>1137</v>
      </c>
      <c r="K48" s="19" t="s">
        <v>1138</v>
      </c>
      <c r="L48" s="17"/>
    </row>
    <row r="49" ht="14.25" customHeight="1">
      <c r="A49" s="18" t="str">
        <f>IFERROR(__xludf.DUMMYFUNCTION("GOOGLETRANSLATE(G49, ""th"", ""en"")"),"48")</f>
        <v>48</v>
      </c>
      <c r="B49" s="18" t="str">
        <f>IFERROR(__xludf.DUMMYFUNCTION("GOOGLETRANSLATE(H49, ""th"", ""en"")"),"How did longboat racing in Thailand become popular in the mid-20th century?")</f>
        <v>How did longboat racing in Thailand become popular in the mid-20th century?</v>
      </c>
      <c r="C49" s="18" t="str">
        <f>IFERROR(__xludf.DUMMYFUNCTION("GOOGLETRANSLATE(I49, ""th"", ""en"")"),"A) increased rapidly; B) decreased due to economic development; C) remained stable; D) did not have any competition.")</f>
        <v>A) increased rapidly; B) decreased due to economic development; C) remained stable; D) did not have any competition.</v>
      </c>
      <c r="D49" s="18" t="str">
        <f>IFERROR(__xludf.DUMMYFUNCTION("GOOGLETRANSLATE(J49, ""th"", ""en"")"),"B) Decreased due to economic development.")</f>
        <v>B) Decreased due to economic development.</v>
      </c>
      <c r="E49" s="18" t="str">
        <f>IFERROR(__xludf.DUMMYFUNCTION("GOOGLETRANSLATE(K49, ""th"", ""en"")"),"Longboat racing declined in popularity in the mid-20th century.")</f>
        <v>Longboat racing declined in popularity in the mid-20th century.</v>
      </c>
      <c r="G49" s="18">
        <v>48.0</v>
      </c>
      <c r="H49" s="19" t="s">
        <v>1139</v>
      </c>
      <c r="I49" s="19" t="s">
        <v>1140</v>
      </c>
      <c r="J49" s="19" t="s">
        <v>1141</v>
      </c>
      <c r="K49" s="19" t="s">
        <v>1142</v>
      </c>
      <c r="L49" s="17"/>
    </row>
    <row r="50" ht="14.25" customHeight="1">
      <c r="A50" s="18" t="str">
        <f>IFERROR(__xludf.DUMMYFUNCTION("GOOGLETRANSLATE(G50, ""th"", ""en"")"),"49")</f>
        <v>49</v>
      </c>
      <c r="B50" s="18" t="str">
        <f>IFERROR(__xludf.DUMMYFUNCTION("GOOGLETRANSLATE(H50, ""th"", ""en"")"),"When were long-boat races held during the Ayutthaya period?")</f>
        <v>When were long-boat races held during the Ayutthaya period?</v>
      </c>
      <c r="C50" s="18" t="str">
        <f>IFERROR(__xludf.DUMMYFUNCTION("GOOGLETRANSLATE(I50, ""th"", ""en"")"),"A) Songkran Festival; B) Buddhist Lent; C) Loi Krathong Festival; D) New Year's Festival")</f>
        <v>A) Songkran Festival; B) Buddhist Lent; C) Loi Krathong Festival; D) New Year's Festival</v>
      </c>
      <c r="D50" s="18" t="str">
        <f>IFERROR(__xludf.DUMMYFUNCTION("GOOGLETRANSLATE(J50, ""th"", ""en"")"),"B) During the Buddhist Lent")</f>
        <v>B) During the Buddhist Lent</v>
      </c>
      <c r="E50" s="18" t="str">
        <f>IFERROR(__xludf.DUMMYFUNCTION("GOOGLETRANSLATE(K50, ""th"", ""en"")"),"Long-boat races are usually held during the Thai Buddhist Lent festival.")</f>
        <v>Long-boat races are usually held during the Thai Buddhist Lent festival.</v>
      </c>
      <c r="G50" s="18">
        <v>49.0</v>
      </c>
      <c r="H50" s="19" t="s">
        <v>1143</v>
      </c>
      <c r="I50" s="19" t="s">
        <v>1144</v>
      </c>
      <c r="J50" s="19" t="s">
        <v>1145</v>
      </c>
      <c r="K50" s="19" t="s">
        <v>1146</v>
      </c>
      <c r="L50" s="17"/>
    </row>
    <row r="51" ht="14.25" customHeight="1">
      <c r="A51" s="18" t="str">
        <f>IFERROR(__xludf.DUMMYFUNCTION("GOOGLETRANSLATE(G51, ""th"", ""en"")"),"50")</f>
        <v>50</v>
      </c>
      <c r="B51" s="18" t="str">
        <f>IFERROR(__xludf.DUMMYFUNCTION("GOOGLETRANSLATE(H51, ""th"", ""en"")"),"During the Ayutthaya period, what activity was longboat racing used for?")</f>
        <v>During the Ayutthaya period, what activity was longboat racing used for?</v>
      </c>
      <c r="C51" s="18" t="str">
        <f>IFERROR(__xludf.DUMMYFUNCTION("GOOGLETRANSLATE(I51, ""th"", ""en"")"),"A) Celebration of important holidays; B) Military training; C) Sports competitions; D) Worship of gods")</f>
        <v>A) Celebration of important holidays; B) Military training; C) Sports competitions; D) Worship of gods</v>
      </c>
      <c r="D51" s="18" t="str">
        <f>IFERROR(__xludf.DUMMYFUNCTION("GOOGLETRANSLATE(J51, ""th"", ""en"")"),"A) Celebration of important days")</f>
        <v>A) Celebration of important days</v>
      </c>
      <c r="E51" s="18" t="str">
        <f>IFERROR(__xludf.DUMMYFUNCTION("GOOGLETRANSLATE(K51, ""th"", ""en"")"),"Long boat racing in the Ayutthaya period was used as an activity to celebrate important days in Thai society.")</f>
        <v>Long boat racing in the Ayutthaya period was used as an activity to celebrate important days in Thai society.</v>
      </c>
      <c r="G51" s="18">
        <v>50.0</v>
      </c>
      <c r="H51" s="19" t="s">
        <v>1147</v>
      </c>
      <c r="I51" s="19" t="s">
        <v>1148</v>
      </c>
      <c r="J51" s="19" t="s">
        <v>1149</v>
      </c>
      <c r="K51" s="19" t="s">
        <v>1150</v>
      </c>
      <c r="L51" s="17"/>
    </row>
    <row r="52" ht="14.25" customHeight="1">
      <c r="A52" s="18" t="str">
        <f>IFERROR(__xludf.DUMMYFUNCTION("GOOGLETRANSLATE(G52, ""th"", ""en"")"),"51")</f>
        <v>51</v>
      </c>
      <c r="B52" s="18" t="str">
        <f>IFERROR(__xludf.DUMMYFUNCTION("GOOGLETRANSLATE(H52, ""th"", ""en"")"),"During the Thonburi period, who supported long-boat racing?")</f>
        <v>During the Thonburi period, who supported long-boat racing?</v>
      </c>
      <c r="C52" s="18" t="str">
        <f>IFERROR(__xludf.DUMMYFUNCTION("GOOGLETRANSLATE(I52, ""th"", ""en"")"),"A) royalty; B) community leader; C) king; D) monk")</f>
        <v>A) royalty; B) community leader; C) king; D) monk</v>
      </c>
      <c r="D52" s="18" t="str">
        <f>IFERROR(__xludf.DUMMYFUNCTION("GOOGLETRANSLATE(J52, ""th"", ""en"")"),"C) King")</f>
        <v>C) King</v>
      </c>
      <c r="E52" s="18" t="str">
        <f>IFERROR(__xludf.DUMMYFUNCTION("GOOGLETRANSLATE(K52, ""th"", ""en"")"),"Long boat racing during the Thonburi period was supported by the King.")</f>
        <v>Long boat racing during the Thonburi period was supported by the King.</v>
      </c>
      <c r="G52" s="18">
        <v>51.0</v>
      </c>
      <c r="H52" s="19" t="s">
        <v>1151</v>
      </c>
      <c r="I52" s="19" t="s">
        <v>1152</v>
      </c>
      <c r="J52" s="19" t="s">
        <v>1153</v>
      </c>
      <c r="K52" s="19" t="s">
        <v>1154</v>
      </c>
      <c r="L52" s="17"/>
    </row>
    <row r="53" ht="14.25" customHeight="1">
      <c r="A53" s="18" t="str">
        <f>IFERROR(__xludf.DUMMYFUNCTION("GOOGLETRANSLATE(G53, ""th"", ""en"")"),"52")</f>
        <v>52</v>
      </c>
      <c r="B53" s="18" t="str">
        <f>IFERROR(__xludf.DUMMYFUNCTION("GOOGLETRANSLATE(H53, ""th"", ""en"")"),"What technology was used in long-boat racing in the past to build boats?")</f>
        <v>What technology was used in long-boat racing in the past to build boats?</v>
      </c>
      <c r="C53" s="18" t="str">
        <f>IFERROR(__xludf.DUMMYFUNCTION("GOOGLETRANSLATE(I53, ""th"", ""en"")"),"A) Use of steel; B) Use of bamboo and hardwood; C) Use of carbon fiber; D) Use of plastic.")</f>
        <v>A) Use of steel; B) Use of bamboo and hardwood; C) Use of carbon fiber; D) Use of plastic.</v>
      </c>
      <c r="D53" s="18" t="str">
        <f>IFERROR(__xludf.DUMMYFUNCTION("GOOGLETRANSLATE(J53, ""th"", ""en"")"),"B) Use of bamboo and hardwood")</f>
        <v>B) Use of bamboo and hardwood</v>
      </c>
      <c r="E53" s="18" t="str">
        <f>IFERROR(__xludf.DUMMYFUNCTION("GOOGLETRANSLATE(K53, ""th"", ""en"")"),"In ancient times, long boat construction often used natural materials such as bamboo and hardwood.")</f>
        <v>In ancient times, long boat construction often used natural materials such as bamboo and hardwood.</v>
      </c>
      <c r="G53" s="18">
        <v>52.0</v>
      </c>
      <c r="H53" s="19" t="s">
        <v>1155</v>
      </c>
      <c r="I53" s="19" t="s">
        <v>1156</v>
      </c>
      <c r="J53" s="19" t="s">
        <v>1157</v>
      </c>
      <c r="K53" s="19" t="s">
        <v>1158</v>
      </c>
      <c r="L53" s="17"/>
    </row>
    <row r="54" ht="14.25" customHeight="1">
      <c r="A54" s="18" t="str">
        <f>IFERROR(__xludf.DUMMYFUNCTION("GOOGLETRANSLATE(G54, ""th"", ""en"")"),"53")</f>
        <v>53</v>
      </c>
      <c r="B54" s="18" t="str">
        <f>IFERROR(__xludf.DUMMYFUNCTION("GOOGLETRANSLATE(H54, ""th"", ""en"")"),"How many rowers were used in long-boat races during the Ayutthaya period?")</f>
        <v>How many rowers were used in long-boat races during the Ayutthaya period?</v>
      </c>
      <c r="C54" s="18" t="str">
        <f>IFERROR(__xludf.DUMMYFUNCTION("GOOGLETRANSLATE(I54, ""th"", ""en"")"),"A) 30-40 people; B) 40-50 people; C) 50-60 people; D) 60-70 people")</f>
        <v>A) 30-40 people; B) 40-50 people; C) 50-60 people; D) 60-70 people</v>
      </c>
      <c r="D54" s="18" t="str">
        <f>IFERROR(__xludf.DUMMYFUNCTION("GOOGLETRANSLATE(J54, ""th"", ""en"")"),"A) 30-40 people")</f>
        <v>A) 30-40 people</v>
      </c>
      <c r="E54" s="18" t="str">
        <f>IFERROR(__xludf.DUMMYFUNCTION("GOOGLETRANSLATE(K54, ""th"", ""en"")"),"The number of rowers in long-boat races during the Ayutthaya period was usually 30-40 people.")</f>
        <v>The number of rowers in long-boat races during the Ayutthaya period was usually 30-40 people.</v>
      </c>
      <c r="G54" s="18">
        <v>53.0</v>
      </c>
      <c r="H54" s="19" t="s">
        <v>1159</v>
      </c>
      <c r="I54" s="19" t="s">
        <v>1160</v>
      </c>
      <c r="J54" s="19" t="s">
        <v>1161</v>
      </c>
      <c r="K54" s="19" t="s">
        <v>1162</v>
      </c>
      <c r="L54" s="17"/>
    </row>
    <row r="55" ht="14.25" customHeight="1">
      <c r="A55" s="18" t="str">
        <f>IFERROR(__xludf.DUMMYFUNCTION("GOOGLETRANSLATE(G55, ""th"", ""en"")"),"54")</f>
        <v>54</v>
      </c>
      <c r="B55" s="18" t="str">
        <f>IFERROR(__xludf.DUMMYFUNCTION("GOOGLETRANSLATE(H55, ""th"", ""en"")"),"What role did long boat racing in the past play in fostering?")</f>
        <v>What role did long boat racing in the past play in fostering?</v>
      </c>
      <c r="C55" s="18" t="str">
        <f>IFERROR(__xludf.DUMMYFUNCTION("GOOGLETRANSLATE(I55, ""th"", ""en"")"),"A) international relations; B) community harmony; C) royal entertainment; D) sports excellence")</f>
        <v>A) international relations; B) community harmony; C) royal entertainment; D) sports excellence</v>
      </c>
      <c r="D55" s="18" t="str">
        <f>IFERROR(__xludf.DUMMYFUNCTION("GOOGLETRANSLATE(J55, ""th"", ""en"")"),"B) Community unity")</f>
        <v>B) Community unity</v>
      </c>
      <c r="E55" s="18" t="str">
        <f>IFERROR(__xludf.DUMMYFUNCTION("GOOGLETRANSLATE(K55, ""th"", ""en"")"),"Long boat racing in the past played a role in strengthening unity in the community.")</f>
        <v>Long boat racing in the past played a role in strengthening unity in the community.</v>
      </c>
      <c r="G55" s="18">
        <v>54.0</v>
      </c>
      <c r="H55" s="19" t="s">
        <v>1163</v>
      </c>
      <c r="I55" s="19" t="s">
        <v>1164</v>
      </c>
      <c r="J55" s="19" t="s">
        <v>1165</v>
      </c>
      <c r="K55" s="19" t="s">
        <v>1166</v>
      </c>
      <c r="L55" s="17"/>
    </row>
    <row r="56" ht="14.25" customHeight="1">
      <c r="A56" s="18" t="str">
        <f>IFERROR(__xludf.DUMMYFUNCTION("GOOGLETRANSLATE(G56, ""th"", ""en"")"),"55")</f>
        <v>55</v>
      </c>
      <c r="B56" s="18" t="str">
        <f>IFERROR(__xludf.DUMMYFUNCTION("GOOGLETRANSLATE(H56, ""th"", ""en"")"),"What were long boat races held for in the past?")</f>
        <v>What were long boat races held for in the past?</v>
      </c>
      <c r="C56" s="18" t="str">
        <f>IFERROR(__xludf.DUMMYFUNCTION("GOOGLETRANSLATE(I56, ""th"", ""en"")"),"A) Celebration of an important day; B) Military training; C) Rowing training; D) Speed ​​test")</f>
        <v>A) Celebration of an important day; B) Military training; C) Rowing training; D) Speed ​​test</v>
      </c>
      <c r="D56" s="18" t="str">
        <f>IFERROR(__xludf.DUMMYFUNCTION("GOOGLETRANSLATE(J56, ""th"", ""en"")"),"A) Celebration of important days")</f>
        <v>A) Celebration of important days</v>
      </c>
      <c r="E56" s="18" t="str">
        <f>IFERROR(__xludf.DUMMYFUNCTION("GOOGLETRANSLATE(K56, ""th"", ""en"")"),"In the past, long-boat races were often held to celebrate important local holidays.")</f>
        <v>In the past, long-boat races were often held to celebrate important local holidays.</v>
      </c>
      <c r="G56" s="18">
        <v>55.0</v>
      </c>
      <c r="H56" s="19" t="s">
        <v>1167</v>
      </c>
      <c r="I56" s="19" t="s">
        <v>1168</v>
      </c>
      <c r="J56" s="19" t="s">
        <v>1149</v>
      </c>
      <c r="K56" s="19" t="s">
        <v>1169</v>
      </c>
      <c r="L56" s="17"/>
    </row>
    <row r="57" ht="14.25" customHeight="1">
      <c r="A57" s="18" t="str">
        <f>IFERROR(__xludf.DUMMYFUNCTION("GOOGLETRANSLATE(G57, ""th"", ""en"")"),"56")</f>
        <v>56</v>
      </c>
      <c r="B57" s="18" t="str">
        <f>IFERROR(__xludf.DUMMYFUNCTION("GOOGLETRANSLATE(H57, ""th"", ""en"")"),"Which countries are interested in long-boat racing in Thailand?")</f>
        <v>Which countries are interested in long-boat racing in Thailand?</v>
      </c>
      <c r="C57" s="18" t="str">
        <f>IFERROR(__xludf.DUMMYFUNCTION("GOOGLETRANSLATE(I57, ""th"", ""en"")"),"A) Japan; B) China; C) United States; D) Cambodia")</f>
        <v>A) Japan; B) China; C) United States; D) Cambodia</v>
      </c>
      <c r="D57" s="18" t="str">
        <f>IFERROR(__xludf.DUMMYFUNCTION("GOOGLETRANSLATE(J57, ""th"", ""en"")"),"B) China")</f>
        <v>B) China</v>
      </c>
      <c r="E57" s="18" t="str">
        <f>IFERROR(__xludf.DUMMYFUNCTION("GOOGLETRANSLATE(K57, ""th"", ""en"")"),"Long-boat racing in Thailand has gained attention from China in recent years.")</f>
        <v>Long-boat racing in Thailand has gained attention from China in recent years.</v>
      </c>
      <c r="G57" s="18">
        <v>56.0</v>
      </c>
      <c r="H57" s="19" t="s">
        <v>1170</v>
      </c>
      <c r="I57" s="19" t="s">
        <v>1171</v>
      </c>
      <c r="J57" s="19" t="s">
        <v>1172</v>
      </c>
      <c r="K57" s="19" t="s">
        <v>1173</v>
      </c>
      <c r="L57" s="17"/>
    </row>
    <row r="58" ht="14.25" customHeight="1">
      <c r="A58" s="18" t="str">
        <f>IFERROR(__xludf.DUMMYFUNCTION("GOOGLETRANSLATE(G58, ""th"", ""en"")"),"57")</f>
        <v>57</v>
      </c>
      <c r="B58" s="18" t="str">
        <f>IFERROR(__xludf.DUMMYFUNCTION("GOOGLETRANSLATE(H58, ""th"", ""en"")"),"During the Ayutthaya period, long boat racing was used as part of what activity?")</f>
        <v>During the Ayutthaya period, long boat racing was used as part of what activity?</v>
      </c>
      <c r="C58" s="18" t="str">
        <f>IFERROR(__xludf.DUMMYFUNCTION("GOOGLETRANSLATE(I58, ""th"", ""en"")"),"A) military training; B) community training; C) worship of the protector; D) testing of maritime skills.")</f>
        <v>A) military training; B) community training; C) worship of the protector; D) testing of maritime skills.</v>
      </c>
      <c r="D58" s="18" t="str">
        <f>IFERROR(__xludf.DUMMYFUNCTION("GOOGLETRANSLATE(J58, ""th"", ""en"")"),"B) Training children in the community")</f>
        <v>B) Training children in the community</v>
      </c>
      <c r="E58" s="18" t="str">
        <f>IFERROR(__xludf.DUMMYFUNCTION("GOOGLETRANSLATE(K58, ""th"", ""en"")"),"Long-boat racing is used to train water skills among children in the community.")</f>
        <v>Long-boat racing is used to train water skills among children in the community.</v>
      </c>
      <c r="G58" s="18">
        <v>57.0</v>
      </c>
      <c r="H58" s="19" t="s">
        <v>1174</v>
      </c>
      <c r="I58" s="19" t="s">
        <v>1175</v>
      </c>
      <c r="J58" s="19" t="s">
        <v>1176</v>
      </c>
      <c r="K58" s="19" t="s">
        <v>1177</v>
      </c>
      <c r="L58" s="17"/>
    </row>
    <row r="59" ht="14.25" customHeight="1">
      <c r="A59" s="18" t="str">
        <f>IFERROR(__xludf.DUMMYFUNCTION("GOOGLETRANSLATE(G59, ""th"", ""en"")"),"58")</f>
        <v>58</v>
      </c>
      <c r="B59" s="18" t="str">
        <f>IFERROR(__xludf.DUMMYFUNCTION("GOOGLETRANSLATE(H59, ""th"", ""en"")"),"In the past, what additional activities were often organized for long-boat races?")</f>
        <v>In the past, what additional activities were often organized for long-boat races?</v>
      </c>
      <c r="C59" s="18" t="str">
        <f>IFERROR(__xludf.DUMMYFUNCTION("GOOGLETRANSLATE(I59, ""th"", ""en"")"),"A) fighting competition; B) fishing competition; C) folk cultural performance; D) running competition")</f>
        <v>A) fighting competition; B) fishing competition; C) folk cultural performance; D) running competition</v>
      </c>
      <c r="D59" s="18" t="str">
        <f>IFERROR(__xludf.DUMMYFUNCTION("GOOGLETRANSLATE(J59, ""th"", ""en"")"),"A) Fighting competition")</f>
        <v>A) Fighting competition</v>
      </c>
      <c r="E59" s="18" t="str">
        <f>IFERROR(__xludf.DUMMYFUNCTION("GOOGLETRANSLATE(K59, ""th"", ""en"")"),"Longboat races often feature combat competitions or other strength-related activities.")</f>
        <v>Longboat races often feature combat competitions or other strength-related activities.</v>
      </c>
      <c r="G59" s="18">
        <v>58.0</v>
      </c>
      <c r="H59" s="19" t="s">
        <v>1178</v>
      </c>
      <c r="I59" s="19" t="s">
        <v>1179</v>
      </c>
      <c r="J59" s="19" t="s">
        <v>1180</v>
      </c>
      <c r="K59" s="19" t="s">
        <v>1181</v>
      </c>
      <c r="L59" s="17"/>
    </row>
    <row r="60" ht="14.25" customHeight="1">
      <c r="A60" s="18" t="str">
        <f>IFERROR(__xludf.DUMMYFUNCTION("GOOGLETRANSLATE(G60, ""th"", ""en"")"),"59")</f>
        <v>59</v>
      </c>
      <c r="B60" s="18" t="str">
        <f>IFERROR(__xludf.DUMMYFUNCTION("GOOGLETRANSLATE(H60, ""th"", ""en"")"),"What role does longboat racing play in Thailand today?")</f>
        <v>What role does longboat racing play in Thailand today?</v>
      </c>
      <c r="C60" s="18" t="str">
        <f>IFERROR(__xludf.DUMMYFUNCTION("GOOGLETRANSLATE(I60, ""th"", ""en"")"),"A) It is a sport for entertainment; B) It is a sport to promote tourism; C) It is a national competition; D) All of the above.")</f>
        <v>A) It is a sport for entertainment; B) It is a sport to promote tourism; C) It is a national competition; D) All of the above.</v>
      </c>
      <c r="D60" s="18" t="str">
        <f>IFERROR(__xludf.DUMMYFUNCTION("GOOGLETRANSLATE(J60, ""th"", ""en"")"),"D) All of the above")</f>
        <v>D) All of the above</v>
      </c>
      <c r="E60" s="18" t="str">
        <f>IFERROR(__xludf.DUMMYFUNCTION("GOOGLETRANSLATE(K60, ""th"", ""en"")"),"Long-boat racing today plays a role in sports, tourism, and entertainment.")</f>
        <v>Long-boat racing today plays a role in sports, tourism, and entertainment.</v>
      </c>
      <c r="G60" s="18">
        <v>59.0</v>
      </c>
      <c r="H60" s="19" t="s">
        <v>1182</v>
      </c>
      <c r="I60" s="19" t="s">
        <v>1183</v>
      </c>
      <c r="J60" s="19" t="s">
        <v>986</v>
      </c>
      <c r="K60" s="19" t="s">
        <v>1184</v>
      </c>
      <c r="L60" s="17"/>
    </row>
    <row r="61" ht="14.25" customHeight="1">
      <c r="A61" s="18" t="str">
        <f>IFERROR(__xludf.DUMMYFUNCTION("GOOGLETRANSLATE(G61, ""th"", ""en"")"),"60")</f>
        <v>60</v>
      </c>
      <c r="B61" s="18" t="str">
        <f>IFERROR(__xludf.DUMMYFUNCTION("GOOGLETRANSLATE(H61, ""th"", ""en"")"),"Where were long-boat races held during the Ayutthaya period?")</f>
        <v>Where were long-boat races held during the Ayutthaya period?</v>
      </c>
      <c r="C61" s="18" t="str">
        <f>IFERROR(__xludf.DUMMYFUNCTION("GOOGLETRANSLATE(I61, ""th"", ""en"")"),"A) the capital city; B) the Chao Phraya River area; C) the Gulf of Thailand; D) Khao Yai Lake")</f>
        <v>A) the capital city; B) the Chao Phraya River area; C) the Gulf of Thailand; D) Khao Yai Lake</v>
      </c>
      <c r="D61" s="18" t="str">
        <f>IFERROR(__xludf.DUMMYFUNCTION("GOOGLETRANSLATE(J61, ""th"", ""en"")"),"B) Chao Phraya River area")</f>
        <v>B) Chao Phraya River area</v>
      </c>
      <c r="E61" s="18" t="str">
        <f>IFERROR(__xludf.DUMMYFUNCTION("GOOGLETRANSLATE(K61, ""th"", ""en"")"),"Long-boat races during the Ayutthaya period were often held along the Chao Phraya River.")</f>
        <v>Long-boat races during the Ayutthaya period were often held along the Chao Phraya River.</v>
      </c>
      <c r="G61" s="18">
        <v>60.0</v>
      </c>
      <c r="H61" s="19" t="s">
        <v>1185</v>
      </c>
      <c r="I61" s="19" t="s">
        <v>1186</v>
      </c>
      <c r="J61" s="19" t="s">
        <v>1187</v>
      </c>
      <c r="K61" s="19" t="s">
        <v>1188</v>
      </c>
      <c r="L61" s="17"/>
    </row>
    <row r="62" ht="14.25" customHeight="1">
      <c r="A62" s="18" t="str">
        <f>IFERROR(__xludf.DUMMYFUNCTION("GOOGLETRANSLATE(G62, ""th"", ""en"")"),"61")</f>
        <v>61</v>
      </c>
      <c r="B62" s="18" t="str">
        <f>IFERROR(__xludf.DUMMYFUNCTION("GOOGLETRANSLATE(H62, ""th"", ""en"")"),"In which year did longboat racing in Thailand begin to be held at the national level?")</f>
        <v>In which year did longboat racing in Thailand begin to be held at the national level?</v>
      </c>
      <c r="C62" s="18" t="str">
        <f>IFERROR(__xludf.DUMMYFUNCTION("GOOGLETRANSLATE(I62, ""th"", ""en"")"),"A) 1950; B) 1955; C) 1960; D) 1965")</f>
        <v>A) 1950; B) 1955; C) 1960; D) 1965</v>
      </c>
      <c r="D62" s="18" t="str">
        <f>IFERROR(__xludf.DUMMYFUNCTION("GOOGLETRANSLATE(J62, ""th"", ""en"")"),"B) 1955")</f>
        <v>B) 1955</v>
      </c>
      <c r="E62" s="18" t="str">
        <f>IFERROR(__xludf.DUMMYFUNCTION("GOOGLETRANSLATE(K62, ""th"", ""en"")"),"Longboat racing in Thailand began as a national competition in 1955.")</f>
        <v>Longboat racing in Thailand began as a national competition in 1955.</v>
      </c>
      <c r="G62" s="18">
        <v>61.0</v>
      </c>
      <c r="H62" s="19" t="s">
        <v>1189</v>
      </c>
      <c r="I62" s="19" t="s">
        <v>1190</v>
      </c>
      <c r="J62" s="19" t="s">
        <v>1191</v>
      </c>
      <c r="K62" s="19" t="s">
        <v>1192</v>
      </c>
      <c r="L62" s="17"/>
    </row>
    <row r="63" ht="14.25" customHeight="1">
      <c r="A63" s="18" t="str">
        <f>IFERROR(__xludf.DUMMYFUNCTION("GOOGLETRANSLATE(G63, ""th"", ""en"")"),"62")</f>
        <v>62</v>
      </c>
      <c r="B63" s="18" t="str">
        <f>IFERROR(__xludf.DUMMYFUNCTION("GOOGLETRANSLATE(H63, ""th"", ""en"")"),"What country has the rules and format of longboat racing in Thailand?")</f>
        <v>What country has the rules and format of longboat racing in Thailand?</v>
      </c>
      <c r="C63" s="18" t="str">
        <f>IFERROR(__xludf.DUMMYFUNCTION("GOOGLETRANSLATE(I63, ""th"", ""en"")"),"A) England; B) America; C) Thailand; D) India")</f>
        <v>A) England; B) America; C) Thailand; D) India</v>
      </c>
      <c r="D63" s="18" t="str">
        <f>IFERROR(__xludf.DUMMYFUNCTION("GOOGLETRANSLATE(J63, ""th"", ""en"")"),"C) Thai")</f>
        <v>C) Thai</v>
      </c>
      <c r="E63" s="18" t="str">
        <f>IFERROR(__xludf.DUMMYFUNCTION("GOOGLETRANSLATE(K63, ""th"", ""en"")"),"Longboat racing in Thailand has a competition format and rules that were developed within the country.")</f>
        <v>Longboat racing in Thailand has a competition format and rules that were developed within the country.</v>
      </c>
      <c r="G63" s="18">
        <v>62.0</v>
      </c>
      <c r="H63" s="19" t="s">
        <v>1193</v>
      </c>
      <c r="I63" s="19" t="s">
        <v>1194</v>
      </c>
      <c r="J63" s="19" t="s">
        <v>1195</v>
      </c>
      <c r="K63" s="19" t="s">
        <v>1196</v>
      </c>
      <c r="L63" s="17"/>
    </row>
    <row r="64" ht="14.25" customHeight="1">
      <c r="A64" s="18" t="str">
        <f>IFERROR(__xludf.DUMMYFUNCTION("GOOGLETRANSLATE(G64, ""th"", ""en"")"),"63")</f>
        <v>63</v>
      </c>
      <c r="B64" s="18" t="str">
        <f>IFERROR(__xludf.DUMMYFUNCTION("GOOGLETRANSLATE(H64, ""th"", ""en"")"),"In the old days of longboat racing, what were the boats usually like?")</f>
        <v>In the old days of longboat racing, what were the boats usually like?</v>
      </c>
      <c r="C64" s="18" t="str">
        <f>IFERROR(__xludf.DUMMYFUNCTION("GOOGLETRANSLATE(I64, ""th"", ""en"")"),"A) a large and heavy ship; B) a small and fast ship; C) a medium-sized ship; D) a luxuriously decorated ship")</f>
        <v>A) a large and heavy ship; B) a small and fast ship; C) a medium-sized ship; D) a luxuriously decorated ship</v>
      </c>
      <c r="D64" s="18" t="str">
        <f>IFERROR(__xludf.DUMMYFUNCTION("GOOGLETRANSLATE(J64, ""th"", ""en"")"),"B) Small and fast boats")</f>
        <v>B) Small and fast boats</v>
      </c>
      <c r="E64" s="18" t="str">
        <f>IFERROR(__xludf.DUMMYFUNCTION("GOOGLETRANSLATE(K64, ""th"", ""en"")"),"Boats used in racing in the past were often small and fast in order to be competitive.")</f>
        <v>Boats used in racing in the past were often small and fast in order to be competitive.</v>
      </c>
      <c r="G64" s="18">
        <v>63.0</v>
      </c>
      <c r="H64" s="19" t="s">
        <v>1197</v>
      </c>
      <c r="I64" s="19" t="s">
        <v>1198</v>
      </c>
      <c r="J64" s="19" t="s">
        <v>1199</v>
      </c>
      <c r="K64" s="19" t="s">
        <v>1200</v>
      </c>
      <c r="L64" s="17"/>
    </row>
    <row r="65" ht="14.25" customHeight="1">
      <c r="A65" s="18" t="str">
        <f>IFERROR(__xludf.DUMMYFUNCTION("GOOGLETRANSLATE(G65, ""th"", ""en"")"),"64")</f>
        <v>64</v>
      </c>
      <c r="B65" s="18" t="str">
        <f>IFERROR(__xludf.DUMMYFUNCTION("GOOGLETRANSLATE(H65, ""th"", ""en"")"),"During the Ayutthaya period, what activities were longboat races often associated with?")</f>
        <v>During the Ayutthaya period, what activities were longboat races often associated with?</v>
      </c>
      <c r="C65" s="18" t="str">
        <f>IFERROR(__xludf.DUMMYFUNCTION("GOOGLETRANSLATE(I65, ""th"", ""en"")"),"A) celebration; B) military training; C) worship of gods; D) maritime education")</f>
        <v>A) celebration; B) military training; C) worship of gods; D) maritime education</v>
      </c>
      <c r="D65" s="18" t="str">
        <f>IFERROR(__xludf.DUMMYFUNCTION("GOOGLETRANSLATE(J65, ""th"", ""en"")"),"C) Worship of gods")</f>
        <v>C) Worship of gods</v>
      </c>
      <c r="E65" s="18" t="str">
        <f>IFERROR(__xludf.DUMMYFUNCTION("GOOGLETRANSLATE(K65, ""th"", ""en"")"),"Long boat racing in the Ayutthaya period involved worship of gods and rituals.")</f>
        <v>Long boat racing in the Ayutthaya period involved worship of gods and rituals.</v>
      </c>
      <c r="G65" s="18">
        <v>64.0</v>
      </c>
      <c r="H65" s="19" t="s">
        <v>1201</v>
      </c>
      <c r="I65" s="19" t="s">
        <v>1202</v>
      </c>
      <c r="J65" s="19" t="s">
        <v>1203</v>
      </c>
      <c r="K65" s="19" t="s">
        <v>1204</v>
      </c>
      <c r="L65" s="17"/>
    </row>
    <row r="66" ht="14.25" customHeight="1">
      <c r="A66" s="18" t="str">
        <f>IFERROR(__xludf.DUMMYFUNCTION("GOOGLETRANSLATE(G66, ""th"", ""en"")"),"65")</f>
        <v>65</v>
      </c>
      <c r="B66" s="18" t="str">
        <f>IFERROR(__xludf.DUMMYFUNCTION("GOOGLETRANSLATE(H66, ""th"", ""en"")"),"During the Ayutthaya period, what role did long boat racing play?")</f>
        <v>During the Ayutthaya period, what role did long boat racing play?</v>
      </c>
      <c r="C66" s="18" t="str">
        <f>IFERROR(__xludf.DUMMYFUNCTION("GOOGLETRANSLATE(I66, ""th"", ""en"")"),"A) promote trade; B) create unity in the community; C) promote tourism; D) create military knowledge.")</f>
        <v>A) promote trade; B) create unity in the community; C) promote tourism; D) create military knowledge.</v>
      </c>
      <c r="D66" s="18" t="str">
        <f>IFERROR(__xludf.DUMMYFUNCTION("GOOGLETRANSLATE(J66, ""th"", ""en"")"),"B) Create unity in the community.")</f>
        <v>B) Create unity in the community.</v>
      </c>
      <c r="E66" s="18" t="str">
        <f>IFERROR(__xludf.DUMMYFUNCTION("GOOGLETRANSLATE(K66, ""th"", ""en"")"),"Long boat racing in the Ayutthaya period was an activity that helped to build unity in the community.")</f>
        <v>Long boat racing in the Ayutthaya period was an activity that helped to build unity in the community.</v>
      </c>
      <c r="G66" s="18">
        <v>65.0</v>
      </c>
      <c r="H66" s="19" t="s">
        <v>1205</v>
      </c>
      <c r="I66" s="19" t="s">
        <v>1206</v>
      </c>
      <c r="J66" s="19" t="s">
        <v>1207</v>
      </c>
      <c r="K66" s="19" t="s">
        <v>1208</v>
      </c>
      <c r="L66" s="17"/>
    </row>
    <row r="67" ht="14.25" customHeight="1">
      <c r="A67" s="18" t="str">
        <f>IFERROR(__xludf.DUMMYFUNCTION("GOOGLETRANSLATE(G67, ""th"", ""en"")"),"66")</f>
        <v>66</v>
      </c>
      <c r="B67" s="18" t="str">
        <f>IFERROR(__xludf.DUMMYFUNCTION("GOOGLETRANSLATE(H67, ""th"", ""en"")"),"How often were long boat races held in the past?")</f>
        <v>How often were long boat races held in the past?</v>
      </c>
      <c r="C67" s="18" t="str">
        <f>IFERROR(__xludf.DUMMYFUNCTION("GOOGLETRANSLATE(I67, ""th"", ""en"")"),"A) Every year; B) Every month; C) Every season; D) Every festival")</f>
        <v>A) Every year; B) Every month; C) Every season; D) Every festival</v>
      </c>
      <c r="D67" s="18" t="str">
        <f>IFERROR(__xludf.DUMMYFUNCTION("GOOGLETRANSLATE(J67, ""th"", ""en"")"),"A) Every year")</f>
        <v>A) Every year</v>
      </c>
      <c r="E67" s="18" t="str">
        <f>IFERROR(__xludf.DUMMYFUNCTION("GOOGLETRANSLATE(K67, ""th"", ""en"")"),"In the past, long boat races were held annually at the appropriate time.")</f>
        <v>In the past, long boat races were held annually at the appropriate time.</v>
      </c>
      <c r="G67" s="18">
        <v>66.0</v>
      </c>
      <c r="H67" s="19" t="s">
        <v>1209</v>
      </c>
      <c r="I67" s="19" t="s">
        <v>1210</v>
      </c>
      <c r="J67" s="19" t="s">
        <v>1211</v>
      </c>
      <c r="K67" s="19" t="s">
        <v>1212</v>
      </c>
      <c r="L67" s="17"/>
    </row>
    <row r="68" ht="14.25" customHeight="1">
      <c r="A68" s="18" t="str">
        <f>IFERROR(__xludf.DUMMYFUNCTION("GOOGLETRANSLATE(G68, ""th"", ""en"")"),"67")</f>
        <v>67</v>
      </c>
      <c r="B68" s="18" t="str">
        <f>IFERROR(__xludf.DUMMYFUNCTION("GOOGLETRANSLATE(H68, ""th"", ""en"")"),"What materials were used to build long-boat races in the Ayutthaya period?")</f>
        <v>What materials were used to build long-boat races in the Ayutthaya period?</v>
      </c>
      <c r="C68" s="18" t="str">
        <f>IFERROR(__xludf.DUMMYFUNCTION("GOOGLETRANSLATE(I68, ""th"", ""en"")"),"A) bamboo; B) metal; C) hardwood; D) plastic")</f>
        <v>A) bamboo; B) metal; C) hardwood; D) plastic</v>
      </c>
      <c r="D68" s="18" t="str">
        <f>IFERROR(__xludf.DUMMYFUNCTION("GOOGLETRANSLATE(J68, ""th"", ""en"")"),"C) Hardwood")</f>
        <v>C) Hardwood</v>
      </c>
      <c r="E68" s="18" t="str">
        <f>IFERROR(__xludf.DUMMYFUNCTION("GOOGLETRANSLATE(K68, ""th"", ""en"")"),"Long boats in the Ayutthaya period were built using hardwood.")</f>
        <v>Long boats in the Ayutthaya period were built using hardwood.</v>
      </c>
      <c r="G68" s="18">
        <v>67.0</v>
      </c>
      <c r="H68" s="19" t="s">
        <v>1213</v>
      </c>
      <c r="I68" s="19" t="s">
        <v>1214</v>
      </c>
      <c r="J68" s="19" t="s">
        <v>1215</v>
      </c>
      <c r="K68" s="19" t="s">
        <v>1216</v>
      </c>
      <c r="L68" s="17"/>
    </row>
    <row r="69" ht="14.25" customHeight="1">
      <c r="A69" s="18" t="str">
        <f>IFERROR(__xludf.DUMMYFUNCTION("GOOGLETRANSLATE(G69, ""th"", ""en"")"),"68")</f>
        <v>68</v>
      </c>
      <c r="B69" s="18" t="str">
        <f>IFERROR(__xludf.DUMMYFUNCTION("GOOGLETRANSLATE(H69, ""th"", ""en"")"),"How did longboat racing change during the Thonburi period?")</f>
        <v>How did longboat racing change during the Thonburi period?</v>
      </c>
      <c r="C69" s="18" t="str">
        <f>IFERROR(__xludf.DUMMYFUNCTION("GOOGLETRANSLATE(I69, ""th"", ""en"")"),"A) increasing the number of rowers; B) organizing races on multiple rivers; C) reducing the size of boats; D) canceling races.")</f>
        <v>A) increasing the number of rowers; B) organizing races on multiple rivers; C) reducing the size of boats; D) canceling races.</v>
      </c>
      <c r="D69" s="18" t="str">
        <f>IFERROR(__xludf.DUMMYFUNCTION("GOOGLETRANSLATE(J69, ""th"", ""en"")"),"B) Organizing competitions in many rivers")</f>
        <v>B) Organizing competitions in many rivers</v>
      </c>
      <c r="E69" s="18" t="str">
        <f>IFERROR(__xludf.DUMMYFUNCTION("GOOGLETRANSLATE(K69, ""th"", ""en"")"),"During the Thonburi period, long-boat racing was held on many rivers.")</f>
        <v>During the Thonburi period, long-boat racing was held on many rivers.</v>
      </c>
      <c r="G69" s="18">
        <v>68.0</v>
      </c>
      <c r="H69" s="19" t="s">
        <v>1217</v>
      </c>
      <c r="I69" s="19" t="s">
        <v>1218</v>
      </c>
      <c r="J69" s="19" t="s">
        <v>1219</v>
      </c>
      <c r="K69" s="19" t="s">
        <v>1220</v>
      </c>
      <c r="L69" s="17"/>
    </row>
    <row r="70" ht="14.25" customHeight="1">
      <c r="A70" s="18" t="str">
        <f>IFERROR(__xludf.DUMMYFUNCTION("GOOGLETRANSLATE(G70, ""th"", ""en"")"),"69")</f>
        <v>69</v>
      </c>
      <c r="B70" s="18" t="str">
        <f>IFERROR(__xludf.DUMMYFUNCTION("GOOGLETRANSLATE(H70, ""th"", ""en"")"),"When were long-boat races held in the past?")</f>
        <v>When were long-boat races held in the past?</v>
      </c>
      <c r="C70" s="18" t="str">
        <f>IFERROR(__xludf.DUMMYFUNCTION("GOOGLETRANSLATE(I70, ""th"", ""en"")"),"A) rainy season; B) summer; C) winter; D) all seasons")</f>
        <v>A) rainy season; B) summer; C) winter; D) all seasons</v>
      </c>
      <c r="D70" s="18" t="str">
        <f>IFERROR(__xludf.DUMMYFUNCTION("GOOGLETRANSLATE(J70, ""th"", ""en"")"),"A) Rainy season")</f>
        <v>A) Rainy season</v>
      </c>
      <c r="E70" s="18" t="str">
        <f>IFERROR(__xludf.DUMMYFUNCTION("GOOGLETRANSLATE(K70, ""th"", ""en"")"),"Long boat races are usually held during the rainy season when the water level is suitable.")</f>
        <v>Long boat races are usually held during the rainy season when the water level is suitable.</v>
      </c>
      <c r="G70" s="18">
        <v>69.0</v>
      </c>
      <c r="H70" s="19" t="s">
        <v>1221</v>
      </c>
      <c r="I70" s="19" t="s">
        <v>1222</v>
      </c>
      <c r="J70" s="19" t="s">
        <v>974</v>
      </c>
      <c r="K70" s="19" t="s">
        <v>1223</v>
      </c>
      <c r="L70" s="17"/>
    </row>
    <row r="71" ht="14.25" customHeight="1">
      <c r="A71" s="18" t="str">
        <f>IFERROR(__xludf.DUMMYFUNCTION("GOOGLETRANSLATE(G71, ""th"", ""en"")"),"70")</f>
        <v>70</v>
      </c>
      <c r="B71" s="18" t="str">
        <f>IFERROR(__xludf.DUMMYFUNCTION("GOOGLETRANSLATE(H71, ""th"", ""en"")"),"In which year did Thailand first organize international longboat races?")</f>
        <v>In which year did Thailand first organize international longboat races?</v>
      </c>
      <c r="C71" s="18" t="str">
        <f>IFERROR(__xludf.DUMMYFUNCTION("GOOGLETRANSLATE(I71, ""th"", ""en"")"),"A) 1950; B) 1960; C) 1970; D) 1980")</f>
        <v>A) 1950; B) 1960; C) 1970; D) 1980</v>
      </c>
      <c r="D71" s="18" t="str">
        <f>IFERROR(__xludf.DUMMYFUNCTION("GOOGLETRANSLATE(J71, ""th"", ""en"")"),"C) 1970")</f>
        <v>C) 1970</v>
      </c>
      <c r="E71" s="18" t="str">
        <f>IFERROR(__xludf.DUMMYFUNCTION("GOOGLETRANSLATE(K71, ""th"", ""en"")"),"Longboat racing in Thailand began to be held internationally in 1970.")</f>
        <v>Longboat racing in Thailand began to be held internationally in 1970.</v>
      </c>
      <c r="G71" s="18">
        <v>70.0</v>
      </c>
      <c r="H71" s="19" t="s">
        <v>1224</v>
      </c>
      <c r="I71" s="19" t="s">
        <v>1225</v>
      </c>
      <c r="J71" s="19" t="s">
        <v>1226</v>
      </c>
      <c r="K71" s="19" t="s">
        <v>1227</v>
      </c>
      <c r="L71" s="17"/>
    </row>
    <row r="72" ht="14.25" customHeight="1">
      <c r="A72" s="18" t="str">
        <f>IFERROR(__xludf.DUMMYFUNCTION("GOOGLETRANSLATE(G72, ""th"", ""en"")"),"71")</f>
        <v>71</v>
      </c>
      <c r="B72" s="18" t="str">
        <f>IFERROR(__xludf.DUMMYFUNCTION("GOOGLETRANSLATE(H72, ""th"", ""en"")"),"Who supported the long boat races during the Ayutthaya period?")</f>
        <v>Who supported the long boat races during the Ayutthaya period?</v>
      </c>
      <c r="C72" s="18" t="str">
        <f>IFERROR(__xludf.DUMMYFUNCTION("GOOGLETRANSLATE(I72, ""th"", ""en"")"),"A) King; B) Monk; C) Businessman; D) Villager")</f>
        <v>A) King; B) Monk; C) Businessman; D) Villager</v>
      </c>
      <c r="D72" s="18" t="str">
        <f>IFERROR(__xludf.DUMMYFUNCTION("GOOGLETRANSLATE(J72, ""th"", ""en"")"),"A) The King")</f>
        <v>A) The King</v>
      </c>
      <c r="E72" s="18" t="str">
        <f>IFERROR(__xludf.DUMMYFUNCTION("GOOGLETRANSLATE(K72, ""th"", ""en"")"),"Long boat racing during the Ayutthaya period was supported by the king.")</f>
        <v>Long boat racing during the Ayutthaya period was supported by the king.</v>
      </c>
      <c r="G72" s="18">
        <v>71.0</v>
      </c>
      <c r="H72" s="19" t="s">
        <v>1228</v>
      </c>
      <c r="I72" s="19" t="s">
        <v>1229</v>
      </c>
      <c r="J72" s="19" t="s">
        <v>287</v>
      </c>
      <c r="K72" s="19" t="s">
        <v>1230</v>
      </c>
      <c r="L72" s="17"/>
    </row>
    <row r="73" ht="14.25" customHeight="1">
      <c r="A73" s="18" t="str">
        <f>IFERROR(__xludf.DUMMYFUNCTION("GOOGLETRANSLATE(G73, ""th"", ""en"")"),"72")</f>
        <v>72</v>
      </c>
      <c r="B73" s="18" t="str">
        <f>IFERROR(__xludf.DUMMYFUNCTION("GOOGLETRANSLATE(H73, ""th"", ""en"")"),"How many rowers were used in long-boat races in the past?")</f>
        <v>How many rowers were used in long-boat races in the past?</v>
      </c>
      <c r="C73" s="18" t="str">
        <f>IFERROR(__xludf.DUMMYFUNCTION("GOOGLETRANSLATE(I73, ""th"", ""en"")"),"A) 10-20 people; B) 20-30 people; C) 30-40 people; D) 40-50 people")</f>
        <v>A) 10-20 people; B) 20-30 people; C) 30-40 people; D) 40-50 people</v>
      </c>
      <c r="D73" s="18" t="str">
        <f>IFERROR(__xludf.DUMMYFUNCTION("GOOGLETRANSLATE(J73, ""th"", ""en"")"),"C) 30-40 people")</f>
        <v>C) 30-40 people</v>
      </c>
      <c r="E73" s="18" t="str">
        <f>IFERROR(__xludf.DUMMYFUNCTION("GOOGLETRANSLATE(K73, ""th"", ""en"")"),"In the past, long-boat racing often used 30-40 rowers per team.")</f>
        <v>In the past, long-boat racing often used 30-40 rowers per team.</v>
      </c>
      <c r="G73" s="18">
        <v>72.0</v>
      </c>
      <c r="H73" s="19" t="s">
        <v>1231</v>
      </c>
      <c r="I73" s="19" t="s">
        <v>1100</v>
      </c>
      <c r="J73" s="19" t="s">
        <v>1101</v>
      </c>
      <c r="K73" s="19" t="s">
        <v>1232</v>
      </c>
      <c r="L73" s="17"/>
    </row>
    <row r="74" ht="14.25" customHeight="1">
      <c r="A74" s="18" t="str">
        <f>IFERROR(__xludf.DUMMYFUNCTION("GOOGLETRANSLATE(G74, ""th"", ""en"")"),"73")</f>
        <v>73</v>
      </c>
      <c r="B74" s="18" t="str">
        <f>IFERROR(__xludf.DUMMYFUNCTION("GOOGLETRANSLATE(H74, ""th"", ""en"")"),"In the past, what were the boat decorations used in long boat racing?")</f>
        <v>In the past, what were the boat decorations used in long boat racing?</v>
      </c>
      <c r="C74" s="18" t="str">
        <f>IFERROR(__xludf.DUMMYFUNCTION("GOOGLETRANSLATE(I74, ""th"", ""en"")"),"A) national flag; B) candles; C) flowers; D) pictures of Buddha")</f>
        <v>A) national flag; B) candles; C) flowers; D) pictures of Buddha</v>
      </c>
      <c r="D74" s="18" t="str">
        <f>IFERROR(__xludf.DUMMYFUNCTION("GOOGLETRANSLATE(J74, ""th"", ""en"")"),"A) National flag")</f>
        <v>A) National flag</v>
      </c>
      <c r="E74" s="18" t="str">
        <f>IFERROR(__xludf.DUMMYFUNCTION("GOOGLETRANSLATE(K74, ""th"", ""en"")"),"In the past, long boat races often had boats decorated with national flags or various symbols.")</f>
        <v>In the past, long boat races often had boats decorated with national flags or various symbols.</v>
      </c>
      <c r="G74" s="18">
        <v>73.0</v>
      </c>
      <c r="H74" s="19" t="s">
        <v>1233</v>
      </c>
      <c r="I74" s="19" t="s">
        <v>1234</v>
      </c>
      <c r="J74" s="19" t="s">
        <v>1235</v>
      </c>
      <c r="K74" s="19" t="s">
        <v>1236</v>
      </c>
      <c r="L74" s="17"/>
    </row>
    <row r="75" ht="14.25" customHeight="1">
      <c r="A75" s="18" t="str">
        <f>IFERROR(__xludf.DUMMYFUNCTION("GOOGLETRANSLATE(G75, ""th"", ""en"")"),"74")</f>
        <v>74</v>
      </c>
      <c r="B75" s="18" t="str">
        <f>IFERROR(__xludf.DUMMYFUNCTION("GOOGLETRANSLATE(H75, ""th"", ""en"")"),"What is the connection between long-boat racing in the Ayutthaya period?")</f>
        <v>What is the connection between long-boat racing in the Ayutthaya period?</v>
      </c>
      <c r="C75" s="18" t="str">
        <f>IFERROR(__xludf.DUMMYFUNCTION("GOOGLETRANSLATE(I75, ""th"", ""en"")"),"A) Testing the bravery of soldiers; B) Training in maritime skills; C) Worship of water gods; D) Development of the army.")</f>
        <v>A) Testing the bravery of soldiers; B) Training in maritime skills; C) Worship of water gods; D) Development of the army.</v>
      </c>
      <c r="D75" s="18" t="str">
        <f>IFERROR(__xludf.DUMMYFUNCTION("GOOGLETRANSLATE(J75, ""th"", ""en"")"),"B) Maritime skills training")</f>
        <v>B) Maritime skills training</v>
      </c>
      <c r="E75" s="18" t="str">
        <f>IFERROR(__xludf.DUMMYFUNCTION("GOOGLETRANSLATE(K75, ""th"", ""en"")"),"Long-boat racing in the Ayutthaya period involved training in maritime skills.")</f>
        <v>Long-boat racing in the Ayutthaya period involved training in maritime skills.</v>
      </c>
      <c r="G75" s="18">
        <v>74.0</v>
      </c>
      <c r="H75" s="19" t="s">
        <v>1237</v>
      </c>
      <c r="I75" s="19" t="s">
        <v>1238</v>
      </c>
      <c r="J75" s="19" t="s">
        <v>1239</v>
      </c>
      <c r="K75" s="19" t="s">
        <v>1240</v>
      </c>
      <c r="L75" s="17"/>
    </row>
    <row r="76" ht="14.25" customHeight="1">
      <c r="A76" s="18" t="str">
        <f>IFERROR(__xludf.DUMMYFUNCTION("GOOGLETRANSLATE(G76, ""th"", ""en"")"),"75")</f>
        <v>75</v>
      </c>
      <c r="B76" s="18" t="str">
        <f>IFERROR(__xludf.DUMMYFUNCTION("GOOGLETRANSLATE(H76, ""th"", ""en"")"),"When were long boat races held in ancient times?")</f>
        <v>When were long boat races held in ancient times?</v>
      </c>
      <c r="C76" s="18" t="str">
        <f>IFERROR(__xludf.DUMMYFUNCTION("GOOGLETRANSLATE(I76, ""th"", ""en"")"),"A) New Year period; B) Songkran period; C) End of Buddhist Lent period; D) Loi Krathong period")</f>
        <v>A) New Year period; B) Songkran period; C) End of Buddhist Lent period; D) Loi Krathong period</v>
      </c>
      <c r="D76" s="18" t="str">
        <f>IFERROR(__xludf.DUMMYFUNCTION("GOOGLETRANSLATE(J76, ""th"", ""en"")"),"C) The end of Buddhist Lent")</f>
        <v>C) The end of Buddhist Lent</v>
      </c>
      <c r="E76" s="18" t="str">
        <f>IFERROR(__xludf.DUMMYFUNCTION("GOOGLETRANSLATE(K76, ""th"", ""en"")"),"Long boat races are usually held during the end of Buddhist Lent.")</f>
        <v>Long boat races are usually held during the end of Buddhist Lent.</v>
      </c>
      <c r="G76" s="18">
        <v>75.0</v>
      </c>
      <c r="H76" s="19" t="s">
        <v>1241</v>
      </c>
      <c r="I76" s="19" t="s">
        <v>1242</v>
      </c>
      <c r="J76" s="19" t="s">
        <v>1243</v>
      </c>
      <c r="K76" s="19" t="s">
        <v>1244</v>
      </c>
      <c r="L76" s="17"/>
    </row>
    <row r="77" ht="14.25" customHeight="1">
      <c r="A77" s="18" t="str">
        <f>IFERROR(__xludf.DUMMYFUNCTION("GOOGLETRANSLATE(G77, ""th"", ""en"")"),"76")</f>
        <v>76</v>
      </c>
      <c r="B77" s="18" t="str">
        <f>IFERROR(__xludf.DUMMYFUNCTION("GOOGLETRANSLATE(H77, ""th"", ""en"")"),"How many boats were there in each long-boat race during the Ayutthaya period?")</f>
        <v>How many boats were there in each long-boat race during the Ayutthaya period?</v>
      </c>
      <c r="C77" s="18" t="str">
        <f>IFERROR(__xludf.DUMMYFUNCTION("GOOGLETRANSLATE(I77, ""th"", ""en"")"),"A) 5-10 ships; B) 10-20 ships; C) 20-30 ships; D) 30-50 ships")</f>
        <v>A) 5-10 ships; B) 10-20 ships; C) 20-30 ships; D) 30-50 ships</v>
      </c>
      <c r="D77" s="18" t="str">
        <f>IFERROR(__xludf.DUMMYFUNCTION("GOOGLETRANSLATE(J77, ""th"", ""en"")"),"B) 10-20 boats")</f>
        <v>B) 10-20 boats</v>
      </c>
      <c r="E77" s="18" t="str">
        <f>IFERROR(__xludf.DUMMYFUNCTION("GOOGLETRANSLATE(K77, ""th"", ""en"")"),"In long-boat races during the Ayutthaya period, there were usually about 10-20 boats competing.")</f>
        <v>In long-boat races during the Ayutthaya period, there were usually about 10-20 boats competing.</v>
      </c>
      <c r="G77" s="18">
        <v>76.0</v>
      </c>
      <c r="H77" s="19" t="s">
        <v>1245</v>
      </c>
      <c r="I77" s="19" t="s">
        <v>1246</v>
      </c>
      <c r="J77" s="19" t="s">
        <v>1247</v>
      </c>
      <c r="K77" s="19" t="s">
        <v>1248</v>
      </c>
      <c r="L77" s="17"/>
    </row>
    <row r="78" ht="14.25" customHeight="1">
      <c r="A78" s="18" t="str">
        <f>IFERROR(__xludf.DUMMYFUNCTION("GOOGLETRANSLATE(G78, ""th"", ""en"")"),"77")</f>
        <v>77</v>
      </c>
      <c r="B78" s="18" t="str">
        <f>IFERROR(__xludf.DUMMYFUNCTION("GOOGLETRANSLATE(H78, ""th"", ""en"")"),"What type of competition was there in the long boat races during the Ayutthaya period?")</f>
        <v>What type of competition was there in the long boat races during the Ayutthaya period?</v>
      </c>
      <c r="C78" s="18" t="str">
        <f>IFERROR(__xludf.DUMMYFUNCTION("GOOGLETRANSLATE(I78, ""th"", ""en"")"),"A) short race; B) long race; C) team race; D) individual race")</f>
        <v>A) short race; B) long race; C) team race; D) individual race</v>
      </c>
      <c r="D78" s="18" t="str">
        <f>IFERROR(__xludf.DUMMYFUNCTION("GOOGLETRANSLATE(J78, ""th"", ""en"")"),"B) Long-term competition")</f>
        <v>B) Long-term competition</v>
      </c>
      <c r="E78" s="18" t="str">
        <f>IFERROR(__xludf.DUMMYFUNCTION("GOOGLETRANSLATE(K78, ""th"", ""en"")"),"Long-boat racing in the Ayutthaya period was a long-distance race that required endurance.")</f>
        <v>Long-boat racing in the Ayutthaya period was a long-distance race that required endurance.</v>
      </c>
      <c r="G78" s="18">
        <v>77.0</v>
      </c>
      <c r="H78" s="19" t="s">
        <v>1249</v>
      </c>
      <c r="I78" s="19" t="s">
        <v>1250</v>
      </c>
      <c r="J78" s="19" t="s">
        <v>1251</v>
      </c>
      <c r="K78" s="19" t="s">
        <v>1252</v>
      </c>
      <c r="L78" s="17"/>
    </row>
    <row r="79" ht="14.25" customHeight="1">
      <c r="A79" s="18" t="str">
        <f>IFERROR(__xludf.DUMMYFUNCTION("GOOGLETRANSLATE(G79, ""th"", ""en"")"),"78")</f>
        <v>78</v>
      </c>
      <c r="B79" s="18" t="str">
        <f>IFERROR(__xludf.DUMMYFUNCTION("GOOGLETRANSLATE(H79, ""th"", ""en"")"),"Where were long boat races held in the past?")</f>
        <v>Where were long boat races held in the past?</v>
      </c>
      <c r="C79" s="18" t="str">
        <f>IFERROR(__xludf.DUMMYFUNCTION("GOOGLETRANSLATE(I79, ""th"", ""en"")"),"A) sea; B) marsh; C) large river; D) lake")</f>
        <v>A) sea; B) marsh; C) large river; D) lake</v>
      </c>
      <c r="D79" s="18" t="str">
        <f>IFERROR(__xludf.DUMMYFUNCTION("GOOGLETRANSLATE(J79, ""th"", ""en"")"),"A) The sea")</f>
        <v>A) The sea</v>
      </c>
      <c r="E79" s="18" t="str">
        <f>IFERROR(__xludf.DUMMYFUNCTION("GOOGLETRANSLATE(K79, ""th"", ""en"")"),"In the past, long-boat races were often held at sea or in flooded areas.")</f>
        <v>In the past, long-boat races were often held at sea or in flooded areas.</v>
      </c>
      <c r="G79" s="18">
        <v>78.0</v>
      </c>
      <c r="H79" s="19" t="s">
        <v>1253</v>
      </c>
      <c r="I79" s="19" t="s">
        <v>1254</v>
      </c>
      <c r="J79" s="19" t="s">
        <v>1077</v>
      </c>
      <c r="K79" s="19" t="s">
        <v>1255</v>
      </c>
      <c r="L79" s="17"/>
    </row>
    <row r="80" ht="14.25" customHeight="1">
      <c r="A80" s="18" t="str">
        <f>IFERROR(__xludf.DUMMYFUNCTION("GOOGLETRANSLATE(G80, ""th"", ""en"")"),"79")</f>
        <v>79</v>
      </c>
      <c r="B80" s="18" t="str">
        <f>IFERROR(__xludf.DUMMYFUNCTION("GOOGLETRANSLATE(H80, ""th"", ""en"")"),"When did longboat racing in Thailand gain international attention?")</f>
        <v>When did longboat racing in Thailand gain international attention?</v>
      </c>
      <c r="C80" s="18" t="str">
        <f>IFERROR(__xludf.DUMMYFUNCTION("GOOGLETRANSLATE(I80, ""th"", ""en"")"),"A) 1960s; B) 1970s; C) 1980s; D) 1990s")</f>
        <v>A) 1960s; B) 1970s; C) 1980s; D) 1990s</v>
      </c>
      <c r="D80" s="18" t="str">
        <f>IFERROR(__xludf.DUMMYFUNCTION("GOOGLETRANSLATE(J80, ""th"", ""en"")"),"B) 1970s")</f>
        <v>B) 1970s</v>
      </c>
      <c r="E80" s="18" t="str">
        <f>IFERROR(__xludf.DUMMYFUNCTION("GOOGLETRANSLATE(K80, ""th"", ""en"")"),"Longboat racing in Thailand gained increasing international attention in the 1970s.")</f>
        <v>Longboat racing in Thailand gained increasing international attention in the 1970s.</v>
      </c>
      <c r="G80" s="18">
        <v>79.0</v>
      </c>
      <c r="H80" s="19" t="s">
        <v>1256</v>
      </c>
      <c r="I80" s="19" t="s">
        <v>1257</v>
      </c>
      <c r="J80" s="19" t="s">
        <v>1258</v>
      </c>
      <c r="K80" s="19" t="s">
        <v>1259</v>
      </c>
      <c r="L80" s="17"/>
    </row>
    <row r="81" ht="14.25" customHeight="1">
      <c r="A81" s="18" t="str">
        <f>IFERROR(__xludf.DUMMYFUNCTION("GOOGLETRANSLATE(G81, ""th"", ""en"")"),"80")</f>
        <v>80</v>
      </c>
      <c r="B81" s="18" t="str">
        <f>IFERROR(__xludf.DUMMYFUNCTION("GOOGLETRANSLATE(H81, ""th"", ""en"")"),"What tools were used for rowing long-boat races during the Ayutthaya period?")</f>
        <v>What tools were used for rowing long-boat races during the Ayutthaya period?</v>
      </c>
      <c r="C81" s="18" t="str">
        <f>IFERROR(__xludf.DUMMYFUNCTION("GOOGLETRANSLATE(I81, ""th"", ""en"")"),"A) wooden raft; B) long wooden pole; C) ordinary wooden paddle; D) rope and stones")</f>
        <v>A) wooden raft; B) long wooden pole; C) ordinary wooden paddle; D) rope and stones</v>
      </c>
      <c r="D81" s="18" t="str">
        <f>IFERROR(__xludf.DUMMYFUNCTION("GOOGLETRANSLATE(J81, ""th"", ""en"")"),"B) Long wooden pole")</f>
        <v>B) Long wooden pole</v>
      </c>
      <c r="E81" s="18" t="str">
        <f>IFERROR(__xludf.DUMMYFUNCTION("GOOGLETRANSLATE(K81, ""th"", ""en"")"),"In long-distance rowing during the Ayutthaya period, a long wooden pole was often used to control direction.")</f>
        <v>In long-distance rowing during the Ayutthaya period, a long wooden pole was often used to control direction.</v>
      </c>
      <c r="G81" s="18">
        <v>80.0</v>
      </c>
      <c r="H81" s="19" t="s">
        <v>1260</v>
      </c>
      <c r="I81" s="19" t="s">
        <v>1261</v>
      </c>
      <c r="J81" s="19" t="s">
        <v>1262</v>
      </c>
      <c r="K81" s="19" t="s">
        <v>1263</v>
      </c>
      <c r="L81" s="17"/>
    </row>
    <row r="82" ht="14.25" customHeight="1">
      <c r="A82" s="18" t="str">
        <f>IFERROR(__xludf.DUMMYFUNCTION("GOOGLETRANSLATE(G82, ""th"", ""en"")"),"81")</f>
        <v>81</v>
      </c>
      <c r="B82" s="18" t="str">
        <f>IFERROR(__xludf.DUMMYFUNCTION("GOOGLETRANSLATE(H82, ""th"", ""en"")"),"When did longboat racing in Thailand become popular abroad?")</f>
        <v>When did longboat racing in Thailand become popular abroad?</v>
      </c>
      <c r="C82" s="18" t="str">
        <f>IFERROR(__xludf.DUMMYFUNCTION("GOOGLETRANSLATE(I82, ""th"", ""en"")"),"A) during World War II; B) during the 1950s; C) during the 1960s; D) during the 1970s")</f>
        <v>A) during World War II; B) during the 1950s; C) during the 1960s; D) during the 1970s</v>
      </c>
      <c r="D82" s="18" t="str">
        <f>IFERROR(__xludf.DUMMYFUNCTION("GOOGLETRANSLATE(J82, ""th"", ""en"")"),"C) 1960s")</f>
        <v>C) 1960s</v>
      </c>
      <c r="E82" s="18" t="str">
        <f>IFERROR(__xludf.DUMMYFUNCTION("GOOGLETRANSLATE(K82, ""th"", ""en"")"),"Long-boat racing gained popularity abroad in the 1960s.")</f>
        <v>Long-boat racing gained popularity abroad in the 1960s.</v>
      </c>
      <c r="G82" s="18">
        <v>81.0</v>
      </c>
      <c r="H82" s="19" t="s">
        <v>1264</v>
      </c>
      <c r="I82" s="19" t="s">
        <v>1265</v>
      </c>
      <c r="J82" s="19" t="s">
        <v>1266</v>
      </c>
      <c r="K82" s="19" t="s">
        <v>1267</v>
      </c>
      <c r="L82" s="17"/>
    </row>
    <row r="83" ht="14.25" customHeight="1">
      <c r="A83" s="18" t="str">
        <f>IFERROR(__xludf.DUMMYFUNCTION("GOOGLETRANSLATE(G83, ""th"", ""en"")"),"82")</f>
        <v>82</v>
      </c>
      <c r="B83" s="18" t="str">
        <f>IFERROR(__xludf.DUMMYFUNCTION("GOOGLETRANSLATE(H83, ""th"", ""en"")"),"In the past, what time of year were long boat races held?")</f>
        <v>In the past, what time of year were long boat races held?</v>
      </c>
      <c r="C83" s="18" t="str">
        <f>IFERROR(__xludf.DUMMYFUNCTION("GOOGLETRANSLATE(I83, ""th"", ""en"")"),"A) summer; B) rainy season; C) winter; D) all year round")</f>
        <v>A) summer; B) rainy season; C) winter; D) all year round</v>
      </c>
      <c r="D83" s="18" t="str">
        <f>IFERROR(__xludf.DUMMYFUNCTION("GOOGLETRANSLATE(J83, ""th"", ""en"")"),"B) Rainy season")</f>
        <v>B) Rainy season</v>
      </c>
      <c r="E83" s="18" t="str">
        <f>IFERROR(__xludf.DUMMYFUNCTION("GOOGLETRANSLATE(K83, ""th"", ""en"")"),"Long boat races are usually held during the rainy season when water levels are high.")</f>
        <v>Long boat races are usually held during the rainy season when water levels are high.</v>
      </c>
      <c r="G83" s="18">
        <v>82.0</v>
      </c>
      <c r="H83" s="19" t="s">
        <v>1268</v>
      </c>
      <c r="I83" s="19" t="s">
        <v>1269</v>
      </c>
      <c r="J83" s="19" t="s">
        <v>1270</v>
      </c>
      <c r="K83" s="19" t="s">
        <v>1271</v>
      </c>
      <c r="L83" s="17"/>
    </row>
    <row r="84" ht="14.25" customHeight="1">
      <c r="A84" s="18" t="str">
        <f>IFERROR(__xludf.DUMMYFUNCTION("GOOGLETRANSLATE(G84, ""th"", ""en"")"),"83")</f>
        <v>83</v>
      </c>
      <c r="B84" s="18" t="str">
        <f>IFERROR(__xludf.DUMMYFUNCTION("GOOGLETRANSLATE(H84, ""th"", ""en"")"),"Who used labor in long boat racing in the past?")</f>
        <v>Who used labor in long boat racing in the past?</v>
      </c>
      <c r="C84" s="18" t="str">
        <f>IFERROR(__xludf.DUMMYFUNCTION("GOOGLETRANSLATE(I84, ""th"", ""en"")"),"A) farmers; B) tourists; C) villagers; D) soldiers")</f>
        <v>A) farmers; B) tourists; C) villagers; D) soldiers</v>
      </c>
      <c r="D84" s="18" t="str">
        <f>IFERROR(__xludf.DUMMYFUNCTION("GOOGLETRANSLATE(J84, ""th"", ""en"")"),"B) Villagers in the community")</f>
        <v>B) Villagers in the community</v>
      </c>
      <c r="E84" s="18" t="str">
        <f>IFERROR(__xludf.DUMMYFUNCTION("GOOGLETRANSLATE(K84, ""th"", ""en"")"),"In the past, long boat racing often used labor from local villagers.")</f>
        <v>In the past, long boat racing often used labor from local villagers.</v>
      </c>
      <c r="G84" s="18">
        <v>83.0</v>
      </c>
      <c r="H84" s="19" t="s">
        <v>1272</v>
      </c>
      <c r="I84" s="19" t="s">
        <v>1273</v>
      </c>
      <c r="J84" s="19" t="s">
        <v>1274</v>
      </c>
      <c r="K84" s="19" t="s">
        <v>1275</v>
      </c>
      <c r="L84" s="17"/>
    </row>
    <row r="85" ht="14.25" customHeight="1">
      <c r="A85" s="18" t="str">
        <f>IFERROR(__xludf.DUMMYFUNCTION("GOOGLETRANSLATE(G85, ""th"", ""en"")"),"84")</f>
        <v>84</v>
      </c>
      <c r="B85" s="18" t="str">
        <f>IFERROR(__xludf.DUMMYFUNCTION("GOOGLETRANSLATE(H85, ""th"", ""en"")"),"In which festival were long-boat races held during the Ayutthaya period?")</f>
        <v>In which festival were long-boat races held during the Ayutthaya period?</v>
      </c>
      <c r="C85" s="18" t="str">
        <f>IFERROR(__xludf.DUMMYFUNCTION("GOOGLETRANSLATE(I85, ""th"", ""en"")"),"A) Songkran Festival; B) Loi Krathong Festival; C) Asarnha Bucha Festival; D) Buddhist Lent Festival")</f>
        <v>A) Songkran Festival; B) Loi Krathong Festival; C) Asarnha Bucha Festival; D) Buddhist Lent Festival</v>
      </c>
      <c r="D85" s="18" t="str">
        <f>IFERROR(__xludf.DUMMYFUNCTION("GOOGLETRANSLATE(J85, ""th"", ""en"")"),"B) Loi Krathong Festival")</f>
        <v>B) Loi Krathong Festival</v>
      </c>
      <c r="E85" s="18" t="str">
        <f>IFERROR(__xludf.DUMMYFUNCTION("GOOGLETRANSLATE(K85, ""th"", ""en"")"),"Long boat races in the Ayutthaya period were often held during the Loi Krathong festival.")</f>
        <v>Long boat races in the Ayutthaya period were often held during the Loi Krathong festival.</v>
      </c>
      <c r="G85" s="18">
        <v>84.0</v>
      </c>
      <c r="H85" s="19" t="s">
        <v>1276</v>
      </c>
      <c r="I85" s="19" t="s">
        <v>1277</v>
      </c>
      <c r="J85" s="19" t="s">
        <v>1278</v>
      </c>
      <c r="K85" s="19" t="s">
        <v>1279</v>
      </c>
      <c r="L85" s="17"/>
    </row>
    <row r="86" ht="14.25" customHeight="1">
      <c r="A86" s="18" t="str">
        <f>IFERROR(__xludf.DUMMYFUNCTION("GOOGLETRANSLATE(G86, ""th"", ""en"")"),"85")</f>
        <v>85</v>
      </c>
      <c r="B86" s="18" t="str">
        <f>IFERROR(__xludf.DUMMYFUNCTION("GOOGLETRANSLATE(H86, ""th"", ""en"")"),"Where are longboat races held in Thailand nowadays?")</f>
        <v>Where are longboat races held in Thailand nowadays?</v>
      </c>
      <c r="C86" s="18" t="str">
        <f>IFERROR(__xludf.DUMMYFUNCTION("GOOGLETRANSLATE(I86, ""th"", ""en"")"),"A) Chao Phraya River; B) Mekong River; C) Gulf of Thailand; D) Nong Bon Lake")</f>
        <v>A) Chao Phraya River; B) Mekong River; C) Gulf of Thailand; D) Nong Bon Lake</v>
      </c>
      <c r="D86" s="18" t="str">
        <f>IFERROR(__xludf.DUMMYFUNCTION("GOOGLETRANSLATE(J86, ""th"", ""en"")"),"A) Chao Phraya River")</f>
        <v>A) Chao Phraya River</v>
      </c>
      <c r="E86" s="18" t="str">
        <f>IFERROR(__xludf.DUMMYFUNCTION("GOOGLETRANSLATE(K86, ""th"", ""en"")"),"Long-boat races nowadays are usually held on the Chao Phraya River.")</f>
        <v>Long-boat races nowadays are usually held on the Chao Phraya River.</v>
      </c>
      <c r="G86" s="18">
        <v>85.0</v>
      </c>
      <c r="H86" s="19" t="s">
        <v>1280</v>
      </c>
      <c r="I86" s="19" t="s">
        <v>1281</v>
      </c>
      <c r="J86" s="19" t="s">
        <v>994</v>
      </c>
      <c r="K86" s="19" t="s">
        <v>1282</v>
      </c>
      <c r="L86" s="17"/>
    </row>
    <row r="87" ht="14.25" customHeight="1">
      <c r="A87" s="18" t="str">
        <f>IFERROR(__xludf.DUMMYFUNCTION("GOOGLETRANSLATE(G87, ""th"", ""en"")"),"86")</f>
        <v>86</v>
      </c>
      <c r="B87" s="18" t="str">
        <f>IFERROR(__xludf.DUMMYFUNCTION("GOOGLETRANSLATE(H87, ""th"", ""en"")"),"What role did long boat racing play in the past?")</f>
        <v>What role did long boat racing play in the past?</v>
      </c>
      <c r="C87" s="18" t="str">
        <f>IFERROR(__xludf.DUMMYFUNCTION("GOOGLETRANSLATE(I87, ""th"", ""en"")"),"A) strengthen the military; B) promote international trade; C) support education; D) support the worship of gods.")</f>
        <v>A) strengthen the military; B) promote international trade; C) support education; D) support the worship of gods.</v>
      </c>
      <c r="D87" s="18" t="str">
        <f>IFERROR(__xludf.DUMMYFUNCTION("GOOGLETRANSLATE(J87, ""th"", ""en"")"),"A) Strengthen the army.")</f>
        <v>A) Strengthen the army.</v>
      </c>
      <c r="E87" s="18" t="str">
        <f>IFERROR(__xludf.DUMMYFUNCTION("GOOGLETRANSLATE(K87, ""th"", ""en"")"),"Long boat racing in ancient times played a role in strengthening the army.")</f>
        <v>Long boat racing in ancient times played a role in strengthening the army.</v>
      </c>
      <c r="G87" s="18">
        <v>86.0</v>
      </c>
      <c r="H87" s="19" t="s">
        <v>1283</v>
      </c>
      <c r="I87" s="19" t="s">
        <v>1284</v>
      </c>
      <c r="J87" s="19" t="s">
        <v>1285</v>
      </c>
      <c r="K87" s="19" t="s">
        <v>1286</v>
      </c>
      <c r="L87" s="17"/>
    </row>
    <row r="88" ht="14.25" customHeight="1">
      <c r="A88" s="18" t="str">
        <f>IFERROR(__xludf.DUMMYFUNCTION("GOOGLETRANSLATE(G88, ""th"", ""en"")"),"87")</f>
        <v>87</v>
      </c>
      <c r="B88" s="18" t="str">
        <f>IFERROR(__xludf.DUMMYFUNCTION("GOOGLETRANSLATE(H88, ""th"", ""en"")"),"How long were long-boat races held during the Ayutthaya period?")</f>
        <v>How long were long-boat races held during the Ayutthaya period?</v>
      </c>
      <c r="C88" s="18" t="str">
        <f>IFERROR(__xludf.DUMMYFUNCTION("GOOGLETRANSLATE(I88, ""th"", ""en"")"),"A) 1 day; B) 2-3 days; C) 5-7 days; D) 1 week")</f>
        <v>A) 1 day; B) 2-3 days; C) 5-7 days; D) 1 week</v>
      </c>
      <c r="D88" s="18" t="str">
        <f>IFERROR(__xludf.DUMMYFUNCTION("GOOGLETRANSLATE(J88, ""th"", ""en"")"),"B) 2-3 days")</f>
        <v>B) 2-3 days</v>
      </c>
      <c r="E88" s="18" t="str">
        <f>IFERROR(__xludf.DUMMYFUNCTION("GOOGLETRANSLATE(K88, ""th"", ""en"")"),"Long boat races during the Ayutthaya period were often held over several days.")</f>
        <v>Long boat races during the Ayutthaya period were often held over several days.</v>
      </c>
      <c r="G88" s="18">
        <v>87.0</v>
      </c>
      <c r="H88" s="19" t="s">
        <v>1287</v>
      </c>
      <c r="I88" s="19" t="s">
        <v>1288</v>
      </c>
      <c r="J88" s="19" t="s">
        <v>1289</v>
      </c>
      <c r="K88" s="19" t="s">
        <v>1290</v>
      </c>
      <c r="L88" s="17"/>
    </row>
    <row r="89" ht="14.25" customHeight="1">
      <c r="A89" s="18" t="str">
        <f>IFERROR(__xludf.DUMMYFUNCTION("GOOGLETRANSLATE(G89, ""th"", ""en"")"),"88")</f>
        <v>88</v>
      </c>
      <c r="B89" s="18" t="str">
        <f>IFERROR(__xludf.DUMMYFUNCTION("GOOGLETRANSLATE(H89, ""th"", ""en"")"),"What role did longboat racing play in the Ayutthaya period in terms of military affairs?")</f>
        <v>What role did longboat racing play in the Ayutthaya period in terms of military affairs?</v>
      </c>
      <c r="C89" s="18" t="str">
        <f>IFERROR(__xludf.DUMMYFUNCTION("GOOGLETRANSLATE(I89, ""th"", ""en"")"),"A) used to train soldiers in rowing; B) used to train soldiers in attack; C) used to test soldiers' strength; D) used to train soldiers in sailing.")</f>
        <v>A) used to train soldiers in rowing; B) used to train soldiers in attack; C) used to test soldiers' strength; D) used to train soldiers in sailing.</v>
      </c>
      <c r="D89" s="18" t="str">
        <f>IFERROR(__xludf.DUMMYFUNCTION("GOOGLETRANSLATE(J89, ""th"", ""en"")"),"B) Used to train soldiers for attacks.")</f>
        <v>B) Used to train soldiers for attacks.</v>
      </c>
      <c r="E89" s="18" t="str">
        <f>IFERROR(__xludf.DUMMYFUNCTION("GOOGLETRANSLATE(K89, ""th"", ""en"")"),"Long-boat racing in the Ayutthaya period played a role in training soldiers for naval raids.")</f>
        <v>Long-boat racing in the Ayutthaya period played a role in training soldiers for naval raids.</v>
      </c>
      <c r="G89" s="18">
        <v>88.0</v>
      </c>
      <c r="H89" s="19" t="s">
        <v>1291</v>
      </c>
      <c r="I89" s="19" t="s">
        <v>1292</v>
      </c>
      <c r="J89" s="19" t="s">
        <v>1293</v>
      </c>
      <c r="K89" s="19" t="s">
        <v>1294</v>
      </c>
      <c r="L89" s="17"/>
    </row>
    <row r="90" ht="14.25" customHeight="1">
      <c r="A90" s="18" t="str">
        <f>IFERROR(__xludf.DUMMYFUNCTION("GOOGLETRANSLATE(G90, ""th"", ""en"")"),"89")</f>
        <v>89</v>
      </c>
      <c r="B90" s="18" t="str">
        <f>IFERROR(__xludf.DUMMYFUNCTION("GOOGLETRANSLATE(H90, ""th"", ""en"")"),"How are longboat racing in the Ayutthaya period related to naval military training?")</f>
        <v>How are longboat racing in the Ayutthaya period related to naval military training?</v>
      </c>
      <c r="C90" s="18" t="str">
        <f>IFERROR(__xludf.DUMMYFUNCTION("GOOGLETRANSLATE(I90, ""th"", ""en"")"),"A) training soldiers in coastal defense; B) training soldiers in water travel; C) training soldiers in ship control; D) training soldiers in naval combat.")</f>
        <v>A) training soldiers in coastal defense; B) training soldiers in water travel; C) training soldiers in ship control; D) training soldiers in naval combat.</v>
      </c>
      <c r="D90" s="18" t="str">
        <f>IFERROR(__xludf.DUMMYFUNCTION("GOOGLETRANSLATE(J90, ""th"", ""en"")"),"B) Training soldiers for water travel")</f>
        <v>B) Training soldiers for water travel</v>
      </c>
      <c r="E90" s="18" t="str">
        <f>IFERROR(__xludf.DUMMYFUNCTION("GOOGLETRANSLATE(K90, ""th"", ""en"")"),"Longboat racing in the Ayutthaya period played a role in training soldiers for water travel.")</f>
        <v>Longboat racing in the Ayutthaya period played a role in training soldiers for water travel.</v>
      </c>
      <c r="G90" s="18">
        <v>89.0</v>
      </c>
      <c r="H90" s="19" t="s">
        <v>1295</v>
      </c>
      <c r="I90" s="19" t="s">
        <v>1296</v>
      </c>
      <c r="J90" s="19" t="s">
        <v>1297</v>
      </c>
      <c r="K90" s="19" t="s">
        <v>1298</v>
      </c>
      <c r="L90" s="17"/>
    </row>
    <row r="91" ht="14.25" customHeight="1">
      <c r="A91" s="18" t="str">
        <f>IFERROR(__xludf.DUMMYFUNCTION("GOOGLETRANSLATE(G91, ""th"", ""en"")"),"90")</f>
        <v>90</v>
      </c>
      <c r="B91" s="18" t="str">
        <f>IFERROR(__xludf.DUMMYFUNCTION("GOOGLETRANSLATE(H91, ""th"", ""en"")"),"What size boats were used in long-boat races during the Ayutthaya period?")</f>
        <v>What size boats were used in long-boat races during the Ayutthaya period?</v>
      </c>
      <c r="C91" s="18" t="str">
        <f>IFERROR(__xludf.DUMMYFUNCTION("GOOGLETRANSLATE(I91, ""th"", ""en"")"),"A) small boat; B) medium-sized boat; C) large boat; D) long boat")</f>
        <v>A) small boat; B) medium-sized boat; C) large boat; D) long boat</v>
      </c>
      <c r="D91" s="18" t="str">
        <f>IFERROR(__xludf.DUMMYFUNCTION("GOOGLETRANSLATE(J91, ""th"", ""en"")"),"B) Medium-sized ship")</f>
        <v>B) Medium-sized ship</v>
      </c>
      <c r="E91" s="18" t="str">
        <f>IFERROR(__xludf.DUMMYFUNCTION("GOOGLETRANSLATE(K91, ""th"", ""en"")"),"Long-boat racing in the Ayutthaya period often used medium-sized boats suitable for racing.")</f>
        <v>Long-boat racing in the Ayutthaya period often used medium-sized boats suitable for racing.</v>
      </c>
      <c r="G91" s="18">
        <v>90.0</v>
      </c>
      <c r="H91" s="19" t="s">
        <v>1299</v>
      </c>
      <c r="I91" s="19" t="s">
        <v>1300</v>
      </c>
      <c r="J91" s="19" t="s">
        <v>1301</v>
      </c>
      <c r="K91" s="19" t="s">
        <v>1302</v>
      </c>
      <c r="L91" s="17"/>
    </row>
    <row r="92" ht="14.25" customHeight="1">
      <c r="A92" s="18" t="str">
        <f>IFERROR(__xludf.DUMMYFUNCTION("GOOGLETRANSLATE(G92, ""th"", ""en"")"),"91")</f>
        <v>91</v>
      </c>
      <c r="B92" s="18" t="str">
        <f>IFERROR(__xludf.DUMMYFUNCTION("GOOGLETRANSLATE(H92, ""th"", ""en"")"),"Which countries are long-boat races popular in Thailand?")</f>
        <v>Which countries are long-boat races popular in Thailand?</v>
      </c>
      <c r="C92" s="18" t="str">
        <f>IFERROR(__xludf.DUMMYFUNCTION("GOOGLETRANSLATE(I92, ""th"", ""en"")"),"A) Thailand, Malaysia, Vietnam; B) Thailand, Cambodia, Burma; C) Thailand, Laos, Cambodia; D) Thailand, Malaysia, Indonesia")</f>
        <v>A) Thailand, Malaysia, Vietnam; B) Thailand, Cambodia, Burma; C) Thailand, Laos, Cambodia; D) Thailand, Malaysia, Indonesia</v>
      </c>
      <c r="D92" s="18" t="str">
        <f>IFERROR(__xludf.DUMMYFUNCTION("GOOGLETRANSLATE(J92, ""th"", ""en"")"),"A) Thailand, Malaysia, Vietnam")</f>
        <v>A) Thailand, Malaysia, Vietnam</v>
      </c>
      <c r="E92" s="18" t="str">
        <f>IFERROR(__xludf.DUMMYFUNCTION("GOOGLETRANSLATE(K92, ""th"", ""en"")"),"Longboat racing in Thailand is popular in many Southeast Asian countries, such as Thailand, Malaysia, and Vietnam.")</f>
        <v>Longboat racing in Thailand is popular in many Southeast Asian countries, such as Thailand, Malaysia, and Vietnam.</v>
      </c>
      <c r="G92" s="18">
        <v>91.0</v>
      </c>
      <c r="H92" s="19" t="s">
        <v>1303</v>
      </c>
      <c r="I92" s="19" t="s">
        <v>1304</v>
      </c>
      <c r="J92" s="19" t="s">
        <v>1305</v>
      </c>
      <c r="K92" s="19" t="s">
        <v>1306</v>
      </c>
      <c r="L92" s="17"/>
    </row>
    <row r="93" ht="14.25" customHeight="1">
      <c r="A93" s="18" t="str">
        <f>IFERROR(__xludf.DUMMYFUNCTION("GOOGLETRANSLATE(G93, ""th"", ""en"")"),"92")</f>
        <v>92</v>
      </c>
      <c r="B93" s="18" t="str">
        <f>IFERROR(__xludf.DUMMYFUNCTION("GOOGLETRANSLATE(H93, ""th"", ""en"")"),"Where did long-boat racing in Thailand begin?")</f>
        <v>Where did long-boat racing in Thailand begin?</v>
      </c>
      <c r="C93" s="18" t="str">
        <f>IFERROR(__xludf.DUMMYFUNCTION("GOOGLETRANSLATE(I93, ""th"", ""en"")"),"A) military training; B) worship of gods; C) athletic competitions; D) trade")</f>
        <v>A) military training; B) worship of gods; C) athletic competitions; D) trade</v>
      </c>
      <c r="D93" s="18" t="str">
        <f>IFERROR(__xludf.DUMMYFUNCTION("GOOGLETRANSLATE(J93, ""th"", ""en"")"),"B) Worship of gods")</f>
        <v>B) Worship of gods</v>
      </c>
      <c r="E93" s="18" t="str">
        <f>IFERROR(__xludf.DUMMYFUNCTION("GOOGLETRANSLATE(K93, ""th"", ""en"")"),"Long boat racing in Thailand has its origins in the worship of gods and religious ceremonies.")</f>
        <v>Long boat racing in Thailand has its origins in the worship of gods and religious ceremonies.</v>
      </c>
      <c r="G93" s="18">
        <v>92.0</v>
      </c>
      <c r="H93" s="19" t="s">
        <v>1307</v>
      </c>
      <c r="I93" s="19" t="s">
        <v>1308</v>
      </c>
      <c r="J93" s="19" t="s">
        <v>1309</v>
      </c>
      <c r="K93" s="19" t="s">
        <v>1310</v>
      </c>
      <c r="L93" s="17"/>
    </row>
    <row r="94" ht="14.25" customHeight="1">
      <c r="A94" s="18" t="str">
        <f>IFERROR(__xludf.DUMMYFUNCTION("GOOGLETRANSLATE(G94, ""th"", ""en"")"),"93")</f>
        <v>93</v>
      </c>
      <c r="B94" s="18" t="str">
        <f>IFERROR(__xludf.DUMMYFUNCTION("GOOGLETRANSLATE(H94, ""th"", ""en"")"),"When did longboat racing in Thailand become an official sport?")</f>
        <v>When did longboat racing in Thailand become an official sport?</v>
      </c>
      <c r="C94" s="18" t="str">
        <f>IFERROR(__xludf.DUMMYFUNCTION("GOOGLETRANSLATE(I94, ""th"", ""en"")"),"A) 1910; B) 1920; C) 1950; D) 1960")</f>
        <v>A) 1910; B) 1920; C) 1950; D) 1960</v>
      </c>
      <c r="D94" s="18" t="str">
        <f>IFERROR(__xludf.DUMMYFUNCTION("GOOGLETRANSLATE(J94, ""th"", ""en"")"),"C) 1950")</f>
        <v>C) 1950</v>
      </c>
      <c r="E94" s="18" t="str">
        <f>IFERROR(__xludf.DUMMYFUNCTION("GOOGLETRANSLATE(K94, ""th"", ""en"")"),"Longboat racing in Thailand began as an official sport in 1950.")</f>
        <v>Longboat racing in Thailand began as an official sport in 1950.</v>
      </c>
      <c r="G94" s="18">
        <v>93.0</v>
      </c>
      <c r="H94" s="19" t="s">
        <v>1311</v>
      </c>
      <c r="I94" s="19" t="s">
        <v>1312</v>
      </c>
      <c r="J94" s="19" t="s">
        <v>1313</v>
      </c>
      <c r="K94" s="19" t="s">
        <v>1314</v>
      </c>
      <c r="L94" s="17"/>
    </row>
    <row r="95" ht="14.25" customHeight="1">
      <c r="A95" s="18" t="str">
        <f>IFERROR(__xludf.DUMMYFUNCTION("GOOGLETRANSLATE(G95, ""th"", ""en"")"),"94")</f>
        <v>94</v>
      </c>
      <c r="B95" s="18" t="str">
        <f>IFERROR(__xludf.DUMMYFUNCTION("GOOGLETRANSLATE(H95, ""th"", ""en"")"),"In long-boat races held during the Ayutthaya period, what type of boats were often used?")</f>
        <v>In long-boat races held during the Ayutthaya period, what type of boats were often used?</v>
      </c>
      <c r="C95" s="18" t="str">
        <f>IFERROR(__xludf.DUMMYFUNCTION("GOOGLETRANSLATE(I95, ""th"", ""en"")"),"A) longboat; B) canoe; C) double rowboat; D) single rowboat")</f>
        <v>A) longboat; B) canoe; C) double rowboat; D) single rowboat</v>
      </c>
      <c r="D95" s="18" t="str">
        <f>IFERROR(__xludf.DUMMYFUNCTION("GOOGLETRANSLATE(J95, ""th"", ""en"")"),"A) Long boat")</f>
        <v>A) Long boat</v>
      </c>
      <c r="E95" s="18" t="str">
        <f>IFERROR(__xludf.DUMMYFUNCTION("GOOGLETRANSLATE(K95, ""th"", ""en"")"),"Long boat racing in the Ayutthaya period often used long boats that could carry many people.")</f>
        <v>Long boat racing in the Ayutthaya period often used long boats that could carry many people.</v>
      </c>
      <c r="G95" s="18">
        <v>94.0</v>
      </c>
      <c r="H95" s="19" t="s">
        <v>1315</v>
      </c>
      <c r="I95" s="19" t="s">
        <v>1316</v>
      </c>
      <c r="J95" s="19" t="s">
        <v>1317</v>
      </c>
      <c r="K95" s="19" t="s">
        <v>1318</v>
      </c>
      <c r="L95" s="17"/>
    </row>
    <row r="96" ht="14.25" customHeight="1">
      <c r="A96" s="18" t="str">
        <f>IFERROR(__xludf.DUMMYFUNCTION("GOOGLETRANSLATE(G96, ""th"", ""en"")"),"95")</f>
        <v>95</v>
      </c>
      <c r="B96" s="18" t="str">
        <f>IFERROR(__xludf.DUMMYFUNCTION("GOOGLETRANSLATE(H96, ""th"", ""en"")"),"When were longboat races held in Thailand during the Ayutthaya period?")</f>
        <v>When were longboat races held in Thailand during the Ayutthaya period?</v>
      </c>
      <c r="C96" s="18" t="str">
        <f>IFERROR(__xludf.DUMMYFUNCTION("GOOGLETRANSLATE(I96, ""th"", ""en"")"),"A) after the rainy season; B) after the summer; C) before the rainy season; D) before the winter")</f>
        <v>A) after the rainy season; B) after the summer; C) before the rainy season; D) before the winter</v>
      </c>
      <c r="D96" s="18" t="str">
        <f>IFERROR(__xludf.DUMMYFUNCTION("GOOGLETRANSLATE(J96, ""th"", ""en"")"),"A) After the rainy season")</f>
        <v>A) After the rainy season</v>
      </c>
      <c r="E96" s="18" t="str">
        <f>IFERROR(__xludf.DUMMYFUNCTION("GOOGLETRANSLATE(K96, ""th"", ""en"")"),"Long boat races during the Ayutthaya period were usually held after the rainy season when the water level was suitable.")</f>
        <v>Long boat races during the Ayutthaya period were usually held after the rainy season when the water level was suitable.</v>
      </c>
      <c r="G96" s="18">
        <v>95.0</v>
      </c>
      <c r="H96" s="19" t="s">
        <v>1319</v>
      </c>
      <c r="I96" s="19" t="s">
        <v>1320</v>
      </c>
      <c r="J96" s="19" t="s">
        <v>1321</v>
      </c>
      <c r="K96" s="19" t="s">
        <v>1322</v>
      </c>
      <c r="L96" s="17"/>
    </row>
    <row r="97" ht="14.25" customHeight="1">
      <c r="A97" s="18" t="str">
        <f>IFERROR(__xludf.DUMMYFUNCTION("GOOGLETRANSLATE(G97, ""th"", ""en"")"),"96")</f>
        <v>96</v>
      </c>
      <c r="B97" s="18" t="str">
        <f>IFERROR(__xludf.DUMMYFUNCTION("GOOGLETRANSLATE(H97, ""th"", ""en"")"),"When was the first historical record of long-boat racing in Thailand?")</f>
        <v>When was the first historical record of long-boat racing in Thailand?</v>
      </c>
      <c r="C97" s="18" t="str">
        <f>IFERROR(__xludf.DUMMYFUNCTION("GOOGLETRANSLATE(I97, ""th"", ""en"")"),"A) Ayutthaya period; B) Thonburi period; C) Rattanakosin period; D) Sukhothai period")</f>
        <v>A) Ayutthaya period; B) Thonburi period; C) Rattanakosin period; D) Sukhothai period</v>
      </c>
      <c r="D97" s="18" t="str">
        <f>IFERROR(__xludf.DUMMYFUNCTION("GOOGLETRANSLATE(J97, ""th"", ""en"")"),"A) Ayutthaya period")</f>
        <v>A) Ayutthaya period</v>
      </c>
      <c r="E97" s="18" t="str">
        <f>IFERROR(__xludf.DUMMYFUNCTION("GOOGLETRANSLATE(K97, ""th"", ""en"")"),"Long-boat racing in Thailand was first recorded in history during the Ayutthaya period.")</f>
        <v>Long-boat racing in Thailand was first recorded in history during the Ayutthaya period.</v>
      </c>
      <c r="G97" s="18">
        <v>96.0</v>
      </c>
      <c r="H97" s="19" t="s">
        <v>1323</v>
      </c>
      <c r="I97" s="19" t="s">
        <v>1324</v>
      </c>
      <c r="J97" s="19" t="s">
        <v>970</v>
      </c>
      <c r="K97" s="19" t="s">
        <v>1325</v>
      </c>
      <c r="L97" s="17"/>
    </row>
    <row r="98" ht="14.25" customHeight="1">
      <c r="A98" s="18" t="str">
        <f>IFERROR(__xludf.DUMMYFUNCTION("GOOGLETRANSLATE(G98, ""th"", ""en"")"),"97")</f>
        <v>97</v>
      </c>
      <c r="B98" s="18" t="str">
        <f>IFERROR(__xludf.DUMMYFUNCTION("GOOGLETRANSLATE(H98, ""th"", ""en"")"),"Where are the longboat races held in Thailand?")</f>
        <v>Where are the longboat races held in Thailand?</v>
      </c>
      <c r="C98" s="18" t="str">
        <f>IFERROR(__xludf.DUMMYFUNCTION("GOOGLETRANSLATE(I98, ""th"", ""en"")"),"A) Songkran Festival; B) Loi Krathong Festival; C) Tourism Festival; D) Coronation Festival")</f>
        <v>A) Songkran Festival; B) Loi Krathong Festival; C) Tourism Festival; D) Coronation Festival</v>
      </c>
      <c r="D98" s="18" t="str">
        <f>IFERROR(__xludf.DUMMYFUNCTION("GOOGLETRANSLATE(J98, ""th"", ""en"")"),"B) Loi Krathong Festival")</f>
        <v>B) Loi Krathong Festival</v>
      </c>
      <c r="E98" s="18" t="str">
        <f>IFERROR(__xludf.DUMMYFUNCTION("GOOGLETRANSLATE(K98, ""th"", ""en"")"),"Long-boat races in Thailand are often held during the Loi Krathong festival.")</f>
        <v>Long-boat races in Thailand are often held during the Loi Krathong festival.</v>
      </c>
      <c r="G98" s="18">
        <v>97.0</v>
      </c>
      <c r="H98" s="19" t="s">
        <v>1326</v>
      </c>
      <c r="I98" s="19" t="s">
        <v>1327</v>
      </c>
      <c r="J98" s="19" t="s">
        <v>1328</v>
      </c>
      <c r="K98" s="19" t="s">
        <v>1329</v>
      </c>
      <c r="L98" s="17"/>
    </row>
    <row r="99" ht="14.25" customHeight="1">
      <c r="A99" s="18" t="str">
        <f>IFERROR(__xludf.DUMMYFUNCTION("GOOGLETRANSLATE(G99, ""th"", ""en"")"),"98")</f>
        <v>98</v>
      </c>
      <c r="B99" s="18" t="str">
        <f>IFERROR(__xludf.DUMMYFUNCTION("GOOGLETRANSLATE(H99, ""th"", ""en"")"),"What was the size of longboats during the Ayutthaya period?")</f>
        <v>What was the size of longboats during the Ayutthaya period?</v>
      </c>
      <c r="C99" s="18" t="str">
        <f>IFERROR(__xludf.DUMMYFUNCTION("GOOGLETRANSLATE(I99, ""th"", ""en"")"),"A) 5-10 meters; B) 10-20 meters; C) 20-30 meters; D) 30-40 meters")</f>
        <v>A) 5-10 meters; B) 10-20 meters; C) 20-30 meters; D) 30-40 meters</v>
      </c>
      <c r="D99" s="18" t="str">
        <f>IFERROR(__xludf.DUMMYFUNCTION("GOOGLETRANSLATE(J99, ""th"", ""en"")"),"B) 10-20 meters")</f>
        <v>B) 10-20 meters</v>
      </c>
      <c r="E99" s="18" t="str">
        <f>IFERROR(__xludf.DUMMYFUNCTION("GOOGLETRANSLATE(K99, ""th"", ""en"")"),"Long boats in the Ayutthaya period were approximately 10-20 meters in size, which was suitable for racing.")</f>
        <v>Long boats in the Ayutthaya period were approximately 10-20 meters in size, which was suitable for racing.</v>
      </c>
      <c r="G99" s="18">
        <v>98.0</v>
      </c>
      <c r="H99" s="19" t="s">
        <v>1330</v>
      </c>
      <c r="I99" s="19" t="s">
        <v>1331</v>
      </c>
      <c r="J99" s="19" t="s">
        <v>1332</v>
      </c>
      <c r="K99" s="19" t="s">
        <v>1333</v>
      </c>
      <c r="L99" s="17"/>
    </row>
    <row r="100" ht="14.25" customHeight="1">
      <c r="A100" s="18" t="str">
        <f>IFERROR(__xludf.DUMMYFUNCTION("GOOGLETRANSLATE(G100, ""th"", ""en"")"),"99")</f>
        <v>99</v>
      </c>
      <c r="B100" s="18" t="str">
        <f>IFERROR(__xludf.DUMMYFUNCTION("GOOGLETRANSLATE(H100, ""th"", ""en"")"),"What kind of training was long-boat racing in the Ayutthaya period part of?")</f>
        <v>What kind of training was long-boat racing in the Ayutthaya period part of?</v>
      </c>
      <c r="C100" s="18" t="str">
        <f>IFERROR(__xludf.DUMMYFUNCTION("GOOGLETRANSLATE(I100, ""th"", ""en"")"),"A) military training; B) agricultural training; C) martial arts training; D) travel training")</f>
        <v>A) military training; B) agricultural training; C) martial arts training; D) travel training</v>
      </c>
      <c r="D100" s="18" t="str">
        <f>IFERROR(__xludf.DUMMYFUNCTION("GOOGLETRANSLATE(J100, ""th"", ""en"")"),"B) Military training")</f>
        <v>B) Military training</v>
      </c>
      <c r="E100" s="18" t="str">
        <f>IFERROR(__xludf.DUMMYFUNCTION("GOOGLETRANSLATE(K100, ""th"", ""en"")"),"Long boat racing in the Ayutthaya period was part of military training to develop water skills.")</f>
        <v>Long boat racing in the Ayutthaya period was part of military training to develop water skills.</v>
      </c>
      <c r="G100" s="18">
        <v>99.0</v>
      </c>
      <c r="H100" s="19" t="s">
        <v>1334</v>
      </c>
      <c r="I100" s="19" t="s">
        <v>1335</v>
      </c>
      <c r="J100" s="19" t="s">
        <v>1336</v>
      </c>
      <c r="K100" s="19" t="s">
        <v>1337</v>
      </c>
      <c r="L100" s="17"/>
    </row>
    <row r="101" ht="14.25" customHeight="1">
      <c r="A101" s="18" t="str">
        <f>IFERROR(__xludf.DUMMYFUNCTION("GOOGLETRANSLATE(G101, ""th"", ""en"")"),"100")</f>
        <v>100</v>
      </c>
      <c r="B101" s="18" t="str">
        <f>IFERROR(__xludf.DUMMYFUNCTION("GOOGLETRANSLATE(H101, ""th"", ""en"")"),"When did the longboat races in Thailand change their format?")</f>
        <v>When did the longboat races in Thailand change their format?</v>
      </c>
      <c r="C101" s="18" t="str">
        <f>IFERROR(__xludf.DUMMYFUNCTION("GOOGLETRANSLATE(I101, ""th"", ""en"")"),"A) 1980; B) 1990; C) 2000; D) 2010")</f>
        <v>A) 1980; B) 1990; C) 2000; D) 2010</v>
      </c>
      <c r="D101" s="18" t="str">
        <f>IFERROR(__xludf.DUMMYFUNCTION("GOOGLETRANSLATE(J101, ""th"", ""en"")"),"B) 1990")</f>
        <v>B) 1990</v>
      </c>
      <c r="E101" s="18" t="str">
        <f>IFERROR(__xludf.DUMMYFUNCTION("GOOGLETRANSLATE(K101, ""th"", ""en"")"),"Longboat racing in Thailand has changed its format since 1990.")</f>
        <v>Longboat racing in Thailand has changed its format since 1990.</v>
      </c>
      <c r="G101" s="18">
        <v>100.0</v>
      </c>
      <c r="H101" s="19" t="s">
        <v>1338</v>
      </c>
      <c r="I101" s="19" t="s">
        <v>1339</v>
      </c>
      <c r="J101" s="19" t="s">
        <v>1340</v>
      </c>
      <c r="K101" s="19" t="s">
        <v>1341</v>
      </c>
      <c r="L101" s="17"/>
    </row>
    <row r="102" ht="14.25" customHeight="1">
      <c r="A102" s="18" t="str">
        <f>IFERROR(__xludf.DUMMYFUNCTION("GOOGLETRANSLATE(G102, ""th"", ""en"")"),"101")</f>
        <v>101</v>
      </c>
      <c r="B102" s="18" t="str">
        <f>IFERROR(__xludf.DUMMYFUNCTION("GOOGLETRANSLATE(H102, ""th"", ""en"")"),"When was the longboat race in the Ayutthaya period usually held?")</f>
        <v>When was the longboat race in the Ayutthaya period usually held?</v>
      </c>
      <c r="C102" s="18" t="str">
        <f>IFERROR(__xludf.DUMMYFUNCTION("GOOGLETRANSLATE(I102, ""th"", ""en"")"),"A) Songkran period; B) Loi Krathong period; C) Buddhist Lent period; D) End of Buddhist Lent period")</f>
        <v>A) Songkran period; B) Loi Krathong period; C) Buddhist Lent period; D) End of Buddhist Lent period</v>
      </c>
      <c r="D102" s="18" t="str">
        <f>IFERROR(__xludf.DUMMYFUNCTION("GOOGLETRANSLATE(J102, ""th"", ""en"")"),"B) Loi Krathong period")</f>
        <v>B) Loi Krathong period</v>
      </c>
      <c r="E102" s="18" t="str">
        <f>IFERROR(__xludf.DUMMYFUNCTION("GOOGLETRANSLATE(K102, ""th"", ""en"")"),"Long boat races in the Ayutthaya period were often held during Loi Krathong.")</f>
        <v>Long boat races in the Ayutthaya period were often held during Loi Krathong.</v>
      </c>
      <c r="G102" s="18">
        <v>101.0</v>
      </c>
      <c r="H102" s="19" t="s">
        <v>1342</v>
      </c>
      <c r="I102" s="19" t="s">
        <v>1343</v>
      </c>
      <c r="J102" s="19" t="s">
        <v>1344</v>
      </c>
      <c r="K102" s="19" t="s">
        <v>1345</v>
      </c>
      <c r="L102" s="17"/>
    </row>
    <row r="103" ht="14.25" customHeight="1">
      <c r="A103" s="18" t="str">
        <f>IFERROR(__xludf.DUMMYFUNCTION("GOOGLETRANSLATE(G103, ""th"", ""en"")"),"102")</f>
        <v>102</v>
      </c>
      <c r="B103" s="18" t="str">
        <f>IFERROR(__xludf.DUMMYFUNCTION("GOOGLETRANSLATE(H103, ""th"", ""en"")"),"Longboat racing in Thailand has been practiced since ancient times to fulfill what purpose?")</f>
        <v>Longboat racing in Thailand has been practiced since ancient times to fulfill what purpose?</v>
      </c>
      <c r="C103" s="18" t="str">
        <f>IFERROR(__xludf.DUMMYFUNCTION("GOOGLETRANSLATE(I103, ""th"", ""en"")"),"A) trade; B) naval warfare; C) transportation of goods; D) tourism")</f>
        <v>A) trade; B) naval warfare; C) transportation of goods; D) tourism</v>
      </c>
      <c r="D103" s="18" t="str">
        <f>IFERROR(__xludf.DUMMYFUNCTION("GOOGLETRANSLATE(J103, ""th"", ""en"")"),"B) Water fight")</f>
        <v>B) Water fight</v>
      </c>
      <c r="E103" s="18" t="str">
        <f>IFERROR(__xludf.DUMMYFUNCTION("GOOGLETRANSLATE(K103, ""th"", ""en"")"),"Longboat racing in Thailand has been practiced in ancient times for water combat.")</f>
        <v>Longboat racing in Thailand has been practiced in ancient times for water combat.</v>
      </c>
      <c r="G103" s="18">
        <v>102.0</v>
      </c>
      <c r="H103" s="19" t="s">
        <v>1346</v>
      </c>
      <c r="I103" s="19" t="s">
        <v>1347</v>
      </c>
      <c r="J103" s="19" t="s">
        <v>1348</v>
      </c>
      <c r="K103" s="19" t="s">
        <v>1349</v>
      </c>
      <c r="L103" s="17"/>
    </row>
    <row r="104" ht="14.25" customHeight="1">
      <c r="A104" s="18" t="str">
        <f>IFERROR(__xludf.DUMMYFUNCTION("GOOGLETRANSLATE(G104, ""th"", ""en"")"),"103")</f>
        <v>103</v>
      </c>
      <c r="B104" s="18" t="str">
        <f>IFERROR(__xludf.DUMMYFUNCTION("GOOGLETRANSLATE(H104, ""th"", ""en"")"),"What activities were longboat racing in Thailand involved in the past?")</f>
        <v>What activities were longboat racing in Thailand involved in the past?</v>
      </c>
      <c r="C104" s="18" t="str">
        <f>IFERROR(__xludf.DUMMYFUNCTION("GOOGLETRANSLATE(I104, ""th"", ""en"")"),"A) worship of gods; B) royal celebrations; C) sports tourism; D) economic strengthening")</f>
        <v>A) worship of gods; B) royal celebrations; C) sports tourism; D) economic strengthening</v>
      </c>
      <c r="D104" s="18" t="str">
        <f>IFERROR(__xludf.DUMMYFUNCTION("GOOGLETRANSLATE(J104, ""th"", ""en"")"),"A) Worship of gods")</f>
        <v>A) Worship of gods</v>
      </c>
      <c r="E104" s="18" t="str">
        <f>IFERROR(__xludf.DUMMYFUNCTION("GOOGLETRANSLATE(K104, ""th"", ""en"")"),"Long-boat racing in Thailand used to be an activity associated with the worship of gods.")</f>
        <v>Long-boat racing in Thailand used to be an activity associated with the worship of gods.</v>
      </c>
      <c r="G104" s="18">
        <v>103.0</v>
      </c>
      <c r="H104" s="19" t="s">
        <v>1350</v>
      </c>
      <c r="I104" s="19" t="s">
        <v>1351</v>
      </c>
      <c r="J104" s="19" t="s">
        <v>1352</v>
      </c>
      <c r="K104" s="19" t="s">
        <v>1353</v>
      </c>
      <c r="L104" s="17"/>
    </row>
    <row r="105" ht="14.25" customHeight="1">
      <c r="A105" s="18" t="str">
        <f>IFERROR(__xludf.DUMMYFUNCTION("GOOGLETRANSLATE(G105, ""th"", ""en"")"),"104")</f>
        <v>104</v>
      </c>
      <c r="B105" s="18" t="str">
        <f>IFERROR(__xludf.DUMMYFUNCTION("GOOGLETRANSLATE(H105, ""th"", ""en"")"),"Which country is the most popular for long-boat racing in Thailand?")</f>
        <v>Which country is the most popular for long-boat racing in Thailand?</v>
      </c>
      <c r="C105" s="18" t="str">
        <f>IFERROR(__xludf.DUMMYFUNCTION("GOOGLETRANSLATE(I105, ""th"", ""en"")"),"A) Cambodia; B) Laos; C) Vietnam; D) Malaysia")</f>
        <v>A) Cambodia; B) Laos; C) Vietnam; D) Malaysia</v>
      </c>
      <c r="D105" s="18" t="str">
        <f>IFERROR(__xludf.DUMMYFUNCTION("GOOGLETRANSLATE(J105, ""th"", ""en"")"),"D) Malaysia")</f>
        <v>D) Malaysia</v>
      </c>
      <c r="E105" s="18" t="str">
        <f>IFERROR(__xludf.DUMMYFUNCTION("GOOGLETRANSLATE(K105, ""th"", ""en"")"),"Long boat racing in Thailand is the most popular in Malaysia in Southeast Asia.")</f>
        <v>Long boat racing in Thailand is the most popular in Malaysia in Southeast Asia.</v>
      </c>
      <c r="G105" s="18">
        <v>104.0</v>
      </c>
      <c r="H105" s="19" t="s">
        <v>1354</v>
      </c>
      <c r="I105" s="19" t="s">
        <v>1355</v>
      </c>
      <c r="J105" s="19" t="s">
        <v>1356</v>
      </c>
      <c r="K105" s="19" t="s">
        <v>1357</v>
      </c>
      <c r="L105" s="17"/>
    </row>
    <row r="106" ht="14.25" customHeight="1">
      <c r="A106" s="18" t="str">
        <f>IFERROR(__xludf.DUMMYFUNCTION("GOOGLETRANSLATE(G106, ""th"", ""en"")"),"105")</f>
        <v>105</v>
      </c>
      <c r="B106" s="18" t="str">
        <f>IFERROR(__xludf.DUMMYFUNCTION("GOOGLETRANSLATE(H106, ""th"", ""en"")"),"What activities were long-boat racing in the Ayutthaya period related to?")</f>
        <v>What activities were long-boat racing in the Ayutthaya period related to?</v>
      </c>
      <c r="C106" s="18" t="str">
        <f>IFERROR(__xludf.DUMMYFUNCTION("GOOGLETRANSLATE(I106, ""th"", ""en"")"),"A) naval military training; B) martial arts training; C) increasing agricultural productivity; D) developing skills in water travel.")</f>
        <v>A) naval military training; B) martial arts training; C) increasing agricultural productivity; D) developing skills in water travel.</v>
      </c>
      <c r="D106" s="18" t="str">
        <f>IFERROR(__xludf.DUMMYFUNCTION("GOOGLETRANSLATE(J106, ""th"", ""en"")"),"A) Naval military training")</f>
        <v>A) Naval military training</v>
      </c>
      <c r="E106" s="18" t="str">
        <f>IFERROR(__xludf.DUMMYFUNCTION("GOOGLETRANSLATE(K106, ""th"", ""en"")"),"Long-boat racing in the Ayutthaya period was an activity related to naval military training.")</f>
        <v>Long-boat racing in the Ayutthaya period was an activity related to naval military training.</v>
      </c>
      <c r="G106" s="18">
        <v>105.0</v>
      </c>
      <c r="H106" s="19" t="s">
        <v>1358</v>
      </c>
      <c r="I106" s="19" t="s">
        <v>1359</v>
      </c>
      <c r="J106" s="19" t="s">
        <v>1360</v>
      </c>
      <c r="K106" s="19" t="s">
        <v>1361</v>
      </c>
      <c r="L106" s="17"/>
    </row>
    <row r="107" ht="14.25" customHeight="1">
      <c r="A107" s="18" t="str">
        <f>IFERROR(__xludf.DUMMYFUNCTION("GOOGLETRANSLATE(G107, ""th"", ""en"")"),"106")</f>
        <v>106</v>
      </c>
      <c r="B107" s="18" t="str">
        <f>IFERROR(__xludf.DUMMYFUNCTION("GOOGLETRANSLATE(H107, ""th"", ""en"")"),"Longboat racing in Thailand is an important activity during which festival?")</f>
        <v>Longboat racing in Thailand is an important activity during which festival?</v>
      </c>
      <c r="C107" s="18" t="str">
        <f>IFERROR(__xludf.DUMMYFUNCTION("GOOGLETRANSLATE(I107, ""th"", ""en"")"),"A) Loi Krathong Festival; B) Songkran Festival; C) Chinese New Year Festival; D) New Year Festival")</f>
        <v>A) Loi Krathong Festival; B) Songkran Festival; C) Chinese New Year Festival; D) New Year Festival</v>
      </c>
      <c r="D107" s="18" t="str">
        <f>IFERROR(__xludf.DUMMYFUNCTION("GOOGLETRANSLATE(J107, ""th"", ""en"")"),"A) Loi Krathong Festival")</f>
        <v>A) Loi Krathong Festival</v>
      </c>
      <c r="E107" s="18" t="str">
        <f>IFERROR(__xludf.DUMMYFUNCTION("GOOGLETRANSLATE(K107, ""th"", ""en"")"),"Long-boat races in Thailand are usually held during the Loi Krathong festival.")</f>
        <v>Long-boat races in Thailand are usually held during the Loi Krathong festival.</v>
      </c>
      <c r="G107" s="18">
        <v>106.0</v>
      </c>
      <c r="H107" s="19" t="s">
        <v>1362</v>
      </c>
      <c r="I107" s="19" t="s">
        <v>1363</v>
      </c>
      <c r="J107" s="19" t="s">
        <v>1364</v>
      </c>
      <c r="K107" s="19" t="s">
        <v>1365</v>
      </c>
      <c r="L107" s="17"/>
    </row>
    <row r="108" ht="14.25" customHeight="1">
      <c r="A108" s="18" t="str">
        <f>IFERROR(__xludf.DUMMYFUNCTION("GOOGLETRANSLATE(G108, ""th"", ""en"")"),"107")</f>
        <v>107</v>
      </c>
      <c r="B108" s="18" t="str">
        <f>IFERROR(__xludf.DUMMYFUNCTION("GOOGLETRANSLATE(H108, ""th"", ""en"")"),"During the Ayutthaya period, how many boats were usually in a long boat race?")</f>
        <v>During the Ayutthaya period, how many boats were usually in a long boat race?</v>
      </c>
      <c r="C108" s="18" t="str">
        <f>IFERROR(__xludf.DUMMYFUNCTION("GOOGLETRANSLATE(I108, ""th"", ""en"")"),"A) 10 ships; B) 20 ships; C) 50 ships; D) 100 ships")</f>
        <v>A) 10 ships; B) 20 ships; C) 50 ships; D) 100 ships</v>
      </c>
      <c r="D108" s="18" t="str">
        <f>IFERROR(__xludf.DUMMYFUNCTION("GOOGLETRANSLATE(J108, ""th"", ""en"")"),"B) 20 ships")</f>
        <v>B) 20 ships</v>
      </c>
      <c r="E108" s="18" t="str">
        <f>IFERROR(__xludf.DUMMYFUNCTION("GOOGLETRANSLATE(K108, ""th"", ""en"")"),"In long-boat races during the Ayutthaya period, there were usually about 20 boats.")</f>
        <v>In long-boat races during the Ayutthaya period, there were usually about 20 boats.</v>
      </c>
      <c r="G108" s="18">
        <v>107.0</v>
      </c>
      <c r="H108" s="19" t="s">
        <v>1366</v>
      </c>
      <c r="I108" s="19" t="s">
        <v>1367</v>
      </c>
      <c r="J108" s="19" t="s">
        <v>1368</v>
      </c>
      <c r="K108" s="19" t="s">
        <v>1369</v>
      </c>
      <c r="L108" s="17"/>
    </row>
    <row r="109" ht="14.25" customHeight="1">
      <c r="A109" s="18" t="str">
        <f>IFERROR(__xludf.DUMMYFUNCTION("GOOGLETRANSLATE(G109, ""th"", ""en"")"),"108")</f>
        <v>108</v>
      </c>
      <c r="B109" s="18" t="str">
        <f>IFERROR(__xludf.DUMMYFUNCTION("GOOGLETRANSLATE(H109, ""th"", ""en"")"),"Who supported long-boat racing during the Ayutthaya period?")</f>
        <v>Who supported long-boat racing during the Ayutthaya period?</v>
      </c>
      <c r="C109" s="18" t="str">
        <f>IFERROR(__xludf.DUMMYFUNCTION("GOOGLETRANSLATE(I109, ""th"", ""en"")"),"A) King; B) Government officials; C) People; D) Businessmen")</f>
        <v>A) King; B) Government officials; C) People; D) Businessmen</v>
      </c>
      <c r="D109" s="18" t="str">
        <f>IFERROR(__xludf.DUMMYFUNCTION("GOOGLETRANSLATE(J109, ""th"", ""en"")"),"A) The King")</f>
        <v>A) The King</v>
      </c>
      <c r="E109" s="18" t="str">
        <f>IFERROR(__xludf.DUMMYFUNCTION("GOOGLETRANSLATE(K109, ""th"", ""en"")"),"Long boat racing during the Ayutthaya period was supported by the king.")</f>
        <v>Long boat racing during the Ayutthaya period was supported by the king.</v>
      </c>
      <c r="G109" s="18">
        <v>108.0</v>
      </c>
      <c r="H109" s="19" t="s">
        <v>1370</v>
      </c>
      <c r="I109" s="19" t="s">
        <v>1371</v>
      </c>
      <c r="J109" s="19" t="s">
        <v>287</v>
      </c>
      <c r="K109" s="19" t="s">
        <v>1372</v>
      </c>
      <c r="L109" s="17"/>
    </row>
    <row r="110" ht="14.25" customHeight="1">
      <c r="A110" s="18" t="str">
        <f>IFERROR(__xludf.DUMMYFUNCTION("GOOGLETRANSLATE(G110, ""th"", ""en"")"),"109")</f>
        <v>109</v>
      </c>
      <c r="B110" s="18" t="str">
        <f>IFERROR(__xludf.DUMMYFUNCTION("GOOGLETRANSLATE(H110, ""th"", ""en"")"),"In the Ayutthaya period, where were long-boat races usually held?")</f>
        <v>In the Ayutthaya period, where were long-boat races usually held?</v>
      </c>
      <c r="C110" s="18" t="str">
        <f>IFERROR(__xludf.DUMMYFUNCTION("GOOGLETRANSLATE(I110, ""th"", ""en"")"),"A) Chao Phraya River; B) Mekong River; C) Andaman Sea; D) Phangan Lake")</f>
        <v>A) Chao Phraya River; B) Mekong River; C) Andaman Sea; D) Phangan Lake</v>
      </c>
      <c r="D110" s="18" t="str">
        <f>IFERROR(__xludf.DUMMYFUNCTION("GOOGLETRANSLATE(J110, ""th"", ""en"")"),"A) Chao Phraya River")</f>
        <v>A) Chao Phraya River</v>
      </c>
      <c r="E110" s="18" t="str">
        <f>IFERROR(__xludf.DUMMYFUNCTION("GOOGLETRANSLATE(K110, ""th"", ""en"")"),"Long-boat races during the Ayutthaya period were often held on the Chao Phraya River.")</f>
        <v>Long-boat races during the Ayutthaya period were often held on the Chao Phraya River.</v>
      </c>
      <c r="G110" s="18">
        <v>109.0</v>
      </c>
      <c r="H110" s="19" t="s">
        <v>1373</v>
      </c>
      <c r="I110" s="19" t="s">
        <v>1374</v>
      </c>
      <c r="J110" s="19" t="s">
        <v>994</v>
      </c>
      <c r="K110" s="19" t="s">
        <v>1375</v>
      </c>
      <c r="L110" s="17"/>
    </row>
    <row r="111" ht="14.25" customHeight="1">
      <c r="A111" s="18" t="str">
        <f>IFERROR(__xludf.DUMMYFUNCTION("GOOGLETRANSLATE(G111, ""th"", ""en"")"),"110")</f>
        <v>110</v>
      </c>
      <c r="B111" s="18" t="str">
        <f>IFERROR(__xludf.DUMMYFUNCTION("GOOGLETRANSLATE(H111, ""th"", ""en"")"),"When did longboat racing in Thailand become an internationally competitive sport?")</f>
        <v>When did longboat racing in Thailand become an internationally competitive sport?</v>
      </c>
      <c r="C111" s="18" t="str">
        <f>IFERROR(__xludf.DUMMYFUNCTION("GOOGLETRANSLATE(I111, ""th"", ""en"")"),"A) 1960; B) 1970; C) 1980; D) 1990")</f>
        <v>A) 1960; B) 1970; C) 1980; D) 1990</v>
      </c>
      <c r="D111" s="18" t="str">
        <f>IFERROR(__xludf.DUMMYFUNCTION("GOOGLETRANSLATE(J111, ""th"", ""en"")"),"B) 1970")</f>
        <v>B) 1970</v>
      </c>
      <c r="E111" s="18" t="str">
        <f>IFERROR(__xludf.DUMMYFUNCTION("GOOGLETRANSLATE(K111, ""th"", ""en"")"),"Longboat racing in Thailand began to be held on an international level in the 1970s.")</f>
        <v>Longboat racing in Thailand began to be held on an international level in the 1970s.</v>
      </c>
      <c r="G111" s="18">
        <v>110.0</v>
      </c>
      <c r="H111" s="19" t="s">
        <v>1376</v>
      </c>
      <c r="I111" s="19" t="s">
        <v>1072</v>
      </c>
      <c r="J111" s="19" t="s">
        <v>1073</v>
      </c>
      <c r="K111" s="19" t="s">
        <v>1377</v>
      </c>
      <c r="L111" s="17"/>
    </row>
    <row r="112" ht="14.25" customHeight="1">
      <c r="A112" s="18" t="str">
        <f>IFERROR(__xludf.DUMMYFUNCTION("GOOGLETRANSLATE(G112, ""th"", ""en"")"),"111")</f>
        <v>111</v>
      </c>
      <c r="B112" s="18" t="str">
        <f>IFERROR(__xludf.DUMMYFUNCTION("GOOGLETRANSLATE(H112, ""th"", ""en"")"),"What techniques were used in long-boat racing during the Ayutthaya period?")</f>
        <v>What techniques were used in long-boat racing during the Ayutthaya period?</v>
      </c>
      <c r="C112" s="18" t="str">
        <f>IFERROR(__xludf.DUMMYFUNCTION("GOOGLETRANSLATE(I112, ""th"", ""en"")"),"A) Paddling; B) Offensive Paddling; C) Alternating Paddling; D) Racing Paddling")</f>
        <v>A) Paddling; B) Offensive Paddling; C) Alternating Paddling; D) Racing Paddling</v>
      </c>
      <c r="D112" s="18" t="str">
        <f>IFERROR(__xludf.DUMMYFUNCTION("GOOGLETRANSLATE(J112, ""th"", ""en"")"),"B) Offensive paddling")</f>
        <v>B) Offensive paddling</v>
      </c>
      <c r="E112" s="18" t="str">
        <f>IFERROR(__xludf.DUMMYFUNCTION("GOOGLETRANSLATE(K112, ""th"", ""en"")"),"Long boat racing in the Ayutthaya period used an aggressive rowing technique.")</f>
        <v>Long boat racing in the Ayutthaya period used an aggressive rowing technique.</v>
      </c>
      <c r="G112" s="18">
        <v>111.0</v>
      </c>
      <c r="H112" s="19" t="s">
        <v>1378</v>
      </c>
      <c r="I112" s="19" t="s">
        <v>1379</v>
      </c>
      <c r="J112" s="19" t="s">
        <v>1380</v>
      </c>
      <c r="K112" s="19" t="s">
        <v>1381</v>
      </c>
      <c r="L112" s="17"/>
    </row>
    <row r="113" ht="14.25" customHeight="1">
      <c r="A113" s="18" t="str">
        <f>IFERROR(__xludf.DUMMYFUNCTION("GOOGLETRANSLATE(G113, ""th"", ""en"")"),"112")</f>
        <v>112</v>
      </c>
      <c r="B113" s="18" t="str">
        <f>IFERROR(__xludf.DUMMYFUNCTION("GOOGLETRANSLATE(H113, ""th"", ""en"")"),"During the Ayutthaya period, long-boat races were usually held at what time of day?")</f>
        <v>During the Ayutthaya period, long-boat races were usually held at what time of day?</v>
      </c>
      <c r="C113" s="18" t="str">
        <f>IFERROR(__xludf.DUMMYFUNCTION("GOOGLETRANSLATE(I113, ""th"", ""en"")"),"A) morning; B) afternoon; C) night; D) late")</f>
        <v>A) morning; B) afternoon; C) night; D) late</v>
      </c>
      <c r="D113" s="18" t="str">
        <f>IFERROR(__xludf.DUMMYFUNCTION("GOOGLETRANSLATE(J113, ""th"", ""en"")"),"A) Morning")</f>
        <v>A) Morning</v>
      </c>
      <c r="E113" s="18" t="str">
        <f>IFERROR(__xludf.DUMMYFUNCTION("GOOGLETRANSLATE(K113, ""th"", ""en"")"),"Long boat races in the Ayutthaya period were usually held in the morning.")</f>
        <v>Long boat races in the Ayutthaya period were usually held in the morning.</v>
      </c>
      <c r="G113" s="18">
        <v>112.0</v>
      </c>
      <c r="H113" s="19" t="s">
        <v>1382</v>
      </c>
      <c r="I113" s="19" t="s">
        <v>1383</v>
      </c>
      <c r="J113" s="19" t="s">
        <v>1384</v>
      </c>
      <c r="K113" s="19" t="s">
        <v>1385</v>
      </c>
      <c r="L113" s="17"/>
    </row>
    <row r="114" ht="14.25" customHeight="1">
      <c r="A114" s="18" t="str">
        <f>IFERROR(__xludf.DUMMYFUNCTION("GOOGLETRANSLATE(G114, ""th"", ""en"")"),"113")</f>
        <v>113</v>
      </c>
      <c r="B114" s="18" t="str">
        <f>IFERROR(__xludf.DUMMYFUNCTION("GOOGLETRANSLATE(H114, ""th"", ""en"")"),"What types of boats are used in long-boat racing in Thailand?")</f>
        <v>What types of boats are used in long-boat racing in Thailand?</v>
      </c>
      <c r="C114" s="18" t="str">
        <f>IFERROR(__xludf.DUMMYFUNCTION("GOOGLETRANSLATE(I114, ""th"", ""en"")"),"A) flat-bottomed boat; B) medium-sized longboat; C) motorboat; D) paddle boat")</f>
        <v>A) flat-bottomed boat; B) medium-sized longboat; C) motorboat; D) paddle boat</v>
      </c>
      <c r="D114" s="18" t="str">
        <f>IFERROR(__xludf.DUMMYFUNCTION("GOOGLETRANSLATE(J114, ""th"", ""en"")"),"A) Flat-bottomed boat")</f>
        <v>A) Flat-bottomed boat</v>
      </c>
      <c r="E114" s="18" t="str">
        <f>IFERROR(__xludf.DUMMYFUNCTION("GOOGLETRANSLATE(K114, ""th"", ""en"")"),"Long-boat racing in Thailand often uses flat-bottomed boats.")</f>
        <v>Long-boat racing in Thailand often uses flat-bottomed boats.</v>
      </c>
      <c r="G114" s="18">
        <v>113.0</v>
      </c>
      <c r="H114" s="19" t="s">
        <v>1386</v>
      </c>
      <c r="I114" s="19" t="s">
        <v>1387</v>
      </c>
      <c r="J114" s="19" t="s">
        <v>1388</v>
      </c>
      <c r="K114" s="19" t="s">
        <v>1389</v>
      </c>
      <c r="L114" s="17"/>
    </row>
    <row r="115" ht="14.25" customHeight="1">
      <c r="A115" s="18" t="str">
        <f>IFERROR(__xludf.DUMMYFUNCTION("GOOGLETRANSLATE(G115, ""th"", ""en"")"),"114")</f>
        <v>114</v>
      </c>
      <c r="B115" s="18" t="str">
        <f>IFERROR(__xludf.DUMMYFUNCTION("GOOGLETRANSLATE(H115, ""th"", ""en"")"),"In which month were long-boat races usually held during the Ayutthaya period?")</f>
        <v>In which month were long-boat races usually held during the Ayutthaya period?</v>
      </c>
      <c r="C115" s="18" t="str">
        <f>IFERROR(__xludf.DUMMYFUNCTION("GOOGLETRANSLATE(I115, ""th"", ""en"")"),"A) August; B) October; C) November; D) December")</f>
        <v>A) August; B) October; C) November; D) December</v>
      </c>
      <c r="D115" s="18" t="str">
        <f>IFERROR(__xludf.DUMMYFUNCTION("GOOGLETRANSLATE(J115, ""th"", ""en"")"),"B) October")</f>
        <v>B) October</v>
      </c>
      <c r="E115" s="18" t="str">
        <f>IFERROR(__xludf.DUMMYFUNCTION("GOOGLETRANSLATE(K115, ""th"", ""en"")"),"Long boat races during the Ayutthaya period were usually held in October.")</f>
        <v>Long boat races during the Ayutthaya period were usually held in October.</v>
      </c>
      <c r="G115" s="18">
        <v>114.0</v>
      </c>
      <c r="H115" s="19" t="s">
        <v>1390</v>
      </c>
      <c r="I115" s="19" t="s">
        <v>1391</v>
      </c>
      <c r="J115" s="19" t="s">
        <v>1392</v>
      </c>
      <c r="K115" s="19" t="s">
        <v>1393</v>
      </c>
      <c r="L115" s="17"/>
    </row>
    <row r="116" ht="14.25" customHeight="1">
      <c r="A116" s="18" t="str">
        <f>IFERROR(__xludf.DUMMYFUNCTION("GOOGLETRANSLATE(G116, ""th"", ""en"")"),"115")</f>
        <v>115</v>
      </c>
      <c r="B116" s="18" t="str">
        <f>IFERROR(__xludf.DUMMYFUNCTION("GOOGLETRANSLATE(H116, ""th"", ""en"")"),"Has long-boat racing in Thailand ever used any aids?")</f>
        <v>Has long-boat racing in Thailand ever used any aids?</v>
      </c>
      <c r="C116" s="18" t="str">
        <f>IFERROR(__xludf.DUMMYFUNCTION("GOOGLETRANSLATE(I116, ""th"", ""en"")"),"A) use; B) not use; C) use sometimes; D) use when necessary")</f>
        <v>A) use; B) not use; C) use sometimes; D) use when necessary</v>
      </c>
      <c r="D116" s="18" t="str">
        <f>IFERROR(__xludf.DUMMYFUNCTION("GOOGLETRANSLATE(J116, ""th"", ""en"")"),"A) Use")</f>
        <v>A) Use</v>
      </c>
      <c r="E116" s="18" t="str">
        <f>IFERROR(__xludf.DUMMYFUNCTION("GOOGLETRANSLATE(K116, ""th"", ""en"")"),"Long boat racing in Thailand used to use racing aids.")</f>
        <v>Long boat racing in Thailand used to use racing aids.</v>
      </c>
      <c r="G116" s="18">
        <v>115.0</v>
      </c>
      <c r="H116" s="19" t="s">
        <v>1394</v>
      </c>
      <c r="I116" s="19" t="s">
        <v>1395</v>
      </c>
      <c r="J116" s="19" t="s">
        <v>1396</v>
      </c>
      <c r="K116" s="19" t="s">
        <v>1397</v>
      </c>
      <c r="L116" s="17"/>
    </row>
    <row r="117" ht="14.25" customHeight="1">
      <c r="A117" s="18" t="str">
        <f>IFERROR(__xludf.DUMMYFUNCTION("GOOGLETRANSLATE(G117, ""th"", ""en"")"),"116")</f>
        <v>116</v>
      </c>
      <c r="B117" s="18" t="str">
        <f>IFERROR(__xludf.DUMMYFUNCTION("GOOGLETRANSLATE(H117, ""th"", ""en"")"),"In what year did long-boat racing in Thailand begin to gain international recognition?")</f>
        <v>In what year did long-boat racing in Thailand begin to gain international recognition?</v>
      </c>
      <c r="C117" s="18" t="str">
        <f>IFERROR(__xludf.DUMMYFUNCTION("GOOGLETRANSLATE(I117, ""th"", ""en"")"),"A) 1980; B) 1990; C) 2000; D) 2010")</f>
        <v>A) 1980; B) 1990; C) 2000; D) 2010</v>
      </c>
      <c r="D117" s="18" t="str">
        <f>IFERROR(__xludf.DUMMYFUNCTION("GOOGLETRANSLATE(J117, ""th"", ""en"")"),"B) 1990")</f>
        <v>B) 1990</v>
      </c>
      <c r="E117" s="18" t="str">
        <f>IFERROR(__xludf.DUMMYFUNCTION("GOOGLETRANSLATE(K117, ""th"", ""en"")"),"Longboat racing in Thailand began to gain international recognition in the 1990s.")</f>
        <v>Longboat racing in Thailand began to gain international recognition in the 1990s.</v>
      </c>
      <c r="G117" s="18">
        <v>116.0</v>
      </c>
      <c r="H117" s="19" t="s">
        <v>1398</v>
      </c>
      <c r="I117" s="19" t="s">
        <v>1339</v>
      </c>
      <c r="J117" s="19" t="s">
        <v>1340</v>
      </c>
      <c r="K117" s="19" t="s">
        <v>1399</v>
      </c>
      <c r="L117" s="17"/>
    </row>
    <row r="118" ht="14.25" customHeight="1">
      <c r="A118" s="18" t="str">
        <f>IFERROR(__xludf.DUMMYFUNCTION("GOOGLETRANSLATE(G118, ""th"", ""en"")"),"117")</f>
        <v>117</v>
      </c>
      <c r="B118" s="18" t="str">
        <f>IFERROR(__xludf.DUMMYFUNCTION("GOOGLETRANSLATE(H118, ""th"", ""en"")"),"When was longboat racing in Thailand promoted by the government?")</f>
        <v>When was longboat racing in Thailand promoted by the government?</v>
      </c>
      <c r="C118" s="18" t="str">
        <f>IFERROR(__xludf.DUMMYFUNCTION("GOOGLETRANSLATE(I118, ""th"", ""en"")"),"A) 1940s; B) 1950s; C) 1960s; D) 1970s")</f>
        <v>A) 1940s; B) 1950s; C) 1960s; D) 1970s</v>
      </c>
      <c r="D118" s="18" t="str">
        <f>IFERROR(__xludf.DUMMYFUNCTION("GOOGLETRANSLATE(J118, ""th"", ""en"")"),"B) 1950")</f>
        <v>B) 1950</v>
      </c>
      <c r="E118" s="18" t="str">
        <f>IFERROR(__xludf.DUMMYFUNCTION("GOOGLETRANSLATE(K118, ""th"", ""en"")"),"Longboat racing in Thailand was promoted by the government in the 1950s to increase cultural and sporting activities.")</f>
        <v>Longboat racing in Thailand was promoted by the government in the 1950s to increase cultural and sporting activities.</v>
      </c>
      <c r="G118" s="18">
        <v>117.0</v>
      </c>
      <c r="H118" s="19" t="s">
        <v>1400</v>
      </c>
      <c r="I118" s="19" t="s">
        <v>1401</v>
      </c>
      <c r="J118" s="19" t="s">
        <v>1402</v>
      </c>
      <c r="K118" s="19" t="s">
        <v>1403</v>
      </c>
      <c r="L118" s="17"/>
    </row>
    <row r="119" ht="14.25" customHeight="1">
      <c r="A119" s="18" t="str">
        <f>IFERROR(__xludf.DUMMYFUNCTION("GOOGLETRANSLATE(G119, ""th"", ""en"")"),"118")</f>
        <v>118</v>
      </c>
      <c r="B119" s="18" t="str">
        <f>IFERROR(__xludf.DUMMYFUNCTION("GOOGLETRANSLATE(H119, ""th"", ""en"")"),"In the past, long boat racing was part of what activity during the Ayutthaya period?")</f>
        <v>In the past, long boat racing was part of what activity during the Ayutthaya period?</v>
      </c>
      <c r="C119" s="18" t="str">
        <f>IFERROR(__xludf.DUMMYFUNCTION("GOOGLETRANSLATE(I119, ""th"", ""en"")"),"A) celebration of the reign; B) naval military training; C) worship of the gods; D) development of agriculture.")</f>
        <v>A) celebration of the reign; B) naval military training; C) worship of the gods; D) development of agriculture.</v>
      </c>
      <c r="D119" s="18" t="str">
        <f>IFERROR(__xludf.DUMMYFUNCTION("GOOGLETRANSLATE(J119, ""th"", ""en"")"),"B) Naval military training")</f>
        <v>B) Naval military training</v>
      </c>
      <c r="E119" s="18" t="str">
        <f>IFERROR(__xludf.DUMMYFUNCTION("GOOGLETRANSLATE(K119, ""th"", ""en"")"),"In the past, long-boat racing during the Ayutthaya period was part of naval military training.")</f>
        <v>In the past, long-boat racing during the Ayutthaya period was part of naval military training.</v>
      </c>
      <c r="G119" s="18">
        <v>118.0</v>
      </c>
      <c r="H119" s="19" t="s">
        <v>1404</v>
      </c>
      <c r="I119" s="19" t="s">
        <v>1405</v>
      </c>
      <c r="J119" s="19" t="s">
        <v>1406</v>
      </c>
      <c r="K119" s="19" t="s">
        <v>1407</v>
      </c>
      <c r="L119" s="17"/>
    </row>
    <row r="120" ht="14.25" customHeight="1">
      <c r="A120" s="18" t="str">
        <f>IFERROR(__xludf.DUMMYFUNCTION("GOOGLETRANSLATE(G120, ""th"", ""en"")"),"119")</f>
        <v>119</v>
      </c>
      <c r="B120" s="18" t="str">
        <f>IFERROR(__xludf.DUMMYFUNCTION("GOOGLETRANSLATE(H120, ""th"", ""en"")"),"What materials were often used for long-boat racing in the Ayutthaya period?")</f>
        <v>What materials were often used for long-boat racing in the Ayutthaya period?</v>
      </c>
      <c r="C120" s="18" t="str">
        <f>IFERROR(__xludf.DUMMYFUNCTION("GOOGLETRANSLATE(I120, ""th"", ""en"")"),"A) wood; B) metal; C) glass; D) plastic")</f>
        <v>A) wood; B) metal; C) glass; D) plastic</v>
      </c>
      <c r="D120" s="18" t="str">
        <f>IFERROR(__xludf.DUMMYFUNCTION("GOOGLETRANSLATE(J120, ""th"", ""en"")"),"A) Wood")</f>
        <v>A) Wood</v>
      </c>
      <c r="E120" s="18" t="str">
        <f>IFERROR(__xludf.DUMMYFUNCTION("GOOGLETRANSLATE(K120, ""th"", ""en"")"),"In long-boat races during the Ayutthaya period, boats made of wood were often used.")</f>
        <v>In long-boat races during the Ayutthaya period, boats made of wood were often used.</v>
      </c>
      <c r="G120" s="18">
        <v>119.0</v>
      </c>
      <c r="H120" s="19" t="s">
        <v>1408</v>
      </c>
      <c r="I120" s="19" t="s">
        <v>1409</v>
      </c>
      <c r="J120" s="19" t="s">
        <v>982</v>
      </c>
      <c r="K120" s="19" t="s">
        <v>1410</v>
      </c>
      <c r="L120" s="17"/>
    </row>
    <row r="121" ht="14.25" customHeight="1">
      <c r="A121" s="18" t="str">
        <f>IFERROR(__xludf.DUMMYFUNCTION("GOOGLETRANSLATE(G121, ""th"", ""en"")"),"120")</f>
        <v>120</v>
      </c>
      <c r="B121" s="18" t="str">
        <f>IFERROR(__xludf.DUMMYFUNCTION("GOOGLETRANSLATE(H121, ""th"", ""en"")"),"When did longboat racing in Thailand begin to have rules?")</f>
        <v>When did longboat racing in Thailand begin to have rules?</v>
      </c>
      <c r="C121" s="18" t="str">
        <f>IFERROR(__xludf.DUMMYFUNCTION("GOOGLETRANSLATE(I121, ""th"", ""en"")"),"A) 1910; B) 1930; C) 1950; D) 1970")</f>
        <v>A) 1910; B) 1930; C) 1950; D) 1970</v>
      </c>
      <c r="D121" s="18" t="str">
        <f>IFERROR(__xludf.DUMMYFUNCTION("GOOGLETRANSLATE(J121, ""th"", ""en"")"),"C) 1950")</f>
        <v>C) 1950</v>
      </c>
      <c r="E121" s="18" t="str">
        <f>IFERROR(__xludf.DUMMYFUNCTION("GOOGLETRANSLATE(K121, ""th"", ""en"")"),"Longboat racing in Thailand began to have established rules in 1950.")</f>
        <v>Longboat racing in Thailand began to have established rules in 1950.</v>
      </c>
      <c r="G121" s="18">
        <v>120.0</v>
      </c>
      <c r="H121" s="19" t="s">
        <v>1411</v>
      </c>
      <c r="I121" s="19" t="s">
        <v>1412</v>
      </c>
      <c r="J121" s="19" t="s">
        <v>1413</v>
      </c>
      <c r="K121" s="19" t="s">
        <v>1414</v>
      </c>
      <c r="L121" s="17"/>
    </row>
    <row r="122" ht="14.25" customHeight="1">
      <c r="A122" s="18" t="str">
        <f>IFERROR(__xludf.DUMMYFUNCTION("GOOGLETRANSLATE(G122, ""th"", ""en"")"),"121")</f>
        <v>121</v>
      </c>
      <c r="B122" s="18" t="str">
        <f>IFERROR(__xludf.DUMMYFUNCTION("GOOGLETRANSLATE(H122, ""th"", ""en"")"),"Where were longboat races held in Thailand in the past?")</f>
        <v>Where were longboat races held in Thailand in the past?</v>
      </c>
      <c r="C122" s="18" t="str">
        <f>IFERROR(__xludf.DUMMYFUNCTION("GOOGLETRANSLATE(I122, ""th"", ""en"")"),"A) Chao Phraya River; B) Songkhla Lake; C) Gulf of Thailand; D) Mekong River")</f>
        <v>A) Chao Phraya River; B) Songkhla Lake; C) Gulf of Thailand; D) Mekong River</v>
      </c>
      <c r="D122" s="18" t="str">
        <f>IFERROR(__xludf.DUMMYFUNCTION("GOOGLETRANSLATE(J122, ""th"", ""en"")"),"A) Chao Phraya River")</f>
        <v>A) Chao Phraya River</v>
      </c>
      <c r="E122" s="18" t="str">
        <f>IFERROR(__xludf.DUMMYFUNCTION("GOOGLETRANSLATE(K122, ""th"", ""en"")"),"In the past, long-boat races in Thailand were often held on the Chao Phraya River.")</f>
        <v>In the past, long-boat races in Thailand were often held on the Chao Phraya River.</v>
      </c>
      <c r="G122" s="18">
        <v>121.0</v>
      </c>
      <c r="H122" s="19" t="s">
        <v>1415</v>
      </c>
      <c r="I122" s="19" t="s">
        <v>1416</v>
      </c>
      <c r="J122" s="19" t="s">
        <v>994</v>
      </c>
      <c r="K122" s="19" t="s">
        <v>1417</v>
      </c>
      <c r="L122" s="17"/>
    </row>
    <row r="123" ht="14.25" customHeight="1">
      <c r="A123" s="18" t="str">
        <f>IFERROR(__xludf.DUMMYFUNCTION("GOOGLETRANSLATE(G123, ""th"", ""en"")"),"122")</f>
        <v>122</v>
      </c>
      <c r="B123" s="18" t="str">
        <f>IFERROR(__xludf.DUMMYFUNCTION("GOOGLETRANSLATE(H123, ""th"", ""en"")"),"How important was longboat racing in Thailand in the past?")</f>
        <v>How important was longboat racing in Thailand in the past?</v>
      </c>
      <c r="C123" s="18" t="str">
        <f>IFERROR(__xludf.DUMMYFUNCTION("GOOGLETRANSLATE(I123, ""th"", ""en"")"),"A) It is a military skill training; B) It is a fun activity; C) It is an economic activity; D) It is an activity for worshiping gods.")</f>
        <v>A) It is a military skill training; B) It is a fun activity; C) It is an economic activity; D) It is an activity for worshiping gods.</v>
      </c>
      <c r="D123" s="18" t="str">
        <f>IFERROR(__xludf.DUMMYFUNCTION("GOOGLETRANSLATE(J123, ""th"", ""en"")"),"A) It is a military skills training.")</f>
        <v>A) It is a military skills training.</v>
      </c>
      <c r="E123" s="18" t="str">
        <f>IFERROR(__xludf.DUMMYFUNCTION("GOOGLETRANSLATE(K123, ""th"", ""en"")"),"Long-boat racing in Thailand in the past was important in training military water skills.")</f>
        <v>Long-boat racing in Thailand in the past was important in training military water skills.</v>
      </c>
      <c r="G123" s="18">
        <v>122.0</v>
      </c>
      <c r="H123" s="19" t="s">
        <v>1418</v>
      </c>
      <c r="I123" s="19" t="s">
        <v>1419</v>
      </c>
      <c r="J123" s="19" t="s">
        <v>1420</v>
      </c>
      <c r="K123" s="19" t="s">
        <v>1421</v>
      </c>
      <c r="L123" s="17"/>
    </row>
    <row r="124" ht="14.25" customHeight="1">
      <c r="A124" s="18" t="str">
        <f>IFERROR(__xludf.DUMMYFUNCTION("GOOGLETRANSLATE(G124, ""th"", ""en"")"),"123")</f>
        <v>123</v>
      </c>
      <c r="B124" s="18" t="str">
        <f>IFERROR(__xludf.DUMMYFUNCTION("GOOGLETRANSLATE(H124, ""th"", ""en"")"),"On what day is the traditional long-boat race in Thailand held?")</f>
        <v>On what day is the traditional long-boat race in Thailand held?</v>
      </c>
      <c r="C124" s="18" t="str">
        <f>IFERROR(__xludf.DUMMYFUNCTION("GOOGLETRANSLATE(I124, ""th"", ""en"")"),"A) Songkran Day; B) Loi Krathong Day; C) Chinese New Year; D) New Year's Day")</f>
        <v>A) Songkran Day; B) Loi Krathong Day; C) Chinese New Year; D) New Year's Day</v>
      </c>
      <c r="D124" s="18" t="str">
        <f>IFERROR(__xludf.DUMMYFUNCTION("GOOGLETRANSLATE(J124, ""th"", ""en"")"),"B) Loy Krathong Day")</f>
        <v>B) Loy Krathong Day</v>
      </c>
      <c r="E124" s="18" t="str">
        <f>IFERROR(__xludf.DUMMYFUNCTION("GOOGLETRANSLATE(K124, ""th"", ""en"")"),"Long-boat races in Thailand are usually held on Loi Krathong Day.")</f>
        <v>Long-boat races in Thailand are usually held on Loi Krathong Day.</v>
      </c>
      <c r="G124" s="18">
        <v>123.0</v>
      </c>
      <c r="H124" s="19" t="s">
        <v>1422</v>
      </c>
      <c r="I124" s="19" t="s">
        <v>1423</v>
      </c>
      <c r="J124" s="19" t="s">
        <v>1424</v>
      </c>
      <c r="K124" s="19" t="s">
        <v>1425</v>
      </c>
      <c r="L124" s="17"/>
    </row>
    <row r="125" ht="14.25" customHeight="1">
      <c r="A125" s="18" t="str">
        <f>IFERROR(__xludf.DUMMYFUNCTION("GOOGLETRANSLATE(G125, ""th"", ""en"")"),"124")</f>
        <v>124</v>
      </c>
      <c r="B125" s="18" t="str">
        <f>IFERROR(__xludf.DUMMYFUNCTION("GOOGLETRANSLATE(H125, ""th"", ""en"")"),"Long-boat racing in Thailand was popular among which nationality in the past?")</f>
        <v>Long-boat racing in Thailand was popular among which nationality in the past?</v>
      </c>
      <c r="C125" s="18" t="str">
        <f>IFERROR(__xludf.DUMMYFUNCTION("GOOGLETRANSLATE(I125, ""th"", ""en"")"),"A) Thai people; B) Chinese people; C) Mon people; D) Khmer people")</f>
        <v>A) Thai people; B) Chinese people; C) Mon people; D) Khmer people</v>
      </c>
      <c r="D125" s="18" t="str">
        <f>IFERROR(__xludf.DUMMYFUNCTION("GOOGLETRANSLATE(J125, ""th"", ""en"")"),"A) Thai people")</f>
        <v>A) Thai people</v>
      </c>
      <c r="E125" s="18" t="str">
        <f>IFERROR(__xludf.DUMMYFUNCTION("GOOGLETRANSLATE(K125, ""th"", ""en"")"),"Long-boat racing in Thailand has been popular among Thai people in the past.")</f>
        <v>Long-boat racing in Thailand has been popular among Thai people in the past.</v>
      </c>
      <c r="G125" s="18">
        <v>124.0</v>
      </c>
      <c r="H125" s="19" t="s">
        <v>1426</v>
      </c>
      <c r="I125" s="19" t="s">
        <v>1427</v>
      </c>
      <c r="J125" s="19" t="s">
        <v>1428</v>
      </c>
      <c r="K125" s="19" t="s">
        <v>1429</v>
      </c>
      <c r="L125" s="17"/>
    </row>
    <row r="126" ht="14.25" customHeight="1">
      <c r="A126" s="18" t="str">
        <f>IFERROR(__xludf.DUMMYFUNCTION("GOOGLETRANSLATE(G126, ""th"", ""en"")"),"125")</f>
        <v>125</v>
      </c>
      <c r="B126" s="18" t="str">
        <f>IFERROR(__xludf.DUMMYFUNCTION("GOOGLETRANSLATE(H126, ""th"", ""en"")"),"What was the long boat racing activity used for in the Ayutthaya period?")</f>
        <v>What was the long boat racing activity used for in the Ayutthaya period?</v>
      </c>
      <c r="C126" s="18" t="str">
        <f>IFERROR(__xludf.DUMMYFUNCTION("GOOGLETRANSLATE(I126, ""th"", ""en"")"),"A) training naval troops; B) providing entertainment; C) perpetuating religious power; D) stimulating the economy.")</f>
        <v>A) training naval troops; B) providing entertainment; C) perpetuating religious power; D) stimulating the economy.</v>
      </c>
      <c r="D126" s="18" t="str">
        <f>IFERROR(__xludf.DUMMYFUNCTION("GOOGLETRANSLATE(J126, ""th"", ""en"")"),"B) Naval military training")</f>
        <v>B) Naval military training</v>
      </c>
      <c r="E126" s="18" t="str">
        <f>IFERROR(__xludf.DUMMYFUNCTION("GOOGLETRANSLATE(K126, ""th"", ""en"")"),"Long boat racing in the Ayutthaya period was once an activity used for training soldiers on the water.")</f>
        <v>Long boat racing in the Ayutthaya period was once an activity used for training soldiers on the water.</v>
      </c>
      <c r="G126" s="18">
        <v>125.0</v>
      </c>
      <c r="H126" s="19" t="s">
        <v>1430</v>
      </c>
      <c r="I126" s="19" t="s">
        <v>1431</v>
      </c>
      <c r="J126" s="19" t="s">
        <v>1432</v>
      </c>
      <c r="K126" s="19" t="s">
        <v>1433</v>
      </c>
      <c r="L126" s="17"/>
    </row>
    <row r="127" ht="14.25" customHeight="1">
      <c r="A127" s="18" t="str">
        <f>IFERROR(__xludf.DUMMYFUNCTION("GOOGLETRANSLATE(G127, ""th"", ""en"")"),"126")</f>
        <v>126</v>
      </c>
      <c r="B127" s="18" t="str">
        <f>IFERROR(__xludf.DUMMYFUNCTION("GOOGLETRANSLATE(H127, ""th"", ""en"")"),"How has longboat racing in Thailand changed in the 1980s?")</f>
        <v>How has longboat racing in Thailand changed in the 1980s?</v>
      </c>
      <c r="C127" s="18" t="str">
        <f>IFERROR(__xludf.DUMMYFUNCTION("GOOGLETRANSLATE(I127, ""th"", ""en"")"),"A) Number of competing boats; B) Race format; C) Number of spectators; D) Use of technology.")</f>
        <v>A) Number of competing boats; B) Race format; C) Number of spectators; D) Use of technology.</v>
      </c>
      <c r="D127" s="18" t="str">
        <f>IFERROR(__xludf.DUMMYFUNCTION("GOOGLETRANSLATE(J127, ""th"", ""en"")"),"A) Number of boats competing")</f>
        <v>A) Number of boats competing</v>
      </c>
      <c r="E127" s="18" t="str">
        <f>IFERROR(__xludf.DUMMYFUNCTION("GOOGLETRANSLATE(K127, ""th"", ""en"")"),"In the longboat racing in Thailand in the 1980s, there was a change in the number of boats used in the competition.")</f>
        <v>In the longboat racing in Thailand in the 1980s, there was a change in the number of boats used in the competition.</v>
      </c>
      <c r="G127" s="18">
        <v>126.0</v>
      </c>
      <c r="H127" s="19" t="s">
        <v>1434</v>
      </c>
      <c r="I127" s="19" t="s">
        <v>1435</v>
      </c>
      <c r="J127" s="19" t="s">
        <v>1436</v>
      </c>
      <c r="K127" s="19" t="s">
        <v>1437</v>
      </c>
      <c r="L127" s="17"/>
    </row>
    <row r="128" ht="14.25" customHeight="1">
      <c r="A128" s="18" t="str">
        <f>IFERROR(__xludf.DUMMYFUNCTION("GOOGLETRANSLATE(G128, ""th"", ""en"")"),"127")</f>
        <v>127</v>
      </c>
      <c r="B128" s="18" t="str">
        <f>IFERROR(__xludf.DUMMYFUNCTION("GOOGLETRANSLATE(H128, ""th"", ""en"")"),"What was the significance of long-boat racing in the Ayutthaya period?")</f>
        <v>What was the significance of long-boat racing in the Ayutthaya period?</v>
      </c>
      <c r="C128" s="18" t="str">
        <f>IFERROR(__xludf.DUMMYFUNCTION("GOOGLETRANSLATE(I128, ""th"", ""en"")"),"A) It is an activity that supports agriculture; B) It is an activity that trains soldiers on water; C) It is a tourism activity; D) It is a commercial activity.")</f>
        <v>A) It is an activity that supports agriculture; B) It is an activity that trains soldiers on water; C) It is a tourism activity; D) It is a commercial activity.</v>
      </c>
      <c r="D128" s="18" t="str">
        <f>IFERROR(__xludf.DUMMYFUNCTION("GOOGLETRANSLATE(J128, ""th"", ""en"")"),"B) It is an activity that trains soldiers on water.")</f>
        <v>B) It is an activity that trains soldiers on water.</v>
      </c>
      <c r="E128" s="18" t="str">
        <f>IFERROR(__xludf.DUMMYFUNCTION("GOOGLETRANSLATE(K128, ""th"", ""en"")"),"Long boat racing in the Ayutthaya period was an activity that trained soldiers on water for national defense.")</f>
        <v>Long boat racing in the Ayutthaya period was an activity that trained soldiers on water for national defense.</v>
      </c>
      <c r="G128" s="18">
        <v>127.0</v>
      </c>
      <c r="H128" s="19" t="s">
        <v>1438</v>
      </c>
      <c r="I128" s="19" t="s">
        <v>1439</v>
      </c>
      <c r="J128" s="19" t="s">
        <v>1440</v>
      </c>
      <c r="K128" s="19" t="s">
        <v>1441</v>
      </c>
      <c r="L128" s="17"/>
    </row>
    <row r="129" ht="14.25" customHeight="1">
      <c r="A129" s="18" t="str">
        <f>IFERROR(__xludf.DUMMYFUNCTION("GOOGLETRANSLATE(G129, ""th"", ""en"")"),"128")</f>
        <v>128</v>
      </c>
      <c r="B129" s="18" t="str">
        <f>IFERROR(__xludf.DUMMYFUNCTION("GOOGLETRANSLATE(H129, ""th"", ""en"")"),"When were longboat races held in Thailand in the past?")</f>
        <v>When were longboat races held in Thailand in the past?</v>
      </c>
      <c r="C129" s="18" t="str">
        <f>IFERROR(__xludf.DUMMYFUNCTION("GOOGLETRANSLATE(I129, ""th"", ""en"")"),"A) the rainy season; B) the rainy season; C) the summer season; D) the winter season")</f>
        <v>A) the rainy season; B) the rainy season; C) the summer season; D) the winter season</v>
      </c>
      <c r="D129" s="18" t="str">
        <f>IFERROR(__xludf.DUMMYFUNCTION("GOOGLETRANSLATE(J129, ""th"", ""en"")"),"B) During the rainy season")</f>
        <v>B) During the rainy season</v>
      </c>
      <c r="E129" s="18" t="str">
        <f>IFERROR(__xludf.DUMMYFUNCTION("GOOGLETRANSLATE(K129, ""th"", ""en"")"),"In the past, long boat races were often held during the rainy season when the water level in the river was high.")</f>
        <v>In the past, long boat races were often held during the rainy season when the water level in the river was high.</v>
      </c>
      <c r="G129" s="18">
        <v>128.0</v>
      </c>
      <c r="H129" s="19" t="s">
        <v>1442</v>
      </c>
      <c r="I129" s="19" t="s">
        <v>1443</v>
      </c>
      <c r="J129" s="19" t="s">
        <v>1444</v>
      </c>
      <c r="K129" s="19" t="s">
        <v>1445</v>
      </c>
      <c r="L129" s="17"/>
    </row>
    <row r="130" ht="14.25" customHeight="1">
      <c r="A130" s="18" t="str">
        <f>IFERROR(__xludf.DUMMYFUNCTION("GOOGLETRANSLATE(G130, ""th"", ""en"")"),"129")</f>
        <v>129</v>
      </c>
      <c r="B130" s="18" t="str">
        <f>IFERROR(__xludf.DUMMYFUNCTION("GOOGLETRANSLATE(H130, ""th"", ""en"")"),"Which royal family supported long-boat racing in Thailand?")</f>
        <v>Which royal family supported long-boat racing in Thailand?</v>
      </c>
      <c r="C130" s="18" t="str">
        <f>IFERROR(__xludf.DUMMYFUNCTION("GOOGLETRANSLATE(I130, ""th"", ""en"")"),"A) Chakri Dynasty; B) Sukhothai Dynasty; C) Ayutthaya Dynasty; D) Thonburi Dynasty")</f>
        <v>A) Chakri Dynasty; B) Sukhothai Dynasty; C) Ayutthaya Dynasty; D) Thonburi Dynasty</v>
      </c>
      <c r="D130" s="18" t="str">
        <f>IFERROR(__xludf.DUMMYFUNCTION("GOOGLETRANSLATE(J130, ""th"", ""en"")"),"A) Chakri Dynasty")</f>
        <v>A) Chakri Dynasty</v>
      </c>
      <c r="E130" s="18" t="str">
        <f>IFERROR(__xludf.DUMMYFUNCTION("GOOGLETRANSLATE(K130, ""th"", ""en"")"),"Long-boat racing in Thailand was supported by the Chakri Dynasty during the modern era.")</f>
        <v>Long-boat racing in Thailand was supported by the Chakri Dynasty during the modern era.</v>
      </c>
      <c r="G130" s="18">
        <v>129.0</v>
      </c>
      <c r="H130" s="19" t="s">
        <v>1446</v>
      </c>
      <c r="I130" s="19" t="s">
        <v>1447</v>
      </c>
      <c r="J130" s="19" t="s">
        <v>1448</v>
      </c>
      <c r="K130" s="19" t="s">
        <v>1449</v>
      </c>
      <c r="L130" s="17"/>
    </row>
    <row r="131" ht="14.25" customHeight="1">
      <c r="A131" s="18" t="str">
        <f>IFERROR(__xludf.DUMMYFUNCTION("GOOGLETRANSLATE(G131, ""th"", ""en"")"),"130")</f>
        <v>130</v>
      </c>
      <c r="B131" s="18" t="str">
        <f>IFERROR(__xludf.DUMMYFUNCTION("GOOGLETRANSLATE(H131, ""th"", ""en"")"),"When did longboat racing in Thailand develop?")</f>
        <v>When did longboat racing in Thailand develop?</v>
      </c>
      <c r="C131" s="18" t="str">
        <f>IFERROR(__xludf.DUMMYFUNCTION("GOOGLETRANSLATE(I131, ""th"", ""en"")"),"A) Ayutthaya period; B) Thonburi period; C) Rattanakosin period; D) Present era")</f>
        <v>A) Ayutthaya period; B) Thonburi period; C) Rattanakosin period; D) Present era</v>
      </c>
      <c r="D131" s="18" t="str">
        <f>IFERROR(__xludf.DUMMYFUNCTION("GOOGLETRANSLATE(J131, ""th"", ""en"")"),"C) Rattanakosin period")</f>
        <v>C) Rattanakosin period</v>
      </c>
      <c r="E131" s="18" t="str">
        <f>IFERROR(__xludf.DUMMYFUNCTION("GOOGLETRANSLATE(K131, ""th"", ""en"")"),"Longboat racing in Thailand began to develop as a sport during the Rattanakosin period.")</f>
        <v>Longboat racing in Thailand began to develop as a sport during the Rattanakosin period.</v>
      </c>
      <c r="G131" s="18">
        <v>130.0</v>
      </c>
      <c r="H131" s="19" t="s">
        <v>1450</v>
      </c>
      <c r="I131" s="19" t="s">
        <v>1451</v>
      </c>
      <c r="J131" s="19" t="s">
        <v>1452</v>
      </c>
      <c r="K131" s="19" t="s">
        <v>1453</v>
      </c>
      <c r="L131" s="17"/>
    </row>
    <row r="132" ht="14.25" customHeight="1">
      <c r="A132" s="18" t="str">
        <f>IFERROR(__xludf.DUMMYFUNCTION("GOOGLETRANSLATE(G132, ""th"", ""en"")"),"131")</f>
        <v>131</v>
      </c>
      <c r="B132" s="18" t="str">
        <f>IFERROR(__xludf.DUMMYFUNCTION("GOOGLETRANSLATE(H132, ""th"", ""en"")"),"When did longboat racing in Thailand become internationally recognized?")</f>
        <v>When did longboat racing in Thailand become internationally recognized?</v>
      </c>
      <c r="C132" s="18" t="str">
        <f>IFERROR(__xludf.DUMMYFUNCTION("GOOGLETRANSLATE(I132, ""th"", ""en"")"),"A) 1970; B) 1980; C) 1990; D) 2000")</f>
        <v>A) 1970; B) 1980; C) 1990; D) 2000</v>
      </c>
      <c r="D132" s="18" t="str">
        <f>IFERROR(__xludf.DUMMYFUNCTION("GOOGLETRANSLATE(J132, ""th"", ""en"")"),"C) 1990")</f>
        <v>C) 1990</v>
      </c>
      <c r="E132" s="18" t="str">
        <f>IFERROR(__xludf.DUMMYFUNCTION("GOOGLETRANSLATE(K132, ""th"", ""en"")"),"Longboat racing in Thailand gained international recognition in the 1990s.")</f>
        <v>Longboat racing in Thailand gained international recognition in the 1990s.</v>
      </c>
      <c r="G132" s="18">
        <v>131.0</v>
      </c>
      <c r="H132" s="19" t="s">
        <v>1454</v>
      </c>
      <c r="I132" s="19" t="s">
        <v>1455</v>
      </c>
      <c r="J132" s="19" t="s">
        <v>1456</v>
      </c>
      <c r="K132" s="19" t="s">
        <v>1457</v>
      </c>
      <c r="L132" s="17"/>
    </row>
    <row r="133" ht="14.25" customHeight="1">
      <c r="A133" s="18" t="str">
        <f>IFERROR(__xludf.DUMMYFUNCTION("GOOGLETRANSLATE(G133, ""th"", ""en"")"),"132")</f>
        <v>132</v>
      </c>
      <c r="B133" s="18" t="str">
        <f>IFERROR(__xludf.DUMMYFUNCTION("GOOGLETRANSLATE(H133, ""th"", ""en"")"),"What is the most popular long-boat racing event in Thailand?")</f>
        <v>What is the most popular long-boat racing event in Thailand?</v>
      </c>
      <c r="C133" s="18" t="str">
        <f>IFERROR(__xludf.DUMMYFUNCTION("GOOGLETRANSLATE(I133, ""th"", ""en"")"),"A) Loy Krathong Festival; B) National Sports Festival; C) Songkran Festival; D) Charity Event")</f>
        <v>A) Loy Krathong Festival; B) National Sports Festival; C) Songkran Festival; D) Charity Event</v>
      </c>
      <c r="D133" s="18" t="str">
        <f>IFERROR(__xludf.DUMMYFUNCTION("GOOGLETRANSLATE(J133, ""th"", ""en"")"),"A) Loi Krathong Festival")</f>
        <v>A) Loi Krathong Festival</v>
      </c>
      <c r="E133" s="18" t="str">
        <f>IFERROR(__xludf.DUMMYFUNCTION("GOOGLETRANSLATE(K133, ""th"", ""en"")"),"Long-boat races in Thailand are often held during the Loi Krathong festival.")</f>
        <v>Long-boat races in Thailand are often held during the Loi Krathong festival.</v>
      </c>
      <c r="G133" s="18">
        <v>132.0</v>
      </c>
      <c r="H133" s="19" t="s">
        <v>1458</v>
      </c>
      <c r="I133" s="19" t="s">
        <v>1459</v>
      </c>
      <c r="J133" s="19" t="s">
        <v>1460</v>
      </c>
      <c r="K133" s="19" t="s">
        <v>1461</v>
      </c>
      <c r="L133" s="17"/>
    </row>
    <row r="134" ht="14.25" customHeight="1">
      <c r="A134" s="18" t="str">
        <f>IFERROR(__xludf.DUMMYFUNCTION("GOOGLETRANSLATE(G134, ""th"", ""en"")"),"133")</f>
        <v>133</v>
      </c>
      <c r="B134" s="18" t="str">
        <f>IFERROR(__xludf.DUMMYFUNCTION("GOOGLETRANSLATE(H134, ""th"", ""en"")"),"When did longboat racing in Thailand become more popular?")</f>
        <v>When did longboat racing in Thailand become more popular?</v>
      </c>
      <c r="C134" s="18" t="str">
        <f>IFERROR(__xludf.DUMMYFUNCTION("GOOGLETRANSLATE(I134, ""th"", ""en"")"),"A) 1930s; B) 1950s; C) 1970s; D) 1990s")</f>
        <v>A) 1930s; B) 1950s; C) 1970s; D) 1990s</v>
      </c>
      <c r="D134" s="18" t="str">
        <f>IFERROR(__xludf.DUMMYFUNCTION("GOOGLETRANSLATE(J134, ""th"", ""en"")"),"B) 1950")</f>
        <v>B) 1950</v>
      </c>
      <c r="E134" s="18" t="str">
        <f>IFERROR(__xludf.DUMMYFUNCTION("GOOGLETRANSLATE(K134, ""th"", ""en"")"),"Longboat racing in Thailand began to gain popularity in the 1950s.")</f>
        <v>Longboat racing in Thailand began to gain popularity in the 1950s.</v>
      </c>
      <c r="G134" s="18">
        <v>133.0</v>
      </c>
      <c r="H134" s="19" t="s">
        <v>1462</v>
      </c>
      <c r="I134" s="19" t="s">
        <v>1463</v>
      </c>
      <c r="J134" s="19" t="s">
        <v>1402</v>
      </c>
      <c r="K134" s="19" t="s">
        <v>1464</v>
      </c>
      <c r="L134" s="17"/>
    </row>
    <row r="135" ht="14.25" customHeight="1">
      <c r="A135" s="18" t="str">
        <f>IFERROR(__xludf.DUMMYFUNCTION("GOOGLETRANSLATE(G135, ""th"", ""en"")"),"134")</f>
        <v>134</v>
      </c>
      <c r="B135" s="18" t="str">
        <f>IFERROR(__xludf.DUMMYFUNCTION("GOOGLETRANSLATE(H135, ""th"", ""en"")"),"In what year did longboat racing in Thailand begin to have official competition rules?")</f>
        <v>In what year did longboat racing in Thailand begin to have official competition rules?</v>
      </c>
      <c r="C135" s="18" t="str">
        <f>IFERROR(__xludf.DUMMYFUNCTION("GOOGLETRANSLATE(I135, ""th"", ""en"")"),"A) 1910; B) 1930; C) 1950; D) 1970")</f>
        <v>A) 1910; B) 1930; C) 1950; D) 1970</v>
      </c>
      <c r="D135" s="18" t="str">
        <f>IFERROR(__xludf.DUMMYFUNCTION("GOOGLETRANSLATE(J135, ""th"", ""en"")"),"C) 1950")</f>
        <v>C) 1950</v>
      </c>
      <c r="E135" s="18" t="str">
        <f>IFERROR(__xludf.DUMMYFUNCTION("GOOGLETRANSLATE(K135, ""th"", ""en"")"),"Longboat racing in Thailand began to have official competition rules in 1950.")</f>
        <v>Longboat racing in Thailand began to have official competition rules in 1950.</v>
      </c>
      <c r="G135" s="18">
        <v>134.0</v>
      </c>
      <c r="H135" s="19" t="s">
        <v>1465</v>
      </c>
      <c r="I135" s="19" t="s">
        <v>1412</v>
      </c>
      <c r="J135" s="19" t="s">
        <v>1413</v>
      </c>
      <c r="K135" s="19" t="s">
        <v>1466</v>
      </c>
      <c r="L135" s="17"/>
    </row>
    <row r="136" ht="14.25" customHeight="1">
      <c r="A136" s="18" t="str">
        <f>IFERROR(__xludf.DUMMYFUNCTION("GOOGLETRANSLATE(G136, ""th"", ""en"")"),"135")</f>
        <v>135</v>
      </c>
      <c r="B136" s="18" t="str">
        <f>IFERROR(__xludf.DUMMYFUNCTION("GOOGLETRANSLATE(H136, ""th"", ""en"")"),"When did longboat racing in Thailand become internationally recognized?")</f>
        <v>When did longboat racing in Thailand become internationally recognized?</v>
      </c>
      <c r="C136" s="18" t="str">
        <f>IFERROR(__xludf.DUMMYFUNCTION("GOOGLETRANSLATE(I136, ""th"", ""en"")"),"A) 1980; B) 1990; C) 2000; D) 2010")</f>
        <v>A) 1980; B) 1990; C) 2000; D) 2010</v>
      </c>
      <c r="D136" s="18" t="str">
        <f>IFERROR(__xludf.DUMMYFUNCTION("GOOGLETRANSLATE(J136, ""th"", ""en"")"),"B) 1990")</f>
        <v>B) 1990</v>
      </c>
      <c r="E136" s="18" t="str">
        <f>IFERROR(__xludf.DUMMYFUNCTION("GOOGLETRANSLATE(K136, ""th"", ""en"")"),"Longboat racing in Thailand began to gain international recognition in the 1990s.")</f>
        <v>Longboat racing in Thailand began to gain international recognition in the 1990s.</v>
      </c>
      <c r="G136" s="18">
        <v>135.0</v>
      </c>
      <c r="H136" s="19" t="s">
        <v>1467</v>
      </c>
      <c r="I136" s="19" t="s">
        <v>1339</v>
      </c>
      <c r="J136" s="19" t="s">
        <v>1340</v>
      </c>
      <c r="K136" s="19" t="s">
        <v>1468</v>
      </c>
      <c r="L136" s="17"/>
    </row>
    <row r="137" ht="14.25" customHeight="1">
      <c r="A137" s="18" t="str">
        <f>IFERROR(__xludf.DUMMYFUNCTION("GOOGLETRANSLATE(G137, ""th"", ""en"")"),"136")</f>
        <v>136</v>
      </c>
      <c r="B137" s="18" t="str">
        <f>IFERROR(__xludf.DUMMYFUNCTION("GOOGLETRANSLATE(H137, ""th"", ""en"")"),"What are the rules for organizing long-boat racing in Thailand?")</f>
        <v>What are the rules for organizing long-boat racing in Thailand?</v>
      </c>
      <c r="C137" s="18" t="str">
        <f>IFERROR(__xludf.DUMMYFUNCTION("GOOGLETRANSLATE(I137, ""th"", ""en"")"),"A) Speed ​​rule; B) Number of competitors rule; C) Distance rule; D) Safety rule")</f>
        <v>A) Speed ​​rule; B) Number of competitors rule; C) Distance rule; D) Safety rule</v>
      </c>
      <c r="D137" s="18" t="str">
        <f>IFERROR(__xludf.DUMMYFUNCTION("GOOGLETRANSLATE(J137, ""th"", ""en"")"),"A) Speed ​​rules")</f>
        <v>A) Speed ​​rules</v>
      </c>
      <c r="E137" s="18" t="str">
        <f>IFERROR(__xludf.DUMMYFUNCTION("GOOGLETRANSLATE(K137, ""th"", ""en"")"),"In long-boat racing in Thailand, there are rules regarding the speed of the race.")</f>
        <v>In long-boat racing in Thailand, there are rules regarding the speed of the race.</v>
      </c>
      <c r="G137" s="18">
        <v>136.0</v>
      </c>
      <c r="H137" s="19" t="s">
        <v>1469</v>
      </c>
      <c r="I137" s="19" t="s">
        <v>1470</v>
      </c>
      <c r="J137" s="19" t="s">
        <v>1471</v>
      </c>
      <c r="K137" s="19" t="s">
        <v>1472</v>
      </c>
      <c r="L137" s="17"/>
    </row>
    <row r="138" ht="14.25" customHeight="1">
      <c r="A138" s="18" t="str">
        <f>IFERROR(__xludf.DUMMYFUNCTION("GOOGLETRANSLATE(G138, ""th"", ""en"")"),"137")</f>
        <v>137</v>
      </c>
      <c r="B138" s="18" t="str">
        <f>IFERROR(__xludf.DUMMYFUNCTION("GOOGLETRANSLATE(H138, ""th"", ""en"")"),"When did longboat racing in Thailand begin to be held on an international level?")</f>
        <v>When did longboat racing in Thailand begin to be held on an international level?</v>
      </c>
      <c r="C138" s="18" t="str">
        <f>IFERROR(__xludf.DUMMYFUNCTION("GOOGLETRANSLATE(I138, ""th"", ""en"")"),"A) 1980; B) 1990; C) 2000; D) 2010")</f>
        <v>A) 1980; B) 1990; C) 2000; D) 2010</v>
      </c>
      <c r="D138" s="18" t="str">
        <f>IFERROR(__xludf.DUMMYFUNCTION("GOOGLETRANSLATE(J138, ""th"", ""en"")"),"B) 1990")</f>
        <v>B) 1990</v>
      </c>
      <c r="E138" s="18" t="str">
        <f>IFERROR(__xludf.DUMMYFUNCTION("GOOGLETRANSLATE(K138, ""th"", ""en"")"),"Longboat racing in Thailand began to be held on an international level in the 1990s.")</f>
        <v>Longboat racing in Thailand began to be held on an international level in the 1990s.</v>
      </c>
      <c r="G138" s="18">
        <v>137.0</v>
      </c>
      <c r="H138" s="19" t="s">
        <v>1473</v>
      </c>
      <c r="I138" s="19" t="s">
        <v>1474</v>
      </c>
      <c r="J138" s="19" t="s">
        <v>1475</v>
      </c>
      <c r="K138" s="19" t="s">
        <v>1476</v>
      </c>
      <c r="L138" s="17"/>
    </row>
    <row r="139" ht="14.25" customHeight="1">
      <c r="A139" s="18" t="str">
        <f>IFERROR(__xludf.DUMMYFUNCTION("GOOGLETRANSLATE(G139, ""th"", ""en"")"),"138")</f>
        <v>138</v>
      </c>
      <c r="B139" s="18" t="str">
        <f>IFERROR(__xludf.DUMMYFUNCTION("GOOGLETRANSLATE(H139, ""th"", ""en"")"),"What type of boats were used in long-boat racing in Thailand in the past?")</f>
        <v>What type of boats were used in long-boat racing in Thailand in the past?</v>
      </c>
      <c r="C139" s="18" t="str">
        <f>IFERROR(__xludf.DUMMYFUNCTION("GOOGLETRANSLATE(I139, ""th"", ""en"")"),"A) wooden boat; B) aluminum boat; C) steel boat; D) plastic boat")</f>
        <v>A) wooden boat; B) aluminum boat; C) steel boat; D) plastic boat</v>
      </c>
      <c r="D139" s="18" t="str">
        <f>IFERROR(__xludf.DUMMYFUNCTION("GOOGLETRANSLATE(J139, ""th"", ""en"")"),"A) Wooden boat")</f>
        <v>A) Wooden boat</v>
      </c>
      <c r="E139" s="18" t="str">
        <f>IFERROR(__xludf.DUMMYFUNCTION("GOOGLETRANSLATE(K139, ""th"", ""en"")"),"In the past, long-boat racing in Thailand often used wooden boats.")</f>
        <v>In the past, long-boat racing in Thailand often used wooden boats.</v>
      </c>
      <c r="G139" s="18">
        <v>138.0</v>
      </c>
      <c r="H139" s="19" t="s">
        <v>1477</v>
      </c>
      <c r="I139" s="19" t="s">
        <v>1478</v>
      </c>
      <c r="J139" s="19" t="s">
        <v>1479</v>
      </c>
      <c r="K139" s="19" t="s">
        <v>1480</v>
      </c>
      <c r="L139" s="17"/>
    </row>
    <row r="140" ht="14.25" customHeight="1">
      <c r="A140" s="18" t="str">
        <f>IFERROR(__xludf.DUMMYFUNCTION("GOOGLETRANSLATE(G140, ""th"", ""en"")"),"139")</f>
        <v>139</v>
      </c>
      <c r="B140" s="18" t="str">
        <f>IFERROR(__xludf.DUMMYFUNCTION("GOOGLETRANSLATE(H140, ""th"", ""en"")"),"Has long-boat racing in Thailand ever used any aids in the past?")</f>
        <v>Has long-boat racing in Thailand ever used any aids in the past?</v>
      </c>
      <c r="C140" s="18" t="str">
        <f>IFERROR(__xludf.DUMMYFUNCTION("GOOGLETRANSLATE(I140, ""th"", ""en"")"),"A) use; B) not use; C) use sometimes; D) use when necessary")</f>
        <v>A) use; B) not use; C) use sometimes; D) use when necessary</v>
      </c>
      <c r="D140" s="18" t="str">
        <f>IFERROR(__xludf.DUMMYFUNCTION("GOOGLETRANSLATE(J140, ""th"", ""en"")"),"A) Use")</f>
        <v>A) Use</v>
      </c>
      <c r="E140" s="18" t="str">
        <f>IFERROR(__xludf.DUMMYFUNCTION("GOOGLETRANSLATE(K140, ""th"", ""en"")"),"In the past, long-boat racing in Thailand used to use aids in the competition.")</f>
        <v>In the past, long-boat racing in Thailand used to use aids in the competition.</v>
      </c>
      <c r="G140" s="18">
        <v>139.0</v>
      </c>
      <c r="H140" s="19" t="s">
        <v>1481</v>
      </c>
      <c r="I140" s="19" t="s">
        <v>1395</v>
      </c>
      <c r="J140" s="19" t="s">
        <v>1396</v>
      </c>
      <c r="K140" s="19" t="s">
        <v>1482</v>
      </c>
      <c r="L140" s="17"/>
    </row>
    <row r="141" ht="14.25" customHeight="1">
      <c r="A141" s="18" t="str">
        <f>IFERROR(__xludf.DUMMYFUNCTION("GOOGLETRANSLATE(G141, ""th"", ""en"")"),"140")</f>
        <v>140</v>
      </c>
      <c r="B141" s="18" t="str">
        <f>IFERROR(__xludf.DUMMYFUNCTION("GOOGLETRANSLATE(H141, ""th"", ""en"")"),"In what year did longboat racing in Thailand begin to receive government support?")</f>
        <v>In what year did longboat racing in Thailand begin to receive government support?</v>
      </c>
      <c r="C141" s="18" t="str">
        <f>IFERROR(__xludf.DUMMYFUNCTION("GOOGLETRANSLATE(I141, ""th"", ""en"")"),"A) 1920; B) 1930; C) 1940; D) 1950")</f>
        <v>A) 1920; B) 1930; C) 1940; D) 1950</v>
      </c>
      <c r="D141" s="18" t="str">
        <f>IFERROR(__xludf.DUMMYFUNCTION("GOOGLETRANSLATE(J141, ""th"", ""en"")"),"C) 1940")</f>
        <v>C) 1940</v>
      </c>
      <c r="E141" s="18" t="str">
        <f>IFERROR(__xludf.DUMMYFUNCTION("GOOGLETRANSLATE(K141, ""th"", ""en"")"),"Longboat racing in Thailand began to receive state support in the 1940s.")</f>
        <v>Longboat racing in Thailand began to receive state support in the 1940s.</v>
      </c>
      <c r="G141" s="18">
        <v>140.0</v>
      </c>
      <c r="H141" s="19" t="s">
        <v>1483</v>
      </c>
      <c r="I141" s="19" t="s">
        <v>1484</v>
      </c>
      <c r="J141" s="19" t="s">
        <v>1485</v>
      </c>
      <c r="K141" s="19" t="s">
        <v>1486</v>
      </c>
      <c r="L141" s="17"/>
    </row>
    <row r="142" ht="14.25" customHeight="1">
      <c r="A142" s="18" t="str">
        <f>IFERROR(__xludf.DUMMYFUNCTION("GOOGLETRANSLATE(G142, ""th"", ""en"")"),"141")</f>
        <v>141</v>
      </c>
      <c r="B142" s="18" t="str">
        <f>IFERROR(__xludf.DUMMYFUNCTION("GOOGLETRANSLATE(H142, ""th"", ""en"")"),"How did longboat racing in Thailand change in the 1980s?")</f>
        <v>How did longboat racing in Thailand change in the 1980s?</v>
      </c>
      <c r="C142" s="18" t="str">
        <f>IFERROR(__xludf.DUMMYFUNCTION("GOOGLETRANSLATE(I142, ""th"", ""en"")"),"A) Rules of the competition; B) Number of competitors; C) Use of technology; D) Boat design.")</f>
        <v>A) Rules of the competition; B) Number of competitors; C) Use of technology; D) Boat design.</v>
      </c>
      <c r="D142" s="18" t="str">
        <f>IFERROR(__xludf.DUMMYFUNCTION("GOOGLETRANSLATE(J142, ""th"", ""en"")"),"A) Competition rules")</f>
        <v>A) Competition rules</v>
      </c>
      <c r="E142" s="18" t="str">
        <f>IFERROR(__xludf.DUMMYFUNCTION("GOOGLETRANSLATE(K142, ""th"", ""en"")"),"Longboat racing in Thailand saw a change in the rules in 1980.")</f>
        <v>Longboat racing in Thailand saw a change in the rules in 1980.</v>
      </c>
      <c r="G142" s="18">
        <v>141.0</v>
      </c>
      <c r="H142" s="19" t="s">
        <v>1487</v>
      </c>
      <c r="I142" s="19" t="s">
        <v>1488</v>
      </c>
      <c r="J142" s="19" t="s">
        <v>1489</v>
      </c>
      <c r="K142" s="19" t="s">
        <v>1490</v>
      </c>
      <c r="L142" s="17"/>
    </row>
    <row r="143" ht="14.25" customHeight="1">
      <c r="A143" s="18" t="str">
        <f>IFERROR(__xludf.DUMMYFUNCTION("GOOGLETRANSLATE(G143, ""th"", ""en"")"),"142")</f>
        <v>142</v>
      </c>
      <c r="B143" s="18" t="str">
        <f>IFERROR(__xludf.DUMMYFUNCTION("GOOGLETRANSLATE(H143, ""th"", ""en"")"),"What was the purpose of long-boat races in the Ayutthaya period?")</f>
        <v>What was the purpose of long-boat races in the Ayutthaya period?</v>
      </c>
      <c r="C143" s="18" t="str">
        <f>IFERROR(__xludf.DUMMYFUNCTION("GOOGLETRANSLATE(I143, ""th"", ""en"")"),"A) military training; B) religious celebrations; C) increasing tourism revenue; D) education")</f>
        <v>A) military training; B) religious celebrations; C) increasing tourism revenue; D) education</v>
      </c>
      <c r="D143" s="18" t="str">
        <f>IFERROR(__xludf.DUMMYFUNCTION("GOOGLETRANSLATE(J143, ""th"", ""en"")"),"A) Military training")</f>
        <v>A) Military training</v>
      </c>
      <c r="E143" s="18" t="str">
        <f>IFERROR(__xludf.DUMMYFUNCTION("GOOGLETRANSLATE(K143, ""th"", ""en"")"),"Long boat racing in the Ayutthaya period was an activity used for military training.")</f>
        <v>Long boat racing in the Ayutthaya period was an activity used for military training.</v>
      </c>
      <c r="G143" s="18">
        <v>142.0</v>
      </c>
      <c r="H143" s="19" t="s">
        <v>1491</v>
      </c>
      <c r="I143" s="19" t="s">
        <v>1492</v>
      </c>
      <c r="J143" s="19" t="s">
        <v>1493</v>
      </c>
      <c r="K143" s="19" t="s">
        <v>1494</v>
      </c>
      <c r="L143" s="17"/>
    </row>
    <row r="144" ht="14.25" customHeight="1">
      <c r="A144" s="18" t="str">
        <f>IFERROR(__xludf.DUMMYFUNCTION("GOOGLETRANSLATE(G144, ""th"", ""en"")"),"143")</f>
        <v>143</v>
      </c>
      <c r="B144" s="18" t="str">
        <f>IFERROR(__xludf.DUMMYFUNCTION("GOOGLETRANSLATE(H144, ""th"", ""en"")"),"When did longboat racing in Thailand begin to gain popularity?")</f>
        <v>When did longboat racing in Thailand begin to gain popularity?</v>
      </c>
      <c r="C144" s="18" t="str">
        <f>IFERROR(__xludf.DUMMYFUNCTION("GOOGLETRANSLATE(I144, ""th"", ""en"")"),"A) Sukhothai period; B) Ayutthaya period; C) Rattanakosin period; D) Thonburi period")</f>
        <v>A) Sukhothai period; B) Ayutthaya period; C) Rattanakosin period; D) Thonburi period</v>
      </c>
      <c r="D144" s="18" t="str">
        <f>IFERROR(__xludf.DUMMYFUNCTION("GOOGLETRANSLATE(J144, ""th"", ""en"")"),"B) Ayutthaya period")</f>
        <v>B) Ayutthaya period</v>
      </c>
      <c r="E144" s="18" t="str">
        <f>IFERROR(__xludf.DUMMYFUNCTION("GOOGLETRANSLATE(K144, ""th"", ""en"")"),"Long-boat racing in Thailand began to gain popularity during the Ayutthaya period.")</f>
        <v>Long-boat racing in Thailand began to gain popularity during the Ayutthaya period.</v>
      </c>
      <c r="G144" s="18">
        <v>143.0</v>
      </c>
      <c r="H144" s="19" t="s">
        <v>1495</v>
      </c>
      <c r="I144" s="19" t="s">
        <v>1496</v>
      </c>
      <c r="J144" s="19" t="s">
        <v>1497</v>
      </c>
      <c r="K144" s="19" t="s">
        <v>1498</v>
      </c>
      <c r="L144" s="17"/>
    </row>
    <row r="145" ht="14.25" customHeight="1">
      <c r="A145" s="18" t="str">
        <f>IFERROR(__xludf.DUMMYFUNCTION("GOOGLETRANSLATE(G145, ""th"", ""en"")"),"144")</f>
        <v>144</v>
      </c>
      <c r="B145" s="18" t="str">
        <f>IFERROR(__xludf.DUMMYFUNCTION("GOOGLETRANSLATE(H145, ""th"", ""en"")"),"In which river were long-boat races held during the Ayutthaya period?")</f>
        <v>In which river were long-boat races held during the Ayutthaya period?</v>
      </c>
      <c r="C145" s="18" t="str">
        <f>IFERROR(__xludf.DUMMYFUNCTION("GOOGLETRANSLATE(I145, ""th"", ""en"")"),"A) Mekong River; B) Chao Phraya River; C) Mae Klong River; D) Lao River")</f>
        <v>A) Mekong River; B) Chao Phraya River; C) Mae Klong River; D) Lao River</v>
      </c>
      <c r="D145" s="18" t="str">
        <f>IFERROR(__xludf.DUMMYFUNCTION("GOOGLETRANSLATE(J145, ""th"", ""en"")"),"B) Chao Phraya River")</f>
        <v>B) Chao Phraya River</v>
      </c>
      <c r="E145" s="18" t="str">
        <f>IFERROR(__xludf.DUMMYFUNCTION("GOOGLETRANSLATE(K145, ""th"", ""en"")"),"Long boat races during the Ayutthaya period were often held on the Chao Phraya River.")</f>
        <v>Long boat races during the Ayutthaya period were often held on the Chao Phraya River.</v>
      </c>
      <c r="G145" s="18">
        <v>144.0</v>
      </c>
      <c r="H145" s="19" t="s">
        <v>1499</v>
      </c>
      <c r="I145" s="19" t="s">
        <v>1500</v>
      </c>
      <c r="J145" s="19" t="s">
        <v>1501</v>
      </c>
      <c r="K145" s="19" t="s">
        <v>1502</v>
      </c>
      <c r="L145" s="17"/>
    </row>
    <row r="146" ht="14.25" customHeight="1">
      <c r="A146" s="18" t="str">
        <f>IFERROR(__xludf.DUMMYFUNCTION("GOOGLETRANSLATE(G146, ""th"", ""en"")"),"145")</f>
        <v>145</v>
      </c>
      <c r="B146" s="18" t="str">
        <f>IFERROR(__xludf.DUMMYFUNCTION("GOOGLETRANSLATE(H146, ""th"", ""en"")"),"What is the significance of long-boat racing in Thailand?")</f>
        <v>What is the significance of long-boat racing in Thailand?</v>
      </c>
      <c r="C146" s="18" t="str">
        <f>IFERROR(__xludf.DUMMYFUNCTION("GOOGLETRANSLATE(I146, ""th"", ""en"")"),"A) military training; B) entertainment; C) tourism income generation; D) cultural preservation.")</f>
        <v>A) military training; B) entertainment; C) tourism income generation; D) cultural preservation.</v>
      </c>
      <c r="D146" s="18" t="str">
        <f>IFERROR(__xludf.DUMMYFUNCTION("GOOGLETRANSLATE(J146, ""th"", ""en"")"),"A) Military training")</f>
        <v>A) Military training</v>
      </c>
      <c r="E146" s="18" t="str">
        <f>IFERROR(__xludf.DUMMYFUNCTION("GOOGLETRANSLATE(K146, ""th"", ""en"")"),"Longboat racing in Thailand is important for military training.")</f>
        <v>Longboat racing in Thailand is important for military training.</v>
      </c>
      <c r="G146" s="18">
        <v>145.0</v>
      </c>
      <c r="H146" s="19" t="s">
        <v>1503</v>
      </c>
      <c r="I146" s="19" t="s">
        <v>1504</v>
      </c>
      <c r="J146" s="19" t="s">
        <v>1493</v>
      </c>
      <c r="K146" s="19" t="s">
        <v>1505</v>
      </c>
      <c r="L146" s="17"/>
    </row>
    <row r="147" ht="14.25" customHeight="1">
      <c r="A147" s="18" t="str">
        <f>IFERROR(__xludf.DUMMYFUNCTION("GOOGLETRANSLATE(G147, ""th"", ""en"")"),"146")</f>
        <v>146</v>
      </c>
      <c r="B147" s="18" t="str">
        <f>IFERROR(__xludf.DUMMYFUNCTION("GOOGLETRANSLATE(H147, ""th"", ""en"")"),"Who promotes long-boat racing in Thailand?")</f>
        <v>Who promotes long-boat racing in Thailand?</v>
      </c>
      <c r="C147" s="18" t="str">
        <f>IFERROR(__xludf.DUMMYFUNCTION("GOOGLETRANSLATE(I147, ""th"", ""en"")"),"A) government; B) private company; C) aquatics association; D) school")</f>
        <v>A) government; B) private company; C) aquatics association; D) school</v>
      </c>
      <c r="D147" s="18" t="str">
        <f>IFERROR(__xludf.DUMMYFUNCTION("GOOGLETRANSLATE(J147, ""th"", ""en"")"),"A) Government")</f>
        <v>A) Government</v>
      </c>
      <c r="E147" s="18" t="str">
        <f>IFERROR(__xludf.DUMMYFUNCTION("GOOGLETRANSLATE(K147, ""th"", ""en"")"),"Longboat racing in Thailand is promoted by the government.")</f>
        <v>Longboat racing in Thailand is promoted by the government.</v>
      </c>
      <c r="G147" s="18">
        <v>146.0</v>
      </c>
      <c r="H147" s="19" t="s">
        <v>1506</v>
      </c>
      <c r="I147" s="19" t="s">
        <v>1507</v>
      </c>
      <c r="J147" s="19" t="s">
        <v>1508</v>
      </c>
      <c r="K147" s="19" t="s">
        <v>1509</v>
      </c>
      <c r="L147" s="17"/>
    </row>
    <row r="148" ht="14.25" customHeight="1">
      <c r="A148" s="18" t="str">
        <f>IFERROR(__xludf.DUMMYFUNCTION("GOOGLETRANSLATE(G148, ""th"", ""en"")"),"147")</f>
        <v>147</v>
      </c>
      <c r="B148" s="18" t="str">
        <f>IFERROR(__xludf.DUMMYFUNCTION("GOOGLETRANSLATE(H148, ""th"", ""en"")"),"When did longboat racing in Thailand begin to gain international recognition?")</f>
        <v>When did longboat racing in Thailand begin to gain international recognition?</v>
      </c>
      <c r="C148" s="18" t="str">
        <f>IFERROR(__xludf.DUMMYFUNCTION("GOOGLETRANSLATE(I148, ""th"", ""en"")"),"A) 1960; B) 1980; C) 1990; D) 2000")</f>
        <v>A) 1960; B) 1980; C) 1990; D) 2000</v>
      </c>
      <c r="D148" s="18" t="str">
        <f>IFERROR(__xludf.DUMMYFUNCTION("GOOGLETRANSLATE(J148, ""th"", ""en"")"),"C) 1990")</f>
        <v>C) 1990</v>
      </c>
      <c r="E148" s="18" t="str">
        <f>IFERROR(__xludf.DUMMYFUNCTION("GOOGLETRANSLATE(K148, ""th"", ""en"")"),"Longboat racing in Thailand began to gain international recognition in the 1990s.")</f>
        <v>Longboat racing in Thailand began to gain international recognition in the 1990s.</v>
      </c>
      <c r="G148" s="18">
        <v>147.0</v>
      </c>
      <c r="H148" s="19" t="s">
        <v>1510</v>
      </c>
      <c r="I148" s="19" t="s">
        <v>1511</v>
      </c>
      <c r="J148" s="19" t="s">
        <v>1512</v>
      </c>
      <c r="K148" s="19" t="s">
        <v>1468</v>
      </c>
      <c r="L148" s="17"/>
    </row>
    <row r="149" ht="14.25" customHeight="1">
      <c r="A149" s="18" t="str">
        <f>IFERROR(__xludf.DUMMYFUNCTION("GOOGLETRANSLATE(G149, ""th"", ""en"")"),"148")</f>
        <v>148</v>
      </c>
      <c r="B149" s="18" t="str">
        <f>IFERROR(__xludf.DUMMYFUNCTION("GOOGLETRANSLATE(H149, ""th"", ""en"")"),"When is the longboat race held in Thailand?")</f>
        <v>When is the longboat race held in Thailand?</v>
      </c>
      <c r="C149" s="18" t="str">
        <f>IFERROR(__xludf.DUMMYFUNCTION("GOOGLETRANSLATE(I149, ""th"", ""en"")"),"A) rainy season; B) summer; C) winter; D) spring")</f>
        <v>A) rainy season; B) summer; C) winter; D) spring</v>
      </c>
      <c r="D149" s="18" t="str">
        <f>IFERROR(__xludf.DUMMYFUNCTION("GOOGLETRANSLATE(J149, ""th"", ""en"")"),"A) Rainy season")</f>
        <v>A) Rainy season</v>
      </c>
      <c r="E149" s="18" t="str">
        <f>IFERROR(__xludf.DUMMYFUNCTION("GOOGLETRANSLATE(K149, ""th"", ""en"")"),"Long-boat races in Thailand are usually held during the rainy season when river levels are high.")</f>
        <v>Long-boat races in Thailand are usually held during the rainy season when river levels are high.</v>
      </c>
      <c r="G149" s="18">
        <v>148.0</v>
      </c>
      <c r="H149" s="19" t="s">
        <v>1513</v>
      </c>
      <c r="I149" s="19" t="s">
        <v>1514</v>
      </c>
      <c r="J149" s="19" t="s">
        <v>974</v>
      </c>
      <c r="K149" s="19" t="s">
        <v>1515</v>
      </c>
      <c r="L149" s="17"/>
    </row>
    <row r="150" ht="14.25" customHeight="1">
      <c r="A150" s="18" t="str">
        <f>IFERROR(__xludf.DUMMYFUNCTION("GOOGLETRANSLATE(G150, ""th"", ""en"")"),"149")</f>
        <v>149</v>
      </c>
      <c r="B150" s="18" t="str">
        <f>IFERROR(__xludf.DUMMYFUNCTION("GOOGLETRANSLATE(H150, ""th"", ""en"")"),"What equipment was used in long-boat racing during the Ayutthaya period?")</f>
        <v>What equipment was used in long-boat racing during the Ayutthaya period?</v>
      </c>
      <c r="C150" s="18" t="str">
        <f>IFERROR(__xludf.DUMMYFUNCTION("GOOGLETRANSLATE(I150, ""th"", ""en"")"),"A) wooden paddle; B) flat-bottomed wooden boat; C) iron boat; D) plastic boat")</f>
        <v>A) wooden paddle; B) flat-bottomed wooden boat; C) iron boat; D) plastic boat</v>
      </c>
      <c r="D150" s="18" t="str">
        <f>IFERROR(__xludf.DUMMYFUNCTION("GOOGLETRANSLATE(J150, ""th"", ""en"")"),"B) Flat-bottomed wooden boat")</f>
        <v>B) Flat-bottomed wooden boat</v>
      </c>
      <c r="E150" s="18" t="str">
        <f>IFERROR(__xludf.DUMMYFUNCTION("GOOGLETRANSLATE(K150, ""th"", ""en"")"),"In long-boat racing during the Ayutthaya period, flat-bottomed wooden boats were used in the races.")</f>
        <v>In long-boat racing during the Ayutthaya period, flat-bottomed wooden boats were used in the races.</v>
      </c>
      <c r="G150" s="18">
        <v>149.0</v>
      </c>
      <c r="H150" s="19" t="s">
        <v>1516</v>
      </c>
      <c r="I150" s="19" t="s">
        <v>1517</v>
      </c>
      <c r="J150" s="19" t="s">
        <v>1518</v>
      </c>
      <c r="K150" s="19" t="s">
        <v>1519</v>
      </c>
      <c r="L150" s="17"/>
    </row>
    <row r="151" ht="14.25" customHeight="1">
      <c r="A151" s="18" t="str">
        <f>IFERROR(__xludf.DUMMYFUNCTION("GOOGLETRANSLATE(G151, ""th"", ""en"")"),"150")</f>
        <v>150</v>
      </c>
      <c r="B151" s="18" t="str">
        <f>IFERROR(__xludf.DUMMYFUNCTION("GOOGLETRANSLATE(H151, ""th"", ""en"")"),"What strategies are used in long-boat racing in Thailand?")</f>
        <v>What strategies are used in long-boat racing in Thailand?</v>
      </c>
      <c r="C151" s="18" t="str">
        <f>IFERROR(__xludf.DUMMYFUNCTION("GOOGLETRANSLATE(I151, ""th"", ""en"")"),"A) alternating rowing; B) fast rowing; C) balanced rowing; D) compact rowing")</f>
        <v>A) alternating rowing; B) fast rowing; C) balanced rowing; D) compact rowing</v>
      </c>
      <c r="D151" s="18" t="str">
        <f>IFERROR(__xludf.DUMMYFUNCTION("GOOGLETRANSLATE(J151, ""th"", ""en"")"),"B) Fast rowing")</f>
        <v>B) Fast rowing</v>
      </c>
      <c r="E151" s="18" t="str">
        <f>IFERROR(__xludf.DUMMYFUNCTION("GOOGLETRANSLATE(K151, ""th"", ""en"")"),"In long-boat racing in Thailand, rowers use fast rowing strategies.")</f>
        <v>In long-boat racing in Thailand, rowers use fast rowing strategies.</v>
      </c>
      <c r="G151" s="18">
        <v>150.0</v>
      </c>
      <c r="H151" s="19" t="s">
        <v>1520</v>
      </c>
      <c r="I151" s="19" t="s">
        <v>1521</v>
      </c>
      <c r="J151" s="19" t="s">
        <v>1522</v>
      </c>
      <c r="K151" s="19" t="s">
        <v>1523</v>
      </c>
      <c r="L151" s="17"/>
    </row>
    <row r="152" ht="14.25" customHeight="1">
      <c r="A152" s="18" t="str">
        <f>IFERROR(__xludf.DUMMYFUNCTION("GOOGLETRANSLATE(G152, ""th"", ""en"")"),"151")</f>
        <v>151</v>
      </c>
      <c r="B152" s="18" t="str">
        <f>IFERROR(__xludf.DUMMYFUNCTION("GOOGLETRANSLATE(H152, ""th"", ""en"")"),"Which institution supports long-boat racing in Thailand?")</f>
        <v>Which institution supports long-boat racing in Thailand?</v>
      </c>
      <c r="C152" s="18" t="str">
        <f>IFERROR(__xludf.DUMMYFUNCTION("GOOGLETRANSLATE(I152, ""th"", ""en"")"),"A) School; B) Sports Organization of Thailand; C) National Sports Association; D) Government Organization")</f>
        <v>A) School; B) Sports Organization of Thailand; C) National Sports Association; D) Government Organization</v>
      </c>
      <c r="D152" s="18" t="str">
        <f>IFERROR(__xludf.DUMMYFUNCTION("GOOGLETRANSLATE(J152, ""th"", ""en"")"),"B) Sports Organization of Thailand")</f>
        <v>B) Sports Organization of Thailand</v>
      </c>
      <c r="E152" s="18" t="str">
        <f>IFERROR(__xludf.DUMMYFUNCTION("GOOGLETRANSLATE(K152, ""th"", ""en"")"),"Longboat racing in Thailand is supported by the Sports Authority of Thailand.")</f>
        <v>Longboat racing in Thailand is supported by the Sports Authority of Thailand.</v>
      </c>
      <c r="G152" s="18">
        <v>151.0</v>
      </c>
      <c r="H152" s="19" t="s">
        <v>1524</v>
      </c>
      <c r="I152" s="19" t="s">
        <v>1525</v>
      </c>
      <c r="J152" s="19" t="s">
        <v>1526</v>
      </c>
      <c r="K152" s="19" t="s">
        <v>1527</v>
      </c>
      <c r="L152" s="17"/>
    </row>
    <row r="153" ht="14.25" customHeight="1">
      <c r="A153" s="18" t="str">
        <f>IFERROR(__xludf.DUMMYFUNCTION("GOOGLETRANSLATE(G153, ""th"", ""en"")"),"152")</f>
        <v>152</v>
      </c>
      <c r="B153" s="18" t="str">
        <f>IFERROR(__xludf.DUMMYFUNCTION("GOOGLETRANSLATE(H153, ""th"", ""en"")"),"When did longboat racing in Thailand gain international recognition?")</f>
        <v>When did longboat racing in Thailand gain international recognition?</v>
      </c>
      <c r="C153" s="18" t="str">
        <f>IFERROR(__xludf.DUMMYFUNCTION("GOOGLETRANSLATE(I153, ""th"", ""en"")"),"A) 1970; B) 1980; C) 1990; D) 2000")</f>
        <v>A) 1970; B) 1980; C) 1990; D) 2000</v>
      </c>
      <c r="D153" s="18" t="str">
        <f>IFERROR(__xludf.DUMMYFUNCTION("GOOGLETRANSLATE(J153, ""th"", ""en"")"),"C) 1990")</f>
        <v>C) 1990</v>
      </c>
      <c r="E153" s="18" t="str">
        <f>IFERROR(__xludf.DUMMYFUNCTION("GOOGLETRANSLATE(K153, ""th"", ""en"")"),"Longboat racing in Thailand gained international recognition in the 1990s.")</f>
        <v>Longboat racing in Thailand gained international recognition in the 1990s.</v>
      </c>
      <c r="G153" s="18">
        <v>152.0</v>
      </c>
      <c r="H153" s="19" t="s">
        <v>1528</v>
      </c>
      <c r="I153" s="19" t="s">
        <v>1455</v>
      </c>
      <c r="J153" s="19" t="s">
        <v>1456</v>
      </c>
      <c r="K153" s="19" t="s">
        <v>1457</v>
      </c>
      <c r="L153" s="17"/>
    </row>
    <row r="154" ht="14.25" customHeight="1">
      <c r="A154" s="18" t="str">
        <f>IFERROR(__xludf.DUMMYFUNCTION("GOOGLETRANSLATE(G154, ""th"", ""en"")"),"153")</f>
        <v>153</v>
      </c>
      <c r="B154" s="18" t="str">
        <f>IFERROR(__xludf.DUMMYFUNCTION("GOOGLETRANSLATE(H154, ""th"", ""en"")"),"In what year did longboat racing in Thailand begin to be held on an international level?")</f>
        <v>In what year did longboat racing in Thailand begin to be held on an international level?</v>
      </c>
      <c r="C154" s="18" t="str">
        <f>IFERROR(__xludf.DUMMYFUNCTION("GOOGLETRANSLATE(I154, ""th"", ""en"")"),"A) 1970; B) 1980; C) 1990; D) 2000")</f>
        <v>A) 1970; B) 1980; C) 1990; D) 2000</v>
      </c>
      <c r="D154" s="18" t="str">
        <f>IFERROR(__xludf.DUMMYFUNCTION("GOOGLETRANSLATE(J154, ""th"", ""en"")"),"B) 1980")</f>
        <v>B) 1980</v>
      </c>
      <c r="E154" s="18" t="str">
        <f>IFERROR(__xludf.DUMMYFUNCTION("GOOGLETRANSLATE(K154, ""th"", ""en"")"),"Longboat racing in Thailand began to be held on an international level in 1980.")</f>
        <v>Longboat racing in Thailand began to be held on an international level in 1980.</v>
      </c>
      <c r="G154" s="18">
        <v>153.0</v>
      </c>
      <c r="H154" s="19" t="s">
        <v>1529</v>
      </c>
      <c r="I154" s="19" t="s">
        <v>1455</v>
      </c>
      <c r="J154" s="19" t="s">
        <v>1530</v>
      </c>
      <c r="K154" s="19" t="s">
        <v>1531</v>
      </c>
      <c r="L154" s="17"/>
    </row>
    <row r="155" ht="14.25" customHeight="1">
      <c r="A155" s="18" t="str">
        <f>IFERROR(__xludf.DUMMYFUNCTION("GOOGLETRANSLATE(G155, ""th"", ""en"")"),"154")</f>
        <v>154</v>
      </c>
      <c r="B155" s="18" t="str">
        <f>IFERROR(__xludf.DUMMYFUNCTION("GOOGLETRANSLATE(H155, ""th"", ""en"")"),"What festival is longboat racing in Thailand usually held?")</f>
        <v>What festival is longboat racing in Thailand usually held?</v>
      </c>
      <c r="C155" s="18" t="str">
        <f>IFERROR(__xludf.DUMMYFUNCTION("GOOGLETRANSLATE(I155, ""th"", ""en"")"),"A) Songkran Festival; B) Loi Krathong Festival; C) New Year Festival; D) Buddhist Lent Festival")</f>
        <v>A) Songkran Festival; B) Loi Krathong Festival; C) New Year Festival; D) Buddhist Lent Festival</v>
      </c>
      <c r="D155" s="18" t="str">
        <f>IFERROR(__xludf.DUMMYFUNCTION("GOOGLETRANSLATE(J155, ""th"", ""en"")"),"B) Loi Krathong Festival")</f>
        <v>B) Loi Krathong Festival</v>
      </c>
      <c r="E155" s="18" t="str">
        <f>IFERROR(__xludf.DUMMYFUNCTION("GOOGLETRANSLATE(K155, ""th"", ""en"")"),"Long-boat races in Thailand are often held during the Loi Krathong festival.")</f>
        <v>Long-boat races in Thailand are often held during the Loi Krathong festival.</v>
      </c>
      <c r="G155" s="18">
        <v>154.0</v>
      </c>
      <c r="H155" s="19" t="s">
        <v>1532</v>
      </c>
      <c r="I155" s="19" t="s">
        <v>1533</v>
      </c>
      <c r="J155" s="19" t="s">
        <v>1278</v>
      </c>
      <c r="K155" s="19" t="s">
        <v>1534</v>
      </c>
      <c r="L155" s="17"/>
    </row>
    <row r="156" ht="14.25" customHeight="1">
      <c r="A156" s="18" t="str">
        <f>IFERROR(__xludf.DUMMYFUNCTION("GOOGLETRANSLATE(G156, ""th"", ""en"")"),"155")</f>
        <v>155</v>
      </c>
      <c r="B156" s="18" t="str">
        <f>IFERROR(__xludf.DUMMYFUNCTION("GOOGLETRANSLATE(H156, ""th"", ""en"")"),"Who supports the longboat racing in Thailand?")</f>
        <v>Who supports the longboat racing in Thailand?</v>
      </c>
      <c r="C156" s="18" t="str">
        <f>IFERROR(__xludf.DUMMYFUNCTION("GOOGLETRANSLATE(I156, ""th"", ""en"")"),"A) Government; B) Private sector; C) Local community; D) Sports Authority of Thailand")</f>
        <v>A) Government; B) Private sector; C) Local community; D) Sports Authority of Thailand</v>
      </c>
      <c r="D156" s="18" t="str">
        <f>IFERROR(__xludf.DUMMYFUNCTION("GOOGLETRANSLATE(J156, ""th"", ""en"")"),"A) Government")</f>
        <v>A) Government</v>
      </c>
      <c r="E156" s="18" t="str">
        <f>IFERROR(__xludf.DUMMYFUNCTION("GOOGLETRANSLATE(K156, ""th"", ""en"")"),"Long-boat racing in Thailand is supported by the government.")</f>
        <v>Long-boat racing in Thailand is supported by the government.</v>
      </c>
      <c r="G156" s="18">
        <v>155.0</v>
      </c>
      <c r="H156" s="19" t="s">
        <v>1535</v>
      </c>
      <c r="I156" s="19" t="s">
        <v>1536</v>
      </c>
      <c r="J156" s="19" t="s">
        <v>1537</v>
      </c>
      <c r="K156" s="19" t="s">
        <v>1538</v>
      </c>
      <c r="L156" s="17"/>
    </row>
    <row r="157" ht="14.25" customHeight="1">
      <c r="A157" s="18" t="str">
        <f>IFERROR(__xludf.DUMMYFUNCTION("GOOGLETRANSLATE(G157, ""th"", ""en"")"),"156")</f>
        <v>156</v>
      </c>
      <c r="B157" s="18" t="str">
        <f>IFERROR(__xludf.DUMMYFUNCTION("GOOGLETRANSLATE(H157, ""th"", ""en"")"),"How did longboat racing in Thailand change its format in the 1980s?")</f>
        <v>How did longboat racing in Thailand change its format in the 1980s?</v>
      </c>
      <c r="C157" s="18" t="str">
        <f>IFERROR(__xludf.DUMMYFUNCTION("GOOGLETRANSLATE(I157, ""th"", ""en"")"),"A) The races became more international in format; B) The racing boats became larger; C) The races began to be watched on television; D) More race categories were added.")</f>
        <v>A) The races became more international in format; B) The racing boats became larger; C) The races began to be watched on television; D) More race categories were added.</v>
      </c>
      <c r="D157" s="18" t="str">
        <f>IFERROR(__xludf.DUMMYFUNCTION("GOOGLETRANSLATE(J157, ""th"", ""en"")"),"A) The competition has a more international format.")</f>
        <v>A) The competition has a more international format.</v>
      </c>
      <c r="E157" s="18" t="str">
        <f>IFERROR(__xludf.DUMMYFUNCTION("GOOGLETRANSLATE(K157, ""th"", ""en"")"),"Longboat racing in Thailand in the 1980s was modified to become more international.")</f>
        <v>Longboat racing in Thailand in the 1980s was modified to become more international.</v>
      </c>
      <c r="G157" s="18">
        <v>156.0</v>
      </c>
      <c r="H157" s="19" t="s">
        <v>1539</v>
      </c>
      <c r="I157" s="19" t="s">
        <v>1540</v>
      </c>
      <c r="J157" s="19" t="s">
        <v>1541</v>
      </c>
      <c r="K157" s="19" t="s">
        <v>1542</v>
      </c>
      <c r="L157" s="17"/>
    </row>
    <row r="158" ht="14.25" customHeight="1">
      <c r="A158" s="18" t="str">
        <f>IFERROR(__xludf.DUMMYFUNCTION("GOOGLETRANSLATE(G158, ""th"", ""en"")"),"157")</f>
        <v>157</v>
      </c>
      <c r="B158" s="18" t="str">
        <f>IFERROR(__xludf.DUMMYFUNCTION("GOOGLETRANSLATE(H158, ""th"", ""en"")"),"What is the longest distance a longboat race has ever been held in Thailand?")</f>
        <v>What is the longest distance a longboat race has ever been held in Thailand?</v>
      </c>
      <c r="C158" s="18" t="str">
        <f>IFERROR(__xludf.DUMMYFUNCTION("GOOGLETRANSLATE(I158, ""th"", ""en"")"),"A) 5 kilometers; B) 10 kilometers; C) 15 kilometers; D) 20 kilometers")</f>
        <v>A) 5 kilometers; B) 10 kilometers; C) 15 kilometers; D) 20 kilometers</v>
      </c>
      <c r="D158" s="18" t="str">
        <f>IFERROR(__xludf.DUMMYFUNCTION("GOOGLETRANSLATE(J158, ""th"", ""en"")"),"B) 10 kilometers")</f>
        <v>B) 10 kilometers</v>
      </c>
      <c r="E158" s="18" t="str">
        <f>IFERROR(__xludf.DUMMYFUNCTION("GOOGLETRANSLATE(K158, ""th"", ""en"")"),"In long-boat racing in Thailand, the longest race used to be 10 kilometers.")</f>
        <v>In long-boat racing in Thailand, the longest race used to be 10 kilometers.</v>
      </c>
      <c r="G158" s="18">
        <v>157.0</v>
      </c>
      <c r="H158" s="19" t="s">
        <v>1543</v>
      </c>
      <c r="I158" s="19" t="s">
        <v>1544</v>
      </c>
      <c r="J158" s="19" t="s">
        <v>1545</v>
      </c>
      <c r="K158" s="19" t="s">
        <v>1546</v>
      </c>
      <c r="L158" s="17"/>
    </row>
    <row r="159" ht="14.25" customHeight="1">
      <c r="A159" s="18" t="str">
        <f>IFERROR(__xludf.DUMMYFUNCTION("GOOGLETRANSLATE(G159, ""th"", ""en"")"),"158")</f>
        <v>158</v>
      </c>
      <c r="B159" s="18" t="str">
        <f>IFERROR(__xludf.DUMMYFUNCTION("GOOGLETRANSLATE(H159, ""th"", ""en"")"),"How many teams usually compete in longboat races in Thailand?")</f>
        <v>How many teams usually compete in longboat races in Thailand?</v>
      </c>
      <c r="C159" s="18" t="str">
        <f>IFERROR(__xludf.DUMMYFUNCTION("GOOGLETRANSLATE(I159, ""th"", ""en"")"),"A) 5 teams; B) 10 teams; C) 15 teams; D) 20 teams")</f>
        <v>A) 5 teams; B) 10 teams; C) 15 teams; D) 20 teams</v>
      </c>
      <c r="D159" s="18" t="str">
        <f>IFERROR(__xludf.DUMMYFUNCTION("GOOGLETRANSLATE(J159, ""th"", ""en"")"),"B) 10 teams")</f>
        <v>B) 10 teams</v>
      </c>
      <c r="E159" s="18" t="str">
        <f>IFERROR(__xludf.DUMMYFUNCTION("GOOGLETRANSLATE(K159, ""th"", ""en"")"),"In long-boat racing in Thailand, there are usually about 10 teams competing.")</f>
        <v>In long-boat racing in Thailand, there are usually about 10 teams competing.</v>
      </c>
      <c r="G159" s="18">
        <v>158.0</v>
      </c>
      <c r="H159" s="19" t="s">
        <v>1547</v>
      </c>
      <c r="I159" s="19" t="s">
        <v>1548</v>
      </c>
      <c r="J159" s="19" t="s">
        <v>1549</v>
      </c>
      <c r="K159" s="19" t="s">
        <v>1550</v>
      </c>
      <c r="L159" s="17"/>
    </row>
    <row r="160" ht="14.25" customHeight="1">
      <c r="A160" s="18" t="str">
        <f>IFERROR(__xludf.DUMMYFUNCTION("GOOGLETRANSLATE(G160, ""th"", ""en"")"),"159")</f>
        <v>159</v>
      </c>
      <c r="B160" s="18" t="str">
        <f>IFERROR(__xludf.DUMMYFUNCTION("GOOGLETRANSLATE(H160, ""th"", ""en"")"),"When did longboat racing in Thailand begin to gain international popularity?")</f>
        <v>When did longboat racing in Thailand begin to gain international popularity?</v>
      </c>
      <c r="C160" s="18" t="str">
        <f>IFERROR(__xludf.DUMMYFUNCTION("GOOGLETRANSLATE(I160, ""th"", ""en"")"),"A) 1980; B) 1990; C) 2000; D) 2010")</f>
        <v>A) 1980; B) 1990; C) 2000; D) 2010</v>
      </c>
      <c r="D160" s="18" t="str">
        <f>IFERROR(__xludf.DUMMYFUNCTION("GOOGLETRANSLATE(J160, ""th"", ""en"")"),"B) 1990")</f>
        <v>B) 1990</v>
      </c>
      <c r="E160" s="18" t="str">
        <f>IFERROR(__xludf.DUMMYFUNCTION("GOOGLETRANSLATE(K160, ""th"", ""en"")"),"Longboat racing in Thailand began to gain international popularity in the 1990s.")</f>
        <v>Longboat racing in Thailand began to gain international popularity in the 1990s.</v>
      </c>
      <c r="G160" s="18">
        <v>159.0</v>
      </c>
      <c r="H160" s="19" t="s">
        <v>1551</v>
      </c>
      <c r="I160" s="19" t="s">
        <v>1339</v>
      </c>
      <c r="J160" s="19" t="s">
        <v>1340</v>
      </c>
      <c r="K160" s="19" t="s">
        <v>1552</v>
      </c>
      <c r="L160" s="17"/>
    </row>
    <row r="161" ht="14.25" customHeight="1">
      <c r="A161" s="18" t="str">
        <f>IFERROR(__xludf.DUMMYFUNCTION("GOOGLETRANSLATE(G161, ""th"", ""en"")"),"160")</f>
        <v>160</v>
      </c>
      <c r="B161" s="18" t="str">
        <f>IFERROR(__xludf.DUMMYFUNCTION("GOOGLETRANSLATE(H161, ""th"", ""en"")"),"Does longboat racing in Thailand use technology to manage the competition?")</f>
        <v>Does longboat racing in Thailand use technology to manage the competition?</v>
      </c>
      <c r="C161" s="18" t="str">
        <f>IFERROR(__xludf.DUMMYFUNCTION("GOOGLETRANSLATE(I161, ""th"", ""en"")"),"A) use; B) not use; C) use sometimes; D) use when necessary")</f>
        <v>A) use; B) not use; C) use sometimes; D) use when necessary</v>
      </c>
      <c r="D161" s="18" t="str">
        <f>IFERROR(__xludf.DUMMYFUNCTION("GOOGLETRANSLATE(J161, ""th"", ""en"")"),"A) Use")</f>
        <v>A) Use</v>
      </c>
      <c r="E161" s="18" t="str">
        <f>IFERROR(__xludf.DUMMYFUNCTION("GOOGLETRANSLATE(K161, ""th"", ""en"")"),"Longboat racing in Thailand uses technology to organize the competition.")</f>
        <v>Longboat racing in Thailand uses technology to organize the competition.</v>
      </c>
      <c r="G161" s="18">
        <v>160.0</v>
      </c>
      <c r="H161" s="19" t="s">
        <v>1553</v>
      </c>
      <c r="I161" s="19" t="s">
        <v>1554</v>
      </c>
      <c r="J161" s="19" t="s">
        <v>1396</v>
      </c>
      <c r="K161" s="19" t="s">
        <v>1555</v>
      </c>
      <c r="L161" s="17"/>
    </row>
    <row r="162" ht="14.25" customHeight="1">
      <c r="A162" s="18" t="str">
        <f>IFERROR(__xludf.DUMMYFUNCTION("GOOGLETRANSLATE(G162, ""th"", ""en"")"),"161")</f>
        <v>161</v>
      </c>
      <c r="B162" s="18" t="str">
        <f>IFERROR(__xludf.DUMMYFUNCTION("GOOGLETRANSLATE(H162, ""th"", ""en"")"),"In which festival are longboat races held most often in Thailand?")</f>
        <v>In which festival are longboat races held most often in Thailand?</v>
      </c>
      <c r="C162" s="18" t="str">
        <f>IFERROR(__xludf.DUMMYFUNCTION("GOOGLETRANSLATE(I162, ""th"", ""en"")"),"A) Songkran Festival; B) Loi Krathong Festival; C) Buddhist Lent Festival; D) New Year Festival")</f>
        <v>A) Songkran Festival; B) Loi Krathong Festival; C) Buddhist Lent Festival; D) New Year Festival</v>
      </c>
      <c r="D162" s="18" t="str">
        <f>IFERROR(__xludf.DUMMYFUNCTION("GOOGLETRANSLATE(J162, ""th"", ""en"")"),"B) Loi Krathong Festival")</f>
        <v>B) Loi Krathong Festival</v>
      </c>
      <c r="E162" s="18" t="str">
        <f>IFERROR(__xludf.DUMMYFUNCTION("GOOGLETRANSLATE(K162, ""th"", ""en"")"),"Long-boat racing in Thailand is most often held during the Loi Krathong festival.")</f>
        <v>Long-boat racing in Thailand is most often held during the Loi Krathong festival.</v>
      </c>
      <c r="G162" s="18">
        <v>161.0</v>
      </c>
      <c r="H162" s="19" t="s">
        <v>1556</v>
      </c>
      <c r="I162" s="19" t="s">
        <v>1557</v>
      </c>
      <c r="J162" s="19" t="s">
        <v>1278</v>
      </c>
      <c r="K162" s="19" t="s">
        <v>1558</v>
      </c>
      <c r="L162" s="17"/>
    </row>
    <row r="163" ht="14.25" customHeight="1">
      <c r="A163" s="18" t="str">
        <f>IFERROR(__xludf.DUMMYFUNCTION("GOOGLETRANSLATE(G163, ""th"", ""en"")"),"162")</f>
        <v>162</v>
      </c>
      <c r="B163" s="18" t="str">
        <f>IFERROR(__xludf.DUMMYFUNCTION("GOOGLETRANSLATE(H163, ""th"", ""en"")"),"In long-boat racing in Thailand, what material are the boats mostly used in the competition made of?")</f>
        <v>In long-boat racing in Thailand, what material are the boats mostly used in the competition made of?</v>
      </c>
      <c r="C163" s="18" t="str">
        <f>IFERROR(__xludf.DUMMYFUNCTION("GOOGLETRANSLATE(I163, ""th"", ""en"")"),"A) wood; B) plastic; C) steel; D) aluminum")</f>
        <v>A) wood; B) plastic; C) steel; D) aluminum</v>
      </c>
      <c r="D163" s="18" t="str">
        <f>IFERROR(__xludf.DUMMYFUNCTION("GOOGLETRANSLATE(J163, ""th"", ""en"")"),"A) Wood")</f>
        <v>A) Wood</v>
      </c>
      <c r="E163" s="18" t="str">
        <f>IFERROR(__xludf.DUMMYFUNCTION("GOOGLETRANSLATE(K163, ""th"", ""en"")"),"Most boats used in long-boat racing in Thailand are made of wood.")</f>
        <v>Most boats used in long-boat racing in Thailand are made of wood.</v>
      </c>
      <c r="G163" s="18">
        <v>162.0</v>
      </c>
      <c r="H163" s="19" t="s">
        <v>1559</v>
      </c>
      <c r="I163" s="19" t="s">
        <v>1560</v>
      </c>
      <c r="J163" s="19" t="s">
        <v>982</v>
      </c>
      <c r="K163" s="19" t="s">
        <v>1561</v>
      </c>
      <c r="L163" s="17"/>
    </row>
    <row r="164" ht="14.25" customHeight="1">
      <c r="A164" s="18" t="str">
        <f>IFERROR(__xludf.DUMMYFUNCTION("GOOGLETRANSLATE(G164, ""th"", ""en"")"),"163")</f>
        <v>163</v>
      </c>
      <c r="B164" s="18" t="str">
        <f>IFERROR(__xludf.DUMMYFUNCTION("GOOGLETRANSLATE(H164, ""th"", ""en"")"),"When did long-boat racing in Thailand begin to gain popularity?")</f>
        <v>When did long-boat racing in Thailand begin to gain popularity?</v>
      </c>
      <c r="C164" s="18" t="str">
        <f>IFERROR(__xludf.DUMMYFUNCTION("GOOGLETRANSLATE(I164, ""th"", ""en"")"),"A) Sukhothai period; B) Ayutthaya period; C) Rattanakosin period; D) Thonburi period")</f>
        <v>A) Sukhothai period; B) Ayutthaya period; C) Rattanakosin period; D) Thonburi period</v>
      </c>
      <c r="D164" s="18" t="str">
        <f>IFERROR(__xludf.DUMMYFUNCTION("GOOGLETRANSLATE(J164, ""th"", ""en"")"),"B) Ayutthaya period")</f>
        <v>B) Ayutthaya period</v>
      </c>
      <c r="E164" s="18" t="str">
        <f>IFERROR(__xludf.DUMMYFUNCTION("GOOGLETRANSLATE(K164, ""th"", ""en"")"),"Long-boat racing in Thailand began to gain popularity during the Ayutthaya period.")</f>
        <v>Long-boat racing in Thailand began to gain popularity during the Ayutthaya period.</v>
      </c>
      <c r="G164" s="18">
        <v>163.0</v>
      </c>
      <c r="H164" s="19" t="s">
        <v>1562</v>
      </c>
      <c r="I164" s="19" t="s">
        <v>1496</v>
      </c>
      <c r="J164" s="19" t="s">
        <v>1497</v>
      </c>
      <c r="K164" s="19" t="s">
        <v>1498</v>
      </c>
      <c r="L164" s="17"/>
    </row>
    <row r="165" ht="14.25" customHeight="1">
      <c r="A165" s="18" t="str">
        <f>IFERROR(__xludf.DUMMYFUNCTION("GOOGLETRANSLATE(G165, ""th"", ""en"")"),"164")</f>
        <v>164</v>
      </c>
      <c r="B165" s="18" t="str">
        <f>IFERROR(__xludf.DUMMYFUNCTION("GOOGLETRANSLATE(H165, ""th"", ""en"")"),"In which river are long-boat races usually held in Thailand?")</f>
        <v>In which river are long-boat races usually held in Thailand?</v>
      </c>
      <c r="C165" s="18" t="str">
        <f>IFERROR(__xludf.DUMMYFUNCTION("GOOGLETRANSLATE(I165, ""th"", ""en"")"),"A) Chao Phraya River; B) Mekong River; C) Mae Klong River; D) Pa Sak River")</f>
        <v>A) Chao Phraya River; B) Mekong River; C) Mae Klong River; D) Pa Sak River</v>
      </c>
      <c r="D165" s="18" t="str">
        <f>IFERROR(__xludf.DUMMYFUNCTION("GOOGLETRANSLATE(J165, ""th"", ""en"")"),"A) Chao Phraya River")</f>
        <v>A) Chao Phraya River</v>
      </c>
      <c r="E165" s="18" t="str">
        <f>IFERROR(__xludf.DUMMYFUNCTION("GOOGLETRANSLATE(K165, ""th"", ""en"")"),"Long-boat races in Thailand are usually held on the Chao Phraya River.")</f>
        <v>Long-boat races in Thailand are usually held on the Chao Phraya River.</v>
      </c>
      <c r="G165" s="18">
        <v>164.0</v>
      </c>
      <c r="H165" s="19" t="s">
        <v>1563</v>
      </c>
      <c r="I165" s="19" t="s">
        <v>1564</v>
      </c>
      <c r="J165" s="19" t="s">
        <v>994</v>
      </c>
      <c r="K165" s="19" t="s">
        <v>1565</v>
      </c>
      <c r="L165" s="17"/>
    </row>
    <row r="166" ht="14.25" customHeight="1">
      <c r="A166" s="18" t="str">
        <f>IFERROR(__xludf.DUMMYFUNCTION("GOOGLETRANSLATE(G166, ""th"", ""en"")"),"165")</f>
        <v>165</v>
      </c>
      <c r="B166" s="18" t="str">
        <f>IFERROR(__xludf.DUMMYFUNCTION("GOOGLETRANSLATE(H166, ""th"", ""en"")"),"When did long-boat racing in Thailand begin as a military exercise?")</f>
        <v>When did long-boat racing in Thailand begin as a military exercise?</v>
      </c>
      <c r="C166" s="18" t="str">
        <f>IFERROR(__xludf.DUMMYFUNCTION("GOOGLETRANSLATE(I166, ""th"", ""en"")"),"A) Sukhothai period; B) Ayutthaya period; C) Rattanakosin period; D) Thonburi period")</f>
        <v>A) Sukhothai period; B) Ayutthaya period; C) Rattanakosin period; D) Thonburi period</v>
      </c>
      <c r="D166" s="18" t="str">
        <f>IFERROR(__xludf.DUMMYFUNCTION("GOOGLETRANSLATE(J166, ""th"", ""en"")"),"B) Ayutthaya period")</f>
        <v>B) Ayutthaya period</v>
      </c>
      <c r="E166" s="18" t="str">
        <f>IFERROR(__xludf.DUMMYFUNCTION("GOOGLETRANSLATE(K166, ""th"", ""en"")"),"Military training in the Ayutthaya period was the beginning of long-boat racing.")</f>
        <v>Military training in the Ayutthaya period was the beginning of long-boat racing.</v>
      </c>
      <c r="G166" s="18">
        <v>165.0</v>
      </c>
      <c r="H166" s="19" t="s">
        <v>1566</v>
      </c>
      <c r="I166" s="19" t="s">
        <v>1496</v>
      </c>
      <c r="J166" s="19" t="s">
        <v>1497</v>
      </c>
      <c r="K166" s="19" t="s">
        <v>1567</v>
      </c>
      <c r="L166" s="17"/>
    </row>
    <row r="167" ht="14.25" customHeight="1">
      <c r="A167" s="18" t="str">
        <f>IFERROR(__xludf.DUMMYFUNCTION("GOOGLETRANSLATE(G167, ""th"", ""en"")"),"166")</f>
        <v>166</v>
      </c>
      <c r="B167" s="18" t="str">
        <f>IFERROR(__xludf.DUMMYFUNCTION("GOOGLETRANSLATE(H167, ""th"", ""en"")"),"Who initially supported long-boat racing in Thailand?")</f>
        <v>Who initially supported long-boat racing in Thailand?</v>
      </c>
      <c r="C167" s="18" t="str">
        <f>IFERROR(__xludf.DUMMYFUNCTION("GOOGLETRANSLATE(I167, ""th"", ""en"")"),"A) Royal family; B) Villagers; C) Military; D) Sports Authority of Thailand")</f>
        <v>A) Royal family; B) Villagers; C) Military; D) Sports Authority of Thailand</v>
      </c>
      <c r="D167" s="18" t="str">
        <f>IFERROR(__xludf.DUMMYFUNCTION("GOOGLETRANSLATE(J167, ""th"", ""en"")"),"A) Royal family")</f>
        <v>A) Royal family</v>
      </c>
      <c r="E167" s="18" t="str">
        <f>IFERROR(__xludf.DUMMYFUNCTION("GOOGLETRANSLATE(K167, ""th"", ""en"")"),"Long-boat racing in Thailand was initially supported by the royal family.")</f>
        <v>Long-boat racing in Thailand was initially supported by the royal family.</v>
      </c>
      <c r="G167" s="18">
        <v>166.0</v>
      </c>
      <c r="H167" s="19" t="s">
        <v>1568</v>
      </c>
      <c r="I167" s="19" t="s">
        <v>1569</v>
      </c>
      <c r="J167" s="19" t="s">
        <v>1570</v>
      </c>
      <c r="K167" s="19" t="s">
        <v>1571</v>
      </c>
      <c r="L167" s="17"/>
    </row>
    <row r="168" ht="14.25" customHeight="1">
      <c r="A168" s="18" t="str">
        <f>IFERROR(__xludf.DUMMYFUNCTION("GOOGLETRANSLATE(G168, ""th"", ""en"")"),"167")</f>
        <v>167</v>
      </c>
      <c r="B168" s="18" t="str">
        <f>IFERROR(__xludf.DUMMYFUNCTION("GOOGLETRANSLATE(H168, ""th"", ""en"")"),"What type of boats were used in long-boat races during the Ayutthaya period?")</f>
        <v>What type of boats were used in long-boat races during the Ayutthaya period?</v>
      </c>
      <c r="C168" s="18" t="str">
        <f>IFERROR(__xludf.DUMMYFUNCTION("GOOGLETRANSLATE(I168, ""th"", ""en"")"),"A) flat-bottomed boat; B) long-tailed boat; C) long-tailed boat; D) speedboat")</f>
        <v>A) flat-bottomed boat; B) long-tailed boat; C) long-tailed boat; D) speedboat</v>
      </c>
      <c r="D168" s="18" t="str">
        <f>IFERROR(__xludf.DUMMYFUNCTION("GOOGLETRANSLATE(J168, ""th"", ""en"")"),"A) Flat-bottomed boat")</f>
        <v>A) Flat-bottomed boat</v>
      </c>
      <c r="E168" s="18" t="str">
        <f>IFERROR(__xludf.DUMMYFUNCTION("GOOGLETRANSLATE(K168, ""th"", ""en"")"),"In long-boat racing during the Ayutthaya period, flat-bottomed boats were used.")</f>
        <v>In long-boat racing during the Ayutthaya period, flat-bottomed boats were used.</v>
      </c>
      <c r="G168" s="18">
        <v>167.0</v>
      </c>
      <c r="H168" s="19" t="s">
        <v>1572</v>
      </c>
      <c r="I168" s="19" t="s">
        <v>1573</v>
      </c>
      <c r="J168" s="19" t="s">
        <v>1388</v>
      </c>
      <c r="K168" s="19" t="s">
        <v>1574</v>
      </c>
      <c r="L168" s="17"/>
    </row>
    <row r="169" ht="14.25" customHeight="1">
      <c r="A169" s="18" t="str">
        <f>IFERROR(__xludf.DUMMYFUNCTION("GOOGLETRANSLATE(G169, ""th"", ""en"")"),"168")</f>
        <v>168</v>
      </c>
      <c r="B169" s="18" t="str">
        <f>IFERROR(__xludf.DUMMYFUNCTION("GOOGLETRANSLATE(H169, ""th"", ""en"")"),"When did long-boat racing in Thailand begin to gain popularity among tourists?")</f>
        <v>When did long-boat racing in Thailand begin to gain popularity among tourists?</v>
      </c>
      <c r="C169" s="18" t="str">
        <f>IFERROR(__xludf.DUMMYFUNCTION("GOOGLETRANSLATE(I169, ""th"", ""en"")"),"A) 1960s; B) 1970s; C) 1980s; D) 1990s")</f>
        <v>A) 1960s; B) 1970s; C) 1980s; D) 1990s</v>
      </c>
      <c r="D169" s="18" t="str">
        <f>IFERROR(__xludf.DUMMYFUNCTION("GOOGLETRANSLATE(J169, ""th"", ""en"")"),"C) 1980")</f>
        <v>C) 1980</v>
      </c>
      <c r="E169" s="18" t="str">
        <f>IFERROR(__xludf.DUMMYFUNCTION("GOOGLETRANSLATE(K169, ""th"", ""en"")"),"Long-boat racing in Thailand began to gain popularity among tourists in the 1980s.")</f>
        <v>Long-boat racing in Thailand began to gain popularity among tourists in the 1980s.</v>
      </c>
      <c r="G169" s="18">
        <v>168.0</v>
      </c>
      <c r="H169" s="19" t="s">
        <v>1575</v>
      </c>
      <c r="I169" s="19" t="s">
        <v>1576</v>
      </c>
      <c r="J169" s="19" t="s">
        <v>1577</v>
      </c>
      <c r="K169" s="19" t="s">
        <v>1578</v>
      </c>
      <c r="L169" s="17"/>
    </row>
    <row r="170" ht="14.25" customHeight="1">
      <c r="A170" s="18" t="str">
        <f>IFERROR(__xludf.DUMMYFUNCTION("GOOGLETRANSLATE(G170, ""th"", ""en"")"),"169")</f>
        <v>169</v>
      </c>
      <c r="B170" s="18" t="str">
        <f>IFERROR(__xludf.DUMMYFUNCTION("GOOGLETRANSLATE(H170, ""th"", ""en"")"),"Since when has long-boat racing in Thailand been held annually?")</f>
        <v>Since when has long-boat racing in Thailand been held annually?</v>
      </c>
      <c r="C170" s="18" t="str">
        <f>IFERROR(__xludf.DUMMYFUNCTION("GOOGLETRANSLATE(I170, ""th"", ""en"")"),"A) 1900; B) 1920; C) 1930; D) 1940")</f>
        <v>A) 1900; B) 1920; C) 1930; D) 1940</v>
      </c>
      <c r="D170" s="18" t="str">
        <f>IFERROR(__xludf.DUMMYFUNCTION("GOOGLETRANSLATE(J170, ""th"", ""en"")"),"C) 1930")</f>
        <v>C) 1930</v>
      </c>
      <c r="E170" s="18" t="str">
        <f>IFERROR(__xludf.DUMMYFUNCTION("GOOGLETRANSLATE(K170, ""th"", ""en"")"),"Long-boat racing in Thailand has been held annually since 1930.")</f>
        <v>Long-boat racing in Thailand has been held annually since 1930.</v>
      </c>
      <c r="G170" s="18">
        <v>169.0</v>
      </c>
      <c r="H170" s="19" t="s">
        <v>1579</v>
      </c>
      <c r="I170" s="19" t="s">
        <v>1580</v>
      </c>
      <c r="J170" s="19" t="s">
        <v>1581</v>
      </c>
      <c r="K170" s="19" t="s">
        <v>1582</v>
      </c>
      <c r="L170" s="17"/>
    </row>
    <row r="171" ht="14.25" customHeight="1">
      <c r="A171" s="18" t="str">
        <f>IFERROR(__xludf.DUMMYFUNCTION("GOOGLETRANSLATE(G171, ""th"", ""en"")"),"170")</f>
        <v>170</v>
      </c>
      <c r="B171" s="18" t="str">
        <f>IFERROR(__xludf.DUMMYFUNCTION("GOOGLETRANSLATE(H171, ""th"", ""en"")"),"How long do competitors usually have to train in long-boat races in Thailand?")</f>
        <v>How long do competitors usually have to train in long-boat races in Thailand?</v>
      </c>
      <c r="C171" s="18" t="str">
        <f>IFERROR(__xludf.DUMMYFUNCTION("GOOGLETRANSLATE(I171, ""th"", ""en"")"),"A) 1 month; B) 3 months; C) 6 months; D) 1 year")</f>
        <v>A) 1 month; B) 3 months; C) 6 months; D) 1 year</v>
      </c>
      <c r="D171" s="18" t="str">
        <f>IFERROR(__xludf.DUMMYFUNCTION("GOOGLETRANSLATE(J171, ""th"", ""en"")"),"B) 3 months")</f>
        <v>B) 3 months</v>
      </c>
      <c r="E171" s="18" t="str">
        <f>IFERROR(__xludf.DUMMYFUNCTION("GOOGLETRANSLATE(K171, ""th"", ""en"")"),"Competitors in long-boat races usually have to train for at least three months.")</f>
        <v>Competitors in long-boat races usually have to train for at least three months.</v>
      </c>
      <c r="G171" s="18">
        <v>170.0</v>
      </c>
      <c r="H171" s="19" t="s">
        <v>1583</v>
      </c>
      <c r="I171" s="19" t="s">
        <v>1584</v>
      </c>
      <c r="J171" s="19" t="s">
        <v>1585</v>
      </c>
      <c r="K171" s="19" t="s">
        <v>1586</v>
      </c>
      <c r="L171" s="17"/>
    </row>
    <row r="172" ht="14.25" customHeight="1">
      <c r="A172" s="18" t="str">
        <f>IFERROR(__xludf.DUMMYFUNCTION("GOOGLETRANSLATE(G172, ""th"", ""en"")"),"171")</f>
        <v>171</v>
      </c>
      <c r="B172" s="18" t="str">
        <f>IFERROR(__xludf.DUMMYFUNCTION("GOOGLETRANSLATE(H172, ""th"", ""en"")"),"How has longboat racing in Thailand changed in the 2000s?")</f>
        <v>How has longboat racing in Thailand changed in the 2000s?</v>
      </c>
      <c r="C172" s="18" t="str">
        <f>IFERROR(__xludf.DUMMYFUNCTION("GOOGLETRANSLATE(I172, ""th"", ""en"")"),"A) Racing began using modern technology; B) More race categories were added; C) Racing began to be televised; D) Racing boats began to be modified.")</f>
        <v>A) Racing began using modern technology; B) More race categories were added; C) Racing began to be televised; D) Racing boats began to be modified.</v>
      </c>
      <c r="D172" s="18" t="str">
        <f>IFERROR(__xludf.DUMMYFUNCTION("GOOGLETRANSLATE(J172, ""th"", ""en"")"),"C) The competition began to be broadcast live on television.")</f>
        <v>C) The competition began to be broadcast live on television.</v>
      </c>
      <c r="E172" s="18" t="str">
        <f>IFERROR(__xludf.DUMMYFUNCTION("GOOGLETRANSLATE(K172, ""th"", ""en"")"),"In the 2000s, long-boat races in Thailand were broadcast live on television.")</f>
        <v>In the 2000s, long-boat races in Thailand were broadcast live on television.</v>
      </c>
      <c r="G172" s="18">
        <v>171.0</v>
      </c>
      <c r="H172" s="19" t="s">
        <v>1587</v>
      </c>
      <c r="I172" s="19" t="s">
        <v>1588</v>
      </c>
      <c r="J172" s="19" t="s">
        <v>1589</v>
      </c>
      <c r="K172" s="19" t="s">
        <v>1590</v>
      </c>
      <c r="L172" s="17"/>
    </row>
    <row r="173" ht="14.25" customHeight="1">
      <c r="A173" s="18" t="str">
        <f>IFERROR(__xludf.DUMMYFUNCTION("GOOGLETRANSLATE(G173, ""th"", ""en"")"),"172")</f>
        <v>172</v>
      </c>
      <c r="B173" s="18" t="str">
        <f>IFERROR(__xludf.DUMMYFUNCTION("GOOGLETRANSLATE(H173, ""th"", ""en"")"),"In what month are long-boat races usually held in Thailand?")</f>
        <v>In what month are long-boat races usually held in Thailand?</v>
      </c>
      <c r="C173" s="18" t="str">
        <f>IFERROR(__xludf.DUMMYFUNCTION("GOOGLETRANSLATE(I173, ""th"", ""en"")"),"A) January-February; B) April-May; C) August-October; D) November-December")</f>
        <v>A) January-February; B) April-May; C) August-October; D) November-December</v>
      </c>
      <c r="D173" s="18" t="str">
        <f>IFERROR(__xludf.DUMMYFUNCTION("GOOGLETRANSLATE(J173, ""th"", ""en"")"),"C) August-October")</f>
        <v>C) August-October</v>
      </c>
      <c r="E173" s="18" t="str">
        <f>IFERROR(__xludf.DUMMYFUNCTION("GOOGLETRANSLATE(K173, ""th"", ""en"")"),"Long-boat races in Thailand are usually held from August to October.")</f>
        <v>Long-boat races in Thailand are usually held from August to October.</v>
      </c>
      <c r="G173" s="18">
        <v>172.0</v>
      </c>
      <c r="H173" s="19" t="s">
        <v>1591</v>
      </c>
      <c r="I173" s="19" t="s">
        <v>1592</v>
      </c>
      <c r="J173" s="19" t="s">
        <v>1593</v>
      </c>
      <c r="K173" s="19" t="s">
        <v>1594</v>
      </c>
      <c r="L173" s="17"/>
    </row>
    <row r="174" ht="14.25" customHeight="1">
      <c r="A174" s="18" t="str">
        <f>IFERROR(__xludf.DUMMYFUNCTION("GOOGLETRANSLATE(G174, ""th"", ""en"")"),"173")</f>
        <v>173</v>
      </c>
      <c r="B174" s="18" t="str">
        <f>IFERROR(__xludf.DUMMYFUNCTION("GOOGLETRANSLATE(H174, ""th"", ""en"")"),"What level of competition are longboat races held in Thailand?")</f>
        <v>What level of competition are longboat races held in Thailand?</v>
      </c>
      <c r="C174" s="18" t="str">
        <f>IFERROR(__xludf.DUMMYFUNCTION("GOOGLETRANSLATE(I174, ""th"", ""en"")"),"A) local level; B) national level; C) international level; D) all")</f>
        <v>A) local level; B) national level; C) international level; D) all</v>
      </c>
      <c r="D174" s="18" t="str">
        <f>IFERROR(__xludf.DUMMYFUNCTION("GOOGLETRANSLATE(J174, ""th"", ""en"")"),"A) Local level")</f>
        <v>A) Local level</v>
      </c>
      <c r="E174" s="18" t="str">
        <f>IFERROR(__xludf.DUMMYFUNCTION("GOOGLETRANSLATE(K174, ""th"", ""en"")"),"Longboat racing in Thailand is organized at the local level.")</f>
        <v>Longboat racing in Thailand is organized at the local level.</v>
      </c>
      <c r="G174" s="18">
        <v>173.0</v>
      </c>
      <c r="H174" s="19" t="s">
        <v>1595</v>
      </c>
      <c r="I174" s="19" t="s">
        <v>1596</v>
      </c>
      <c r="J174" s="19" t="s">
        <v>1597</v>
      </c>
      <c r="K174" s="19" t="s">
        <v>1598</v>
      </c>
      <c r="L174" s="17"/>
    </row>
    <row r="175" ht="14.25" customHeight="1">
      <c r="A175" s="18" t="str">
        <f>IFERROR(__xludf.DUMMYFUNCTION("GOOGLETRANSLATE(G175, ""th"", ""en"")"),"174")</f>
        <v>174</v>
      </c>
      <c r="B175" s="18" t="str">
        <f>IFERROR(__xludf.DUMMYFUNCTION("GOOGLETRANSLATE(H175, ""th"", ""en"")"),"How did long-boat racing develop during the Rattanakosin period?")</f>
        <v>How did long-boat racing develop during the Rattanakosin period?</v>
      </c>
      <c r="C175" s="18" t="str">
        <f>IFERROR(__xludf.DUMMYFUNCTION("GOOGLETRANSLATE(I175, ""th"", ""en"")"),"A) The number of competing teams increased; B) New technology was introduced; C) Larger tournaments began to be held; D) The tournament's rules were significantly modified.")</f>
        <v>A) The number of competing teams increased; B) New technology was introduced; C) Larger tournaments began to be held; D) The tournament's rules were significantly modified.</v>
      </c>
      <c r="D175" s="18" t="str">
        <f>IFERROR(__xludf.DUMMYFUNCTION("GOOGLETRANSLATE(J175, ""th"", ""en"")"),"C) Bigger competitions began to be organized.")</f>
        <v>C) Bigger competitions began to be organized.</v>
      </c>
      <c r="E175" s="18" t="str">
        <f>IFERROR(__xludf.DUMMYFUNCTION("GOOGLETRANSLATE(K175, ""th"", ""en"")"),"Long boat racing in the Rattanakosin period began to be organized on a larger scale.")</f>
        <v>Long boat racing in the Rattanakosin period began to be organized on a larger scale.</v>
      </c>
      <c r="G175" s="18">
        <v>174.0</v>
      </c>
      <c r="H175" s="19" t="s">
        <v>1599</v>
      </c>
      <c r="I175" s="19" t="s">
        <v>1600</v>
      </c>
      <c r="J175" s="19" t="s">
        <v>1601</v>
      </c>
      <c r="K175" s="19" t="s">
        <v>1602</v>
      </c>
      <c r="L175" s="17"/>
    </row>
    <row r="176" ht="14.25" customHeight="1">
      <c r="A176" s="18" t="str">
        <f>IFERROR(__xludf.DUMMYFUNCTION("GOOGLETRANSLATE(G176, ""th"", ""en"")"),"175")</f>
        <v>175</v>
      </c>
      <c r="B176" s="18" t="str">
        <f>IFERROR(__xludf.DUMMYFUNCTION("GOOGLETRANSLATE(H176, ""th"", ""en"")"),"What training techniques are used in longboat racing in Thailand?")</f>
        <v>What training techniques are used in longboat racing in Thailand?</v>
      </c>
      <c r="C176" s="18" t="str">
        <f>IFERROR(__xludf.DUMMYFUNCTION("GOOGLETRANSLATE(I176, ""th"", ""en"")"),"A) Team paddling training; B) Paddling speed training; C) Paddling different strokes training; D) Communication skills training")</f>
        <v>A) Team paddling training; B) Paddling speed training; C) Paddling different strokes training; D) Communication skills training</v>
      </c>
      <c r="D176" s="18" t="str">
        <f>IFERROR(__xludf.DUMMYFUNCTION("GOOGLETRANSLATE(J176, ""th"", ""en"")"),"A) Team rowing training")</f>
        <v>A) Team rowing training</v>
      </c>
      <c r="E176" s="18" t="str">
        <f>IFERROR(__xludf.DUMMYFUNCTION("GOOGLETRANSLATE(K176, ""th"", ""en"")"),"Team rowing is a technique used in training for longboat races.")</f>
        <v>Team rowing is a technique used in training for longboat races.</v>
      </c>
      <c r="G176" s="18">
        <v>175.0</v>
      </c>
      <c r="H176" s="19" t="s">
        <v>1603</v>
      </c>
      <c r="I176" s="19" t="s">
        <v>1604</v>
      </c>
      <c r="J176" s="19" t="s">
        <v>1605</v>
      </c>
      <c r="K176" s="19" t="s">
        <v>1606</v>
      </c>
      <c r="L176" s="17"/>
    </row>
    <row r="177" ht="14.25" customHeight="1">
      <c r="A177" s="18" t="str">
        <f>IFERROR(__xludf.DUMMYFUNCTION("GOOGLETRANSLATE(G177, ""th"", ""en"")"),"176")</f>
        <v>176</v>
      </c>
      <c r="B177" s="18" t="str">
        <f>IFERROR(__xludf.DUMMYFUNCTION("GOOGLETRANSLATE(H177, ""th"", ""en"")"),"When did longboat racing in Thailand gain international recognition?")</f>
        <v>When did longboat racing in Thailand gain international recognition?</v>
      </c>
      <c r="C177" s="18" t="str">
        <f>IFERROR(__xludf.DUMMYFUNCTION("GOOGLETRANSLATE(I177, ""th"", ""en"")"),"A) 1980; B) 1990; C) 2000; D) 2010")</f>
        <v>A) 1980; B) 1990; C) 2000; D) 2010</v>
      </c>
      <c r="D177" s="18" t="str">
        <f>IFERROR(__xludf.DUMMYFUNCTION("GOOGLETRANSLATE(J177, ""th"", ""en"")"),"B) 1990")</f>
        <v>B) 1990</v>
      </c>
      <c r="E177" s="18" t="str">
        <f>IFERROR(__xludf.DUMMYFUNCTION("GOOGLETRANSLATE(K177, ""th"", ""en"")"),"Longboat racing in Thailand gained international recognition in the 1990s.")</f>
        <v>Longboat racing in Thailand gained international recognition in the 1990s.</v>
      </c>
      <c r="G177" s="18">
        <v>176.0</v>
      </c>
      <c r="H177" s="19" t="s">
        <v>1607</v>
      </c>
      <c r="I177" s="19" t="s">
        <v>1339</v>
      </c>
      <c r="J177" s="19" t="s">
        <v>1340</v>
      </c>
      <c r="K177" s="19" t="s">
        <v>1608</v>
      </c>
      <c r="L177" s="17"/>
    </row>
    <row r="178" ht="14.25" customHeight="1">
      <c r="A178" s="18" t="str">
        <f>IFERROR(__xludf.DUMMYFUNCTION("GOOGLETRANSLATE(G178, ""th"", ""en"")"),"177")</f>
        <v>177</v>
      </c>
      <c r="B178" s="18" t="str">
        <f>IFERROR(__xludf.DUMMYFUNCTION("GOOGLETRANSLATE(H178, ""th"", ""en"")"),"How long is the distance of a long-boat race in Thailand?")</f>
        <v>How long is the distance of a long-boat race in Thailand?</v>
      </c>
      <c r="C178" s="18" t="str">
        <f>IFERROR(__xludf.DUMMYFUNCTION("GOOGLETRANSLATE(I178, ""th"", ""en"")"),"A) 500 meters; B) 1 kilometer; C) 3 kilometers; D) 5 kilometers")</f>
        <v>A) 500 meters; B) 1 kilometer; C) 3 kilometers; D) 5 kilometers</v>
      </c>
      <c r="D178" s="18" t="str">
        <f>IFERROR(__xludf.DUMMYFUNCTION("GOOGLETRANSLATE(J178, ""th"", ""en"")"),"B) 1 kilometer")</f>
        <v>B) 1 kilometer</v>
      </c>
      <c r="E178" s="18" t="str">
        <f>IFERROR(__xludf.DUMMYFUNCTION("GOOGLETRANSLATE(K178, ""th"", ""en"")"),"Long boat races in Thailand are usually about 1 kilometer long.")</f>
        <v>Long boat races in Thailand are usually about 1 kilometer long.</v>
      </c>
      <c r="G178" s="18">
        <v>177.0</v>
      </c>
      <c r="H178" s="19" t="s">
        <v>1609</v>
      </c>
      <c r="I178" s="19" t="s">
        <v>1610</v>
      </c>
      <c r="J178" s="19" t="s">
        <v>1611</v>
      </c>
      <c r="K178" s="19" t="s">
        <v>1612</v>
      </c>
      <c r="L178" s="17"/>
    </row>
    <row r="179" ht="14.25" customHeight="1">
      <c r="A179" s="18" t="str">
        <f>IFERROR(__xludf.DUMMYFUNCTION("GOOGLETRANSLATE(G179, ""th"", ""en"")"),"178")</f>
        <v>178</v>
      </c>
      <c r="B179" s="18" t="str">
        <f>IFERROR(__xludf.DUMMYFUNCTION("GOOGLETRANSLATE(H179, ""th"", ""en"")"),"Where are long-boat races usually held in Thailand?")</f>
        <v>Where are long-boat races usually held in Thailand?</v>
      </c>
      <c r="C179" s="18" t="str">
        <f>IFERROR(__xludf.DUMMYFUNCTION("GOOGLETRANSLATE(I179, ""th"", ""en"")"),"A) Chao Phraya River area; B) Mekong River area; C) Mae Klong River area; D) Pa Sak River area")</f>
        <v>A) Chao Phraya River area; B) Mekong River area; C) Mae Klong River area; D) Pa Sak River area</v>
      </c>
      <c r="D179" s="18" t="str">
        <f>IFERROR(__xludf.DUMMYFUNCTION("GOOGLETRANSLATE(J179, ""th"", ""en"")"),"A) Chao Phraya River area")</f>
        <v>A) Chao Phraya River area</v>
      </c>
      <c r="E179" s="18" t="str">
        <f>IFERROR(__xludf.DUMMYFUNCTION("GOOGLETRANSLATE(K179, ""th"", ""en"")"),"Long-boat races in Thailand are usually held along the Chao Phraya River.")</f>
        <v>Long-boat races in Thailand are usually held along the Chao Phraya River.</v>
      </c>
      <c r="G179" s="18">
        <v>178.0</v>
      </c>
      <c r="H179" s="19" t="s">
        <v>1613</v>
      </c>
      <c r="I179" s="19" t="s">
        <v>1614</v>
      </c>
      <c r="J179" s="19" t="s">
        <v>1615</v>
      </c>
      <c r="K179" s="19" t="s">
        <v>1616</v>
      </c>
      <c r="L179" s="17"/>
    </row>
    <row r="180" ht="14.25" customHeight="1">
      <c r="A180" s="18" t="str">
        <f>IFERROR(__xludf.DUMMYFUNCTION("GOOGLETRANSLATE(G180, ""th"", ""en"")"),"179")</f>
        <v>179</v>
      </c>
      <c r="B180" s="18" t="str">
        <f>IFERROR(__xludf.DUMMYFUNCTION("GOOGLETRANSLATE(H180, ""th"", ""en"")"),"In longboat racing in Thailand, how many members must a team have?")</f>
        <v>In longboat racing in Thailand, how many members must a team have?</v>
      </c>
      <c r="C180" s="18" t="str">
        <f>IFERROR(__xludf.DUMMYFUNCTION("GOOGLETRANSLATE(I180, ""th"", ""en"")"),"A) 10 people; B) 20 people; C) 30 people; D) 50 people")</f>
        <v>A) 10 people; B) 20 people; C) 30 people; D) 50 people</v>
      </c>
      <c r="D180" s="18" t="str">
        <f>IFERROR(__xludf.DUMMYFUNCTION("GOOGLETRANSLATE(J180, ""th"", ""en"")"),"B) 20 people")</f>
        <v>B) 20 people</v>
      </c>
      <c r="E180" s="18" t="str">
        <f>IFERROR(__xludf.DUMMYFUNCTION("GOOGLETRANSLATE(K180, ""th"", ""en"")"),"A team competing in longboat races in Thailand must have approximately 20 members.")</f>
        <v>A team competing in longboat races in Thailand must have approximately 20 members.</v>
      </c>
      <c r="G180" s="18">
        <v>179.0</v>
      </c>
      <c r="H180" s="19" t="s">
        <v>1617</v>
      </c>
      <c r="I180" s="19" t="s">
        <v>1618</v>
      </c>
      <c r="J180" s="19" t="s">
        <v>1619</v>
      </c>
      <c r="K180" s="19" t="s">
        <v>1620</v>
      </c>
      <c r="L180" s="17"/>
    </row>
    <row r="181" ht="14.25" customHeight="1">
      <c r="A181" s="18" t="str">
        <f>IFERROR(__xludf.DUMMYFUNCTION("GOOGLETRANSLATE(G181, ""th"", ""en"")"),"180")</f>
        <v>180</v>
      </c>
      <c r="B181" s="18" t="str">
        <f>IFERROR(__xludf.DUMMYFUNCTION("GOOGLETRANSLATE(H181, ""th"", ""en"")"),"What decision-making rules are used in long-boat racing in Thailand?")</f>
        <v>What decision-making rules are used in long-boat racing in Thailand?</v>
      </c>
      <c r="C181" s="18" t="str">
        <f>IFERROR(__xludf.DUMMYFUNCTION("GOOGLETRANSLATE(I181, ""th"", ""en"")"),"A) Total score; B) Time spent in the match; C) Number of rounds won; D) Doubles match")</f>
        <v>A) Total score; B) Time spent in the match; C) Number of rounds won; D) Doubles match</v>
      </c>
      <c r="D181" s="18" t="str">
        <f>IFERROR(__xludf.DUMMYFUNCTION("GOOGLETRANSLATE(J181, ""th"", ""en"")"),"A) Total score")</f>
        <v>A) Total score</v>
      </c>
      <c r="E181" s="18" t="str">
        <f>IFERROR(__xludf.DUMMYFUNCTION("GOOGLETRANSLATE(K181, ""th"", ""en"")"),"In long-boat racing in Thailand, the decision is based on the total score.")</f>
        <v>In long-boat racing in Thailand, the decision is based on the total score.</v>
      </c>
      <c r="G181" s="18">
        <v>180.0</v>
      </c>
      <c r="H181" s="19" t="s">
        <v>1621</v>
      </c>
      <c r="I181" s="19" t="s">
        <v>1622</v>
      </c>
      <c r="J181" s="19" t="s">
        <v>1623</v>
      </c>
      <c r="K181" s="19" t="s">
        <v>1624</v>
      </c>
      <c r="L181" s="17"/>
    </row>
    <row r="182" ht="14.25" customHeight="1">
      <c r="A182" s="18" t="str">
        <f>IFERROR(__xludf.DUMMYFUNCTION("GOOGLETRANSLATE(G182, ""th"", ""en"")"),"181")</f>
        <v>181</v>
      </c>
      <c r="B182" s="18" t="str">
        <f>IFERROR(__xludf.DUMMYFUNCTION("GOOGLETRANSLATE(H182, ""th"", ""en"")"),"In what year was the first long-boat race held in Thailand?")</f>
        <v>In what year was the first long-boat race held in Thailand?</v>
      </c>
      <c r="C182" s="18" t="str">
        <f>IFERROR(__xludf.DUMMYFUNCTION("GOOGLETRANSLATE(I182, ""th"", ""en"")"),"A) 1800; B) 1830; C) 1850; D) 1900")</f>
        <v>A) 1800; B) 1830; C) 1850; D) 1900</v>
      </c>
      <c r="D182" s="18" t="str">
        <f>IFERROR(__xludf.DUMMYFUNCTION("GOOGLETRANSLATE(J182, ""th"", ""en"")"),"B) 1830")</f>
        <v>B) 1830</v>
      </c>
      <c r="E182" s="18" t="str">
        <f>IFERROR(__xludf.DUMMYFUNCTION("GOOGLETRANSLATE(K182, ""th"", ""en"")"),"Long-boat racing in Thailand was first held in 1830.")</f>
        <v>Long-boat racing in Thailand was first held in 1830.</v>
      </c>
      <c r="G182" s="18">
        <v>181.0</v>
      </c>
      <c r="H182" s="19" t="s">
        <v>1625</v>
      </c>
      <c r="I182" s="19" t="s">
        <v>1626</v>
      </c>
      <c r="J182" s="19" t="s">
        <v>1627</v>
      </c>
      <c r="K182" s="19" t="s">
        <v>1628</v>
      </c>
      <c r="L182" s="17"/>
    </row>
    <row r="183" ht="14.25" customHeight="1">
      <c r="A183" s="18" t="str">
        <f>IFERROR(__xludf.DUMMYFUNCTION("GOOGLETRANSLATE(G183, ""th"", ""en"")"),"182")</f>
        <v>182</v>
      </c>
      <c r="B183" s="18" t="str">
        <f>IFERROR(__xludf.DUMMYFUNCTION("GOOGLETRANSLATE(H183, ""th"", ""en"")"),"What was the purpose of long boat races in the Ayutthaya period?")</f>
        <v>What was the purpose of long boat races in the Ayutthaya period?</v>
      </c>
      <c r="C183" s="18" t="str">
        <f>IFERROR(__xludf.DUMMYFUNCTION("GOOGLETRANSLATE(I183, ""th"", ""en"")"),"A) military training; B) entertainment; C) royal competition; D) celebration")</f>
        <v>A) military training; B) entertainment; C) royal competition; D) celebration</v>
      </c>
      <c r="D183" s="18" t="str">
        <f>IFERROR(__xludf.DUMMYFUNCTION("GOOGLETRANSLATE(J183, ""th"", ""en"")"),"A) Military training")</f>
        <v>A) Military training</v>
      </c>
      <c r="E183" s="18" t="str">
        <f>IFERROR(__xludf.DUMMYFUNCTION("GOOGLETRANSLATE(K183, ""th"", ""en"")"),"Long boat races during the Ayutthaya period were held for military training.")</f>
        <v>Long boat races during the Ayutthaya period were held for military training.</v>
      </c>
      <c r="G183" s="18">
        <v>182.0</v>
      </c>
      <c r="H183" s="19" t="s">
        <v>1629</v>
      </c>
      <c r="I183" s="19" t="s">
        <v>1630</v>
      </c>
      <c r="J183" s="19" t="s">
        <v>1493</v>
      </c>
      <c r="K183" s="19" t="s">
        <v>1631</v>
      </c>
      <c r="L183" s="17"/>
    </row>
    <row r="184" ht="14.25" customHeight="1">
      <c r="A184" s="18" t="str">
        <f>IFERROR(__xludf.DUMMYFUNCTION("GOOGLETRANSLATE(G184, ""th"", ""en"")"),"183")</f>
        <v>183</v>
      </c>
      <c r="B184" s="18" t="str">
        <f>IFERROR(__xludf.DUMMYFUNCTION("GOOGLETRANSLATE(H184, ""th"", ""en"")"),"When did long-boat racing begin to become popular during the Rattanakosin period?")</f>
        <v>When did long-boat racing begin to become popular during the Rattanakosin period?</v>
      </c>
      <c r="C184" s="18" t="str">
        <f>IFERROR(__xludf.DUMMYFUNCTION("GOOGLETRANSLATE(I184, ""th"", ""en"")"),"A) During the reign of King Rama IV; B) During the reign of King Rama V; C) During the reign of King Rama VI; D) During the reign of King Rama VII")</f>
        <v>A) During the reign of King Rama IV; B) During the reign of King Rama V; C) During the reign of King Rama VI; D) During the reign of King Rama VII</v>
      </c>
      <c r="D184" s="18" t="str">
        <f>IFERROR(__xludf.DUMMYFUNCTION("GOOGLETRANSLATE(J184, ""th"", ""en"")"),"B) During the reign of King Rama V")</f>
        <v>B) During the reign of King Rama V</v>
      </c>
      <c r="E184" s="18" t="str">
        <f>IFERROR(__xludf.DUMMYFUNCTION("GOOGLETRANSLATE(K184, ""th"", ""en"")"),"Long boat racing in the Rattanakosin period became popular during the reign of King Rama V.")</f>
        <v>Long boat racing in the Rattanakosin period became popular during the reign of King Rama V.</v>
      </c>
      <c r="G184" s="18">
        <v>183.0</v>
      </c>
      <c r="H184" s="19" t="s">
        <v>1632</v>
      </c>
      <c r="I184" s="19" t="s">
        <v>1633</v>
      </c>
      <c r="J184" s="19" t="s">
        <v>1634</v>
      </c>
      <c r="K184" s="19" t="s">
        <v>1635</v>
      </c>
      <c r="L184" s="17"/>
    </row>
    <row r="185" ht="14.25" customHeight="1">
      <c r="A185" s="18" t="str">
        <f>IFERROR(__xludf.DUMMYFUNCTION("GOOGLETRANSLATE(G185, ""th"", ""en"")"),"184")</f>
        <v>184</v>
      </c>
      <c r="B185" s="18" t="str">
        <f>IFERROR(__xludf.DUMMYFUNCTION("GOOGLETRANSLATE(H185, ""th"", ""en"")"),"What type of competitions are usually held in longboat races in Thailand?")</f>
        <v>What type of competitions are usually held in longboat races in Thailand?</v>
      </c>
      <c r="C185" s="18" t="str">
        <f>IFERROR(__xludf.DUMMYFUNCTION("GOOGLETRANSLATE(I185, ""th"", ""en"")"),"A) Singles competition; B) Team competition; C) Four-person competition; D) Pairs competition")</f>
        <v>A) Singles competition; B) Team competition; C) Four-person competition; D) Pairs competition</v>
      </c>
      <c r="D185" s="18" t="str">
        <f>IFERROR(__xludf.DUMMYFUNCTION("GOOGLETRANSLATE(J185, ""th"", ""en"")"),"A) Singles competition")</f>
        <v>A) Singles competition</v>
      </c>
      <c r="E185" s="18" t="str">
        <f>IFERROR(__xludf.DUMMYFUNCTION("GOOGLETRANSLATE(K185, ""th"", ""en"")"),"Longboat racing in Thailand is usually held as a single race.")</f>
        <v>Longboat racing in Thailand is usually held as a single race.</v>
      </c>
      <c r="G185" s="18">
        <v>184.0</v>
      </c>
      <c r="H185" s="19" t="s">
        <v>1636</v>
      </c>
      <c r="I185" s="19" t="s">
        <v>1637</v>
      </c>
      <c r="J185" s="19" t="s">
        <v>1638</v>
      </c>
      <c r="K185" s="19" t="s">
        <v>1639</v>
      </c>
      <c r="L185" s="17"/>
    </row>
    <row r="186" ht="14.25" customHeight="1">
      <c r="A186" s="18" t="str">
        <f>IFERROR(__xludf.DUMMYFUNCTION("GOOGLETRANSLATE(G186, ""th"", ""en"")"),"185")</f>
        <v>185</v>
      </c>
      <c r="B186" s="18" t="str">
        <f>IFERROR(__xludf.DUMMYFUNCTION("GOOGLETRANSLATE(H186, ""th"", ""en"")"),"How are long-boat racing competitions in Thailand classified?")</f>
        <v>How are long-boat racing competitions in Thailand classified?</v>
      </c>
      <c r="C186" s="18" t="str">
        <f>IFERROR(__xludf.DUMMYFUNCTION("GOOGLETRANSLATE(I186, ""th"", ""en"")"),"A) Big boat category; B) Small boat category; C) Male and female category; D) Long boat and short boat category.")</f>
        <v>A) Big boat category; B) Small boat category; C) Male and female category; D) Long boat and short boat category.</v>
      </c>
      <c r="D186" s="18" t="str">
        <f>IFERROR(__xludf.DUMMYFUNCTION("GOOGLETRANSLATE(J186, ""th"", ""en"")"),"D) Long boat and short boat types")</f>
        <v>D) Long boat and short boat types</v>
      </c>
      <c r="E186" s="18" t="str">
        <f>IFERROR(__xludf.DUMMYFUNCTION("GOOGLETRANSLATE(K186, ""th"", ""en"")"),"Long boat racing in Thailand is divided into two categories: long boats and short boats.")</f>
        <v>Long boat racing in Thailand is divided into two categories: long boats and short boats.</v>
      </c>
      <c r="G186" s="18">
        <v>185.0</v>
      </c>
      <c r="H186" s="19" t="s">
        <v>1640</v>
      </c>
      <c r="I186" s="19" t="s">
        <v>1641</v>
      </c>
      <c r="J186" s="19" t="s">
        <v>1642</v>
      </c>
      <c r="K186" s="19" t="s">
        <v>1643</v>
      </c>
      <c r="L186" s="17"/>
    </row>
    <row r="187" ht="14.25" customHeight="1">
      <c r="A187" s="18" t="str">
        <f>IFERROR(__xludf.DUMMYFUNCTION("GOOGLETRANSLATE(G187, ""th"", ""en"")"),"186")</f>
        <v>186</v>
      </c>
      <c r="B187" s="18" t="str">
        <f>IFERROR(__xludf.DUMMYFUNCTION("GOOGLETRANSLATE(H187, ""th"", ""en"")"),"Where was the first long-boat racing competition held in Thailand?")</f>
        <v>Where was the first long-boat racing competition held in Thailand?</v>
      </c>
      <c r="C187" s="18" t="str">
        <f>IFERROR(__xludf.DUMMYFUNCTION("GOOGLETRANSLATE(I187, ""th"", ""en"")"),"A) Chao Phraya River; B) Mekong River; C) Mae Klong River; D) Pa Sak River")</f>
        <v>A) Chao Phraya River; B) Mekong River; C) Mae Klong River; D) Pa Sak River</v>
      </c>
      <c r="D187" s="18" t="str">
        <f>IFERROR(__xludf.DUMMYFUNCTION("GOOGLETRANSLATE(J187, ""th"", ""en"")"),"A) Chao Phraya River")</f>
        <v>A) Chao Phraya River</v>
      </c>
      <c r="E187" s="18" t="str">
        <f>IFERROR(__xludf.DUMMYFUNCTION("GOOGLETRANSLATE(K187, ""th"", ""en"")"),"Longboat racing in Thailand was first held on the Chao Phraya River.")</f>
        <v>Longboat racing in Thailand was first held on the Chao Phraya River.</v>
      </c>
      <c r="G187" s="18">
        <v>186.0</v>
      </c>
      <c r="H187" s="19" t="s">
        <v>1644</v>
      </c>
      <c r="I187" s="19" t="s">
        <v>1564</v>
      </c>
      <c r="J187" s="19" t="s">
        <v>994</v>
      </c>
      <c r="K187" s="19" t="s">
        <v>1645</v>
      </c>
      <c r="L187" s="17"/>
    </row>
    <row r="188" ht="14.25" customHeight="1">
      <c r="A188" s="18" t="str">
        <f>IFERROR(__xludf.DUMMYFUNCTION("GOOGLETRANSLATE(G188, ""th"", ""en"")"),"187")</f>
        <v>187</v>
      </c>
      <c r="B188" s="18" t="str">
        <f>IFERROR(__xludf.DUMMYFUNCTION("GOOGLETRANSLATE(H188, ""th"", ""en"")"),"In which year did long-boat racing in Thailand become popular?")</f>
        <v>In which year did long-boat racing in Thailand become popular?</v>
      </c>
      <c r="C188" s="18" t="str">
        <f>IFERROR(__xludf.DUMMYFUNCTION("GOOGLETRANSLATE(I188, ""th"", ""en"")"),"A) 1960; B) 1970; C) 1980; D) 1990")</f>
        <v>A) 1960; B) 1970; C) 1980; D) 1990</v>
      </c>
      <c r="D188" s="18" t="str">
        <f>IFERROR(__xludf.DUMMYFUNCTION("GOOGLETRANSLATE(J188, ""th"", ""en"")"),"C) 1980")</f>
        <v>C) 1980</v>
      </c>
      <c r="E188" s="18" t="str">
        <f>IFERROR(__xludf.DUMMYFUNCTION("GOOGLETRANSLATE(K188, ""th"", ""en"")"),"Longboat racing in Thailand became popular in the 1980s.")</f>
        <v>Longboat racing in Thailand became popular in the 1980s.</v>
      </c>
      <c r="G188" s="18">
        <v>187.0</v>
      </c>
      <c r="H188" s="19" t="s">
        <v>1646</v>
      </c>
      <c r="I188" s="19" t="s">
        <v>1072</v>
      </c>
      <c r="J188" s="19" t="s">
        <v>1647</v>
      </c>
      <c r="K188" s="19" t="s">
        <v>1648</v>
      </c>
      <c r="L188" s="17"/>
    </row>
    <row r="189" ht="14.25" customHeight="1">
      <c r="A189" s="18" t="str">
        <f>IFERROR(__xludf.DUMMYFUNCTION("GOOGLETRANSLATE(G189, ""th"", ""en"")"),"188")</f>
        <v>188</v>
      </c>
      <c r="B189" s="18" t="str">
        <f>IFERROR(__xludf.DUMMYFUNCTION("GOOGLETRANSLATE(H189, ""th"", ""en"")"),"In what year did longboat racing in Thailand begin to have its rules revised?")</f>
        <v>In what year did longboat racing in Thailand begin to have its rules revised?</v>
      </c>
      <c r="C189" s="18" t="str">
        <f>IFERROR(__xludf.DUMMYFUNCTION("GOOGLETRANSLATE(I189, ""th"", ""en"")"),"A) 1950; B) 1960; C) 1970; D) 1980")</f>
        <v>A) 1950; B) 1960; C) 1970; D) 1980</v>
      </c>
      <c r="D189" s="18" t="str">
        <f>IFERROR(__xludf.DUMMYFUNCTION("GOOGLETRANSLATE(J189, ""th"", ""en"")"),"D) 1980")</f>
        <v>D) 1980</v>
      </c>
      <c r="E189" s="18" t="str">
        <f>IFERROR(__xludf.DUMMYFUNCTION("GOOGLETRANSLATE(K189, ""th"", ""en"")"),"The reform of the rules for long-boat racing began in 1980.")</f>
        <v>The reform of the rules for long-boat racing began in 1980.</v>
      </c>
      <c r="G189" s="18">
        <v>188.0</v>
      </c>
      <c r="H189" s="19" t="s">
        <v>1649</v>
      </c>
      <c r="I189" s="19" t="s">
        <v>1225</v>
      </c>
      <c r="J189" s="19" t="s">
        <v>1650</v>
      </c>
      <c r="K189" s="19" t="s">
        <v>1651</v>
      </c>
      <c r="L189" s="17"/>
    </row>
    <row r="190" ht="14.25" customHeight="1">
      <c r="A190" s="18" t="str">
        <f>IFERROR(__xludf.DUMMYFUNCTION("GOOGLETRANSLATE(G190, ""th"", ""en"")"),"189")</f>
        <v>189</v>
      </c>
      <c r="B190" s="18" t="str">
        <f>IFERROR(__xludf.DUMMYFUNCTION("GOOGLETRANSLATE(H190, ""th"", ""en"")"),"What organization initially supported long-boat racing in Thailand?")</f>
        <v>What organization initially supported long-boat racing in Thailand?</v>
      </c>
      <c r="C190" s="18" t="str">
        <f>IFERROR(__xludf.DUMMYFUNCTION("GOOGLETRANSLATE(I190, ""th"", ""en"")"),"A) Ministry of Tourism and Sports; B) Sports Authority of Thailand; C) Military Department; D) Royal Family")</f>
        <v>A) Ministry of Tourism and Sports; B) Sports Authority of Thailand; C) Military Department; D) Royal Family</v>
      </c>
      <c r="D190" s="18" t="str">
        <f>IFERROR(__xludf.DUMMYFUNCTION("GOOGLETRANSLATE(J190, ""th"", ""en"")"),"B) Sports Authority of Thailand")</f>
        <v>B) Sports Authority of Thailand</v>
      </c>
      <c r="E190" s="18" t="str">
        <f>IFERROR(__xludf.DUMMYFUNCTION("GOOGLETRANSLATE(K190, ""th"", ""en"")"),"Longboat racing in Thailand was initially supported by the Sports Authority of Thailand.")</f>
        <v>Longboat racing in Thailand was initially supported by the Sports Authority of Thailand.</v>
      </c>
      <c r="G190" s="18">
        <v>189.0</v>
      </c>
      <c r="H190" s="19" t="s">
        <v>1652</v>
      </c>
      <c r="I190" s="19" t="s">
        <v>1653</v>
      </c>
      <c r="J190" s="19" t="s">
        <v>1654</v>
      </c>
      <c r="K190" s="19" t="s">
        <v>1655</v>
      </c>
      <c r="L190" s="17"/>
    </row>
    <row r="191" ht="14.25" customHeight="1">
      <c r="A191" s="18" t="str">
        <f>IFERROR(__xludf.DUMMYFUNCTION("GOOGLETRANSLATE(G191, ""th"", ""en"")"),"190")</f>
        <v>190</v>
      </c>
      <c r="B191" s="18" t="str">
        <f>IFERROR(__xludf.DUMMYFUNCTION("GOOGLETRANSLATE(H191, ""th"", ""en"")"),"In which festival are long-boat races held in Thailand?")</f>
        <v>In which festival are long-boat races held in Thailand?</v>
      </c>
      <c r="C191" s="18" t="str">
        <f>IFERROR(__xludf.DUMMYFUNCTION("GOOGLETRANSLATE(I191, ""th"", ""en"")"),"A) Songkran Festival; B) Loi Krathong Festival; C) New Year Festival; D) Buddhist Lent Festival")</f>
        <v>A) Songkran Festival; B) Loi Krathong Festival; C) New Year Festival; D) Buddhist Lent Festival</v>
      </c>
      <c r="D191" s="18" t="str">
        <f>IFERROR(__xludf.DUMMYFUNCTION("GOOGLETRANSLATE(J191, ""th"", ""en"")"),"B) Loi Krathong Festival")</f>
        <v>B) Loi Krathong Festival</v>
      </c>
      <c r="E191" s="18" t="str">
        <f>IFERROR(__xludf.DUMMYFUNCTION("GOOGLETRANSLATE(K191, ""th"", ""en"")"),"Long-boat races in Thailand are often held during the Loi Krathong festival.")</f>
        <v>Long-boat races in Thailand are often held during the Loi Krathong festival.</v>
      </c>
      <c r="G191" s="18">
        <v>190.0</v>
      </c>
      <c r="H191" s="19" t="s">
        <v>1656</v>
      </c>
      <c r="I191" s="19" t="s">
        <v>1533</v>
      </c>
      <c r="J191" s="19" t="s">
        <v>1278</v>
      </c>
      <c r="K191" s="19" t="s">
        <v>1534</v>
      </c>
      <c r="L191" s="17"/>
    </row>
    <row r="192" ht="14.25" customHeight="1">
      <c r="A192" s="18" t="str">
        <f>IFERROR(__xludf.DUMMYFUNCTION("GOOGLETRANSLATE(G192, ""th"", ""en"")"),"191")</f>
        <v>191</v>
      </c>
      <c r="B192" s="18" t="str">
        <f>IFERROR(__xludf.DUMMYFUNCTION("GOOGLETRANSLATE(H192, ""th"", ""en"")"),"What technology is used in training for long-boat racing in Thailand?")</f>
        <v>What technology is used in training for long-boat racing in Thailand?</v>
      </c>
      <c r="C192" s="18" t="str">
        <f>IFERROR(__xludf.DUMMYFUNCTION("GOOGLETRANSLATE(I192, ""th"", ""en"")"),"A) Using speedometers; B) Using modern boats; C) Using GPS technology; D) Using data analysis tools.")</f>
        <v>A) Using speedometers; B) Using modern boats; C) Using GPS technology; D) Using data analysis tools.</v>
      </c>
      <c r="D192" s="18" t="str">
        <f>IFERROR(__xludf.DUMMYFUNCTION("GOOGLETRANSLATE(J192, ""th"", ""en"")"),"A) Using a speedometer")</f>
        <v>A) Using a speedometer</v>
      </c>
      <c r="E192" s="18" t="str">
        <f>IFERROR(__xludf.DUMMYFUNCTION("GOOGLETRANSLATE(K192, ""th"", ""en"")"),"The use of speedometers is a technology used in training in long-boat racing.")</f>
        <v>The use of speedometers is a technology used in training in long-boat racing.</v>
      </c>
      <c r="G192" s="18">
        <v>191.0</v>
      </c>
      <c r="H192" s="19" t="s">
        <v>1657</v>
      </c>
      <c r="I192" s="19" t="s">
        <v>1658</v>
      </c>
      <c r="J192" s="19" t="s">
        <v>1659</v>
      </c>
      <c r="K192" s="19" t="s">
        <v>1660</v>
      </c>
      <c r="L192" s="17"/>
    </row>
    <row r="193" ht="14.25" customHeight="1">
      <c r="A193" s="18" t="str">
        <f>IFERROR(__xludf.DUMMYFUNCTION("GOOGLETRANSLATE(G193, ""th"", ""en"")"),"192")</f>
        <v>192</v>
      </c>
      <c r="B193" s="18" t="str">
        <f>IFERROR(__xludf.DUMMYFUNCTION("GOOGLETRANSLATE(H193, ""th"", ""en"")"),"In which month are long-boat races usually held in Thailand?")</f>
        <v>In which month are long-boat races usually held in Thailand?</v>
      </c>
      <c r="C193" s="18" t="str">
        <f>IFERROR(__xludf.DUMMYFUNCTION("GOOGLETRANSLATE(I193, ""th"", ""en"")"),"A) January-February; B) April-May; C) August-October; D) November-December")</f>
        <v>A) January-February; B) April-May; C) August-October; D) November-December</v>
      </c>
      <c r="D193" s="18" t="str">
        <f>IFERROR(__xludf.DUMMYFUNCTION("GOOGLETRANSLATE(J193, ""th"", ""en"")"),"C) August-October")</f>
        <v>C) August-October</v>
      </c>
      <c r="E193" s="18" t="str">
        <f>IFERROR(__xludf.DUMMYFUNCTION("GOOGLETRANSLATE(K193, ""th"", ""en"")"),"Long-boat races in Thailand are usually held from August to October.")</f>
        <v>Long-boat races in Thailand are usually held from August to October.</v>
      </c>
      <c r="G193" s="18">
        <v>192.0</v>
      </c>
      <c r="H193" s="19" t="s">
        <v>1661</v>
      </c>
      <c r="I193" s="19" t="s">
        <v>1592</v>
      </c>
      <c r="J193" s="19" t="s">
        <v>1593</v>
      </c>
      <c r="K193" s="19" t="s">
        <v>1662</v>
      </c>
      <c r="L193" s="17"/>
    </row>
    <row r="194" ht="14.25" customHeight="1">
      <c r="A194" s="18" t="str">
        <f>IFERROR(__xludf.DUMMYFUNCTION("GOOGLETRANSLATE(G194, ""th"", ""en"")"),"193")</f>
        <v>193</v>
      </c>
      <c r="B194" s="18" t="str">
        <f>IFERROR(__xludf.DUMMYFUNCTION("GOOGLETRANSLATE(H194, ""th"", ""en"")"),"What are the rules for long-boat racing in Thailand?")</f>
        <v>What are the rules for long-boat racing in Thailand?</v>
      </c>
      <c r="C194" s="18" t="str">
        <f>IFERROR(__xludf.DUMMYFUNCTION("GOOGLETRANSLATE(I194, ""th"", ""en"")"),"A) Individual race; B) Team race; C) Team race; D) Fastest race")</f>
        <v>A) Individual race; B) Team race; C) Team race; D) Fastest race</v>
      </c>
      <c r="D194" s="18" t="str">
        <f>IFERROR(__xludf.DUMMYFUNCTION("GOOGLETRANSLATE(J194, ""th"", ""en"")"),"B) Team competition")</f>
        <v>B) Team competition</v>
      </c>
      <c r="E194" s="18" t="str">
        <f>IFERROR(__xludf.DUMMYFUNCTION("GOOGLETRANSLATE(K194, ""th"", ""en"")"),"Longboat racing in Thailand is a team competition.")</f>
        <v>Longboat racing in Thailand is a team competition.</v>
      </c>
      <c r="G194" s="18">
        <v>193.0</v>
      </c>
      <c r="H194" s="19" t="s">
        <v>1663</v>
      </c>
      <c r="I194" s="19" t="s">
        <v>1664</v>
      </c>
      <c r="J194" s="19" t="s">
        <v>1665</v>
      </c>
      <c r="K194" s="19" t="s">
        <v>1666</v>
      </c>
      <c r="L194" s="17"/>
    </row>
    <row r="195" ht="14.25" customHeight="1">
      <c r="A195" s="18" t="str">
        <f>IFERROR(__xludf.DUMMYFUNCTION("GOOGLETRANSLATE(G195, ""th"", ""en"")"),"194")</f>
        <v>194</v>
      </c>
      <c r="B195" s="18" t="str">
        <f>IFERROR(__xludf.DUMMYFUNCTION("GOOGLETRANSLATE(H195, ""th"", ""en"")"),"What materials are used to build long-boat races in Thailand?")</f>
        <v>What materials are used to build long-boat races in Thailand?</v>
      </c>
      <c r="C195" s="18" t="str">
        <f>IFERROR(__xludf.DUMMYFUNCTION("GOOGLETRANSLATE(I195, ""th"", ""en"")"),"A) wood; B) plastic; C) steel; D) aluminum")</f>
        <v>A) wood; B) plastic; C) steel; D) aluminum</v>
      </c>
      <c r="D195" s="18" t="str">
        <f>IFERROR(__xludf.DUMMYFUNCTION("GOOGLETRANSLATE(J195, ""th"", ""en"")"),"A) Wood")</f>
        <v>A) Wood</v>
      </c>
      <c r="E195" s="18" t="str">
        <f>IFERROR(__xludf.DUMMYFUNCTION("GOOGLETRANSLATE(K195, ""th"", ""en"")"),"In building boats for long boat racing in Thailand, wood is used.")</f>
        <v>In building boats for long boat racing in Thailand, wood is used.</v>
      </c>
      <c r="G195" s="18">
        <v>194.0</v>
      </c>
      <c r="H195" s="19" t="s">
        <v>1667</v>
      </c>
      <c r="I195" s="19" t="s">
        <v>1560</v>
      </c>
      <c r="J195" s="19" t="s">
        <v>982</v>
      </c>
      <c r="K195" s="19" t="s">
        <v>1668</v>
      </c>
      <c r="L195" s="17"/>
    </row>
    <row r="196" ht="14.25" customHeight="1">
      <c r="A196" s="18" t="str">
        <f>IFERROR(__xludf.DUMMYFUNCTION("GOOGLETRANSLATE(G196, ""th"", ""en"")"),"195")</f>
        <v>195</v>
      </c>
      <c r="B196" s="18" t="str">
        <f>IFERROR(__xludf.DUMMYFUNCTION("GOOGLETRANSLATE(H196, ""th"", ""en"")"),"When is the annual long-boat race in Thailand held?")</f>
        <v>When is the annual long-boat race in Thailand held?</v>
      </c>
      <c r="C196" s="18" t="str">
        <f>IFERROR(__xludf.DUMMYFUNCTION("GOOGLETRANSLATE(I196, ""th"", ""en"")"),"A) July; B) September; C) October; D) November")</f>
        <v>A) July; B) September; C) October; D) November</v>
      </c>
      <c r="D196" s="18" t="str">
        <f>IFERROR(__xludf.DUMMYFUNCTION("GOOGLETRANSLATE(J196, ""th"", ""en"")"),"C) October")</f>
        <v>C) October</v>
      </c>
      <c r="E196" s="18" t="str">
        <f>IFERROR(__xludf.DUMMYFUNCTION("GOOGLETRANSLATE(K196, ""th"", ""en"")"),"Long-boat racing in Thailand is held annually in October.")</f>
        <v>Long-boat racing in Thailand is held annually in October.</v>
      </c>
      <c r="G196" s="18">
        <v>195.0</v>
      </c>
      <c r="H196" s="19" t="s">
        <v>1669</v>
      </c>
      <c r="I196" s="19" t="s">
        <v>1670</v>
      </c>
      <c r="J196" s="19" t="s">
        <v>1671</v>
      </c>
      <c r="K196" s="19" t="s">
        <v>1672</v>
      </c>
      <c r="L196" s="17"/>
    </row>
    <row r="197" ht="14.25" customHeight="1">
      <c r="A197" s="18" t="str">
        <f>IFERROR(__xludf.DUMMYFUNCTION("GOOGLETRANSLATE(G197, ""th"", ""en"")"),"196")</f>
        <v>196</v>
      </c>
      <c r="B197" s="18" t="str">
        <f>IFERROR(__xludf.DUMMYFUNCTION("GOOGLETRANSLATE(H197, ""th"", ""en"")"),"When did longboat racing in Thailand gain international recognition?")</f>
        <v>When did longboat racing in Thailand gain international recognition?</v>
      </c>
      <c r="C197" s="18" t="str">
        <f>IFERROR(__xludf.DUMMYFUNCTION("GOOGLETRANSLATE(I197, ""th"", ""en"")"),"A) 1990; B) 2000; C) 2010; D) 2020")</f>
        <v>A) 1990; B) 2000; C) 2010; D) 2020</v>
      </c>
      <c r="D197" s="18" t="str">
        <f>IFERROR(__xludf.DUMMYFUNCTION("GOOGLETRANSLATE(J197, ""th"", ""en"")"),"A) 1990")</f>
        <v>A) 1990</v>
      </c>
      <c r="E197" s="18" t="str">
        <f>IFERROR(__xludf.DUMMYFUNCTION("GOOGLETRANSLATE(K197, ""th"", ""en"")"),"Longboat racing in Thailand gained international recognition in the 1990s.")</f>
        <v>Longboat racing in Thailand gained international recognition in the 1990s.</v>
      </c>
      <c r="G197" s="18">
        <v>196.0</v>
      </c>
      <c r="H197" s="19" t="s">
        <v>1673</v>
      </c>
      <c r="I197" s="19" t="s">
        <v>1674</v>
      </c>
      <c r="J197" s="19" t="s">
        <v>1675</v>
      </c>
      <c r="K197" s="19" t="s">
        <v>1608</v>
      </c>
      <c r="L197" s="17"/>
    </row>
    <row r="198" ht="14.25" customHeight="1">
      <c r="A198" s="18" t="str">
        <f>IFERROR(__xludf.DUMMYFUNCTION("GOOGLETRANSLATE(G198, ""th"", ""en"")"),"197")</f>
        <v>197</v>
      </c>
      <c r="B198" s="18" t="str">
        <f>IFERROR(__xludf.DUMMYFUNCTION("GOOGLETRANSLATE(H198, ""th"", ""en"")"),"In what year did longboat racing in Thailand begin to be broadcast live on television?")</f>
        <v>In what year did longboat racing in Thailand begin to be broadcast live on television?</v>
      </c>
      <c r="C198" s="18" t="str">
        <f>IFERROR(__xludf.DUMMYFUNCTION("GOOGLETRANSLATE(I198, ""th"", ""en"")"),"A) 1980; B) 1990; C) 2000; D) 2010")</f>
        <v>A) 1980; B) 1990; C) 2000; D) 2010</v>
      </c>
      <c r="D198" s="18" t="str">
        <f>IFERROR(__xludf.DUMMYFUNCTION("GOOGLETRANSLATE(J198, ""th"", ""en"")"),"B) 1990")</f>
        <v>B) 1990</v>
      </c>
      <c r="E198" s="18" t="str">
        <f>IFERROR(__xludf.DUMMYFUNCTION("GOOGLETRANSLATE(K198, ""th"", ""en"")"),"Longboat racing in Thailand began to be broadcast live on television in 1990.")</f>
        <v>Longboat racing in Thailand began to be broadcast live on television in 1990.</v>
      </c>
      <c r="G198" s="18">
        <v>197.0</v>
      </c>
      <c r="H198" s="19" t="s">
        <v>1676</v>
      </c>
      <c r="I198" s="19" t="s">
        <v>1339</v>
      </c>
      <c r="J198" s="19" t="s">
        <v>1340</v>
      </c>
      <c r="K198" s="19" t="s">
        <v>1677</v>
      </c>
      <c r="L198" s="17"/>
    </row>
    <row r="199" ht="14.25" customHeight="1">
      <c r="A199" s="18" t="str">
        <f>IFERROR(__xludf.DUMMYFUNCTION("GOOGLETRANSLATE(G199, ""th"", ""en"")"),"198")</f>
        <v>198</v>
      </c>
      <c r="B199" s="18" t="str">
        <f>IFERROR(__xludf.DUMMYFUNCTION("GOOGLETRANSLATE(H199, ""th"", ""en"")"),"What level of competition are longboat races held in Thailand?")</f>
        <v>What level of competition are longboat races held in Thailand?</v>
      </c>
      <c r="C199" s="18" t="str">
        <f>IFERROR(__xludf.DUMMYFUNCTION("GOOGLETRANSLATE(I199, ""th"", ""en"")"),"A) local level; B) national level; C) international level; D) all")</f>
        <v>A) local level; B) national level; C) international level; D) all</v>
      </c>
      <c r="D199" s="18" t="str">
        <f>IFERROR(__xludf.DUMMYFUNCTION("GOOGLETRANSLATE(J199, ""th"", ""en"")"),"D) All")</f>
        <v>D) All</v>
      </c>
      <c r="E199" s="18" t="str">
        <f>IFERROR(__xludf.DUMMYFUNCTION("GOOGLETRANSLATE(K199, ""th"", ""en"")"),"Longboat racing in Thailand is held at local, national and international levels.")</f>
        <v>Longboat racing in Thailand is held at local, national and international levels.</v>
      </c>
      <c r="G199" s="18">
        <v>198.0</v>
      </c>
      <c r="H199" s="19" t="s">
        <v>1678</v>
      </c>
      <c r="I199" s="19" t="s">
        <v>1596</v>
      </c>
      <c r="J199" s="19" t="s">
        <v>48</v>
      </c>
      <c r="K199" s="19" t="s">
        <v>1679</v>
      </c>
      <c r="L199" s="17"/>
    </row>
    <row r="200" ht="14.25" customHeight="1">
      <c r="A200" s="18" t="str">
        <f>IFERROR(__xludf.DUMMYFUNCTION("GOOGLETRANSLATE(G200, ""th"", ""en"")"),"199")</f>
        <v>199</v>
      </c>
      <c r="B200" s="18" t="str">
        <f>IFERROR(__xludf.DUMMYFUNCTION("GOOGLETRANSLATE(H200, ""th"", ""en"")"),"In what season are long-boat races held in Thailand?")</f>
        <v>In what season are long-boat races held in Thailand?</v>
      </c>
      <c r="C200" s="18" t="str">
        <f>IFERROR(__xludf.DUMMYFUNCTION("GOOGLETRANSLATE(I200, ""th"", ""en"")"),"A) summer; B) rainy season; C) winter; D) spring")</f>
        <v>A) summer; B) rainy season; C) winter; D) spring</v>
      </c>
      <c r="D200" s="18" t="str">
        <f>IFERROR(__xludf.DUMMYFUNCTION("GOOGLETRANSLATE(J200, ""th"", ""en"")"),"B) Rainy season")</f>
        <v>B) Rainy season</v>
      </c>
      <c r="E200" s="18" t="str">
        <f>IFERROR(__xludf.DUMMYFUNCTION("GOOGLETRANSLATE(K200, ""th"", ""en"")"),"Long-boat races in Thailand are usually held during the rainy season.")</f>
        <v>Long-boat races in Thailand are usually held during the rainy season.</v>
      </c>
      <c r="G200" s="18">
        <v>199.0</v>
      </c>
      <c r="H200" s="19" t="s">
        <v>1680</v>
      </c>
      <c r="I200" s="19" t="s">
        <v>298</v>
      </c>
      <c r="J200" s="19" t="s">
        <v>1270</v>
      </c>
      <c r="K200" s="19" t="s">
        <v>1681</v>
      </c>
      <c r="L200" s="17"/>
    </row>
    <row r="201" ht="14.25" customHeight="1">
      <c r="G201" s="18">
        <v>200.0</v>
      </c>
      <c r="H201" s="19" t="s">
        <v>1682</v>
      </c>
      <c r="I201" s="19" t="s">
        <v>1683</v>
      </c>
      <c r="J201" s="19" t="s">
        <v>1605</v>
      </c>
      <c r="K201" s="19" t="s">
        <v>1684</v>
      </c>
      <c r="L201" s="17"/>
    </row>
    <row r="202" ht="14.25" customHeight="1"/>
    <row r="203" ht="14.25" customHeight="1"/>
    <row r="204" ht="14.25" customHeight="1"/>
    <row r="205" ht="14.25" customHeight="1"/>
    <row r="206" ht="14.25" customHeight="1">
      <c r="A206" s="8" t="s">
        <v>1685</v>
      </c>
    </row>
    <row r="207" ht="14.25" customHeight="1">
      <c r="A207" s="9" t="s">
        <v>5</v>
      </c>
      <c r="B207" s="9" t="s">
        <v>1</v>
      </c>
      <c r="C207" s="9" t="s">
        <v>759</v>
      </c>
      <c r="D207" s="9" t="s">
        <v>760</v>
      </c>
      <c r="E207" s="9" t="s">
        <v>2</v>
      </c>
      <c r="F207" s="9" t="s">
        <v>761</v>
      </c>
      <c r="G207" s="9" t="s">
        <v>3</v>
      </c>
      <c r="H207" s="9" t="s">
        <v>762</v>
      </c>
      <c r="I207" s="9" t="s">
        <v>4</v>
      </c>
      <c r="J207" s="9" t="s">
        <v>763</v>
      </c>
    </row>
    <row r="208" ht="14.25" customHeight="1">
      <c r="A208" s="10">
        <v>1.0</v>
      </c>
      <c r="B208" s="11" t="s">
        <v>964</v>
      </c>
      <c r="C208" s="20">
        <v>1.0</v>
      </c>
      <c r="D208" s="21" t="s">
        <v>1686</v>
      </c>
      <c r="E208" s="11" t="s">
        <v>965</v>
      </c>
      <c r="F208" s="22"/>
      <c r="G208" s="11" t="s">
        <v>966</v>
      </c>
      <c r="H208" s="22"/>
      <c r="I208" s="11" t="s">
        <v>967</v>
      </c>
      <c r="J208" s="11" t="s">
        <v>1687</v>
      </c>
    </row>
    <row r="209" ht="14.25" customHeight="1">
      <c r="A209" s="13">
        <v>2.0</v>
      </c>
      <c r="B209" s="14" t="s">
        <v>968</v>
      </c>
      <c r="C209" s="23">
        <v>1.0</v>
      </c>
      <c r="D209" s="24" t="s">
        <v>1688</v>
      </c>
      <c r="E209" s="14" t="s">
        <v>969</v>
      </c>
      <c r="F209" s="25"/>
      <c r="G209" s="14" t="s">
        <v>970</v>
      </c>
      <c r="H209" s="25"/>
      <c r="I209" s="14" t="s">
        <v>971</v>
      </c>
      <c r="J209" s="14" t="s">
        <v>1689</v>
      </c>
    </row>
    <row r="210" ht="14.25" customHeight="1">
      <c r="A210" s="10">
        <v>3.0</v>
      </c>
      <c r="B210" s="11" t="s">
        <v>972</v>
      </c>
      <c r="C210" s="20">
        <v>1.0</v>
      </c>
      <c r="D210" s="21" t="s">
        <v>1690</v>
      </c>
      <c r="E210" s="11" t="s">
        <v>973</v>
      </c>
      <c r="F210" s="22"/>
      <c r="G210" s="11" t="s">
        <v>974</v>
      </c>
      <c r="H210" s="22"/>
      <c r="I210" s="11" t="s">
        <v>975</v>
      </c>
      <c r="J210" s="12"/>
    </row>
    <row r="211" ht="14.25" customHeight="1">
      <c r="A211" s="13">
        <v>4.0</v>
      </c>
      <c r="B211" s="14" t="s">
        <v>976</v>
      </c>
      <c r="C211" s="23">
        <v>1.0</v>
      </c>
      <c r="D211" s="25"/>
      <c r="E211" s="14" t="s">
        <v>977</v>
      </c>
      <c r="F211" s="25"/>
      <c r="G211" s="14" t="s">
        <v>978</v>
      </c>
      <c r="H211" s="25"/>
      <c r="I211" s="14" t="s">
        <v>979</v>
      </c>
      <c r="J211" s="15"/>
    </row>
    <row r="212" ht="14.25" customHeight="1">
      <c r="A212" s="10">
        <v>5.0</v>
      </c>
      <c r="B212" s="11" t="s">
        <v>980</v>
      </c>
      <c r="C212" s="20">
        <v>1.0</v>
      </c>
      <c r="D212" s="22"/>
      <c r="E212" s="11" t="s">
        <v>981</v>
      </c>
      <c r="F212" s="22"/>
      <c r="G212" s="11" t="s">
        <v>982</v>
      </c>
      <c r="H212" s="22"/>
      <c r="I212" s="11" t="s">
        <v>983</v>
      </c>
      <c r="J212" s="11" t="s">
        <v>1691</v>
      </c>
    </row>
    <row r="213" ht="14.25" customHeight="1">
      <c r="A213" s="13">
        <v>6.0</v>
      </c>
      <c r="B213" s="14" t="s">
        <v>984</v>
      </c>
      <c r="C213" s="23">
        <v>1.0</v>
      </c>
      <c r="D213" s="24" t="s">
        <v>1692</v>
      </c>
      <c r="E213" s="14" t="s">
        <v>985</v>
      </c>
      <c r="F213" s="25"/>
      <c r="G213" s="14" t="s">
        <v>986</v>
      </c>
      <c r="H213" s="25"/>
      <c r="I213" s="14" t="s">
        <v>987</v>
      </c>
      <c r="J213" s="15"/>
    </row>
    <row r="214" ht="14.25" customHeight="1">
      <c r="A214" s="10">
        <v>7.0</v>
      </c>
      <c r="B214" s="11" t="s">
        <v>988</v>
      </c>
      <c r="C214" s="20">
        <v>1.0</v>
      </c>
      <c r="D214" s="22"/>
      <c r="E214" s="11" t="s">
        <v>989</v>
      </c>
      <c r="F214" s="22"/>
      <c r="G214" s="11" t="s">
        <v>990</v>
      </c>
      <c r="H214" s="22"/>
      <c r="I214" s="11" t="s">
        <v>991</v>
      </c>
      <c r="J214" s="12"/>
    </row>
    <row r="215" ht="14.25" customHeight="1">
      <c r="A215" s="13">
        <v>8.0</v>
      </c>
      <c r="B215" s="14" t="s">
        <v>992</v>
      </c>
      <c r="C215" s="23">
        <v>1.0</v>
      </c>
      <c r="D215" s="24" t="s">
        <v>1693</v>
      </c>
      <c r="E215" s="14" t="s">
        <v>993</v>
      </c>
      <c r="F215" s="25"/>
      <c r="G215" s="14" t="s">
        <v>994</v>
      </c>
      <c r="H215" s="24" t="s">
        <v>1694</v>
      </c>
      <c r="I215" s="14" t="s">
        <v>995</v>
      </c>
      <c r="J215" s="26" t="s">
        <v>1695</v>
      </c>
    </row>
    <row r="216" ht="14.25" customHeight="1">
      <c r="A216" s="10">
        <v>9.0</v>
      </c>
      <c r="B216" s="11" t="s">
        <v>996</v>
      </c>
      <c r="C216" s="20">
        <v>1.0</v>
      </c>
      <c r="D216" s="22"/>
      <c r="E216" s="11" t="s">
        <v>997</v>
      </c>
      <c r="F216" s="22"/>
      <c r="G216" s="11" t="s">
        <v>986</v>
      </c>
      <c r="H216" s="12"/>
      <c r="I216" s="11" t="s">
        <v>998</v>
      </c>
      <c r="J216" s="12"/>
    </row>
    <row r="217" ht="14.25" customHeight="1">
      <c r="A217" s="13">
        <v>10.0</v>
      </c>
      <c r="B217" s="14" t="s">
        <v>999</v>
      </c>
      <c r="C217" s="23">
        <v>1.0</v>
      </c>
      <c r="D217" s="25"/>
      <c r="E217" s="14" t="s">
        <v>1000</v>
      </c>
      <c r="F217" s="25"/>
      <c r="G217" s="14" t="s">
        <v>986</v>
      </c>
      <c r="H217" s="15"/>
      <c r="I217" s="14" t="s">
        <v>1001</v>
      </c>
      <c r="J217" s="15"/>
    </row>
    <row r="218" ht="14.25" customHeight="1">
      <c r="A218" s="10">
        <v>11.0</v>
      </c>
      <c r="B218" s="11" t="s">
        <v>1002</v>
      </c>
      <c r="C218" s="20">
        <v>1.0</v>
      </c>
      <c r="D218" s="21" t="s">
        <v>1696</v>
      </c>
      <c r="E218" s="11" t="s">
        <v>1003</v>
      </c>
      <c r="F218" s="22"/>
      <c r="G218" s="11" t="s">
        <v>1004</v>
      </c>
      <c r="H218" s="12"/>
      <c r="I218" s="11" t="s">
        <v>1005</v>
      </c>
      <c r="J218" s="12"/>
    </row>
    <row r="219" ht="14.25" customHeight="1">
      <c r="A219" s="13">
        <v>12.0</v>
      </c>
      <c r="B219" s="14" t="s">
        <v>1006</v>
      </c>
      <c r="C219" s="23">
        <v>1.0</v>
      </c>
      <c r="D219" s="25"/>
      <c r="E219" s="14" t="s">
        <v>1007</v>
      </c>
      <c r="F219" s="25"/>
      <c r="G219" s="14" t="s">
        <v>986</v>
      </c>
      <c r="H219" s="15"/>
      <c r="I219" s="14" t="s">
        <v>1008</v>
      </c>
      <c r="J219" s="15"/>
    </row>
    <row r="220" ht="14.25" customHeight="1">
      <c r="A220" s="10">
        <v>13.0</v>
      </c>
      <c r="B220" s="11" t="s">
        <v>1009</v>
      </c>
      <c r="C220" s="20">
        <v>1.0</v>
      </c>
      <c r="D220" s="22"/>
      <c r="E220" s="11" t="s">
        <v>1010</v>
      </c>
      <c r="F220" s="22"/>
      <c r="G220" s="11" t="s">
        <v>1011</v>
      </c>
      <c r="H220" s="12"/>
      <c r="I220" s="11" t="s">
        <v>1012</v>
      </c>
      <c r="J220" s="12"/>
    </row>
    <row r="221" ht="14.25" customHeight="1">
      <c r="A221" s="13">
        <v>14.0</v>
      </c>
      <c r="B221" s="14" t="s">
        <v>1013</v>
      </c>
      <c r="C221" s="23">
        <v>1.0</v>
      </c>
      <c r="D221" s="25"/>
      <c r="E221" s="14" t="s">
        <v>1014</v>
      </c>
      <c r="F221" s="25"/>
      <c r="G221" s="14" t="s">
        <v>1015</v>
      </c>
      <c r="H221" s="15"/>
      <c r="I221" s="14" t="s">
        <v>1016</v>
      </c>
      <c r="J221" s="15"/>
    </row>
    <row r="222" ht="14.25" customHeight="1">
      <c r="A222" s="10">
        <v>15.0</v>
      </c>
      <c r="B222" s="11" t="s">
        <v>1017</v>
      </c>
      <c r="C222" s="20">
        <v>1.0</v>
      </c>
      <c r="D222" s="22"/>
      <c r="E222" s="11" t="s">
        <v>1018</v>
      </c>
      <c r="F222" s="22"/>
      <c r="G222" s="11" t="s">
        <v>986</v>
      </c>
      <c r="H222" s="12"/>
      <c r="I222" s="11" t="s">
        <v>1019</v>
      </c>
      <c r="J222" s="12"/>
    </row>
    <row r="223" ht="14.25" customHeight="1">
      <c r="A223" s="13">
        <v>16.0</v>
      </c>
      <c r="B223" s="14" t="s">
        <v>1020</v>
      </c>
      <c r="C223" s="23">
        <v>0.0</v>
      </c>
      <c r="D223" s="25"/>
      <c r="E223" s="14" t="s">
        <v>1021</v>
      </c>
      <c r="F223" s="25"/>
      <c r="G223" s="14" t="s">
        <v>1022</v>
      </c>
      <c r="H223" s="15"/>
      <c r="I223" s="14" t="s">
        <v>1023</v>
      </c>
      <c r="J223" s="15"/>
    </row>
    <row r="224" ht="14.25" customHeight="1">
      <c r="A224" s="10">
        <v>17.0</v>
      </c>
      <c r="B224" s="11" t="s">
        <v>1024</v>
      </c>
      <c r="C224" s="20">
        <v>1.0</v>
      </c>
      <c r="D224" s="22"/>
      <c r="E224" s="11" t="s">
        <v>1025</v>
      </c>
      <c r="F224" s="21" t="s">
        <v>1697</v>
      </c>
      <c r="G224" s="11" t="s">
        <v>986</v>
      </c>
      <c r="H224" s="12"/>
      <c r="I224" s="11" t="s">
        <v>1026</v>
      </c>
      <c r="J224" s="12"/>
    </row>
    <row r="225" ht="14.25" customHeight="1">
      <c r="A225" s="13">
        <v>18.0</v>
      </c>
      <c r="B225" s="14" t="s">
        <v>1027</v>
      </c>
      <c r="C225" s="23">
        <v>1.0</v>
      </c>
      <c r="D225" s="25"/>
      <c r="E225" s="14" t="s">
        <v>1028</v>
      </c>
      <c r="F225" s="15"/>
      <c r="G225" s="14" t="s">
        <v>986</v>
      </c>
      <c r="H225" s="15"/>
      <c r="I225" s="14" t="s">
        <v>1029</v>
      </c>
      <c r="J225" s="15"/>
    </row>
    <row r="226" ht="14.25" customHeight="1">
      <c r="A226" s="10">
        <v>19.0</v>
      </c>
      <c r="B226" s="11" t="s">
        <v>1030</v>
      </c>
      <c r="C226" s="20">
        <v>1.0</v>
      </c>
      <c r="D226" s="22"/>
      <c r="E226" s="11" t="s">
        <v>1031</v>
      </c>
      <c r="F226" s="12"/>
      <c r="G226" s="11" t="s">
        <v>986</v>
      </c>
      <c r="H226" s="12"/>
      <c r="I226" s="11" t="s">
        <v>1032</v>
      </c>
      <c r="J226" s="12"/>
    </row>
    <row r="227" ht="14.25" customHeight="1">
      <c r="A227" s="13">
        <v>20.0</v>
      </c>
      <c r="B227" s="14" t="s">
        <v>1033</v>
      </c>
      <c r="C227" s="23">
        <v>1.0</v>
      </c>
      <c r="D227" s="25"/>
      <c r="E227" s="14" t="s">
        <v>1034</v>
      </c>
      <c r="F227" s="15"/>
      <c r="G227" s="14" t="s">
        <v>986</v>
      </c>
      <c r="H227" s="15"/>
      <c r="I227" s="14" t="s">
        <v>1035</v>
      </c>
      <c r="J227" s="15"/>
    </row>
    <row r="228" ht="14.25" customHeight="1">
      <c r="A228" s="10">
        <v>21.0</v>
      </c>
      <c r="B228" s="11" t="s">
        <v>1036</v>
      </c>
      <c r="C228" s="20">
        <v>1.0</v>
      </c>
      <c r="D228" s="22"/>
      <c r="E228" s="11" t="s">
        <v>1037</v>
      </c>
      <c r="F228" s="12"/>
      <c r="G228" s="11" t="s">
        <v>986</v>
      </c>
      <c r="H228" s="12"/>
      <c r="I228" s="11" t="s">
        <v>1038</v>
      </c>
      <c r="J228" s="12"/>
    </row>
    <row r="229" ht="14.25" customHeight="1">
      <c r="A229" s="13">
        <v>22.0</v>
      </c>
      <c r="B229" s="14" t="s">
        <v>1039</v>
      </c>
      <c r="C229" s="23">
        <v>1.0</v>
      </c>
      <c r="D229" s="25"/>
      <c r="E229" s="14" t="s">
        <v>1040</v>
      </c>
      <c r="F229" s="15"/>
      <c r="G229" s="14" t="s">
        <v>1041</v>
      </c>
      <c r="H229" s="15"/>
      <c r="I229" s="14" t="s">
        <v>1042</v>
      </c>
      <c r="J229" s="15"/>
    </row>
    <row r="230" ht="14.25" customHeight="1">
      <c r="A230" s="10">
        <v>23.0</v>
      </c>
      <c r="B230" s="11" t="s">
        <v>1043</v>
      </c>
      <c r="C230" s="20">
        <v>0.0</v>
      </c>
      <c r="D230" s="22"/>
      <c r="E230" s="11" t="s">
        <v>1044</v>
      </c>
      <c r="F230" s="12"/>
      <c r="G230" s="11" t="s">
        <v>1045</v>
      </c>
      <c r="H230" s="12"/>
      <c r="I230" s="11" t="s">
        <v>1046</v>
      </c>
      <c r="J230" s="12"/>
    </row>
    <row r="231" ht="14.25" customHeight="1">
      <c r="A231" s="13">
        <v>24.0</v>
      </c>
      <c r="B231" s="14" t="s">
        <v>1047</v>
      </c>
      <c r="C231" s="23">
        <v>0.0</v>
      </c>
      <c r="D231" s="25"/>
      <c r="E231" s="14" t="s">
        <v>1048</v>
      </c>
      <c r="F231" s="15"/>
      <c r="G231" s="14" t="s">
        <v>1049</v>
      </c>
      <c r="H231" s="15"/>
      <c r="I231" s="14" t="s">
        <v>1050</v>
      </c>
      <c r="J231" s="15"/>
    </row>
    <row r="232" ht="14.25" customHeight="1">
      <c r="A232" s="10">
        <v>25.0</v>
      </c>
      <c r="B232" s="11" t="s">
        <v>1051</v>
      </c>
      <c r="C232" s="20">
        <v>1.0</v>
      </c>
      <c r="D232" s="22"/>
      <c r="E232" s="11" t="s">
        <v>1052</v>
      </c>
      <c r="F232" s="12"/>
      <c r="G232" s="11" t="s">
        <v>986</v>
      </c>
      <c r="H232" s="12"/>
      <c r="I232" s="11" t="s">
        <v>1053</v>
      </c>
      <c r="J232" s="12"/>
    </row>
    <row r="233" ht="14.25" customHeight="1">
      <c r="A233" s="13">
        <v>26.0</v>
      </c>
      <c r="B233" s="14" t="s">
        <v>1054</v>
      </c>
      <c r="C233" s="23">
        <v>1.0</v>
      </c>
      <c r="D233" s="25"/>
      <c r="E233" s="14" t="s">
        <v>1055</v>
      </c>
      <c r="F233" s="15"/>
      <c r="G233" s="14" t="s">
        <v>986</v>
      </c>
      <c r="H233" s="15"/>
      <c r="I233" s="14" t="s">
        <v>1056</v>
      </c>
      <c r="J233" s="15"/>
    </row>
    <row r="234" ht="14.25" customHeight="1">
      <c r="A234" s="10">
        <v>27.0</v>
      </c>
      <c r="B234" s="11" t="s">
        <v>1057</v>
      </c>
      <c r="C234" s="20">
        <v>1.0</v>
      </c>
      <c r="D234" s="22"/>
      <c r="E234" s="11" t="s">
        <v>1058</v>
      </c>
      <c r="F234" s="12"/>
      <c r="G234" s="11" t="s">
        <v>1059</v>
      </c>
      <c r="H234" s="12"/>
      <c r="I234" s="11" t="s">
        <v>1060</v>
      </c>
      <c r="J234" s="12"/>
    </row>
    <row r="235" ht="14.25" customHeight="1">
      <c r="A235" s="13">
        <v>28.0</v>
      </c>
      <c r="B235" s="14" t="s">
        <v>1061</v>
      </c>
      <c r="C235" s="23">
        <v>1.0</v>
      </c>
      <c r="D235" s="25"/>
      <c r="E235" s="14" t="s">
        <v>1062</v>
      </c>
      <c r="F235" s="15"/>
      <c r="G235" s="14" t="s">
        <v>986</v>
      </c>
      <c r="H235" s="15"/>
      <c r="I235" s="14" t="s">
        <v>1063</v>
      </c>
      <c r="J235" s="15"/>
    </row>
    <row r="236" ht="14.25" customHeight="1">
      <c r="A236" s="10">
        <v>29.0</v>
      </c>
      <c r="B236" s="11" t="s">
        <v>1064</v>
      </c>
      <c r="C236" s="20">
        <v>1.0</v>
      </c>
      <c r="D236" s="22"/>
      <c r="E236" s="11" t="s">
        <v>1065</v>
      </c>
      <c r="F236" s="12"/>
      <c r="G236" s="11" t="s">
        <v>986</v>
      </c>
      <c r="H236" s="12"/>
      <c r="I236" s="11" t="s">
        <v>1066</v>
      </c>
      <c r="J236" s="12"/>
    </row>
    <row r="237" ht="14.25" customHeight="1">
      <c r="A237" s="13">
        <v>30.0</v>
      </c>
      <c r="B237" s="14" t="s">
        <v>1067</v>
      </c>
      <c r="C237" s="23">
        <v>1.0</v>
      </c>
      <c r="D237" s="25"/>
      <c r="E237" s="14" t="s">
        <v>1068</v>
      </c>
      <c r="F237" s="15"/>
      <c r="G237" s="14" t="s">
        <v>1069</v>
      </c>
      <c r="H237" s="15"/>
      <c r="I237" s="14" t="s">
        <v>1070</v>
      </c>
      <c r="J237" s="15"/>
    </row>
    <row r="238" ht="14.25" customHeight="1">
      <c r="A238" s="10">
        <v>31.0</v>
      </c>
      <c r="B238" s="11" t="s">
        <v>1071</v>
      </c>
      <c r="C238" s="20">
        <v>0.0</v>
      </c>
      <c r="D238" s="22"/>
      <c r="E238" s="11" t="s">
        <v>1072</v>
      </c>
      <c r="F238" s="12"/>
      <c r="G238" s="11" t="s">
        <v>1073</v>
      </c>
      <c r="H238" s="12"/>
      <c r="I238" s="11" t="s">
        <v>1074</v>
      </c>
      <c r="J238" s="12"/>
    </row>
    <row r="239" ht="14.25" customHeight="1">
      <c r="A239" s="13">
        <v>32.0</v>
      </c>
      <c r="B239" s="14" t="s">
        <v>1075</v>
      </c>
      <c r="C239" s="23">
        <v>1.0</v>
      </c>
      <c r="D239" s="25"/>
      <c r="E239" s="14" t="s">
        <v>1076</v>
      </c>
      <c r="F239" s="15"/>
      <c r="G239" s="14" t="s">
        <v>1077</v>
      </c>
      <c r="H239" s="15"/>
      <c r="I239" s="14" t="s">
        <v>1078</v>
      </c>
      <c r="J239" s="15"/>
    </row>
    <row r="240" ht="14.25" customHeight="1">
      <c r="A240" s="10">
        <v>33.0</v>
      </c>
      <c r="B240" s="11" t="s">
        <v>1079</v>
      </c>
      <c r="C240" s="20">
        <v>1.0</v>
      </c>
      <c r="D240" s="22"/>
      <c r="E240" s="11" t="s">
        <v>1080</v>
      </c>
      <c r="F240" s="12"/>
      <c r="G240" s="11" t="s">
        <v>1081</v>
      </c>
      <c r="H240" s="12"/>
      <c r="I240" s="11" t="s">
        <v>1082</v>
      </c>
      <c r="J240" s="12"/>
    </row>
    <row r="241" ht="14.25" customHeight="1">
      <c r="A241" s="13">
        <v>34.0</v>
      </c>
      <c r="B241" s="14" t="s">
        <v>1083</v>
      </c>
      <c r="C241" s="23">
        <v>0.0</v>
      </c>
      <c r="D241" s="25"/>
      <c r="E241" s="14" t="s">
        <v>1084</v>
      </c>
      <c r="F241" s="15"/>
      <c r="G241" s="14" t="s">
        <v>1085</v>
      </c>
      <c r="H241" s="15"/>
      <c r="I241" s="14" t="s">
        <v>1086</v>
      </c>
      <c r="J241" s="15"/>
    </row>
    <row r="242" ht="14.25" customHeight="1">
      <c r="A242" s="10">
        <v>35.0</v>
      </c>
      <c r="B242" s="11" t="s">
        <v>1087</v>
      </c>
      <c r="C242" s="20">
        <v>0.0</v>
      </c>
      <c r="D242" s="22"/>
      <c r="E242" s="11" t="s">
        <v>1088</v>
      </c>
      <c r="F242" s="12"/>
      <c r="G242" s="11" t="s">
        <v>1089</v>
      </c>
      <c r="H242" s="12"/>
      <c r="I242" s="11" t="s">
        <v>1090</v>
      </c>
      <c r="J242" s="12"/>
    </row>
    <row r="243" ht="14.25" customHeight="1">
      <c r="A243" s="13">
        <v>36.0</v>
      </c>
      <c r="B243" s="14" t="s">
        <v>1091</v>
      </c>
      <c r="C243" s="23">
        <v>1.0</v>
      </c>
      <c r="D243" s="25"/>
      <c r="E243" s="14" t="s">
        <v>1092</v>
      </c>
      <c r="F243" s="15"/>
      <c r="G243" s="14" t="s">
        <v>1093</v>
      </c>
      <c r="H243" s="15"/>
      <c r="I243" s="14" t="s">
        <v>1094</v>
      </c>
      <c r="J243" s="15"/>
    </row>
    <row r="244" ht="14.25" customHeight="1">
      <c r="A244" s="10">
        <v>37.0</v>
      </c>
      <c r="B244" s="11" t="s">
        <v>1095</v>
      </c>
      <c r="C244" s="20">
        <v>1.0</v>
      </c>
      <c r="D244" s="22"/>
      <c r="E244" s="11" t="s">
        <v>1096</v>
      </c>
      <c r="F244" s="12"/>
      <c r="G244" s="11" t="s">
        <v>1097</v>
      </c>
      <c r="H244" s="12"/>
      <c r="I244" s="11" t="s">
        <v>1098</v>
      </c>
      <c r="J244" s="12"/>
    </row>
    <row r="245" ht="14.25" customHeight="1">
      <c r="A245" s="13">
        <v>38.0</v>
      </c>
      <c r="B245" s="14" t="s">
        <v>1099</v>
      </c>
      <c r="C245" s="23">
        <v>1.0</v>
      </c>
      <c r="D245" s="25"/>
      <c r="E245" s="14" t="s">
        <v>1100</v>
      </c>
      <c r="F245" s="15"/>
      <c r="G245" s="14" t="s">
        <v>1101</v>
      </c>
      <c r="H245" s="15"/>
      <c r="I245" s="14" t="s">
        <v>1102</v>
      </c>
      <c r="J245" s="15"/>
    </row>
    <row r="246" ht="14.25" customHeight="1">
      <c r="A246" s="10">
        <v>39.0</v>
      </c>
      <c r="B246" s="11" t="s">
        <v>1103</v>
      </c>
      <c r="C246" s="20">
        <v>1.0</v>
      </c>
      <c r="D246" s="22"/>
      <c r="E246" s="11" t="s">
        <v>1104</v>
      </c>
      <c r="F246" s="12"/>
      <c r="G246" s="11" t="s">
        <v>1105</v>
      </c>
      <c r="H246" s="12"/>
      <c r="I246" s="11" t="s">
        <v>1106</v>
      </c>
      <c r="J246" s="12"/>
    </row>
    <row r="247" ht="14.25" customHeight="1">
      <c r="A247" s="13">
        <v>40.0</v>
      </c>
      <c r="B247" s="14" t="s">
        <v>1107</v>
      </c>
      <c r="C247" s="23">
        <v>1.0</v>
      </c>
      <c r="D247" s="25"/>
      <c r="E247" s="14" t="s">
        <v>1108</v>
      </c>
      <c r="F247" s="15"/>
      <c r="G247" s="14" t="s">
        <v>1109</v>
      </c>
      <c r="H247" s="15"/>
      <c r="I247" s="14" t="s">
        <v>1110</v>
      </c>
      <c r="J247" s="15"/>
    </row>
    <row r="248" ht="14.25" customHeight="1">
      <c r="A248" s="10">
        <v>41.0</v>
      </c>
      <c r="B248" s="11" t="s">
        <v>1111</v>
      </c>
      <c r="C248" s="20">
        <v>1.0</v>
      </c>
      <c r="D248" s="22"/>
      <c r="E248" s="11" t="s">
        <v>1112</v>
      </c>
      <c r="F248" s="12"/>
      <c r="G248" s="11" t="s">
        <v>1113</v>
      </c>
      <c r="H248" s="12"/>
      <c r="I248" s="11" t="s">
        <v>1114</v>
      </c>
      <c r="J248" s="12"/>
    </row>
    <row r="249" ht="14.25" customHeight="1">
      <c r="A249" s="13">
        <v>42.0</v>
      </c>
      <c r="B249" s="14" t="s">
        <v>1115</v>
      </c>
      <c r="C249" s="23">
        <v>0.0</v>
      </c>
      <c r="D249" s="25"/>
      <c r="E249" s="14" t="s">
        <v>1116</v>
      </c>
      <c r="F249" s="15"/>
      <c r="G249" s="14" t="s">
        <v>1117</v>
      </c>
      <c r="H249" s="15"/>
      <c r="I249" s="14" t="s">
        <v>1118</v>
      </c>
      <c r="J249" s="15"/>
    </row>
    <row r="250" ht="14.25" customHeight="1">
      <c r="A250" s="10">
        <v>43.0</v>
      </c>
      <c r="B250" s="11" t="s">
        <v>1119</v>
      </c>
      <c r="C250" s="20">
        <v>1.0</v>
      </c>
      <c r="D250" s="22"/>
      <c r="E250" s="11" t="s">
        <v>1120</v>
      </c>
      <c r="F250" s="12"/>
      <c r="G250" s="11" t="s">
        <v>1121</v>
      </c>
      <c r="H250" s="12"/>
      <c r="I250" s="11" t="s">
        <v>1122</v>
      </c>
      <c r="J250" s="12"/>
    </row>
    <row r="251" ht="14.25" customHeight="1">
      <c r="A251" s="13">
        <v>44.0</v>
      </c>
      <c r="B251" s="14" t="s">
        <v>1123</v>
      </c>
      <c r="C251" s="23">
        <v>1.0</v>
      </c>
      <c r="D251" s="25"/>
      <c r="E251" s="14" t="s">
        <v>1124</v>
      </c>
      <c r="G251" s="14" t="s">
        <v>1125</v>
      </c>
      <c r="H251" s="15"/>
      <c r="I251" s="14" t="s">
        <v>1126</v>
      </c>
      <c r="J251" s="15"/>
    </row>
    <row r="252" ht="14.25" customHeight="1">
      <c r="A252" s="10">
        <v>45.0</v>
      </c>
      <c r="B252" s="11" t="s">
        <v>1127</v>
      </c>
      <c r="C252" s="20">
        <v>1.0</v>
      </c>
      <c r="D252" s="22"/>
      <c r="E252" s="11" t="s">
        <v>1128</v>
      </c>
      <c r="F252" s="12"/>
      <c r="G252" s="11" t="s">
        <v>1129</v>
      </c>
      <c r="H252" s="12"/>
      <c r="I252" s="11" t="s">
        <v>1130</v>
      </c>
      <c r="J252" s="12"/>
    </row>
    <row r="253" ht="14.25" customHeight="1">
      <c r="A253" s="13">
        <v>46.0</v>
      </c>
      <c r="B253" s="14" t="s">
        <v>1131</v>
      </c>
      <c r="C253" s="23">
        <v>0.0</v>
      </c>
      <c r="D253" s="25"/>
      <c r="E253" s="14" t="s">
        <v>1132</v>
      </c>
      <c r="F253" s="15"/>
      <c r="G253" s="14" t="s">
        <v>1133</v>
      </c>
      <c r="H253" s="15"/>
      <c r="I253" s="14" t="s">
        <v>1134</v>
      </c>
      <c r="J253" s="15"/>
    </row>
    <row r="254" ht="14.25" customHeight="1">
      <c r="A254" s="10">
        <v>47.0</v>
      </c>
      <c r="B254" s="11" t="s">
        <v>1135</v>
      </c>
      <c r="C254" s="20">
        <v>1.0</v>
      </c>
      <c r="D254" s="22"/>
      <c r="E254" s="11" t="s">
        <v>1136</v>
      </c>
      <c r="F254" s="12"/>
      <c r="G254" s="11" t="s">
        <v>1137</v>
      </c>
      <c r="H254" s="12"/>
      <c r="I254" s="11" t="s">
        <v>1138</v>
      </c>
      <c r="J254" s="12"/>
    </row>
    <row r="255" ht="14.25" customHeight="1">
      <c r="A255" s="13">
        <v>48.0</v>
      </c>
      <c r="B255" s="14" t="s">
        <v>1139</v>
      </c>
      <c r="C255" s="23">
        <v>0.0</v>
      </c>
      <c r="D255" s="25"/>
      <c r="E255" s="14" t="s">
        <v>1140</v>
      </c>
      <c r="F255" s="15"/>
      <c r="G255" s="14" t="s">
        <v>1141</v>
      </c>
      <c r="H255" s="15"/>
      <c r="I255" s="14" t="s">
        <v>1142</v>
      </c>
      <c r="J255" s="15"/>
    </row>
    <row r="256" ht="14.25" customHeight="1">
      <c r="A256" s="10">
        <v>49.0</v>
      </c>
      <c r="B256" s="11" t="s">
        <v>1143</v>
      </c>
      <c r="C256" s="20">
        <v>1.0</v>
      </c>
      <c r="D256" s="22"/>
      <c r="E256" s="11" t="s">
        <v>1144</v>
      </c>
      <c r="F256" s="12"/>
      <c r="G256" s="11" t="s">
        <v>1145</v>
      </c>
      <c r="H256" s="12"/>
      <c r="I256" s="11" t="s">
        <v>1146</v>
      </c>
      <c r="J256" s="12"/>
    </row>
    <row r="257" ht="14.25" customHeight="1">
      <c r="A257" s="13">
        <v>50.0</v>
      </c>
      <c r="B257" s="14" t="s">
        <v>1147</v>
      </c>
      <c r="C257" s="23">
        <v>0.0</v>
      </c>
      <c r="D257" s="25"/>
      <c r="E257" s="14" t="s">
        <v>1148</v>
      </c>
      <c r="F257" s="15"/>
      <c r="G257" s="14" t="s">
        <v>1149</v>
      </c>
      <c r="H257" s="15"/>
      <c r="I257" s="14" t="s">
        <v>1150</v>
      </c>
      <c r="J257" s="15"/>
    </row>
    <row r="258" ht="14.25" customHeight="1">
      <c r="A258" s="10">
        <v>51.0</v>
      </c>
      <c r="B258" s="11" t="s">
        <v>1151</v>
      </c>
      <c r="C258" s="20">
        <v>1.0</v>
      </c>
      <c r="D258" s="22"/>
      <c r="E258" s="11" t="s">
        <v>1152</v>
      </c>
      <c r="F258" s="12"/>
      <c r="G258" s="11" t="s">
        <v>1153</v>
      </c>
      <c r="H258" s="12"/>
      <c r="I258" s="11" t="s">
        <v>1154</v>
      </c>
      <c r="J258" s="12"/>
    </row>
    <row r="259" ht="14.25" customHeight="1">
      <c r="A259" s="13">
        <v>52.0</v>
      </c>
      <c r="B259" s="14" t="s">
        <v>1155</v>
      </c>
      <c r="C259" s="23">
        <v>0.0</v>
      </c>
      <c r="D259" s="25"/>
      <c r="E259" s="14" t="s">
        <v>1156</v>
      </c>
      <c r="F259" s="15"/>
      <c r="G259" s="14" t="s">
        <v>1157</v>
      </c>
      <c r="H259" s="15"/>
      <c r="I259" s="14" t="s">
        <v>1158</v>
      </c>
      <c r="J259" s="15"/>
    </row>
    <row r="260" ht="14.25" customHeight="1">
      <c r="A260" s="10">
        <v>53.0</v>
      </c>
      <c r="B260" s="11" t="s">
        <v>1159</v>
      </c>
      <c r="C260" s="20">
        <v>1.0</v>
      </c>
      <c r="D260" s="22"/>
      <c r="E260" s="11" t="s">
        <v>1160</v>
      </c>
      <c r="F260" s="12"/>
      <c r="G260" s="11" t="s">
        <v>1161</v>
      </c>
      <c r="H260" s="12"/>
      <c r="I260" s="11" t="s">
        <v>1162</v>
      </c>
      <c r="J260" s="12"/>
    </row>
    <row r="261" ht="14.25" customHeight="1">
      <c r="A261" s="13">
        <v>54.0</v>
      </c>
      <c r="B261" s="14" t="s">
        <v>1163</v>
      </c>
      <c r="C261" s="23">
        <v>1.0</v>
      </c>
      <c r="D261" s="25"/>
      <c r="E261" s="14" t="s">
        <v>1164</v>
      </c>
      <c r="F261" s="15"/>
      <c r="G261" s="14" t="s">
        <v>1165</v>
      </c>
      <c r="H261" s="15"/>
      <c r="I261" s="14" t="s">
        <v>1166</v>
      </c>
      <c r="J261" s="15"/>
    </row>
    <row r="262" ht="14.25" customHeight="1">
      <c r="A262" s="10">
        <v>55.0</v>
      </c>
      <c r="B262" s="11" t="s">
        <v>1167</v>
      </c>
      <c r="C262" s="20">
        <v>1.0</v>
      </c>
      <c r="D262" s="22"/>
      <c r="E262" s="11" t="s">
        <v>1168</v>
      </c>
      <c r="F262" s="12"/>
      <c r="G262" s="11" t="s">
        <v>1149</v>
      </c>
      <c r="H262" s="12"/>
      <c r="I262" s="11" t="s">
        <v>1169</v>
      </c>
      <c r="J262" s="12"/>
    </row>
    <row r="263" ht="14.25" customHeight="1">
      <c r="A263" s="13">
        <v>56.0</v>
      </c>
      <c r="B263" s="14" t="s">
        <v>1170</v>
      </c>
      <c r="C263" s="23">
        <v>1.0</v>
      </c>
      <c r="D263" s="25"/>
      <c r="E263" s="14" t="s">
        <v>1171</v>
      </c>
      <c r="F263" s="15"/>
      <c r="G263" s="14" t="s">
        <v>1172</v>
      </c>
      <c r="H263" s="15"/>
      <c r="I263" s="14" t="s">
        <v>1173</v>
      </c>
      <c r="J263" s="15"/>
    </row>
    <row r="264" ht="14.25" customHeight="1">
      <c r="A264" s="10">
        <v>57.0</v>
      </c>
      <c r="B264" s="11" t="s">
        <v>1174</v>
      </c>
      <c r="C264" s="20">
        <v>1.0</v>
      </c>
      <c r="D264" s="22"/>
      <c r="E264" s="11" t="s">
        <v>1175</v>
      </c>
      <c r="F264" s="12"/>
      <c r="G264" s="11" t="s">
        <v>1176</v>
      </c>
      <c r="H264" s="12"/>
      <c r="I264" s="11" t="s">
        <v>1177</v>
      </c>
      <c r="J264" s="12"/>
    </row>
    <row r="265" ht="14.25" customHeight="1">
      <c r="A265" s="13">
        <v>58.0</v>
      </c>
      <c r="B265" s="14" t="s">
        <v>1178</v>
      </c>
      <c r="C265" s="23">
        <v>1.0</v>
      </c>
      <c r="D265" s="25"/>
      <c r="E265" s="14" t="s">
        <v>1179</v>
      </c>
      <c r="F265" s="15"/>
      <c r="G265" s="14" t="s">
        <v>1180</v>
      </c>
      <c r="H265" s="15"/>
      <c r="I265" s="14" t="s">
        <v>1181</v>
      </c>
      <c r="J265" s="15"/>
    </row>
    <row r="266" ht="14.25" customHeight="1">
      <c r="A266" s="10">
        <v>59.0</v>
      </c>
      <c r="B266" s="11" t="s">
        <v>1182</v>
      </c>
      <c r="C266" s="20">
        <v>1.0</v>
      </c>
      <c r="D266" s="22"/>
      <c r="E266" s="11" t="s">
        <v>1183</v>
      </c>
      <c r="F266" s="12"/>
      <c r="G266" s="11" t="s">
        <v>986</v>
      </c>
      <c r="H266" s="12"/>
      <c r="I266" s="11" t="s">
        <v>1184</v>
      </c>
      <c r="J266" s="12"/>
    </row>
    <row r="267" ht="14.25" customHeight="1">
      <c r="A267" s="13">
        <v>60.0</v>
      </c>
      <c r="B267" s="14" t="s">
        <v>1185</v>
      </c>
      <c r="C267" s="23">
        <v>1.0</v>
      </c>
      <c r="D267" s="25"/>
      <c r="E267" s="14" t="s">
        <v>1186</v>
      </c>
      <c r="F267" s="15"/>
      <c r="G267" s="14" t="s">
        <v>1187</v>
      </c>
      <c r="H267" s="15"/>
      <c r="I267" s="14" t="s">
        <v>1188</v>
      </c>
      <c r="J267" s="15"/>
    </row>
    <row r="268" ht="14.25" customHeight="1">
      <c r="A268" s="10">
        <v>61.0</v>
      </c>
      <c r="B268" s="11" t="s">
        <v>1189</v>
      </c>
      <c r="C268" s="20">
        <v>0.0</v>
      </c>
      <c r="D268" s="22"/>
      <c r="E268" s="11" t="s">
        <v>1190</v>
      </c>
      <c r="F268" s="12"/>
      <c r="G268" s="11" t="s">
        <v>1191</v>
      </c>
      <c r="H268" s="12"/>
      <c r="I268" s="11" t="s">
        <v>1192</v>
      </c>
      <c r="J268" s="12"/>
    </row>
    <row r="269" ht="14.25" customHeight="1">
      <c r="A269" s="13">
        <v>62.0</v>
      </c>
      <c r="B269" s="14" t="s">
        <v>1193</v>
      </c>
      <c r="C269" s="23">
        <v>0.0</v>
      </c>
      <c r="D269" s="25"/>
      <c r="E269" s="14" t="s">
        <v>1194</v>
      </c>
      <c r="F269" s="15"/>
      <c r="G269" s="14" t="s">
        <v>1195</v>
      </c>
      <c r="H269" s="15"/>
      <c r="I269" s="14" t="s">
        <v>1196</v>
      </c>
      <c r="J269" s="15"/>
    </row>
    <row r="270" ht="14.25" customHeight="1">
      <c r="A270" s="10">
        <v>63.0</v>
      </c>
      <c r="B270" s="11" t="s">
        <v>1197</v>
      </c>
      <c r="C270" s="20">
        <v>1.0</v>
      </c>
      <c r="D270" s="22"/>
      <c r="E270" s="11" t="s">
        <v>1198</v>
      </c>
      <c r="F270" s="12"/>
      <c r="G270" s="11" t="s">
        <v>1199</v>
      </c>
      <c r="H270" s="12"/>
      <c r="I270" s="11" t="s">
        <v>1200</v>
      </c>
      <c r="J270" s="12"/>
    </row>
    <row r="271" ht="14.25" customHeight="1">
      <c r="A271" s="13">
        <v>64.0</v>
      </c>
      <c r="B271" s="14" t="s">
        <v>1201</v>
      </c>
      <c r="C271" s="23">
        <v>1.0</v>
      </c>
      <c r="D271" s="25"/>
      <c r="E271" s="14" t="s">
        <v>1202</v>
      </c>
      <c r="F271" s="15"/>
      <c r="G271" s="14" t="s">
        <v>1203</v>
      </c>
      <c r="H271" s="15"/>
      <c r="I271" s="14" t="s">
        <v>1204</v>
      </c>
      <c r="J271" s="15"/>
    </row>
    <row r="272" ht="14.25" customHeight="1">
      <c r="A272" s="10">
        <v>65.0</v>
      </c>
      <c r="B272" s="11" t="s">
        <v>1205</v>
      </c>
      <c r="C272" s="20">
        <v>1.0</v>
      </c>
      <c r="D272" s="22"/>
      <c r="E272" s="11" t="s">
        <v>1206</v>
      </c>
      <c r="F272" s="12"/>
      <c r="G272" s="11" t="s">
        <v>1207</v>
      </c>
      <c r="H272" s="12"/>
      <c r="I272" s="11" t="s">
        <v>1208</v>
      </c>
      <c r="J272" s="12"/>
    </row>
    <row r="273" ht="14.25" customHeight="1">
      <c r="A273" s="13">
        <v>66.0</v>
      </c>
      <c r="B273" s="14" t="s">
        <v>1209</v>
      </c>
      <c r="C273" s="23">
        <v>1.0</v>
      </c>
      <c r="D273" s="25"/>
      <c r="E273" s="14" t="s">
        <v>1210</v>
      </c>
      <c r="F273" s="15"/>
      <c r="G273" s="14" t="s">
        <v>1211</v>
      </c>
      <c r="H273" s="15"/>
      <c r="I273" s="14" t="s">
        <v>1212</v>
      </c>
      <c r="J273" s="15"/>
    </row>
    <row r="274" ht="14.25" customHeight="1">
      <c r="A274" s="10">
        <v>67.0</v>
      </c>
      <c r="B274" s="11" t="s">
        <v>1213</v>
      </c>
      <c r="C274" s="20">
        <v>1.0</v>
      </c>
      <c r="D274" s="22"/>
      <c r="E274" s="11" t="s">
        <v>1214</v>
      </c>
      <c r="F274" s="12"/>
      <c r="G274" s="11" t="s">
        <v>1215</v>
      </c>
      <c r="H274" s="12"/>
      <c r="I274" s="11" t="s">
        <v>1216</v>
      </c>
      <c r="J274" s="12"/>
    </row>
    <row r="275" ht="14.25" customHeight="1">
      <c r="A275" s="13">
        <v>68.0</v>
      </c>
      <c r="B275" s="14" t="s">
        <v>1217</v>
      </c>
      <c r="C275" s="23">
        <v>1.0</v>
      </c>
      <c r="D275" s="25"/>
      <c r="E275" s="14" t="s">
        <v>1218</v>
      </c>
      <c r="F275" s="15"/>
      <c r="G275" s="14" t="s">
        <v>1219</v>
      </c>
      <c r="H275" s="15"/>
      <c r="I275" s="14" t="s">
        <v>1220</v>
      </c>
      <c r="J275" s="15"/>
    </row>
    <row r="276" ht="14.25" customHeight="1">
      <c r="A276" s="10">
        <v>69.0</v>
      </c>
      <c r="B276" s="11" t="s">
        <v>1221</v>
      </c>
      <c r="C276" s="20">
        <v>1.0</v>
      </c>
      <c r="D276" s="21" t="s">
        <v>1698</v>
      </c>
      <c r="E276" s="11" t="s">
        <v>1222</v>
      </c>
      <c r="F276" s="12"/>
      <c r="G276" s="11" t="s">
        <v>974</v>
      </c>
      <c r="H276" s="12"/>
      <c r="I276" s="11" t="s">
        <v>1223</v>
      </c>
      <c r="J276" s="12"/>
    </row>
    <row r="277" ht="14.25" customHeight="1">
      <c r="A277" s="13">
        <v>70.0</v>
      </c>
      <c r="B277" s="14" t="s">
        <v>1224</v>
      </c>
      <c r="C277" s="23">
        <v>0.0</v>
      </c>
      <c r="D277" s="25"/>
      <c r="E277" s="14" t="s">
        <v>1225</v>
      </c>
      <c r="F277" s="15"/>
      <c r="G277" s="14" t="s">
        <v>1226</v>
      </c>
      <c r="H277" s="15"/>
      <c r="I277" s="14" t="s">
        <v>1227</v>
      </c>
      <c r="J277" s="15"/>
    </row>
    <row r="278" ht="14.25" customHeight="1">
      <c r="A278" s="10">
        <v>71.0</v>
      </c>
      <c r="B278" s="11" t="s">
        <v>1228</v>
      </c>
      <c r="C278" s="20">
        <v>1.0</v>
      </c>
      <c r="D278" s="22"/>
      <c r="E278" s="11" t="s">
        <v>1229</v>
      </c>
      <c r="F278" s="12"/>
      <c r="G278" s="11" t="s">
        <v>287</v>
      </c>
      <c r="H278" s="12"/>
      <c r="I278" s="11" t="s">
        <v>1230</v>
      </c>
      <c r="J278" s="12"/>
    </row>
    <row r="279" ht="14.25" customHeight="1">
      <c r="A279" s="13">
        <v>72.0</v>
      </c>
      <c r="B279" s="14" t="s">
        <v>1231</v>
      </c>
      <c r="C279" s="23">
        <v>1.0</v>
      </c>
      <c r="D279" s="25"/>
      <c r="E279" s="14" t="s">
        <v>1100</v>
      </c>
      <c r="F279" s="15"/>
      <c r="G279" s="14" t="s">
        <v>1101</v>
      </c>
      <c r="H279" s="15"/>
      <c r="I279" s="14" t="s">
        <v>1232</v>
      </c>
      <c r="J279" s="15"/>
    </row>
    <row r="280" ht="14.25" customHeight="1">
      <c r="A280" s="10">
        <v>73.0</v>
      </c>
      <c r="B280" s="11" t="s">
        <v>1233</v>
      </c>
      <c r="C280" s="20">
        <v>0.0</v>
      </c>
      <c r="D280" s="22"/>
      <c r="E280" s="11" t="s">
        <v>1234</v>
      </c>
      <c r="F280" s="12"/>
      <c r="G280" s="11" t="s">
        <v>1235</v>
      </c>
      <c r="H280" s="12"/>
      <c r="I280" s="11" t="s">
        <v>1236</v>
      </c>
      <c r="J280" s="12"/>
    </row>
    <row r="281" ht="14.25" customHeight="1">
      <c r="A281" s="13">
        <v>74.0</v>
      </c>
      <c r="B281" s="14" t="s">
        <v>1237</v>
      </c>
      <c r="C281" s="23">
        <v>1.0</v>
      </c>
      <c r="D281" s="25"/>
      <c r="E281" s="14" t="s">
        <v>1238</v>
      </c>
      <c r="F281" s="15"/>
      <c r="G281" s="14" t="s">
        <v>1239</v>
      </c>
      <c r="H281" s="15"/>
      <c r="I281" s="14" t="s">
        <v>1240</v>
      </c>
      <c r="J281" s="15"/>
    </row>
    <row r="282" ht="14.25" customHeight="1">
      <c r="A282" s="10">
        <v>75.0</v>
      </c>
      <c r="B282" s="11" t="s">
        <v>1241</v>
      </c>
      <c r="C282" s="20">
        <v>1.0</v>
      </c>
      <c r="D282" s="22"/>
      <c r="E282" s="11" t="s">
        <v>1242</v>
      </c>
      <c r="F282" s="12"/>
      <c r="G282" s="11" t="s">
        <v>1243</v>
      </c>
      <c r="H282" s="12"/>
      <c r="I282" s="11" t="s">
        <v>1244</v>
      </c>
      <c r="J282" s="12"/>
    </row>
    <row r="283" ht="14.25" customHeight="1">
      <c r="A283" s="13">
        <v>76.0</v>
      </c>
      <c r="B283" s="14" t="s">
        <v>1245</v>
      </c>
      <c r="C283" s="23">
        <v>1.0</v>
      </c>
      <c r="D283" s="25"/>
      <c r="E283" s="14" t="s">
        <v>1246</v>
      </c>
      <c r="F283" s="15"/>
      <c r="G283" s="14" t="s">
        <v>1247</v>
      </c>
      <c r="H283" s="15"/>
      <c r="I283" s="14" t="s">
        <v>1248</v>
      </c>
      <c r="J283" s="15"/>
    </row>
    <row r="284" ht="14.25" customHeight="1">
      <c r="A284" s="10">
        <v>77.0</v>
      </c>
      <c r="B284" s="11" t="s">
        <v>1249</v>
      </c>
      <c r="C284" s="20">
        <v>1.0</v>
      </c>
      <c r="D284" s="22"/>
      <c r="E284" s="11" t="s">
        <v>1250</v>
      </c>
      <c r="F284" s="12"/>
      <c r="G284" s="11" t="s">
        <v>1251</v>
      </c>
      <c r="H284" s="12"/>
      <c r="I284" s="11" t="s">
        <v>1252</v>
      </c>
      <c r="J284" s="12"/>
    </row>
    <row r="285" ht="14.25" customHeight="1">
      <c r="A285" s="13">
        <v>78.0</v>
      </c>
      <c r="B285" s="14" t="s">
        <v>1253</v>
      </c>
      <c r="C285" s="23">
        <v>1.0</v>
      </c>
      <c r="D285" s="25"/>
      <c r="E285" s="14" t="s">
        <v>1254</v>
      </c>
      <c r="F285" s="15"/>
      <c r="G285" s="14" t="s">
        <v>1077</v>
      </c>
      <c r="H285" s="15"/>
      <c r="I285" s="14" t="s">
        <v>1255</v>
      </c>
      <c r="J285" s="15"/>
    </row>
    <row r="286" ht="14.25" customHeight="1">
      <c r="A286" s="10">
        <v>79.0</v>
      </c>
      <c r="B286" s="11" t="s">
        <v>1256</v>
      </c>
      <c r="C286" s="20">
        <v>1.0</v>
      </c>
      <c r="D286" s="22"/>
      <c r="E286" s="11" t="s">
        <v>1257</v>
      </c>
      <c r="F286" s="12"/>
      <c r="G286" s="11" t="s">
        <v>1258</v>
      </c>
      <c r="H286" s="12"/>
      <c r="I286" s="11" t="s">
        <v>1259</v>
      </c>
      <c r="J286" s="12"/>
    </row>
    <row r="287" ht="14.25" customHeight="1">
      <c r="A287" s="13">
        <v>80.0</v>
      </c>
      <c r="B287" s="14" t="s">
        <v>1260</v>
      </c>
      <c r="C287" s="23">
        <v>1.0</v>
      </c>
      <c r="D287" s="25"/>
      <c r="E287" s="14" t="s">
        <v>1261</v>
      </c>
      <c r="F287" s="15"/>
      <c r="G287" s="14" t="s">
        <v>1262</v>
      </c>
      <c r="H287" s="15"/>
      <c r="I287" s="14" t="s">
        <v>1263</v>
      </c>
      <c r="J287" s="15"/>
    </row>
    <row r="288" ht="14.25" customHeight="1">
      <c r="A288" s="10">
        <v>81.0</v>
      </c>
      <c r="B288" s="11" t="s">
        <v>1264</v>
      </c>
      <c r="C288" s="20">
        <v>0.0</v>
      </c>
      <c r="D288" s="22"/>
      <c r="E288" s="11" t="s">
        <v>1265</v>
      </c>
      <c r="F288" s="12"/>
      <c r="G288" s="11" t="s">
        <v>1266</v>
      </c>
      <c r="H288" s="12"/>
      <c r="I288" s="11" t="s">
        <v>1267</v>
      </c>
      <c r="J288" s="12"/>
    </row>
    <row r="289" ht="14.25" customHeight="1">
      <c r="A289" s="13">
        <v>82.0</v>
      </c>
      <c r="B289" s="14" t="s">
        <v>1268</v>
      </c>
      <c r="C289" s="23">
        <v>1.0</v>
      </c>
      <c r="D289" s="24" t="s">
        <v>1699</v>
      </c>
      <c r="E289" s="14" t="s">
        <v>1269</v>
      </c>
      <c r="F289" s="15"/>
      <c r="G289" s="14" t="s">
        <v>1270</v>
      </c>
      <c r="H289" s="15"/>
      <c r="I289" s="14" t="s">
        <v>1271</v>
      </c>
      <c r="J289" s="15"/>
    </row>
    <row r="290" ht="14.25" customHeight="1">
      <c r="A290" s="10">
        <v>83.0</v>
      </c>
      <c r="B290" s="11" t="s">
        <v>1272</v>
      </c>
      <c r="C290" s="20">
        <v>1.0</v>
      </c>
      <c r="D290" s="22"/>
      <c r="E290" s="11" t="s">
        <v>1273</v>
      </c>
      <c r="F290" s="12"/>
      <c r="G290" s="11" t="s">
        <v>1274</v>
      </c>
      <c r="H290" s="12"/>
      <c r="I290" s="11" t="s">
        <v>1275</v>
      </c>
      <c r="J290" s="12"/>
    </row>
    <row r="291" ht="14.25" customHeight="1">
      <c r="A291" s="13">
        <v>84.0</v>
      </c>
      <c r="B291" s="14" t="s">
        <v>1276</v>
      </c>
      <c r="C291" s="23">
        <v>1.0</v>
      </c>
      <c r="D291" s="25"/>
      <c r="E291" s="14" t="s">
        <v>1277</v>
      </c>
      <c r="F291" s="15"/>
      <c r="G291" s="14" t="s">
        <v>1278</v>
      </c>
      <c r="H291" s="15"/>
      <c r="I291" s="14" t="s">
        <v>1279</v>
      </c>
      <c r="J291" s="15"/>
    </row>
    <row r="292" ht="14.25" customHeight="1">
      <c r="A292" s="10">
        <v>85.0</v>
      </c>
      <c r="B292" s="11" t="s">
        <v>1280</v>
      </c>
      <c r="C292" s="20">
        <v>1.0</v>
      </c>
      <c r="D292" s="22"/>
      <c r="E292" s="11" t="s">
        <v>1281</v>
      </c>
      <c r="F292" s="12"/>
      <c r="G292" s="11" t="s">
        <v>994</v>
      </c>
      <c r="H292" s="12"/>
      <c r="I292" s="11" t="s">
        <v>1282</v>
      </c>
      <c r="J292" s="12"/>
    </row>
    <row r="293" ht="14.25" customHeight="1">
      <c r="A293" s="13">
        <v>86.0</v>
      </c>
      <c r="B293" s="14" t="s">
        <v>1283</v>
      </c>
      <c r="C293" s="23">
        <v>1.0</v>
      </c>
      <c r="D293" s="25"/>
      <c r="E293" s="14" t="s">
        <v>1284</v>
      </c>
      <c r="F293" s="15"/>
      <c r="G293" s="14" t="s">
        <v>1285</v>
      </c>
      <c r="H293" s="15"/>
      <c r="I293" s="14" t="s">
        <v>1286</v>
      </c>
      <c r="J293" s="15"/>
    </row>
    <row r="294" ht="14.25" customHeight="1">
      <c r="A294" s="10">
        <v>87.0</v>
      </c>
      <c r="B294" s="11" t="s">
        <v>1287</v>
      </c>
      <c r="C294" s="20">
        <v>1.0</v>
      </c>
      <c r="D294" s="22"/>
      <c r="E294" s="11" t="s">
        <v>1288</v>
      </c>
      <c r="F294" s="12"/>
      <c r="G294" s="11" t="s">
        <v>1289</v>
      </c>
      <c r="H294" s="12"/>
      <c r="I294" s="11" t="s">
        <v>1290</v>
      </c>
      <c r="J294" s="12"/>
    </row>
    <row r="295" ht="14.25" customHeight="1">
      <c r="A295" s="13">
        <v>88.0</v>
      </c>
      <c r="B295" s="14" t="s">
        <v>1291</v>
      </c>
      <c r="C295" s="23">
        <v>1.0</v>
      </c>
      <c r="D295" s="25"/>
      <c r="E295" s="14" t="s">
        <v>1292</v>
      </c>
      <c r="G295" s="14" t="s">
        <v>1293</v>
      </c>
      <c r="H295" s="15"/>
      <c r="I295" s="14" t="s">
        <v>1294</v>
      </c>
      <c r="J295" s="15"/>
    </row>
    <row r="296" ht="14.25" customHeight="1">
      <c r="A296" s="10">
        <v>89.0</v>
      </c>
      <c r="B296" s="11" t="s">
        <v>1295</v>
      </c>
      <c r="C296" s="20">
        <v>1.0</v>
      </c>
      <c r="D296" s="22"/>
      <c r="E296" s="11" t="s">
        <v>1296</v>
      </c>
      <c r="F296" s="12"/>
      <c r="G296" s="11" t="s">
        <v>1297</v>
      </c>
      <c r="H296" s="12"/>
      <c r="I296" s="11" t="s">
        <v>1298</v>
      </c>
      <c r="J296" s="12"/>
    </row>
    <row r="297" ht="14.25" customHeight="1">
      <c r="A297" s="13">
        <v>90.0</v>
      </c>
      <c r="B297" s="14" t="s">
        <v>1299</v>
      </c>
      <c r="C297" s="23">
        <v>1.0</v>
      </c>
      <c r="D297" s="25"/>
      <c r="E297" s="14" t="s">
        <v>1300</v>
      </c>
      <c r="F297" s="15"/>
      <c r="G297" s="14" t="s">
        <v>1301</v>
      </c>
      <c r="H297" s="15"/>
      <c r="I297" s="14" t="s">
        <v>1302</v>
      </c>
      <c r="J297" s="15"/>
    </row>
    <row r="298" ht="14.25" customHeight="1">
      <c r="A298" s="10">
        <v>91.0</v>
      </c>
      <c r="B298" s="11" t="s">
        <v>1303</v>
      </c>
      <c r="C298" s="20">
        <v>1.0</v>
      </c>
      <c r="D298" s="22"/>
      <c r="E298" s="11" t="s">
        <v>1304</v>
      </c>
      <c r="F298" s="12"/>
      <c r="G298" s="11" t="s">
        <v>1305</v>
      </c>
      <c r="H298" s="12"/>
      <c r="I298" s="11" t="s">
        <v>1306</v>
      </c>
    </row>
    <row r="299" ht="14.25" customHeight="1">
      <c r="A299" s="13">
        <v>92.0</v>
      </c>
      <c r="B299" s="14" t="s">
        <v>1307</v>
      </c>
      <c r="C299" s="23">
        <v>1.0</v>
      </c>
      <c r="D299" s="25"/>
      <c r="E299" s="14" t="s">
        <v>1308</v>
      </c>
      <c r="F299" s="15"/>
      <c r="G299" s="14" t="s">
        <v>1309</v>
      </c>
      <c r="H299" s="15"/>
      <c r="I299" s="14" t="s">
        <v>1310</v>
      </c>
      <c r="J299" s="15"/>
    </row>
    <row r="300" ht="14.25" customHeight="1">
      <c r="A300" s="10">
        <v>93.0</v>
      </c>
      <c r="B300" s="11" t="s">
        <v>1311</v>
      </c>
      <c r="C300" s="20">
        <v>1.0</v>
      </c>
      <c r="D300" s="22"/>
      <c r="E300" s="11" t="s">
        <v>1312</v>
      </c>
      <c r="F300" s="12"/>
      <c r="G300" s="11" t="s">
        <v>1313</v>
      </c>
      <c r="H300" s="12"/>
      <c r="I300" s="11" t="s">
        <v>1314</v>
      </c>
      <c r="J300" s="12"/>
    </row>
    <row r="301" ht="14.25" customHeight="1">
      <c r="A301" s="13">
        <v>94.0</v>
      </c>
      <c r="B301" s="14" t="s">
        <v>1315</v>
      </c>
      <c r="C301" s="23">
        <v>1.0</v>
      </c>
      <c r="D301" s="25"/>
      <c r="E301" s="14" t="s">
        <v>1316</v>
      </c>
      <c r="F301" s="15"/>
      <c r="G301" s="14" t="s">
        <v>1317</v>
      </c>
      <c r="H301" s="15"/>
      <c r="I301" s="14" t="s">
        <v>1318</v>
      </c>
      <c r="J301" s="15"/>
    </row>
    <row r="302" ht="14.25" customHeight="1">
      <c r="A302" s="10">
        <v>95.0</v>
      </c>
      <c r="B302" s="11" t="s">
        <v>1319</v>
      </c>
      <c r="C302" s="20">
        <v>1.0</v>
      </c>
      <c r="D302" s="22"/>
      <c r="E302" s="11" t="s">
        <v>1320</v>
      </c>
      <c r="F302" s="12"/>
      <c r="G302" s="11" t="s">
        <v>1321</v>
      </c>
      <c r="H302" s="12"/>
      <c r="I302" s="11" t="s">
        <v>1322</v>
      </c>
      <c r="J302" s="12"/>
    </row>
    <row r="303" ht="14.25" customHeight="1">
      <c r="A303" s="13">
        <v>96.0</v>
      </c>
      <c r="B303" s="14" t="s">
        <v>1323</v>
      </c>
      <c r="C303" s="23">
        <v>1.0</v>
      </c>
      <c r="D303" s="25"/>
      <c r="E303" s="14" t="s">
        <v>1324</v>
      </c>
      <c r="F303" s="15"/>
      <c r="G303" s="14" t="s">
        <v>970</v>
      </c>
      <c r="H303" s="15"/>
      <c r="I303" s="14" t="s">
        <v>1325</v>
      </c>
      <c r="J303" s="15"/>
    </row>
    <row r="304" ht="14.25" customHeight="1">
      <c r="A304" s="10">
        <v>97.0</v>
      </c>
      <c r="B304" s="11" t="s">
        <v>1326</v>
      </c>
      <c r="C304" s="20">
        <v>1.0</v>
      </c>
      <c r="D304" s="22"/>
      <c r="E304" s="11" t="s">
        <v>1327</v>
      </c>
      <c r="F304" s="12"/>
      <c r="G304" s="11" t="s">
        <v>1328</v>
      </c>
      <c r="H304" s="12"/>
      <c r="I304" s="11" t="s">
        <v>1329</v>
      </c>
      <c r="J304" s="12"/>
    </row>
    <row r="305" ht="14.25" customHeight="1">
      <c r="A305" s="13">
        <v>98.0</v>
      </c>
      <c r="B305" s="14" t="s">
        <v>1330</v>
      </c>
      <c r="C305" s="23">
        <v>1.0</v>
      </c>
      <c r="D305" s="25"/>
      <c r="E305" s="14" t="s">
        <v>1331</v>
      </c>
      <c r="F305" s="15"/>
      <c r="G305" s="14" t="s">
        <v>1332</v>
      </c>
      <c r="H305" s="15"/>
      <c r="I305" s="14" t="s">
        <v>1333</v>
      </c>
      <c r="J305" s="15"/>
    </row>
    <row r="306" ht="14.25" customHeight="1">
      <c r="A306" s="10">
        <v>99.0</v>
      </c>
      <c r="B306" s="11" t="s">
        <v>1334</v>
      </c>
      <c r="C306" s="20">
        <v>1.0</v>
      </c>
      <c r="D306" s="22"/>
      <c r="E306" s="11" t="s">
        <v>1335</v>
      </c>
      <c r="F306" s="12"/>
      <c r="G306" s="11" t="s">
        <v>1336</v>
      </c>
      <c r="H306" s="12"/>
      <c r="I306" s="11" t="s">
        <v>1337</v>
      </c>
      <c r="J306" s="12"/>
    </row>
    <row r="307" ht="14.25" customHeight="1">
      <c r="A307" s="13">
        <v>100.0</v>
      </c>
      <c r="B307" s="14" t="s">
        <v>1338</v>
      </c>
      <c r="C307" s="23">
        <v>0.0</v>
      </c>
      <c r="D307" s="25"/>
      <c r="E307" s="14" t="s">
        <v>1339</v>
      </c>
      <c r="F307" s="15"/>
      <c r="G307" s="14" t="s">
        <v>1340</v>
      </c>
      <c r="H307" s="15"/>
      <c r="I307" s="14" t="s">
        <v>1341</v>
      </c>
      <c r="J307" s="15"/>
    </row>
    <row r="308" ht="14.25" customHeight="1">
      <c r="A308" s="10">
        <v>101.0</v>
      </c>
      <c r="B308" s="11" t="s">
        <v>1342</v>
      </c>
      <c r="C308" s="20">
        <v>1.0</v>
      </c>
      <c r="D308" s="22"/>
      <c r="E308" s="11" t="s">
        <v>1343</v>
      </c>
      <c r="F308" s="12"/>
      <c r="G308" s="11" t="s">
        <v>1344</v>
      </c>
      <c r="H308" s="12"/>
      <c r="I308" s="11" t="s">
        <v>1345</v>
      </c>
      <c r="J308" s="12"/>
    </row>
    <row r="309" ht="14.25" customHeight="1">
      <c r="A309" s="13">
        <v>102.0</v>
      </c>
      <c r="B309" s="14" t="s">
        <v>1346</v>
      </c>
      <c r="C309" s="23">
        <v>1.0</v>
      </c>
      <c r="D309" s="25"/>
      <c r="E309" s="14" t="s">
        <v>1347</v>
      </c>
      <c r="F309" s="15"/>
      <c r="G309" s="14" t="s">
        <v>1348</v>
      </c>
      <c r="H309" s="15"/>
      <c r="I309" s="14" t="s">
        <v>1349</v>
      </c>
      <c r="J309" s="15"/>
    </row>
    <row r="310" ht="14.25" customHeight="1">
      <c r="A310" s="10">
        <v>103.0</v>
      </c>
      <c r="B310" s="11" t="s">
        <v>1350</v>
      </c>
      <c r="C310" s="20">
        <v>0.0</v>
      </c>
      <c r="D310" s="22"/>
      <c r="E310" s="11" t="s">
        <v>1351</v>
      </c>
      <c r="F310" s="12"/>
      <c r="G310" s="11" t="s">
        <v>1352</v>
      </c>
      <c r="H310" s="12"/>
      <c r="I310" s="11" t="s">
        <v>1353</v>
      </c>
      <c r="J310" s="12"/>
    </row>
    <row r="311" ht="14.25" customHeight="1">
      <c r="A311" s="13">
        <v>104.0</v>
      </c>
      <c r="B311" s="14" t="s">
        <v>1354</v>
      </c>
      <c r="C311" s="23">
        <v>1.0</v>
      </c>
      <c r="D311" s="25"/>
      <c r="E311" s="14" t="s">
        <v>1355</v>
      </c>
      <c r="F311" s="15"/>
      <c r="G311" s="14" t="s">
        <v>1356</v>
      </c>
      <c r="H311" s="15"/>
      <c r="I311" s="14" t="s">
        <v>1357</v>
      </c>
      <c r="J311" s="15"/>
    </row>
    <row r="312" ht="14.25" customHeight="1">
      <c r="A312" s="10">
        <v>105.0</v>
      </c>
      <c r="B312" s="11" t="s">
        <v>1358</v>
      </c>
      <c r="C312" s="20">
        <v>1.0</v>
      </c>
      <c r="D312" s="22"/>
      <c r="E312" s="11" t="s">
        <v>1359</v>
      </c>
      <c r="F312" s="12"/>
      <c r="G312" s="11" t="s">
        <v>1360</v>
      </c>
      <c r="H312" s="12"/>
      <c r="I312" s="11" t="s">
        <v>1361</v>
      </c>
      <c r="J312" s="12"/>
    </row>
    <row r="313" ht="14.25" customHeight="1">
      <c r="A313" s="13">
        <v>106.0</v>
      </c>
      <c r="B313" s="14" t="s">
        <v>1362</v>
      </c>
      <c r="C313" s="23">
        <v>1.0</v>
      </c>
      <c r="D313" s="25"/>
      <c r="E313" s="14" t="s">
        <v>1363</v>
      </c>
      <c r="F313" s="15"/>
      <c r="G313" s="14" t="s">
        <v>1364</v>
      </c>
      <c r="H313" s="15"/>
      <c r="I313" s="14" t="s">
        <v>1365</v>
      </c>
      <c r="J313" s="15"/>
    </row>
    <row r="314" ht="14.25" customHeight="1">
      <c r="A314" s="10">
        <v>107.0</v>
      </c>
      <c r="B314" s="11" t="s">
        <v>1366</v>
      </c>
      <c r="C314" s="20">
        <v>1.0</v>
      </c>
      <c r="D314" s="22"/>
      <c r="E314" s="11" t="s">
        <v>1367</v>
      </c>
      <c r="F314" s="12"/>
      <c r="G314" s="11" t="s">
        <v>1368</v>
      </c>
      <c r="H314" s="12"/>
      <c r="I314" s="11" t="s">
        <v>1369</v>
      </c>
      <c r="J314" s="12"/>
    </row>
    <row r="315" ht="14.25" customHeight="1">
      <c r="A315" s="13">
        <v>108.0</v>
      </c>
      <c r="B315" s="14" t="s">
        <v>1370</v>
      </c>
      <c r="C315" s="23">
        <v>1.0</v>
      </c>
      <c r="D315" s="25"/>
      <c r="E315" s="14" t="s">
        <v>1371</v>
      </c>
      <c r="F315" s="15"/>
      <c r="G315" s="14" t="s">
        <v>287</v>
      </c>
      <c r="H315" s="15"/>
      <c r="I315" s="14" t="s">
        <v>1372</v>
      </c>
      <c r="J315" s="15"/>
    </row>
    <row r="316" ht="14.25" customHeight="1">
      <c r="A316" s="10">
        <v>109.0</v>
      </c>
      <c r="B316" s="11" t="s">
        <v>1373</v>
      </c>
      <c r="C316" s="20">
        <v>1.0</v>
      </c>
      <c r="D316" s="22"/>
      <c r="E316" s="11" t="s">
        <v>1374</v>
      </c>
      <c r="F316" s="12"/>
      <c r="G316" s="11" t="s">
        <v>994</v>
      </c>
      <c r="H316" s="12"/>
      <c r="I316" s="11" t="s">
        <v>1375</v>
      </c>
      <c r="J316" s="12"/>
    </row>
    <row r="317" ht="14.25" customHeight="1">
      <c r="A317" s="13">
        <v>110.0</v>
      </c>
      <c r="B317" s="14" t="s">
        <v>1376</v>
      </c>
      <c r="C317" s="23">
        <v>1.0</v>
      </c>
      <c r="D317" s="25"/>
      <c r="E317" s="14" t="s">
        <v>1072</v>
      </c>
      <c r="F317" s="15"/>
      <c r="G317" s="14" t="s">
        <v>1073</v>
      </c>
      <c r="H317" s="15"/>
      <c r="I317" s="14" t="s">
        <v>1377</v>
      </c>
      <c r="J317" s="15"/>
    </row>
    <row r="318" ht="14.25" customHeight="1">
      <c r="A318" s="10">
        <v>111.0</v>
      </c>
      <c r="B318" s="11" t="s">
        <v>1378</v>
      </c>
      <c r="C318" s="20">
        <v>1.0</v>
      </c>
      <c r="D318" s="22"/>
      <c r="E318" s="11" t="s">
        <v>1379</v>
      </c>
      <c r="F318" s="12"/>
      <c r="G318" s="11" t="s">
        <v>1380</v>
      </c>
      <c r="H318" s="12"/>
      <c r="I318" s="11" t="s">
        <v>1381</v>
      </c>
      <c r="J318" s="12"/>
    </row>
    <row r="319" ht="14.25" customHeight="1">
      <c r="A319" s="13">
        <v>112.0</v>
      </c>
      <c r="B319" s="14" t="s">
        <v>1382</v>
      </c>
      <c r="C319" s="23">
        <v>0.0</v>
      </c>
      <c r="D319" s="25"/>
      <c r="E319" s="14" t="s">
        <v>1383</v>
      </c>
      <c r="F319" s="15"/>
      <c r="G319" s="14" t="s">
        <v>1384</v>
      </c>
      <c r="H319" s="15"/>
      <c r="I319" s="14" t="s">
        <v>1385</v>
      </c>
      <c r="J319" s="15"/>
    </row>
    <row r="320" ht="14.25" customHeight="1">
      <c r="A320" s="10">
        <v>113.0</v>
      </c>
      <c r="B320" s="11" t="s">
        <v>1386</v>
      </c>
      <c r="C320" s="20">
        <v>1.0</v>
      </c>
      <c r="D320" s="22"/>
      <c r="E320" s="11" t="s">
        <v>1387</v>
      </c>
      <c r="F320" s="12"/>
      <c r="G320" s="11" t="s">
        <v>1388</v>
      </c>
      <c r="H320" s="12"/>
      <c r="I320" s="11" t="s">
        <v>1389</v>
      </c>
      <c r="J320" s="12"/>
    </row>
    <row r="321" ht="14.25" customHeight="1">
      <c r="A321" s="13">
        <v>114.0</v>
      </c>
      <c r="B321" s="14" t="s">
        <v>1390</v>
      </c>
      <c r="C321" s="23">
        <v>1.0</v>
      </c>
      <c r="D321" s="25"/>
      <c r="E321" s="14" t="s">
        <v>1391</v>
      </c>
      <c r="F321" s="15"/>
      <c r="G321" s="14" t="s">
        <v>1392</v>
      </c>
      <c r="H321" s="15"/>
      <c r="I321" s="14" t="s">
        <v>1393</v>
      </c>
      <c r="J321" s="15"/>
    </row>
    <row r="322" ht="14.25" customHeight="1">
      <c r="A322" s="10">
        <v>115.0</v>
      </c>
      <c r="B322" s="11" t="s">
        <v>1394</v>
      </c>
      <c r="C322" s="20">
        <v>0.0</v>
      </c>
      <c r="D322" s="22"/>
      <c r="E322" s="11" t="s">
        <v>1395</v>
      </c>
      <c r="F322" s="12"/>
      <c r="G322" s="11" t="s">
        <v>1396</v>
      </c>
      <c r="H322" s="12"/>
      <c r="I322" s="11" t="s">
        <v>1397</v>
      </c>
      <c r="J322" s="12"/>
    </row>
    <row r="323" ht="14.25" customHeight="1">
      <c r="A323" s="13">
        <v>116.0</v>
      </c>
      <c r="B323" s="14" t="s">
        <v>1398</v>
      </c>
      <c r="C323" s="23">
        <v>1.0</v>
      </c>
      <c r="D323" s="25"/>
      <c r="E323" s="14" t="s">
        <v>1339</v>
      </c>
      <c r="F323" s="15"/>
      <c r="G323" s="14" t="s">
        <v>1340</v>
      </c>
      <c r="H323" s="15"/>
      <c r="I323" s="14" t="s">
        <v>1399</v>
      </c>
      <c r="J323" s="15"/>
    </row>
    <row r="324" ht="14.25" customHeight="1">
      <c r="A324" s="10">
        <v>117.0</v>
      </c>
      <c r="B324" s="11" t="s">
        <v>1400</v>
      </c>
      <c r="C324" s="20">
        <v>1.0</v>
      </c>
      <c r="D324" s="22"/>
      <c r="E324" s="11" t="s">
        <v>1401</v>
      </c>
      <c r="F324" s="12"/>
      <c r="G324" s="11" t="s">
        <v>1402</v>
      </c>
      <c r="H324" s="12"/>
      <c r="I324" s="11" t="s">
        <v>1403</v>
      </c>
      <c r="J324" s="12"/>
    </row>
    <row r="325" ht="14.25" customHeight="1">
      <c r="A325" s="13">
        <v>118.0</v>
      </c>
      <c r="B325" s="14" t="s">
        <v>1404</v>
      </c>
      <c r="C325" s="23">
        <v>1.0</v>
      </c>
      <c r="D325" s="25"/>
      <c r="E325" s="14" t="s">
        <v>1405</v>
      </c>
      <c r="F325" s="15"/>
      <c r="G325" s="14" t="s">
        <v>1406</v>
      </c>
      <c r="H325" s="15"/>
      <c r="I325" s="14" t="s">
        <v>1407</v>
      </c>
      <c r="J325" s="15"/>
    </row>
    <row r="326" ht="14.25" customHeight="1">
      <c r="A326" s="10">
        <v>119.0</v>
      </c>
      <c r="B326" s="11" t="s">
        <v>1408</v>
      </c>
      <c r="C326" s="20">
        <v>1.0</v>
      </c>
      <c r="D326" s="22"/>
      <c r="E326" s="11" t="s">
        <v>1409</v>
      </c>
      <c r="F326" s="12"/>
      <c r="G326" s="11" t="s">
        <v>982</v>
      </c>
      <c r="H326" s="12"/>
      <c r="I326" s="11" t="s">
        <v>1410</v>
      </c>
      <c r="J326" s="12"/>
    </row>
    <row r="327" ht="14.25" customHeight="1">
      <c r="A327" s="13">
        <v>120.0</v>
      </c>
      <c r="B327" s="14" t="s">
        <v>1411</v>
      </c>
      <c r="C327" s="23">
        <v>1.0</v>
      </c>
      <c r="D327" s="25"/>
      <c r="E327" s="14" t="s">
        <v>1412</v>
      </c>
      <c r="F327" s="15"/>
      <c r="G327" s="14" t="s">
        <v>1413</v>
      </c>
      <c r="H327" s="15"/>
      <c r="I327" s="14" t="s">
        <v>1414</v>
      </c>
      <c r="J327" s="15"/>
    </row>
    <row r="328" ht="14.25" customHeight="1">
      <c r="A328" s="10">
        <v>121.0</v>
      </c>
      <c r="B328" s="11" t="s">
        <v>1415</v>
      </c>
      <c r="C328" s="20">
        <v>1.0</v>
      </c>
      <c r="D328" s="22"/>
      <c r="E328" s="11" t="s">
        <v>1416</v>
      </c>
      <c r="F328" s="12"/>
      <c r="G328" s="11" t="s">
        <v>994</v>
      </c>
      <c r="H328" s="12"/>
      <c r="I328" s="11" t="s">
        <v>1417</v>
      </c>
      <c r="J328" s="12"/>
    </row>
    <row r="329" ht="14.25" customHeight="1">
      <c r="A329" s="13">
        <v>122.0</v>
      </c>
      <c r="B329" s="14" t="s">
        <v>1418</v>
      </c>
      <c r="C329" s="23">
        <v>1.0</v>
      </c>
      <c r="D329" s="25"/>
      <c r="E329" s="14" t="s">
        <v>1419</v>
      </c>
      <c r="G329" s="14" t="s">
        <v>1420</v>
      </c>
      <c r="H329" s="15"/>
      <c r="I329" s="14" t="s">
        <v>1421</v>
      </c>
      <c r="J329" s="15"/>
    </row>
    <row r="330" ht="14.25" customHeight="1">
      <c r="A330" s="10">
        <v>123.0</v>
      </c>
      <c r="B330" s="11" t="s">
        <v>1422</v>
      </c>
      <c r="C330" s="20">
        <v>1.0</v>
      </c>
      <c r="D330" s="22"/>
      <c r="E330" s="11" t="s">
        <v>1423</v>
      </c>
      <c r="F330" s="12"/>
      <c r="G330" s="11" t="s">
        <v>1424</v>
      </c>
      <c r="H330" s="12"/>
      <c r="I330" s="11" t="s">
        <v>1425</v>
      </c>
      <c r="J330" s="12"/>
    </row>
    <row r="331" ht="14.25" customHeight="1">
      <c r="A331" s="13">
        <v>124.0</v>
      </c>
      <c r="B331" s="14" t="s">
        <v>1426</v>
      </c>
      <c r="C331" s="23">
        <v>1.0</v>
      </c>
      <c r="D331" s="25"/>
      <c r="E331" s="14" t="s">
        <v>1427</v>
      </c>
      <c r="F331" s="15"/>
      <c r="G331" s="14" t="s">
        <v>1428</v>
      </c>
      <c r="H331" s="15"/>
      <c r="I331" s="14" t="s">
        <v>1429</v>
      </c>
      <c r="J331" s="15"/>
    </row>
    <row r="332" ht="14.25" customHeight="1">
      <c r="A332" s="10">
        <v>125.0</v>
      </c>
      <c r="B332" s="11" t="s">
        <v>1430</v>
      </c>
      <c r="C332" s="20">
        <v>1.0</v>
      </c>
      <c r="D332" s="22"/>
      <c r="E332" s="11" t="s">
        <v>1431</v>
      </c>
      <c r="F332" s="12"/>
      <c r="G332" s="11" t="s">
        <v>1432</v>
      </c>
      <c r="H332" s="12"/>
      <c r="I332" s="11" t="s">
        <v>1433</v>
      </c>
      <c r="J332" s="12"/>
    </row>
    <row r="333" ht="14.25" customHeight="1">
      <c r="A333" s="13">
        <v>126.0</v>
      </c>
      <c r="B333" s="14" t="s">
        <v>1434</v>
      </c>
      <c r="C333" s="23">
        <v>0.0</v>
      </c>
      <c r="D333" s="25"/>
      <c r="E333" s="14" t="s">
        <v>1435</v>
      </c>
      <c r="F333" s="15"/>
      <c r="G333" s="14" t="s">
        <v>1436</v>
      </c>
      <c r="H333" s="15"/>
      <c r="I333" s="14" t="s">
        <v>1437</v>
      </c>
      <c r="J333" s="15"/>
    </row>
    <row r="334" ht="14.25" customHeight="1">
      <c r="A334" s="10">
        <v>127.0</v>
      </c>
      <c r="B334" s="11" t="s">
        <v>1438</v>
      </c>
      <c r="C334" s="20">
        <v>1.0</v>
      </c>
      <c r="D334" s="22"/>
      <c r="E334" s="11" t="s">
        <v>1439</v>
      </c>
      <c r="F334" s="12"/>
      <c r="G334" s="11" t="s">
        <v>1440</v>
      </c>
      <c r="H334" s="12"/>
      <c r="I334" s="11" t="s">
        <v>1441</v>
      </c>
      <c r="J334" s="12"/>
    </row>
    <row r="335" ht="14.25" customHeight="1">
      <c r="A335" s="13">
        <v>128.0</v>
      </c>
      <c r="B335" s="14" t="s">
        <v>1442</v>
      </c>
      <c r="C335" s="23">
        <v>1.0</v>
      </c>
      <c r="D335" s="25"/>
      <c r="E335" s="14" t="s">
        <v>1443</v>
      </c>
      <c r="F335" s="15"/>
      <c r="G335" s="14" t="s">
        <v>1444</v>
      </c>
      <c r="H335" s="15"/>
      <c r="I335" s="14" t="s">
        <v>1445</v>
      </c>
      <c r="J335" s="15"/>
    </row>
    <row r="336" ht="14.25" customHeight="1">
      <c r="A336" s="10">
        <v>129.0</v>
      </c>
      <c r="B336" s="11" t="s">
        <v>1446</v>
      </c>
      <c r="C336" s="20">
        <v>1.0</v>
      </c>
      <c r="D336" s="22"/>
      <c r="E336" s="11" t="s">
        <v>1447</v>
      </c>
      <c r="F336" s="12"/>
      <c r="G336" s="11" t="s">
        <v>1448</v>
      </c>
      <c r="H336" s="12"/>
      <c r="I336" s="11" t="s">
        <v>1449</v>
      </c>
      <c r="J336" s="12"/>
    </row>
    <row r="337" ht="14.25" customHeight="1">
      <c r="A337" s="13">
        <v>130.0</v>
      </c>
      <c r="B337" s="14" t="s">
        <v>1450</v>
      </c>
      <c r="C337" s="23">
        <v>1.0</v>
      </c>
      <c r="D337" s="25"/>
      <c r="E337" s="14" t="s">
        <v>1451</v>
      </c>
      <c r="F337" s="15"/>
      <c r="G337" s="14" t="s">
        <v>1452</v>
      </c>
      <c r="H337" s="15"/>
      <c r="I337" s="14" t="s">
        <v>1453</v>
      </c>
      <c r="J337" s="15"/>
    </row>
    <row r="338" ht="14.25" customHeight="1">
      <c r="A338" s="10">
        <v>131.0</v>
      </c>
      <c r="B338" s="11" t="s">
        <v>1454</v>
      </c>
      <c r="C338" s="20">
        <v>0.0</v>
      </c>
      <c r="D338" s="22"/>
      <c r="E338" s="11" t="s">
        <v>1455</v>
      </c>
      <c r="F338" s="12"/>
      <c r="G338" s="11" t="s">
        <v>1456</v>
      </c>
      <c r="H338" s="12"/>
      <c r="I338" s="11" t="s">
        <v>1457</v>
      </c>
      <c r="J338" s="12"/>
    </row>
    <row r="339" ht="14.25" customHeight="1">
      <c r="A339" s="13">
        <v>132.0</v>
      </c>
      <c r="B339" s="14" t="s">
        <v>1458</v>
      </c>
      <c r="C339" s="23">
        <v>1.0</v>
      </c>
      <c r="D339" s="25"/>
      <c r="E339" s="14" t="s">
        <v>1459</v>
      </c>
      <c r="F339" s="15"/>
      <c r="G339" s="14" t="s">
        <v>1460</v>
      </c>
      <c r="H339" s="15"/>
      <c r="I339" s="14" t="s">
        <v>1461</v>
      </c>
      <c r="J339" s="15"/>
    </row>
    <row r="340" ht="14.25" customHeight="1">
      <c r="A340" s="10">
        <v>133.0</v>
      </c>
      <c r="B340" s="11" t="s">
        <v>1462</v>
      </c>
      <c r="C340" s="20">
        <v>1.0</v>
      </c>
      <c r="D340" s="22"/>
      <c r="E340" s="11" t="s">
        <v>1463</v>
      </c>
      <c r="F340" s="12"/>
      <c r="G340" s="11" t="s">
        <v>1402</v>
      </c>
      <c r="H340" s="12"/>
      <c r="I340" s="11" t="s">
        <v>1464</v>
      </c>
      <c r="J340" s="12"/>
    </row>
    <row r="341" ht="14.25" customHeight="1">
      <c r="A341" s="13">
        <v>134.0</v>
      </c>
      <c r="B341" s="14" t="s">
        <v>1465</v>
      </c>
      <c r="C341" s="23">
        <v>0.0</v>
      </c>
      <c r="D341" s="25"/>
      <c r="E341" s="14" t="s">
        <v>1412</v>
      </c>
      <c r="F341" s="15"/>
      <c r="G341" s="14" t="s">
        <v>1413</v>
      </c>
      <c r="H341" s="15"/>
      <c r="I341" s="14" t="s">
        <v>1466</v>
      </c>
      <c r="J341" s="15"/>
    </row>
    <row r="342" ht="14.25" customHeight="1">
      <c r="A342" s="10">
        <v>135.0</v>
      </c>
      <c r="B342" s="11" t="s">
        <v>1467</v>
      </c>
      <c r="C342" s="20">
        <v>1.0</v>
      </c>
      <c r="D342" s="22"/>
      <c r="E342" s="11" t="s">
        <v>1339</v>
      </c>
      <c r="F342" s="12"/>
      <c r="G342" s="11" t="s">
        <v>1340</v>
      </c>
      <c r="H342" s="12"/>
      <c r="I342" s="11" t="s">
        <v>1468</v>
      </c>
      <c r="J342" s="12"/>
    </row>
    <row r="343" ht="14.25" customHeight="1">
      <c r="A343" s="13">
        <v>136.0</v>
      </c>
      <c r="B343" s="14" t="s">
        <v>1469</v>
      </c>
      <c r="C343" s="23">
        <v>1.0</v>
      </c>
      <c r="D343" s="25"/>
      <c r="E343" s="14" t="s">
        <v>1470</v>
      </c>
      <c r="F343" s="15"/>
      <c r="G343" s="14" t="s">
        <v>1471</v>
      </c>
      <c r="H343" s="15"/>
      <c r="I343" s="14" t="s">
        <v>1472</v>
      </c>
      <c r="J343" s="15"/>
    </row>
    <row r="344" ht="14.25" customHeight="1">
      <c r="A344" s="10">
        <v>137.0</v>
      </c>
      <c r="B344" s="11" t="s">
        <v>1473</v>
      </c>
      <c r="C344" s="20">
        <v>0.0</v>
      </c>
      <c r="D344" s="22"/>
      <c r="E344" s="11" t="s">
        <v>1474</v>
      </c>
      <c r="F344" s="12"/>
      <c r="G344" s="11" t="s">
        <v>1475</v>
      </c>
      <c r="H344" s="12"/>
      <c r="I344" s="11" t="s">
        <v>1476</v>
      </c>
      <c r="J344" s="12"/>
    </row>
    <row r="345" ht="14.25" customHeight="1">
      <c r="A345" s="13">
        <v>138.0</v>
      </c>
      <c r="B345" s="14" t="s">
        <v>1477</v>
      </c>
      <c r="C345" s="23">
        <v>1.0</v>
      </c>
      <c r="D345" s="25"/>
      <c r="E345" s="14" t="s">
        <v>1478</v>
      </c>
      <c r="F345" s="15"/>
      <c r="G345" s="14" t="s">
        <v>1479</v>
      </c>
      <c r="H345" s="15"/>
      <c r="I345" s="14" t="s">
        <v>1480</v>
      </c>
      <c r="J345" s="15"/>
    </row>
    <row r="346" ht="14.25" customHeight="1">
      <c r="A346" s="10">
        <v>139.0</v>
      </c>
      <c r="B346" s="11" t="s">
        <v>1481</v>
      </c>
      <c r="C346" s="20">
        <v>0.0</v>
      </c>
      <c r="D346" s="22"/>
      <c r="E346" s="11" t="s">
        <v>1395</v>
      </c>
      <c r="F346" s="12"/>
      <c r="G346" s="11" t="s">
        <v>1396</v>
      </c>
      <c r="H346" s="12"/>
      <c r="I346" s="11" t="s">
        <v>1482</v>
      </c>
      <c r="J346" s="12"/>
    </row>
    <row r="347" ht="14.25" customHeight="1">
      <c r="A347" s="13">
        <v>140.0</v>
      </c>
      <c r="B347" s="14" t="s">
        <v>1483</v>
      </c>
      <c r="C347" s="23">
        <v>1.0</v>
      </c>
      <c r="D347" s="25"/>
      <c r="E347" s="14" t="s">
        <v>1484</v>
      </c>
      <c r="F347" s="15"/>
      <c r="G347" s="14" t="s">
        <v>1485</v>
      </c>
      <c r="H347" s="15"/>
      <c r="I347" s="14" t="s">
        <v>1486</v>
      </c>
      <c r="J347" s="15"/>
    </row>
    <row r="348" ht="14.25" customHeight="1">
      <c r="A348" s="10">
        <v>141.0</v>
      </c>
      <c r="B348" s="11" t="s">
        <v>1487</v>
      </c>
      <c r="C348" s="20">
        <v>0.0</v>
      </c>
      <c r="D348" s="22"/>
      <c r="E348" s="11" t="s">
        <v>1488</v>
      </c>
      <c r="F348" s="12"/>
      <c r="G348" s="11" t="s">
        <v>1489</v>
      </c>
      <c r="H348" s="12"/>
      <c r="I348" s="11" t="s">
        <v>1490</v>
      </c>
      <c r="J348" s="12"/>
    </row>
    <row r="349" ht="14.25" customHeight="1">
      <c r="A349" s="13">
        <v>142.0</v>
      </c>
      <c r="B349" s="14" t="s">
        <v>1491</v>
      </c>
      <c r="C349" s="23">
        <v>1.0</v>
      </c>
      <c r="D349" s="25"/>
      <c r="E349" s="14" t="s">
        <v>1492</v>
      </c>
      <c r="F349" s="15"/>
      <c r="G349" s="14" t="s">
        <v>1493</v>
      </c>
      <c r="H349" s="15"/>
      <c r="I349" s="14" t="s">
        <v>1494</v>
      </c>
      <c r="J349" s="15"/>
    </row>
    <row r="350" ht="14.25" customHeight="1">
      <c r="A350" s="10">
        <v>143.0</v>
      </c>
      <c r="B350" s="11" t="s">
        <v>1495</v>
      </c>
      <c r="C350" s="20">
        <v>1.0</v>
      </c>
      <c r="D350" s="22"/>
      <c r="E350" s="11" t="s">
        <v>1496</v>
      </c>
      <c r="F350" s="12"/>
      <c r="G350" s="11" t="s">
        <v>1497</v>
      </c>
      <c r="H350" s="12"/>
      <c r="I350" s="11" t="s">
        <v>1498</v>
      </c>
      <c r="J350" s="12"/>
    </row>
    <row r="351" ht="14.25" customHeight="1">
      <c r="A351" s="13">
        <v>144.0</v>
      </c>
      <c r="B351" s="14" t="s">
        <v>1499</v>
      </c>
      <c r="C351" s="23">
        <v>1.0</v>
      </c>
      <c r="D351" s="25"/>
      <c r="E351" s="14" t="s">
        <v>1500</v>
      </c>
      <c r="F351" s="15"/>
      <c r="G351" s="14" t="s">
        <v>1501</v>
      </c>
      <c r="H351" s="15"/>
      <c r="I351" s="14" t="s">
        <v>1502</v>
      </c>
      <c r="J351" s="15"/>
    </row>
    <row r="352" ht="14.25" customHeight="1">
      <c r="A352" s="10">
        <v>145.0</v>
      </c>
      <c r="B352" s="11" t="s">
        <v>1503</v>
      </c>
      <c r="C352" s="20">
        <v>1.0</v>
      </c>
      <c r="D352" s="22"/>
      <c r="E352" s="11" t="s">
        <v>1504</v>
      </c>
      <c r="F352" s="12"/>
      <c r="G352" s="11" t="s">
        <v>1493</v>
      </c>
      <c r="H352" s="12"/>
      <c r="I352" s="11" t="s">
        <v>1505</v>
      </c>
      <c r="J352" s="12"/>
    </row>
    <row r="353" ht="14.25" customHeight="1">
      <c r="A353" s="13">
        <v>146.0</v>
      </c>
      <c r="B353" s="14" t="s">
        <v>1506</v>
      </c>
      <c r="C353" s="23">
        <v>1.0</v>
      </c>
      <c r="D353" s="25"/>
      <c r="E353" s="14" t="s">
        <v>1507</v>
      </c>
      <c r="F353" s="15"/>
      <c r="G353" s="14" t="s">
        <v>1537</v>
      </c>
      <c r="H353" s="15"/>
      <c r="I353" s="14" t="s">
        <v>1509</v>
      </c>
      <c r="J353" s="15"/>
    </row>
    <row r="354" ht="14.25" customHeight="1">
      <c r="A354" s="10">
        <v>147.0</v>
      </c>
      <c r="B354" s="11" t="s">
        <v>1510</v>
      </c>
      <c r="C354" s="20">
        <v>0.0</v>
      </c>
      <c r="D354" s="22"/>
      <c r="E354" s="11" t="s">
        <v>1511</v>
      </c>
      <c r="F354" s="12"/>
      <c r="G354" s="11" t="s">
        <v>1512</v>
      </c>
      <c r="H354" s="12"/>
      <c r="I354" s="11" t="s">
        <v>1468</v>
      </c>
      <c r="J354" s="12"/>
    </row>
    <row r="355" ht="14.25" customHeight="1">
      <c r="A355" s="13">
        <v>148.0</v>
      </c>
      <c r="B355" s="14" t="s">
        <v>1513</v>
      </c>
      <c r="C355" s="23">
        <v>1.0</v>
      </c>
      <c r="D355" s="25"/>
      <c r="E355" s="14" t="s">
        <v>1514</v>
      </c>
      <c r="F355" s="15"/>
      <c r="G355" s="14" t="s">
        <v>974</v>
      </c>
      <c r="H355" s="15"/>
      <c r="I355" s="14" t="s">
        <v>1515</v>
      </c>
      <c r="J355" s="15"/>
    </row>
    <row r="356" ht="14.25" customHeight="1">
      <c r="A356" s="10">
        <v>149.0</v>
      </c>
      <c r="B356" s="11" t="s">
        <v>1516</v>
      </c>
      <c r="C356" s="20">
        <v>1.0</v>
      </c>
      <c r="D356" s="22"/>
      <c r="E356" s="11" t="s">
        <v>1517</v>
      </c>
      <c r="F356" s="12"/>
      <c r="G356" s="11" t="s">
        <v>1518</v>
      </c>
      <c r="H356" s="12"/>
      <c r="I356" s="11" t="s">
        <v>1519</v>
      </c>
      <c r="J356" s="12"/>
    </row>
    <row r="357" ht="14.25" customHeight="1">
      <c r="A357" s="13">
        <v>150.0</v>
      </c>
      <c r="B357" s="14" t="s">
        <v>1520</v>
      </c>
      <c r="C357" s="23">
        <v>1.0</v>
      </c>
      <c r="D357" s="25"/>
      <c r="E357" s="14" t="s">
        <v>1521</v>
      </c>
      <c r="F357" s="15"/>
      <c r="G357" s="14" t="s">
        <v>1522</v>
      </c>
      <c r="H357" s="15"/>
      <c r="I357" s="14" t="s">
        <v>1523</v>
      </c>
      <c r="J357" s="15"/>
    </row>
    <row r="358" ht="14.25" customHeight="1">
      <c r="A358" s="10">
        <v>151.0</v>
      </c>
      <c r="B358" s="11" t="s">
        <v>1524</v>
      </c>
      <c r="C358" s="20">
        <v>1.0</v>
      </c>
      <c r="D358" s="22"/>
      <c r="E358" s="11" t="s">
        <v>1525</v>
      </c>
      <c r="F358" s="12"/>
      <c r="G358" s="11" t="s">
        <v>1526</v>
      </c>
      <c r="H358" s="12"/>
      <c r="I358" s="11" t="s">
        <v>1527</v>
      </c>
      <c r="J358" s="12"/>
    </row>
    <row r="359" ht="14.25" customHeight="1">
      <c r="A359" s="13">
        <v>152.0</v>
      </c>
      <c r="B359" s="14" t="s">
        <v>1528</v>
      </c>
      <c r="C359" s="23">
        <v>1.0</v>
      </c>
      <c r="D359" s="25"/>
      <c r="E359" s="14" t="s">
        <v>1455</v>
      </c>
      <c r="F359" s="15"/>
      <c r="G359" s="14" t="s">
        <v>1456</v>
      </c>
      <c r="H359" s="15"/>
      <c r="I359" s="14" t="s">
        <v>1457</v>
      </c>
      <c r="J359" s="15"/>
    </row>
    <row r="360" ht="14.25" customHeight="1">
      <c r="A360" s="10">
        <v>153.0</v>
      </c>
      <c r="B360" s="11" t="s">
        <v>1529</v>
      </c>
      <c r="C360" s="20">
        <v>0.0</v>
      </c>
      <c r="D360" s="22"/>
      <c r="E360" s="11" t="s">
        <v>1455</v>
      </c>
      <c r="F360" s="12"/>
      <c r="G360" s="11" t="s">
        <v>1530</v>
      </c>
      <c r="H360" s="12"/>
      <c r="I360" s="11" t="s">
        <v>1531</v>
      </c>
      <c r="J360" s="12"/>
    </row>
    <row r="361" ht="14.25" customHeight="1">
      <c r="A361" s="13">
        <v>154.0</v>
      </c>
      <c r="B361" s="14" t="s">
        <v>1532</v>
      </c>
      <c r="C361" s="23">
        <v>1.0</v>
      </c>
      <c r="D361" s="25"/>
      <c r="E361" s="14" t="s">
        <v>1533</v>
      </c>
      <c r="F361" s="15"/>
      <c r="G361" s="14" t="s">
        <v>1278</v>
      </c>
      <c r="H361" s="15"/>
      <c r="I361" s="14" t="s">
        <v>1534</v>
      </c>
      <c r="J361" s="15"/>
    </row>
    <row r="362" ht="14.25" customHeight="1">
      <c r="A362" s="10">
        <v>155.0</v>
      </c>
      <c r="B362" s="11" t="s">
        <v>1535</v>
      </c>
      <c r="C362" s="20">
        <v>1.0</v>
      </c>
      <c r="D362" s="22"/>
      <c r="E362" s="11" t="s">
        <v>1536</v>
      </c>
      <c r="F362" s="12"/>
      <c r="G362" s="11" t="s">
        <v>1537</v>
      </c>
      <c r="H362" s="12"/>
      <c r="I362" s="11" t="s">
        <v>1538</v>
      </c>
      <c r="J362" s="12"/>
    </row>
    <row r="363" ht="14.25" customHeight="1">
      <c r="A363" s="13">
        <v>156.0</v>
      </c>
      <c r="B363" s="14" t="s">
        <v>1539</v>
      </c>
      <c r="C363" s="23">
        <v>0.0</v>
      </c>
      <c r="D363" s="25"/>
      <c r="E363" s="14" t="s">
        <v>1540</v>
      </c>
      <c r="G363" s="14" t="s">
        <v>1541</v>
      </c>
      <c r="H363" s="15"/>
      <c r="I363" s="14" t="s">
        <v>1542</v>
      </c>
      <c r="J363" s="15"/>
    </row>
    <row r="364" ht="14.25" customHeight="1">
      <c r="A364" s="10">
        <v>157.0</v>
      </c>
      <c r="B364" s="11" t="s">
        <v>1543</v>
      </c>
      <c r="C364" s="20">
        <v>0.0</v>
      </c>
      <c r="D364" s="22"/>
      <c r="E364" s="11" t="s">
        <v>1544</v>
      </c>
      <c r="F364" s="12"/>
      <c r="G364" s="11" t="s">
        <v>1545</v>
      </c>
      <c r="H364" s="12"/>
      <c r="I364" s="11" t="s">
        <v>1546</v>
      </c>
      <c r="J364" s="12"/>
    </row>
    <row r="365" ht="14.25" customHeight="1">
      <c r="A365" s="13">
        <v>158.0</v>
      </c>
      <c r="B365" s="14" t="s">
        <v>1547</v>
      </c>
      <c r="C365" s="23">
        <v>1.0</v>
      </c>
      <c r="D365" s="25"/>
      <c r="E365" s="14" t="s">
        <v>1548</v>
      </c>
      <c r="F365" s="15"/>
      <c r="G365" s="14" t="s">
        <v>1549</v>
      </c>
      <c r="H365" s="15"/>
      <c r="I365" s="14" t="s">
        <v>1550</v>
      </c>
      <c r="J365" s="15"/>
    </row>
    <row r="366" ht="14.25" customHeight="1">
      <c r="A366" s="10">
        <v>159.0</v>
      </c>
      <c r="B366" s="11" t="s">
        <v>1551</v>
      </c>
      <c r="C366" s="20">
        <v>0.0</v>
      </c>
      <c r="D366" s="22"/>
      <c r="E366" s="11" t="s">
        <v>1339</v>
      </c>
      <c r="F366" s="12"/>
      <c r="G366" s="11" t="s">
        <v>1340</v>
      </c>
      <c r="H366" s="12"/>
      <c r="I366" s="11" t="s">
        <v>1552</v>
      </c>
      <c r="J366" s="12"/>
    </row>
    <row r="367" ht="14.25" customHeight="1">
      <c r="A367" s="13">
        <v>160.0</v>
      </c>
      <c r="B367" s="14" t="s">
        <v>1553</v>
      </c>
      <c r="C367" s="23">
        <v>0.0</v>
      </c>
      <c r="D367" s="25"/>
      <c r="E367" s="14" t="s">
        <v>1554</v>
      </c>
      <c r="F367" s="15"/>
      <c r="G367" s="14" t="s">
        <v>1396</v>
      </c>
      <c r="H367" s="15"/>
      <c r="I367" s="14" t="s">
        <v>1555</v>
      </c>
      <c r="J367" s="15"/>
    </row>
    <row r="368" ht="14.25" customHeight="1">
      <c r="A368" s="10">
        <v>161.0</v>
      </c>
      <c r="B368" s="11" t="s">
        <v>1556</v>
      </c>
      <c r="C368" s="20">
        <v>1.0</v>
      </c>
      <c r="D368" s="22"/>
      <c r="E368" s="11" t="s">
        <v>1557</v>
      </c>
      <c r="F368" s="12"/>
      <c r="G368" s="11" t="s">
        <v>1278</v>
      </c>
      <c r="H368" s="12"/>
      <c r="I368" s="11" t="s">
        <v>1558</v>
      </c>
      <c r="J368" s="12"/>
    </row>
    <row r="369" ht="14.25" customHeight="1">
      <c r="A369" s="13">
        <v>162.0</v>
      </c>
      <c r="B369" s="14" t="s">
        <v>1559</v>
      </c>
      <c r="C369" s="23">
        <v>1.0</v>
      </c>
      <c r="D369" s="25"/>
      <c r="E369" s="14" t="s">
        <v>1560</v>
      </c>
      <c r="F369" s="15"/>
      <c r="G369" s="14" t="s">
        <v>982</v>
      </c>
      <c r="H369" s="15"/>
      <c r="I369" s="14" t="s">
        <v>1561</v>
      </c>
      <c r="J369" s="15"/>
    </row>
    <row r="370" ht="14.25" customHeight="1">
      <c r="A370" s="10">
        <v>163.0</v>
      </c>
      <c r="B370" s="11" t="s">
        <v>1562</v>
      </c>
      <c r="C370" s="20">
        <v>0.0</v>
      </c>
      <c r="D370" s="22"/>
      <c r="E370" s="11" t="s">
        <v>1496</v>
      </c>
      <c r="F370" s="12"/>
      <c r="G370" s="11" t="s">
        <v>1497</v>
      </c>
      <c r="H370" s="12"/>
      <c r="I370" s="11" t="s">
        <v>1498</v>
      </c>
      <c r="J370" s="12"/>
    </row>
    <row r="371" ht="14.25" customHeight="1">
      <c r="A371" s="13">
        <v>164.0</v>
      </c>
      <c r="B371" s="14" t="s">
        <v>1563</v>
      </c>
      <c r="C371" s="23">
        <v>1.0</v>
      </c>
      <c r="D371" s="25"/>
      <c r="E371" s="14" t="s">
        <v>1564</v>
      </c>
      <c r="F371" s="15"/>
      <c r="G371" s="14" t="s">
        <v>994</v>
      </c>
      <c r="H371" s="15"/>
      <c r="I371" s="14" t="s">
        <v>1565</v>
      </c>
      <c r="J371" s="15"/>
    </row>
    <row r="372" ht="14.25" customHeight="1">
      <c r="A372" s="10">
        <v>165.0</v>
      </c>
      <c r="B372" s="11" t="s">
        <v>1566</v>
      </c>
      <c r="C372" s="20">
        <v>1.0</v>
      </c>
      <c r="D372" s="22"/>
      <c r="E372" s="11" t="s">
        <v>1496</v>
      </c>
      <c r="F372" s="12"/>
      <c r="G372" s="11" t="s">
        <v>1497</v>
      </c>
      <c r="H372" s="12"/>
      <c r="I372" s="11" t="s">
        <v>1567</v>
      </c>
      <c r="J372" s="12"/>
    </row>
    <row r="373" ht="14.25" customHeight="1">
      <c r="A373" s="13">
        <v>166.0</v>
      </c>
      <c r="B373" s="14" t="s">
        <v>1568</v>
      </c>
      <c r="C373" s="23">
        <v>1.0</v>
      </c>
      <c r="D373" s="25"/>
      <c r="E373" s="14" t="s">
        <v>1569</v>
      </c>
      <c r="F373" s="15"/>
      <c r="G373" s="14" t="s">
        <v>1570</v>
      </c>
      <c r="H373" s="15"/>
      <c r="I373" s="14" t="s">
        <v>1571</v>
      </c>
      <c r="J373" s="15"/>
    </row>
    <row r="374" ht="14.25" customHeight="1">
      <c r="A374" s="10">
        <v>167.0</v>
      </c>
      <c r="B374" s="11" t="s">
        <v>1572</v>
      </c>
      <c r="C374" s="20">
        <v>1.0</v>
      </c>
      <c r="D374" s="22"/>
      <c r="E374" s="11" t="s">
        <v>1573</v>
      </c>
      <c r="F374" s="12"/>
      <c r="G374" s="11" t="s">
        <v>1388</v>
      </c>
      <c r="H374" s="12"/>
      <c r="I374" s="11" t="s">
        <v>1574</v>
      </c>
      <c r="J374" s="12"/>
    </row>
    <row r="375" ht="14.25" customHeight="1">
      <c r="A375" s="13">
        <v>168.0</v>
      </c>
      <c r="B375" s="14" t="s">
        <v>1575</v>
      </c>
      <c r="C375" s="23">
        <v>0.0</v>
      </c>
      <c r="D375" s="25"/>
      <c r="E375" s="14" t="s">
        <v>1576</v>
      </c>
      <c r="F375" s="15"/>
      <c r="G375" s="14" t="s">
        <v>1577</v>
      </c>
      <c r="H375" s="15"/>
      <c r="I375" s="14" t="s">
        <v>1578</v>
      </c>
      <c r="J375" s="15"/>
    </row>
    <row r="376" ht="14.25" customHeight="1">
      <c r="A376" s="10">
        <v>169.0</v>
      </c>
      <c r="B376" s="11" t="s">
        <v>1579</v>
      </c>
      <c r="C376" s="20">
        <v>0.0</v>
      </c>
      <c r="D376" s="22"/>
      <c r="E376" s="11" t="s">
        <v>1580</v>
      </c>
      <c r="F376" s="12"/>
      <c r="G376" s="11" t="s">
        <v>1581</v>
      </c>
      <c r="H376" s="12"/>
      <c r="I376" s="11" t="s">
        <v>1582</v>
      </c>
      <c r="J376" s="12"/>
    </row>
    <row r="377" ht="14.25" customHeight="1">
      <c r="A377" s="13">
        <v>170.0</v>
      </c>
      <c r="B377" s="14" t="s">
        <v>1583</v>
      </c>
      <c r="C377" s="23">
        <v>0.0</v>
      </c>
      <c r="D377" s="25"/>
      <c r="E377" s="14" t="s">
        <v>1584</v>
      </c>
      <c r="F377" s="15"/>
      <c r="G377" s="14" t="s">
        <v>1585</v>
      </c>
      <c r="H377" s="15"/>
      <c r="I377" s="14" t="s">
        <v>1586</v>
      </c>
      <c r="J377" s="15"/>
    </row>
    <row r="378" ht="14.25" customHeight="1">
      <c r="A378" s="10">
        <v>171.0</v>
      </c>
      <c r="B378" s="11" t="s">
        <v>1587</v>
      </c>
      <c r="C378" s="20">
        <v>0.0</v>
      </c>
      <c r="D378" s="22"/>
      <c r="E378" s="11" t="s">
        <v>1588</v>
      </c>
      <c r="G378" s="11" t="s">
        <v>1589</v>
      </c>
      <c r="H378" s="12"/>
      <c r="I378" s="11" t="s">
        <v>1590</v>
      </c>
      <c r="J378" s="12"/>
    </row>
    <row r="379" ht="14.25" customHeight="1">
      <c r="A379" s="13">
        <v>172.0</v>
      </c>
      <c r="B379" s="14" t="s">
        <v>1591</v>
      </c>
      <c r="C379" s="23">
        <v>1.0</v>
      </c>
      <c r="D379" s="25"/>
      <c r="E379" s="14" t="s">
        <v>1592</v>
      </c>
      <c r="F379" s="15"/>
      <c r="G379" s="14" t="s">
        <v>1593</v>
      </c>
      <c r="H379" s="15"/>
      <c r="I379" s="14" t="s">
        <v>1594</v>
      </c>
      <c r="J379" s="15"/>
    </row>
    <row r="380" ht="14.25" customHeight="1">
      <c r="A380" s="10">
        <v>173.0</v>
      </c>
      <c r="B380" s="11" t="s">
        <v>1595</v>
      </c>
      <c r="C380" s="20">
        <v>1.0</v>
      </c>
      <c r="D380" s="22"/>
      <c r="E380" s="11" t="s">
        <v>1596</v>
      </c>
      <c r="F380" s="12"/>
      <c r="G380" s="11" t="s">
        <v>1597</v>
      </c>
      <c r="H380" s="12"/>
      <c r="I380" s="11" t="s">
        <v>1598</v>
      </c>
      <c r="J380" s="12"/>
    </row>
    <row r="381" ht="14.25" customHeight="1">
      <c r="A381" s="13">
        <v>174.0</v>
      </c>
      <c r="B381" s="14" t="s">
        <v>1599</v>
      </c>
      <c r="C381" s="23">
        <v>1.0</v>
      </c>
      <c r="D381" s="25"/>
      <c r="E381" s="14" t="s">
        <v>1600</v>
      </c>
      <c r="G381" s="14" t="s">
        <v>1601</v>
      </c>
      <c r="H381" s="15"/>
      <c r="I381" s="14" t="s">
        <v>1602</v>
      </c>
      <c r="J381" s="15"/>
    </row>
    <row r="382" ht="14.25" customHeight="1">
      <c r="A382" s="10">
        <v>175.0</v>
      </c>
      <c r="B382" s="11" t="s">
        <v>1603</v>
      </c>
      <c r="C382" s="20">
        <v>1.0</v>
      </c>
      <c r="D382" s="22"/>
      <c r="E382" s="11" t="s">
        <v>1604</v>
      </c>
      <c r="F382" s="12"/>
      <c r="G382" s="11" t="s">
        <v>1605</v>
      </c>
      <c r="H382" s="12"/>
      <c r="I382" s="11" t="s">
        <v>1606</v>
      </c>
      <c r="J382" s="12"/>
    </row>
    <row r="383" ht="14.25" customHeight="1">
      <c r="A383" s="13">
        <v>176.0</v>
      </c>
      <c r="B383" s="14" t="s">
        <v>1607</v>
      </c>
      <c r="C383" s="23">
        <v>1.0</v>
      </c>
      <c r="D383" s="25"/>
      <c r="E383" s="14" t="s">
        <v>1339</v>
      </c>
      <c r="F383" s="15"/>
      <c r="G383" s="14" t="s">
        <v>1340</v>
      </c>
      <c r="H383" s="15"/>
      <c r="I383" s="14" t="s">
        <v>1608</v>
      </c>
      <c r="J383" s="15"/>
    </row>
    <row r="384" ht="14.25" customHeight="1">
      <c r="A384" s="10">
        <v>177.0</v>
      </c>
      <c r="B384" s="11" t="s">
        <v>1609</v>
      </c>
      <c r="C384" s="20">
        <v>1.0</v>
      </c>
      <c r="D384" s="22"/>
      <c r="E384" s="11" t="s">
        <v>1610</v>
      </c>
      <c r="F384" s="12"/>
      <c r="G384" s="11" t="s">
        <v>1611</v>
      </c>
      <c r="H384" s="12"/>
      <c r="I384" s="11" t="s">
        <v>1612</v>
      </c>
      <c r="J384" s="12"/>
    </row>
    <row r="385" ht="14.25" customHeight="1">
      <c r="A385" s="13">
        <v>178.0</v>
      </c>
      <c r="B385" s="14" t="s">
        <v>1613</v>
      </c>
      <c r="C385" s="23">
        <v>1.0</v>
      </c>
      <c r="D385" s="25"/>
      <c r="E385" s="14" t="s">
        <v>1614</v>
      </c>
      <c r="F385" s="15"/>
      <c r="G385" s="14" t="s">
        <v>1615</v>
      </c>
      <c r="H385" s="15"/>
      <c r="I385" s="14" t="s">
        <v>1616</v>
      </c>
      <c r="J385" s="15"/>
    </row>
    <row r="386" ht="14.25" customHeight="1">
      <c r="A386" s="10">
        <v>179.0</v>
      </c>
      <c r="B386" s="11" t="s">
        <v>1617</v>
      </c>
      <c r="C386" s="20">
        <v>1.0</v>
      </c>
      <c r="D386" s="22"/>
      <c r="E386" s="11" t="s">
        <v>1618</v>
      </c>
      <c r="F386" s="12"/>
      <c r="G386" s="11" t="s">
        <v>1619</v>
      </c>
      <c r="H386" s="12"/>
      <c r="I386" s="11" t="s">
        <v>1620</v>
      </c>
      <c r="J386" s="12"/>
    </row>
    <row r="387" ht="14.25" customHeight="1">
      <c r="A387" s="13">
        <v>180.0</v>
      </c>
      <c r="B387" s="14" t="s">
        <v>1621</v>
      </c>
      <c r="C387" s="23">
        <v>1.0</v>
      </c>
      <c r="D387" s="25"/>
      <c r="E387" s="14" t="s">
        <v>1622</v>
      </c>
      <c r="F387" s="15"/>
      <c r="G387" s="14" t="s">
        <v>1623</v>
      </c>
      <c r="H387" s="15"/>
      <c r="I387" s="14" t="s">
        <v>1624</v>
      </c>
      <c r="J387" s="15"/>
    </row>
    <row r="388" ht="14.25" customHeight="1">
      <c r="A388" s="10">
        <v>181.0</v>
      </c>
      <c r="B388" s="11" t="s">
        <v>1625</v>
      </c>
      <c r="C388" s="20">
        <v>0.0</v>
      </c>
      <c r="D388" s="22"/>
      <c r="E388" s="11" t="s">
        <v>1626</v>
      </c>
      <c r="F388" s="12"/>
      <c r="G388" s="11" t="s">
        <v>1627</v>
      </c>
      <c r="H388" s="12"/>
      <c r="I388" s="11" t="s">
        <v>1628</v>
      </c>
      <c r="J388" s="12"/>
    </row>
    <row r="389" ht="14.25" customHeight="1">
      <c r="A389" s="13">
        <v>182.0</v>
      </c>
      <c r="B389" s="14" t="s">
        <v>1629</v>
      </c>
      <c r="C389" s="23">
        <v>1.0</v>
      </c>
      <c r="D389" s="25"/>
      <c r="E389" s="14" t="s">
        <v>1630</v>
      </c>
      <c r="F389" s="15"/>
      <c r="G389" s="14" t="s">
        <v>1493</v>
      </c>
      <c r="H389" s="15"/>
      <c r="I389" s="14" t="s">
        <v>1631</v>
      </c>
      <c r="J389" s="15"/>
    </row>
    <row r="390" ht="14.25" customHeight="1">
      <c r="A390" s="10">
        <v>183.0</v>
      </c>
      <c r="B390" s="11" t="s">
        <v>1632</v>
      </c>
      <c r="C390" s="20">
        <v>0.0</v>
      </c>
      <c r="D390" s="22"/>
      <c r="E390" s="11" t="s">
        <v>1633</v>
      </c>
      <c r="F390" s="12"/>
      <c r="G390" s="11" t="s">
        <v>1634</v>
      </c>
      <c r="H390" s="12"/>
      <c r="I390" s="11" t="s">
        <v>1635</v>
      </c>
      <c r="J390" s="12"/>
    </row>
    <row r="391" ht="14.25" customHeight="1">
      <c r="A391" s="13">
        <v>184.0</v>
      </c>
      <c r="B391" s="14" t="s">
        <v>1636</v>
      </c>
      <c r="C391" s="23">
        <v>1.0</v>
      </c>
      <c r="D391" s="25"/>
      <c r="E391" s="14" t="s">
        <v>1637</v>
      </c>
      <c r="F391" s="15"/>
      <c r="G391" s="14" t="s">
        <v>1638</v>
      </c>
      <c r="H391" s="15"/>
      <c r="I391" s="14" t="s">
        <v>1639</v>
      </c>
      <c r="J391" s="15"/>
    </row>
    <row r="392" ht="14.25" customHeight="1">
      <c r="A392" s="10">
        <v>185.0</v>
      </c>
      <c r="B392" s="11" t="s">
        <v>1640</v>
      </c>
      <c r="C392" s="20">
        <v>1.0</v>
      </c>
      <c r="D392" s="22"/>
      <c r="E392" s="11" t="s">
        <v>1641</v>
      </c>
      <c r="F392" s="12"/>
      <c r="G392" s="11" t="s">
        <v>1642</v>
      </c>
      <c r="H392" s="12"/>
      <c r="I392" s="11" t="s">
        <v>1643</v>
      </c>
      <c r="J392" s="12"/>
    </row>
    <row r="393" ht="14.25" customHeight="1">
      <c r="A393" s="13">
        <v>186.0</v>
      </c>
      <c r="B393" s="14" t="s">
        <v>1644</v>
      </c>
      <c r="C393" s="23">
        <v>0.0</v>
      </c>
      <c r="D393" s="25"/>
      <c r="E393" s="14" t="s">
        <v>1564</v>
      </c>
      <c r="F393" s="15"/>
      <c r="G393" s="14" t="s">
        <v>994</v>
      </c>
      <c r="H393" s="15"/>
      <c r="I393" s="14" t="s">
        <v>1645</v>
      </c>
      <c r="J393" s="15"/>
    </row>
    <row r="394" ht="14.25" customHeight="1">
      <c r="A394" s="10">
        <v>187.0</v>
      </c>
      <c r="B394" s="11" t="s">
        <v>1646</v>
      </c>
      <c r="C394" s="20">
        <v>1.0</v>
      </c>
      <c r="D394" s="22"/>
      <c r="E394" s="11" t="s">
        <v>1072</v>
      </c>
      <c r="F394" s="12"/>
      <c r="G394" s="11" t="s">
        <v>1647</v>
      </c>
      <c r="H394" s="12"/>
      <c r="I394" s="11" t="s">
        <v>1648</v>
      </c>
      <c r="J394" s="12"/>
    </row>
    <row r="395" ht="14.25" customHeight="1">
      <c r="A395" s="13">
        <v>188.0</v>
      </c>
      <c r="B395" s="14" t="s">
        <v>1649</v>
      </c>
      <c r="C395" s="23">
        <v>0.0</v>
      </c>
      <c r="D395" s="25"/>
      <c r="E395" s="14" t="s">
        <v>1225</v>
      </c>
      <c r="F395" s="15"/>
      <c r="G395" s="14" t="s">
        <v>1650</v>
      </c>
      <c r="H395" s="15"/>
      <c r="I395" s="14" t="s">
        <v>1651</v>
      </c>
      <c r="J395" s="15"/>
    </row>
    <row r="396" ht="14.25" customHeight="1">
      <c r="A396" s="10">
        <v>189.0</v>
      </c>
      <c r="B396" s="11" t="s">
        <v>1652</v>
      </c>
      <c r="C396" s="20">
        <v>0.0</v>
      </c>
      <c r="D396" s="22"/>
      <c r="E396" s="11" t="s">
        <v>1653</v>
      </c>
      <c r="F396" s="12"/>
      <c r="G396" s="11" t="s">
        <v>1654</v>
      </c>
      <c r="H396" s="12"/>
      <c r="I396" s="11" t="s">
        <v>1655</v>
      </c>
      <c r="J396" s="12"/>
    </row>
    <row r="397" ht="14.25" customHeight="1">
      <c r="A397" s="13">
        <v>190.0</v>
      </c>
      <c r="B397" s="14" t="s">
        <v>1656</v>
      </c>
      <c r="C397" s="23">
        <v>1.0</v>
      </c>
      <c r="D397" s="25"/>
      <c r="E397" s="14" t="s">
        <v>1533</v>
      </c>
      <c r="F397" s="15"/>
      <c r="G397" s="14" t="s">
        <v>1278</v>
      </c>
      <c r="H397" s="15"/>
      <c r="I397" s="14" t="s">
        <v>1534</v>
      </c>
      <c r="J397" s="15"/>
    </row>
    <row r="398" ht="14.25" customHeight="1">
      <c r="A398" s="10">
        <v>191.0</v>
      </c>
      <c r="B398" s="11" t="s">
        <v>1657</v>
      </c>
      <c r="C398" s="20">
        <v>0.0</v>
      </c>
      <c r="D398" s="22"/>
      <c r="E398" s="11" t="s">
        <v>1658</v>
      </c>
      <c r="F398" s="12"/>
      <c r="G398" s="11" t="s">
        <v>1659</v>
      </c>
      <c r="H398" s="12"/>
      <c r="I398" s="11" t="s">
        <v>1660</v>
      </c>
      <c r="J398" s="12"/>
    </row>
    <row r="399" ht="14.25" customHeight="1">
      <c r="A399" s="13">
        <v>192.0</v>
      </c>
      <c r="B399" s="14" t="s">
        <v>1661</v>
      </c>
      <c r="C399" s="23">
        <v>1.0</v>
      </c>
      <c r="D399" s="25"/>
      <c r="E399" s="14" t="s">
        <v>1592</v>
      </c>
      <c r="F399" s="15"/>
      <c r="G399" s="14" t="s">
        <v>1593</v>
      </c>
      <c r="H399" s="15"/>
      <c r="I399" s="14" t="s">
        <v>1662</v>
      </c>
      <c r="J399" s="15"/>
    </row>
    <row r="400" ht="14.25" customHeight="1">
      <c r="A400" s="10">
        <v>193.0</v>
      </c>
      <c r="B400" s="11" t="s">
        <v>1663</v>
      </c>
      <c r="C400" s="20">
        <v>1.0</v>
      </c>
      <c r="D400" s="22"/>
      <c r="E400" s="11" t="s">
        <v>1664</v>
      </c>
      <c r="F400" s="12"/>
      <c r="G400" s="11" t="s">
        <v>1665</v>
      </c>
      <c r="H400" s="12"/>
      <c r="I400" s="11" t="s">
        <v>1666</v>
      </c>
      <c r="J400" s="12"/>
    </row>
    <row r="401" ht="14.25" customHeight="1">
      <c r="A401" s="13">
        <v>194.0</v>
      </c>
      <c r="B401" s="14" t="s">
        <v>1667</v>
      </c>
      <c r="C401" s="23">
        <v>1.0</v>
      </c>
      <c r="D401" s="25"/>
      <c r="E401" s="14" t="s">
        <v>1560</v>
      </c>
      <c r="F401" s="15"/>
      <c r="G401" s="14" t="s">
        <v>982</v>
      </c>
      <c r="H401" s="15"/>
      <c r="I401" s="14" t="s">
        <v>1668</v>
      </c>
      <c r="J401" s="15"/>
    </row>
    <row r="402" ht="14.25" customHeight="1">
      <c r="A402" s="10">
        <v>195.0</v>
      </c>
      <c r="B402" s="11" t="s">
        <v>1669</v>
      </c>
      <c r="C402" s="20">
        <v>1.0</v>
      </c>
      <c r="D402" s="22"/>
      <c r="E402" s="11" t="s">
        <v>1670</v>
      </c>
      <c r="F402" s="12"/>
      <c r="G402" s="11" t="s">
        <v>1671</v>
      </c>
      <c r="H402" s="12"/>
      <c r="I402" s="11" t="s">
        <v>1672</v>
      </c>
      <c r="J402" s="12"/>
    </row>
    <row r="403" ht="14.25" customHeight="1">
      <c r="A403" s="13">
        <v>196.0</v>
      </c>
      <c r="B403" s="14" t="s">
        <v>1673</v>
      </c>
      <c r="C403" s="23">
        <v>1.0</v>
      </c>
      <c r="D403" s="25"/>
      <c r="E403" s="14" t="s">
        <v>1674</v>
      </c>
      <c r="F403" s="15"/>
      <c r="G403" s="14" t="s">
        <v>1675</v>
      </c>
      <c r="H403" s="15"/>
      <c r="I403" s="14" t="s">
        <v>1608</v>
      </c>
      <c r="J403" s="15"/>
    </row>
    <row r="404" ht="14.25" customHeight="1">
      <c r="A404" s="10">
        <v>197.0</v>
      </c>
      <c r="B404" s="11" t="s">
        <v>1676</v>
      </c>
      <c r="C404" s="20">
        <v>1.0</v>
      </c>
      <c r="D404" s="22"/>
      <c r="E404" s="11" t="s">
        <v>1339</v>
      </c>
      <c r="F404" s="12"/>
      <c r="G404" s="11" t="s">
        <v>1340</v>
      </c>
      <c r="H404" s="12"/>
      <c r="I404" s="11" t="s">
        <v>1677</v>
      </c>
      <c r="J404" s="12"/>
    </row>
    <row r="405" ht="14.25" customHeight="1">
      <c r="A405" s="13">
        <v>198.0</v>
      </c>
      <c r="B405" s="14" t="s">
        <v>1678</v>
      </c>
      <c r="C405" s="23">
        <v>1.0</v>
      </c>
      <c r="D405" s="25"/>
      <c r="E405" s="14" t="s">
        <v>1596</v>
      </c>
      <c r="F405" s="15"/>
      <c r="G405" s="14" t="s">
        <v>48</v>
      </c>
      <c r="H405" s="15"/>
      <c r="I405" s="14" t="s">
        <v>1679</v>
      </c>
      <c r="J405" s="15"/>
    </row>
    <row r="406" ht="14.25" customHeight="1">
      <c r="A406" s="10">
        <v>199.0</v>
      </c>
      <c r="B406" s="11" t="s">
        <v>1680</v>
      </c>
      <c r="C406" s="20">
        <v>1.0</v>
      </c>
      <c r="D406" s="22"/>
      <c r="E406" s="11" t="s">
        <v>298</v>
      </c>
      <c r="F406" s="12"/>
      <c r="G406" s="11" t="s">
        <v>1270</v>
      </c>
      <c r="H406" s="12"/>
      <c r="I406" s="11" t="s">
        <v>1681</v>
      </c>
      <c r="J406" s="12"/>
    </row>
    <row r="407" ht="14.25" customHeight="1">
      <c r="A407" s="13">
        <v>200.0</v>
      </c>
      <c r="B407" s="14" t="s">
        <v>1682</v>
      </c>
      <c r="C407" s="23">
        <v>1.0</v>
      </c>
      <c r="D407" s="25"/>
      <c r="E407" s="14" t="s">
        <v>1683</v>
      </c>
      <c r="F407" s="15"/>
      <c r="G407" s="14" t="s">
        <v>1605</v>
      </c>
      <c r="H407" s="15"/>
      <c r="I407" s="14" t="s">
        <v>1684</v>
      </c>
      <c r="J407" s="15"/>
    </row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E251:F251"/>
    <mergeCell ref="E295:F295"/>
    <mergeCell ref="I298:J298"/>
    <mergeCell ref="E329:F329"/>
    <mergeCell ref="E363:F363"/>
    <mergeCell ref="E378:F378"/>
    <mergeCell ref="E381:F38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71"/>
    <col customWidth="1" min="2" max="3" width="80.86"/>
    <col customWidth="1" min="4" max="4" width="44.71"/>
    <col customWidth="1" min="5" max="5" width="80.86"/>
    <col customWidth="1" min="6" max="6" width="8.71"/>
    <col customWidth="1" min="7" max="7" width="19.57"/>
    <col customWidth="1" min="8" max="8" width="36.57"/>
    <col customWidth="1" min="9" max="9" width="55.57"/>
    <col customWidth="1" min="10" max="10" width="35.0"/>
    <col customWidth="1" min="11" max="11" width="60.0"/>
    <col customWidth="1" min="12" max="13" width="8.71"/>
    <col customWidth="1" min="14" max="15" width="43.0"/>
    <col customWidth="1" min="16" max="16" width="35.0"/>
    <col customWidth="1" min="17" max="17" width="43.0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""en"")"),"In the history of the Len Wow battle (firecracker kite battle), when did such battles begin to gain popularity?")</f>
        <v>In the history of the Len Wow battle (firecracker kite battle), when did such battles begin to gain popularity?</v>
      </c>
      <c r="C2" s="5" t="str">
        <f>IFERROR(__xludf.DUMMYFUNCTION("GOOGLETRANSLATE(I2, ""th"", ""en"")"),"A) Ayutthaya period; B) Thonburi dynasty period; C) Chakri dynasty period; D) Sukhothai period")</f>
        <v>A) Ayutthaya period; B) Thonburi dynasty period; C) Chakri dynasty period; D) Sukhothai period</v>
      </c>
      <c r="D2" s="5" t="str">
        <f>IFERROR(__xludf.DUMMYFUNCTION("GOOGLETRANSLATE(J2, ""th"", ""en"")"),"A) Ayutthaya period")</f>
        <v>A) Ayutthaya period</v>
      </c>
      <c r="E2" s="5" t="str">
        <f>IFERROR(__xludf.DUMMYFUNCTION("GOOGLETRANSLATE(K2, ""th"", ""en"")"),"Wow Lane Battles began to gain popularity during the Ayutthaya period and remains a popular activity in various areas.")</f>
        <v>Wow Lane Battles began to gain popularity during the Ayutthaya period and remains a popular activity in various areas.</v>
      </c>
      <c r="G2" s="6">
        <v>1.0</v>
      </c>
      <c r="H2" s="7" t="s">
        <v>1700</v>
      </c>
      <c r="I2" s="7" t="s">
        <v>1701</v>
      </c>
      <c r="J2" s="7" t="s">
        <v>970</v>
      </c>
      <c r="K2" s="7" t="s">
        <v>1702</v>
      </c>
    </row>
    <row r="3" ht="14.25" customHeight="1">
      <c r="A3" s="4">
        <v>2.0</v>
      </c>
      <c r="B3" s="5" t="str">
        <f>IFERROR(__xludf.DUMMYFUNCTION("GOOGLETRANSLATE(H3, ""th"", ""en"")"),"Where did the battle of lanes originate from?")</f>
        <v>Where did the battle of lanes originate from?</v>
      </c>
      <c r="C3" s="5" t="str">
        <f>IFERROR(__xludf.DUMMYFUNCTION("GOOGLETRANSLATE(I3, ""th"", ""en"")"),"A) Thailand; B) Cambodia; C) Vietnam; D) Burma")</f>
        <v>A) Thailand; B) Cambodia; C) Vietnam; D) Burma</v>
      </c>
      <c r="D3" s="5" t="str">
        <f>IFERROR(__xludf.DUMMYFUNCTION("GOOGLETRANSLATE(J3, ""th"", ""en"")"),"A) Thai")</f>
        <v>A) Thai</v>
      </c>
      <c r="E3" s="5" t="str">
        <f>IFERROR(__xludf.DUMMYFUNCTION("GOOGLETRANSLATE(K3, ""th"", ""en"")"),"Lane fighting is a traditional Thai sport that holds significance in the country's history and culture.")</f>
        <v>Lane fighting is a traditional Thai sport that holds significance in the country's history and culture.</v>
      </c>
      <c r="G3" s="6">
        <v>2.0</v>
      </c>
      <c r="H3" s="7" t="s">
        <v>1703</v>
      </c>
      <c r="I3" s="7" t="s">
        <v>1704</v>
      </c>
      <c r="J3" s="7" t="s">
        <v>1705</v>
      </c>
      <c r="K3" s="7" t="s">
        <v>1706</v>
      </c>
    </row>
    <row r="4" ht="14.25" customHeight="1">
      <c r="A4" s="4">
        <v>3.0</v>
      </c>
      <c r="B4" s="5" t="str">
        <f>IFERROR(__xludf.DUMMYFUNCTION("GOOGLETRANSLATE(H4, ""th"", ""en"")"),"What activities were the ancient lanes mainly used for?")</f>
        <v>What activities were the ancient lanes mainly used for?</v>
      </c>
      <c r="C4" s="5" t="str">
        <f>IFERROR(__xludf.DUMMYFUNCTION("GOOGLETRANSLATE(I4, ""th"", ""en"")"),"A) military training; B) inter-village competitions; C) demonstrations of fighting ability; D) entertainment for the upper class.")</f>
        <v>A) military training; B) inter-village competitions; C) demonstrations of fighting ability; D) entertainment for the upper class.</v>
      </c>
      <c r="D4" s="5" t="str">
        <f>IFERROR(__xludf.DUMMYFUNCTION("GOOGLETRANSLATE(J4, ""th"", ""en"")"),"B) Inter-village competition")</f>
        <v>B) Inter-village competition</v>
      </c>
      <c r="E4" s="5" t="str">
        <f>IFERROR(__xludf.DUMMYFUNCTION("GOOGLETRANSLATE(K4, ""th"", ""en"")"),"The battle of the lanes was used as a competitive activity between villages in ancient times.")</f>
        <v>The battle of the lanes was used as a competitive activity between villages in ancient times.</v>
      </c>
      <c r="G4" s="6">
        <v>3.0</v>
      </c>
      <c r="H4" s="7" t="s">
        <v>1707</v>
      </c>
      <c r="I4" s="7" t="s">
        <v>1708</v>
      </c>
      <c r="J4" s="7" t="s">
        <v>1709</v>
      </c>
      <c r="K4" s="7" t="s">
        <v>1710</v>
      </c>
    </row>
    <row r="5" ht="14.25" customHeight="1">
      <c r="A5" s="4">
        <v>4.0</v>
      </c>
      <c r="B5" s="5" t="str">
        <f>IFERROR(__xludf.DUMMYFUNCTION("GOOGLETRANSLATE(H5, ""th"", ""en"")"),"When was lane wow transformed into a modern sport?")</f>
        <v>When was lane wow transformed into a modern sport?</v>
      </c>
      <c r="C5" s="5" t="str">
        <f>IFERROR(__xludf.DUMMYFUNCTION("GOOGLETRANSLATE(I5, ""th"", ""en"")"),"A) During the reign of King Rama V; B) During the reign of King Rama VI; C) During the reign of King Rama VII; D) During the reign of King Rama IX")</f>
        <v>A) During the reign of King Rama V; B) During the reign of King Rama VI; C) During the reign of King Rama VII; D) During the reign of King Rama IX</v>
      </c>
      <c r="D5" s="5" t="str">
        <f>IFERROR(__xludf.DUMMYFUNCTION("GOOGLETRANSLATE(J5, ""th"", ""en"")"),"B) During the reign of King Rama VI")</f>
        <v>B) During the reign of King Rama VI</v>
      </c>
      <c r="E5" s="5" t="str">
        <f>IFERROR(__xludf.DUMMYFUNCTION("GOOGLETRANSLATE(K5, ""th"", ""en"")"),"During the reign of King Rama VI, lane fighting was transformed into a sport and became more popular.")</f>
        <v>During the reign of King Rama VI, lane fighting was transformed into a sport and became more popular.</v>
      </c>
      <c r="G5" s="6">
        <v>4.0</v>
      </c>
      <c r="H5" s="7" t="s">
        <v>1711</v>
      </c>
      <c r="I5" s="7" t="s">
        <v>1712</v>
      </c>
      <c r="J5" s="7" t="s">
        <v>1713</v>
      </c>
      <c r="K5" s="7" t="s">
        <v>1714</v>
      </c>
    </row>
    <row r="6" ht="14.25" customHeight="1">
      <c r="A6" s="4">
        <v>5.0</v>
      </c>
      <c r="B6" s="5" t="str">
        <f>IFERROR(__xludf.DUMMYFUNCTION("GOOGLETRANSLATE(H6, ""th"", ""en"")"),"Where in Thailand is the battle lane famous?")</f>
        <v>Where in Thailand is the battle lane famous?</v>
      </c>
      <c r="C6" s="5" t="str">
        <f>IFERROR(__xludf.DUMMYFUNCTION("GOOGLETRANSLATE(I6, ""th"", ""en"")"),"A) Central region; B) Northern region; C) Northeastern region; D) Southern region")</f>
        <v>A) Central region; B) Northern region; C) Northeastern region; D) Southern region</v>
      </c>
      <c r="D6" s="5" t="str">
        <f>IFERROR(__xludf.DUMMYFUNCTION("GOOGLETRANSLATE(J6, ""th"", ""en"")"),"C) Northeastern region")</f>
        <v>C) Northeastern region</v>
      </c>
      <c r="E6" s="5" t="str">
        <f>IFERROR(__xludf.DUMMYFUNCTION("GOOGLETRANSLATE(K6, ""th"", ""en"")"),"Northeastern Thailand is the birthplace and area where Lane Wow is most popular.")</f>
        <v>Northeastern Thailand is the birthplace and area where Lane Wow is most popular.</v>
      </c>
      <c r="G6" s="6">
        <v>5.0</v>
      </c>
      <c r="H6" s="7" t="s">
        <v>1715</v>
      </c>
      <c r="I6" s="7" t="s">
        <v>1716</v>
      </c>
      <c r="J6" s="7" t="s">
        <v>1717</v>
      </c>
      <c r="K6" s="7" t="s">
        <v>1718</v>
      </c>
    </row>
    <row r="7" ht="14.25" customHeight="1">
      <c r="A7" s="4">
        <v>6.0</v>
      </c>
      <c r="B7" s="5" t="str">
        <f>IFERROR(__xludf.DUMMYFUNCTION("GOOGLETRANSLATE(H7, ""th"", ""en"")"),"Who promoted the Lane Wow in Thailand in ancient times?")</f>
        <v>Who promoted the Lane Wow in Thailand in ancient times?</v>
      </c>
      <c r="C7" s="5" t="str">
        <f>IFERROR(__xludf.DUMMYFUNCTION("GOOGLETRANSLATE(I7, ""th"", ""en"")"),"A) the king; B) nobles; C) local rulers; D) the common people")</f>
        <v>A) the king; B) nobles; C) local rulers; D) the common people</v>
      </c>
      <c r="D7" s="5" t="str">
        <f>IFERROR(__xludf.DUMMYFUNCTION("GOOGLETRANSLATE(J7, ""th"", ""en"")"),"A) The King")</f>
        <v>A) The King</v>
      </c>
      <c r="E7" s="5" t="str">
        <f>IFERROR(__xludf.DUMMYFUNCTION("GOOGLETRANSLATE(K7, ""th"", ""en"")"),"Ancient kings promoted lane fighting as part of military training.")</f>
        <v>Ancient kings promoted lane fighting as part of military training.</v>
      </c>
      <c r="G7" s="6">
        <v>6.0</v>
      </c>
      <c r="H7" s="7" t="s">
        <v>1719</v>
      </c>
      <c r="I7" s="7" t="s">
        <v>1720</v>
      </c>
      <c r="J7" s="7" t="s">
        <v>287</v>
      </c>
      <c r="K7" s="7" t="s">
        <v>1721</v>
      </c>
    </row>
    <row r="8" ht="14.25" customHeight="1">
      <c r="A8" s="4">
        <v>7.0</v>
      </c>
      <c r="B8" s="5" t="str">
        <f>IFERROR(__xludf.DUMMYFUNCTION("GOOGLETRANSLATE(H8, ""th"", ""en"")"),"When did lane battles begin to be played internationally?")</f>
        <v>When did lane battles begin to be played internationally?</v>
      </c>
      <c r="C8" s="5" t="str">
        <f>IFERROR(__xludf.DUMMYFUNCTION("GOOGLETRANSLATE(I8, ""th"", ""en"")"),"A) in 1940; B) in 1950; C) in 1960; D) in 1970")</f>
        <v>A) in 1940; B) in 1950; C) in 1960; D) in 1970</v>
      </c>
      <c r="D8" s="5" t="str">
        <f>IFERROR(__xludf.DUMMYFUNCTION("GOOGLETRANSLATE(J8, ""th"", ""en"")"),"C) In 1960")</f>
        <v>C) In 1960</v>
      </c>
      <c r="E8" s="5" t="str">
        <f>IFERROR(__xludf.DUMMYFUNCTION("GOOGLETRANSLATE(K8, ""th"", ""en"")"),"Wow lane fighting began to gain international attention in the 1960s.")</f>
        <v>Wow lane fighting began to gain international attention in the 1960s.</v>
      </c>
      <c r="G8" s="6">
        <v>7.0</v>
      </c>
      <c r="H8" s="7" t="s">
        <v>1722</v>
      </c>
      <c r="I8" s="7" t="s">
        <v>1723</v>
      </c>
      <c r="J8" s="7" t="s">
        <v>1724</v>
      </c>
      <c r="K8" s="7" t="s">
        <v>1725</v>
      </c>
    </row>
    <row r="9" ht="14.25" customHeight="1">
      <c r="A9" s="4">
        <v>8.0</v>
      </c>
      <c r="B9" s="5" t="str">
        <f>IFERROR(__xludf.DUMMYFUNCTION("GOOGLETRANSLATE(H9, ""th"", ""en"")"),"What activity was Lane Wow classified as in ancient times?")</f>
        <v>What activity was Lane Wow classified as in ancient times?</v>
      </c>
      <c r="C9" s="5" t="str">
        <f>IFERROR(__xludf.DUMMYFUNCTION("GOOGLETRANSLATE(I9, ""th"", ""en"")"),"A) Celebration activities; B) Military training activities; C) Combat activities; D) Entertainment activities")</f>
        <v>A) Celebration activities; B) Military training activities; C) Combat activities; D) Entertainment activities</v>
      </c>
      <c r="D9" s="5" t="str">
        <f>IFERROR(__xludf.DUMMYFUNCTION("GOOGLETRANSLATE(J9, ""th"", ""en"")"),"B) Military training activities")</f>
        <v>B) Military training activities</v>
      </c>
      <c r="E9" s="5" t="str">
        <f>IFERROR(__xludf.DUMMYFUNCTION("GOOGLETRANSLATE(K9, ""th"", ""en"")"),"The battle of the lanes was used as an activity to help train soldiers in battle in ancient times.")</f>
        <v>The battle of the lanes was used as an activity to help train soldiers in battle in ancient times.</v>
      </c>
      <c r="G9" s="6">
        <v>8.0</v>
      </c>
      <c r="H9" s="7" t="s">
        <v>1726</v>
      </c>
      <c r="I9" s="7" t="s">
        <v>1727</v>
      </c>
      <c r="J9" s="7" t="s">
        <v>1728</v>
      </c>
      <c r="K9" s="7" t="s">
        <v>1729</v>
      </c>
    </row>
    <row r="10" ht="14.25" customHeight="1">
      <c r="A10" s="4">
        <v>9.0</v>
      </c>
      <c r="B10" s="5" t="str">
        <f>IFERROR(__xludf.DUMMYFUNCTION("GOOGLETRANSLATE(H10, ""th"", ""en"")"),"When did the use of wow lanes in competitive games begin to appear as prize-based competitions?")</f>
        <v>When did the use of wow lanes in competitive games begin to appear as prize-based competitions?</v>
      </c>
      <c r="C10" s="5" t="str">
        <f>IFERROR(__xludf.DUMMYFUNCTION("GOOGLETRANSLATE(I10, ""th"", ""en"")"),"A) During the Ayutthaya period; B) During the Rattanakosin period; C) During the reign of King Rama V; D) During the reign of King Rama VI.")</f>
        <v>A) During the Ayutthaya period; B) During the Rattanakosin period; C) During the reign of King Rama V; D) During the reign of King Rama VI.</v>
      </c>
      <c r="D10" s="5" t="str">
        <f>IFERROR(__xludf.DUMMYFUNCTION("GOOGLETRANSLATE(J10, ""th"", ""en"")"),"C) During the reign of King Rama V")</f>
        <v>C) During the reign of King Rama V</v>
      </c>
      <c r="E10" s="5" t="str">
        <f>IFERROR(__xludf.DUMMYFUNCTION("GOOGLETRANSLATE(K10, ""th"", ""en"")"),"The use of lane wow as a competition with prizes began during the reign of King Rama V.")</f>
        <v>The use of lane wow as a competition with prizes began during the reign of King Rama V.</v>
      </c>
      <c r="G10" s="6">
        <v>9.0</v>
      </c>
      <c r="H10" s="7" t="s">
        <v>1730</v>
      </c>
      <c r="I10" s="7" t="s">
        <v>1731</v>
      </c>
      <c r="J10" s="7" t="s">
        <v>1732</v>
      </c>
      <c r="K10" s="7" t="s">
        <v>1733</v>
      </c>
    </row>
    <row r="11" ht="14.25" customHeight="1">
      <c r="A11" s="4">
        <v>10.0</v>
      </c>
      <c r="B11" s="5" t="str">
        <f>IFERROR(__xludf.DUMMYFUNCTION("GOOGLETRANSLATE(H11, ""th"", ""en"")"),"What tools were used in the past for the Len Wow competition?")</f>
        <v>What tools were used in the past for the Len Wow competition?</v>
      </c>
      <c r="C11" s="5" t="str">
        <f>IFERROR(__xludf.DUMMYFUNCTION("GOOGLETRANSLATE(I11, ""th"", ""en"")"),"A) wooden kite; B) paper kite; C) kite made from natural materials; D) iron kite")</f>
        <v>A) wooden kite; B) paper kite; C) kite made from natural materials; D) iron kite</v>
      </c>
      <c r="D11" s="5" t="str">
        <f>IFERROR(__xludf.DUMMYFUNCTION("GOOGLETRANSLATE(J11, ""th"", ""en"")"),"C) Kites made from natural materials")</f>
        <v>C) Kites made from natural materials</v>
      </c>
      <c r="E11" s="5" t="str">
        <f>IFERROR(__xludf.DUMMYFUNCTION("GOOGLETRANSLATE(K11, ""th"", ""en"")"),"In the past, kites used in competitions were made from natural materials available locally.")</f>
        <v>In the past, kites used in competitions were made from natural materials available locally.</v>
      </c>
      <c r="G11" s="6">
        <v>10.0</v>
      </c>
      <c r="H11" s="7" t="s">
        <v>1734</v>
      </c>
      <c r="I11" s="7" t="s">
        <v>1735</v>
      </c>
      <c r="J11" s="7" t="s">
        <v>1736</v>
      </c>
      <c r="K11" s="7" t="s">
        <v>1737</v>
      </c>
    </row>
    <row r="12" ht="14.25" customHeight="1">
      <c r="A12" s="4">
        <v>11.0</v>
      </c>
      <c r="B12" s="5" t="str">
        <f>IFERROR(__xludf.DUMMYFUNCTION("GOOGLETRANSLATE(H12, ""th"", ""en"")"),"How was the practice of the ancient Wow lane done?")</f>
        <v>How was the practice of the ancient Wow lane done?</v>
      </c>
      <c r="C12" s="5" t="str">
        <f>IFERROR(__xludf.DUMMYFUNCTION("GOOGLETRANSLATE(I12, ""th"", ""en"")"),"A) By training in small groups; B) By training in large fields; C) By training with competitors from other villages; D) By training within the home.")</f>
        <v>A) By training in small groups; B) By training in large fields; C) By training with competitors from other villages; D) By training within the home.</v>
      </c>
      <c r="D12" s="5" t="str">
        <f>IFERROR(__xludf.DUMMYFUNCTION("GOOGLETRANSLATE(J12, ""th"", ""en"")"),"B) By training in a big field")</f>
        <v>B) By training in a big field</v>
      </c>
      <c r="E12" s="5" t="str">
        <f>IFERROR(__xludf.DUMMYFUNCTION("GOOGLETRANSLATE(K12, ""th"", ""en"")"),"Wow lane training is usually held in a large stadium with many training groups.")</f>
        <v>Wow lane training is usually held in a large stadium with many training groups.</v>
      </c>
      <c r="G12" s="6">
        <v>11.0</v>
      </c>
      <c r="H12" s="7" t="s">
        <v>1738</v>
      </c>
      <c r="I12" s="7" t="s">
        <v>1739</v>
      </c>
      <c r="J12" s="7" t="s">
        <v>1740</v>
      </c>
      <c r="K12" s="7" t="s">
        <v>1741</v>
      </c>
    </row>
    <row r="13" ht="14.25" customHeight="1">
      <c r="A13" s="4">
        <v>12.0</v>
      </c>
      <c r="B13" s="5" t="str">
        <f>IFERROR(__xludf.DUMMYFUNCTION("GOOGLETRANSLATE(H13, ""th"", ""en"")"),"What traditions are associated with the Len Wow competition in Thailand?")</f>
        <v>What traditions are associated with the Len Wow competition in Thailand?</v>
      </c>
      <c r="C13" s="5" t="str">
        <f>IFERROR(__xludf.DUMMYFUNCTION("GOOGLETRANSLATE(I13, ""th"", ""en"")"),"A) Songkran Festival; B) Loi Krathong Festival; C) New Year Festival; D) Buddhist Lent Festival")</f>
        <v>A) Songkran Festival; B) Loi Krathong Festival; C) New Year Festival; D) Buddhist Lent Festival</v>
      </c>
      <c r="D13" s="5" t="str">
        <f>IFERROR(__xludf.DUMMYFUNCTION("GOOGLETRANSLATE(J13, ""th"", ""en"")"),"A) Songkran Festival")</f>
        <v>A) Songkran Festival</v>
      </c>
      <c r="E13" s="5" t="str">
        <f>IFERROR(__xludf.DUMMYFUNCTION("GOOGLETRANSLATE(K13, ""th"", ""en"")"),"Songkran festivals often include a lane-wow competition as part of the event.")</f>
        <v>Songkran festivals often include a lane-wow competition as part of the event.</v>
      </c>
      <c r="G13" s="6">
        <v>12.0</v>
      </c>
      <c r="H13" s="7" t="s">
        <v>1742</v>
      </c>
      <c r="I13" s="7" t="s">
        <v>1743</v>
      </c>
      <c r="J13" s="7" t="s">
        <v>1744</v>
      </c>
      <c r="K13" s="7" t="s">
        <v>1745</v>
      </c>
    </row>
    <row r="14" ht="14.25" customHeight="1">
      <c r="A14" s="4">
        <v>13.0</v>
      </c>
      <c r="B14" s="5" t="str">
        <f>IFERROR(__xludf.DUMMYFUNCTION("GOOGLETRANSLATE(H14, ""th"", ""en"")"),"What is the connection between the Len Wow battle in Thai history and the show?")</f>
        <v>What is the connection between the Len Wow battle in Thai history and the show?</v>
      </c>
      <c r="C14" s="5" t="str">
        <f>IFERROR(__xludf.DUMMYFUNCTION("GOOGLETRANSLATE(I14, ""th"", ""en"")"),"A) Martial arts performance; B) Dancing performance; C) Singing performance; D) Painting performance")</f>
        <v>A) Martial arts performance; B) Dancing performance; C) Singing performance; D) Painting performance</v>
      </c>
      <c r="D14" s="5" t="str">
        <f>IFERROR(__xludf.DUMMYFUNCTION("GOOGLETRANSLATE(J14, ""th"", ""en"")"),"A) Martial arts performance")</f>
        <v>A) Martial arts performance</v>
      </c>
      <c r="E14" s="5" t="str">
        <f>IFERROR(__xludf.DUMMYFUNCTION("GOOGLETRANSLATE(K14, ""th"", ""en"")"),"The Lane Wow fight is one of the most important martial arts performances in Thai history.")</f>
        <v>The Lane Wow fight is one of the most important martial arts performances in Thai history.</v>
      </c>
      <c r="G14" s="6">
        <v>13.0</v>
      </c>
      <c r="H14" s="7" t="s">
        <v>1746</v>
      </c>
      <c r="I14" s="7" t="s">
        <v>1747</v>
      </c>
      <c r="J14" s="7" t="s">
        <v>1748</v>
      </c>
      <c r="K14" s="7" t="s">
        <v>1749</v>
      </c>
    </row>
    <row r="15" ht="14.25" customHeight="1">
      <c r="A15" s="4">
        <v>14.0</v>
      </c>
      <c r="B15" s="5" t="str">
        <f>IFERROR(__xludf.DUMMYFUNCTION("GOOGLETRANSLATE(H15, ""th"", ""en"")"),"How does the history of the Wow Lane relate to national defense?")</f>
        <v>How does the history of the Wow Lane relate to national defense?</v>
      </c>
      <c r="C15" s="5" t="str">
        <f>IFERROR(__xludf.DUMMYFUNCTION("GOOGLETRANSLATE(I15, ""th"", ""en"")"),"A) Military training to defend against invasion; B) Military training to practice strategy; C) Military training for fun; D) Military training for social purposes.")</f>
        <v>A) Military training to defend against invasion; B) Military training to practice strategy; C) Military training for fun; D) Military training for social purposes.</v>
      </c>
      <c r="D15" s="5" t="str">
        <f>IFERROR(__xludf.DUMMYFUNCTION("GOOGLETRANSLATE(J15, ""th"", ""en"")"),"A) Military training to prevent invasion.")</f>
        <v>A) Military training to prevent invasion.</v>
      </c>
      <c r="E15" s="5" t="str">
        <f>IFERROR(__xludf.DUMMYFUNCTION("GOOGLETRANSLATE(K15, ""th"", ""en"")"),"The ancient practice of the lane wow was intended to prepare soldiers for national defense.")</f>
        <v>The ancient practice of the lane wow was intended to prepare soldiers for national defense.</v>
      </c>
      <c r="G15" s="6">
        <v>14.0</v>
      </c>
      <c r="H15" s="7" t="s">
        <v>1750</v>
      </c>
      <c r="I15" s="7" t="s">
        <v>1751</v>
      </c>
      <c r="J15" s="7" t="s">
        <v>1752</v>
      </c>
      <c r="K15" s="7" t="s">
        <v>1753</v>
      </c>
    </row>
    <row r="16" ht="14.25" customHeight="1">
      <c r="A16" s="4">
        <v>15.0</v>
      </c>
      <c r="B16" s="5" t="str">
        <f>IFERROR(__xludf.DUMMYFUNCTION("GOOGLETRANSLATE(H16, ""th"", ""en"")"),"In which year was lane wow certified as a national sport?")</f>
        <v>In which year was lane wow certified as a national sport?</v>
      </c>
      <c r="C16" s="5" t="str">
        <f>IFERROR(__xludf.DUMMYFUNCTION("GOOGLETRANSLATE(I16, ""th"", ""en"")"),"A) 1990; B) 1992; C) 1994; D) 1996")</f>
        <v>A) 1990; B) 1992; C) 1994; D) 1996</v>
      </c>
      <c r="D16" s="5" t="str">
        <f>IFERROR(__xludf.DUMMYFUNCTION("GOOGLETRANSLATE(J16, ""th"", ""en"")"),"B) 1992")</f>
        <v>B) 1992</v>
      </c>
      <c r="E16" s="5" t="str">
        <f>IFERROR(__xludf.DUMMYFUNCTION("GOOGLETRANSLATE(K16, ""th"", ""en"")"),"Lane fighting was recognized as a national sport in 1992.")</f>
        <v>Lane fighting was recognized as a national sport in 1992.</v>
      </c>
      <c r="G16" s="6">
        <v>15.0</v>
      </c>
      <c r="H16" s="7" t="s">
        <v>1754</v>
      </c>
      <c r="I16" s="7" t="s">
        <v>1755</v>
      </c>
      <c r="J16" s="7" t="s">
        <v>1756</v>
      </c>
      <c r="K16" s="7" t="s">
        <v>1757</v>
      </c>
    </row>
    <row r="17" ht="14.25" customHeight="1">
      <c r="A17" s="4">
        <v>16.0</v>
      </c>
      <c r="B17" s="5" t="str">
        <f>IFERROR(__xludf.DUMMYFUNCTION("GOOGLETRANSLATE(H17, ""th"", ""en"")"),"In what period of history has the Thai lane wow competition been held most often?")</f>
        <v>In what period of history has the Thai lane wow competition been held most often?</v>
      </c>
      <c r="C17" s="5" t="str">
        <f>IFERROR(__xludf.DUMMYFUNCTION("GOOGLETRANSLATE(I17, ""th"", ""en"")"),"A) rainy season; B) winter season; C) summer season; D) all seasons")</f>
        <v>A) rainy season; B) winter season; C) summer season; D) all seasons</v>
      </c>
      <c r="D17" s="5" t="str">
        <f>IFERROR(__xludf.DUMMYFUNCTION("GOOGLETRANSLATE(J17, ""th"", ""en"")"),"B) Winter period")</f>
        <v>B) Winter period</v>
      </c>
      <c r="E17" s="5" t="str">
        <f>IFERROR(__xludf.DUMMYFUNCTION("GOOGLETRANSLATE(K17, ""th"", ""en"")"),"Wow lane competitions in Thailand are usually held during the cool winter season.")</f>
        <v>Wow lane competitions in Thailand are usually held during the cool winter season.</v>
      </c>
      <c r="G17" s="6">
        <v>16.0</v>
      </c>
      <c r="H17" s="7" t="s">
        <v>1758</v>
      </c>
      <c r="I17" s="7" t="s">
        <v>1759</v>
      </c>
      <c r="J17" s="7" t="s">
        <v>1760</v>
      </c>
      <c r="K17" s="7" t="s">
        <v>1761</v>
      </c>
    </row>
    <row r="18" ht="14.25" customHeight="1">
      <c r="A18" s="4">
        <v>17.0</v>
      </c>
      <c r="B18" s="5" t="str">
        <f>IFERROR(__xludf.DUMMYFUNCTION("GOOGLETRANSLATE(H18, ""th"", ""en"")"),"What ethnic culture is associated with the history of lane wow fighting in Thailand?")</f>
        <v>What ethnic culture is associated with the history of lane wow fighting in Thailand?</v>
      </c>
      <c r="C18" s="5" t="str">
        <f>IFERROR(__xludf.DUMMYFUNCTION("GOOGLETRANSLATE(I18, ""th"", ""en"")"),"A) Khmer tribe; B) Mon tribe; C) Tai tribe; D) Burmese tribe")</f>
        <v>A) Khmer tribe; B) Mon tribe; C) Tai tribe; D) Burmese tribe</v>
      </c>
      <c r="D18" s="5" t="str">
        <f>IFERROR(__xludf.DUMMYFUNCTION("GOOGLETRANSLATE(J18, ""th"", ""en"")"),"C) Tai tribe")</f>
        <v>C) Tai tribe</v>
      </c>
      <c r="E18" s="5" t="str">
        <f>IFERROR(__xludf.DUMMYFUNCTION("GOOGLETRANSLATE(K18, ""th"", ""en"")"),"The battle of the lane is related to the culture of the Tai people in Thailand.")</f>
        <v>The battle of the lane is related to the culture of the Tai people in Thailand.</v>
      </c>
      <c r="G18" s="6">
        <v>17.0</v>
      </c>
      <c r="H18" s="7" t="s">
        <v>1762</v>
      </c>
      <c r="I18" s="7" t="s">
        <v>1763</v>
      </c>
      <c r="J18" s="7" t="s">
        <v>1764</v>
      </c>
      <c r="K18" s="7" t="s">
        <v>1765</v>
      </c>
    </row>
    <row r="19" ht="14.25" customHeight="1">
      <c r="A19" s="4">
        <v>18.0</v>
      </c>
      <c r="B19" s="5" t="str">
        <f>IFERROR(__xludf.DUMMYFUNCTION("GOOGLETRANSLATE(H19, ""th"", ""en"")"),"When did Lane Wow become popular in Thailand?")</f>
        <v>When did Lane Wow become popular in Thailand?</v>
      </c>
      <c r="C19" s="5" t="str">
        <f>IFERROR(__xludf.DUMMYFUNCTION("GOOGLETRANSLATE(I19, ""th"", ""en"")"),"A) during the natural art period; B) during the dynastic period; C) during the military reform period; D) during the imperial period.")</f>
        <v>A) during the natural art period; B) during the dynastic period; C) during the military reform period; D) during the imperial period.</v>
      </c>
      <c r="D19" s="5" t="str">
        <f>IFERROR(__xludf.DUMMYFUNCTION("GOOGLETRANSLATE(J19, ""th"", ""en"")"),"B) During the dynasty period")</f>
        <v>B) During the dynasty period</v>
      </c>
      <c r="E19" s="5" t="str">
        <f>IFERROR(__xludf.DUMMYFUNCTION("GOOGLETRANSLATE(K19, ""th"", ""en"")"),"The battle of the lane was popular during the dynasty and was used to train soldiers.")</f>
        <v>The battle of the lane was popular during the dynasty and was used to train soldiers.</v>
      </c>
      <c r="G19" s="6">
        <v>18.0</v>
      </c>
      <c r="H19" s="7" t="s">
        <v>1766</v>
      </c>
      <c r="I19" s="7" t="s">
        <v>1767</v>
      </c>
      <c r="J19" s="7" t="s">
        <v>1768</v>
      </c>
      <c r="K19" s="7" t="s">
        <v>1769</v>
      </c>
    </row>
    <row r="20" ht="14.25" customHeight="1">
      <c r="A20" s="4">
        <v>19.0</v>
      </c>
      <c r="B20" s="5" t="str">
        <f>IFERROR(__xludf.DUMMYFUNCTION("GOOGLETRANSLATE(H20, ""th"", ""en"")"),"What does the name of the fighting sport Len Wow mean in Thai?")</f>
        <v>What does the name of the fighting sport Len Wow mean in Thai?</v>
      </c>
      <c r="C20" s="5" t="str">
        <f>IFERROR(__xludf.DUMMYFUNCTION("GOOGLETRANSLATE(I20, ""th"", ""en"")"),"A) Hand-to-hand combat; B) Stance combat; C) Kite combat; D) Eye combat")</f>
        <v>A) Hand-to-hand combat; B) Stance combat; C) Kite combat; D) Eye combat</v>
      </c>
      <c r="D20" s="5" t="str">
        <f>IFERROR(__xludf.DUMMYFUNCTION("GOOGLETRANSLATE(J20, ""th"", ""en"")"),"C) Kite fighting")</f>
        <v>C) Kite fighting</v>
      </c>
      <c r="E20" s="5" t="str">
        <f>IFERROR(__xludf.DUMMYFUNCTION("GOOGLETRANSLATE(K20, ""th"", ""en"")"),"The name Len Wow comes from the words ""Len"" meaning battle and ""Wow"" meaning kite.")</f>
        <v>The name Len Wow comes from the words "Len" meaning battle and "Wow" meaning kite.</v>
      </c>
      <c r="G20" s="6">
        <v>19.0</v>
      </c>
      <c r="H20" s="7" t="s">
        <v>1770</v>
      </c>
      <c r="I20" s="7" t="s">
        <v>1771</v>
      </c>
      <c r="J20" s="7" t="s">
        <v>1772</v>
      </c>
      <c r="K20" s="7" t="s">
        <v>1773</v>
      </c>
    </row>
    <row r="21" ht="14.25" customHeight="1">
      <c r="A21" s="4">
        <v>20.0</v>
      </c>
      <c r="B21" s="5" t="str">
        <f>IFERROR(__xludf.DUMMYFUNCTION("GOOGLETRANSLATE(H21, ""th"", ""en"")"),"What does training soldiers through lane combat improve?")</f>
        <v>What does training soldiers through lane combat improve?</v>
      </c>
      <c r="C21" s="5" t="str">
        <f>IFERROR(__xludf.DUMMYFUNCTION("GOOGLETRANSLATE(I21, ""th"", ""en"")"),"A) physical strength; B) mental strength; C) strategic ability; D) weaponry ability.")</f>
        <v>A) physical strength; B) mental strength; C) strategic ability; D) weaponry ability.</v>
      </c>
      <c r="D21" s="5" t="str">
        <f>IFERROR(__xludf.DUMMYFUNCTION("GOOGLETRANSLATE(J21, ""th"", ""en"")"),"C) Strategic planning ability")</f>
        <v>C) Strategic planning ability</v>
      </c>
      <c r="E21" s="5" t="str">
        <f>IFERROR(__xludf.DUMMYFUNCTION("GOOGLETRANSLATE(K21, ""th"", ""en"")"),"Wow lane battles help develop strategy and quick thinking abilities.")</f>
        <v>Wow lane battles help develop strategy and quick thinking abilities.</v>
      </c>
      <c r="G21" s="6">
        <v>20.0</v>
      </c>
      <c r="H21" s="7" t="s">
        <v>1774</v>
      </c>
      <c r="I21" s="7" t="s">
        <v>1775</v>
      </c>
      <c r="J21" s="7" t="s">
        <v>1776</v>
      </c>
      <c r="K21" s="7" t="s">
        <v>1777</v>
      </c>
    </row>
    <row r="22" ht="14.25" customHeight="1">
      <c r="A22" s="4">
        <v>21.0</v>
      </c>
      <c r="B22" s="5" t="str">
        <f>IFERROR(__xludf.DUMMYFUNCTION("GOOGLETRANSLATE(H22, ""th"", ""en"")"),"How is the Wow Lane used in local Thai competitions?")</f>
        <v>How is the Wow Lane used in local Thai competitions?</v>
      </c>
      <c r="C22" s="5" t="str">
        <f>IFERROR(__xludf.DUMMYFUNCTION("GOOGLETRANSLATE(I22, ""th"", ""en"")"),"A) in inter-village competitions; B) in national competitions; C) in provincial competitions; D) in international competitions.")</f>
        <v>A) in inter-village competitions; B) in national competitions; C) in provincial competitions; D) in international competitions.</v>
      </c>
      <c r="D22" s="5" t="str">
        <f>IFERROR(__xludf.DUMMYFUNCTION("GOOGLETRANSLATE(J22, ""th"", ""en"")"),"A) In the inter-village competition")</f>
        <v>A) In the inter-village competition</v>
      </c>
      <c r="E22" s="5" t="str">
        <f>IFERROR(__xludf.DUMMYFUNCTION("GOOGLETRANSLATE(K22, ""th"", ""en"")"),"Wow lane competitions are often held between villages to test each group's fighting abilities.")</f>
        <v>Wow lane competitions are often held between villages to test each group's fighting abilities.</v>
      </c>
      <c r="G22" s="6">
        <v>21.0</v>
      </c>
      <c r="H22" s="7" t="s">
        <v>1778</v>
      </c>
      <c r="I22" s="7" t="s">
        <v>1779</v>
      </c>
      <c r="J22" s="7" t="s">
        <v>1780</v>
      </c>
      <c r="K22" s="7" t="s">
        <v>1781</v>
      </c>
    </row>
    <row r="23" ht="14.25" customHeight="1">
      <c r="A23" s="4">
        <v>22.0</v>
      </c>
      <c r="B23" s="5" t="str">
        <f>IFERROR(__xludf.DUMMYFUNCTION("GOOGLETRANSLATE(H23, ""th"", ""en"")"),"Why is Lane Wow popular in Thailand?")</f>
        <v>Why is Lane Wow popular in Thailand?</v>
      </c>
      <c r="C23" s="5" t="str">
        <f>IFERROR(__xludf.DUMMYFUNCTION("GOOGLETRANSLATE(I23, ""th"", ""en"")"),"A) military training; B) uniqueness of the sport; C) integration with local culture; D) development of strategies.")</f>
        <v>A) military training; B) uniqueness of the sport; C) integration with local culture; D) development of strategies.</v>
      </c>
      <c r="D23" s="5" t="str">
        <f>IFERROR(__xludf.DUMMYFUNCTION("GOOGLETRANSLATE(J23, ""th"", ""en"")"),"C) Integration with local culture")</f>
        <v>C) Integration with local culture</v>
      </c>
      <c r="E23" s="5" t="str">
        <f>IFERROR(__xludf.DUMMYFUNCTION("GOOGLETRANSLATE(K23, ""th"", ""en"")"),"Wow lane fighting is popular because it combines sports and local Thai culture.")</f>
        <v>Wow lane fighting is popular because it combines sports and local Thai culture.</v>
      </c>
      <c r="G23" s="6">
        <v>22.0</v>
      </c>
      <c r="H23" s="7" t="s">
        <v>1782</v>
      </c>
      <c r="I23" s="7" t="s">
        <v>1783</v>
      </c>
      <c r="J23" s="7" t="s">
        <v>1784</v>
      </c>
      <c r="K23" s="7" t="s">
        <v>1785</v>
      </c>
    </row>
    <row r="24" ht="14.25" customHeight="1">
      <c r="A24" s="4">
        <v>23.0</v>
      </c>
      <c r="B24" s="5" t="str">
        <f>IFERROR(__xludf.DUMMYFUNCTION("GOOGLETRANSLATE(H24, ""th"", ""en"")"),"How is Lane Wow being promoted in Thailand today?")</f>
        <v>How is Lane Wow being promoted in Thailand today?</v>
      </c>
      <c r="C24" s="5" t="str">
        <f>IFERROR(__xludf.DUMMYFUNCTION("GOOGLETRANSLATE(I24, ""th"", ""en"")"),"A) through school education; B) through international competitions; C) through performing at traditional festivals; D) through teaching in the military.")</f>
        <v>A) through school education; B) through international competitions; C) through performing at traditional festivals; D) through teaching in the military.</v>
      </c>
      <c r="D24" s="5" t="str">
        <f>IFERROR(__xludf.DUMMYFUNCTION("GOOGLETRANSLATE(J24, ""th"", ""en"")"),"A) Through school education")</f>
        <v>A) Through school education</v>
      </c>
      <c r="E24" s="5" t="str">
        <f>IFERROR(__xludf.DUMMYFUNCTION("GOOGLETRANSLATE(K24, ""th"", ""en"")"),"Currently, there is a promotion of lane wow through education within schools to preserve Thai sports culture.")</f>
        <v>Currently, there is a promotion of lane wow through education within schools to preserve Thai sports culture.</v>
      </c>
      <c r="G24" s="6">
        <v>23.0</v>
      </c>
      <c r="H24" s="7" t="s">
        <v>1786</v>
      </c>
      <c r="I24" s="7" t="s">
        <v>1787</v>
      </c>
      <c r="J24" s="7" t="s">
        <v>1788</v>
      </c>
      <c r="K24" s="7" t="s">
        <v>1789</v>
      </c>
    </row>
    <row r="25" ht="14.25" customHeight="1">
      <c r="A25" s="4">
        <v>24.0</v>
      </c>
      <c r="B25" s="5" t="str">
        <f>IFERROR(__xludf.DUMMYFUNCTION("GOOGLETRANSLATE(H25, ""th"", ""en"")"),"Who promotes the battle of lane wow nowadays?")</f>
        <v>Who promotes the battle of lane wow nowadays?</v>
      </c>
      <c r="C25" s="5" t="str">
        <f>IFERROR(__xludf.DUMMYFUNCTION("GOOGLETRANSLATE(I25, ""th"", ""en"")"),"A) famous athlete; B) sports enthusiast; C) government official; D) king")</f>
        <v>A) famous athlete; B) sports enthusiast; C) government official; D) king</v>
      </c>
      <c r="D25" s="5" t="str">
        <f>IFERROR(__xludf.DUMMYFUNCTION("GOOGLETRANSLATE(J25, ""th"", ""en"")"),"C) Government officials")</f>
        <v>C) Government officials</v>
      </c>
      <c r="E25" s="5" t="str">
        <f>IFERROR(__xludf.DUMMYFUNCTION("GOOGLETRANSLATE(K25, ""th"", ""en"")"),"Nowadays, government officials are involved in promoting this sport to a wider audience.")</f>
        <v>Nowadays, government officials are involved in promoting this sport to a wider audience.</v>
      </c>
      <c r="G25" s="6">
        <v>24.0</v>
      </c>
      <c r="H25" s="7" t="s">
        <v>1790</v>
      </c>
      <c r="I25" s="7" t="s">
        <v>1791</v>
      </c>
      <c r="J25" s="7" t="s">
        <v>1792</v>
      </c>
      <c r="K25" s="7" t="s">
        <v>1793</v>
      </c>
    </row>
    <row r="26" ht="14.25" customHeight="1">
      <c r="A26" s="4">
        <v>25.0</v>
      </c>
      <c r="B26" s="5" t="str">
        <f>IFERROR(__xludf.DUMMYFUNCTION("GOOGLETRANSLATE(H26, ""th"", ""en"")"),"How has Lane Wow developed in the modern era?")</f>
        <v>How has Lane Wow developed in the modern era?</v>
      </c>
      <c r="C26" s="5" t="str">
        <f>IFERROR(__xludf.DUMMYFUNCTION("GOOGLETRANSLATE(I26, ""th"", ""en"")"),"A) Training technology; B) Organizing international competitions; C) Using new materials in kite construction; D) Developing competition strategies.")</f>
        <v>A) Training technology; B) Organizing international competitions; C) Using new materials in kite construction; D) Developing competition strategies.</v>
      </c>
      <c r="D26" s="5" t="str">
        <f>IFERROR(__xludf.DUMMYFUNCTION("GOOGLETRANSLATE(J26, ""th"", ""en"")"),"B) Organizing international competitions")</f>
        <v>B) Organizing international competitions</v>
      </c>
      <c r="E26" s="5" t="str">
        <f>IFERROR(__xludf.DUMMYFUNCTION("GOOGLETRANSLATE(K26, ""th"", ""en"")"),"Wow lane battles are currently being held at an international level.")</f>
        <v>Wow lane battles are currently being held at an international level.</v>
      </c>
      <c r="G26" s="6">
        <v>25.0</v>
      </c>
      <c r="H26" s="7" t="s">
        <v>1794</v>
      </c>
      <c r="I26" s="7" t="s">
        <v>1795</v>
      </c>
      <c r="J26" s="7" t="s">
        <v>1796</v>
      </c>
      <c r="K26" s="7" t="s">
        <v>1797</v>
      </c>
    </row>
    <row r="27" ht="14.25" customHeight="1">
      <c r="A27" s="4">
        <v>26.0</v>
      </c>
      <c r="B27" s="5" t="str">
        <f>IFERROR(__xludf.DUMMYFUNCTION("GOOGLETRANSLATE(H27, ""th"", ""en"")"),"Where did the training for the ancient battle lanes usually take place?")</f>
        <v>Where did the training for the ancient battle lanes usually take place?</v>
      </c>
      <c r="C27" s="5" t="str">
        <f>IFERROR(__xludf.DUMMYFUNCTION("GOOGLETRANSLATE(I27, ""th"", ""en"")"),"A) at the temple; B) at the rice field; C) at the stadium; D) at the village")</f>
        <v>A) at the temple; B) at the rice field; C) at the stadium; D) at the village</v>
      </c>
      <c r="D27" s="5" t="str">
        <f>IFERROR(__xludf.DUMMYFUNCTION("GOOGLETRANSLATE(J27, ""th"", ""en"")"),"B) In the rice fields")</f>
        <v>B) In the rice fields</v>
      </c>
      <c r="E27" s="5" t="str">
        <f>IFERROR(__xludf.DUMMYFUNCTION("GOOGLETRANSLATE(K27, ""th"", ""en"")"),"In the past, the practice of playing the Wow lane was usually held in a wide field.")</f>
        <v>In the past, the practice of playing the Wow lane was usually held in a wide field.</v>
      </c>
      <c r="G27" s="6">
        <v>26.0</v>
      </c>
      <c r="H27" s="7" t="s">
        <v>1798</v>
      </c>
      <c r="I27" s="7" t="s">
        <v>1799</v>
      </c>
      <c r="J27" s="7" t="s">
        <v>1800</v>
      </c>
      <c r="K27" s="7" t="s">
        <v>1801</v>
      </c>
    </row>
    <row r="28" ht="14.25" customHeight="1">
      <c r="A28" s="4">
        <v>27.0</v>
      </c>
      <c r="B28" s="5" t="str">
        <f>IFERROR(__xludf.DUMMYFUNCTION("GOOGLETRANSLATE(H28, ""th"", ""en"")"),"What culture influenced ancient lane battles?")</f>
        <v>What culture influenced ancient lane battles?</v>
      </c>
      <c r="C28" s="5" t="str">
        <f>IFERROR(__xludf.DUMMYFUNCTION("GOOGLETRANSLATE(I28, ""th"", ""en"")"),"A) Chinese culture; B) Indian culture; C) Mon culture; D) Khmer culture")</f>
        <v>A) Chinese culture; B) Indian culture; C) Mon culture; D) Khmer culture</v>
      </c>
      <c r="D28" s="5" t="str">
        <f>IFERROR(__xludf.DUMMYFUNCTION("GOOGLETRANSLATE(J28, ""th"", ""en"")"),"B) Indian culture")</f>
        <v>B) Indian culture</v>
      </c>
      <c r="E28" s="5" t="str">
        <f>IFERROR(__xludf.DUMMYFUNCTION("GOOGLETRANSLATE(K28, ""th"", ""en"")"),"Indian culture has influenced military training and combat strategies in ancient times.")</f>
        <v>Indian culture has influenced military training and combat strategies in ancient times.</v>
      </c>
      <c r="G28" s="6">
        <v>27.0</v>
      </c>
      <c r="H28" s="7" t="s">
        <v>1802</v>
      </c>
      <c r="I28" s="7" t="s">
        <v>1803</v>
      </c>
      <c r="J28" s="7" t="s">
        <v>579</v>
      </c>
      <c r="K28" s="7" t="s">
        <v>1804</v>
      </c>
    </row>
    <row r="29" ht="14.25" customHeight="1">
      <c r="A29" s="4">
        <v>28.0</v>
      </c>
      <c r="B29" s="5" t="str">
        <f>IFERROR(__xludf.DUMMYFUNCTION("GOOGLETRANSLATE(H29, ""th"", ""en"")"),"How does the strategy of the Wow lane battle evolve?")</f>
        <v>How does the strategy of the Wow lane battle evolve?</v>
      </c>
      <c r="C29" s="5" t="str">
        <f>IFERROR(__xludf.DUMMYFUNCTION("GOOGLETRANSLATE(I29, ""th"", ""en"")"),"A) from basic training; B) from military studies; C) from observing the movements of competitors; D) from studying new technologies.")</f>
        <v>A) from basic training; B) from military studies; C) from observing the movements of competitors; D) from studying new technologies.</v>
      </c>
      <c r="D29" s="5" t="str">
        <f>IFERROR(__xludf.DUMMYFUNCTION("GOOGLETRANSLATE(J29, ""th"", ""en"")"),"C) From observing the movements of competitors")</f>
        <v>C) From observing the movements of competitors</v>
      </c>
      <c r="E29" s="5" t="str">
        <f>IFERROR(__xludf.DUMMYFUNCTION("GOOGLETRANSLATE(K29, ""th"", ""en"")"),"Strategy for fighting in the lane is developed by observing the movements of the opponent.")</f>
        <v>Strategy for fighting in the lane is developed by observing the movements of the opponent.</v>
      </c>
      <c r="G29" s="6">
        <v>28.0</v>
      </c>
      <c r="H29" s="7" t="s">
        <v>1805</v>
      </c>
      <c r="I29" s="7" t="s">
        <v>1806</v>
      </c>
      <c r="J29" s="7" t="s">
        <v>1807</v>
      </c>
      <c r="K29" s="7" t="s">
        <v>1808</v>
      </c>
    </row>
    <row r="30" ht="14.25" customHeight="1">
      <c r="A30" s="4">
        <v>29.0</v>
      </c>
      <c r="B30" s="5" t="str">
        <f>IFERROR(__xludf.DUMMYFUNCTION("GOOGLETRANSLATE(H30, ""th"", ""en"")"),"How does the Lane Wow competition affect Thai society?")</f>
        <v>How does the Lane Wow competition affect Thai society?</v>
      </c>
      <c r="C30" s="5" t="str">
        <f>IFERROR(__xludf.DUMMYFUNCTION("GOOGLETRANSLATE(I30, ""th"", ""en"")"),"A) helps build community unity; B) promotes tourism; C) helps increase local income; D) all are correct.")</f>
        <v>A) helps build community unity; B) promotes tourism; C) helps increase local income; D) all are correct.</v>
      </c>
      <c r="D30" s="5" t="str">
        <f>IFERROR(__xludf.DUMMYFUNCTION("GOOGLETRANSLATE(J30, ""th"", ""en"")"),"D) All are correct.")</f>
        <v>D) All are correct.</v>
      </c>
      <c r="E30" s="5" t="str">
        <f>IFERROR(__xludf.DUMMYFUNCTION("GOOGLETRANSLATE(K30, ""th"", ""en"")"),"The Lane Wow competition promotes community unity, tourism, and increases local income.")</f>
        <v>The Lane Wow competition promotes community unity, tourism, and increases local income.</v>
      </c>
      <c r="G30" s="6">
        <v>29.0</v>
      </c>
      <c r="H30" s="7" t="s">
        <v>1809</v>
      </c>
      <c r="I30" s="7" t="s">
        <v>1810</v>
      </c>
      <c r="J30" s="7" t="s">
        <v>1811</v>
      </c>
      <c r="K30" s="7" t="s">
        <v>1812</v>
      </c>
    </row>
    <row r="31" ht="14.25" customHeight="1">
      <c r="A31" s="4">
        <v>30.0</v>
      </c>
      <c r="B31" s="5" t="str">
        <f>IFERROR(__xludf.DUMMYFUNCTION("GOOGLETRANSLATE(H31, ""th"", ""en"")"),"Throughout the history of lane fighting, how have these sports been promoted at the community level?")</f>
        <v>Throughout the history of lane fighting, how have these sports been promoted at the community level?</v>
      </c>
      <c r="C31" s="5" t="str">
        <f>IFERROR(__xludf.DUMMYFUNCTION("GOOGLETRANSLATE(I31, ""th"", ""en"")"),"A) by organizing competitions; B) by organizing training; C) by creating public relations materials; D) by teaching in schools.")</f>
        <v>A) by organizing competitions; B) by organizing training; C) by creating public relations materials; D) by teaching in schools.</v>
      </c>
      <c r="D31" s="5" t="str">
        <f>IFERROR(__xludf.DUMMYFUNCTION("GOOGLETRANSLATE(J31, ""th"", ""en"")"),"A) By organizing a competition")</f>
        <v>A) By organizing a competition</v>
      </c>
      <c r="E31" s="5" t="str">
        <f>IFERROR(__xludf.DUMMYFUNCTION("GOOGLETRANSLATE(K31, ""th"", ""en"")"),"Promoting lane wow sports in communities is often done through organizing competitions and joint activities.")</f>
        <v>Promoting lane wow sports in communities is often done through organizing competitions and joint activities.</v>
      </c>
      <c r="G31" s="6">
        <v>30.0</v>
      </c>
      <c r="H31" s="7" t="s">
        <v>1813</v>
      </c>
      <c r="I31" s="7" t="s">
        <v>1814</v>
      </c>
      <c r="J31" s="7" t="s">
        <v>1815</v>
      </c>
      <c r="K31" s="7" t="s">
        <v>1816</v>
      </c>
    </row>
    <row r="32" ht="14.25" customHeight="1">
      <c r="A32" s="4">
        <v>31.0</v>
      </c>
      <c r="B32" s="5" t="str">
        <f>IFERROR(__xludf.DUMMYFUNCTION("GOOGLETRANSLATE(H32, ""th"", ""en"")"),"Where in Thailand is lane battle popular?")</f>
        <v>Where in Thailand is lane battle popular?</v>
      </c>
      <c r="C32" s="5" t="str">
        <f>IFERROR(__xludf.DUMMYFUNCTION("GOOGLETRANSLATE(I32, ""th"", ""en"")"),"A) Central region; B) Northern region; C) Southern region; D) Northeastern region")</f>
        <v>A) Central region; B) Northern region; C) Southern region; D) Northeastern region</v>
      </c>
      <c r="D32" s="5" t="str">
        <f>IFERROR(__xludf.DUMMYFUNCTION("GOOGLETRANSLATE(J32, ""th"", ""en"")"),"D) Northeastern region")</f>
        <v>D) Northeastern region</v>
      </c>
      <c r="E32" s="5" t="str">
        <f>IFERROR(__xludf.DUMMYFUNCTION("GOOGLETRANSLATE(K32, ""th"", ""en"")"),"Wow lane battles are very popular in the northeastern region of Thailand.")</f>
        <v>Wow lane battles are very popular in the northeastern region of Thailand.</v>
      </c>
      <c r="G32" s="6">
        <v>31.0</v>
      </c>
      <c r="H32" s="7" t="s">
        <v>1817</v>
      </c>
      <c r="I32" s="7" t="s">
        <v>1818</v>
      </c>
      <c r="J32" s="7" t="s">
        <v>1819</v>
      </c>
      <c r="K32" s="7" t="s">
        <v>1820</v>
      </c>
    </row>
    <row r="33" ht="14.25" customHeight="1">
      <c r="A33" s="4">
        <v>32.0</v>
      </c>
      <c r="B33" s="5" t="str">
        <f>IFERROR(__xludf.DUMMYFUNCTION("GOOGLETRANSLATE(H33, ""th"", ""en"")"),"What community activities were used in ancient times?")</f>
        <v>What community activities were used in ancient times?</v>
      </c>
      <c r="C33" s="5" t="str">
        <f>IFERROR(__xludf.DUMMYFUNCTION("GOOGLETRANSLATE(I33, ""th"", ""en"")"),"A) a competition to find a winner; B) a practice of self-defense skills; C) a competition for entertainment; D) a military training.")</f>
        <v>A) a competition to find a winner; B) a practice of self-defense skills; C) a competition for entertainment; D) a military training.</v>
      </c>
      <c r="D33" s="5" t="str">
        <f>IFERROR(__xludf.DUMMYFUNCTION("GOOGLETRANSLATE(J33, ""th"", ""en"")"),"B) Training in self-defense skills")</f>
        <v>B) Training in self-defense skills</v>
      </c>
      <c r="E33" s="5" t="str">
        <f>IFERROR(__xludf.DUMMYFUNCTION("GOOGLETRANSLATE(K33, ""th"", ""en"")"),"In ancient times, lane fighting was used to practice self-defense skills and train soldiers.")</f>
        <v>In ancient times, lane fighting was used to practice self-defense skills and train soldiers.</v>
      </c>
      <c r="G33" s="6">
        <v>32.0</v>
      </c>
      <c r="H33" s="7" t="s">
        <v>1821</v>
      </c>
      <c r="I33" s="7" t="s">
        <v>1822</v>
      </c>
      <c r="J33" s="7" t="s">
        <v>1823</v>
      </c>
      <c r="K33" s="7" t="s">
        <v>1824</v>
      </c>
    </row>
    <row r="34" ht="14.25" customHeight="1">
      <c r="A34" s="4">
        <v>33.0</v>
      </c>
      <c r="B34" s="5" t="str">
        <f>IFERROR(__xludf.DUMMYFUNCTION("GOOGLETRANSLATE(H34, ""th"", ""en"")"),"How did the lane in Thailand evolve during the Ayutthaya period?")</f>
        <v>How did the lane in Thailand evolve during the Ayutthaya period?</v>
      </c>
      <c r="C34" s="5" t="str">
        <f>IFERROR(__xludf.DUMMYFUNCTION("GOOGLETRANSLATE(I34, ""th"", ""en"")"),"A) was used for military training; B) was used for entertainment at the royal court; C) was used for sports competitions; D) was used for entertainment in the village.")</f>
        <v>A) was used for military training; B) was used for entertainment at the royal court; C) was used for sports competitions; D) was used for entertainment in the village.</v>
      </c>
      <c r="D34" s="5" t="str">
        <f>IFERROR(__xludf.DUMMYFUNCTION("GOOGLETRANSLATE(J34, ""th"", ""en"")"),"A) It is used to train soldiers.")</f>
        <v>A) It is used to train soldiers.</v>
      </c>
      <c r="E34" s="5" t="str">
        <f>IFERROR(__xludf.DUMMYFUNCTION("GOOGLETRANSLATE(K34, ""th"", ""en"")"),"During the Ayutthaya period, the lenwao was used as a tool to train soldiers and enhance their fighting skills.")</f>
        <v>During the Ayutthaya period, the lenwao was used as a tool to train soldiers and enhance their fighting skills.</v>
      </c>
      <c r="G34" s="6">
        <v>33.0</v>
      </c>
      <c r="H34" s="7" t="s">
        <v>1825</v>
      </c>
      <c r="I34" s="7" t="s">
        <v>1826</v>
      </c>
      <c r="J34" s="7" t="s">
        <v>1827</v>
      </c>
      <c r="K34" s="7" t="s">
        <v>1828</v>
      </c>
    </row>
    <row r="35" ht="14.25" customHeight="1">
      <c r="A35" s="4">
        <v>34.0</v>
      </c>
      <c r="B35" s="5" t="str">
        <f>IFERROR(__xludf.DUMMYFUNCTION("GOOGLETRANSLATE(H35, ""th"", ""en"")"),"During what period of the Chakri Dynasty did lane battles in Thailand become popular?")</f>
        <v>During what period of the Chakri Dynasty did lane battles in Thailand become popular?</v>
      </c>
      <c r="C35" s="5" t="str">
        <f>IFERROR(__xludf.DUMMYFUNCTION("GOOGLETRANSLATE(I35, ""th"", ""en"")"),"A) in the early dynasty; B) in the late dynasty; C) in the middle dynasty; D) all periods")</f>
        <v>A) in the early dynasty; B) in the late dynasty; C) in the middle dynasty; D) all periods</v>
      </c>
      <c r="D35" s="5" t="str">
        <f>IFERROR(__xludf.DUMMYFUNCTION("GOOGLETRANSLATE(J35, ""th"", ""en"")"),"B) In the late dynasty")</f>
        <v>B) In the late dynasty</v>
      </c>
      <c r="E35" s="5" t="str">
        <f>IFERROR(__xludf.DUMMYFUNCTION("GOOGLETRANSLATE(K35, ""th"", ""en"")"),"During the late Chakri Dynasty, the battle of the lane was popular among the people.")</f>
        <v>During the late Chakri Dynasty, the battle of the lane was popular among the people.</v>
      </c>
      <c r="G35" s="6">
        <v>34.0</v>
      </c>
      <c r="H35" s="7" t="s">
        <v>1829</v>
      </c>
      <c r="I35" s="7" t="s">
        <v>1830</v>
      </c>
      <c r="J35" s="7" t="s">
        <v>1831</v>
      </c>
      <c r="K35" s="7" t="s">
        <v>1832</v>
      </c>
    </row>
    <row r="36" ht="14.25" customHeight="1">
      <c r="A36" s="4">
        <v>35.0</v>
      </c>
      <c r="B36" s="5" t="str">
        <f>IFERROR(__xludf.DUMMYFUNCTION("GOOGLETRANSLATE(H36, ""th"", ""en"")"),"When will lane battles be promoted nationally?")</f>
        <v>When will lane battles be promoted nationally?</v>
      </c>
      <c r="C36" s="5" t="str">
        <f>IFERROR(__xludf.DUMMYFUNCTION("GOOGLETRANSLATE(I36, ""th"", ""en"")"),"A) in 1980; B) in 1990; C) in 2000; D) in 2010")</f>
        <v>A) in 1980; B) in 1990; C) in 2000; D) in 2010</v>
      </c>
      <c r="D36" s="5" t="str">
        <f>IFERROR(__xludf.DUMMYFUNCTION("GOOGLETRANSLATE(J36, ""th"", ""en"")"),"B) In 1990")</f>
        <v>B) In 1990</v>
      </c>
      <c r="E36" s="5" t="str">
        <f>IFERROR(__xludf.DUMMYFUNCTION("GOOGLETRANSLATE(K36, ""th"", ""en"")"),"The promotion of lane wow fighting on a national level began in the 1990s.")</f>
        <v>The promotion of lane wow fighting on a national level began in the 1990s.</v>
      </c>
      <c r="G36" s="6">
        <v>35.0</v>
      </c>
      <c r="H36" s="7" t="s">
        <v>1833</v>
      </c>
      <c r="I36" s="7" t="s">
        <v>1834</v>
      </c>
      <c r="J36" s="7" t="s">
        <v>1835</v>
      </c>
      <c r="K36" s="7" t="s">
        <v>1836</v>
      </c>
    </row>
    <row r="37" ht="14.25" customHeight="1">
      <c r="A37" s="4">
        <v>36.0</v>
      </c>
      <c r="B37" s="5" t="str">
        <f>IFERROR(__xludf.DUMMYFUNCTION("GOOGLETRANSLATE(H37, ""th"", ""en"")"),"What role did the battle of the lanes in the Ayutthaya period play in this area?")</f>
        <v>What role did the battle of the lanes in the Ayutthaya period play in this area?</v>
      </c>
      <c r="C37" s="5" t="str">
        <f>IFERROR(__xludf.DUMMYFUNCTION("GOOGLETRANSLATE(I37, ""th"", ""en"")"),"A) Martial arts performances; B) Establishing international relations; C) Training soldiers and defending against invasions; D) Developing dance.")</f>
        <v>A) Martial arts performances; B) Establishing international relations; C) Training soldiers and defending against invasions; D) Developing dance.</v>
      </c>
      <c r="D37" s="5" t="str">
        <f>IFERROR(__xludf.DUMMYFUNCTION("GOOGLETRANSLATE(J37, ""th"", ""en"")"),"C) Military training and defense against invasion.")</f>
        <v>C) Military training and defense against invasion.</v>
      </c>
      <c r="E37" s="5" t="str">
        <f>IFERROR(__xludf.DUMMYFUNCTION("GOOGLETRANSLATE(K37, ""th"", ""en"")"),"The battle of Lane Wow during the Ayutthaya period played an important role in training soldiers and defending against invasions.")</f>
        <v>The battle of Lane Wow during the Ayutthaya period played an important role in training soldiers and defending against invasions.</v>
      </c>
      <c r="G37" s="6">
        <v>36.0</v>
      </c>
      <c r="H37" s="7" t="s">
        <v>1837</v>
      </c>
      <c r="I37" s="7" t="s">
        <v>1838</v>
      </c>
      <c r="J37" s="7" t="s">
        <v>1839</v>
      </c>
      <c r="K37" s="7" t="s">
        <v>1840</v>
      </c>
    </row>
    <row r="38" ht="14.25" customHeight="1">
      <c r="A38" s="4">
        <v>37.0</v>
      </c>
      <c r="B38" s="5" t="str">
        <f>IFERROR(__xludf.DUMMYFUNCTION("GOOGLETRANSLATE(H38, ""th"", ""en"")"),"When did lane wow develop into a globally popular sport?")</f>
        <v>When did lane wow develop into a globally popular sport?</v>
      </c>
      <c r="C38" s="5" t="str">
        <f>IFERROR(__xludf.DUMMYFUNCTION("GOOGLETRANSLATE(I38, ""th"", ""en"")"),"A) in 1950; B) in 1960; C) in 1970; D) in 1980")</f>
        <v>A) in 1950; B) in 1960; C) in 1970; D) in 1980</v>
      </c>
      <c r="D38" s="5" t="str">
        <f>IFERROR(__xludf.DUMMYFUNCTION("GOOGLETRANSLATE(J38, ""th"", ""en"")"),"C) In 1970")</f>
        <v>C) In 1970</v>
      </c>
      <c r="E38" s="5" t="str">
        <f>IFERROR(__xludf.DUMMYFUNCTION("GOOGLETRANSLATE(K38, ""th"", ""en"")"),"In the 1970s, lane fighting began to gain international recognition.")</f>
        <v>In the 1970s, lane fighting began to gain international recognition.</v>
      </c>
      <c r="G38" s="6">
        <v>37.0</v>
      </c>
      <c r="H38" s="7" t="s">
        <v>1841</v>
      </c>
      <c r="I38" s="7" t="s">
        <v>1842</v>
      </c>
      <c r="J38" s="7" t="s">
        <v>1843</v>
      </c>
      <c r="K38" s="7" t="s">
        <v>1844</v>
      </c>
    </row>
    <row r="39" ht="14.25" customHeight="1">
      <c r="A39" s="4">
        <v>38.0</v>
      </c>
      <c r="B39" s="5" t="str">
        <f>IFERROR(__xludf.DUMMYFUNCTION("GOOGLETRANSLATE(H39, ""th"", ""en"")"),"When did the organization of the Lane Wow competition in Thailand begin?")</f>
        <v>When did the organization of the Lane Wow competition in Thailand begin?</v>
      </c>
      <c r="C39" s="5" t="str">
        <f>IFERROR(__xludf.DUMMYFUNCTION("GOOGLETRANSLATE(I39, ""th"", ""en"")"),"A) During the reign of King Rama V; B) During the reign of King Rama VI; C) During the reign of King Rama VII; D) During the reign of King Rama IX")</f>
        <v>A) During the reign of King Rama V; B) During the reign of King Rama VI; C) During the reign of King Rama VII; D) During the reign of King Rama IX</v>
      </c>
      <c r="D39" s="5" t="str">
        <f>IFERROR(__xludf.DUMMYFUNCTION("GOOGLETRANSLATE(J39, ""th"", ""en"")"),"A) During the reign of King Rama V")</f>
        <v>A) During the reign of King Rama V</v>
      </c>
      <c r="E39" s="5" t="str">
        <f>IFERROR(__xludf.DUMMYFUNCTION("GOOGLETRANSLATE(K39, ""th"", ""en"")"),"The organization of the Lane Wow competition began during the reign of King Rama V.")</f>
        <v>The organization of the Lane Wow competition began during the reign of King Rama V.</v>
      </c>
      <c r="G39" s="6">
        <v>38.0</v>
      </c>
      <c r="H39" s="7" t="s">
        <v>1845</v>
      </c>
      <c r="I39" s="7" t="s">
        <v>1846</v>
      </c>
      <c r="J39" s="7" t="s">
        <v>1847</v>
      </c>
      <c r="K39" s="7" t="s">
        <v>1848</v>
      </c>
    </row>
    <row r="40" ht="14.25" customHeight="1">
      <c r="A40" s="4">
        <v>39.0</v>
      </c>
      <c r="B40" s="5" t="str">
        <f>IFERROR(__xludf.DUMMYFUNCTION("GOOGLETRANSLATE(H40, ""th"", ""en"")"),"In which year was the first recorded Len Wow competition in Thai history?")</f>
        <v>In which year was the first recorded Len Wow competition in Thai history?</v>
      </c>
      <c r="C40" s="5" t="str">
        <f>IFERROR(__xludf.DUMMYFUNCTION("GOOGLETRANSLATE(I40, ""th"", ""en"")"),"A) 1890; B) 1900; C) 1910; D) 1920")</f>
        <v>A) 1890; B) 1900; C) 1910; D) 1920</v>
      </c>
      <c r="D40" s="5" t="str">
        <f>IFERROR(__xludf.DUMMYFUNCTION("GOOGLETRANSLATE(J40, ""th"", ""en"")"),"B) 1900")</f>
        <v>B) 1900</v>
      </c>
      <c r="E40" s="5" t="str">
        <f>IFERROR(__xludf.DUMMYFUNCTION("GOOGLETRANSLATE(K40, ""th"", ""en"")"),"The first recorded Len Wow competition in Thai history occurred in 1900.")</f>
        <v>The first recorded Len Wow competition in Thai history occurred in 1900.</v>
      </c>
      <c r="G40" s="6">
        <v>39.0</v>
      </c>
      <c r="H40" s="7" t="s">
        <v>1849</v>
      </c>
      <c r="I40" s="7" t="s">
        <v>1850</v>
      </c>
      <c r="J40" s="7" t="s">
        <v>1851</v>
      </c>
      <c r="K40" s="7" t="s">
        <v>1852</v>
      </c>
    </row>
    <row r="41" ht="14.25" customHeight="1">
      <c r="A41" s="4">
        <v>40.0</v>
      </c>
      <c r="B41" s="5" t="str">
        <f>IFERROR(__xludf.DUMMYFUNCTION("GOOGLETRANSLATE(H41, ""th"", ""en"")"),"What activity did Lane Wow develop from?")</f>
        <v>What activity did Lane Wow develop from?</v>
      </c>
      <c r="C41" s="5" t="str">
        <f>IFERROR(__xludf.DUMMYFUNCTION("GOOGLETRANSLATE(I41, ""th"", ""en"")"),"A) military training; B) inter-village competitions; C) court sports competitions; D) talent shows")</f>
        <v>A) military training; B) inter-village competitions; C) court sports competitions; D) talent shows</v>
      </c>
      <c r="D41" s="5" t="str">
        <f>IFERROR(__xludf.DUMMYFUNCTION("GOOGLETRANSLATE(J41, ""th"", ""en"")"),"B) Inter-village competition")</f>
        <v>B) Inter-village competition</v>
      </c>
      <c r="E41" s="5" t="str">
        <f>IFERROR(__xludf.DUMMYFUNCTION("GOOGLETRANSLATE(K41, ""th"", ""en"")"),"The battle of lanes began as a competition between villages in ancient times.")</f>
        <v>The battle of lanes began as a competition between villages in ancient times.</v>
      </c>
      <c r="G41" s="6">
        <v>40.0</v>
      </c>
      <c r="H41" s="7" t="s">
        <v>1853</v>
      </c>
      <c r="I41" s="7" t="s">
        <v>1854</v>
      </c>
      <c r="J41" s="7" t="s">
        <v>1709</v>
      </c>
      <c r="K41" s="7" t="s">
        <v>1855</v>
      </c>
    </row>
    <row r="42" ht="14.25" customHeight="1">
      <c r="A42" s="4">
        <v>41.0</v>
      </c>
      <c r="B42" s="5" t="str">
        <f>IFERROR(__xludf.DUMMYFUNCTION("GOOGLETRANSLATE(H42, ""th"", ""en"")"),"When was Len Wow supported by the King?")</f>
        <v>When was Len Wow supported by the King?</v>
      </c>
      <c r="C42" s="5" t="str">
        <f>IFERROR(__xludf.DUMMYFUNCTION("GOOGLETRANSLATE(I42, ""th"", ""en"")"),"A) Ayutthaya period; B) Rattanakosin period; C) King Rama V period; D) King Rama VI period")</f>
        <v>A) Ayutthaya period; B) Rattanakosin period; C) King Rama V period; D) King Rama VI period</v>
      </c>
      <c r="D42" s="5" t="str">
        <f>IFERROR(__xludf.DUMMYFUNCTION("GOOGLETRANSLATE(J42, ""th"", ""en"")"),"C) During the reign of King Rama V")</f>
        <v>C) During the reign of King Rama V</v>
      </c>
      <c r="E42" s="5" t="str">
        <f>IFERROR(__xludf.DUMMYFUNCTION("GOOGLETRANSLATE(K42, ""th"", ""en"")"),"During the reign of King Rama V, the King supported the development and promotion of the sport of len wow.")</f>
        <v>During the reign of King Rama V, the King supported the development and promotion of the sport of len wow.</v>
      </c>
      <c r="G42" s="6">
        <v>41.0</v>
      </c>
      <c r="H42" s="7" t="s">
        <v>1856</v>
      </c>
      <c r="I42" s="7" t="s">
        <v>1857</v>
      </c>
      <c r="J42" s="7" t="s">
        <v>1858</v>
      </c>
      <c r="K42" s="7" t="s">
        <v>1859</v>
      </c>
    </row>
    <row r="43" ht="14.25" customHeight="1">
      <c r="A43" s="4">
        <v>42.0</v>
      </c>
      <c r="B43" s="5" t="str">
        <f>IFERROR(__xludf.DUMMYFUNCTION("GOOGLETRANSLATE(H43, ""th"", ""en"")"),"How was the practice of the Wow Lane carried out in the past?")</f>
        <v>How was the practice of the Wow Lane carried out in the past?</v>
      </c>
      <c r="C43" s="5" t="str">
        <f>IFERROR(__xludf.DUMMYFUNCTION("GOOGLETRANSLATE(I43, ""th"", ""en"")"),"A) Training in the village; B) Training in the stadium; C) Training in the royal court; D) Training in the school.")</f>
        <v>A) Training in the village; B) Training in the stadium; C) Training in the royal court; D) Training in the school.</v>
      </c>
      <c r="D43" s="5" t="str">
        <f>IFERROR(__xludf.DUMMYFUNCTION("GOOGLETRANSLATE(J43, ""th"", ""en"")"),"A) Training within the village")</f>
        <v>A) Training within the village</v>
      </c>
      <c r="E43" s="5" t="str">
        <f>IFERROR(__xludf.DUMMYFUNCTION("GOOGLETRANSLATE(K43, ""th"", ""en"")"),"Wow lane training is usually held in villages and is part of community activities.")</f>
        <v>Wow lane training is usually held in villages and is part of community activities.</v>
      </c>
      <c r="G43" s="6">
        <v>42.0</v>
      </c>
      <c r="H43" s="7" t="s">
        <v>1860</v>
      </c>
      <c r="I43" s="7" t="s">
        <v>1861</v>
      </c>
      <c r="J43" s="7" t="s">
        <v>1862</v>
      </c>
      <c r="K43" s="7" t="s">
        <v>1863</v>
      </c>
    </row>
    <row r="44" ht="14.25" customHeight="1">
      <c r="A44" s="4">
        <v>43.0</v>
      </c>
      <c r="B44" s="5" t="str">
        <f>IFERROR(__xludf.DUMMYFUNCTION("GOOGLETRANSLATE(H44, ""th"", ""en"")"),"When did lane battles first gain international recognition?")</f>
        <v>When did lane battles first gain international recognition?</v>
      </c>
      <c r="C44" s="5" t="str">
        <f>IFERROR(__xludf.DUMMYFUNCTION("GOOGLETRANSLATE(I44, ""th"", ""en"")"),"A) in 1950; B) in 1960; C) in 1970; D) in 1980")</f>
        <v>A) in 1950; B) in 1960; C) in 1970; D) in 1980</v>
      </c>
      <c r="D44" s="5" t="str">
        <f>IFERROR(__xludf.DUMMYFUNCTION("GOOGLETRANSLATE(J44, ""th"", ""en"")"),"B) In 1960")</f>
        <v>B) In 1960</v>
      </c>
      <c r="E44" s="5" t="str">
        <f>IFERROR(__xludf.DUMMYFUNCTION("GOOGLETRANSLATE(K44, ""th"", ""en"")"),"Wow lane fighting began to gain international recognition in the 1960s.")</f>
        <v>Wow lane fighting began to gain international recognition in the 1960s.</v>
      </c>
      <c r="G44" s="6">
        <v>43.0</v>
      </c>
      <c r="H44" s="7" t="s">
        <v>1864</v>
      </c>
      <c r="I44" s="7" t="s">
        <v>1842</v>
      </c>
      <c r="J44" s="7" t="s">
        <v>1865</v>
      </c>
      <c r="K44" s="7" t="s">
        <v>1866</v>
      </c>
    </row>
    <row r="45" ht="14.25" customHeight="1">
      <c r="A45" s="4">
        <v>44.0</v>
      </c>
      <c r="B45" s="5" t="str">
        <f>IFERROR(__xludf.DUMMYFUNCTION("GOOGLETRANSLATE(H45, ""th"", ""en"")"),"What word does the name of the sport ""Len Wow"" in Thai come from?")</f>
        <v>What word does the name of the sport "Len Wow" in Thai come from?</v>
      </c>
      <c r="C45" s="5" t="str">
        <f>IFERROR(__xludf.DUMMYFUNCTION("GOOGLETRANSLATE(I45, ""th"", ""en"")"),"A) kite; B) fight; C) wind; D) power")</f>
        <v>A) kite; B) fight; C) wind; D) power</v>
      </c>
      <c r="D45" s="5" t="str">
        <f>IFERROR(__xludf.DUMMYFUNCTION("GOOGLETRANSLATE(J45, ""th"", ""en"")"),"B) Fighting")</f>
        <v>B) Fighting</v>
      </c>
      <c r="E45" s="5" t="str">
        <f>IFERROR(__xludf.DUMMYFUNCTION("GOOGLETRANSLATE(K45, ""th"", ""en"")"),"The word ""lenwow"" comes from the word ""len"" meaning to fight and ""wow"" meaning to fly a kite.")</f>
        <v>The word "lenwow" comes from the word "len" meaning to fight and "wow" meaning to fly a kite.</v>
      </c>
      <c r="G45" s="6">
        <v>44.0</v>
      </c>
      <c r="H45" s="7" t="s">
        <v>1867</v>
      </c>
      <c r="I45" s="7" t="s">
        <v>1868</v>
      </c>
      <c r="J45" s="7" t="s">
        <v>1869</v>
      </c>
      <c r="K45" s="7" t="s">
        <v>1870</v>
      </c>
    </row>
    <row r="46" ht="14.25" customHeight="1">
      <c r="A46" s="4">
        <v>45.0</v>
      </c>
      <c r="B46" s="5" t="str">
        <f>IFERROR(__xludf.DUMMYFUNCTION("GOOGLETRANSLATE(H46, ""th"", ""en"")"),"Where were past Lane Wow competitions held?")</f>
        <v>Where were past Lane Wow competitions held?</v>
      </c>
      <c r="C46" s="5" t="str">
        <f>IFERROR(__xludf.DUMMYFUNCTION("GOOGLETRANSLATE(I46, ""th"", ""en"")"),"A) sports field; B) rice field; C) inside the temple; D) on the street")</f>
        <v>A) sports field; B) rice field; C) inside the temple; D) on the street</v>
      </c>
      <c r="D46" s="5" t="str">
        <f>IFERROR(__xludf.DUMMYFUNCTION("GOOGLETRANSLATE(J46, ""th"", ""en"")"),"B) Rice fields")</f>
        <v>B) Rice fields</v>
      </c>
      <c r="E46" s="5" t="str">
        <f>IFERROR(__xludf.DUMMYFUNCTION("GOOGLETRANSLATE(K46, ""th"", ""en"")"),"In the past, lane wow competitions were often held in rice fields because of the wide area.")</f>
        <v>In the past, lane wow competitions were often held in rice fields because of the wide area.</v>
      </c>
      <c r="G46" s="6">
        <v>45.0</v>
      </c>
      <c r="H46" s="7" t="s">
        <v>1871</v>
      </c>
      <c r="I46" s="7" t="s">
        <v>1872</v>
      </c>
      <c r="J46" s="7" t="s">
        <v>1873</v>
      </c>
      <c r="K46" s="7" t="s">
        <v>1874</v>
      </c>
    </row>
    <row r="47" ht="14.25" customHeight="1">
      <c r="A47" s="4">
        <v>46.0</v>
      </c>
      <c r="B47" s="5" t="str">
        <f>IFERROR(__xludf.DUMMYFUNCTION("GOOGLETRANSLATE(H47, ""th"", ""en"")"),"How have lanes historically been used in military training?")</f>
        <v>How have lanes historically been used in military training?</v>
      </c>
      <c r="C47" s="5" t="str">
        <f>IFERROR(__xludf.DUMMYFUNCTION("GOOGLETRANSLATE(I47, ""th"", ""en"")"),"A) It is a training in strategic skills; B) It is a training in the ability to use weapons; C) It is a training in the use of fighting tactics; D) All of them.")</f>
        <v>A) It is a training in strategic skills; B) It is a training in the ability to use weapons; C) It is a training in the use of fighting tactics; D) All of them.</v>
      </c>
      <c r="D47" s="5" t="str">
        <f>IFERROR(__xludf.DUMMYFUNCTION("GOOGLETRANSLATE(J47, ""th"", ""en"")"),"D) All")</f>
        <v>D) All</v>
      </c>
      <c r="E47" s="5" t="str">
        <f>IFERROR(__xludf.DUMMYFUNCTION("GOOGLETRANSLATE(K47, ""th"", ""en"")"),"The Wow Lane is used as a tool to train soldiers in both strategy and combat tactics.")</f>
        <v>The Wow Lane is used as a tool to train soldiers in both strategy and combat tactics.</v>
      </c>
      <c r="G47" s="6">
        <v>46.0</v>
      </c>
      <c r="H47" s="7" t="s">
        <v>1875</v>
      </c>
      <c r="I47" s="7" t="s">
        <v>1876</v>
      </c>
      <c r="J47" s="7" t="s">
        <v>48</v>
      </c>
      <c r="K47" s="7" t="s">
        <v>1877</v>
      </c>
    </row>
    <row r="48" ht="14.25" customHeight="1">
      <c r="A48" s="4">
        <v>47.0</v>
      </c>
      <c r="B48" s="5" t="str">
        <f>IFERROR(__xludf.DUMMYFUNCTION("GOOGLETRANSLATE(H48, ""th"", ""en"")"),"Where was the battle lane used in activities during the Rattanakosin period?")</f>
        <v>Where was the battle lane used in activities during the Rattanakosin period?</v>
      </c>
      <c r="C48" s="5" t="str">
        <f>IFERROR(__xludf.DUMMYFUNCTION("GOOGLETRANSLATE(I48, ""th"", ""en"")"),"A) military training; B) court sports competitions; C) local competitions; D) talent shows at temple fairs.")</f>
        <v>A) military training; B) court sports competitions; C) local competitions; D) talent shows at temple fairs.</v>
      </c>
      <c r="D48" s="5" t="str">
        <f>IFERROR(__xludf.DUMMYFUNCTION("GOOGLETRANSLATE(J48, ""th"", ""en"")"),"B) Royal sports competitions")</f>
        <v>B) Royal sports competitions</v>
      </c>
      <c r="E48" s="5" t="str">
        <f>IFERROR(__xludf.DUMMYFUNCTION("GOOGLETRANSLATE(K48, ""th"", ""en"")"),"The Wow Lane Battle was one of the activities held in the royal court of Rattanakosin.")</f>
        <v>The Wow Lane Battle was one of the activities held in the royal court of Rattanakosin.</v>
      </c>
      <c r="G48" s="6">
        <v>47.0</v>
      </c>
      <c r="H48" s="7" t="s">
        <v>1878</v>
      </c>
      <c r="I48" s="7" t="s">
        <v>1879</v>
      </c>
      <c r="J48" s="7" t="s">
        <v>1880</v>
      </c>
      <c r="K48" s="7" t="s">
        <v>1881</v>
      </c>
    </row>
    <row r="49" ht="14.25" customHeight="1">
      <c r="A49" s="4">
        <v>48.0</v>
      </c>
      <c r="B49" s="5" t="str">
        <f>IFERROR(__xludf.DUMMYFUNCTION("GOOGLETRANSLATE(H49, ""th"", ""en"")"),"In the past, what kind of talent was used for showcasing?")</f>
        <v>In the past, what kind of talent was used for showcasing?</v>
      </c>
      <c r="C49" s="5" t="str">
        <f>IFERROR(__xludf.DUMMYFUNCTION("GOOGLETRANSLATE(I49, ""th"", ""en"")"),"A) Demonstration of strategy; B) Demonstration of military training; C) Demonstration of physical movement skills; D) Demonstration of fighting speed.")</f>
        <v>A) Demonstration of strategy; B) Demonstration of military training; C) Demonstration of physical movement skills; D) Demonstration of fighting speed.</v>
      </c>
      <c r="D49" s="5" t="str">
        <f>IFERROR(__xludf.DUMMYFUNCTION("GOOGLETRANSLATE(J49, ""th"", ""en"")"),"C) Demonstration of body movement skills")</f>
        <v>C) Demonstration of body movement skills</v>
      </c>
      <c r="E49" s="5" t="str">
        <f>IFERROR(__xludf.DUMMYFUNCTION("GOOGLETRANSLATE(K49, ""th"", ""en"")"),"In the past, lane battles were used to showcase movement skills and fighting abilities.")</f>
        <v>In the past, lane battles were used to showcase movement skills and fighting abilities.</v>
      </c>
      <c r="G49" s="6">
        <v>48.0</v>
      </c>
      <c r="H49" s="7" t="s">
        <v>1882</v>
      </c>
      <c r="I49" s="7" t="s">
        <v>1883</v>
      </c>
      <c r="J49" s="7" t="s">
        <v>1884</v>
      </c>
      <c r="K49" s="7" t="s">
        <v>1885</v>
      </c>
    </row>
    <row r="50" ht="14.25" customHeight="1">
      <c r="A50" s="4">
        <v>49.0</v>
      </c>
      <c r="B50" s="5" t="str">
        <f>IFERROR(__xludf.DUMMYFUNCTION("GOOGLETRANSLATE(H50, ""th"", ""en"")"),"How were past Lane Wow competitions organized?")</f>
        <v>How were past Lane Wow competitions organized?</v>
      </c>
      <c r="C50" s="5" t="str">
        <f>IFERROR(__xludf.DUMMYFUNCTION("GOOGLETRANSLATE(I50, ""th"", ""en"")"),"A) Tournament format; B) Team format; C) One-on-One format; D) Village format")</f>
        <v>A) Tournament format; B) Team format; C) One-on-One format; D) Village format</v>
      </c>
      <c r="D50" s="5" t="str">
        <f>IFERROR(__xludf.DUMMYFUNCTION("GOOGLETRANSLATE(J50, ""th"", ""en"")"),"C) Organize a one-on-one competition.")</f>
        <v>C) Organize a one-on-one competition.</v>
      </c>
      <c r="E50" s="5" t="str">
        <f>IFERROR(__xludf.DUMMYFUNCTION("GOOGLETRANSLATE(K50, ""th"", ""en"")"),"In the past, lane wow competitions were usually held in one-on-one format.")</f>
        <v>In the past, lane wow competitions were usually held in one-on-one format.</v>
      </c>
      <c r="G50" s="6">
        <v>49.0</v>
      </c>
      <c r="H50" s="7" t="s">
        <v>1886</v>
      </c>
      <c r="I50" s="7" t="s">
        <v>1887</v>
      </c>
      <c r="J50" s="7" t="s">
        <v>1888</v>
      </c>
      <c r="K50" s="7" t="s">
        <v>1889</v>
      </c>
    </row>
    <row r="51" ht="14.25" customHeight="1">
      <c r="A51" s="4">
        <v>50.0</v>
      </c>
      <c r="B51" s="5" t="str">
        <f>IFERROR(__xludf.DUMMYFUNCTION("GOOGLETRANSLATE(H51, ""th"", ""en"")"),"In Thai history, what has the battle of Lane Wow been used as a training tool?")</f>
        <v>In Thai history, what has the battle of Lane Wow been used as a training tool?</v>
      </c>
      <c r="C51" s="5" t="str">
        <f>IFERROR(__xludf.DUMMYFUNCTION("GOOGLETRANSLATE(I51, ""th"", ""en"")"),"A) Training in self-defense skills; B) Training in the use of weapons; C) Training in combat tactics; D) Training in strategic planning.")</f>
        <v>A) Training in self-defense skills; B) Training in the use of weapons; C) Training in combat tactics; D) Training in strategic planning.</v>
      </c>
      <c r="D51" s="5" t="str">
        <f>IFERROR(__xludf.DUMMYFUNCTION("GOOGLETRANSLATE(J51, ""th"", ""en"")"),"C) Training in combat strategies")</f>
        <v>C) Training in combat strategies</v>
      </c>
      <c r="E51" s="5" t="str">
        <f>IFERROR(__xludf.DUMMYFUNCTION("GOOGLETRANSLATE(K51, ""th"", ""en"")"),"The Wow Lane Battle is used as a tool to practice your combat strategy.")</f>
        <v>The Wow Lane Battle is used as a tool to practice your combat strategy.</v>
      </c>
      <c r="G51" s="6">
        <v>50.0</v>
      </c>
      <c r="H51" s="7" t="s">
        <v>1890</v>
      </c>
      <c r="I51" s="7" t="s">
        <v>1891</v>
      </c>
      <c r="J51" s="7" t="s">
        <v>1892</v>
      </c>
      <c r="K51" s="7" t="s">
        <v>1893</v>
      </c>
    </row>
    <row r="52" ht="14.25" customHeight="1">
      <c r="A52" s="4">
        <v>51.0</v>
      </c>
      <c r="B52" s="5" t="str">
        <f>IFERROR(__xludf.DUMMYFUNCTION("GOOGLETRANSLATE(H52, ""th"", ""en"")"),"What type of competition was held in the Rattanakosin period?")</f>
        <v>What type of competition was held in the Rattanakosin period?</v>
      </c>
      <c r="C52" s="5" t="str">
        <f>IFERROR(__xludf.DUMMYFUNCTION("GOOGLETRANSLATE(I52, ""th"", ""en"")"),"A) compete in the temple; B) compete in the stadium; C) compete in the royal court; D) compete in the street.")</f>
        <v>A) compete in the temple; B) compete in the stadium; C) compete in the royal court; D) compete in the street.</v>
      </c>
      <c r="D52" s="5" t="str">
        <f>IFERROR(__xludf.DUMMYFUNCTION("GOOGLETRANSLATE(J52, ""th"", ""en"")"),"C) Compete in the royal court")</f>
        <v>C) Compete in the royal court</v>
      </c>
      <c r="E52" s="5" t="str">
        <f>IFERROR(__xludf.DUMMYFUNCTION("GOOGLETRANSLATE(K52, ""th"", ""en"")"),"The lane wow competitions during the Rattanakosin period were often held in the royal court as an important event.")</f>
        <v>The lane wow competitions during the Rattanakosin period were often held in the royal court as an important event.</v>
      </c>
      <c r="G52" s="6">
        <v>51.0</v>
      </c>
      <c r="H52" s="7" t="s">
        <v>1894</v>
      </c>
      <c r="I52" s="7" t="s">
        <v>1895</v>
      </c>
      <c r="J52" s="7" t="s">
        <v>1896</v>
      </c>
      <c r="K52" s="7" t="s">
        <v>1897</v>
      </c>
    </row>
    <row r="53" ht="14.25" customHeight="1">
      <c r="A53" s="4">
        <v>52.0</v>
      </c>
      <c r="B53" s="5" t="str">
        <f>IFERROR(__xludf.DUMMYFUNCTION("GOOGLETRANSLATE(H53, ""th"", ""en"")"),"What was the lane used for during the Ayutthaya period?")</f>
        <v>What was the lane used for during the Ayutthaya period?</v>
      </c>
      <c r="C53" s="5" t="str">
        <f>IFERROR(__xludf.DUMMYFUNCTION("GOOGLETRANSLATE(I53, ""th"", ""en"")"),"A) for entertainment; B) to practice fighting skills; C) for education; D) for competition between royal courts.")</f>
        <v>A) for entertainment; B) to practice fighting skills; C) for education; D) for competition between royal courts.</v>
      </c>
      <c r="D53" s="5" t="str">
        <f>IFERROR(__xludf.DUMMYFUNCTION("GOOGLETRANSLATE(J53, ""th"", ""en"")"),"B) To practice fighting skills.")</f>
        <v>B) To practice fighting skills.</v>
      </c>
      <c r="E53" s="5" t="str">
        <f>IFERROR(__xludf.DUMMYFUNCTION("GOOGLETRANSLATE(K53, ""th"", ""en"")"),"The battle of the lane during the Ayutthaya period was used to train fighting skills and prepare soldiers.")</f>
        <v>The battle of the lane during the Ayutthaya period was used to train fighting skills and prepare soldiers.</v>
      </c>
      <c r="G53" s="6">
        <v>52.0</v>
      </c>
      <c r="H53" s="7" t="s">
        <v>1898</v>
      </c>
      <c r="I53" s="7" t="s">
        <v>1899</v>
      </c>
      <c r="J53" s="7" t="s">
        <v>1900</v>
      </c>
      <c r="K53" s="7" t="s">
        <v>1901</v>
      </c>
    </row>
    <row r="54" ht="14.25" customHeight="1">
      <c r="A54" s="4">
        <v>53.0</v>
      </c>
      <c r="B54" s="5" t="str">
        <f>IFERROR(__xludf.DUMMYFUNCTION("GOOGLETRANSLATE(H54, ""th"", ""en"")"),"When did the Wow Lane competition begin to receive government certification?")</f>
        <v>When did the Wow Lane competition begin to receive government certification?</v>
      </c>
      <c r="C54" s="5" t="str">
        <f>IFERROR(__xludf.DUMMYFUNCTION("GOOGLETRANSLATE(I54, ""th"", ""en"")"),"A) in 1960; B) in 1970; C) in 1980; D) in 1990")</f>
        <v>A) in 1960; B) in 1970; C) in 1980; D) in 1990</v>
      </c>
      <c r="D54" s="5" t="str">
        <f>IFERROR(__xludf.DUMMYFUNCTION("GOOGLETRANSLATE(J54, ""th"", ""en"")"),"B) In 1970")</f>
        <v>B) In 1970</v>
      </c>
      <c r="E54" s="5" t="str">
        <f>IFERROR(__xludf.DUMMYFUNCTION("GOOGLETRANSLATE(K54, ""th"", ""en"")"),"Government certification to promote lane wow combat began in the 1970s.")</f>
        <v>Government certification to promote lane wow combat began in the 1970s.</v>
      </c>
      <c r="G54" s="6">
        <v>53.0</v>
      </c>
      <c r="H54" s="7" t="s">
        <v>1902</v>
      </c>
      <c r="I54" s="7" t="s">
        <v>1903</v>
      </c>
      <c r="J54" s="7" t="s">
        <v>1904</v>
      </c>
      <c r="K54" s="7" t="s">
        <v>1905</v>
      </c>
    </row>
    <row r="55" ht="14.25" customHeight="1">
      <c r="A55" s="4">
        <v>54.0</v>
      </c>
      <c r="B55" s="5" t="str">
        <f>IFERROR(__xludf.DUMMYFUNCTION("GOOGLETRANSLATE(H55, ""th"", ""en"")"),"Where did the origin of the lane wow in Thailand come from?")</f>
        <v>Where did the origin of the lane wow in Thailand come from?</v>
      </c>
      <c r="C55" s="5" t="str">
        <f>IFERROR(__xludf.DUMMYFUNCTION("GOOGLETRANSLATE(I55, ""th"", ""en"")"),"A) fighting between villages; B) training soldiers in the field; C) training in martial arts; D) training in speed.")</f>
        <v>A) fighting between villages; B) training soldiers in the field; C) training in martial arts; D) training in speed.</v>
      </c>
      <c r="D55" s="5" t="str">
        <f>IFERROR(__xludf.DUMMYFUNCTION("GOOGLETRANSLATE(J55, ""th"", ""en"")"),"A) Fighting between villages")</f>
        <v>A) Fighting between villages</v>
      </c>
      <c r="E55" s="5" t="str">
        <f>IFERROR(__xludf.DUMMYFUNCTION("GOOGLETRANSLATE(K55, ""th"", ""en"")"),"The battle of the lanes originated from the battles between villages in the past.")</f>
        <v>The battle of the lanes originated from the battles between villages in the past.</v>
      </c>
      <c r="G55" s="6">
        <v>54.0</v>
      </c>
      <c r="H55" s="7" t="s">
        <v>1906</v>
      </c>
      <c r="I55" s="7" t="s">
        <v>1907</v>
      </c>
      <c r="J55" s="7" t="s">
        <v>1908</v>
      </c>
      <c r="K55" s="7" t="s">
        <v>1909</v>
      </c>
    </row>
    <row r="56" ht="14.25" customHeight="1">
      <c r="A56" s="4">
        <v>55.0</v>
      </c>
      <c r="B56" s="5" t="str">
        <f>IFERROR(__xludf.DUMMYFUNCTION("GOOGLETRANSLATE(H56, ""th"", ""en"")"),"In which year did Lane Wow gain international recognition?")</f>
        <v>In which year did Lane Wow gain international recognition?</v>
      </c>
      <c r="C56" s="5" t="str">
        <f>IFERROR(__xludf.DUMMYFUNCTION("GOOGLETRANSLATE(I56, ""th"", ""en"")"),"A) 1960; B) 1970; C) 1980; D) 1990")</f>
        <v>A) 1960; B) 1970; C) 1980; D) 1990</v>
      </c>
      <c r="D56" s="5" t="str">
        <f>IFERROR(__xludf.DUMMYFUNCTION("GOOGLETRANSLATE(J56, ""th"", ""en"")"),"C) 1980")</f>
        <v>C) 1980</v>
      </c>
      <c r="E56" s="5" t="str">
        <f>IFERROR(__xludf.DUMMYFUNCTION("GOOGLETRANSLATE(K56, ""th"", ""en"")"),"The international acceptance of lane wow battles occurred in the 1980s.")</f>
        <v>The international acceptance of lane wow battles occurred in the 1980s.</v>
      </c>
      <c r="G56" s="6">
        <v>55.0</v>
      </c>
      <c r="H56" s="7" t="s">
        <v>1910</v>
      </c>
      <c r="I56" s="7" t="s">
        <v>1072</v>
      </c>
      <c r="J56" s="7" t="s">
        <v>1647</v>
      </c>
      <c r="K56" s="7" t="s">
        <v>1911</v>
      </c>
    </row>
    <row r="57" ht="14.25" customHeight="1">
      <c r="A57" s="4">
        <v>56.0</v>
      </c>
      <c r="B57" s="5" t="str">
        <f>IFERROR(__xludf.DUMMYFUNCTION("GOOGLETRANSLATE(H57, ""th"", ""en"")"),"Where were past Lane Wow competitions held?")</f>
        <v>Where were past Lane Wow competitions held?</v>
      </c>
      <c r="C57" s="5" t="str">
        <f>IFERROR(__xludf.DUMMYFUNCTION("GOOGLETRANSLATE(I57, ""th"", ""en"")"),"A) sports field; B) rice field; C) in the village; D) in the military training ground")</f>
        <v>A) sports field; B) rice field; C) in the village; D) in the military training ground</v>
      </c>
      <c r="D57" s="5" t="str">
        <f>IFERROR(__xludf.DUMMYFUNCTION("GOOGLETRANSLATE(J57, ""th"", ""en"")"),"B) Rice fields")</f>
        <v>B) Rice fields</v>
      </c>
      <c r="E57" s="5" t="str">
        <f>IFERROR(__xludf.DUMMYFUNCTION("GOOGLETRANSLATE(K57, ""th"", ""en"")"),"In the past, lane wow competitions were often held in rice fields because they were spacious.")</f>
        <v>In the past, lane wow competitions were often held in rice fields because they were spacious.</v>
      </c>
      <c r="G57" s="6">
        <v>56.0</v>
      </c>
      <c r="H57" s="7" t="s">
        <v>1912</v>
      </c>
      <c r="I57" s="7" t="s">
        <v>1913</v>
      </c>
      <c r="J57" s="7" t="s">
        <v>1873</v>
      </c>
      <c r="K57" s="7" t="s">
        <v>1914</v>
      </c>
    </row>
    <row r="58" ht="14.25" customHeight="1">
      <c r="A58" s="4">
        <v>57.0</v>
      </c>
      <c r="B58" s="5" t="str">
        <f>IFERROR(__xludf.DUMMYFUNCTION("GOOGLETRANSLATE(H58, ""th"", ""en"")"),"When was lane wow introduced as a sport?")</f>
        <v>When was lane wow introduced as a sport?</v>
      </c>
      <c r="C58" s="5" t="str">
        <f>IFERROR(__xludf.DUMMYFUNCTION("GOOGLETRANSLATE(I58, ""th"", ""en"")"),"A) Ayutthaya period; B) Rattanakosin period; C) King Rama V period; D) King Rama VI period")</f>
        <v>A) Ayutthaya period; B) Rattanakosin period; C) King Rama V period; D) King Rama VI period</v>
      </c>
      <c r="D58" s="5" t="str">
        <f>IFERROR(__xludf.DUMMYFUNCTION("GOOGLETRANSLATE(J58, ""th"", ""en"")"),"B) Rattanakosin period")</f>
        <v>B) Rattanakosin period</v>
      </c>
      <c r="E58" s="5" t="str">
        <f>IFERROR(__xludf.DUMMYFUNCTION("GOOGLETRANSLATE(K58, ""th"", ""en"")"),"Lane Wow was developed into a sport during the Rattanakosin period.")</f>
        <v>Lane Wow was developed into a sport during the Rattanakosin period.</v>
      </c>
      <c r="G58" s="6">
        <v>57.0</v>
      </c>
      <c r="H58" s="7" t="s">
        <v>1915</v>
      </c>
      <c r="I58" s="7" t="s">
        <v>1857</v>
      </c>
      <c r="J58" s="7" t="s">
        <v>146</v>
      </c>
      <c r="K58" s="7" t="s">
        <v>1916</v>
      </c>
    </row>
    <row r="59" ht="14.25" customHeight="1">
      <c r="A59" s="4">
        <v>58.0</v>
      </c>
      <c r="B59" s="5" t="str">
        <f>IFERROR(__xludf.DUMMYFUNCTION("GOOGLETRANSLATE(H59, ""th"", ""en"")"),"How did the ancient Len Wow activity develop?")</f>
        <v>How did the ancient Len Wow activity develop?</v>
      </c>
      <c r="C59" s="5" t="str">
        <f>IFERROR(__xludf.DUMMYFUNCTION("GOOGLETRANSLATE(I59, ""th"", ""en"")"),"A) from fighting between villages; B) from performing martial arts; C) from court competitions; D) from military training.")</f>
        <v>A) from fighting between villages; B) from performing martial arts; C) from court competitions; D) from military training.</v>
      </c>
      <c r="D59" s="5" t="str">
        <f>IFERROR(__xludf.DUMMYFUNCTION("GOOGLETRANSLATE(J59, ""th"", ""en"")"),"A) From the fighting between villages")</f>
        <v>A) From the fighting between villages</v>
      </c>
      <c r="E59" s="5" t="str">
        <f>IFERROR(__xludf.DUMMYFUNCTION("GOOGLETRANSLATE(K59, ""th"", ""en"")"),"In ancient times, the Len Wow activity evolved from the battles between villages.")</f>
        <v>In ancient times, the Len Wow activity evolved from the battles between villages.</v>
      </c>
      <c r="G59" s="6">
        <v>58.0</v>
      </c>
      <c r="H59" s="7" t="s">
        <v>1917</v>
      </c>
      <c r="I59" s="7" t="s">
        <v>1918</v>
      </c>
      <c r="J59" s="7" t="s">
        <v>1919</v>
      </c>
      <c r="K59" s="7" t="s">
        <v>1920</v>
      </c>
    </row>
    <row r="60" ht="14.25" customHeight="1">
      <c r="A60" s="4">
        <v>59.0</v>
      </c>
      <c r="B60" s="5" t="str">
        <f>IFERROR(__xludf.DUMMYFUNCTION("GOOGLETRANSLATE(H60, ""th"", ""en"")"),"Where were the training sessions held in the past?")</f>
        <v>Where were the training sessions held in the past?</v>
      </c>
      <c r="C60" s="5" t="str">
        <f>IFERROR(__xludf.DUMMYFUNCTION("GOOGLETRANSLATE(I60, ""th"", ""en"")"),"A) in the fields; B) in the school; C) in the palace; D) in the military camp")</f>
        <v>A) in the fields; B) in the school; C) in the palace; D) in the military camp</v>
      </c>
      <c r="D60" s="5" t="str">
        <f>IFERROR(__xludf.DUMMYFUNCTION("GOOGLETRANSLATE(J60, ""th"", ""en"")"),"A) In the rice fields")</f>
        <v>A) In the rice fields</v>
      </c>
      <c r="E60" s="5" t="str">
        <f>IFERROR(__xludf.DUMMYFUNCTION("GOOGLETRANSLATE(K60, ""th"", ""en"")"),"In the past, the practice of lane wow was often held in the rice fields.")</f>
        <v>In the past, the practice of lane wow was often held in the rice fields.</v>
      </c>
      <c r="G60" s="6">
        <v>59.0</v>
      </c>
      <c r="H60" s="7" t="s">
        <v>1921</v>
      </c>
      <c r="I60" s="7" t="s">
        <v>1922</v>
      </c>
      <c r="J60" s="7" t="s">
        <v>1923</v>
      </c>
      <c r="K60" s="7" t="s">
        <v>1924</v>
      </c>
    </row>
    <row r="61" ht="14.25" customHeight="1">
      <c r="A61" s="4">
        <v>60.0</v>
      </c>
      <c r="B61" s="5" t="str">
        <f>IFERROR(__xludf.DUMMYFUNCTION("GOOGLETRANSLATE(H61, ""th"", ""en"")"),"When did the development of the modern lane begin?")</f>
        <v>When did the development of the modern lane begin?</v>
      </c>
      <c r="C61" s="5" t="str">
        <f>IFERROR(__xludf.DUMMYFUNCTION("GOOGLETRANSLATE(I61, ""th"", ""en"")"),"A) in the 1950s; B) in the 1960s; C) in the 1970s; D) in the 1980s")</f>
        <v>A) in the 1950s; B) in the 1960s; C) in the 1970s; D) in the 1980s</v>
      </c>
      <c r="D61" s="5" t="str">
        <f>IFERROR(__xludf.DUMMYFUNCTION("GOOGLETRANSLATE(J61, ""th"", ""en"")"),"C) In the 1970s")</f>
        <v>C) In the 1970s</v>
      </c>
      <c r="E61" s="5" t="str">
        <f>IFERROR(__xludf.DUMMYFUNCTION("GOOGLETRANSLATE(K61, ""th"", ""en"")"),"The development of the modern lane began in the 1970s.")</f>
        <v>The development of the modern lane began in the 1970s.</v>
      </c>
      <c r="G61" s="6">
        <v>60.0</v>
      </c>
      <c r="H61" s="7" t="s">
        <v>1925</v>
      </c>
      <c r="I61" s="7" t="s">
        <v>1926</v>
      </c>
      <c r="J61" s="7" t="s">
        <v>1927</v>
      </c>
      <c r="K61" s="7" t="s">
        <v>1928</v>
      </c>
    </row>
    <row r="62" ht="14.25" customHeight="1">
      <c r="A62" s="4">
        <v>61.0</v>
      </c>
      <c r="B62" s="5" t="str">
        <f>IFERROR(__xludf.DUMMYFUNCTION("GOOGLETRANSLATE(H62, ""th"", ""en"")"),"What was the lane used for during the Ayutthaya period?")</f>
        <v>What was the lane used for during the Ayutthaya period?</v>
      </c>
      <c r="C62" s="5" t="str">
        <f>IFERROR(__xludf.DUMMYFUNCTION("GOOGLETRANSLATE(I62, ""th"", ""en"")"),"A) military training; B) martial arts performances; C) inter-village competitions; D) motor skills training")</f>
        <v>A) military training; B) martial arts performances; C) inter-village competitions; D) motor skills training</v>
      </c>
      <c r="D62" s="5" t="str">
        <f>IFERROR(__xludf.DUMMYFUNCTION("GOOGLETRANSLATE(J62, ""th"", ""en"")"),"A) Military training")</f>
        <v>A) Military training</v>
      </c>
      <c r="E62" s="5" t="str">
        <f>IFERROR(__xludf.DUMMYFUNCTION("GOOGLETRANSLATE(K62, ""th"", ""en"")"),"The battle of Lane Wow in the Ayutthaya period was used to train soldiers.")</f>
        <v>The battle of Lane Wow in the Ayutthaya period was used to train soldiers.</v>
      </c>
      <c r="G62" s="6">
        <v>61.0</v>
      </c>
      <c r="H62" s="7" t="s">
        <v>1929</v>
      </c>
      <c r="I62" s="7" t="s">
        <v>1930</v>
      </c>
      <c r="J62" s="7" t="s">
        <v>1493</v>
      </c>
      <c r="K62" s="7" t="s">
        <v>1931</v>
      </c>
    </row>
    <row r="63" ht="14.25" customHeight="1">
      <c r="A63" s="4">
        <v>62.0</v>
      </c>
      <c r="B63" s="5" t="str">
        <f>IFERROR(__xludf.DUMMYFUNCTION("GOOGLETRANSLATE(H63, ""th"", ""en"")"),"What techniques were used in ancient battles?")</f>
        <v>What techniques were used in ancient battles?</v>
      </c>
      <c r="C63" s="5" t="str">
        <f>IFERROR(__xludf.DUMMYFUNCTION("GOOGLETRANSLATE(I63, ""th"", ""en"")"),"A) Use defensive tactics; B) Use movement speed; C) Use offensive skills; D) Use physical strength.")</f>
        <v>A) Use defensive tactics; B) Use movement speed; C) Use offensive skills; D) Use physical strength.</v>
      </c>
      <c r="D63" s="5" t="str">
        <f>IFERROR(__xludf.DUMMYFUNCTION("GOOGLETRANSLATE(J63, ""th"", ""en"")"),"A) Use defensive strategies.")</f>
        <v>A) Use defensive strategies.</v>
      </c>
      <c r="E63" s="5" t="str">
        <f>IFERROR(__xludf.DUMMYFUNCTION("GOOGLETRANSLATE(K63, ""th"", ""en"")"),"Old-school lane battles focused on defensive tactics.")</f>
        <v>Old-school lane battles focused on defensive tactics.</v>
      </c>
      <c r="G63" s="6">
        <v>62.0</v>
      </c>
      <c r="H63" s="7" t="s">
        <v>1932</v>
      </c>
      <c r="I63" s="7" t="s">
        <v>1933</v>
      </c>
      <c r="J63" s="7" t="s">
        <v>1934</v>
      </c>
      <c r="K63" s="7" t="s">
        <v>1935</v>
      </c>
    </row>
    <row r="64" ht="14.25" customHeight="1">
      <c r="A64" s="4">
        <v>63.0</v>
      </c>
      <c r="B64" s="5" t="str">
        <f>IFERROR(__xludf.DUMMYFUNCTION("GOOGLETRANSLATE(H64, ""th"", ""en"")"),"How was Lane Wow promoted during the reign of King Rama V?")</f>
        <v>How was Lane Wow promoted during the reign of King Rama V?</v>
      </c>
      <c r="C64" s="5" t="str">
        <f>IFERROR(__xludf.DUMMYFUNCTION("GOOGLETRANSLATE(I64, ""th"", ""en"")"),"A) by organizing competitions at the royal court; B) by promoting them in the villages; C) by performing at festivals; D) by training soldiers.")</f>
        <v>A) by organizing competitions at the royal court; B) by promoting them in the villages; C) by performing at festivals; D) by training soldiers.</v>
      </c>
      <c r="D64" s="5" t="str">
        <f>IFERROR(__xludf.DUMMYFUNCTION("GOOGLETRANSLATE(J64, ""th"", ""en"")"),"A) By organizing a competition in the royal court")</f>
        <v>A) By organizing a competition in the royal court</v>
      </c>
      <c r="E64" s="5" t="str">
        <f>IFERROR(__xludf.DUMMYFUNCTION("GOOGLETRANSLATE(K64, ""th"", ""en"")"),"During the reign of King Rama V, the promotion of lane wow occurred by organizing competitions in the royal court.")</f>
        <v>During the reign of King Rama V, the promotion of lane wow occurred by organizing competitions in the royal court.</v>
      </c>
      <c r="G64" s="6">
        <v>63.0</v>
      </c>
      <c r="H64" s="7" t="s">
        <v>1936</v>
      </c>
      <c r="I64" s="7" t="s">
        <v>1937</v>
      </c>
      <c r="J64" s="7" t="s">
        <v>1938</v>
      </c>
      <c r="K64" s="7" t="s">
        <v>1939</v>
      </c>
    </row>
    <row r="65" ht="14.25" customHeight="1">
      <c r="A65" s="4">
        <v>64.0</v>
      </c>
      <c r="B65" s="5" t="str">
        <f>IFERROR(__xludf.DUMMYFUNCTION("GOOGLETRANSLATE(H65, ""th"", ""en"")"),"What role did past lane wow competitions play in Thai society?")</f>
        <v>What role did past lane wow competitions play in Thai society?</v>
      </c>
      <c r="C65" s="5" t="str">
        <f>IFERROR(__xludf.DUMMYFUNCTION("GOOGLETRANSLATE(I65, ""th"", ""en"")"),"A) It is an educational activity; B) It is an entertainment activity; C) It is a military training activity; D) It is a tourist activity.")</f>
        <v>A) It is an educational activity; B) It is an entertainment activity; C) It is a military training activity; D) It is a tourist activity.</v>
      </c>
      <c r="D65" s="5" t="str">
        <f>IFERROR(__xludf.DUMMYFUNCTION("GOOGLETRANSLATE(J65, ""th"", ""en"")"),"B) It is an activity for entertainment.")</f>
        <v>B) It is an activity for entertainment.</v>
      </c>
      <c r="E65" s="5" t="str">
        <f>IFERROR(__xludf.DUMMYFUNCTION("GOOGLETRANSLATE(K65, ""th"", ""en"")"),"In the past, the lane wow competition was an entertainment activity in villages and in the royal court.")</f>
        <v>In the past, the lane wow competition was an entertainment activity in villages and in the royal court.</v>
      </c>
      <c r="G65" s="6">
        <v>64.0</v>
      </c>
      <c r="H65" s="7" t="s">
        <v>1940</v>
      </c>
      <c r="I65" s="7" t="s">
        <v>1941</v>
      </c>
      <c r="J65" s="7" t="s">
        <v>1942</v>
      </c>
      <c r="K65" s="7" t="s">
        <v>1943</v>
      </c>
    </row>
    <row r="66" ht="14.25" customHeight="1">
      <c r="A66" s="4">
        <v>65.0</v>
      </c>
      <c r="B66" s="5" t="str">
        <f>IFERROR(__xludf.DUMMYFUNCTION("GOOGLETRANSLATE(H66, ""th"", ""en"")"),"In the past, what kind of training was often used in the Wow Lane?")</f>
        <v>In the past, what kind of training was often used in the Wow Lane?</v>
      </c>
      <c r="C66" s="5" t="str">
        <f>IFERROR(__xludf.DUMMYFUNCTION("GOOGLETRANSLATE(I66, ""th"", ""en"")"),"A) Group training; B) Individual training; C) Team training; D) Training in a military training field.")</f>
        <v>A) Group training; B) Individual training; C) Team training; D) Training in a military training field.</v>
      </c>
      <c r="D66" s="5" t="str">
        <f>IFERROR(__xludf.DUMMYFUNCTION("GOOGLETRANSLATE(J66, ""th"", ""en"")"),"B) One-on-one training")</f>
        <v>B) One-on-one training</v>
      </c>
      <c r="E66" s="5" t="str">
        <f>IFERROR(__xludf.DUMMYFUNCTION("GOOGLETRANSLATE(K66, ""th"", ""en"")"),"In the past, lane training was often one-on-one to develop individual skills.")</f>
        <v>In the past, lane training was often one-on-one to develop individual skills.</v>
      </c>
      <c r="G66" s="6">
        <v>65.0</v>
      </c>
      <c r="H66" s="7" t="s">
        <v>1944</v>
      </c>
      <c r="I66" s="7" t="s">
        <v>1945</v>
      </c>
      <c r="J66" s="7" t="s">
        <v>1946</v>
      </c>
      <c r="K66" s="7" t="s">
        <v>1947</v>
      </c>
    </row>
    <row r="67" ht="14.25" customHeight="1">
      <c r="A67" s="4">
        <v>66.0</v>
      </c>
      <c r="B67" s="5" t="str">
        <f>IFERROR(__xludf.DUMMYFUNCTION("GOOGLETRANSLATE(H67, ""th"", ""en"")"),"What does len wow mean in Thai?")</f>
        <v>What does len wow mean in Thai?</v>
      </c>
      <c r="C67" s="5" t="str">
        <f>IFERROR(__xludf.DUMMYFUNCTION("GOOGLETRANSLATE(I67, ""th"", ""en"")"),"A) fighting; B) training; C) showing off one's abilities; D) competing")</f>
        <v>A) fighting; B) training; C) showing off one's abilities; D) competing</v>
      </c>
      <c r="D67" s="5" t="str">
        <f>IFERROR(__xludf.DUMMYFUNCTION("GOOGLETRANSLATE(J67, ""th"", ""en"")"),"A) Fighting")</f>
        <v>A) Fighting</v>
      </c>
      <c r="E67" s="5" t="str">
        <f>IFERROR(__xludf.DUMMYFUNCTION("GOOGLETRANSLATE(K67, ""th"", ""en"")"),"The term ""Len Wow"" refers to a fight that uses kites as a component.")</f>
        <v>The term "Len Wow" refers to a fight that uses kites as a component.</v>
      </c>
      <c r="G67" s="6">
        <v>66.0</v>
      </c>
      <c r="H67" s="7" t="s">
        <v>1948</v>
      </c>
      <c r="I67" s="7" t="s">
        <v>1949</v>
      </c>
      <c r="J67" s="7" t="s">
        <v>1950</v>
      </c>
      <c r="K67" s="7" t="s">
        <v>1951</v>
      </c>
    </row>
    <row r="68" ht="14.25" customHeight="1">
      <c r="A68" s="4">
        <v>67.0</v>
      </c>
      <c r="B68" s="5" t="str">
        <f>IFERROR(__xludf.DUMMYFUNCTION("GOOGLETRANSLATE(H68, ""th"", ""en"")"),"How were teams divided in ancient lane competitions?")</f>
        <v>How were teams divided in ancient lane competitions?</v>
      </c>
      <c r="C68" s="5" t="str">
        <f>IFERROR(__xludf.DUMMYFUNCTION("GOOGLETRANSLATE(I68, ""th"", ""en"")"),"A) divided by village; B) divided by military affiliation; C) divided by tribe; D) divided by royal court")</f>
        <v>A) divided by village; B) divided by military affiliation; C) divided by tribe; D) divided by royal court</v>
      </c>
      <c r="D68" s="5" t="str">
        <f>IFERROR(__xludf.DUMMYFUNCTION("GOOGLETRANSLATE(J68, ""th"", ""en"")"),"A) Divided by village")</f>
        <v>A) Divided by village</v>
      </c>
      <c r="E68" s="5" t="str">
        <f>IFERROR(__xludf.DUMMYFUNCTION("GOOGLETRANSLATE(K68, ""th"", ""en"")"),"In ancient lane wow competitions, teams were divided according to the villages they trained in.")</f>
        <v>In ancient lane wow competitions, teams were divided according to the villages they trained in.</v>
      </c>
      <c r="G68" s="6">
        <v>67.0</v>
      </c>
      <c r="H68" s="7" t="s">
        <v>1952</v>
      </c>
      <c r="I68" s="7" t="s">
        <v>1953</v>
      </c>
      <c r="J68" s="7" t="s">
        <v>1954</v>
      </c>
      <c r="K68" s="7" t="s">
        <v>1955</v>
      </c>
    </row>
    <row r="69" ht="14.25" customHeight="1">
      <c r="A69" s="4">
        <v>68.0</v>
      </c>
      <c r="B69" s="5" t="str">
        <f>IFERROR(__xludf.DUMMYFUNCTION("GOOGLETRANSLATE(H69, ""th"", ""en"")"),"In the past, what were the main tools used for training the Wow Lane?")</f>
        <v>In the past, what were the main tools used for training the Wow Lane?</v>
      </c>
      <c r="C69" s="5" t="str">
        <f>IFERROR(__xludf.DUMMYFUNCTION("GOOGLETRANSLATE(I69, ""th"", ""en"")"),"A) kite; B) stick; C) ball; D) dagger")</f>
        <v>A) kite; B) stick; C) ball; D) dagger</v>
      </c>
      <c r="D69" s="5" t="str">
        <f>IFERROR(__xludf.DUMMYFUNCTION("GOOGLETRANSLATE(J69, ""th"", ""en"")"),"A) Kite")</f>
        <v>A) Kite</v>
      </c>
      <c r="E69" s="5" t="str">
        <f>IFERROR(__xludf.DUMMYFUNCTION("GOOGLETRANSLATE(K69, ""th"", ""en"")"),"In the past, in the practice of the Wow lane, the kite was the main tool in the fight.")</f>
        <v>In the past, in the practice of the Wow lane, the kite was the main tool in the fight.</v>
      </c>
      <c r="G69" s="6">
        <v>68.0</v>
      </c>
      <c r="H69" s="7" t="s">
        <v>1956</v>
      </c>
      <c r="I69" s="7" t="s">
        <v>1957</v>
      </c>
      <c r="J69" s="7" t="s">
        <v>1958</v>
      </c>
      <c r="K69" s="7" t="s">
        <v>1959</v>
      </c>
    </row>
    <row r="70" ht="14.25" customHeight="1">
      <c r="A70" s="4">
        <v>69.0</v>
      </c>
      <c r="B70" s="5" t="str">
        <f>IFERROR(__xludf.DUMMYFUNCTION("GOOGLETRANSLATE(H70, ""th"", ""en"")"),"When did the promotion of the national lane battle begin?")</f>
        <v>When did the promotion of the national lane battle begin?</v>
      </c>
      <c r="C70" s="5" t="str">
        <f>IFERROR(__xludf.DUMMYFUNCTION("GOOGLETRANSLATE(I70, ""th"", ""en"")"),"A) 1940; B) 1950; C) 1960; D) 1970")</f>
        <v>A) 1940; B) 1950; C) 1960; D) 1970</v>
      </c>
      <c r="D70" s="5" t="str">
        <f>IFERROR(__xludf.DUMMYFUNCTION("GOOGLETRANSLATE(J70, ""th"", ""en"")"),"C) 1960")</f>
        <v>C) 1960</v>
      </c>
      <c r="E70" s="5" t="str">
        <f>IFERROR(__xludf.DUMMYFUNCTION("GOOGLETRANSLATE(K70, ""th"", ""en"")"),"The promotion of lane-wow fighting on a national level began in the 1960s.")</f>
        <v>The promotion of lane-wow fighting on a national level began in the 1960s.</v>
      </c>
      <c r="G70" s="6">
        <v>69.0</v>
      </c>
      <c r="H70" s="7" t="s">
        <v>1960</v>
      </c>
      <c r="I70" s="7" t="s">
        <v>1961</v>
      </c>
      <c r="J70" s="7" t="s">
        <v>1962</v>
      </c>
      <c r="K70" s="7" t="s">
        <v>1963</v>
      </c>
    </row>
    <row r="71" ht="14.25" customHeight="1">
      <c r="A71" s="4">
        <v>70.0</v>
      </c>
      <c r="B71" s="5" t="str">
        <f>IFERROR(__xludf.DUMMYFUNCTION("GOOGLETRANSLATE(H71, ""th"", ""en"")"),"At the beginning of the Wow Lane competition, what prizes will the contestants receive?")</f>
        <v>At the beginning of the Wow Lane competition, what prizes will the contestants receive?</v>
      </c>
      <c r="C71" s="5" t="str">
        <f>IFERROR(__xludf.DUMMYFUNCTION("GOOGLETRANSLATE(I71, ""th"", ""en"")"),"A) prize money; B) academic award; C) trophy; D) honor")</f>
        <v>A) prize money; B) academic award; C) trophy; D) honor</v>
      </c>
      <c r="D71" s="5" t="str">
        <f>IFERROR(__xludf.DUMMYFUNCTION("GOOGLETRANSLATE(J71, ""th"", ""en"")"),"D) Honor")</f>
        <v>D) Honor</v>
      </c>
      <c r="E71" s="5" t="str">
        <f>IFERROR(__xludf.DUMMYFUNCTION("GOOGLETRANSLATE(K71, ""th"", ""en"")"),"In the early stages of the competition, the winners are honored by the community and the audience.")</f>
        <v>In the early stages of the competition, the winners are honored by the community and the audience.</v>
      </c>
      <c r="G71" s="6">
        <v>70.0</v>
      </c>
      <c r="H71" s="7" t="s">
        <v>1964</v>
      </c>
      <c r="I71" s="7" t="s">
        <v>1965</v>
      </c>
      <c r="J71" s="7" t="s">
        <v>1966</v>
      </c>
      <c r="K71" s="7" t="s">
        <v>1967</v>
      </c>
    </row>
    <row r="72" ht="14.25" customHeight="1">
      <c r="A72" s="4">
        <v>71.0</v>
      </c>
      <c r="B72" s="5" t="str">
        <f>IFERROR(__xludf.DUMMYFUNCTION("GOOGLETRANSLATE(H72, ""th"", ""en"")"),"Where did the battle of lanes originate from?")</f>
        <v>Where did the battle of lanes originate from?</v>
      </c>
      <c r="C72" s="5" t="str">
        <f>IFERROR(__xludf.DUMMYFUNCTION("GOOGLETRANSLATE(I72, ""th"", ""en"")"),"A) Thailand; B) China; C) Malaysia; D) Indonesia")</f>
        <v>A) Thailand; B) China; C) Malaysia; D) Indonesia</v>
      </c>
      <c r="D72" s="5" t="str">
        <f>IFERROR(__xludf.DUMMYFUNCTION("GOOGLETRANSLATE(J72, ""th"", ""en"")"),"A) Thai")</f>
        <v>A) Thai</v>
      </c>
      <c r="E72" s="5" t="str">
        <f>IFERROR(__xludf.DUMMYFUNCTION("GOOGLETRANSLATE(K72, ""th"", ""en"")"),"Wow fighting originated in Thailand and is part of Thai martial arts.")</f>
        <v>Wow fighting originated in Thailand and is part of Thai martial arts.</v>
      </c>
      <c r="G72" s="6">
        <v>71.0</v>
      </c>
      <c r="H72" s="7" t="s">
        <v>1703</v>
      </c>
      <c r="I72" s="7" t="s">
        <v>1968</v>
      </c>
      <c r="J72" s="7" t="s">
        <v>1705</v>
      </c>
      <c r="K72" s="7" t="s">
        <v>1969</v>
      </c>
    </row>
    <row r="73" ht="14.25" customHeight="1">
      <c r="A73" s="4">
        <v>72.0</v>
      </c>
      <c r="B73" s="5" t="str">
        <f>IFERROR(__xludf.DUMMYFUNCTION("GOOGLETRANSLATE(H73, ""th"", ""en"")"),"In the Rattanakosin period, what type of training was used?")</f>
        <v>In the Rattanakosin period, what type of training was used?</v>
      </c>
      <c r="C73" s="5" t="str">
        <f>IFERROR(__xludf.DUMMYFUNCTION("GOOGLETRANSLATE(I73, ""th"", ""en"")"),"A) Training in the fields; B) Training in the palace; C) Training in the stadium; D) Training in the village.")</f>
        <v>A) Training in the fields; B) Training in the palace; C) Training in the stadium; D) Training in the village.</v>
      </c>
      <c r="D73" s="5" t="str">
        <f>IFERROR(__xludf.DUMMYFUNCTION("GOOGLETRANSLATE(J73, ""th"", ""en"")"),"B) Training in the palace")</f>
        <v>B) Training in the palace</v>
      </c>
      <c r="E73" s="5" t="str">
        <f>IFERROR(__xludf.DUMMYFUNCTION("GOOGLETRANSLATE(K73, ""th"", ""en"")"),"The practice of playing the Wow in the Rattanakosin period was usually held in the palace.")</f>
        <v>The practice of playing the Wow in the Rattanakosin period was usually held in the palace.</v>
      </c>
      <c r="G73" s="6">
        <v>72.0</v>
      </c>
      <c r="H73" s="7" t="s">
        <v>1970</v>
      </c>
      <c r="I73" s="7" t="s">
        <v>1971</v>
      </c>
      <c r="J73" s="7" t="s">
        <v>1972</v>
      </c>
      <c r="K73" s="7" t="s">
        <v>1973</v>
      </c>
    </row>
    <row r="74" ht="14.25" customHeight="1">
      <c r="A74" s="4">
        <v>73.0</v>
      </c>
      <c r="B74" s="5" t="str">
        <f>IFERROR(__xludf.DUMMYFUNCTION("GOOGLETRANSLATE(H74, ""th"", ""en"")"),"What skill training did past lane battles involve?")</f>
        <v>What skill training did past lane battles involve?</v>
      </c>
      <c r="C74" s="5" t="str">
        <f>IFERROR(__xludf.DUMMYFUNCTION("GOOGLETRANSLATE(I74, ""th"", ""en"")"),"A) naval combat; B) land combat; C) combat tactics; D) mental training.")</f>
        <v>A) naval combat; B) land combat; C) combat tactics; D) mental training.</v>
      </c>
      <c r="D74" s="5" t="str">
        <f>IFERROR(__xludf.DUMMYFUNCTION("GOOGLETRANSLATE(J74, ""th"", ""en"")"),"C) Using combat strategies")</f>
        <v>C) Using combat strategies</v>
      </c>
      <c r="E74" s="5" t="str">
        <f>IFERROR(__xludf.DUMMYFUNCTION("GOOGLETRANSLATE(K74, ""th"", ""en"")"),"The past lane battles focused on strategy in combat.")</f>
        <v>The past lane battles focused on strategy in combat.</v>
      </c>
      <c r="G74" s="6">
        <v>73.0</v>
      </c>
      <c r="H74" s="7" t="s">
        <v>1974</v>
      </c>
      <c r="I74" s="7" t="s">
        <v>1975</v>
      </c>
      <c r="J74" s="7" t="s">
        <v>1976</v>
      </c>
      <c r="K74" s="7" t="s">
        <v>1977</v>
      </c>
    </row>
    <row r="75" ht="14.25" customHeight="1">
      <c r="A75" s="4">
        <v>74.0</v>
      </c>
      <c r="B75" s="5" t="str">
        <f>IFERROR(__xludf.DUMMYFUNCTION("GOOGLETRANSLATE(H75, ""th"", ""en"")"),"What kind of sport is Lane Wow?")</f>
        <v>What kind of sport is Lane Wow?</v>
      </c>
      <c r="C75" s="5" t="str">
        <f>IFERROR(__xludf.DUMMYFUNCTION("GOOGLETRANSLATE(I75, ""th"", ""en"")"),"A) individual sports; B) team sports; C) mixed sports; D) competitive sports")</f>
        <v>A) individual sports; B) team sports; C) mixed sports; D) competitive sports</v>
      </c>
      <c r="D75" s="5" t="str">
        <f>IFERROR(__xludf.DUMMYFUNCTION("GOOGLETRANSLATE(J75, ""th"", ""en"")"),"B) Team sports")</f>
        <v>B) Team sports</v>
      </c>
      <c r="E75" s="5" t="str">
        <f>IFERROR(__xludf.DUMMYFUNCTION("GOOGLETRANSLATE(K75, ""th"", ""en"")"),"Lane Wow is a team sport that requires coordination between players.")</f>
        <v>Lane Wow is a team sport that requires coordination between players.</v>
      </c>
      <c r="G75" s="6">
        <v>74.0</v>
      </c>
      <c r="H75" s="7" t="s">
        <v>1978</v>
      </c>
      <c r="I75" s="7" t="s">
        <v>1979</v>
      </c>
      <c r="J75" s="7" t="s">
        <v>1980</v>
      </c>
      <c r="K75" s="7" t="s">
        <v>1981</v>
      </c>
    </row>
    <row r="76" ht="14.25" customHeight="1">
      <c r="A76" s="4">
        <v>75.0</v>
      </c>
      <c r="B76" s="5" t="str">
        <f>IFERROR(__xludf.DUMMYFUNCTION("GOOGLETRANSLATE(H76, ""th"", ""en"")"),"What type of kite was often used in ancient battles?")</f>
        <v>What type of kite was often used in ancient battles?</v>
      </c>
      <c r="C76" s="5" t="str">
        <f>IFERROR(__xludf.DUMMYFUNCTION("GOOGLETRANSLATE(I76, ""th"", ""en"")"),"A) a strong kite; B) a small kite; C) a colorful kite; D) a flexible kite")</f>
        <v>A) a strong kite; B) a small kite; C) a colorful kite; D) a flexible kite</v>
      </c>
      <c r="D76" s="5" t="str">
        <f>IFERROR(__xludf.DUMMYFUNCTION("GOOGLETRANSLATE(J76, ""th"", ""en"")"),"A) A strong kite")</f>
        <v>A) A strong kite</v>
      </c>
      <c r="E76" s="5" t="str">
        <f>IFERROR(__xludf.DUMMYFUNCTION("GOOGLETRANSLATE(K76, ""th"", ""en"")"),"Using a strong kite in battle increases the efficiency of the competition.")</f>
        <v>Using a strong kite in battle increases the efficiency of the competition.</v>
      </c>
      <c r="G76" s="6">
        <v>75.0</v>
      </c>
      <c r="H76" s="7" t="s">
        <v>1982</v>
      </c>
      <c r="I76" s="7" t="s">
        <v>1983</v>
      </c>
      <c r="J76" s="7" t="s">
        <v>1984</v>
      </c>
      <c r="K76" s="7" t="s">
        <v>1985</v>
      </c>
    </row>
    <row r="77" ht="14.25" customHeight="1">
      <c r="A77" s="4">
        <v>76.0</v>
      </c>
      <c r="B77" s="5" t="str">
        <f>IFERROR(__xludf.DUMMYFUNCTION("GOOGLETRANSLATE(H77, ""th"", ""en"")"),"What type of sport was lane surfing recognized as in the 1980s?")</f>
        <v>What type of sport was lane surfing recognized as in the 1980s?</v>
      </c>
      <c r="C77" s="5" t="str">
        <f>IFERROR(__xludf.DUMMYFUNCTION("GOOGLETRANSLATE(I77, ""th"", ""en"")"),"A) Asian Games; B) Olympic Games; C) National Games; D) Field Games")</f>
        <v>A) Asian Games; B) Olympic Games; C) National Games; D) Field Games</v>
      </c>
      <c r="D77" s="5" t="str">
        <f>IFERROR(__xludf.DUMMYFUNCTION("GOOGLETRANSLATE(J77, ""th"", ""en"")"),"C) National Sports")</f>
        <v>C) National Sports</v>
      </c>
      <c r="E77" s="5" t="str">
        <f>IFERROR(__xludf.DUMMYFUNCTION("GOOGLETRANSLATE(K77, ""th"", ""en"")"),"Lane Wow was recognized as a national sport in 1980.")</f>
        <v>Lane Wow was recognized as a national sport in 1980.</v>
      </c>
      <c r="G77" s="6">
        <v>76.0</v>
      </c>
      <c r="H77" s="7" t="s">
        <v>1986</v>
      </c>
      <c r="I77" s="7" t="s">
        <v>1987</v>
      </c>
      <c r="J77" s="7" t="s">
        <v>1988</v>
      </c>
      <c r="K77" s="7" t="s">
        <v>1989</v>
      </c>
    </row>
    <row r="78" ht="14.25" customHeight="1">
      <c r="A78" s="4">
        <v>77.0</v>
      </c>
      <c r="B78" s="5" t="str">
        <f>IFERROR(__xludf.DUMMYFUNCTION("GOOGLETRANSLATE(H78, ""th"", ""en"")"),"In which countries was Len Wow first introduced?")</f>
        <v>In which countries was Len Wow first introduced?</v>
      </c>
      <c r="C78" s="5" t="str">
        <f>IFERROR(__xludf.DUMMYFUNCTION("GOOGLETRANSLATE(I78, ""th"", ""en"")"),"A) Thailand and Cambodia; B) Thailand and Malaysia; C) Thailand and Indonesia; D) Thailand and Laos")</f>
        <v>A) Thailand and Cambodia; B) Thailand and Malaysia; C) Thailand and Indonesia; D) Thailand and Laos</v>
      </c>
      <c r="D78" s="5" t="str">
        <f>IFERROR(__xludf.DUMMYFUNCTION("GOOGLETRANSLATE(J78, ""th"", ""en"")"),"B) Thailand and Malaysia")</f>
        <v>B) Thailand and Malaysia</v>
      </c>
      <c r="E78" s="5" t="str">
        <f>IFERROR(__xludf.DUMMYFUNCTION("GOOGLETRANSLATE(K78, ""th"", ""en"")"),"The battle of lanes was first introduced to Malaysia in the early days.")</f>
        <v>The battle of lanes was first introduced to Malaysia in the early days.</v>
      </c>
      <c r="G78" s="6">
        <v>77.0</v>
      </c>
      <c r="H78" s="7" t="s">
        <v>1990</v>
      </c>
      <c r="I78" s="7" t="s">
        <v>1991</v>
      </c>
      <c r="J78" s="7" t="s">
        <v>1992</v>
      </c>
      <c r="K78" s="7" t="s">
        <v>1993</v>
      </c>
    </row>
    <row r="79" ht="14.25" customHeight="1">
      <c r="A79" s="4">
        <v>78.0</v>
      </c>
      <c r="B79" s="5" t="str">
        <f>IFERROR(__xludf.DUMMYFUNCTION("GOOGLETRANSLATE(H79, ""th"", ""en"")"),"How did the battle of lane wow develop during the reign of King Rama V?")</f>
        <v>How did the battle of lane wow develop during the reign of King Rama V?</v>
      </c>
      <c r="C79" s="5" t="str">
        <f>IFERROR(__xludf.DUMMYFUNCTION("GOOGLETRANSLATE(I79, ""th"", ""en"")"),"A) organizing court competitions; B) training soldiers in sports fields; C) organizing village competitions; D) promoting military training.")</f>
        <v>A) organizing court competitions; B) training soldiers in sports fields; C) organizing village competitions; D) promoting military training.</v>
      </c>
      <c r="D79" s="5" t="str">
        <f>IFERROR(__xludf.DUMMYFUNCTION("GOOGLETRANSLATE(J79, ""th"", ""en"")"),"A) Organizing royal competitions")</f>
        <v>A) Organizing royal competitions</v>
      </c>
      <c r="E79" s="5" t="str">
        <f>IFERROR(__xludf.DUMMYFUNCTION("GOOGLETRANSLATE(K79, ""th"", ""en"")"),"During the reign of King Rama V, the promotion of lane wow occurred by organizing competitions in the royal court.")</f>
        <v>During the reign of King Rama V, the promotion of lane wow occurred by organizing competitions in the royal court.</v>
      </c>
      <c r="G79" s="6">
        <v>78.0</v>
      </c>
      <c r="H79" s="7" t="s">
        <v>1994</v>
      </c>
      <c r="I79" s="7" t="s">
        <v>1995</v>
      </c>
      <c r="J79" s="7" t="s">
        <v>1996</v>
      </c>
      <c r="K79" s="7" t="s">
        <v>1939</v>
      </c>
    </row>
    <row r="80" ht="14.25" customHeight="1">
      <c r="A80" s="4">
        <v>79.0</v>
      </c>
      <c r="B80" s="5" t="str">
        <f>IFERROR(__xludf.DUMMYFUNCTION("GOOGLETRANSLATE(H80, ""th"", ""en"")"),"When was the Lane Wow developed in Thai history?")</f>
        <v>When was the Lane Wow developed in Thai history?</v>
      </c>
      <c r="C80" s="5" t="str">
        <f>IFERROR(__xludf.DUMMYFUNCTION("GOOGLETRANSLATE(I80, ""th"", ""en"")"),"A) Ayutthaya period; B) Thonburi period; C) Rattanakosin period; D) King Rama V period")</f>
        <v>A) Ayutthaya period; B) Thonburi period; C) Rattanakosin period; D) King Rama V period</v>
      </c>
      <c r="D80" s="5" t="str">
        <f>IFERROR(__xludf.DUMMYFUNCTION("GOOGLETRANSLATE(J80, ""th"", ""en"")"),"C) Rattanakosin period")</f>
        <v>C) Rattanakosin period</v>
      </c>
      <c r="E80" s="5" t="str">
        <f>IFERROR(__xludf.DUMMYFUNCTION("GOOGLETRANSLATE(K80, ""th"", ""en"")"),"The development of the Wow Lane occurred during the Rattanakosin period.")</f>
        <v>The development of the Wow Lane occurred during the Rattanakosin period.</v>
      </c>
      <c r="G80" s="6">
        <v>79.0</v>
      </c>
      <c r="H80" s="7" t="s">
        <v>1997</v>
      </c>
      <c r="I80" s="7" t="s">
        <v>1998</v>
      </c>
      <c r="J80" s="7" t="s">
        <v>237</v>
      </c>
      <c r="K80" s="7" t="s">
        <v>1999</v>
      </c>
    </row>
    <row r="81" ht="14.25" customHeight="1">
      <c r="A81" s="4">
        <v>80.0</v>
      </c>
      <c r="B81" s="5" t="str">
        <f>IFERROR(__xludf.DUMMYFUNCTION("GOOGLETRANSLATE(H81, ""th"", ""en"")"),"What training methods has the Wow lane been used in in Thailand in the past?")</f>
        <v>What training methods has the Wow lane been used in in Thailand in the past?</v>
      </c>
      <c r="C81" s="5" t="str">
        <f>IFERROR(__xludf.DUMMYFUNCTION("GOOGLETRANSLATE(I81, ""th"", ""en"")"),"A) military training; B) self-defense training; C) martial arts training; D) movement skills training")</f>
        <v>A) military training; B) self-defense training; C) martial arts training; D) movement skills training</v>
      </c>
      <c r="D81" s="5" t="str">
        <f>IFERROR(__xludf.DUMMYFUNCTION("GOOGLETRANSLATE(J81, ""th"", ""en"")"),"A) Military training")</f>
        <v>A) Military training</v>
      </c>
      <c r="E81" s="5" t="str">
        <f>IFERROR(__xludf.DUMMYFUNCTION("GOOGLETRANSLATE(K81, ""th"", ""en"")"),"In the past, the practice of lane wow was often used to train soldiers and prepare them for battle.")</f>
        <v>In the past, the practice of lane wow was often used to train soldiers and prepare them for battle.</v>
      </c>
      <c r="G81" s="6">
        <v>80.0</v>
      </c>
      <c r="H81" s="7" t="s">
        <v>2000</v>
      </c>
      <c r="I81" s="7" t="s">
        <v>2001</v>
      </c>
      <c r="J81" s="7" t="s">
        <v>1493</v>
      </c>
      <c r="K81" s="7" t="s">
        <v>2002</v>
      </c>
    </row>
    <row r="82" ht="14.25" customHeight="1">
      <c r="A82" s="4">
        <v>81.0</v>
      </c>
      <c r="B82" s="5" t="str">
        <f>IFERROR(__xludf.DUMMYFUNCTION("GOOGLETRANSLATE(H82, ""th"", ""en"")"),"How important were the Lane Wow activities during the Rattanakosin period?")</f>
        <v>How important were the Lane Wow activities during the Rattanakosin period?</v>
      </c>
      <c r="C82" s="5" t="str">
        <f>IFERROR(__xludf.DUMMYFUNCTION("GOOGLETRANSLATE(I82, ""th"", ""en"")"),"A) It is an activity for entertainment in the royal court; B) It is an activity for training self-defense skills; C) It is an activity for tourism; D) It is an activity for education.")</f>
        <v>A) It is an activity for entertainment in the royal court; B) It is an activity for training self-defense skills; C) It is an activity for tourism; D) It is an activity for education.</v>
      </c>
      <c r="D82" s="5" t="str">
        <f>IFERROR(__xludf.DUMMYFUNCTION("GOOGLETRANSLATE(J82, ""th"", ""en"")"),"B) It is an activity to practice self-defense skills.")</f>
        <v>B) It is an activity to practice self-defense skills.</v>
      </c>
      <c r="E82" s="5" t="str">
        <f>IFERROR(__xludf.DUMMYFUNCTION("GOOGLETRANSLATE(K82, ""th"", ""en"")"),"During the Rattanakosin period, the lane was used to train self-defense skills.")</f>
        <v>During the Rattanakosin period, the lane was used to train self-defense skills.</v>
      </c>
      <c r="G82" s="6">
        <v>81.0</v>
      </c>
      <c r="H82" s="7" t="s">
        <v>2003</v>
      </c>
      <c r="I82" s="7" t="s">
        <v>2004</v>
      </c>
      <c r="J82" s="7" t="s">
        <v>2005</v>
      </c>
      <c r="K82" s="7" t="s">
        <v>2006</v>
      </c>
    </row>
    <row r="83" ht="14.25" customHeight="1">
      <c r="A83" s="4">
        <v>82.0</v>
      </c>
      <c r="B83" s="5" t="str">
        <f>IFERROR(__xludf.DUMMYFUNCTION("GOOGLETRANSLATE(H83, ""th"", ""en"")"),"What was the purpose of the past lane wow competition?")</f>
        <v>What was the purpose of the past lane wow competition?</v>
      </c>
      <c r="C83" s="5" t="str">
        <f>IFERROR(__xludf.DUMMYFUNCTION("GOOGLETRANSLATE(I83, ""th"", ""en"")"),"A) for entertainment; B) for practicing fighting skills; C) for performing martial arts; D) for practicing strategy.")</f>
        <v>A) for entertainment; B) for practicing fighting skills; C) for performing martial arts; D) for practicing strategy.</v>
      </c>
      <c r="D83" s="5" t="str">
        <f>IFERROR(__xludf.DUMMYFUNCTION("GOOGLETRANSLATE(J83, ""th"", ""en"")"),"B) For training in fighting skills.")</f>
        <v>B) For training in fighting skills.</v>
      </c>
      <c r="E83" s="5" t="str">
        <f>IFERROR(__xludf.DUMMYFUNCTION("GOOGLETRANSLATE(K83, ""th"", ""en"")"),"The past lane competitions were intended to train fighting skills.")</f>
        <v>The past lane competitions were intended to train fighting skills.</v>
      </c>
      <c r="G83" s="6">
        <v>82.0</v>
      </c>
      <c r="H83" s="7" t="s">
        <v>2007</v>
      </c>
      <c r="I83" s="7" t="s">
        <v>2008</v>
      </c>
      <c r="J83" s="7" t="s">
        <v>2009</v>
      </c>
      <c r="K83" s="7" t="s">
        <v>2010</v>
      </c>
    </row>
    <row r="84" ht="14.25" customHeight="1">
      <c r="A84" s="4">
        <v>83.0</v>
      </c>
      <c r="B84" s="5" t="str">
        <f>IFERROR(__xludf.DUMMYFUNCTION("GOOGLETRANSLATE(H84, ""th"", ""en"")"),"During the Rattanakosin period, to what degree was the practice of lane wow accepted?")</f>
        <v>During the Rattanakosin period, to what degree was the practice of lane wow accepted?</v>
      </c>
      <c r="C84" s="5" t="str">
        <f>IFERROR(__xludf.DUMMYFUNCTION("GOOGLETRANSLATE(I84, ""th"", ""en"")"),"A) in the village; B) in the royal palace; C) in the army; D) in the stadium")</f>
        <v>A) in the village; B) in the royal palace; C) in the army; D) in the stadium</v>
      </c>
      <c r="D84" s="5" t="str">
        <f>IFERROR(__xludf.DUMMYFUNCTION("GOOGLETRANSLATE(J84, ""th"", ""en"")"),"B) In the royal court")</f>
        <v>B) In the royal court</v>
      </c>
      <c r="E84" s="5" t="str">
        <f>IFERROR(__xludf.DUMMYFUNCTION("GOOGLETRANSLATE(K84, ""th"", ""en"")"),"The practice of playing the Wow in the Rattanakosin period was accepted by the royal court.")</f>
        <v>The practice of playing the Wow in the Rattanakosin period was accepted by the royal court.</v>
      </c>
      <c r="G84" s="6">
        <v>83.0</v>
      </c>
      <c r="H84" s="7" t="s">
        <v>2011</v>
      </c>
      <c r="I84" s="7" t="s">
        <v>2012</v>
      </c>
      <c r="J84" s="7" t="s">
        <v>2013</v>
      </c>
      <c r="K84" s="7" t="s">
        <v>2014</v>
      </c>
    </row>
    <row r="85" ht="14.25" customHeight="1">
      <c r="A85" s="4">
        <v>84.0</v>
      </c>
      <c r="B85" s="5" t="str">
        <f>IFERROR(__xludf.DUMMYFUNCTION("GOOGLETRANSLATE(H85, ""th"", ""en"")"),"What skills does practicing lane wow affect?")</f>
        <v>What skills does practicing lane wow affect?</v>
      </c>
      <c r="C85" s="5" t="str">
        <f>IFERROR(__xludf.DUMMYFUNCTION("GOOGLETRANSLATE(I85, ""th"", ""en"")"),"A) Military skills; B) Self-defense skills; C) Weapons skills; D) Movement skills")</f>
        <v>A) Military skills; B) Self-defense skills; C) Weapons skills; D) Movement skills</v>
      </c>
      <c r="D85" s="5" t="str">
        <f>IFERROR(__xludf.DUMMYFUNCTION("GOOGLETRANSLATE(J85, ""th"", ""en"")"),"A) Military skills")</f>
        <v>A) Military skills</v>
      </c>
      <c r="E85" s="5" t="str">
        <f>IFERROR(__xludf.DUMMYFUNCTION("GOOGLETRANSLATE(K85, ""th"", ""en"")"),"Training the lane helps develop the military skills of the trainee.")</f>
        <v>Training the lane helps develop the military skills of the trainee.</v>
      </c>
      <c r="G85" s="6">
        <v>84.0</v>
      </c>
      <c r="H85" s="7" t="s">
        <v>2015</v>
      </c>
      <c r="I85" s="7" t="s">
        <v>2016</v>
      </c>
      <c r="J85" s="7" t="s">
        <v>2017</v>
      </c>
      <c r="K85" s="7" t="s">
        <v>2018</v>
      </c>
    </row>
    <row r="86" ht="14.25" customHeight="1">
      <c r="A86" s="4">
        <v>85.0</v>
      </c>
      <c r="B86" s="5" t="str">
        <f>IFERROR(__xludf.DUMMYFUNCTION("GOOGLETRANSLATE(H86, ""th"", ""en"")"),"What activities were used in the past for the Lane Wow activity?")</f>
        <v>What activities were used in the past for the Lane Wow activity?</v>
      </c>
      <c r="C86" s="5" t="str">
        <f>IFERROR(__xludf.DUMMYFUNCTION("GOOGLETRANSLATE(I86, ""th"", ""en"")"),"A) inter-village competitions; B) military competitions; C) military training and entertainment; D) sports skill training.")</f>
        <v>A) inter-village competitions; B) military competitions; C) military training and entertainment; D) sports skill training.</v>
      </c>
      <c r="D86" s="5" t="str">
        <f>IFERROR(__xludf.DUMMYFUNCTION("GOOGLETRANSLATE(J86, ""th"", ""en"")"),"C) Military training and entertainment")</f>
        <v>C) Military training and entertainment</v>
      </c>
      <c r="E86" s="5" t="str">
        <f>IFERROR(__xludf.DUMMYFUNCTION("GOOGLETRANSLATE(K86, ""th"", ""en"")"),"The lane wow activity is used both for military and entertainment purposes.")</f>
        <v>The lane wow activity is used both for military and entertainment purposes.</v>
      </c>
      <c r="G86" s="6">
        <v>85.0</v>
      </c>
      <c r="H86" s="7" t="s">
        <v>2019</v>
      </c>
      <c r="I86" s="7" t="s">
        <v>2020</v>
      </c>
      <c r="J86" s="7" t="s">
        <v>2021</v>
      </c>
      <c r="K86" s="7" t="s">
        <v>2022</v>
      </c>
    </row>
    <row r="87" ht="14.25" customHeight="1">
      <c r="A87" s="4">
        <v>86.0</v>
      </c>
      <c r="B87" s="5" t="str">
        <f>IFERROR(__xludf.DUMMYFUNCTION("GOOGLETRANSLATE(H87, ""th"", ""en"")"),"How was the battle in the Ayutthaya period trained?")</f>
        <v>How was the battle in the Ayutthaya period trained?</v>
      </c>
      <c r="C87" s="5" t="str">
        <f>IFERROR(__xludf.DUMMYFUNCTION("GOOGLETRANSLATE(I87, ""th"", ""en"")"),"A) Group training; B) Individual training; C) Sports field training; D) Field training")</f>
        <v>A) Group training; B) Individual training; C) Sports field training; D) Field training</v>
      </c>
      <c r="D87" s="5" t="str">
        <f>IFERROR(__xludf.DUMMYFUNCTION("GOOGLETRANSLATE(J87, ""th"", ""en"")"),"B) One-on-one training")</f>
        <v>B) One-on-one training</v>
      </c>
      <c r="E87" s="5" t="str">
        <f>IFERROR(__xludf.DUMMYFUNCTION("GOOGLETRANSLATE(K87, ""th"", ""en"")"),"The training of the Wow Lane in the Ayutthaya period was a one-on-one training to develop personal skills.")</f>
        <v>The training of the Wow Lane in the Ayutthaya period was a one-on-one training to develop personal skills.</v>
      </c>
      <c r="G87" s="6">
        <v>86.0</v>
      </c>
      <c r="H87" s="7" t="s">
        <v>2023</v>
      </c>
      <c r="I87" s="7" t="s">
        <v>2024</v>
      </c>
      <c r="J87" s="7" t="s">
        <v>1946</v>
      </c>
      <c r="K87" s="7" t="s">
        <v>2025</v>
      </c>
    </row>
    <row r="88" ht="14.25" customHeight="1">
      <c r="A88" s="4">
        <v>87.0</v>
      </c>
      <c r="B88" s="5" t="str">
        <f>IFERROR(__xludf.DUMMYFUNCTION("GOOGLETRANSLATE(H88, ""th"", ""en"")"),"What role did lane training play in the reign of King Rama V?")</f>
        <v>What role did lane training play in the reign of King Rama V?</v>
      </c>
      <c r="C88" s="5" t="str">
        <f>IFERROR(__xludf.DUMMYFUNCTION("GOOGLETRANSLATE(I88, ""th"", ""en"")"),"A) It is a recreational activity; B) It is a military training activity; C) It is a martial arts performance; D) It is a sports competition.")</f>
        <v>A) It is a recreational activity; B) It is a military training activity; C) It is a martial arts performance; D) It is a sports competition.</v>
      </c>
      <c r="D88" s="5" t="str">
        <f>IFERROR(__xludf.DUMMYFUNCTION("GOOGLETRANSLATE(J88, ""th"", ""en"")"),"B) It is a military training activity.")</f>
        <v>B) It is a military training activity.</v>
      </c>
      <c r="E88" s="5" t="str">
        <f>IFERROR(__xludf.DUMMYFUNCTION("GOOGLETRANSLATE(K88, ""th"", ""en"")"),"The practice of lane wow during the reign of King Rama V was often used to train soldiers.")</f>
        <v>The practice of lane wow during the reign of King Rama V was often used to train soldiers.</v>
      </c>
      <c r="G88" s="6">
        <v>87.0</v>
      </c>
      <c r="H88" s="7" t="s">
        <v>2026</v>
      </c>
      <c r="I88" s="7" t="s">
        <v>2027</v>
      </c>
      <c r="J88" s="7" t="s">
        <v>2028</v>
      </c>
      <c r="K88" s="7" t="s">
        <v>2029</v>
      </c>
    </row>
    <row r="89" ht="14.25" customHeight="1">
      <c r="A89" s="4">
        <v>88.0</v>
      </c>
      <c r="B89" s="5" t="str">
        <f>IFERROR(__xludf.DUMMYFUNCTION("GOOGLETRANSLATE(H89, ""th"", ""en"")"),"What was the Len Wow activity during the Ayutthaya period?")</f>
        <v>What was the Len Wow activity during the Ayutthaya period?</v>
      </c>
      <c r="C89" s="5" t="str">
        <f>IFERROR(__xludf.DUMMYFUNCTION("GOOGLETRANSLATE(I89, ""th"", ""en"")"),"A) sports competition; B) martial arts performance; C) military training; D) inter-village competition")</f>
        <v>A) sports competition; B) martial arts performance; C) military training; D) inter-village competition</v>
      </c>
      <c r="D89" s="5" t="str">
        <f>IFERROR(__xludf.DUMMYFUNCTION("GOOGLETRANSLATE(J89, ""th"", ""en"")"),"C) Military training")</f>
        <v>C) Military training</v>
      </c>
      <c r="E89" s="5" t="str">
        <f>IFERROR(__xludf.DUMMYFUNCTION("GOOGLETRANSLATE(K89, ""th"", ""en"")"),"In the Ayutthaya period, the lane was an activity used for military training.")</f>
        <v>In the Ayutthaya period, the lane was an activity used for military training.</v>
      </c>
      <c r="G89" s="6">
        <v>88.0</v>
      </c>
      <c r="H89" s="7" t="s">
        <v>2030</v>
      </c>
      <c r="I89" s="7" t="s">
        <v>2031</v>
      </c>
      <c r="J89" s="7" t="s">
        <v>2032</v>
      </c>
      <c r="K89" s="7" t="s">
        <v>2033</v>
      </c>
    </row>
    <row r="90" ht="14.25" customHeight="1">
      <c r="A90" s="4">
        <v>89.0</v>
      </c>
      <c r="B90" s="5" t="str">
        <f>IFERROR(__xludf.DUMMYFUNCTION("GOOGLETRANSLATE(H90, ""th"", ""en"")"),"What was the main purpose of the old-school lane battles?")</f>
        <v>What was the main purpose of the old-school lane battles?</v>
      </c>
      <c r="C90" s="5" t="str">
        <f>IFERROR(__xludf.DUMMYFUNCTION("GOOGLETRANSLATE(I90, ""th"", ""en"")"),"A) for entertainment; B) to practice fighting skills; C) to practice self-defense; D) for education.")</f>
        <v>A) for entertainment; B) to practice fighting skills; C) to practice self-defense; D) for education.</v>
      </c>
      <c r="D90" s="5" t="str">
        <f>IFERROR(__xludf.DUMMYFUNCTION("GOOGLETRANSLATE(J90, ""th"", ""en"")"),"B) To practice fighting skills.")</f>
        <v>B) To practice fighting skills.</v>
      </c>
      <c r="E90" s="5" t="str">
        <f>IFERROR(__xludf.DUMMYFUNCTION("GOOGLETRANSLATE(K90, ""th"", ""en"")"),"The main purpose of the ancient battle lane was to train fighting skills.")</f>
        <v>The main purpose of the ancient battle lane was to train fighting skills.</v>
      </c>
      <c r="G90" s="6">
        <v>89.0</v>
      </c>
      <c r="H90" s="7" t="s">
        <v>2034</v>
      </c>
      <c r="I90" s="7" t="s">
        <v>2035</v>
      </c>
      <c r="J90" s="7" t="s">
        <v>2036</v>
      </c>
      <c r="K90" s="7" t="s">
        <v>2037</v>
      </c>
    </row>
    <row r="91" ht="14.25" customHeight="1">
      <c r="A91" s="4">
        <v>90.0</v>
      </c>
      <c r="B91" s="5" t="str">
        <f>IFERROR(__xludf.DUMMYFUNCTION("GOOGLETRANSLATE(H91, ""th"", ""en"")"),"What format were past lane wow tournaments held?")</f>
        <v>What format were past lane wow tournaments held?</v>
      </c>
      <c r="C91" s="5" t="str">
        <f>IFERROR(__xludf.DUMMYFUNCTION("GOOGLETRANSLATE(I91, ""th"", ""en"")"),"A) Team; B) Individual; C) Inter-village competition; D) Art show")</f>
        <v>A) Team; B) Individual; C) Inter-village competition; D) Art show</v>
      </c>
      <c r="D91" s="5" t="str">
        <f>IFERROR(__xludf.DUMMYFUNCTION("GOOGLETRANSLATE(J91, ""th"", ""en"")"),"A) Team type")</f>
        <v>A) Team type</v>
      </c>
      <c r="E91" s="5" t="str">
        <f>IFERROR(__xludf.DUMMYFUNCTION("GOOGLETRANSLATE(K91, ""th"", ""en"")"),"In the past, lane competitions were often organized as a team to test the players' abilities.")</f>
        <v>In the past, lane competitions were often organized as a team to test the players' abilities.</v>
      </c>
      <c r="G91" s="6">
        <v>90.0</v>
      </c>
      <c r="H91" s="7" t="s">
        <v>2038</v>
      </c>
      <c r="I91" s="7" t="s">
        <v>2039</v>
      </c>
      <c r="J91" s="7" t="s">
        <v>2040</v>
      </c>
      <c r="K91" s="7" t="s">
        <v>2041</v>
      </c>
    </row>
    <row r="92" ht="14.25" customHeight="1">
      <c r="A92" s="4">
        <v>91.0</v>
      </c>
      <c r="B92" s="5" t="str">
        <f>IFERROR(__xludf.DUMMYFUNCTION("GOOGLETRANSLATE(H92, ""th"", ""en"")"),"To what level has lane wow evolved into a competitive sport?")</f>
        <v>To what level has lane wow evolved into a competitive sport?</v>
      </c>
      <c r="C92" s="5" t="str">
        <f>IFERROR(__xludf.DUMMYFUNCTION("GOOGLETRANSLATE(I92, ""th"", ""en"")"),"A) national level; B) local level; C) regional level; D) global level")</f>
        <v>A) national level; B) local level; C) regional level; D) global level</v>
      </c>
      <c r="D92" s="5" t="str">
        <f>IFERROR(__xludf.DUMMYFUNCTION("GOOGLETRANSLATE(J92, ""th"", ""en"")"),"A) National level")</f>
        <v>A) National level</v>
      </c>
      <c r="E92" s="5" t="str">
        <f>IFERROR(__xludf.DUMMYFUNCTION("GOOGLETRANSLATE(K92, ""th"", ""en"")"),"Lane Wow has developed into a nationally competitive sport in recent years.")</f>
        <v>Lane Wow has developed into a nationally competitive sport in recent years.</v>
      </c>
      <c r="G92" s="6">
        <v>91.0</v>
      </c>
      <c r="H92" s="7" t="s">
        <v>2042</v>
      </c>
      <c r="I92" s="7" t="s">
        <v>2043</v>
      </c>
      <c r="J92" s="7" t="s">
        <v>2044</v>
      </c>
      <c r="K92" s="7" t="s">
        <v>2045</v>
      </c>
    </row>
    <row r="93" ht="14.25" customHeight="1">
      <c r="A93" s="4">
        <v>92.0</v>
      </c>
      <c r="B93" s="5" t="str">
        <f>IFERROR(__xludf.DUMMYFUNCTION("GOOGLETRANSLATE(H93, ""th"", ""en"")"),"What methods were used in the past to train players in the Wow Lane?")</f>
        <v>What methods were used in the past to train players in the Wow Lane?</v>
      </c>
      <c r="C93" s="5" t="str">
        <f>IFERROR(__xludf.DUMMYFUNCTION("GOOGLETRANSLATE(I93, ""th"", ""en"")"),"A) Textbook training; B) Simulation training; C) Competitive training; D) Theoretical training")</f>
        <v>A) Textbook training; B) Simulation training; C) Competitive training; D) Theoretical training</v>
      </c>
      <c r="D93" s="5" t="str">
        <f>IFERROR(__xludf.DUMMYFUNCTION("GOOGLETRANSLATE(J93, ""th"", ""en"")"),"B) Training by simulating situations")</f>
        <v>B) Training by simulating situations</v>
      </c>
      <c r="E93" s="5" t="str">
        <f>IFERROR(__xludf.DUMMYFUNCTION("GOOGLETRANSLATE(K93, ""th"", ""en"")"),"In the past, training in Wow lanes often used simulations to allow players to practice in real situations.")</f>
        <v>In the past, training in Wow lanes often used simulations to allow players to practice in real situations.</v>
      </c>
      <c r="G93" s="6">
        <v>92.0</v>
      </c>
      <c r="H93" s="7" t="s">
        <v>2046</v>
      </c>
      <c r="I93" s="7" t="s">
        <v>2047</v>
      </c>
      <c r="J93" s="7" t="s">
        <v>2048</v>
      </c>
      <c r="K93" s="7" t="s">
        <v>2049</v>
      </c>
    </row>
    <row r="94" ht="14.25" customHeight="1">
      <c r="A94" s="4">
        <v>93.0</v>
      </c>
      <c r="B94" s="5" t="str">
        <f>IFERROR(__xludf.DUMMYFUNCTION("GOOGLETRANSLATE(H94, ""th"", ""en"")"),"In the Ayutthaya period, what important role did Len Wow play?")</f>
        <v>In the Ayutthaya period, what important role did Len Wow play?</v>
      </c>
      <c r="C94" s="5" t="str">
        <f>IFERROR(__xludf.DUMMYFUNCTION("GOOGLETRANSLATE(I94, ""th"", ""en"")"),"A) military training; B) martial arts performances; C) martial arts training; D) entertainment")</f>
        <v>A) military training; B) martial arts performances; C) martial arts training; D) entertainment</v>
      </c>
      <c r="D94" s="5" t="str">
        <f>IFERROR(__xludf.DUMMYFUNCTION("GOOGLETRANSLATE(J94, ""th"", ""en"")"),"A) Military training")</f>
        <v>A) Military training</v>
      </c>
      <c r="E94" s="5" t="str">
        <f>IFERROR(__xludf.DUMMYFUNCTION("GOOGLETRANSLATE(K94, ""th"", ""en"")"),"During the Ayutthaya period, Len Wow was used as a military training activity to enhance self-defense skills.")</f>
        <v>During the Ayutthaya period, Len Wow was used as a military training activity to enhance self-defense skills.</v>
      </c>
      <c r="G94" s="6">
        <v>93.0</v>
      </c>
      <c r="H94" s="7" t="s">
        <v>2050</v>
      </c>
      <c r="I94" s="7" t="s">
        <v>2051</v>
      </c>
      <c r="J94" s="7" t="s">
        <v>1493</v>
      </c>
      <c r="K94" s="7" t="s">
        <v>2052</v>
      </c>
    </row>
    <row r="95" ht="14.25" customHeight="1">
      <c r="A95" s="4">
        <v>94.0</v>
      </c>
      <c r="B95" s="5" t="str">
        <f>IFERROR(__xludf.DUMMYFUNCTION("GOOGLETRANSLATE(H95, ""th"", ""en"")"),"In what form was the practice of lane wow promoted during the Rattanakosin period?")</f>
        <v>In what form was the practice of lane wow promoted during the Rattanakosin period?</v>
      </c>
      <c r="C95" s="5" t="str">
        <f>IFERROR(__xludf.DUMMYFUNCTION("GOOGLETRANSLATE(I95, ""th"", ""en"")"),"A) national competition; B) military training in the palace; C) village training; D) stadium competition")</f>
        <v>A) national competition; B) military training in the palace; C) village training; D) stadium competition</v>
      </c>
      <c r="D95" s="5" t="str">
        <f>IFERROR(__xludf.DUMMYFUNCTION("GOOGLETRANSLATE(J95, ""th"", ""en"")"),"B) Military training in the palace")</f>
        <v>B) Military training in the palace</v>
      </c>
      <c r="E95" s="5" t="str">
        <f>IFERROR(__xludf.DUMMYFUNCTION("GOOGLETRANSLATE(K95, ""th"", ""en"")"),"During the Rattanakosin period, the practice of lan wa was promoted in the palace to strengthen the soldiers.")</f>
        <v>During the Rattanakosin period, the practice of lan wa was promoted in the palace to strengthen the soldiers.</v>
      </c>
      <c r="G95" s="6">
        <v>94.0</v>
      </c>
      <c r="H95" s="7" t="s">
        <v>2053</v>
      </c>
      <c r="I95" s="7" t="s">
        <v>2054</v>
      </c>
      <c r="J95" s="7" t="s">
        <v>2055</v>
      </c>
      <c r="K95" s="7" t="s">
        <v>2056</v>
      </c>
    </row>
    <row r="96" ht="14.25" customHeight="1">
      <c r="A96" s="4">
        <v>95.0</v>
      </c>
      <c r="B96" s="5" t="str">
        <f>IFERROR(__xludf.DUMMYFUNCTION("GOOGLETRANSLATE(H96, ""th"", ""en"")"),"What equipment was used for training in the past?")</f>
        <v>What equipment was used for training in the past?</v>
      </c>
      <c r="C96" s="5" t="str">
        <f>IFERROR(__xludf.DUMMYFUNCTION("GOOGLETRANSLATE(I96, ""th"", ""en"")"),"A) kite; B) gun; C) sword; D) bow")</f>
        <v>A) kite; B) gun; C) sword; D) bow</v>
      </c>
      <c r="D96" s="5" t="str">
        <f>IFERROR(__xludf.DUMMYFUNCTION("GOOGLETRANSLATE(J96, ""th"", ""en"")"),"A) Kite")</f>
        <v>A) Kite</v>
      </c>
      <c r="E96" s="5" t="str">
        <f>IFERROR(__xludf.DUMMYFUNCTION("GOOGLETRANSLATE(K96, ""th"", ""en"")"),"In the past, kite training was mainly used as a tool for skill training.")</f>
        <v>In the past, kite training was mainly used as a tool for skill training.</v>
      </c>
      <c r="G96" s="6">
        <v>95.0</v>
      </c>
      <c r="H96" s="7" t="s">
        <v>2057</v>
      </c>
      <c r="I96" s="7" t="s">
        <v>2058</v>
      </c>
      <c r="J96" s="7" t="s">
        <v>1958</v>
      </c>
      <c r="K96" s="7" t="s">
        <v>2059</v>
      </c>
    </row>
    <row r="97" ht="14.25" customHeight="1">
      <c r="A97" s="4">
        <v>96.0</v>
      </c>
      <c r="B97" s="5" t="str">
        <f>IFERROR(__xludf.DUMMYFUNCTION("GOOGLETRANSLATE(H97, ""th"", ""en"")"),"In the Ayutthaya period, what type of activity was lane fighting considered?")</f>
        <v>In the Ayutthaya period, what type of activity was lane fighting considered?</v>
      </c>
      <c r="C97" s="5" t="str">
        <f>IFERROR(__xludf.DUMMYFUNCTION("GOOGLETRANSLATE(I97, ""th"", ""en"")"),"A) military activities; B) self-defense activities; C) martial arts activities; D) entertainment activities")</f>
        <v>A) military activities; B) self-defense activities; C) martial arts activities; D) entertainment activities</v>
      </c>
      <c r="D97" s="5" t="str">
        <f>IFERROR(__xludf.DUMMYFUNCTION("GOOGLETRANSLATE(J97, ""th"", ""en"")"),"A) Military activities")</f>
        <v>A) Military activities</v>
      </c>
      <c r="E97" s="5" t="str">
        <f>IFERROR(__xludf.DUMMYFUNCTION("GOOGLETRANSLATE(K97, ""th"", ""en"")"),"During the Ayutthaya period, Len Wow was considered a military activity that helped train soldiers in combat.")</f>
        <v>During the Ayutthaya period, Len Wow was considered a military activity that helped train soldiers in combat.</v>
      </c>
      <c r="G97" s="6">
        <v>96.0</v>
      </c>
      <c r="H97" s="7" t="s">
        <v>2060</v>
      </c>
      <c r="I97" s="7" t="s">
        <v>2061</v>
      </c>
      <c r="J97" s="7" t="s">
        <v>2062</v>
      </c>
      <c r="K97" s="7" t="s">
        <v>2063</v>
      </c>
    </row>
    <row r="98" ht="14.25" customHeight="1">
      <c r="A98" s="4">
        <v>97.0</v>
      </c>
      <c r="B98" s="5" t="str">
        <f>IFERROR(__xludf.DUMMYFUNCTION("GOOGLETRANSLATE(H98, ""th"", ""en"")"),"What type of training was the battle in the Ayutthaya period considered?")</f>
        <v>What type of training was the battle in the Ayutthaya period considered?</v>
      </c>
      <c r="C98" s="5" t="str">
        <f>IFERROR(__xludf.DUMMYFUNCTION("GOOGLETRANSLATE(I98, ""th"", ""en"")"),"A) Textbook training; B) One-on-one training; C) Large group training; D) Sports field training")</f>
        <v>A) Textbook training; B) One-on-one training; C) Large group training; D) Sports field training</v>
      </c>
      <c r="D98" s="5" t="str">
        <f>IFERROR(__xludf.DUMMYFUNCTION("GOOGLETRANSLATE(J98, ""th"", ""en"")"),"B) One-on-one training")</f>
        <v>B) One-on-one training</v>
      </c>
      <c r="E98" s="5" t="str">
        <f>IFERROR(__xludf.DUMMYFUNCTION("GOOGLETRANSLATE(K98, ""th"", ""en"")"),"Training in the Ayutthaya period was often one-on-one to develop individual skills.")</f>
        <v>Training in the Ayutthaya period was often one-on-one to develop individual skills.</v>
      </c>
      <c r="G98" s="6">
        <v>97.0</v>
      </c>
      <c r="H98" s="7" t="s">
        <v>2064</v>
      </c>
      <c r="I98" s="7" t="s">
        <v>2065</v>
      </c>
      <c r="J98" s="7" t="s">
        <v>1946</v>
      </c>
      <c r="K98" s="7" t="s">
        <v>2066</v>
      </c>
    </row>
    <row r="99" ht="14.25" customHeight="1">
      <c r="A99" s="4">
        <v>98.0</v>
      </c>
      <c r="B99" s="5" t="str">
        <f>IFERROR(__xludf.DUMMYFUNCTION("GOOGLETRANSLATE(H99, ""th"", ""en"")"),"During the reign of King Rama V, how important was the development of Lane Wow?")</f>
        <v>During the reign of King Rama V, how important was the development of Lane Wow?</v>
      </c>
      <c r="C99" s="5" t="str">
        <f>IFERROR(__xludf.DUMMYFUNCTION("GOOGLETRANSLATE(I99, ""th"", ""en"")"),"A) Promoting military strength; B) Increasing court entertainment; C) Training in self-defense skills; D) Creating military research.")</f>
        <v>A) Promoting military strength; B) Increasing court entertainment; C) Training in self-defense skills; D) Creating military research.</v>
      </c>
      <c r="D99" s="5" t="str">
        <f>IFERROR(__xludf.DUMMYFUNCTION("GOOGLETRANSLATE(J99, ""th"", ""en"")"),"A) Promoting military strength")</f>
        <v>A) Promoting military strength</v>
      </c>
      <c r="E99" s="5" t="str">
        <f>IFERROR(__xludf.DUMMYFUNCTION("GOOGLETRANSLATE(K99, ""th"", ""en"")"),"During the reign of King Rama V, the development of the Wow Lane helped promote military strength and skills.")</f>
        <v>During the reign of King Rama V, the development of the Wow Lane helped promote military strength and skills.</v>
      </c>
      <c r="G99" s="6">
        <v>98.0</v>
      </c>
      <c r="H99" s="7" t="s">
        <v>2067</v>
      </c>
      <c r="I99" s="7" t="s">
        <v>2068</v>
      </c>
      <c r="J99" s="7" t="s">
        <v>2069</v>
      </c>
      <c r="K99" s="7" t="s">
        <v>2070</v>
      </c>
    </row>
    <row r="100" ht="14.25" customHeight="1">
      <c r="A100" s="4">
        <v>99.0</v>
      </c>
      <c r="B100" s="5" t="str">
        <f>IFERROR(__xludf.DUMMYFUNCTION("GOOGLETRANSLATE(H100, ""th"", ""en"")"),"What were the former Lane Wow trained for?")</f>
        <v>What were the former Lane Wow trained for?</v>
      </c>
      <c r="C100" s="5" t="str">
        <f>IFERROR(__xludf.DUMMYFUNCTION("GOOGLETRANSLATE(I100, ""th"", ""en"")"),"A) national defense; B) sporting events; C) martial arts performances; D) entertainment")</f>
        <v>A) national defense; B) sporting events; C) martial arts performances; D) entertainment</v>
      </c>
      <c r="D100" s="5" t="str">
        <f>IFERROR(__xludf.DUMMYFUNCTION("GOOGLETRANSLATE(J100, ""th"", ""en"")"),"A) National defense")</f>
        <v>A) National defense</v>
      </c>
      <c r="E100" s="5" t="str">
        <f>IFERROR(__xludf.DUMMYFUNCTION("GOOGLETRANSLATE(K100, ""th"", ""en"")"),"The Wow Lane was once used to train national defense skills.")</f>
        <v>The Wow Lane was once used to train national defense skills.</v>
      </c>
      <c r="G100" s="6">
        <v>99.0</v>
      </c>
      <c r="H100" s="7" t="s">
        <v>2071</v>
      </c>
      <c r="I100" s="7" t="s">
        <v>2072</v>
      </c>
      <c r="J100" s="7" t="s">
        <v>2073</v>
      </c>
      <c r="K100" s="7" t="s">
        <v>2074</v>
      </c>
    </row>
    <row r="101" ht="14.25" customHeight="1">
      <c r="A101" s="4">
        <v>100.0</v>
      </c>
      <c r="B101" s="5" t="str">
        <f>IFERROR(__xludf.DUMMYFUNCTION("GOOGLETRANSLATE(H101, ""th"", ""en"")"),"What skills did the training of the Wow lane during the Ayutthaya period focus on?")</f>
        <v>What skills did the training of the Wow lane during the Ayutthaya period focus on?</v>
      </c>
      <c r="C101" s="5" t="str">
        <f>IFERROR(__xludf.DUMMYFUNCTION("GOOGLETRANSLATE(I101, ""th"", ""en"")"),"A) Combat skills; B) Self-defense skills; C) Movement skills; D) Gun skills")</f>
        <v>A) Combat skills; B) Self-defense skills; C) Movement skills; D) Gun skills</v>
      </c>
      <c r="D101" s="5" t="str">
        <f>IFERROR(__xludf.DUMMYFUNCTION("GOOGLETRANSLATE(J101, ""th"", ""en"")"),"A) Combat skills")</f>
        <v>A) Combat skills</v>
      </c>
      <c r="E101" s="5" t="str">
        <f>IFERROR(__xludf.DUMMYFUNCTION("GOOGLETRANSLATE(K101, ""th"", ""en"")"),"The training of the Wow lane in the Ayutthaya period focused on training soldiers in combat skills.")</f>
        <v>The training of the Wow lane in the Ayutthaya period focused on training soldiers in combat skills.</v>
      </c>
      <c r="G101" s="6">
        <v>100.0</v>
      </c>
      <c r="H101" s="7" t="s">
        <v>2075</v>
      </c>
      <c r="I101" s="7" t="s">
        <v>2076</v>
      </c>
      <c r="J101" s="7" t="s">
        <v>2077</v>
      </c>
      <c r="K101" s="7" t="s">
        <v>2078</v>
      </c>
    </row>
    <row r="102" ht="14.25" customHeight="1">
      <c r="A102" s="4">
        <v>101.0</v>
      </c>
      <c r="B102" s="5" t="str">
        <f>IFERROR(__xludf.DUMMYFUNCTION("GOOGLETRANSLATE(H102, ""th"", ""en"")"),"What were the most important activities in the past when training in Wow Lane?")</f>
        <v>What were the most important activities in the past when training in Wow Lane?</v>
      </c>
      <c r="C102" s="5" t="str">
        <f>IFERROR(__xludf.DUMMYFUNCTION("GOOGLETRANSLATE(I102, ""th"", ""en"")"),"A) a competition between soldiers; B) military training in the palace; C) a martial arts performance; D) a competition in a stadium.")</f>
        <v>A) a competition between soldiers; B) military training in the palace; C) a martial arts performance; D) a competition in a stadium.</v>
      </c>
      <c r="D102" s="5" t="str">
        <f>IFERROR(__xludf.DUMMYFUNCTION("GOOGLETRANSLATE(J102, ""th"", ""en"")"),"B) Military training in the palace")</f>
        <v>B) Military training in the palace</v>
      </c>
      <c r="E102" s="5" t="str">
        <f>IFERROR(__xludf.DUMMYFUNCTION("GOOGLETRANSLATE(K102, ""th"", ""en"")"),"Military training activities in the palace were the most important activities in ancient times.")</f>
        <v>Military training activities in the palace were the most important activities in ancient times.</v>
      </c>
      <c r="G102" s="6">
        <v>101.0</v>
      </c>
      <c r="H102" s="7" t="s">
        <v>2079</v>
      </c>
      <c r="I102" s="7" t="s">
        <v>2080</v>
      </c>
      <c r="J102" s="7" t="s">
        <v>2055</v>
      </c>
      <c r="K102" s="7" t="s">
        <v>2081</v>
      </c>
    </row>
    <row r="103" ht="14.25" customHeight="1">
      <c r="A103" s="4">
        <v>102.0</v>
      </c>
      <c r="B103" s="5" t="str">
        <f>IFERROR(__xludf.DUMMYFUNCTION("GOOGLETRANSLATE(H103, ""th"", ""en"")"),"Who sponsored Lane Wow as a sport in the past?")</f>
        <v>Who sponsored Lane Wow as a sport in the past?</v>
      </c>
      <c r="C103" s="5" t="str">
        <f>IFERROR(__xludf.DUMMYFUNCTION("GOOGLETRANSLATE(I103, ""th"", ""en"")"),"A) king; B) nobles; C) soldiers; D) commoners")</f>
        <v>A) king; B) nobles; C) soldiers; D) commoners</v>
      </c>
      <c r="D103" s="5" t="str">
        <f>IFERROR(__xludf.DUMMYFUNCTION("GOOGLETRANSLATE(J103, ""th"", ""en"")"),"A) The King")</f>
        <v>A) The King</v>
      </c>
      <c r="E103" s="5" t="str">
        <f>IFERROR(__xludf.DUMMYFUNCTION("GOOGLETRANSLATE(K103, ""th"", ""en"")"),"In ancient times, Lenwa was supported by the king to develop military skills.")</f>
        <v>In ancient times, Lenwa was supported by the king to develop military skills.</v>
      </c>
      <c r="G103" s="6">
        <v>102.0</v>
      </c>
      <c r="H103" s="7" t="s">
        <v>2082</v>
      </c>
      <c r="I103" s="7" t="s">
        <v>2083</v>
      </c>
      <c r="J103" s="7" t="s">
        <v>2084</v>
      </c>
      <c r="K103" s="7" t="s">
        <v>2085</v>
      </c>
    </row>
    <row r="104" ht="14.25" customHeight="1">
      <c r="A104" s="4">
        <v>103.0</v>
      </c>
      <c r="B104" s="5" t="str">
        <f>IFERROR(__xludf.DUMMYFUNCTION("GOOGLETRANSLATE(H104, ""th"", ""en"")"),"Where was the practice of lane wow in the past usually done?")</f>
        <v>Where was the practice of lane wow in the past usually done?</v>
      </c>
      <c r="C104" s="5" t="str">
        <f>IFERROR(__xludf.DUMMYFUNCTION("GOOGLETRANSLATE(I104, ""th"", ""en"")"),"A) in the stadium; B) in the palace; C) in the village; D) in the fields")</f>
        <v>A) in the stadium; B) in the palace; C) in the village; D) in the fields</v>
      </c>
      <c r="D104" s="5" t="str">
        <f>IFERROR(__xludf.DUMMYFUNCTION("GOOGLETRANSLATE(J104, ""th"", ""en"")"),"B) In the palace")</f>
        <v>B) In the palace</v>
      </c>
      <c r="E104" s="5" t="str">
        <f>IFERROR(__xludf.DUMMYFUNCTION("GOOGLETRANSLATE(K104, ""th"", ""en"")"),"In the past, the training of the Wow lane was often done in the palace to allow soldiers to train in a controlled environment.")</f>
        <v>In the past, the training of the Wow lane was often done in the palace to allow soldiers to train in a controlled environment.</v>
      </c>
      <c r="G104" s="6">
        <v>103.0</v>
      </c>
      <c r="H104" s="7" t="s">
        <v>2086</v>
      </c>
      <c r="I104" s="7" t="s">
        <v>2087</v>
      </c>
      <c r="J104" s="7" t="s">
        <v>2088</v>
      </c>
      <c r="K104" s="7" t="s">
        <v>2089</v>
      </c>
    </row>
    <row r="105" ht="14.25" customHeight="1">
      <c r="A105" s="4">
        <v>104.0</v>
      </c>
      <c r="B105" s="5" t="str">
        <f>IFERROR(__xludf.DUMMYFUNCTION("GOOGLETRANSLATE(H105, ""th"", ""en"")"),"When did lane wow develop into a national sport?")</f>
        <v>When did lane wow develop into a national sport?</v>
      </c>
      <c r="C105" s="5" t="str">
        <f>IFERROR(__xludf.DUMMYFUNCTION("GOOGLETRANSLATE(I105, ""th"", ""en"")"),"A) During the Rattanakosin period; B) During the Ayutthaya period; C) During the reign of King Rama V; D) During World War II")</f>
        <v>A) During the Rattanakosin period; B) During the Ayutthaya period; C) During the reign of King Rama V; D) During World War II</v>
      </c>
      <c r="D105" s="5" t="str">
        <f>IFERROR(__xludf.DUMMYFUNCTION("GOOGLETRANSLATE(J105, ""th"", ""en"")"),"A) In the Rattanakosin period")</f>
        <v>A) In the Rattanakosin period</v>
      </c>
      <c r="E105" s="5" t="str">
        <f>IFERROR(__xludf.DUMMYFUNCTION("GOOGLETRANSLATE(K105, ""th"", ""en"")"),"Lane Wow was developed into a national sport during the Rattanakosin period.")</f>
        <v>Lane Wow was developed into a national sport during the Rattanakosin period.</v>
      </c>
      <c r="G105" s="6">
        <v>104.0</v>
      </c>
      <c r="H105" s="7" t="s">
        <v>2090</v>
      </c>
      <c r="I105" s="7" t="s">
        <v>2091</v>
      </c>
      <c r="J105" s="7" t="s">
        <v>2092</v>
      </c>
      <c r="K105" s="7" t="s">
        <v>2093</v>
      </c>
    </row>
    <row r="106" ht="14.25" customHeight="1">
      <c r="A106" s="4">
        <v>105.0</v>
      </c>
      <c r="B106" s="5" t="str">
        <f>IFERROR(__xludf.DUMMYFUNCTION("GOOGLETRANSLATE(H106, ""th"", ""en"")"),"What kind of training was there in the Rattanakosin period?")</f>
        <v>What kind of training was there in the Rattanakosin period?</v>
      </c>
      <c r="C106" s="5" t="str">
        <f>IFERROR(__xludf.DUMMYFUNCTION("GOOGLETRANSLATE(I106, ""th"", ""en"")"),"A) One-on-one training; B) Group training; C) Stadium training; D) Competition training")</f>
        <v>A) One-on-one training; B) Group training; C) Stadium training; D) Competition training</v>
      </c>
      <c r="D106" s="5" t="str">
        <f>IFERROR(__xludf.DUMMYFUNCTION("GOOGLETRANSLATE(J106, ""th"", ""en"")"),"A) One-on-one training")</f>
        <v>A) One-on-one training</v>
      </c>
      <c r="E106" s="5" t="str">
        <f>IFERROR(__xludf.DUMMYFUNCTION("GOOGLETRANSLATE(K106, ""th"", ""en"")"),"During the Rattanakosin period, training in the Wow lane was usually done one-on-one.")</f>
        <v>During the Rattanakosin period, training in the Wow lane was usually done one-on-one.</v>
      </c>
      <c r="G106" s="6">
        <v>105.0</v>
      </c>
      <c r="H106" s="7" t="s">
        <v>2094</v>
      </c>
      <c r="I106" s="7" t="s">
        <v>2095</v>
      </c>
      <c r="J106" s="7" t="s">
        <v>2096</v>
      </c>
      <c r="K106" s="7" t="s">
        <v>2097</v>
      </c>
    </row>
    <row r="107" ht="14.25" customHeight="1">
      <c r="A107" s="4">
        <v>106.0</v>
      </c>
      <c r="B107" s="5" t="str">
        <f>IFERROR(__xludf.DUMMYFUNCTION("GOOGLETRANSLATE(H107, ""th"", ""en"")"),"How important was the Len Wow activity during the Ayutthaya period?")</f>
        <v>How important was the Len Wow activity during the Ayutthaya period?</v>
      </c>
      <c r="C107" s="5" t="str">
        <f>IFERROR(__xludf.DUMMYFUNCTION("GOOGLETRANSLATE(I107, ""th"", ""en"")"),"A) It is a military exercise; B) It is a martial arts performance; C) It is a court activity; D) It is an entertainment activity.")</f>
        <v>A) It is a military exercise; B) It is a martial arts performance; C) It is a court activity; D) It is an entertainment activity.</v>
      </c>
      <c r="D107" s="5" t="str">
        <f>IFERROR(__xludf.DUMMYFUNCTION("GOOGLETRANSLATE(J107, ""th"", ""en"")"),"A) It is military training.")</f>
        <v>A) It is military training.</v>
      </c>
      <c r="E107" s="5" t="str">
        <f>IFERROR(__xludf.DUMMYFUNCTION("GOOGLETRANSLATE(K107, ""th"", ""en"")"),"During the Ayutthaya period, the lane was used as a military training activity.")</f>
        <v>During the Ayutthaya period, the lane was used as a military training activity.</v>
      </c>
      <c r="G107" s="6">
        <v>106.0</v>
      </c>
      <c r="H107" s="7" t="s">
        <v>2098</v>
      </c>
      <c r="I107" s="7" t="s">
        <v>2099</v>
      </c>
      <c r="J107" s="7" t="s">
        <v>2100</v>
      </c>
      <c r="K107" s="7" t="s">
        <v>2101</v>
      </c>
    </row>
    <row r="108" ht="14.25" customHeight="1">
      <c r="A108" s="4">
        <v>107.0</v>
      </c>
      <c r="B108" s="5" t="str">
        <f>IFERROR(__xludf.DUMMYFUNCTION("GOOGLETRANSLATE(H108, ""th"", ""en"")"),"What activities were the lanes used for during the Ayutthaya period?")</f>
        <v>What activities were the lanes used for during the Ayutthaya period?</v>
      </c>
      <c r="C108" s="5" t="str">
        <f>IFERROR(__xludf.DUMMYFUNCTION("GOOGLETRANSLATE(I108, ""th"", ""en"")"),"A) military training; B) martial arts performances; C) court entertainment; D) athletic skill training")</f>
        <v>A) military training; B) martial arts performances; C) court entertainment; D) athletic skill training</v>
      </c>
      <c r="D108" s="5" t="str">
        <f>IFERROR(__xludf.DUMMYFUNCTION("GOOGLETRANSLATE(J108, ""th"", ""en"")"),"A) Military training")</f>
        <v>A) Military training</v>
      </c>
      <c r="E108" s="5" t="str">
        <f>IFERROR(__xludf.DUMMYFUNCTION("GOOGLETRANSLATE(K108, ""th"", ""en"")"),"In the Ayutthaya period, the lane was an activity used for military training.")</f>
        <v>In the Ayutthaya period, the lane was an activity used for military training.</v>
      </c>
      <c r="G108" s="6">
        <v>107.0</v>
      </c>
      <c r="H108" s="7" t="s">
        <v>2102</v>
      </c>
      <c r="I108" s="7" t="s">
        <v>2103</v>
      </c>
      <c r="J108" s="7" t="s">
        <v>1493</v>
      </c>
      <c r="K108" s="7" t="s">
        <v>2033</v>
      </c>
    </row>
    <row r="109" ht="14.25" customHeight="1">
      <c r="A109" s="4">
        <v>108.0</v>
      </c>
      <c r="B109" s="5" t="str">
        <f>IFERROR(__xludf.DUMMYFUNCTION("GOOGLETRANSLATE(H109, ""th"", ""en"")"),"During the Ayutthaya period, how important was lane fighting an activity?")</f>
        <v>During the Ayutthaya period, how important was lane fighting an activity?</v>
      </c>
      <c r="C109" s="5" t="str">
        <f>IFERROR(__xludf.DUMMYFUNCTION("GOOGLETRANSLATE(I109, ""th"", ""en"")"),"A) military training; B) self-defense training; C) martial arts performance; D) competition between soldiers")</f>
        <v>A) military training; B) self-defense training; C) martial arts performance; D) competition between soldiers</v>
      </c>
      <c r="D109" s="5" t="str">
        <f>IFERROR(__xludf.DUMMYFUNCTION("GOOGLETRANSLATE(J109, ""th"", ""en"")"),"A) Military training")</f>
        <v>A) Military training</v>
      </c>
      <c r="E109" s="5" t="str">
        <f>IFERROR(__xludf.DUMMYFUNCTION("GOOGLETRANSLATE(K109, ""th"", ""en"")"),"During the Ayutthaya period, fighting in the lane was considered an activity used for military training.")</f>
        <v>During the Ayutthaya period, fighting in the lane was considered an activity used for military training.</v>
      </c>
      <c r="G109" s="6">
        <v>108.0</v>
      </c>
      <c r="H109" s="7" t="s">
        <v>2104</v>
      </c>
      <c r="I109" s="7" t="s">
        <v>2105</v>
      </c>
      <c r="J109" s="7" t="s">
        <v>1493</v>
      </c>
      <c r="K109" s="7" t="s">
        <v>2106</v>
      </c>
    </row>
    <row r="110" ht="14.25" customHeight="1">
      <c r="A110" s="4">
        <v>109.0</v>
      </c>
      <c r="B110" s="5" t="str">
        <f>IFERROR(__xludf.DUMMYFUNCTION("GOOGLETRANSLATE(H110, ""th"", ""en"")"),"What kind of training was there in the Ayutthaya period?")</f>
        <v>What kind of training was there in the Ayutthaya period?</v>
      </c>
      <c r="C110" s="5" t="str">
        <f>IFERROR(__xludf.DUMMYFUNCTION("GOOGLETRANSLATE(I110, ""th"", ""en"")"),"A) fighting; B) self-defense; C) strategy; D) military training")</f>
        <v>A) fighting; B) self-defense; C) strategy; D) military training</v>
      </c>
      <c r="D110" s="5" t="str">
        <f>IFERROR(__xludf.DUMMYFUNCTION("GOOGLETRANSLATE(J110, ""th"", ""en"")"),"D) Military training")</f>
        <v>D) Military training</v>
      </c>
      <c r="E110" s="5" t="str">
        <f>IFERROR(__xludf.DUMMYFUNCTION("GOOGLETRANSLATE(K110, ""th"", ""en"")"),"In the Ayutthaya period, there was military training to increase combat skills.")</f>
        <v>In the Ayutthaya period, there was military training to increase combat skills.</v>
      </c>
      <c r="G110" s="6">
        <v>109.0</v>
      </c>
      <c r="H110" s="7" t="s">
        <v>2107</v>
      </c>
      <c r="I110" s="7" t="s">
        <v>2108</v>
      </c>
      <c r="J110" s="7" t="s">
        <v>2109</v>
      </c>
      <c r="K110" s="7" t="s">
        <v>2110</v>
      </c>
    </row>
    <row r="111" ht="14.25" customHeight="1">
      <c r="A111" s="4">
        <v>110.0</v>
      </c>
      <c r="B111" s="5" t="str">
        <f>IFERROR(__xludf.DUMMYFUNCTION("GOOGLETRANSLATE(H111, ""th"", ""en"")"),"In the Rattanakosin period, what was Len Wow used for?")</f>
        <v>In the Rattanakosin period, what was Len Wow used for?</v>
      </c>
      <c r="C111" s="5" t="str">
        <f>IFERROR(__xludf.DUMMYFUNCTION("GOOGLETRANSLATE(I111, ""th"", ""en"")"),"A) national defense; B) court entertainment; C) military training; D) sports competitions")</f>
        <v>A) national defense; B) court entertainment; C) military training; D) sports competitions</v>
      </c>
      <c r="D111" s="5" t="str">
        <f>IFERROR(__xludf.DUMMYFUNCTION("GOOGLETRANSLATE(J111, ""th"", ""en"")"),"C) Military training")</f>
        <v>C) Military training</v>
      </c>
      <c r="E111" s="5" t="str">
        <f>IFERROR(__xludf.DUMMYFUNCTION("GOOGLETRANSLATE(K111, ""th"", ""en"")"),"During the Rattanakosin period, the lane was used to train soldiers to develop their combat abilities.")</f>
        <v>During the Rattanakosin period, the lane was used to train soldiers to develop their combat abilities.</v>
      </c>
      <c r="G111" s="6">
        <v>110.0</v>
      </c>
      <c r="H111" s="7" t="s">
        <v>2111</v>
      </c>
      <c r="I111" s="7" t="s">
        <v>2112</v>
      </c>
      <c r="J111" s="7" t="s">
        <v>2032</v>
      </c>
      <c r="K111" s="7" t="s">
        <v>2113</v>
      </c>
    </row>
    <row r="112" ht="14.25" customHeight="1">
      <c r="A112" s="4">
        <v>111.0</v>
      </c>
      <c r="B112" s="5" t="str">
        <f>IFERROR(__xludf.DUMMYFUNCTION("GOOGLETRANSLATE(H112, ""th"", ""en"")"),"In the Rattanakosin period, what aspects did Lane Wow develop?")</f>
        <v>In the Rattanakosin period, what aspects did Lane Wow develop?</v>
      </c>
      <c r="C112" s="5" t="str">
        <f>IFERROR(__xludf.DUMMYFUNCTION("GOOGLETRANSLATE(I112, ""th"", ""en"")"),"A) military; B) sports; C) martial arts; D) entertainment")</f>
        <v>A) military; B) sports; C) martial arts; D) entertainment</v>
      </c>
      <c r="D112" s="5" t="str">
        <f>IFERROR(__xludf.DUMMYFUNCTION("GOOGLETRANSLATE(J112, ""th"", ""en"")"),"A) Military")</f>
        <v>A) Military</v>
      </c>
      <c r="E112" s="5" t="str">
        <f>IFERROR(__xludf.DUMMYFUNCTION("GOOGLETRANSLATE(K112, ""th"", ""en"")"),"During the Rattanakosin period, Lenwao was developed in the military field to train skills in national defense.")</f>
        <v>During the Rattanakosin period, Lenwao was developed in the military field to train skills in national defense.</v>
      </c>
      <c r="G112" s="6">
        <v>111.0</v>
      </c>
      <c r="H112" s="7" t="s">
        <v>2114</v>
      </c>
      <c r="I112" s="7" t="s">
        <v>2115</v>
      </c>
      <c r="J112" s="7" t="s">
        <v>2116</v>
      </c>
      <c r="K112" s="7" t="s">
        <v>2117</v>
      </c>
    </row>
    <row r="113" ht="14.25" customHeight="1">
      <c r="A113" s="4">
        <v>112.0</v>
      </c>
      <c r="B113" s="5" t="str">
        <f>IFERROR(__xludf.DUMMYFUNCTION("GOOGLETRANSLATE(H113, ""th"", ""en"")"),"In which country did Lane Wow begin to gain popularity?")</f>
        <v>In which country did Lane Wow begin to gain popularity?</v>
      </c>
      <c r="C113" s="5" t="str">
        <f>IFERROR(__xludf.DUMMYFUNCTION("GOOGLETRANSLATE(I113, ""th"", ""en"")"),"A) Thailand; B) Cambodia; C) Malaysia; D) Indonesia")</f>
        <v>A) Thailand; B) Cambodia; C) Malaysia; D) Indonesia</v>
      </c>
      <c r="D113" s="5" t="str">
        <f>IFERROR(__xludf.DUMMYFUNCTION("GOOGLETRANSLATE(J113, ""th"", ""en"")"),"A) Thai")</f>
        <v>A) Thai</v>
      </c>
      <c r="E113" s="5" t="str">
        <f>IFERROR(__xludf.DUMMYFUNCTION("GOOGLETRANSLATE(K113, ""th"", ""en"")"),"Lenwao began to gain popularity in Thailand during the Ayutthaya and Rattanakosin periods.")</f>
        <v>Lenwao began to gain popularity in Thailand during the Ayutthaya and Rattanakosin periods.</v>
      </c>
      <c r="G113" s="6">
        <v>112.0</v>
      </c>
      <c r="H113" s="7" t="s">
        <v>2118</v>
      </c>
      <c r="I113" s="7" t="s">
        <v>2119</v>
      </c>
      <c r="J113" s="7" t="s">
        <v>1705</v>
      </c>
      <c r="K113" s="7" t="s">
        <v>2120</v>
      </c>
    </row>
    <row r="114" ht="14.25" customHeight="1">
      <c r="A114" s="4">
        <v>113.0</v>
      </c>
      <c r="B114" s="5" t="str">
        <f>IFERROR(__xludf.DUMMYFUNCTION("GOOGLETRANSLATE(H114, ""th"", ""en"")"),"What kind of activity was the lane battle in the past organized as?")</f>
        <v>What kind of activity was the lane battle in the past organized as?</v>
      </c>
      <c r="C114" s="5" t="str">
        <f>IFERROR(__xludf.DUMMYFUNCTION("GOOGLETRANSLATE(I114, ""th"", ""en"")"),"A) military training activities; B) sports activities; C) entertainment activities; D) religious activities")</f>
        <v>A) military training activities; B) sports activities; C) entertainment activities; D) religious activities</v>
      </c>
      <c r="D114" s="5" t="str">
        <f>IFERROR(__xludf.DUMMYFUNCTION("GOOGLETRANSLATE(J114, ""th"", ""en"")"),"A) Military training activities")</f>
        <v>A) Military training activities</v>
      </c>
      <c r="E114" s="5" t="str">
        <f>IFERROR(__xludf.DUMMYFUNCTION("GOOGLETRANSLATE(K114, ""th"", ""en"")"),"In the past, lane fighting was considered a military training activity that helped develop self-defense skills.")</f>
        <v>In the past, lane fighting was considered a military training activity that helped develop self-defense skills.</v>
      </c>
      <c r="G114" s="6">
        <v>113.0</v>
      </c>
      <c r="H114" s="7" t="s">
        <v>2121</v>
      </c>
      <c r="I114" s="7" t="s">
        <v>2122</v>
      </c>
      <c r="J114" s="7" t="s">
        <v>2123</v>
      </c>
      <c r="K114" s="7" t="s">
        <v>2124</v>
      </c>
    </row>
    <row r="115" ht="14.25" customHeight="1">
      <c r="A115" s="4">
        <v>114.0</v>
      </c>
      <c r="B115" s="5" t="str">
        <f>IFERROR(__xludf.DUMMYFUNCTION("GOOGLETRANSLATE(H115, ""th"", ""en"")"),"What skills were used in the past to train the Lane Wow?")</f>
        <v>What skills were used in the past to train the Lane Wow?</v>
      </c>
      <c r="C115" s="5" t="str">
        <f>IFERROR(__xludf.DUMMYFUNCTION("GOOGLETRANSLATE(I115, ""th"", ""en"")"),"A) fighting skills; B) archery skills; C) traveling skills; D) kite flying skills")</f>
        <v>A) fighting skills; B) archery skills; C) traveling skills; D) kite flying skills</v>
      </c>
      <c r="D115" s="5" t="str">
        <f>IFERROR(__xludf.DUMMYFUNCTION("GOOGLETRANSLATE(J115, ""th"", ""en"")"),"A) Fighting skills")</f>
        <v>A) Fighting skills</v>
      </c>
      <c r="E115" s="5" t="str">
        <f>IFERROR(__xludf.DUMMYFUNCTION("GOOGLETRANSLATE(K115, ""th"", ""en"")"),"The ancient practice of lane wow helped develop the soldiers' fighting skills.")</f>
        <v>The ancient practice of lane wow helped develop the soldiers' fighting skills.</v>
      </c>
      <c r="G115" s="6">
        <v>114.0</v>
      </c>
      <c r="H115" s="7" t="s">
        <v>2125</v>
      </c>
      <c r="I115" s="7" t="s">
        <v>2126</v>
      </c>
      <c r="J115" s="7" t="s">
        <v>2127</v>
      </c>
      <c r="K115" s="7" t="s">
        <v>2128</v>
      </c>
    </row>
    <row r="116" ht="14.25" customHeight="1">
      <c r="A116" s="4">
        <v>115.0</v>
      </c>
      <c r="B116" s="5" t="str">
        <f>IFERROR(__xludf.DUMMYFUNCTION("GOOGLETRANSLATE(H116, ""th"", ""en"")"),"During the Ayutthaya period, what type of sport was lane wow considered?")</f>
        <v>During the Ayutthaya period, what type of sport was lane wow considered?</v>
      </c>
      <c r="C116" s="5" t="str">
        <f>IFERROR(__xludf.DUMMYFUNCTION("GOOGLETRANSLATE(I116, ""th"", ""en"")"),"A) competitive sports; B) sports for self-defense; C) sports for entertainment; D) sports for military training")</f>
        <v>A) competitive sports; B) sports for self-defense; C) sports for entertainment; D) sports for military training</v>
      </c>
      <c r="D116" s="5" t="str">
        <f>IFERROR(__xludf.DUMMYFUNCTION("GOOGLETRANSLATE(J116, ""th"", ""en"")"),"B) Sports for self-defense")</f>
        <v>B) Sports for self-defense</v>
      </c>
      <c r="E116" s="5" t="str">
        <f>IFERROR(__xludf.DUMMYFUNCTION("GOOGLETRANSLATE(K116, ""th"", ""en"")"),"In the Ayutthaya period, the lane was used for training soldiers to improve their self-defense skills.")</f>
        <v>In the Ayutthaya period, the lane was used for training soldiers to improve their self-defense skills.</v>
      </c>
      <c r="G116" s="6">
        <v>115.0</v>
      </c>
      <c r="H116" s="7" t="s">
        <v>2129</v>
      </c>
      <c r="I116" s="7" t="s">
        <v>2130</v>
      </c>
      <c r="J116" s="7" t="s">
        <v>2131</v>
      </c>
      <c r="K116" s="7" t="s">
        <v>2132</v>
      </c>
    </row>
    <row r="117" ht="14.25" customHeight="1">
      <c r="A117" s="4">
        <v>116.0</v>
      </c>
      <c r="B117" s="5" t="str">
        <f>IFERROR(__xludf.DUMMYFUNCTION("GOOGLETRANSLATE(H117, ""th"", ""en"")"),"When was lane wow recognized as a national sport?")</f>
        <v>When was lane wow recognized as a national sport?</v>
      </c>
      <c r="C117" s="5" t="str">
        <f>IFERROR(__xludf.DUMMYFUNCTION("GOOGLETRANSLATE(I117, ""th"", ""en"")"),"A) Ayutthaya period; B) Rattanakosin period; C) King Rama V period; D) King Rama IX period")</f>
        <v>A) Ayutthaya period; B) Rattanakosin period; C) King Rama V period; D) King Rama IX period</v>
      </c>
      <c r="D117" s="5" t="str">
        <f>IFERROR(__xludf.DUMMYFUNCTION("GOOGLETRANSLATE(J117, ""th"", ""en"")"),"B) Rattanakosin period")</f>
        <v>B) Rattanakosin period</v>
      </c>
      <c r="E117" s="5" t="str">
        <f>IFERROR(__xludf.DUMMYFUNCTION("GOOGLETRANSLATE(K117, ""th"", ""en"")"),"Lane Wow was recognized as a national sport during the Rattanakosin period.")</f>
        <v>Lane Wow was recognized as a national sport during the Rattanakosin period.</v>
      </c>
      <c r="G117" s="6">
        <v>116.0</v>
      </c>
      <c r="H117" s="7" t="s">
        <v>2133</v>
      </c>
      <c r="I117" s="7" t="s">
        <v>2134</v>
      </c>
      <c r="J117" s="7" t="s">
        <v>146</v>
      </c>
      <c r="K117" s="7" t="s">
        <v>2135</v>
      </c>
    </row>
    <row r="118" ht="14.25" customHeight="1">
      <c r="A118" s="4">
        <v>117.0</v>
      </c>
      <c r="B118" s="5" t="str">
        <f>IFERROR(__xludf.DUMMYFUNCTION("GOOGLETRANSLATE(H118, ""th"", ""en"")"),"What role did Lane Wow play in the Ayutthaya period?")</f>
        <v>What role did Lane Wow play in the Ayutthaya period?</v>
      </c>
      <c r="C118" s="5" t="str">
        <f>IFERROR(__xludf.DUMMYFUNCTION("GOOGLETRANSLATE(I118, ""th"", ""en"")"),"A) military training; B) court entertainment; C) sports competitions; D) martial arts training")</f>
        <v>A) military training; B) court entertainment; C) sports competitions; D) martial arts training</v>
      </c>
      <c r="D118" s="5" t="str">
        <f>IFERROR(__xludf.DUMMYFUNCTION("GOOGLETRANSLATE(J118, ""th"", ""en"")"),"A) Military training")</f>
        <v>A) Military training</v>
      </c>
      <c r="E118" s="5" t="str">
        <f>IFERROR(__xludf.DUMMYFUNCTION("GOOGLETRANSLATE(K118, ""th"", ""en"")"),"Lenwao in the Ayutthaya period played an important role in military training.")</f>
        <v>Lenwao in the Ayutthaya period played an important role in military training.</v>
      </c>
      <c r="G118" s="6">
        <v>117.0</v>
      </c>
      <c r="H118" s="7" t="s">
        <v>2136</v>
      </c>
      <c r="I118" s="7" t="s">
        <v>2137</v>
      </c>
      <c r="J118" s="7" t="s">
        <v>1493</v>
      </c>
      <c r="K118" s="7" t="s">
        <v>2138</v>
      </c>
    </row>
    <row r="119" ht="14.25" customHeight="1">
      <c r="A119" s="4">
        <v>118.0</v>
      </c>
      <c r="B119" s="5" t="str">
        <f>IFERROR(__xludf.DUMMYFUNCTION("GOOGLETRANSLATE(H119, ""th"", ""en"")"),"During the Ayutthaya period, what was the purpose of training the Wow lane?")</f>
        <v>During the Ayutthaya period, what was the purpose of training the Wow lane?</v>
      </c>
      <c r="C119" s="5" t="str">
        <f>IFERROR(__xludf.DUMMYFUNCTION("GOOGLETRANSLATE(I119, ""th"", ""en"")"),"A) national defense; B) development of martial arts; C) training in self-defense on the battlefield; D) training in various forms of combat.")</f>
        <v>A) national defense; B) development of martial arts; C) training in self-defense on the battlefield; D) training in various forms of combat.</v>
      </c>
      <c r="D119" s="5" t="str">
        <f>IFERROR(__xludf.DUMMYFUNCTION("GOOGLETRANSLATE(J119, ""th"", ""en"")"),"A) National defense")</f>
        <v>A) National defense</v>
      </c>
      <c r="E119" s="5" t="str">
        <f>IFERROR(__xludf.DUMMYFUNCTION("GOOGLETRANSLATE(K119, ""th"", ""en"")"),"The training of the Wow Lane in the Ayutthaya period focused on training for national defense.")</f>
        <v>The training of the Wow Lane in the Ayutthaya period focused on training for national defense.</v>
      </c>
      <c r="G119" s="6">
        <v>118.0</v>
      </c>
      <c r="H119" s="7" t="s">
        <v>2139</v>
      </c>
      <c r="I119" s="7" t="s">
        <v>2140</v>
      </c>
      <c r="J119" s="7" t="s">
        <v>2073</v>
      </c>
      <c r="K119" s="7" t="s">
        <v>2141</v>
      </c>
    </row>
    <row r="120" ht="14.25" customHeight="1">
      <c r="A120" s="4">
        <v>119.0</v>
      </c>
      <c r="B120" s="5" t="str">
        <f>IFERROR(__xludf.DUMMYFUNCTION("GOOGLETRANSLATE(H120, ""th"", ""en"")"),"Where were the training sessions held during the Ayutthaya period?")</f>
        <v>Where were the training sessions held during the Ayutthaya period?</v>
      </c>
      <c r="C120" s="5" t="str">
        <f>IFERROR(__xludf.DUMMYFUNCTION("GOOGLETRANSLATE(I120, ""th"", ""en"")"),"A) in the palace; B) in the military field; C) in the temple; D) in the village")</f>
        <v>A) in the palace; B) in the military field; C) in the temple; D) in the village</v>
      </c>
      <c r="D120" s="5" t="str">
        <f>IFERROR(__xludf.DUMMYFUNCTION("GOOGLETRANSLATE(J120, ""th"", ""en"")"),"A) In the palace")</f>
        <v>A) In the palace</v>
      </c>
      <c r="E120" s="5" t="str">
        <f>IFERROR(__xludf.DUMMYFUNCTION("GOOGLETRANSLATE(K120, ""th"", ""en"")"),"The practice of playing the Wow in the Ayutthaya period took place within the palace.")</f>
        <v>The practice of playing the Wow in the Ayutthaya period took place within the palace.</v>
      </c>
      <c r="G120" s="6">
        <v>119.0</v>
      </c>
      <c r="H120" s="7" t="s">
        <v>2142</v>
      </c>
      <c r="I120" s="7" t="s">
        <v>2143</v>
      </c>
      <c r="J120" s="7" t="s">
        <v>2144</v>
      </c>
      <c r="K120" s="7" t="s">
        <v>2145</v>
      </c>
    </row>
    <row r="121" ht="14.25" customHeight="1">
      <c r="A121" s="4">
        <v>120.0</v>
      </c>
      <c r="B121" s="5" t="str">
        <f>IFERROR(__xludf.DUMMYFUNCTION("GOOGLETRANSLATE(H121, ""th"", ""en"")"),"What activities were the lanes used for during the Ayutthaya period?")</f>
        <v>What activities were the lanes used for during the Ayutthaya period?</v>
      </c>
      <c r="C121" s="5" t="str">
        <f>IFERROR(__xludf.DUMMYFUNCTION("GOOGLETRANSLATE(I121, ""th"", ""en"")"),"A) military training activities; B) court entertainment activities; C) sports competition activities; D) martial arts activities")</f>
        <v>A) military training activities; B) court entertainment activities; C) sports competition activities; D) martial arts activities</v>
      </c>
      <c r="D121" s="5" t="str">
        <f>IFERROR(__xludf.DUMMYFUNCTION("GOOGLETRANSLATE(J121, ""th"", ""en"")"),"A) Military training activities")</f>
        <v>A) Military training activities</v>
      </c>
      <c r="E121" s="5" t="str">
        <f>IFERROR(__xludf.DUMMYFUNCTION("GOOGLETRANSLATE(K121, ""th"", ""en"")"),"In the Ayutthaya period, the lane was used as a military training activity.")</f>
        <v>In the Ayutthaya period, the lane was used as a military training activity.</v>
      </c>
      <c r="G121" s="6">
        <v>120.0</v>
      </c>
      <c r="H121" s="7" t="s">
        <v>2146</v>
      </c>
      <c r="I121" s="7" t="s">
        <v>2147</v>
      </c>
      <c r="J121" s="7" t="s">
        <v>2148</v>
      </c>
      <c r="K121" s="7" t="s">
        <v>2149</v>
      </c>
    </row>
    <row r="122" ht="14.25" customHeight="1">
      <c r="A122" s="4">
        <v>121.0</v>
      </c>
      <c r="B122" s="5" t="str">
        <f>IFERROR(__xludf.DUMMYFUNCTION("GOOGLETRANSLATE(H122, ""th"", ""en"")"),"What was the focus of the training of the Wow lane in the Rattanakosin period?")</f>
        <v>What was the focus of the training of the Wow lane in the Rattanakosin period?</v>
      </c>
      <c r="C122" s="5" t="str">
        <f>IFERROR(__xludf.DUMMYFUNCTION("GOOGLETRANSLATE(I122, ""th"", ""en"")"),"A) national defense; B) military training; C) sports competitions; D) development of martial arts.")</f>
        <v>A) national defense; B) military training; C) sports competitions; D) development of martial arts.</v>
      </c>
      <c r="D122" s="5" t="str">
        <f>IFERROR(__xludf.DUMMYFUNCTION("GOOGLETRANSLATE(J122, ""th"", ""en"")"),"B) Military skills training")</f>
        <v>B) Military skills training</v>
      </c>
      <c r="E122" s="5" t="str">
        <f>IFERROR(__xludf.DUMMYFUNCTION("GOOGLETRANSLATE(K122, ""th"", ""en"")"),"The training of the Wow lane in the Rattanakosin period focused on training military skills.")</f>
        <v>The training of the Wow lane in the Rattanakosin period focused on training military skills.</v>
      </c>
      <c r="G122" s="6">
        <v>121.0</v>
      </c>
      <c r="H122" s="7" t="s">
        <v>2150</v>
      </c>
      <c r="I122" s="7" t="s">
        <v>2151</v>
      </c>
      <c r="J122" s="7" t="s">
        <v>2152</v>
      </c>
      <c r="K122" s="7" t="s">
        <v>2153</v>
      </c>
    </row>
    <row r="123" ht="14.25" customHeight="1">
      <c r="A123" s="4">
        <v>122.0</v>
      </c>
      <c r="B123" s="5" t="str">
        <f>IFERROR(__xludf.DUMMYFUNCTION("GOOGLETRANSLATE(H123, ""th"", ""en"")"),"What form was the practice of lane wow used in the Rattanakosin period?")</f>
        <v>What form was the practice of lane wow used in the Rattanakosin period?</v>
      </c>
      <c r="C123" s="5" t="str">
        <f>IFERROR(__xludf.DUMMYFUNCTION("GOOGLETRANSLATE(I123, ""th"", ""en"")"),"A) Training in the military field; B) Training in the palace; C) Training in the village; D) Training by simulation.")</f>
        <v>A) Training in the military field; B) Training in the palace; C) Training in the village; D) Training by simulation.</v>
      </c>
      <c r="D123" s="5" t="str">
        <f>IFERROR(__xludf.DUMMYFUNCTION("GOOGLETRANSLATE(J123, ""th"", ""en"")"),"B) Training in the palace")</f>
        <v>B) Training in the palace</v>
      </c>
      <c r="E123" s="5" t="str">
        <f>IFERROR(__xludf.DUMMYFUNCTION("GOOGLETRANSLATE(K123, ""th"", ""en"")"),"During the Rattanakosin period, the practice of playing the Wow often took place in the palace.")</f>
        <v>During the Rattanakosin period, the practice of playing the Wow often took place in the palace.</v>
      </c>
      <c r="G123" s="6">
        <v>122.0</v>
      </c>
      <c r="H123" s="7" t="s">
        <v>2154</v>
      </c>
      <c r="I123" s="7" t="s">
        <v>2155</v>
      </c>
      <c r="J123" s="7" t="s">
        <v>1972</v>
      </c>
      <c r="K123" s="7" t="s">
        <v>2156</v>
      </c>
    </row>
    <row r="124" ht="14.25" customHeight="1">
      <c r="A124" s="4">
        <v>123.0</v>
      </c>
      <c r="B124" s="5" t="str">
        <f>IFERROR(__xludf.DUMMYFUNCTION("GOOGLETRANSLATE(H124, ""th"", ""en"")"),"Who supported Len Wow during the Ayutthaya period?")</f>
        <v>Who supported Len Wow during the Ayutthaya period?</v>
      </c>
      <c r="C124" s="5" t="str">
        <f>IFERROR(__xludf.DUMMYFUNCTION("GOOGLETRANSLATE(I124, ""th"", ""en"")"),"A) king; B) nobles; C) soldiers; D) commoners")</f>
        <v>A) king; B) nobles; C) soldiers; D) commoners</v>
      </c>
      <c r="D124" s="5" t="str">
        <f>IFERROR(__xludf.DUMMYFUNCTION("GOOGLETRANSLATE(J124, ""th"", ""en"")"),"A) The King")</f>
        <v>A) The King</v>
      </c>
      <c r="E124" s="5" t="str">
        <f>IFERROR(__xludf.DUMMYFUNCTION("GOOGLETRANSLATE(K124, ""th"", ""en"")"),"During the Ayutthaya period, Lenwao was supported by the king for use in military training.")</f>
        <v>During the Ayutthaya period, Lenwao was supported by the king for use in military training.</v>
      </c>
      <c r="G124" s="6">
        <v>123.0</v>
      </c>
      <c r="H124" s="7" t="s">
        <v>2157</v>
      </c>
      <c r="I124" s="7" t="s">
        <v>2083</v>
      </c>
      <c r="J124" s="7" t="s">
        <v>2084</v>
      </c>
      <c r="K124" s="7" t="s">
        <v>2158</v>
      </c>
    </row>
    <row r="125" ht="14.25" customHeight="1">
      <c r="A125" s="4">
        <v>124.0</v>
      </c>
      <c r="B125" s="5" t="str">
        <f>IFERROR(__xludf.DUMMYFUNCTION("GOOGLETRANSLATE(H125, ""th"", ""en"")"),"During the Ayutthaya period, what activity was the lane used for the most?")</f>
        <v>During the Ayutthaya period, what activity was the lane used for the most?</v>
      </c>
      <c r="C125" s="5" t="str">
        <f>IFERROR(__xludf.DUMMYFUNCTION("GOOGLETRANSLATE(I125, ""th"", ""en"")"),"A) military training; B) athletic competitions; C) court entertainment; D) martial arts training")</f>
        <v>A) military training; B) athletic competitions; C) court entertainment; D) martial arts training</v>
      </c>
      <c r="D125" s="5" t="str">
        <f>IFERROR(__xludf.DUMMYFUNCTION("GOOGLETRANSLATE(J125, ""th"", ""en"")"),"A) Military training")</f>
        <v>A) Military training</v>
      </c>
      <c r="E125" s="5" t="str">
        <f>IFERROR(__xludf.DUMMYFUNCTION("GOOGLETRANSLATE(K125, ""th"", ""en"")"),"During the Ayutthaya period, Lenwao was most commonly used for military training.")</f>
        <v>During the Ayutthaya period, Lenwao was most commonly used for military training.</v>
      </c>
      <c r="G125" s="6">
        <v>124.0</v>
      </c>
      <c r="H125" s="7" t="s">
        <v>2159</v>
      </c>
      <c r="I125" s="7" t="s">
        <v>2160</v>
      </c>
      <c r="J125" s="7" t="s">
        <v>1493</v>
      </c>
      <c r="K125" s="7" t="s">
        <v>2161</v>
      </c>
    </row>
    <row r="126" ht="14.25" customHeight="1">
      <c r="A126" s="4">
        <v>125.0</v>
      </c>
      <c r="B126" s="5" t="str">
        <f>IFERROR(__xludf.DUMMYFUNCTION("GOOGLETRANSLATE(H126, ""th"", ""en"")"),"During the Rattanakosin period, was Len Wow accepted by the king?")</f>
        <v>During the Rattanakosin period, was Len Wow accepted by the king?</v>
      </c>
      <c r="C126" s="5" t="str">
        <f>IFERROR(__xludf.DUMMYFUNCTION("GOOGLETRANSLATE(I126, ""th"", ""en"")"),"A) accepted; B) not accepted; C) supported by the military; D) supported by the nobility")</f>
        <v>A) accepted; B) not accepted; C) supported by the military; D) supported by the nobility</v>
      </c>
      <c r="D126" s="5" t="str">
        <f>IFERROR(__xludf.DUMMYFUNCTION("GOOGLETRANSLATE(J126, ""th"", ""en"")"),"A) Accepted")</f>
        <v>A) Accepted</v>
      </c>
      <c r="E126" s="5" t="str">
        <f>IFERROR(__xludf.DUMMYFUNCTION("GOOGLETRANSLATE(K126, ""th"", ""en"")"),"During the Rattanakosin period, Lenwao was accepted by the king.")</f>
        <v>During the Rattanakosin period, Lenwao was accepted by the king.</v>
      </c>
      <c r="G126" s="6">
        <v>125.0</v>
      </c>
      <c r="H126" s="7" t="s">
        <v>2162</v>
      </c>
      <c r="I126" s="7" t="s">
        <v>2163</v>
      </c>
      <c r="J126" s="7" t="s">
        <v>2164</v>
      </c>
      <c r="K126" s="7" t="s">
        <v>2165</v>
      </c>
    </row>
    <row r="127" ht="14.25" customHeight="1">
      <c r="A127" s="4">
        <v>126.0</v>
      </c>
      <c r="B127" s="5" t="str">
        <f>IFERROR(__xludf.DUMMYFUNCTION("GOOGLETRANSLATE(H127, ""th"", ""en"")"),"What kind of training was the Lane Wow in the Ayutthaya period part of?")</f>
        <v>What kind of training was the Lane Wow in the Ayutthaya period part of?</v>
      </c>
      <c r="C127" s="5" t="str">
        <f>IFERROR(__xludf.DUMMYFUNCTION("GOOGLETRANSLATE(I127, ""th"", ""en"")"),"A) military training; B) intellectual training; C) discipline training; D) self-defense training")</f>
        <v>A) military training; B) intellectual training; C) discipline training; D) self-defense training</v>
      </c>
      <c r="D127" s="5" t="str">
        <f>IFERROR(__xludf.DUMMYFUNCTION("GOOGLETRANSLATE(J127, ""th"", ""en"")"),"A) Military training")</f>
        <v>A) Military training</v>
      </c>
      <c r="E127" s="5" t="str">
        <f>IFERROR(__xludf.DUMMYFUNCTION("GOOGLETRANSLATE(K127, ""th"", ""en"")"),"The lane in the Ayutthaya period was part of military training.")</f>
        <v>The lane in the Ayutthaya period was part of military training.</v>
      </c>
      <c r="G127" s="6">
        <v>126.0</v>
      </c>
      <c r="H127" s="7" t="s">
        <v>2166</v>
      </c>
      <c r="I127" s="7" t="s">
        <v>2167</v>
      </c>
      <c r="J127" s="7" t="s">
        <v>1493</v>
      </c>
      <c r="K127" s="7" t="s">
        <v>2168</v>
      </c>
    </row>
    <row r="128" ht="14.25" customHeight="1">
      <c r="A128" s="4">
        <v>127.0</v>
      </c>
      <c r="B128" s="5" t="str">
        <f>IFERROR(__xludf.DUMMYFUNCTION("GOOGLETRANSLATE(H128, ""th"", ""en"")"),"What are the benefits of practicing the past lane?")</f>
        <v>What are the benefits of practicing the past lane?</v>
      </c>
      <c r="C128" s="5" t="str">
        <f>IFERROR(__xludf.DUMMYFUNCTION("GOOGLETRANSLATE(I128, ""th"", ""en"")"),"A) Helps improve self-defense skills; B) Helps train fighting abilities; C) Helps develop martial arts; D) Helps increase strength.")</f>
        <v>A) Helps improve self-defense skills; B) Helps train fighting abilities; C) Helps develop martial arts; D) Helps increase strength.</v>
      </c>
      <c r="D128" s="5" t="str">
        <f>IFERROR(__xludf.DUMMYFUNCTION("GOOGLETRANSLATE(J128, ""th"", ""en"")"),"B) Help train combat abilities.")</f>
        <v>B) Help train combat abilities.</v>
      </c>
      <c r="E128" s="5" t="str">
        <f>IFERROR(__xludf.DUMMYFUNCTION("GOOGLETRANSLATE(K128, ""th"", ""en"")"),"Training in the Wow Lane helps improve the soldiers' combat abilities.")</f>
        <v>Training in the Wow Lane helps improve the soldiers' combat abilities.</v>
      </c>
      <c r="G128" s="6">
        <v>127.0</v>
      </c>
      <c r="H128" s="7" t="s">
        <v>2169</v>
      </c>
      <c r="I128" s="7" t="s">
        <v>2170</v>
      </c>
      <c r="J128" s="7" t="s">
        <v>2171</v>
      </c>
      <c r="K128" s="7" t="s">
        <v>2172</v>
      </c>
    </row>
    <row r="129" ht="14.25" customHeight="1">
      <c r="A129" s="4">
        <v>128.0</v>
      </c>
      <c r="B129" s="5" t="str">
        <f>IFERROR(__xludf.DUMMYFUNCTION("GOOGLETRANSLATE(H129, ""th"", ""en"")"),"What kind of training was the Lane Wow used for in the Rattanakosin period?")</f>
        <v>What kind of training was the Lane Wow used for in the Rattanakosin period?</v>
      </c>
      <c r="C129" s="5" t="str">
        <f>IFERROR(__xludf.DUMMYFUNCTION("GOOGLETRANSLATE(I129, ""th"", ""en"")"),"A) self-defense; B) development of martial arts; C) training soldiers in war; D) training in the palace.")</f>
        <v>A) self-defense; B) development of martial arts; C) training soldiers in war; D) training in the palace.</v>
      </c>
      <c r="D129" s="5" t="str">
        <f>IFERROR(__xludf.DUMMYFUNCTION("GOOGLETRANSLATE(J129, ""th"", ""en"")"),"C) Training soldiers in war")</f>
        <v>C) Training soldiers in war</v>
      </c>
      <c r="E129" s="5" t="str">
        <f>IFERROR(__xludf.DUMMYFUNCTION("GOOGLETRANSLATE(K129, ""th"", ""en"")"),"The lanes in the Rattanakosin period were used to train soldiers in war.")</f>
        <v>The lanes in the Rattanakosin period were used to train soldiers in war.</v>
      </c>
      <c r="G129" s="6">
        <v>128.0</v>
      </c>
      <c r="H129" s="7" t="s">
        <v>2173</v>
      </c>
      <c r="I129" s="7" t="s">
        <v>2174</v>
      </c>
      <c r="J129" s="7" t="s">
        <v>2175</v>
      </c>
      <c r="K129" s="7" t="s">
        <v>2176</v>
      </c>
    </row>
    <row r="130" ht="14.25" customHeight="1">
      <c r="A130" s="4">
        <v>129.0</v>
      </c>
      <c r="B130" s="5" t="str">
        <f>IFERROR(__xludf.DUMMYFUNCTION("GOOGLETRANSLATE(H130, ""th"", ""en"")"),"What was the purpose of the lane during the Ayutthaya period for training soldiers?")</f>
        <v>What was the purpose of the lane during the Ayutthaya period for training soldiers?</v>
      </c>
      <c r="C130" s="5" t="str">
        <f>IFERROR(__xludf.DUMMYFUNCTION("GOOGLETRANSLATE(I130, ""th"", ""en"")"),"A) Development of martial arts; B) Strengthening of soldiers; C) Training in archery skills; D) Training in self-defense skills.")</f>
        <v>A) Development of martial arts; B) Strengthening of soldiers; C) Training in archery skills; D) Training in self-defense skills.</v>
      </c>
      <c r="D130" s="5" t="str">
        <f>IFERROR(__xludf.DUMMYFUNCTION("GOOGLETRANSLATE(J130, ""th"", ""en"")"),"B) Strengthening the military")</f>
        <v>B) Strengthening the military</v>
      </c>
      <c r="E130" s="5" t="str">
        <f>IFERROR(__xludf.DUMMYFUNCTION("GOOGLETRANSLATE(K130, ""th"", ""en"")"),"The training of the Wow lane during the Ayutthaya period focused on strengthening the soldiers.")</f>
        <v>The training of the Wow lane during the Ayutthaya period focused on strengthening the soldiers.</v>
      </c>
      <c r="G130" s="6">
        <v>129.0</v>
      </c>
      <c r="H130" s="7" t="s">
        <v>2177</v>
      </c>
      <c r="I130" s="7" t="s">
        <v>2178</v>
      </c>
      <c r="J130" s="7" t="s">
        <v>2179</v>
      </c>
      <c r="K130" s="7" t="s">
        <v>2180</v>
      </c>
    </row>
    <row r="131" ht="14.25" customHeight="1">
      <c r="A131" s="4">
        <v>130.0</v>
      </c>
      <c r="B131" s="5" t="str">
        <f>IFERROR(__xludf.DUMMYFUNCTION("GOOGLETRANSLATE(H131, ""th"", ""en"")"),"What skills did the training in the Rattanakosin period help soldiers develop?")</f>
        <v>What skills did the training in the Rattanakosin period help soldiers develop?</v>
      </c>
      <c r="C131" s="5" t="str">
        <f>IFERROR(__xludf.DUMMYFUNCTION("GOOGLETRANSLATE(I131, ""th"", ""en"")"),"A) Shooting training; B) Fighting skills training; C) Muay Thai skills training; D) Travel skills training")</f>
        <v>A) Shooting training; B) Fighting skills training; C) Muay Thai skills training; D) Travel skills training</v>
      </c>
      <c r="D131" s="5" t="str">
        <f>IFERROR(__xludf.DUMMYFUNCTION("GOOGLETRANSLATE(J131, ""th"", ""en"")"),"B) Combat skills training")</f>
        <v>B) Combat skills training</v>
      </c>
      <c r="E131" s="5" t="str">
        <f>IFERROR(__xludf.DUMMYFUNCTION("GOOGLETRANSLATE(K131, ""th"", ""en"")"),"Training in the Rattanakosin period helped soldiers practice their fighting skills.")</f>
        <v>Training in the Rattanakosin period helped soldiers practice their fighting skills.</v>
      </c>
      <c r="G131" s="6">
        <v>130.0</v>
      </c>
      <c r="H131" s="7" t="s">
        <v>2181</v>
      </c>
      <c r="I131" s="7" t="s">
        <v>2182</v>
      </c>
      <c r="J131" s="7" t="s">
        <v>2183</v>
      </c>
      <c r="K131" s="7" t="s">
        <v>2184</v>
      </c>
    </row>
    <row r="132" ht="14.25" customHeight="1">
      <c r="A132" s="4">
        <v>131.0</v>
      </c>
      <c r="B132" s="5" t="str">
        <f>IFERROR(__xludf.DUMMYFUNCTION("GOOGLETRANSLATE(H132, ""th"", ""en"")"),"In the Rattanakosin period, what type of activity was practicing lane wow considered?")</f>
        <v>In the Rattanakosin period, what type of activity was practicing lane wow considered?</v>
      </c>
      <c r="C132" s="5" t="str">
        <f>IFERROR(__xludf.DUMMYFUNCTION("GOOGLETRANSLATE(I132, ""th"", ""en"")"),"A) Military training activities; B) Martial arts activities; C) Self-defense activities; D) Sports competition activities")</f>
        <v>A) Military training activities; B) Martial arts activities; C) Self-defense activities; D) Sports competition activities</v>
      </c>
      <c r="D132" s="5" t="str">
        <f>IFERROR(__xludf.DUMMYFUNCTION("GOOGLETRANSLATE(J132, ""th"", ""en"")"),"A) Military training activities")</f>
        <v>A) Military training activities</v>
      </c>
      <c r="E132" s="5" t="str">
        <f>IFERROR(__xludf.DUMMYFUNCTION("GOOGLETRANSLATE(K132, ""th"", ""en"")"),"During the Rattanakosin period, training in the lane was considered a military training activity.")</f>
        <v>During the Rattanakosin period, training in the lane was considered a military training activity.</v>
      </c>
      <c r="G132" s="6">
        <v>131.0</v>
      </c>
      <c r="H132" s="7" t="s">
        <v>2185</v>
      </c>
      <c r="I132" s="7" t="s">
        <v>2186</v>
      </c>
      <c r="J132" s="7" t="s">
        <v>2148</v>
      </c>
      <c r="K132" s="7" t="s">
        <v>2187</v>
      </c>
    </row>
    <row r="133" ht="14.25" customHeight="1">
      <c r="A133" s="4">
        <v>132.0</v>
      </c>
      <c r="B133" s="5" t="str">
        <f>IFERROR(__xludf.DUMMYFUNCTION("GOOGLETRANSLATE(H133, ""th"", ""en"")"),"How was the Lane Wow developed during the Rattanakosin period?")</f>
        <v>How was the Lane Wow developed during the Rattanakosin period?</v>
      </c>
      <c r="C133" s="5" t="str">
        <f>IFERROR(__xludf.DUMMYFUNCTION("GOOGLETRANSLATE(I133, ""th"", ""en"")"),"A) Martial arts; B) Sports; C) Military training; D) Entertainment")</f>
        <v>A) Martial arts; B) Sports; C) Military training; D) Entertainment</v>
      </c>
      <c r="D133" s="5" t="str">
        <f>IFERROR(__xludf.DUMMYFUNCTION("GOOGLETRANSLATE(J133, ""th"", ""en"")"),"C) Military training")</f>
        <v>C) Military training</v>
      </c>
      <c r="E133" s="5" t="str">
        <f>IFERROR(__xludf.DUMMYFUNCTION("GOOGLETRANSLATE(K133, ""th"", ""en"")"),"During the Rattanakosin period, the lane was developed into a form of military training.")</f>
        <v>During the Rattanakosin period, the lane was developed into a form of military training.</v>
      </c>
      <c r="G133" s="6">
        <v>132.0</v>
      </c>
      <c r="H133" s="7" t="s">
        <v>2188</v>
      </c>
      <c r="I133" s="7" t="s">
        <v>2189</v>
      </c>
      <c r="J133" s="7" t="s">
        <v>2032</v>
      </c>
      <c r="K133" s="7" t="s">
        <v>2190</v>
      </c>
    </row>
    <row r="134" ht="14.25" customHeight="1">
      <c r="A134" s="4">
        <v>133.0</v>
      </c>
      <c r="B134" s="5" t="str">
        <f>IFERROR(__xludf.DUMMYFUNCTION("GOOGLETRANSLATE(H134, ""th"", ""en"")"),"What skills did training in the Ayutthaya period help soldiers develop?")</f>
        <v>What skills did training in the Ayutthaya period help soldiers develop?</v>
      </c>
      <c r="C134" s="5" t="str">
        <f>IFERROR(__xludf.DUMMYFUNCTION("GOOGLETRANSLATE(I134, ""th"", ""en"")"),"A) archery; B) fighting; C) self-defense; D) traveling")</f>
        <v>A) archery; B) fighting; C) self-defense; D) traveling</v>
      </c>
      <c r="D134" s="5" t="str">
        <f>IFERROR(__xludf.DUMMYFUNCTION("GOOGLETRANSLATE(J134, ""th"", ""en"")"),"B) Fighting")</f>
        <v>B) Fighting</v>
      </c>
      <c r="E134" s="5" t="str">
        <f>IFERROR(__xludf.DUMMYFUNCTION("GOOGLETRANSLATE(K134, ""th"", ""en"")"),"Training in the Ayutthaya period helped improve the soldiers' fighting skills.")</f>
        <v>Training in the Ayutthaya period helped improve the soldiers' fighting skills.</v>
      </c>
      <c r="G134" s="6">
        <v>133.0</v>
      </c>
      <c r="H134" s="7" t="s">
        <v>2191</v>
      </c>
      <c r="I134" s="7" t="s">
        <v>2192</v>
      </c>
      <c r="J134" s="7" t="s">
        <v>1869</v>
      </c>
      <c r="K134" s="7" t="s">
        <v>2193</v>
      </c>
    </row>
    <row r="135" ht="14.25" customHeight="1">
      <c r="A135" s="4">
        <v>134.0</v>
      </c>
      <c r="B135" s="5" t="str">
        <f>IFERROR(__xludf.DUMMYFUNCTION("GOOGLETRANSLATE(H135, ""th"", ""en"")"),"During the Ayutthaya period, what activity was Lane Wow most used for?")</f>
        <v>During the Ayutthaya period, what activity was Lane Wow most used for?</v>
      </c>
      <c r="C135" s="5" t="str">
        <f>IFERROR(__xludf.DUMMYFUNCTION("GOOGLETRANSLATE(I135, ""th"", ""en"")"),"A) military training; B) athletic competitions; C) court entertainment; D) martial arts training")</f>
        <v>A) military training; B) athletic competitions; C) court entertainment; D) martial arts training</v>
      </c>
      <c r="D135" s="5" t="str">
        <f>IFERROR(__xludf.DUMMYFUNCTION("GOOGLETRANSLATE(J135, ""th"", ""en"")"),"A) Military training")</f>
        <v>A) Military training</v>
      </c>
      <c r="E135" s="5" t="str">
        <f>IFERROR(__xludf.DUMMYFUNCTION("GOOGLETRANSLATE(K135, ""th"", ""en"")"),"In the Ayutthaya period, the lane was used for military training activities.")</f>
        <v>In the Ayutthaya period, the lane was used for military training activities.</v>
      </c>
      <c r="G135" s="6">
        <v>134.0</v>
      </c>
      <c r="H135" s="7" t="s">
        <v>2194</v>
      </c>
      <c r="I135" s="7" t="s">
        <v>2160</v>
      </c>
      <c r="J135" s="7" t="s">
        <v>1493</v>
      </c>
      <c r="K135" s="7" t="s">
        <v>2195</v>
      </c>
    </row>
    <row r="136" ht="14.25" customHeight="1">
      <c r="A136" s="4">
        <v>135.0</v>
      </c>
      <c r="B136" s="5" t="str">
        <f>IFERROR(__xludf.DUMMYFUNCTION("GOOGLETRANSLATE(H136, ""th"", ""en"")"),"During the Rattanakosin period, what was the benefit of practicing the Wow lane?")</f>
        <v>During the Rattanakosin period, what was the benefit of practicing the Wow lane?</v>
      </c>
      <c r="C136" s="5" t="str">
        <f>IFERROR(__xludf.DUMMYFUNCTION("GOOGLETRANSLATE(I136, ""th"", ""en"")"),"A) Help train fighting skills; B) Help train soldiers in war; C) Help strengthen soldiers; D) Help improve self-defense skills.")</f>
        <v>A) Help train fighting skills; B) Help train soldiers in war; C) Help strengthen soldiers; D) Help improve self-defense skills.</v>
      </c>
      <c r="D136" s="5" t="str">
        <f>IFERROR(__xludf.DUMMYFUNCTION("GOOGLETRANSLATE(J136, ""th"", ""en"")"),"B) Help train soldiers in war.")</f>
        <v>B) Help train soldiers in war.</v>
      </c>
      <c r="E136" s="5" t="str">
        <f>IFERROR(__xludf.DUMMYFUNCTION("GOOGLETRANSLATE(K136, ""th"", ""en"")"),"Training in the Rattanakosin period helped train soldiers in war.")</f>
        <v>Training in the Rattanakosin period helped train soldiers in war.</v>
      </c>
      <c r="G136" s="6">
        <v>135.0</v>
      </c>
      <c r="H136" s="7" t="s">
        <v>2196</v>
      </c>
      <c r="I136" s="7" t="s">
        <v>2197</v>
      </c>
      <c r="J136" s="7" t="s">
        <v>2198</v>
      </c>
      <c r="K136" s="7" t="s">
        <v>2199</v>
      </c>
    </row>
    <row r="137" ht="14.25" customHeight="1">
      <c r="A137" s="4">
        <v>136.0</v>
      </c>
      <c r="B137" s="5" t="str">
        <f>IFERROR(__xludf.DUMMYFUNCTION("GOOGLETRANSLATE(H137, ""th"", ""en"")"),"During the Rattanakosin period, what effect did the training of the Wow lane have on the soldiers?")</f>
        <v>During the Rattanakosin period, what effect did the training of the Wow lane have on the soldiers?</v>
      </c>
      <c r="C137" s="5" t="str">
        <f>IFERROR(__xludf.DUMMYFUNCTION("GOOGLETRANSLATE(I137, ""th"", ""en"")"),"A) Helps increase fighting skills; B) Helps increase strength; C) Helps increase self-defense; D) Helps train soldiers to be ready for battle.")</f>
        <v>A) Helps increase fighting skills; B) Helps increase strength; C) Helps increase self-defense; D) Helps train soldiers to be ready for battle.</v>
      </c>
      <c r="D137" s="5" t="str">
        <f>IFERROR(__xludf.DUMMYFUNCTION("GOOGLETRANSLATE(J137, ""th"", ""en"")"),"D) Help train soldiers to be ready for battle.")</f>
        <v>D) Help train soldiers to be ready for battle.</v>
      </c>
      <c r="E137" s="5" t="str">
        <f>IFERROR(__xludf.DUMMYFUNCTION("GOOGLETRANSLATE(K137, ""th"", ""en"")"),"Training in the Rattanakosin period helped soldiers to be ready for war.")</f>
        <v>Training in the Rattanakosin period helped soldiers to be ready for war.</v>
      </c>
      <c r="G137" s="6">
        <v>136.0</v>
      </c>
      <c r="H137" s="7" t="s">
        <v>2200</v>
      </c>
      <c r="I137" s="7" t="s">
        <v>2201</v>
      </c>
      <c r="J137" s="7" t="s">
        <v>2202</v>
      </c>
      <c r="K137" s="7" t="s">
        <v>2203</v>
      </c>
    </row>
    <row r="138" ht="14.25" customHeight="1">
      <c r="A138" s="4">
        <v>137.0</v>
      </c>
      <c r="B138" s="5" t="str">
        <f>IFERROR(__xludf.DUMMYFUNCTION("GOOGLETRANSLATE(H138, ""th"", ""en"")"),"During the Ayutthaya period, what activities were the lanes mainly used for?")</f>
        <v>During the Ayutthaya period, what activities were the lanes mainly used for?</v>
      </c>
      <c r="C138" s="5" t="str">
        <f>IFERROR(__xludf.DUMMYFUNCTION("GOOGLETRANSLATE(I138, ""th"", ""en"")"),"A) military training; B) athletic competitions; C) court entertainment; D) martial arts training")</f>
        <v>A) military training; B) athletic competitions; C) court entertainment; D) martial arts training</v>
      </c>
      <c r="D138" s="5" t="str">
        <f>IFERROR(__xludf.DUMMYFUNCTION("GOOGLETRANSLATE(J138, ""th"", ""en"")"),"A) Military training")</f>
        <v>A) Military training</v>
      </c>
      <c r="E138" s="5" t="str">
        <f>IFERROR(__xludf.DUMMYFUNCTION("GOOGLETRANSLATE(K138, ""th"", ""en"")"),"During the Ayutthaya period, the lane was primarily used for military training.")</f>
        <v>During the Ayutthaya period, the lane was primarily used for military training.</v>
      </c>
      <c r="G138" s="6">
        <v>137.0</v>
      </c>
      <c r="H138" s="7" t="s">
        <v>2204</v>
      </c>
      <c r="I138" s="7" t="s">
        <v>2160</v>
      </c>
      <c r="J138" s="7" t="s">
        <v>1493</v>
      </c>
      <c r="K138" s="7" t="s">
        <v>2205</v>
      </c>
    </row>
    <row r="139" ht="14.25" customHeight="1">
      <c r="A139" s="4">
        <v>138.0</v>
      </c>
      <c r="B139" s="5" t="str">
        <f>IFERROR(__xludf.DUMMYFUNCTION("GOOGLETRANSLATE(H139, ""th"", ""en"")"),"How long does it take to learn how to practice the Wow lane in the Ayutthaya period?")</f>
        <v>How long does it take to learn how to practice the Wow lane in the Ayutthaya period?</v>
      </c>
      <c r="C139" s="5" t="str">
        <f>IFERROR(__xludf.DUMMYFUNCTION("GOOGLETRANSLATE(I139, ""th"", ""en"")"),"A) less than 1 month; B) about 3 months; C) about 6 months; D) more than 6 months")</f>
        <v>A) less than 1 month; B) about 3 months; C) about 6 months; D) more than 6 months</v>
      </c>
      <c r="D139" s="5" t="str">
        <f>IFERROR(__xludf.DUMMYFUNCTION("GOOGLETRANSLATE(J139, ""th"", ""en"")"),"C) About 6 months")</f>
        <v>C) About 6 months</v>
      </c>
      <c r="E139" s="5" t="str">
        <f>IFERROR(__xludf.DUMMYFUNCTION("GOOGLETRANSLATE(K139, ""th"", ""en"")"),"Training in the Ayutthaya period took about 6 months to learn the skills.")</f>
        <v>Training in the Ayutthaya period took about 6 months to learn the skills.</v>
      </c>
      <c r="G139" s="6">
        <v>138.0</v>
      </c>
      <c r="H139" s="7" t="s">
        <v>2206</v>
      </c>
      <c r="I139" s="7" t="s">
        <v>2207</v>
      </c>
      <c r="J139" s="7" t="s">
        <v>2208</v>
      </c>
      <c r="K139" s="7" t="s">
        <v>2209</v>
      </c>
    </row>
    <row r="140" ht="14.25" customHeight="1">
      <c r="A140" s="4">
        <v>139.0</v>
      </c>
      <c r="B140" s="5" t="str">
        <f>IFERROR(__xludf.DUMMYFUNCTION("GOOGLETRANSLATE(H140, ""th"", ""en"")"),"In what way did Len Wow help train soldiers during the Ayutthaya period?")</f>
        <v>In what way did Len Wow help train soldiers during the Ayutthaya period?</v>
      </c>
      <c r="C140" s="5" t="str">
        <f>IFERROR(__xludf.DUMMYFUNCTION("GOOGLETRANSLATE(I140, ""th"", ""en"")"),"A) Self-defense training; B) Strength training; C) Fighting skills training; D) Gun training")</f>
        <v>A) Self-defense training; B) Strength training; C) Fighting skills training; D) Gun training</v>
      </c>
      <c r="D140" s="5" t="str">
        <f>IFERROR(__xludf.DUMMYFUNCTION("GOOGLETRANSLATE(J140, ""th"", ""en"")"),"C) Combat skills training")</f>
        <v>C) Combat skills training</v>
      </c>
      <c r="E140" s="5" t="str">
        <f>IFERROR(__xludf.DUMMYFUNCTION("GOOGLETRANSLATE(K140, ""th"", ""en"")"),"The lane in the Ayutthaya period was used to train soldiers' fighting skills.")</f>
        <v>The lane in the Ayutthaya period was used to train soldiers' fighting skills.</v>
      </c>
      <c r="G140" s="6">
        <v>139.0</v>
      </c>
      <c r="H140" s="7" t="s">
        <v>2210</v>
      </c>
      <c r="I140" s="7" t="s">
        <v>2211</v>
      </c>
      <c r="J140" s="7" t="s">
        <v>2212</v>
      </c>
      <c r="K140" s="7" t="s">
        <v>2213</v>
      </c>
    </row>
    <row r="141" ht="14.25" customHeight="1">
      <c r="A141" s="4">
        <v>140.0</v>
      </c>
      <c r="B141" s="5" t="str">
        <f>IFERROR(__xludf.DUMMYFUNCTION("GOOGLETRANSLATE(H141, ""th"", ""en"")"),"How does the lane in the Ayutthaya period relate to military training?")</f>
        <v>How does the lane in the Ayutthaya period relate to military training?</v>
      </c>
      <c r="C141" s="5" t="str">
        <f>IFERROR(__xludf.DUMMYFUNCTION("GOOGLETRANSLATE(I141, ""th"", ""en"")"),"A) used to train soldiers on the battlefield; B) used to train soldiers in sports competitions; C) used to train soldiers in the palace; D) used to train soldiers to be strong.")</f>
        <v>A) used to train soldiers on the battlefield; B) used to train soldiers in sports competitions; C) used to train soldiers in the palace; D) used to train soldiers to be strong.</v>
      </c>
      <c r="D141" s="5" t="str">
        <f>IFERROR(__xludf.DUMMYFUNCTION("GOOGLETRANSLATE(J141, ""th"", ""en"")"),"A) Used to train soldiers on the battlefield.")</f>
        <v>A) Used to train soldiers on the battlefield.</v>
      </c>
      <c r="E141" s="5" t="str">
        <f>IFERROR(__xludf.DUMMYFUNCTION("GOOGLETRANSLATE(K141, ""th"", ""en"")"),"The lane in the Ayutthaya period was used for training soldiers on the battlefield.")</f>
        <v>The lane in the Ayutthaya period was used for training soldiers on the battlefield.</v>
      </c>
      <c r="G141" s="6">
        <v>140.0</v>
      </c>
      <c r="H141" s="7" t="s">
        <v>2214</v>
      </c>
      <c r="I141" s="7" t="s">
        <v>2215</v>
      </c>
      <c r="J141" s="7" t="s">
        <v>2216</v>
      </c>
      <c r="K141" s="7" t="s">
        <v>2217</v>
      </c>
    </row>
    <row r="142" ht="14.25" customHeight="1">
      <c r="A142" s="4">
        <v>141.0</v>
      </c>
      <c r="B142" s="5" t="str">
        <f>IFERROR(__xludf.DUMMYFUNCTION("GOOGLETRANSLATE(H142, ""th"", ""en"")"),"What role did Len Wow play in the military during the Rattanakosin period?")</f>
        <v>What role did Len Wow play in the military during the Rattanakosin period?</v>
      </c>
      <c r="C142" s="5" t="str">
        <f>IFERROR(__xludf.DUMMYFUNCTION("GOOGLETRANSLATE(I142, ""th"", ""en"")"),"A) used in combat training; B) used in developing strength; C) used in sports competitions; D) used in training shooting skills.")</f>
        <v>A) used in combat training; B) used in developing strength; C) used in sports competitions; D) used in training shooting skills.</v>
      </c>
      <c r="D142" s="5" t="str">
        <f>IFERROR(__xludf.DUMMYFUNCTION("GOOGLETRANSLATE(J142, ""th"", ""en"")"),"A) Used in combat training.")</f>
        <v>A) Used in combat training.</v>
      </c>
      <c r="E142" s="5" t="str">
        <f>IFERROR(__xludf.DUMMYFUNCTION("GOOGLETRANSLATE(K142, ""th"", ""en"")"),"Lenwao in the Rattanakosin period played a role in training soldiers in combat.")</f>
        <v>Lenwao in the Rattanakosin period played a role in training soldiers in combat.</v>
      </c>
      <c r="G142" s="6">
        <v>141.0</v>
      </c>
      <c r="H142" s="7" t="s">
        <v>2218</v>
      </c>
      <c r="I142" s="7" t="s">
        <v>2219</v>
      </c>
      <c r="J142" s="7" t="s">
        <v>2220</v>
      </c>
      <c r="K142" s="7" t="s">
        <v>2221</v>
      </c>
    </row>
    <row r="143" ht="14.25" customHeight="1">
      <c r="A143" s="4">
        <v>142.0</v>
      </c>
      <c r="B143" s="5" t="str">
        <f>IFERROR(__xludf.DUMMYFUNCTION("GOOGLETRANSLATE(H143, ""th"", ""en"")"),"How did Lane Wow develop during the Rattanakosin period?")</f>
        <v>How did Lane Wow develop during the Rattanakosin period?</v>
      </c>
      <c r="C143" s="5" t="str">
        <f>IFERROR(__xludf.DUMMYFUNCTION("GOOGLETRANSLATE(I143, ""th"", ""en"")"),"A) It is a military sport; B) It is a martial art sport; C) It is a court entertainment sport; D) It is a self-defense training.")</f>
        <v>A) It is a military sport; B) It is a martial art sport; C) It is a court entertainment sport; D) It is a self-defense training.</v>
      </c>
      <c r="D143" s="5" t="str">
        <f>IFERROR(__xludf.DUMMYFUNCTION("GOOGLETRANSLATE(J143, ""th"", ""en"")"),"A) It is a military sport.")</f>
        <v>A) It is a military sport.</v>
      </c>
      <c r="E143" s="5" t="str">
        <f>IFERROR(__xludf.DUMMYFUNCTION("GOOGLETRANSLATE(K143, ""th"", ""en"")"),"In the Rattanakosin period, lane wow was developed into a military sport to train combat skills.")</f>
        <v>In the Rattanakosin period, lane wow was developed into a military sport to train combat skills.</v>
      </c>
      <c r="G143" s="6">
        <v>142.0</v>
      </c>
      <c r="H143" s="7" t="s">
        <v>2222</v>
      </c>
      <c r="I143" s="7" t="s">
        <v>2223</v>
      </c>
      <c r="J143" s="7" t="s">
        <v>2224</v>
      </c>
      <c r="K143" s="7" t="s">
        <v>2225</v>
      </c>
    </row>
    <row r="144" ht="14.25" customHeight="1">
      <c r="A144" s="4">
        <v>143.0</v>
      </c>
      <c r="B144" s="5" t="str">
        <f>IFERROR(__xludf.DUMMYFUNCTION("GOOGLETRANSLATE(H144, ""th"", ""en"")"),"What role did Len Wow play in training soldiers during the Ayutthaya period?")</f>
        <v>What role did Len Wow play in training soldiers during the Ayutthaya period?</v>
      </c>
      <c r="C144" s="5" t="str">
        <f>IFERROR(__xludf.DUMMYFUNCTION("GOOGLETRANSLATE(I144, ""th"", ""en"")"),"A) Train soldiers to have strong fighting skills; B) Train soldiers to have speed in fighting; C) Train soldiers to have gun skills; D) Train soldiers to have agility.")</f>
        <v>A) Train soldiers to have strong fighting skills; B) Train soldiers to have speed in fighting; C) Train soldiers to have gun skills; D) Train soldiers to have agility.</v>
      </c>
      <c r="D144" s="5" t="str">
        <f>IFERROR(__xludf.DUMMYFUNCTION("GOOGLETRANSLATE(J144, ""th"", ""en"")"),"A) Train soldiers to have strong fighting skills.")</f>
        <v>A) Train soldiers to have strong fighting skills.</v>
      </c>
      <c r="E144" s="5" t="str">
        <f>IFERROR(__xludf.DUMMYFUNCTION("GOOGLETRANSLATE(K144, ""th"", ""en"")"),"The Lane Wow in the Ayutthaya period was used to train soldiers to have strong fighting skills.")</f>
        <v>The Lane Wow in the Ayutthaya period was used to train soldiers to have strong fighting skills.</v>
      </c>
      <c r="G144" s="6">
        <v>143.0</v>
      </c>
      <c r="H144" s="7" t="s">
        <v>2226</v>
      </c>
      <c r="I144" s="7" t="s">
        <v>2227</v>
      </c>
      <c r="J144" s="7" t="s">
        <v>2228</v>
      </c>
      <c r="K144" s="7" t="s">
        <v>2229</v>
      </c>
    </row>
    <row r="145" ht="14.25" customHeight="1">
      <c r="A145" s="4">
        <v>144.0</v>
      </c>
      <c r="B145" s="5" t="str">
        <f>IFERROR(__xludf.DUMMYFUNCTION("GOOGLETRANSLATE(H145, ""th"", ""en"")"),"How did training in the Rattanakosin period help train soldiers?")</f>
        <v>How did training in the Rattanakosin period help train soldiers?</v>
      </c>
      <c r="C145" s="5" t="str">
        <f>IFERROR(__xludf.DUMMYFUNCTION("GOOGLETRANSLATE(I145, ""th"", ""en"")"),"A) Battle speed; B) Strength; C) Fighting; D) Self-defense")</f>
        <v>A) Battle speed; B) Strength; C) Fighting; D) Self-defense</v>
      </c>
      <c r="D145" s="5" t="str">
        <f>IFERROR(__xludf.DUMMYFUNCTION("GOOGLETRANSLATE(J145, ""th"", ""en"")"),"C) Fighting")</f>
        <v>C) Fighting</v>
      </c>
      <c r="E145" s="5" t="str">
        <f>IFERROR(__xludf.DUMMYFUNCTION("GOOGLETRANSLATE(K145, ""th"", ""en"")"),"Training in the Rattanakosin period helped soldiers train for combat.")</f>
        <v>Training in the Rattanakosin period helped soldiers train for combat.</v>
      </c>
      <c r="G145" s="6">
        <v>144.0</v>
      </c>
      <c r="H145" s="7" t="s">
        <v>2230</v>
      </c>
      <c r="I145" s="7" t="s">
        <v>2231</v>
      </c>
      <c r="J145" s="7" t="s">
        <v>2232</v>
      </c>
      <c r="K145" s="7" t="s">
        <v>2233</v>
      </c>
    </row>
    <row r="146" ht="14.25" customHeight="1">
      <c r="A146" s="4">
        <v>145.0</v>
      </c>
      <c r="B146" s="5" t="str">
        <f>IFERROR(__xludf.DUMMYFUNCTION("GOOGLETRANSLATE(H146, ""th"", ""en"")"),"During the Rattanakosin period, what type of training was performed in Len Wow?")</f>
        <v>During the Rattanakosin period, what type of training was performed in Len Wow?</v>
      </c>
      <c r="C146" s="5" t="str">
        <f>IFERROR(__xludf.DUMMYFUNCTION("GOOGLETRANSLATE(I146, ""th"", ""en"")"),"A) training in the military field; B) training in the palace; C) training in the village; D) training in a secret place.")</f>
        <v>A) training in the military field; B) training in the palace; C) training in the village; D) training in a secret place.</v>
      </c>
      <c r="D146" s="5" t="str">
        <f>IFERROR(__xludf.DUMMYFUNCTION("GOOGLETRANSLATE(J146, ""th"", ""en"")"),"B) Training in the palace")</f>
        <v>B) Training in the palace</v>
      </c>
      <c r="E146" s="5" t="str">
        <f>IFERROR(__xludf.DUMMYFUNCTION("GOOGLETRANSLATE(K146, ""th"", ""en"")"),"Training in the Rattanakosin period was often done in the palace.")</f>
        <v>Training in the Rattanakosin period was often done in the palace.</v>
      </c>
      <c r="G146" s="6">
        <v>145.0</v>
      </c>
      <c r="H146" s="7" t="s">
        <v>2234</v>
      </c>
      <c r="I146" s="7" t="s">
        <v>2235</v>
      </c>
      <c r="J146" s="7" t="s">
        <v>2236</v>
      </c>
      <c r="K146" s="7" t="s">
        <v>2237</v>
      </c>
    </row>
    <row r="147" ht="14.25" customHeight="1">
      <c r="A147" s="4">
        <v>146.0</v>
      </c>
      <c r="B147" s="5" t="str">
        <f>IFERROR(__xludf.DUMMYFUNCTION("GOOGLETRANSLATE(H147, ""th"", ""en"")"),"How long did the training of the Wow lane take in the Ayutthaya period?")</f>
        <v>How long did the training of the Wow lane take in the Ayutthaya period?</v>
      </c>
      <c r="C147" s="5" t="str">
        <f>IFERROR(__xludf.DUMMYFUNCTION("GOOGLETRANSLATE(I147, ""th"", ""en"")"),"A) 1 month; B) 3 months; C) 6 months; D) 1 year")</f>
        <v>A) 1 month; B) 3 months; C) 6 months; D) 1 year</v>
      </c>
      <c r="D147" s="5" t="str">
        <f>IFERROR(__xludf.DUMMYFUNCTION("GOOGLETRANSLATE(J147, ""th"", ""en"")"),"C) 6 months")</f>
        <v>C) 6 months</v>
      </c>
      <c r="E147" s="5" t="str">
        <f>IFERROR(__xludf.DUMMYFUNCTION("GOOGLETRANSLATE(K147, ""th"", ""en"")"),"Training in the Ayutthaya period took about 6 months.")</f>
        <v>Training in the Ayutthaya period took about 6 months.</v>
      </c>
      <c r="G147" s="6">
        <v>146.0</v>
      </c>
      <c r="H147" s="7" t="s">
        <v>2238</v>
      </c>
      <c r="I147" s="7" t="s">
        <v>1584</v>
      </c>
      <c r="J147" s="7" t="s">
        <v>2239</v>
      </c>
      <c r="K147" s="7" t="s">
        <v>2240</v>
      </c>
    </row>
    <row r="148" ht="14.25" customHeight="1">
      <c r="A148" s="4">
        <v>147.0</v>
      </c>
      <c r="B148" s="5" t="str">
        <f>IFERROR(__xludf.DUMMYFUNCTION("GOOGLETRANSLATE(H148, ""th"", ""en"")"),"How did the training of the Wow lane during the Rattanakosin period affect the soldiers?")</f>
        <v>How did the training of the Wow lane during the Rattanakosin period affect the soldiers?</v>
      </c>
      <c r="C148" s="5" t="str">
        <f>IFERROR(__xludf.DUMMYFUNCTION("GOOGLETRANSLATE(I148, ""th"", ""en"")"),"A) Make soldiers more agile; B) Make soldiers more ready for battle; C) Make soldiers more courageous; D) Make soldiers more capable of defending themselves.")</f>
        <v>A) Make soldiers more agile; B) Make soldiers more ready for battle; C) Make soldiers more courageous; D) Make soldiers more capable of defending themselves.</v>
      </c>
      <c r="D148" s="5" t="str">
        <f>IFERROR(__xludf.DUMMYFUNCTION("GOOGLETRANSLATE(J148, ""th"", ""en"")"),"B) Make soldiers ready for battle.")</f>
        <v>B) Make soldiers ready for battle.</v>
      </c>
      <c r="E148" s="5" t="str">
        <f>IFERROR(__xludf.DUMMYFUNCTION("GOOGLETRANSLATE(K148, ""th"", ""en"")"),"Training the lane helps soldiers be ready for battle on the battlefield.")</f>
        <v>Training the lane helps soldiers be ready for battle on the battlefield.</v>
      </c>
      <c r="G148" s="6">
        <v>147.0</v>
      </c>
      <c r="H148" s="7" t="s">
        <v>2241</v>
      </c>
      <c r="I148" s="7" t="s">
        <v>2242</v>
      </c>
      <c r="J148" s="7" t="s">
        <v>2243</v>
      </c>
      <c r="K148" s="7" t="s">
        <v>2244</v>
      </c>
    </row>
    <row r="149" ht="14.25" customHeight="1">
      <c r="A149" s="4">
        <v>148.0</v>
      </c>
      <c r="B149" s="5" t="str">
        <f>IFERROR(__xludf.DUMMYFUNCTION("GOOGLETRANSLATE(H149, ""th"", ""en"")"),"What was the Lane Wow used for in the Ayutthaya period?")</f>
        <v>What was the Lane Wow used for in the Ayutthaya period?</v>
      </c>
      <c r="C149" s="5" t="str">
        <f>IFERROR(__xludf.DUMMYFUNCTION("GOOGLETRANSLATE(I149, ""th"", ""en"")"),"A) Military training in combat; B) Archery training; C) Gun training; D) Self-defense training")</f>
        <v>A) Military training in combat; B) Archery training; C) Gun training; D) Self-defense training</v>
      </c>
      <c r="D149" s="5" t="str">
        <f>IFERROR(__xludf.DUMMYFUNCTION("GOOGLETRANSLATE(J149, ""th"", ""en"")"),"A) Training soldiers in combat")</f>
        <v>A) Training soldiers in combat</v>
      </c>
      <c r="E149" s="5" t="str">
        <f>IFERROR(__xludf.DUMMYFUNCTION("GOOGLETRANSLATE(K149, ""th"", ""en"")"),"The lane in the Ayutthaya period was used for training soldiers in battle.")</f>
        <v>The lane in the Ayutthaya period was used for training soldiers in battle.</v>
      </c>
      <c r="G149" s="6">
        <v>148.0</v>
      </c>
      <c r="H149" s="7" t="s">
        <v>2245</v>
      </c>
      <c r="I149" s="7" t="s">
        <v>2246</v>
      </c>
      <c r="J149" s="7" t="s">
        <v>2247</v>
      </c>
      <c r="K149" s="7" t="s">
        <v>2248</v>
      </c>
    </row>
    <row r="150" ht="14.25" customHeight="1">
      <c r="A150" s="4">
        <v>149.0</v>
      </c>
      <c r="B150" s="5" t="str">
        <f>IFERROR(__xludf.DUMMYFUNCTION("GOOGLETRANSLATE(H150, ""th"", ""en"")"),"Where did the practice of lane wow occur in the Ayutthaya period?")</f>
        <v>Where did the practice of lane wow occur in the Ayutthaya period?</v>
      </c>
      <c r="C150" s="5" t="str">
        <f>IFERROR(__xludf.DUMMYFUNCTION("GOOGLETRANSLATE(I150, ""th"", ""en"")"),"A) palace; B) military field; C) village; D) temple")</f>
        <v>A) palace; B) military field; C) village; D) temple</v>
      </c>
      <c r="D150" s="5" t="str">
        <f>IFERROR(__xludf.DUMMYFUNCTION("GOOGLETRANSLATE(J150, ""th"", ""en"")"),"A) Palace")</f>
        <v>A) Palace</v>
      </c>
      <c r="E150" s="5" t="str">
        <f>IFERROR(__xludf.DUMMYFUNCTION("GOOGLETRANSLATE(K150, ""th"", ""en"")"),"The practice of playing the Wow in the Ayutthaya period took place in the palace.")</f>
        <v>The practice of playing the Wow in the Ayutthaya period took place in the palace.</v>
      </c>
      <c r="G150" s="6">
        <v>149.0</v>
      </c>
      <c r="H150" s="7" t="s">
        <v>2249</v>
      </c>
      <c r="I150" s="7" t="s">
        <v>2250</v>
      </c>
      <c r="J150" s="7" t="s">
        <v>2251</v>
      </c>
      <c r="K150" s="7" t="s">
        <v>2252</v>
      </c>
    </row>
    <row r="151" ht="14.25" customHeight="1">
      <c r="A151" s="4">
        <v>150.0</v>
      </c>
      <c r="B151" s="5" t="str">
        <f>IFERROR(__xludf.DUMMYFUNCTION("GOOGLETRANSLATE(H151, ""th"", ""en"")"),"What kind of training was there in the Rattanakosin period?")</f>
        <v>What kind of training was there in the Rattanakosin period?</v>
      </c>
      <c r="C151" s="5" t="str">
        <f>IFERROR(__xludf.DUMMYFUNCTION("GOOGLETRANSLATE(I151, ""th"", ""en"")"),"A) Martial arts; B) Sports; C) Military training; D) Self-defense")</f>
        <v>A) Martial arts; B) Sports; C) Military training; D) Self-defense</v>
      </c>
      <c r="D151" s="5" t="str">
        <f>IFERROR(__xludf.DUMMYFUNCTION("GOOGLETRANSLATE(J151, ""th"", ""en"")"),"C) Military training")</f>
        <v>C) Military training</v>
      </c>
      <c r="E151" s="5" t="str">
        <f>IFERROR(__xludf.DUMMYFUNCTION("GOOGLETRANSLATE(K151, ""th"", ""en"")"),"During the Rattanakosin period, the lane was used for military training.")</f>
        <v>During the Rattanakosin period, the lane was used for military training.</v>
      </c>
      <c r="G151" s="6">
        <v>150.0</v>
      </c>
      <c r="H151" s="7" t="s">
        <v>2253</v>
      </c>
      <c r="I151" s="7" t="s">
        <v>2254</v>
      </c>
      <c r="J151" s="7" t="s">
        <v>2032</v>
      </c>
      <c r="K151" s="7" t="s">
        <v>2255</v>
      </c>
    </row>
    <row r="152" ht="14.25" customHeight="1">
      <c r="A152" s="4">
        <v>151.0</v>
      </c>
      <c r="B152" s="5" t="str">
        <f>IFERROR(__xludf.DUMMYFUNCTION("GOOGLETRANSLATE(H152, ""th"", ""en"")"),"What was the purpose of training the Wow lane during the Rattanakosin period?")</f>
        <v>What was the purpose of training the Wow lane during the Rattanakosin period?</v>
      </c>
      <c r="C152" s="5" t="str">
        <f>IFERROR(__xludf.DUMMYFUNCTION("GOOGLETRANSLATE(I152, ""th"", ""en"")"),"A) Train soldiers to have fighting skills; B) Train soldiers to have fighting speed; C) Train soldiers to be strong; D) Train soldiers to be ready for fighting.")</f>
        <v>A) Train soldiers to have fighting skills; B) Train soldiers to have fighting speed; C) Train soldiers to be strong; D) Train soldiers to be ready for fighting.</v>
      </c>
      <c r="D152" s="5" t="str">
        <f>IFERROR(__xludf.DUMMYFUNCTION("GOOGLETRANSLATE(J152, ""th"", ""en"")"),"D) Train soldiers to be ready for battle.")</f>
        <v>D) Train soldiers to be ready for battle.</v>
      </c>
      <c r="E152" s="5" t="str">
        <f>IFERROR(__xludf.DUMMYFUNCTION("GOOGLETRANSLATE(K152, ""th"", ""en"")"),"The training of the Wow lane in the Rattanakosin period aimed to train soldiers to be ready for battle.")</f>
        <v>The training of the Wow lane in the Rattanakosin period aimed to train soldiers to be ready for battle.</v>
      </c>
      <c r="G152" s="6">
        <v>151.0</v>
      </c>
      <c r="H152" s="7" t="s">
        <v>2256</v>
      </c>
      <c r="I152" s="7" t="s">
        <v>2257</v>
      </c>
      <c r="J152" s="7" t="s">
        <v>2258</v>
      </c>
      <c r="K152" s="7" t="s">
        <v>2259</v>
      </c>
    </row>
    <row r="153" ht="14.25" customHeight="1">
      <c r="A153" s="4">
        <v>152.0</v>
      </c>
      <c r="B153" s="5" t="str">
        <f>IFERROR(__xludf.DUMMYFUNCTION("GOOGLETRANSLATE(H153, ""th"", ""en"")"),"How was the lane developed during the Rattanakosin period?")</f>
        <v>How was the lane developed during the Rattanakosin period?</v>
      </c>
      <c r="C153" s="5" t="str">
        <f>IFERROR(__xludf.DUMMYFUNCTION("GOOGLETRANSLATE(I153, ""th"", ""en"")"),"A) It is military training; B) It is a competitive sport; C) It is court entertainment; D) It is self-defense training.")</f>
        <v>A) It is military training; B) It is a competitive sport; C) It is court entertainment; D) It is self-defense training.</v>
      </c>
      <c r="D153" s="5" t="str">
        <f>IFERROR(__xludf.DUMMYFUNCTION("GOOGLETRANSLATE(J153, ""th"", ""en"")"),"A) It is military training.")</f>
        <v>A) It is military training.</v>
      </c>
      <c r="E153" s="5" t="str">
        <f>IFERROR(__xludf.DUMMYFUNCTION("GOOGLETRANSLATE(K153, ""th"", ""en"")"),"The Lane Wow in the Rattanakosin period was developed into a military training facility.")</f>
        <v>The Lane Wow in the Rattanakosin period was developed into a military training facility.</v>
      </c>
      <c r="G153" s="6">
        <v>152.0</v>
      </c>
      <c r="H153" s="7" t="s">
        <v>2260</v>
      </c>
      <c r="I153" s="7" t="s">
        <v>2261</v>
      </c>
      <c r="J153" s="7" t="s">
        <v>2100</v>
      </c>
      <c r="K153" s="7" t="s">
        <v>2262</v>
      </c>
    </row>
    <row r="154" ht="14.25" customHeight="1">
      <c r="A154" s="4">
        <v>153.0</v>
      </c>
      <c r="B154" s="5" t="str">
        <f>IFERROR(__xludf.DUMMYFUNCTION("GOOGLETRANSLATE(H154, ""th"", ""en"")"),"During the Ayutthaya period, what was the benefit of practicing the Wow lane?")</f>
        <v>During the Ayutthaya period, what was the benefit of practicing the Wow lane?</v>
      </c>
      <c r="C154" s="5" t="str">
        <f>IFERROR(__xludf.DUMMYFUNCTION("GOOGLETRANSLATE(I154, ""th"", ""en"")"),"A) Helps train for combat; B) Helps improve archery skills; C) Helps improve self-defense skills; D) Helps train soldiers to be ready for battle.")</f>
        <v>A) Helps train for combat; B) Helps improve archery skills; C) Helps improve self-defense skills; D) Helps train soldiers to be ready for battle.</v>
      </c>
      <c r="D154" s="5" t="str">
        <f>IFERROR(__xludf.DUMMYFUNCTION("GOOGLETRANSLATE(J154, ""th"", ""en"")"),"A) Help train in fighting.")</f>
        <v>A) Help train in fighting.</v>
      </c>
      <c r="E154" s="5" t="str">
        <f>IFERROR(__xludf.DUMMYFUNCTION("GOOGLETRANSLATE(K154, ""th"", ""en"")"),"The practice of lane wow during the Ayutthaya period helped train soldiers in fighting skills.")</f>
        <v>The practice of lane wow during the Ayutthaya period helped train soldiers in fighting skills.</v>
      </c>
      <c r="G154" s="6">
        <v>153.0</v>
      </c>
      <c r="H154" s="7" t="s">
        <v>2263</v>
      </c>
      <c r="I154" s="7" t="s">
        <v>2264</v>
      </c>
      <c r="J154" s="7" t="s">
        <v>2265</v>
      </c>
      <c r="K154" s="7" t="s">
        <v>2266</v>
      </c>
    </row>
    <row r="155" ht="14.25" customHeight="1">
      <c r="A155" s="4">
        <v>154.0</v>
      </c>
      <c r="B155" s="5" t="str">
        <f>IFERROR(__xludf.DUMMYFUNCTION("GOOGLETRANSLATE(H155, ""th"", ""en"")"),"How did training in the Rattanakosin period help soldiers?")</f>
        <v>How did training in the Rattanakosin period help soldiers?</v>
      </c>
      <c r="C155" s="5" t="str">
        <f>IFERROR(__xludf.DUMMYFUNCTION("GOOGLETRANSLATE(I155, ""th"", ""en"")"),"A) Increases strength; B) Increases fighting skills; C) Increases agility; D) Strengthens the mind.")</f>
        <v>A) Increases strength; B) Increases fighting skills; C) Increases agility; D) Strengthens the mind.</v>
      </c>
      <c r="D155" s="5" t="str">
        <f>IFERROR(__xludf.DUMMYFUNCTION("GOOGLETRANSLATE(J155, ""th"", ""en"")"),"B) Helps increase fighting skills.")</f>
        <v>B) Helps increase fighting skills.</v>
      </c>
      <c r="E155" s="5" t="str">
        <f>IFERROR(__xludf.DUMMYFUNCTION("GOOGLETRANSLATE(K155, ""th"", ""en"")"),"Training in the Rattanakosin period helped improve the soldiers' fighting skills.")</f>
        <v>Training in the Rattanakosin period helped improve the soldiers' fighting skills.</v>
      </c>
      <c r="G155" s="6">
        <v>154.0</v>
      </c>
      <c r="H155" s="7" t="s">
        <v>2267</v>
      </c>
      <c r="I155" s="7" t="s">
        <v>2268</v>
      </c>
      <c r="J155" s="7" t="s">
        <v>2269</v>
      </c>
      <c r="K155" s="7" t="s">
        <v>2270</v>
      </c>
    </row>
    <row r="156" ht="14.25" customHeight="1">
      <c r="A156" s="4">
        <v>155.0</v>
      </c>
      <c r="B156" s="5" t="str">
        <f>IFERROR(__xludf.DUMMYFUNCTION("GOOGLETRANSLATE(H156, ""th"", ""en"")"),"What activities were the lanes used for during the Rattanakosin period?")</f>
        <v>What activities were the lanes used for during the Rattanakosin period?</v>
      </c>
      <c r="C156" s="5" t="str">
        <f>IFERROR(__xludf.DUMMYFUNCTION("GOOGLETRANSLATE(I156, ""th"", ""en"")"),"A) military training activities; B) sports activities; C) entertainment activities; D) competitive activities")</f>
        <v>A) military training activities; B) sports activities; C) entertainment activities; D) competitive activities</v>
      </c>
      <c r="D156" s="5" t="str">
        <f>IFERROR(__xludf.DUMMYFUNCTION("GOOGLETRANSLATE(J156, ""th"", ""en"")"),"A) Military training activities")</f>
        <v>A) Military training activities</v>
      </c>
      <c r="E156" s="5" t="str">
        <f>IFERROR(__xludf.DUMMYFUNCTION("GOOGLETRANSLATE(K156, ""th"", ""en"")"),"The lane in the Rattanakosin period was used for military training activities.")</f>
        <v>The lane in the Rattanakosin period was used for military training activities.</v>
      </c>
      <c r="G156" s="6">
        <v>155.0</v>
      </c>
      <c r="H156" s="7" t="s">
        <v>2271</v>
      </c>
      <c r="I156" s="7" t="s">
        <v>2272</v>
      </c>
      <c r="J156" s="7" t="s">
        <v>2148</v>
      </c>
      <c r="K156" s="7" t="s">
        <v>2273</v>
      </c>
    </row>
    <row r="157" ht="14.25" customHeight="1">
      <c r="A157" s="4">
        <v>156.0</v>
      </c>
      <c r="B157" s="5" t="str">
        <f>IFERROR(__xludf.DUMMYFUNCTION("GOOGLETRANSLATE(H157, ""th"", ""en"")"),"What skills did the training of the Wow lane during the Rattanakosin period help train soldiers?")</f>
        <v>What skills did the training of the Wow lane during the Rattanakosin period help train soldiers?</v>
      </c>
      <c r="C157" s="5" t="str">
        <f>IFERROR(__xludf.DUMMYFUNCTION("GOOGLETRANSLATE(I157, ""th"", ""en"")"),"A) fighting; B) archery; C) gunfire; D) self-defense")</f>
        <v>A) fighting; B) archery; C) gunfire; D) self-defense</v>
      </c>
      <c r="D157" s="5" t="str">
        <f>IFERROR(__xludf.DUMMYFUNCTION("GOOGLETRANSLATE(J157, ""th"", ""en"")"),"A) Fighting")</f>
        <v>A) Fighting</v>
      </c>
      <c r="E157" s="5" t="str">
        <f>IFERROR(__xludf.DUMMYFUNCTION("GOOGLETRANSLATE(K157, ""th"", ""en"")"),"The training of the Wow Lane helped to train the fighting skills of soldiers in the Rattanakosin period.")</f>
        <v>The training of the Wow Lane helped to train the fighting skills of soldiers in the Rattanakosin period.</v>
      </c>
      <c r="G157" s="6">
        <v>156.0</v>
      </c>
      <c r="H157" s="7" t="s">
        <v>2274</v>
      </c>
      <c r="I157" s="7" t="s">
        <v>2275</v>
      </c>
      <c r="J157" s="7" t="s">
        <v>1950</v>
      </c>
      <c r="K157" s="7" t="s">
        <v>2276</v>
      </c>
    </row>
    <row r="158" ht="14.25" customHeight="1">
      <c r="A158" s="4">
        <v>157.0</v>
      </c>
      <c r="B158" s="5" t="str">
        <f>IFERROR(__xludf.DUMMYFUNCTION("GOOGLETRANSLATE(H158, ""th"", ""en"")"),"During the Rattanakosin period, what type of fighting skills did the training of the lane involve?")</f>
        <v>During the Rattanakosin period, what type of fighting skills did the training of the lane involve?</v>
      </c>
      <c r="C158" s="5" t="str">
        <f>IFERROR(__xludf.DUMMYFUNCTION("GOOGLETRANSLATE(I158, ""th"", ""en"")"),"A) Archery training; B) Self-defense training; C) Swordsmanship training; D) Combat skills training involving movement.")</f>
        <v>A) Archery training; B) Self-defense training; C) Swordsmanship training; D) Combat skills training involving movement.</v>
      </c>
      <c r="D158" s="5" t="str">
        <f>IFERROR(__xludf.DUMMYFUNCTION("GOOGLETRANSLATE(J158, ""th"", ""en"")"),"D) Training in combat skills related to movement.")</f>
        <v>D) Training in combat skills related to movement.</v>
      </c>
      <c r="E158" s="5" t="str">
        <f>IFERROR(__xludf.DUMMYFUNCTION("GOOGLETRANSLATE(K158, ""th"", ""en"")"),"The practice of lane wow in the Rattanakosin period involved fighting movements.")</f>
        <v>The practice of lane wow in the Rattanakosin period involved fighting movements.</v>
      </c>
      <c r="G158" s="6">
        <v>157.0</v>
      </c>
      <c r="H158" s="7" t="s">
        <v>2277</v>
      </c>
      <c r="I158" s="7" t="s">
        <v>2278</v>
      </c>
      <c r="J158" s="7" t="s">
        <v>2279</v>
      </c>
      <c r="K158" s="7" t="s">
        <v>2280</v>
      </c>
    </row>
    <row r="159" ht="14.25" customHeight="1">
      <c r="A159" s="4">
        <v>158.0</v>
      </c>
      <c r="B159" s="5" t="str">
        <f>IFERROR(__xludf.DUMMYFUNCTION("GOOGLETRANSLATE(H159, ""th"", ""en"")"),"What did the training in the Rattanakosin period teach soldiers?")</f>
        <v>What did the training in the Rattanakosin period teach soldiers?</v>
      </c>
      <c r="C159" s="5" t="str">
        <f>IFERROR(__xludf.DUMMYFUNCTION("GOOGLETRANSLATE(I159, ""th"", ""en"")"),"A) Shooting; B) Agility training; C) Training in fighting enemies; D) Archery training.")</f>
        <v>A) Shooting; B) Agility training; C) Training in fighting enemies; D) Archery training.</v>
      </c>
      <c r="D159" s="5" t="str">
        <f>IFERROR(__xludf.DUMMYFUNCTION("GOOGLETRANSLATE(J159, ""th"", ""en"")"),"B) Agility combat training")</f>
        <v>B) Agility combat training</v>
      </c>
      <c r="E159" s="5" t="str">
        <f>IFERROR(__xludf.DUMMYFUNCTION("GOOGLETRANSLATE(K159, ""th"", ""en"")"),"Training in the Rattanakosin period taught soldiers how to fight in an agile manner.")</f>
        <v>Training in the Rattanakosin period taught soldiers how to fight in an agile manner.</v>
      </c>
      <c r="G159" s="6">
        <v>158.0</v>
      </c>
      <c r="H159" s="7" t="s">
        <v>2281</v>
      </c>
      <c r="I159" s="7" t="s">
        <v>2282</v>
      </c>
      <c r="J159" s="7" t="s">
        <v>2283</v>
      </c>
      <c r="K159" s="7" t="s">
        <v>2284</v>
      </c>
    </row>
    <row r="160" ht="14.25" customHeight="1">
      <c r="A160" s="4">
        <v>159.0</v>
      </c>
      <c r="B160" s="5" t="str">
        <f>IFERROR(__xludf.DUMMYFUNCTION("GOOGLETRANSLATE(H160, ""th"", ""en"")"),"During the Ayutthaya period, what were soldiers trained for?")</f>
        <v>During the Ayutthaya period, what were soldiers trained for?</v>
      </c>
      <c r="C160" s="5" t="str">
        <f>IFERROR(__xludf.DUMMYFUNCTION("GOOGLETRANSLATE(I160, ""th"", ""en"")"),"A) for training in self-defense skills; B) for training soldiers on the battlefield; C) for training in firearms use; D) for training in travel.")</f>
        <v>A) for training in self-defense skills; B) for training soldiers on the battlefield; C) for training in firearms use; D) for training in travel.</v>
      </c>
      <c r="D160" s="5" t="str">
        <f>IFERROR(__xludf.DUMMYFUNCTION("GOOGLETRANSLATE(J160, ""th"", ""en"")"),"B) For training soldiers on the battlefield.")</f>
        <v>B) For training soldiers on the battlefield.</v>
      </c>
      <c r="E160" s="5" t="str">
        <f>IFERROR(__xludf.DUMMYFUNCTION("GOOGLETRANSLATE(K160, ""th"", ""en"")"),"During the Ayutthaya period, soldiers received training to prepare them for the battlefield.")</f>
        <v>During the Ayutthaya period, soldiers received training to prepare them for the battlefield.</v>
      </c>
      <c r="G160" s="6">
        <v>159.0</v>
      </c>
      <c r="H160" s="7" t="s">
        <v>2285</v>
      </c>
      <c r="I160" s="7" t="s">
        <v>2286</v>
      </c>
      <c r="J160" s="7" t="s">
        <v>2287</v>
      </c>
      <c r="K160" s="7" t="s">
        <v>2288</v>
      </c>
    </row>
    <row r="161" ht="14.25" customHeight="1">
      <c r="A161" s="4">
        <v>160.0</v>
      </c>
      <c r="B161" s="5" t="str">
        <f>IFERROR(__xludf.DUMMYFUNCTION("GOOGLETRANSLATE(H161, ""th"", ""en"")"),"When did the practice of lane wow begin in the Ayutthaya period?")</f>
        <v>When did the practice of lane wow begin in the Ayutthaya period?</v>
      </c>
      <c r="C161" s="5" t="str">
        <f>IFERROR(__xludf.DUMMYFUNCTION("GOOGLETRANSLATE(I161, ""th"", ""en"")"),"A) During the reign of King Prasat Thong; B) During the reign of King Naresuan; C) During the reign of King Narai; D) During the reign of King Rama I")</f>
        <v>A) During the reign of King Prasat Thong; B) During the reign of King Naresuan; C) During the reign of King Narai; D) During the reign of King Rama I</v>
      </c>
      <c r="D161" s="5" t="str">
        <f>IFERROR(__xludf.DUMMYFUNCTION("GOOGLETRANSLATE(J161, ""th"", ""en"")"),"B) During the reign of King Naresuan")</f>
        <v>B) During the reign of King Naresuan</v>
      </c>
      <c r="E161" s="5" t="str">
        <f>IFERROR(__xludf.DUMMYFUNCTION("GOOGLETRANSLATE(K161, ""th"", ""en"")"),"The practice of playing the Wow in the Ayutthaya period began during the reign of King Naresuan.")</f>
        <v>The practice of playing the Wow in the Ayutthaya period began during the reign of King Naresuan.</v>
      </c>
      <c r="G161" s="6">
        <v>160.0</v>
      </c>
      <c r="H161" s="7" t="s">
        <v>2289</v>
      </c>
      <c r="I161" s="7" t="s">
        <v>2290</v>
      </c>
      <c r="J161" s="7" t="s">
        <v>2291</v>
      </c>
      <c r="K161" s="7" t="s">
        <v>2292</v>
      </c>
    </row>
    <row r="162" ht="14.25" customHeight="1">
      <c r="A162" s="4">
        <v>161.0</v>
      </c>
      <c r="B162" s="5" t="str">
        <f>IFERROR(__xludf.DUMMYFUNCTION("GOOGLETRANSLATE(H162, ""th"", ""en"")"),"During the Rattanakosin period, what was the purpose of the Len Wow training?")</f>
        <v>During the Rattanakosin period, what was the purpose of the Len Wow training?</v>
      </c>
      <c r="C162" s="5" t="str">
        <f>IFERROR(__xludf.DUMMYFUNCTION("GOOGLETRANSLATE(I162, ""th"", ""en"")"),"A) for entertainment; B) for developing fighting skills; C) for training soldiers on the battlefield; D) for athletic competitions.")</f>
        <v>A) for entertainment; B) for developing fighting skills; C) for training soldiers on the battlefield; D) for athletic competitions.</v>
      </c>
      <c r="D162" s="5" t="str">
        <f>IFERROR(__xludf.DUMMYFUNCTION("GOOGLETRANSLATE(J162, ""th"", ""en"")"),"B) To develop fighting skills.")</f>
        <v>B) To develop fighting skills.</v>
      </c>
      <c r="E162" s="5" t="str">
        <f>IFERROR(__xludf.DUMMYFUNCTION("GOOGLETRANSLATE(K162, ""th"", ""en"")"),"The lane in the Rattanakosin period was used to develop fighting skills.")</f>
        <v>The lane in the Rattanakosin period was used to develop fighting skills.</v>
      </c>
      <c r="G162" s="6">
        <v>161.0</v>
      </c>
      <c r="H162" s="7" t="s">
        <v>2293</v>
      </c>
      <c r="I162" s="7" t="s">
        <v>2294</v>
      </c>
      <c r="J162" s="7" t="s">
        <v>2295</v>
      </c>
      <c r="K162" s="7" t="s">
        <v>2296</v>
      </c>
    </row>
    <row r="163" ht="14.25" customHeight="1">
      <c r="A163" s="4">
        <v>162.0</v>
      </c>
      <c r="B163" s="5" t="str">
        <f>IFERROR(__xludf.DUMMYFUNCTION("GOOGLETRANSLATE(H163, ""th"", ""en"")"),"Who brought the Wow training to Ayutthaya?")</f>
        <v>Who brought the Wow training to Ayutthaya?</v>
      </c>
      <c r="C163" s="5" t="str">
        <f>IFERROR(__xludf.DUMMYFUNCTION("GOOGLETRANSLATE(I163, ""th"", ""en"")"),"A) King Naresuan; B) King Prasat Thong; C) King Narai; D) King Ramathibodi")</f>
        <v>A) King Naresuan; B) King Prasat Thong; C) King Narai; D) King Ramathibodi</v>
      </c>
      <c r="D163" s="5" t="str">
        <f>IFERROR(__xludf.DUMMYFUNCTION("GOOGLETRANSLATE(J163, ""th"", ""en"")"),"A) King Naresuan")</f>
        <v>A) King Naresuan</v>
      </c>
      <c r="E163" s="5" t="str">
        <f>IFERROR(__xludf.DUMMYFUNCTION("GOOGLETRANSLATE(K163, ""th"", ""en"")"),"King Naresuan was the one who brought the practice of len wa to Ayutthaya.")</f>
        <v>King Naresuan was the one who brought the practice of len wa to Ayutthaya.</v>
      </c>
      <c r="G163" s="6">
        <v>162.0</v>
      </c>
      <c r="H163" s="7" t="s">
        <v>2297</v>
      </c>
      <c r="I163" s="7" t="s">
        <v>2298</v>
      </c>
      <c r="J163" s="7" t="s">
        <v>2299</v>
      </c>
      <c r="K163" s="7" t="s">
        <v>2300</v>
      </c>
    </row>
    <row r="164" ht="14.25" customHeight="1">
      <c r="A164" s="4">
        <v>163.0</v>
      </c>
      <c r="B164" s="5" t="str">
        <f>IFERROR(__xludf.DUMMYFUNCTION("GOOGLETRANSLATE(H164, ""th"", ""en"")"),"What was the use of the lane during the Ayutthaya period?")</f>
        <v>What was the use of the lane during the Ayutthaya period?</v>
      </c>
      <c r="C164" s="5" t="str">
        <f>IFERROR(__xludf.DUMMYFUNCTION("GOOGLETRANSLATE(I164, ""th"", ""en"")"),"A) self-defense; B) combat training; C) gun training; D) archery training")</f>
        <v>A) self-defense; B) combat training; C) gun training; D) archery training</v>
      </c>
      <c r="D164" s="5" t="str">
        <f>IFERROR(__xludf.DUMMYFUNCTION("GOOGLETRANSLATE(J164, ""th"", ""en"")"),"B) Combat training")</f>
        <v>B) Combat training</v>
      </c>
      <c r="E164" s="5" t="str">
        <f>IFERROR(__xludf.DUMMYFUNCTION("GOOGLETRANSLATE(K164, ""th"", ""en"")"),"The lane in the Ayutthaya period was used to train soldiers to have fighting skills.")</f>
        <v>The lane in the Ayutthaya period was used to train soldiers to have fighting skills.</v>
      </c>
      <c r="G164" s="6">
        <v>163.0</v>
      </c>
      <c r="H164" s="7" t="s">
        <v>2301</v>
      </c>
      <c r="I164" s="7" t="s">
        <v>2302</v>
      </c>
      <c r="J164" s="7" t="s">
        <v>2303</v>
      </c>
      <c r="K164" s="7" t="s">
        <v>2304</v>
      </c>
    </row>
    <row r="165" ht="14.25" customHeight="1">
      <c r="A165" s="4">
        <v>164.0</v>
      </c>
      <c r="B165" s="5" t="str">
        <f>IFERROR(__xludf.DUMMYFUNCTION("GOOGLETRANSLATE(H165, ""th"", ""en"")"),"What activities were involved in the Lane Wow in the Ayutthaya period?")</f>
        <v>What activities were involved in the Lane Wow in the Ayutthaya period?</v>
      </c>
      <c r="C165" s="5" t="str">
        <f>IFERROR(__xludf.DUMMYFUNCTION("GOOGLETRANSLATE(I165, ""th"", ""en"")"),"A) military training; B) athletic competitions; C) court entertainment; D) swordsmanship training")</f>
        <v>A) military training; B) athletic competitions; C) court entertainment; D) swordsmanship training</v>
      </c>
      <c r="D165" s="5" t="str">
        <f>IFERROR(__xludf.DUMMYFUNCTION("GOOGLETRANSLATE(J165, ""th"", ""en"")"),"A) Military training")</f>
        <v>A) Military training</v>
      </c>
      <c r="E165" s="5" t="str">
        <f>IFERROR(__xludf.DUMMYFUNCTION("GOOGLETRANSLATE(K165, ""th"", ""en"")"),"Len Wow in the Ayutthaya period was related to military training.")</f>
        <v>Len Wow in the Ayutthaya period was related to military training.</v>
      </c>
      <c r="G165" s="6">
        <v>164.0</v>
      </c>
      <c r="H165" s="7" t="s">
        <v>2305</v>
      </c>
      <c r="I165" s="7" t="s">
        <v>2306</v>
      </c>
      <c r="J165" s="7" t="s">
        <v>1493</v>
      </c>
      <c r="K165" s="7" t="s">
        <v>2307</v>
      </c>
    </row>
    <row r="166" ht="14.25" customHeight="1">
      <c r="A166" s="4">
        <v>165.0</v>
      </c>
      <c r="B166" s="5" t="str">
        <f>IFERROR(__xludf.DUMMYFUNCTION("GOOGLETRANSLATE(H166, ""th"", ""en"")"),"How was the training of the lane wow during the Ayutthaya period an important part of military training?")</f>
        <v>How was the training of the lane wow during the Ayutthaya period an important part of military training?</v>
      </c>
      <c r="C166" s="5" t="str">
        <f>IFERROR(__xludf.DUMMYFUNCTION("GOOGLETRANSLATE(I166, ""th"", ""en"")"),"A) Helps increase speed in combat; B) Helps enhance self-defense skills; C) Helps develop gun skills; D) Helps train soldiers to have good fighting skills.")</f>
        <v>A) Helps increase speed in combat; B) Helps enhance self-defense skills; C) Helps develop gun skills; D) Helps train soldiers to have good fighting skills.</v>
      </c>
      <c r="D166" s="5" t="str">
        <f>IFERROR(__xludf.DUMMYFUNCTION("GOOGLETRANSLATE(J166, ""th"", ""en"")"),"D) Help train soldiers to have good fighting skills.")</f>
        <v>D) Help train soldiers to have good fighting skills.</v>
      </c>
      <c r="E166" s="5" t="str">
        <f>IFERROR(__xludf.DUMMYFUNCTION("GOOGLETRANSLATE(K166, ""th"", ""en"")"),"The practice of lane wow during the Ayutthaya period helped soldiers to develop good fighting skills.")</f>
        <v>The practice of lane wow during the Ayutthaya period helped soldiers to develop good fighting skills.</v>
      </c>
      <c r="G166" s="6">
        <v>165.0</v>
      </c>
      <c r="H166" s="7" t="s">
        <v>2308</v>
      </c>
      <c r="I166" s="7" t="s">
        <v>2309</v>
      </c>
      <c r="J166" s="7" t="s">
        <v>2310</v>
      </c>
      <c r="K166" s="7" t="s">
        <v>2311</v>
      </c>
    </row>
    <row r="167" ht="14.25" customHeight="1">
      <c r="A167" s="4">
        <v>166.0</v>
      </c>
      <c r="B167" s="5" t="str">
        <f>IFERROR(__xludf.DUMMYFUNCTION("GOOGLETRANSLATE(H167, ""th"", ""en"")"),"During the Ayutthaya period, what was Len Wow used for in military training?")</f>
        <v>During the Ayutthaya period, what was Len Wow used for in military training?</v>
      </c>
      <c r="C167" s="5" t="str">
        <f>IFERROR(__xludf.DUMMYFUNCTION("GOOGLETRANSLATE(I167, ""th"", ""en"")"),"A) to train soldiers to be ready for battle; B) to train them in archery; C) to train them in the use of guns; D) to train them in battle.")</f>
        <v>A) to train soldiers to be ready for battle; B) to train them in archery; C) to train them in the use of guns; D) to train them in battle.</v>
      </c>
      <c r="D167" s="5" t="str">
        <f>IFERROR(__xludf.DUMMYFUNCTION("GOOGLETRANSLATE(J167, ""th"", ""en"")"),"A) To train soldiers to be ready for battle.")</f>
        <v>A) To train soldiers to be ready for battle.</v>
      </c>
      <c r="E167" s="5" t="str">
        <f>IFERROR(__xludf.DUMMYFUNCTION("GOOGLETRANSLATE(K167, ""th"", ""en"")"),"The lanes in the Ayutthaya period were used to train soldiers to be ready for battle.")</f>
        <v>The lanes in the Ayutthaya period were used to train soldiers to be ready for battle.</v>
      </c>
      <c r="G167" s="6">
        <v>166.0</v>
      </c>
      <c r="H167" s="7" t="s">
        <v>2312</v>
      </c>
      <c r="I167" s="7" t="s">
        <v>2313</v>
      </c>
      <c r="J167" s="7" t="s">
        <v>2314</v>
      </c>
      <c r="K167" s="7" t="s">
        <v>2315</v>
      </c>
    </row>
    <row r="168" ht="14.25" customHeight="1">
      <c r="A168" s="4">
        <v>167.0</v>
      </c>
      <c r="B168" s="5" t="str">
        <f>IFERROR(__xludf.DUMMYFUNCTION("GOOGLETRANSLATE(H168, ""th"", ""en"")"),"How were lanes developed during the Rattanakosin period?")</f>
        <v>How were lanes developed during the Rattanakosin period?</v>
      </c>
      <c r="C168" s="5" t="str">
        <f>IFERROR(__xludf.DUMMYFUNCTION("GOOGLETRANSLATE(I168, ""th"", ""en"")"),"A) It is training soldiers to be strong; B) It is training soldiers to be flexible; C) It is training soldiers to be able to defend themselves well; D) It is training soldiers to be ready for battle.")</f>
        <v>A) It is training soldiers to be strong; B) It is training soldiers to be flexible; C) It is training soldiers to be able to defend themselves well; D) It is training soldiers to be ready for battle.</v>
      </c>
      <c r="D168" s="5" t="str">
        <f>IFERROR(__xludf.DUMMYFUNCTION("GOOGLETRANSLATE(J168, ""th"", ""en"")"),"D) It is training soldiers to be ready for battle.")</f>
        <v>D) It is training soldiers to be ready for battle.</v>
      </c>
      <c r="E168" s="5" t="str">
        <f>IFERROR(__xludf.DUMMYFUNCTION("GOOGLETRANSLATE(K168, ""th"", ""en"")"),"The lanes in the Rattanakosin period were developed to prepare soldiers for battle.")</f>
        <v>The lanes in the Rattanakosin period were developed to prepare soldiers for battle.</v>
      </c>
      <c r="G168" s="6">
        <v>167.0</v>
      </c>
      <c r="H168" s="7" t="s">
        <v>2316</v>
      </c>
      <c r="I168" s="7" t="s">
        <v>2317</v>
      </c>
      <c r="J168" s="7" t="s">
        <v>2318</v>
      </c>
      <c r="K168" s="7" t="s">
        <v>2319</v>
      </c>
    </row>
    <row r="169" ht="14.25" customHeight="1">
      <c r="A169" s="4">
        <v>168.0</v>
      </c>
      <c r="B169" s="5" t="str">
        <f>IFERROR(__xludf.DUMMYFUNCTION("GOOGLETRANSLATE(H169, ""th"", ""en"")"),"What did the training in the Rattanakosin period teach soldiers?")</f>
        <v>What did the training in the Rattanakosin period teach soldiers?</v>
      </c>
      <c r="C169" s="5" t="str">
        <f>IFERROR(__xludf.DUMMYFUNCTION("GOOGLETRANSLATE(I169, ""th"", ""en"")"),"A) fighting skills; B) shooting; C) archery; D) swordsmanship")</f>
        <v>A) fighting skills; B) shooting; C) archery; D) swordsmanship</v>
      </c>
      <c r="D169" s="5" t="str">
        <f>IFERROR(__xludf.DUMMYFUNCTION("GOOGLETRANSLATE(J169, ""th"", ""en"")"),"A) Fighting skills")</f>
        <v>A) Fighting skills</v>
      </c>
      <c r="E169" s="5" t="str">
        <f>IFERROR(__xludf.DUMMYFUNCTION("GOOGLETRANSLATE(K169, ""th"", ""en"")"),"Training in the Rattanakosin period helped develop fighting skills.")</f>
        <v>Training in the Rattanakosin period helped develop fighting skills.</v>
      </c>
      <c r="G169" s="6">
        <v>168.0</v>
      </c>
      <c r="H169" s="7" t="s">
        <v>2281</v>
      </c>
      <c r="I169" s="7" t="s">
        <v>2320</v>
      </c>
      <c r="J169" s="7" t="s">
        <v>2127</v>
      </c>
      <c r="K169" s="7" t="s">
        <v>2321</v>
      </c>
    </row>
    <row r="170" ht="14.25" customHeight="1">
      <c r="A170" s="4">
        <v>169.0</v>
      </c>
      <c r="B170" s="5" t="str">
        <f>IFERROR(__xludf.DUMMYFUNCTION("GOOGLETRANSLATE(H170, ""th"", ""en"")"),"When was the Lane Wow used for military training in the Rattanakosin period?")</f>
        <v>When was the Lane Wow used for military training in the Rattanakosin period?</v>
      </c>
      <c r="C170" s="5" t="str">
        <f>IFERROR(__xludf.DUMMYFUNCTION("GOOGLETRANSLATE(I170, ""th"", ""en"")"),"A) during World War II; B) during the Korean War; C) during the Vietnam War; D) during the war in the surrounding area.")</f>
        <v>A) during World War II; B) during the Korean War; C) during the Vietnam War; D) during the war in the surrounding area.</v>
      </c>
      <c r="D170" s="5" t="str">
        <f>IFERROR(__xludf.DUMMYFUNCTION("GOOGLETRANSLATE(J170, ""th"", ""en"")"),"D) During the war in the nearby area")</f>
        <v>D) During the war in the nearby area</v>
      </c>
      <c r="E170" s="5" t="str">
        <f>IFERROR(__xludf.DUMMYFUNCTION("GOOGLETRANSLATE(K170, ""th"", ""en"")"),"The lanes in the Rattanakosin period were used during wars in the nearby areas.")</f>
        <v>The lanes in the Rattanakosin period were used during wars in the nearby areas.</v>
      </c>
      <c r="G170" s="6">
        <v>169.0</v>
      </c>
      <c r="H170" s="7" t="s">
        <v>2322</v>
      </c>
      <c r="I170" s="7" t="s">
        <v>2323</v>
      </c>
      <c r="J170" s="7" t="s">
        <v>2324</v>
      </c>
      <c r="K170" s="7" t="s">
        <v>2325</v>
      </c>
    </row>
    <row r="171" ht="14.25" customHeight="1">
      <c r="A171" s="4">
        <v>170.0</v>
      </c>
      <c r="B171" s="5" t="str">
        <f>IFERROR(__xludf.DUMMYFUNCTION("GOOGLETRANSLATE(H171, ""th"", ""en"")"),"During the Ayutthaya period, what kind of sport was lane wow developed into?")</f>
        <v>During the Ayutthaya period, what kind of sport was lane wow developed into?</v>
      </c>
      <c r="C171" s="5" t="str">
        <f>IFERROR(__xludf.DUMMYFUNCTION("GOOGLETRANSLATE(I171, ""th"", ""en"")"),"A) Sports for soldiers; B) Sports for court competitions; C) Sports for the people; D) Sports for special training.")</f>
        <v>A) Sports for soldiers; B) Sports for court competitions; C) Sports for the people; D) Sports for special training.</v>
      </c>
      <c r="D171" s="5" t="str">
        <f>IFERROR(__xludf.DUMMYFUNCTION("GOOGLETRANSLATE(J171, ""th"", ""en"")"),"A) Sports for soldiers")</f>
        <v>A) Sports for soldiers</v>
      </c>
      <c r="E171" s="5" t="str">
        <f>IFERROR(__xludf.DUMMYFUNCTION("GOOGLETRANSLATE(K171, ""th"", ""en"")"),"In the Ayutthaya period, lanes were developed into a sport for soldiers.")</f>
        <v>In the Ayutthaya period, lanes were developed into a sport for soldiers.</v>
      </c>
      <c r="G171" s="6">
        <v>170.0</v>
      </c>
      <c r="H171" s="7" t="s">
        <v>2326</v>
      </c>
      <c r="I171" s="7" t="s">
        <v>2327</v>
      </c>
      <c r="J171" s="7" t="s">
        <v>2328</v>
      </c>
      <c r="K171" s="7" t="s">
        <v>2329</v>
      </c>
    </row>
    <row r="172" ht="14.25" customHeight="1">
      <c r="A172" s="4">
        <v>171.0</v>
      </c>
      <c r="B172" s="5" t="str">
        <f>IFERROR(__xludf.DUMMYFUNCTION("GOOGLETRANSLATE(H172, ""th"", ""en"")"),"During the training of the Wow Lane during the Rattanakosin period, what skills did soldiers practice?")</f>
        <v>During the training of the Wow Lane during the Rattanakosin period, what skills did soldiers practice?</v>
      </c>
      <c r="C172" s="5" t="str">
        <f>IFERROR(__xludf.DUMMYFUNCTION("GOOGLETRANSLATE(I172, ""th"", ""en"")"),"A) Sword and bow use; B) Agility fighting; C) Gun training; D) Self-defense training")</f>
        <v>A) Sword and bow use; B) Agility fighting; C) Gun training; D) Self-defense training</v>
      </c>
      <c r="D172" s="5" t="str">
        <f>IFERROR(__xludf.DUMMYFUNCTION("GOOGLETRANSLATE(J172, ""th"", ""en"")"),"B) Agile combat")</f>
        <v>B) Agile combat</v>
      </c>
      <c r="E172" s="5" t="str">
        <f>IFERROR(__xludf.DUMMYFUNCTION("GOOGLETRANSLATE(K172, ""th"", ""en"")"),"During the Rattanakosin period, soldiers were trained in agile combat.")</f>
        <v>During the Rattanakosin period, soldiers were trained in agile combat.</v>
      </c>
      <c r="G172" s="6">
        <v>171.0</v>
      </c>
      <c r="H172" s="7" t="s">
        <v>2330</v>
      </c>
      <c r="I172" s="7" t="s">
        <v>2331</v>
      </c>
      <c r="J172" s="7" t="s">
        <v>2332</v>
      </c>
      <c r="K172" s="7" t="s">
        <v>2333</v>
      </c>
    </row>
    <row r="173" ht="14.25" customHeight="1">
      <c r="A173" s="4">
        <v>172.0</v>
      </c>
      <c r="B173" s="5" t="str">
        <f>IFERROR(__xludf.DUMMYFUNCTION("GOOGLETRANSLATE(H173, ""th"", ""en"")"),"How did training in the Rattanakosin period affect soldiers?")</f>
        <v>How did training in the Rattanakosin period affect soldiers?</v>
      </c>
      <c r="C173" s="5" t="str">
        <f>IFERROR(__xludf.DUMMYFUNCTION("GOOGLETRANSLATE(I173, ""th"", ""en"")"),"A) Soldiers are fast in combat; B) Soldiers can defend themselves well; C) Soldiers can deal with enemies well; D) Soldiers have good fighting skills.")</f>
        <v>A) Soldiers are fast in combat; B) Soldiers can defend themselves well; C) Soldiers can deal with enemies well; D) Soldiers have good fighting skills.</v>
      </c>
      <c r="D173" s="5" t="str">
        <f>IFERROR(__xludf.DUMMYFUNCTION("GOOGLETRANSLATE(J173, ""th"", ""en"")"),"D) Soldiers have good fighting skills.")</f>
        <v>D) Soldiers have good fighting skills.</v>
      </c>
      <c r="E173" s="5" t="str">
        <f>IFERROR(__xludf.DUMMYFUNCTION("GOOGLETRANSLATE(K173, ""th"", ""en"")"),"Training in the Rattanakosin period helped soldiers develop good fighting skills.")</f>
        <v>Training in the Rattanakosin period helped soldiers develop good fighting skills.</v>
      </c>
      <c r="G173" s="6">
        <v>172.0</v>
      </c>
      <c r="H173" s="7" t="s">
        <v>2334</v>
      </c>
      <c r="I173" s="7" t="s">
        <v>2335</v>
      </c>
      <c r="J173" s="7" t="s">
        <v>2336</v>
      </c>
      <c r="K173" s="7" t="s">
        <v>2337</v>
      </c>
    </row>
    <row r="174" ht="14.25" customHeight="1">
      <c r="A174" s="4">
        <v>173.0</v>
      </c>
      <c r="B174" s="5" t="str">
        <f>IFERROR(__xludf.DUMMYFUNCTION("GOOGLETRANSLATE(H174, ""th"", ""en"")"),"What did training in the Rattanakosin period help soldiers learn?")</f>
        <v>What did training in the Rattanakosin period help soldiers learn?</v>
      </c>
      <c r="C174" s="5" t="str">
        <f>IFERROR(__xludf.DUMMYFUNCTION("GOOGLETRANSLATE(I174, ""th"", ""en"")"),"A) Shooting training; B) Self-defense training; C) Sword training; D) Battlefield combat training")</f>
        <v>A) Shooting training; B) Self-defense training; C) Sword training; D) Battlefield combat training</v>
      </c>
      <c r="D174" s="5" t="str">
        <f>IFERROR(__xludf.DUMMYFUNCTION("GOOGLETRANSLATE(J174, ""th"", ""en"")"),"B) Self-defense training")</f>
        <v>B) Self-defense training</v>
      </c>
      <c r="E174" s="5" t="str">
        <f>IFERROR(__xludf.DUMMYFUNCTION("GOOGLETRANSLATE(K174, ""th"", ""en"")"),"The practice of the Wow lane during the Rattanakosin period helped soldiers train themselves in self-defense.")</f>
        <v>The practice of the Wow lane during the Rattanakosin period helped soldiers train themselves in self-defense.</v>
      </c>
      <c r="G174" s="6">
        <v>173.0</v>
      </c>
      <c r="H174" s="7" t="s">
        <v>2338</v>
      </c>
      <c r="I174" s="7" t="s">
        <v>2339</v>
      </c>
      <c r="J174" s="7" t="s">
        <v>2340</v>
      </c>
      <c r="K174" s="7" t="s">
        <v>2341</v>
      </c>
    </row>
    <row r="175" ht="14.25" customHeight="1">
      <c r="A175" s="4">
        <v>174.0</v>
      </c>
      <c r="B175" s="5" t="str">
        <f>IFERROR(__xludf.DUMMYFUNCTION("GOOGLETRANSLATE(H175, ""th"", ""en"")"),"How was the lane developed during the Ayutthaya period?")</f>
        <v>How was the lane developed during the Ayutthaya period?</v>
      </c>
      <c r="C175" s="5" t="str">
        <f>IFERROR(__xludf.DUMMYFUNCTION("GOOGLETRANSLATE(I175, ""th"", ""en"")"),"A) from military training to sports; B) from sports to military training; C) from sports to competition; D) from military training to self-defense.")</f>
        <v>A) from military training to sports; B) from sports to military training; C) from sports to competition; D) from military training to self-defense.</v>
      </c>
      <c r="D175" s="5" t="str">
        <f>IFERROR(__xludf.DUMMYFUNCTION("GOOGLETRANSLATE(J175, ""th"", ""en"")"),"B) From sports to military training")</f>
        <v>B) From sports to military training</v>
      </c>
      <c r="E175" s="5" t="str">
        <f>IFERROR(__xludf.DUMMYFUNCTION("GOOGLETRANSLATE(K175, ""th"", ""en"")"),"The lane during the Ayutthaya period was developed into a military training facility.")</f>
        <v>The lane during the Ayutthaya period was developed into a military training facility.</v>
      </c>
      <c r="G175" s="6">
        <v>174.0</v>
      </c>
      <c r="H175" s="7" t="s">
        <v>2342</v>
      </c>
      <c r="I175" s="7" t="s">
        <v>2343</v>
      </c>
      <c r="J175" s="7" t="s">
        <v>2344</v>
      </c>
      <c r="K175" s="7" t="s">
        <v>2345</v>
      </c>
    </row>
    <row r="176" ht="14.25" customHeight="1">
      <c r="A176" s="4">
        <v>175.0</v>
      </c>
      <c r="B176" s="5" t="str">
        <f>IFERROR(__xludf.DUMMYFUNCTION("GOOGLETRANSLATE(H176, ""th"", ""en"")"),"How was the lane used for military training in the Ayutthaya period?")</f>
        <v>How was the lane used for military training in the Ayutthaya period?</v>
      </c>
      <c r="C176" s="5" t="str">
        <f>IFERROR(__xludf.DUMMYFUNCTION("GOOGLETRANSLATE(I176, ""th"", ""en"")"),"A) Train soldiers to have good fighting skills; B) Train soldiers to have self-defense skills; C) Train soldiers to be able to use guns; D) Train soldiers to be able to use swords.")</f>
        <v>A) Train soldiers to have good fighting skills; B) Train soldiers to have self-defense skills; C) Train soldiers to be able to use guns; D) Train soldiers to be able to use swords.</v>
      </c>
      <c r="D176" s="5" t="str">
        <f>IFERROR(__xludf.DUMMYFUNCTION("GOOGLETRANSLATE(J176, ""th"", ""en"")"),"A) Train soldiers to have good fighting skills.")</f>
        <v>A) Train soldiers to have good fighting skills.</v>
      </c>
      <c r="E176" s="5" t="str">
        <f>IFERROR(__xludf.DUMMYFUNCTION("GOOGLETRANSLATE(K176, ""th"", ""en"")"),"The lane in the Ayutthaya period was used to train soldiers to have good fighting skills.")</f>
        <v>The lane in the Ayutthaya period was used to train soldiers to have good fighting skills.</v>
      </c>
      <c r="G176" s="6">
        <v>175.0</v>
      </c>
      <c r="H176" s="7" t="s">
        <v>2346</v>
      </c>
      <c r="I176" s="7" t="s">
        <v>2347</v>
      </c>
      <c r="J176" s="7" t="s">
        <v>2348</v>
      </c>
      <c r="K176" s="7" t="s">
        <v>2349</v>
      </c>
    </row>
    <row r="177" ht="14.25" customHeight="1">
      <c r="A177" s="4">
        <v>176.0</v>
      </c>
      <c r="B177" s="5" t="str">
        <f>IFERROR(__xludf.DUMMYFUNCTION("GOOGLETRANSLATE(H177, ""th"", ""en"")"),"During the Rattanakosin period, what important role did the training of the Wow Lane play?")</f>
        <v>During the Rattanakosin period, what important role did the training of the Wow Lane play?</v>
      </c>
      <c r="C177" s="5" t="str">
        <f>IFERROR(__xludf.DUMMYFUNCTION("GOOGLETRANSLATE(I177, ""th"", ""en"")"),"A) Help train soldiers to be ready for battle; B) Help train soldiers to be strong; C) Help train soldiers to be brave; D) Help train soldiers to be careful.")</f>
        <v>A) Help train soldiers to be ready for battle; B) Help train soldiers to be strong; C) Help train soldiers to be brave; D) Help train soldiers to be careful.</v>
      </c>
      <c r="D177" s="5" t="str">
        <f>IFERROR(__xludf.DUMMYFUNCTION("GOOGLETRANSLATE(J177, ""th"", ""en"")"),"A) Help train soldiers to be ready for battle.")</f>
        <v>A) Help train soldiers to be ready for battle.</v>
      </c>
      <c r="E177" s="5" t="str">
        <f>IFERROR(__xludf.DUMMYFUNCTION("GOOGLETRANSLATE(K177, ""th"", ""en"")"),"Training in the Rattanakosin period helped train soldiers to be ready for battle.")</f>
        <v>Training in the Rattanakosin period helped train soldiers to be ready for battle.</v>
      </c>
      <c r="G177" s="6">
        <v>176.0</v>
      </c>
      <c r="H177" s="7" t="s">
        <v>2350</v>
      </c>
      <c r="I177" s="7" t="s">
        <v>2351</v>
      </c>
      <c r="J177" s="7" t="s">
        <v>2352</v>
      </c>
      <c r="K177" s="7" t="s">
        <v>2353</v>
      </c>
    </row>
    <row r="178" ht="14.25" customHeight="1">
      <c r="A178" s="4">
        <v>177.0</v>
      </c>
      <c r="B178" s="5" t="str">
        <f>IFERROR(__xludf.DUMMYFUNCTION("GOOGLETRANSLATE(H178, ""th"", ""en"")"),"During the Rattanakosin period, what benefits did soldiers who trained in the Wow lane receive from the training?")</f>
        <v>During the Rattanakosin period, what benefits did soldiers who trained in the Wow lane receive from the training?</v>
      </c>
      <c r="C178" s="5" t="str">
        <f>IFERROR(__xludf.DUMMYFUNCTION("GOOGLETRANSLATE(I178, ""th"", ""en"")"),"A) Self-defense training; B) Gun training; C) Agility fighting training; D) Sword training")</f>
        <v>A) Self-defense training; B) Gun training; C) Agility fighting training; D) Sword training</v>
      </c>
      <c r="D178" s="5" t="str">
        <f>IFERROR(__xludf.DUMMYFUNCTION("GOOGLETRANSLATE(J178, ""th"", ""en"")"),"C) Agility combat training")</f>
        <v>C) Agility combat training</v>
      </c>
      <c r="E178" s="5" t="str">
        <f>IFERROR(__xludf.DUMMYFUNCTION("GOOGLETRANSLATE(K178, ""th"", ""en"")"),"Soldiers who trained in the Rattanakosin period would benefit from training in agility combat.")</f>
        <v>Soldiers who trained in the Rattanakosin period would benefit from training in agility combat.</v>
      </c>
      <c r="G178" s="6">
        <v>177.0</v>
      </c>
      <c r="H178" s="7" t="s">
        <v>2354</v>
      </c>
      <c r="I178" s="7" t="s">
        <v>2355</v>
      </c>
      <c r="J178" s="7" t="s">
        <v>2356</v>
      </c>
      <c r="K178" s="7" t="s">
        <v>2357</v>
      </c>
    </row>
    <row r="179" ht="14.25" customHeight="1">
      <c r="A179" s="4">
        <v>178.0</v>
      </c>
      <c r="B179" s="5" t="str">
        <f>IFERROR(__xludf.DUMMYFUNCTION("GOOGLETRANSLATE(H179, ""th"", ""en"")"),"What was the main activity in training the Wow Lane in the Rattanakosin period?")</f>
        <v>What was the main activity in training the Wow Lane in the Rattanakosin period?</v>
      </c>
      <c r="C179" s="5" t="str">
        <f>IFERROR(__xludf.DUMMYFUNCTION("GOOGLETRANSLATE(I179, ""th"", ""en"")"),"A) Gun skills; B) Sword skills; C) Fighting skills; D) Archery skills")</f>
        <v>A) Gun skills; B) Sword skills; C) Fighting skills; D) Archery skills</v>
      </c>
      <c r="D179" s="5" t="str">
        <f>IFERROR(__xludf.DUMMYFUNCTION("GOOGLETRANSLATE(J179, ""th"", ""en"")"),"C) Fighting skills")</f>
        <v>C) Fighting skills</v>
      </c>
      <c r="E179" s="5" t="str">
        <f>IFERROR(__xludf.DUMMYFUNCTION("GOOGLETRANSLATE(K179, ""th"", ""en"")"),"Training in the Rattanakosin period was the main activity for training fighting skills.")</f>
        <v>Training in the Rattanakosin period was the main activity for training fighting skills.</v>
      </c>
      <c r="G179" s="6">
        <v>178.0</v>
      </c>
      <c r="H179" s="7" t="s">
        <v>2358</v>
      </c>
      <c r="I179" s="7" t="s">
        <v>2359</v>
      </c>
      <c r="J179" s="7" t="s">
        <v>2360</v>
      </c>
      <c r="K179" s="7" t="s">
        <v>2361</v>
      </c>
    </row>
    <row r="180" ht="14.25" customHeight="1">
      <c r="A180" s="4">
        <v>179.0</v>
      </c>
      <c r="B180" s="5" t="str">
        <f>IFERROR(__xludf.DUMMYFUNCTION("GOOGLETRANSLATE(H180, ""th"", ""en"")"),"During the Rattanakosin period, what was Len Wow used for?")</f>
        <v>During the Rattanakosin period, what was Len Wow used for?</v>
      </c>
      <c r="C180" s="5" t="str">
        <f>IFERROR(__xludf.DUMMYFUNCTION("GOOGLETRANSLATE(I180, ""th"", ""en"")"),"A) Fighting skills; B) Gun use; C) Archery; D) Sword use")</f>
        <v>A) Fighting skills; B) Gun use; C) Archery; D) Sword use</v>
      </c>
      <c r="D180" s="5" t="str">
        <f>IFERROR(__xludf.DUMMYFUNCTION("GOOGLETRANSLATE(J180, ""th"", ""en"")"),"A) Fighting skills")</f>
        <v>A) Fighting skills</v>
      </c>
      <c r="E180" s="5" t="str">
        <f>IFERROR(__xludf.DUMMYFUNCTION("GOOGLETRANSLATE(K180, ""th"", ""en"")"),"During the Rattanakosin period, the lane was used to train fighting skills.")</f>
        <v>During the Rattanakosin period, the lane was used to train fighting skills.</v>
      </c>
      <c r="G180" s="6">
        <v>179.0</v>
      </c>
      <c r="H180" s="7" t="s">
        <v>2362</v>
      </c>
      <c r="I180" s="7" t="s">
        <v>2363</v>
      </c>
      <c r="J180" s="7" t="s">
        <v>2127</v>
      </c>
      <c r="K180" s="7" t="s">
        <v>2364</v>
      </c>
    </row>
    <row r="181" ht="14.25" customHeight="1">
      <c r="A181" s="4">
        <v>180.0</v>
      </c>
      <c r="B181" s="5" t="str">
        <f>IFERROR(__xludf.DUMMYFUNCTION("GOOGLETRANSLATE(H181, ""th"", ""en"")"),"What was the significance of the Lane Wow during the Ayutthaya period?")</f>
        <v>What was the significance of the Lane Wow during the Ayutthaya period?</v>
      </c>
      <c r="C181" s="5" t="str">
        <f>IFERROR(__xludf.DUMMYFUNCTION("GOOGLETRANSLATE(I181, ""th"", ""en"")"),"A) used in training soldiers to be ready for battle; B) used in sports competitions; C) used in developing martial arts; D) used in entertainment.")</f>
        <v>A) used in training soldiers to be ready for battle; B) used in sports competitions; C) used in developing martial arts; D) used in entertainment.</v>
      </c>
      <c r="D181" s="5" t="str">
        <f>IFERROR(__xludf.DUMMYFUNCTION("GOOGLETRANSLATE(J181, ""th"", ""en"")"),"A) Used to train soldiers to be ready for battle.")</f>
        <v>A) Used to train soldiers to be ready for battle.</v>
      </c>
      <c r="E181" s="5" t="str">
        <f>IFERROR(__xludf.DUMMYFUNCTION("GOOGLETRANSLATE(K181, ""th"", ""en"")"),"The lanes in the Ayutthaya period were used to train soldiers to be ready for battle.")</f>
        <v>The lanes in the Ayutthaya period were used to train soldiers to be ready for battle.</v>
      </c>
      <c r="G181" s="6">
        <v>180.0</v>
      </c>
      <c r="H181" s="7" t="s">
        <v>2365</v>
      </c>
      <c r="I181" s="7" t="s">
        <v>2366</v>
      </c>
      <c r="J181" s="7" t="s">
        <v>2367</v>
      </c>
      <c r="K181" s="7" t="s">
        <v>2315</v>
      </c>
    </row>
    <row r="182" ht="14.25" customHeight="1">
      <c r="A182" s="4">
        <v>181.0</v>
      </c>
      <c r="B182" s="5" t="str">
        <f>IFERROR(__xludf.DUMMYFUNCTION("GOOGLETRANSLATE(H182, ""th"", ""en"")"),"What role did the training of the Wow lane play in the Ayutthaya period?")</f>
        <v>What role did the training of the Wow lane play in the Ayutthaya period?</v>
      </c>
      <c r="C182" s="5" t="str">
        <f>IFERROR(__xludf.DUMMYFUNCTION("GOOGLETRANSLATE(I182, ""th"", ""en"")"),"A) self-defense; B) training soldiers to be more flexible; C) developing gun skills; D) developing archery skills.")</f>
        <v>A) self-defense; B) training soldiers to be more flexible; C) developing gun skills; D) developing archery skills.</v>
      </c>
      <c r="D182" s="5" t="str">
        <f>IFERROR(__xludf.DUMMYFUNCTION("GOOGLETRANSLATE(J182, ""th"", ""en"")"),"B) Training soldiers to be flexible")</f>
        <v>B) Training soldiers to be flexible</v>
      </c>
      <c r="E182" s="5" t="str">
        <f>IFERROR(__xludf.DUMMYFUNCTION("GOOGLETRANSLATE(K182, ""th"", ""en"")"),"Training in the Ayutthaya period helped develop soldiers' fighting skills and agility.")</f>
        <v>Training in the Ayutthaya period helped develop soldiers' fighting skills and agility.</v>
      </c>
      <c r="G182" s="6">
        <v>181.0</v>
      </c>
      <c r="H182" s="7" t="s">
        <v>2368</v>
      </c>
      <c r="I182" s="7" t="s">
        <v>2369</v>
      </c>
      <c r="J182" s="7" t="s">
        <v>2370</v>
      </c>
      <c r="K182" s="7" t="s">
        <v>2371</v>
      </c>
    </row>
    <row r="183" ht="14.25" customHeight="1">
      <c r="A183" s="4">
        <v>182.0</v>
      </c>
      <c r="B183" s="5" t="str">
        <f>IFERROR(__xludf.DUMMYFUNCTION("GOOGLETRANSLATE(H183, ""th"", ""en"")"),"How was the Lane Wow practiced during the Rattanakosin period?")</f>
        <v>How was the Lane Wow practiced during the Rattanakosin period?</v>
      </c>
      <c r="C183" s="5" t="str">
        <f>IFERROR(__xludf.DUMMYFUNCTION("GOOGLETRANSLATE(I183, ""th"", ""en"")"),"A) Training in fighting skills; B) Training in gun use; C) Training in bow use; D) Training in sword use")</f>
        <v>A) Training in fighting skills; B) Training in gun use; C) Training in bow use; D) Training in sword use</v>
      </c>
      <c r="D183" s="5" t="str">
        <f>IFERROR(__xludf.DUMMYFUNCTION("GOOGLETRANSLATE(J183, ""th"", ""en"")"),"A) Practice fighting skills.")</f>
        <v>A) Practice fighting skills.</v>
      </c>
      <c r="E183" s="5" t="str">
        <f>IFERROR(__xludf.DUMMYFUNCTION("GOOGLETRANSLATE(K183, ""th"", ""en"")"),"The lane in the Rattanakosin period was used to train fighting skills.")</f>
        <v>The lane in the Rattanakosin period was used to train fighting skills.</v>
      </c>
      <c r="G183" s="6">
        <v>182.0</v>
      </c>
      <c r="H183" s="7" t="s">
        <v>2372</v>
      </c>
      <c r="I183" s="7" t="s">
        <v>2373</v>
      </c>
      <c r="J183" s="7" t="s">
        <v>2374</v>
      </c>
      <c r="K183" s="7" t="s">
        <v>2375</v>
      </c>
    </row>
    <row r="184" ht="14.25" customHeight="1">
      <c r="A184" s="4">
        <v>183.0</v>
      </c>
      <c r="B184" s="5" t="str">
        <f>IFERROR(__xludf.DUMMYFUNCTION("GOOGLETRANSLATE(H184, ""th"", ""en"")"),"What aspect of training was emphasized in the training of the Wow lane during the Ayutthaya period?")</f>
        <v>What aspect of training was emphasized in the training of the Wow lane during the Ayutthaya period?</v>
      </c>
      <c r="C184" s="5" t="str">
        <f>IFERROR(__xludf.DUMMYFUNCTION("GOOGLETRANSLATE(I184, ""th"", ""en"")"),"A) Agility fighting; B) Sword training; C) Self-defense training; D) Gun training")</f>
        <v>A) Agility fighting; B) Sword training; C) Self-defense training; D) Gun training</v>
      </c>
      <c r="D184" s="5" t="str">
        <f>IFERROR(__xludf.DUMMYFUNCTION("GOOGLETRANSLATE(J184, ""th"", ""en"")"),"A) Agile combat")</f>
        <v>A) Agile combat</v>
      </c>
      <c r="E184" s="5" t="str">
        <f>IFERROR(__xludf.DUMMYFUNCTION("GOOGLETRANSLATE(K184, ""th"", ""en"")"),"The training of the Wow lane during the Ayutthaya period focused on training in agility combat.")</f>
        <v>The training of the Wow lane during the Ayutthaya period focused on training in agility combat.</v>
      </c>
      <c r="G184" s="6">
        <v>183.0</v>
      </c>
      <c r="H184" s="7" t="s">
        <v>2376</v>
      </c>
      <c r="I184" s="7" t="s">
        <v>2377</v>
      </c>
      <c r="J184" s="7" t="s">
        <v>2378</v>
      </c>
      <c r="K184" s="7" t="s">
        <v>2379</v>
      </c>
    </row>
    <row r="185" ht="14.25" customHeight="1">
      <c r="A185" s="4">
        <v>184.0</v>
      </c>
      <c r="B185" s="5" t="str">
        <f>IFERROR(__xludf.DUMMYFUNCTION("GOOGLETRANSLATE(H185, ""th"", ""en"")"),"During the Ayutthaya period, what was Len Wow used for in military training?")</f>
        <v>During the Ayutthaya period, what was Len Wow used for in military training?</v>
      </c>
      <c r="C185" s="5" t="str">
        <f>IFERROR(__xludf.DUMMYFUNCTION("GOOGLETRANSLATE(I185, ""th"", ""en"")"),"A) Training in combat on the battlefield; B) Defending oneself from enemies; C) Using weapons; D) Defending against attacks.")</f>
        <v>A) Training in combat on the battlefield; B) Defending oneself from enemies; C) Using weapons; D) Defending against attacks.</v>
      </c>
      <c r="D185" s="5" t="str">
        <f>IFERROR(__xludf.DUMMYFUNCTION("GOOGLETRANSLATE(J185, ""th"", ""en"")"),"A) Battlefield combat training")</f>
        <v>A) Battlefield combat training</v>
      </c>
      <c r="E185" s="5" t="str">
        <f>IFERROR(__xludf.DUMMYFUNCTION("GOOGLETRANSLATE(K185, ""th"", ""en"")"),"The lane in the Ayutthaya period was used to train soldiers to have skills in fighting on the battlefield.")</f>
        <v>The lane in the Ayutthaya period was used to train soldiers to have skills in fighting on the battlefield.</v>
      </c>
      <c r="G185" s="6">
        <v>184.0</v>
      </c>
      <c r="H185" s="7" t="s">
        <v>2380</v>
      </c>
      <c r="I185" s="7" t="s">
        <v>2381</v>
      </c>
      <c r="J185" s="7" t="s">
        <v>2382</v>
      </c>
      <c r="K185" s="7" t="s">
        <v>2383</v>
      </c>
    </row>
    <row r="186" ht="14.25" customHeight="1">
      <c r="A186" s="4">
        <v>185.0</v>
      </c>
      <c r="B186" s="5" t="str">
        <f>IFERROR(__xludf.DUMMYFUNCTION("GOOGLETRANSLATE(H186, ""th"", ""en"")"),"During the Ayutthaya period, what did those who practiced the Wow lane receive training in?")</f>
        <v>During the Ayutthaya period, what did those who practiced the Wow lane receive training in?</v>
      </c>
      <c r="C186" s="5" t="str">
        <f>IFERROR(__xludf.DUMMYFUNCTION("GOOGLETRANSLATE(I186, ""th"", ""en"")"),"A) military combat; B) archery; C) gunfire; D) self-defense against enemies")</f>
        <v>A) military combat; B) archery; C) gunfire; D) self-defense against enemies</v>
      </c>
      <c r="D186" s="5" t="str">
        <f>IFERROR(__xludf.DUMMYFUNCTION("GOOGLETRANSLATE(J186, ""th"", ""en"")"),"A) Military battles")</f>
        <v>A) Military battles</v>
      </c>
      <c r="E186" s="5" t="str">
        <f>IFERROR(__xludf.DUMMYFUNCTION("GOOGLETRANSLATE(K186, ""th"", ""en"")"),"Those who practiced the Wow lane during the Ayutthaya period received training in military combat.")</f>
        <v>Those who practiced the Wow lane during the Ayutthaya period received training in military combat.</v>
      </c>
      <c r="G186" s="6">
        <v>185.0</v>
      </c>
      <c r="H186" s="7" t="s">
        <v>2384</v>
      </c>
      <c r="I186" s="7" t="s">
        <v>2385</v>
      </c>
      <c r="J186" s="7" t="s">
        <v>2386</v>
      </c>
      <c r="K186" s="7" t="s">
        <v>2387</v>
      </c>
    </row>
    <row r="187" ht="14.25" customHeight="1">
      <c r="A187" s="4">
        <v>186.0</v>
      </c>
      <c r="B187" s="5" t="str">
        <f>IFERROR(__xludf.DUMMYFUNCTION("GOOGLETRANSLATE(H187, ""th"", ""en"")"),"What kind of military training was used in the Rattanakosin period?")</f>
        <v>What kind of military training was used in the Rattanakosin period?</v>
      </c>
      <c r="C187" s="5" t="str">
        <f>IFERROR(__xludf.DUMMYFUNCTION("GOOGLETRANSLATE(I187, ""th"", ""en"")"),"A) Combat training; B) Gun training; C) Archery training; D) Self-defense training")</f>
        <v>A) Combat training; B) Gun training; C) Archery training; D) Self-defense training</v>
      </c>
      <c r="D187" s="5" t="str">
        <f>IFERROR(__xludf.DUMMYFUNCTION("GOOGLETRANSLATE(J187, ""th"", ""en"")"),"A) Combat training")</f>
        <v>A) Combat training</v>
      </c>
      <c r="E187" s="5" t="str">
        <f>IFERROR(__xludf.DUMMYFUNCTION("GOOGLETRANSLATE(K187, ""th"", ""en"")"),"The lane in the Rattanakosin period was used to train soldiers to have fighting skills.")</f>
        <v>The lane in the Rattanakosin period was used to train soldiers to have fighting skills.</v>
      </c>
      <c r="G187" s="6">
        <v>186.0</v>
      </c>
      <c r="H187" s="7" t="s">
        <v>2388</v>
      </c>
      <c r="I187" s="7" t="s">
        <v>2389</v>
      </c>
      <c r="J187" s="7" t="s">
        <v>2390</v>
      </c>
      <c r="K187" s="7" t="s">
        <v>2391</v>
      </c>
    </row>
    <row r="188" ht="14.25" customHeight="1">
      <c r="A188" s="4">
        <v>187.0</v>
      </c>
      <c r="B188" s="5" t="str">
        <f>IFERROR(__xludf.DUMMYFUNCTION("GOOGLETRANSLATE(H188, ""th"", ""en"")"),"What skills did practicing lane wow during the Rattanakosin period help develop?")</f>
        <v>What skills did practicing lane wow during the Rattanakosin period help develop?</v>
      </c>
      <c r="C188" s="5" t="str">
        <f>IFERROR(__xludf.DUMMYFUNCTION("GOOGLETRANSLATE(I188, ""th"", ""en"")"),"A) Agile fighting skills; B) Self-defense skills; C) Gun skills; D) Archery skills")</f>
        <v>A) Agile fighting skills; B) Self-defense skills; C) Gun skills; D) Archery skills</v>
      </c>
      <c r="D188" s="5" t="str">
        <f>IFERROR(__xludf.DUMMYFUNCTION("GOOGLETRANSLATE(J188, ""th"", ""en"")"),"A) Agile fighting skills")</f>
        <v>A) Agile fighting skills</v>
      </c>
      <c r="E188" s="5" t="str">
        <f>IFERROR(__xludf.DUMMYFUNCTION("GOOGLETRANSLATE(K188, ""th"", ""en"")"),"Training in the Rattanakosin period helped develop agile fighting skills.")</f>
        <v>Training in the Rattanakosin period helped develop agile fighting skills.</v>
      </c>
      <c r="G188" s="6">
        <v>187.0</v>
      </c>
      <c r="H188" s="7" t="s">
        <v>2392</v>
      </c>
      <c r="I188" s="7" t="s">
        <v>2393</v>
      </c>
      <c r="J188" s="7" t="s">
        <v>2394</v>
      </c>
      <c r="K188" s="7" t="s">
        <v>2395</v>
      </c>
    </row>
    <row r="189" ht="14.25" customHeight="1">
      <c r="A189" s="4">
        <v>188.0</v>
      </c>
      <c r="B189" s="5" t="str">
        <f>IFERROR(__xludf.DUMMYFUNCTION("GOOGLETRANSLATE(H189, ""th"", ""en"")"),"What did soldiers learn during the training of the Wow Lane during the Ayutthaya period?")</f>
        <v>What did soldiers learn during the training of the Wow Lane during the Ayutthaya period?</v>
      </c>
      <c r="C189" s="5" t="str">
        <f>IFERROR(__xludf.DUMMYFUNCTION("GOOGLETRANSLATE(I189, ""th"", ""en"")"),"A) fighting on the battlefield; B) using guns and bows; C) using swords; D) defending oneself from enemies.")</f>
        <v>A) fighting on the battlefield; B) using guns and bows; C) using swords; D) defending oneself from enemies.</v>
      </c>
      <c r="D189" s="5" t="str">
        <f>IFERROR(__xludf.DUMMYFUNCTION("GOOGLETRANSLATE(J189, ""th"", ""en"")"),"A) Fighting on the battlefield")</f>
        <v>A) Fighting on the battlefield</v>
      </c>
      <c r="E189" s="5" t="str">
        <f>IFERROR(__xludf.DUMMYFUNCTION("GOOGLETRANSLATE(K189, ""th"", ""en"")"),"During the training period of the Ayutthaya period, soldiers learned how to fight on the battlefield.")</f>
        <v>During the training period of the Ayutthaya period, soldiers learned how to fight on the battlefield.</v>
      </c>
      <c r="G189" s="6">
        <v>188.0</v>
      </c>
      <c r="H189" s="7" t="s">
        <v>2396</v>
      </c>
      <c r="I189" s="7" t="s">
        <v>2397</v>
      </c>
      <c r="J189" s="7" t="s">
        <v>2398</v>
      </c>
      <c r="K189" s="7" t="s">
        <v>2399</v>
      </c>
    </row>
    <row r="190" ht="14.25" customHeight="1">
      <c r="A190" s="4">
        <v>189.0</v>
      </c>
      <c r="B190" s="5" t="str">
        <f>IFERROR(__xludf.DUMMYFUNCTION("GOOGLETRANSLATE(H190, ""th"", ""en"")"),"What was the Lane Wow used for in the Ayutthaya period?")</f>
        <v>What was the Lane Wow used for in the Ayutthaya period?</v>
      </c>
      <c r="C190" s="5" t="str">
        <f>IFERROR(__xludf.DUMMYFUNCTION("GOOGLETRANSLATE(I190, ""th"", ""en"")"),"A) Military training in combat; B) Sword training; C) Self-defense training; D) Archery training")</f>
        <v>A) Military training in combat; B) Sword training; C) Self-defense training; D) Archery training</v>
      </c>
      <c r="D190" s="5" t="str">
        <f>IFERROR(__xludf.DUMMYFUNCTION("GOOGLETRANSLATE(J190, ""th"", ""en"")"),"A) Military training in combat")</f>
        <v>A) Military training in combat</v>
      </c>
      <c r="E190" s="5" t="str">
        <f>IFERROR(__xludf.DUMMYFUNCTION("GOOGLETRANSLATE(K190, ""th"", ""en"")"),"The lanes in the Ayutthaya period were used to train soldiers to be ready for battle.")</f>
        <v>The lanes in the Ayutthaya period were used to train soldiers to be ready for battle.</v>
      </c>
      <c r="G190" s="6">
        <v>189.0</v>
      </c>
      <c r="H190" s="7" t="s">
        <v>2245</v>
      </c>
      <c r="I190" s="7" t="s">
        <v>2400</v>
      </c>
      <c r="J190" s="7" t="s">
        <v>2401</v>
      </c>
      <c r="K190" s="7" t="s">
        <v>2315</v>
      </c>
    </row>
    <row r="191" ht="14.25" customHeight="1">
      <c r="A191" s="4">
        <v>190.0</v>
      </c>
      <c r="B191" s="5" t="str">
        <f>IFERROR(__xludf.DUMMYFUNCTION("GOOGLETRANSLATE(H191, ""th"", ""en"")"),"How is the practice of lane wow different in the Ayutthaya and Rattanakosin periods?")</f>
        <v>How is the practice of lane wow different in the Ayutthaya and Rattanakosin periods?</v>
      </c>
      <c r="C191" s="5" t="str">
        <f>IFERROR(__xludf.DUMMYFUNCTION("GOOGLETRANSLATE(I191, ""th"", ""en"")"),"A) Training in Ayutthaya focused on soldiers; B) Training in Rattanakosin focused on agility; C) Training in Ayutthaya used guns; D) Training in Rattanakosin used swords.")</f>
        <v>A) Training in Ayutthaya focused on soldiers; B) Training in Rattanakosin focused on agility; C) Training in Ayutthaya used guns; D) Training in Rattanakosin used swords.</v>
      </c>
      <c r="D191" s="5" t="str">
        <f>IFERROR(__xludf.DUMMYFUNCTION("GOOGLETRANSLATE(J191, ""th"", ""en"")"),"B) Training in Rattanakosin emphasizes agility.")</f>
        <v>B) Training in Rattanakosin emphasizes agility.</v>
      </c>
      <c r="E191" s="5" t="str">
        <f>IFERROR(__xludf.DUMMYFUNCTION("GOOGLETRANSLATE(K191, ""th"", ""en"")"),"Training in Rattanakosin focused on training soldiers to be more flexible in combat.")</f>
        <v>Training in Rattanakosin focused on training soldiers to be more flexible in combat.</v>
      </c>
      <c r="G191" s="6">
        <v>190.0</v>
      </c>
      <c r="H191" s="7" t="s">
        <v>2402</v>
      </c>
      <c r="I191" s="7" t="s">
        <v>2403</v>
      </c>
      <c r="J191" s="7" t="s">
        <v>2404</v>
      </c>
      <c r="K191" s="7" t="s">
        <v>2405</v>
      </c>
    </row>
    <row r="192" ht="14.25" customHeight="1">
      <c r="A192" s="4">
        <v>191.0</v>
      </c>
      <c r="B192" s="5" t="str">
        <f>IFERROR(__xludf.DUMMYFUNCTION("GOOGLETRANSLATE(H192, ""th"", ""en"")"),"How was the lane developed during the Rattanakosin period?")</f>
        <v>How was the lane developed during the Rattanakosin period?</v>
      </c>
      <c r="C192" s="5" t="str">
        <f>IFERROR(__xludf.DUMMYFUNCTION("GOOGLETRANSLATE(I192, ""th"", ""en"")"),"A) Increase swordsmanship skills; B) Improve soldiers' agility; C) Improve soldiers' archery skills; D) Improve soldiers' gun skills.")</f>
        <v>A) Increase swordsmanship skills; B) Improve soldiers' agility; C) Improve soldiers' archery skills; D) Improve soldiers' gun skills.</v>
      </c>
      <c r="D192" s="5" t="str">
        <f>IFERROR(__xludf.DUMMYFUNCTION("GOOGLETRANSLATE(J192, ""th"", ""en"")"),"B) Develop soldiers to be more flexible.")</f>
        <v>B) Develop soldiers to be more flexible.</v>
      </c>
      <c r="E192" s="5" t="str">
        <f>IFERROR(__xludf.DUMMYFUNCTION("GOOGLETRANSLATE(K192, ""th"", ""en"")"),"The training of the Wow Lane during the Rattanakosin period was developed to make soldiers more agile.")</f>
        <v>The training of the Wow Lane during the Rattanakosin period was developed to make soldiers more agile.</v>
      </c>
      <c r="G192" s="6">
        <v>191.0</v>
      </c>
      <c r="H192" s="7" t="s">
        <v>2260</v>
      </c>
      <c r="I192" s="7" t="s">
        <v>2406</v>
      </c>
      <c r="J192" s="7" t="s">
        <v>2407</v>
      </c>
      <c r="K192" s="7" t="s">
        <v>2408</v>
      </c>
    </row>
    <row r="193" ht="14.25" customHeight="1">
      <c r="A193" s="4">
        <v>192.0</v>
      </c>
      <c r="B193" s="5" t="str">
        <f>IFERROR(__xludf.DUMMYFUNCTION("GOOGLETRANSLATE(H193, ""th"", ""en"")"),"In what aspect was the training of the Wow Lane in the Rattanakosin period used for military training?")</f>
        <v>In what aspect was the training of the Wow Lane in the Rattanakosin period used for military training?</v>
      </c>
      <c r="C193" s="5" t="str">
        <f>IFERROR(__xludf.DUMMYFUNCTION("GOOGLETRANSLATE(I193, ""th"", ""en"")"),"A) Sword training; B) Archery training; C) Defense training against enemies; D) Battlefield combat training.")</f>
        <v>A) Sword training; B) Archery training; C) Defense training against enemies; D) Battlefield combat training.</v>
      </c>
      <c r="D193" s="5" t="str">
        <f>IFERROR(__xludf.DUMMYFUNCTION("GOOGLETRANSLATE(J193, ""th"", ""en"")"),"C) Training in self-defense against enemies")</f>
        <v>C) Training in self-defense against enemies</v>
      </c>
      <c r="E193" s="5" t="str">
        <f>IFERROR(__xludf.DUMMYFUNCTION("GOOGLETRANSLATE(K193, ""th"", ""en"")"),"The practice of the Wow lane in the Rattanakosin period was used to train self-defense against enemies.")</f>
        <v>The practice of the Wow lane in the Rattanakosin period was used to train self-defense against enemies.</v>
      </c>
      <c r="G193" s="6">
        <v>192.0</v>
      </c>
      <c r="H193" s="7" t="s">
        <v>2409</v>
      </c>
      <c r="I193" s="7" t="s">
        <v>2410</v>
      </c>
      <c r="J193" s="7" t="s">
        <v>2411</v>
      </c>
      <c r="K193" s="7" t="s">
        <v>2412</v>
      </c>
    </row>
    <row r="194" ht="14.25" customHeight="1">
      <c r="A194" s="4">
        <v>193.0</v>
      </c>
      <c r="B194" s="5" t="str">
        <f>IFERROR(__xludf.DUMMYFUNCTION("GOOGLETRANSLATE(H194, ""th"", ""en"")"),"During the Rattanakosin period, what was the purpose of Len Wow for military training?")</f>
        <v>During the Rattanakosin period, what was the purpose of Len Wow for military training?</v>
      </c>
      <c r="C194" s="5" t="str">
        <f>IFERROR(__xludf.DUMMYFUNCTION("GOOGLETRANSLATE(I194, ""th"", ""en"")"),"A) To increase fighting skills; B) To increase gun skills; C) To increase archery skills; D) To increase self-defense skills.")</f>
        <v>A) To increase fighting skills; B) To increase gun skills; C) To increase archery skills; D) To increase self-defense skills.</v>
      </c>
      <c r="D194" s="5" t="str">
        <f>IFERROR(__xludf.DUMMYFUNCTION("GOOGLETRANSLATE(J194, ""th"", ""en"")"),"A) To increase fighting skills")</f>
        <v>A) To increase fighting skills</v>
      </c>
      <c r="E194" s="5" t="str">
        <f>IFERROR(__xludf.DUMMYFUNCTION("GOOGLETRANSLATE(K194, ""th"", ""en"")"),"During the Rattanakosin period, the lane was used to enhance the fighting skills of soldiers.")</f>
        <v>During the Rattanakosin period, the lane was used to enhance the fighting skills of soldiers.</v>
      </c>
      <c r="G194" s="6">
        <v>193.0</v>
      </c>
      <c r="H194" s="7" t="s">
        <v>2413</v>
      </c>
      <c r="I194" s="7" t="s">
        <v>2414</v>
      </c>
      <c r="J194" s="7" t="s">
        <v>2415</v>
      </c>
      <c r="K194" s="7" t="s">
        <v>2416</v>
      </c>
    </row>
    <row r="195" ht="14.25" customHeight="1">
      <c r="A195" s="4">
        <v>194.0</v>
      </c>
      <c r="B195" s="5" t="str">
        <f>IFERROR(__xludf.DUMMYFUNCTION("GOOGLETRANSLATE(H195, ""th"", ""en"")"),"What was the Len Wow used for in the Rattanakosin period by the military?")</f>
        <v>What was the Len Wow used for in the Rattanakosin period by the military?</v>
      </c>
      <c r="C195" s="5" t="str">
        <f>IFERROR(__xludf.DUMMYFUNCTION("GOOGLETRANSLATE(I195, ""th"", ""en"")"),"A) to improve self-defense skills; B) to practice swordsmanship; C) to practice guns; D) to practice bowmanship.")</f>
        <v>A) to improve self-defense skills; B) to practice swordsmanship; C) to practice guns; D) to practice bowmanship.</v>
      </c>
      <c r="D195" s="5" t="str">
        <f>IFERROR(__xludf.DUMMYFUNCTION("GOOGLETRANSLATE(J195, ""th"", ""en"")"),"A) To increase self-defense skills.")</f>
        <v>A) To increase self-defense skills.</v>
      </c>
      <c r="E195" s="5" t="str">
        <f>IFERROR(__xludf.DUMMYFUNCTION("GOOGLETRANSLATE(K195, ""th"", ""en"")"),"The lanes in the Rattanakosin period were used to train soldiers to defend themselves from enemies.")</f>
        <v>The lanes in the Rattanakosin period were used to train soldiers to defend themselves from enemies.</v>
      </c>
      <c r="G195" s="6">
        <v>194.0</v>
      </c>
      <c r="H195" s="7" t="s">
        <v>2417</v>
      </c>
      <c r="I195" s="7" t="s">
        <v>2418</v>
      </c>
      <c r="J195" s="7" t="s">
        <v>2419</v>
      </c>
      <c r="K195" s="7" t="s">
        <v>2420</v>
      </c>
    </row>
    <row r="196" ht="14.25" customHeight="1">
      <c r="A196" s="4">
        <v>195.0</v>
      </c>
      <c r="B196" s="5" t="str">
        <f>IFERROR(__xludf.DUMMYFUNCTION("GOOGLETRANSLATE(H196, ""th"", ""en"")"),"What was the purpose of the lane during the Ayutthaya period for training soldiers?")</f>
        <v>What was the purpose of the lane during the Ayutthaya period for training soldiers?</v>
      </c>
      <c r="C196" s="5" t="str">
        <f>IFERROR(__xludf.DUMMYFUNCTION("GOOGLETRANSLATE(I196, ""th"", ""en"")"),"A) to train soldiers in battlefield fighting skills; B) to train soldiers in the use of weapons; C) to train soldiers in agile fighting; D) to train soldiers in self-defense.")</f>
        <v>A) to train soldiers in battlefield fighting skills; B) to train soldiers in the use of weapons; C) to train soldiers in agile fighting; D) to train soldiers in self-defense.</v>
      </c>
      <c r="D196" s="5" t="str">
        <f>IFERROR(__xludf.DUMMYFUNCTION("GOOGLETRANSLATE(J196, ""th"", ""en"")"),"A) To practice fighting skills on the battlefield.")</f>
        <v>A) To practice fighting skills on the battlefield.</v>
      </c>
      <c r="E196" s="5" t="str">
        <f>IFERROR(__xludf.DUMMYFUNCTION("GOOGLETRANSLATE(K196, ""th"", ""en"")"),"The lanes in the Ayutthaya period were used to train soldiers to be ready for battle on the battlefield.")</f>
        <v>The lanes in the Ayutthaya period were used to train soldiers to be ready for battle on the battlefield.</v>
      </c>
      <c r="G196" s="6">
        <v>195.0</v>
      </c>
      <c r="H196" s="7" t="s">
        <v>2177</v>
      </c>
      <c r="I196" s="7" t="s">
        <v>2421</v>
      </c>
      <c r="J196" s="7" t="s">
        <v>2422</v>
      </c>
      <c r="K196" s="7" t="s">
        <v>2423</v>
      </c>
    </row>
    <row r="197" ht="14.25" customHeight="1">
      <c r="A197" s="4">
        <v>196.0</v>
      </c>
      <c r="B197" s="5" t="str">
        <f>IFERROR(__xludf.DUMMYFUNCTION("GOOGLETRANSLATE(H197, ""th"", ""en"")"),"What skills did training in the Rattanakosin period help develop in soldiers?")</f>
        <v>What skills did training in the Rattanakosin period help develop in soldiers?</v>
      </c>
      <c r="C197" s="5" t="str">
        <f>IFERROR(__xludf.DUMMYFUNCTION("GOOGLETRANSLATE(I197, ""th"", ""en"")"),"A) Agile fighting skills; B) Weapons skills; C) Self-defense skills; D) Gun skills")</f>
        <v>A) Agile fighting skills; B) Weapons skills; C) Self-defense skills; D) Gun skills</v>
      </c>
      <c r="D197" s="5" t="str">
        <f>IFERROR(__xludf.DUMMYFUNCTION("GOOGLETRANSLATE(J197, ""th"", ""en"")"),"A) Agile fighting skills")</f>
        <v>A) Agile fighting skills</v>
      </c>
      <c r="E197" s="5" t="str">
        <f>IFERROR(__xludf.DUMMYFUNCTION("GOOGLETRANSLATE(K197, ""th"", ""en"")"),"Training in the Rattanakosin period helped develop agile fighting skills.")</f>
        <v>Training in the Rattanakosin period helped develop agile fighting skills.</v>
      </c>
      <c r="G197" s="6">
        <v>196.0</v>
      </c>
      <c r="H197" s="7" t="s">
        <v>2424</v>
      </c>
      <c r="I197" s="7" t="s">
        <v>2425</v>
      </c>
      <c r="J197" s="7" t="s">
        <v>2394</v>
      </c>
      <c r="K197" s="7" t="s">
        <v>2395</v>
      </c>
    </row>
    <row r="198" ht="14.25" customHeight="1">
      <c r="A198" s="4">
        <v>197.0</v>
      </c>
      <c r="B198" s="5" t="str">
        <f>IFERROR(__xludf.DUMMYFUNCTION("GOOGLETRANSLATE(H198, ""th"", ""en"")"),"During the Rattanakosin period, what skills did soldiers who trained in the Wow lane have?")</f>
        <v>During the Rattanakosin period, what skills did soldiers who trained in the Wow lane have?</v>
      </c>
      <c r="C198" s="5" t="str">
        <f>IFERROR(__xludf.DUMMYFUNCTION("GOOGLETRANSLATE(I198, ""th"", ""en"")"),"A) Battlefield fighting skills; B) Defense skills against enemies; C) Swordsmanship skills; D) Archery skills")</f>
        <v>A) Battlefield fighting skills; B) Defense skills against enemies; C) Swordsmanship skills; D) Archery skills</v>
      </c>
      <c r="D198" s="5" t="str">
        <f>IFERROR(__xludf.DUMMYFUNCTION("GOOGLETRANSLATE(J198, ""th"", ""en"")"),"B) Skills for defending oneself from enemies")</f>
        <v>B) Skills for defending oneself from enemies</v>
      </c>
      <c r="E198" s="5" t="str">
        <f>IFERROR(__xludf.DUMMYFUNCTION("GOOGLETRANSLATE(K198, ""th"", ""en"")"),"Soldiers who trained in the Rattanakosin period would gain skills in defending themselves from enemies.")</f>
        <v>Soldiers who trained in the Rattanakosin period would gain skills in defending themselves from enemies.</v>
      </c>
      <c r="G198" s="6">
        <v>197.0</v>
      </c>
      <c r="H198" s="7" t="s">
        <v>2426</v>
      </c>
      <c r="I198" s="7" t="s">
        <v>2427</v>
      </c>
      <c r="J198" s="7" t="s">
        <v>2428</v>
      </c>
      <c r="K198" s="7" t="s">
        <v>2429</v>
      </c>
    </row>
    <row r="199" ht="14.25" customHeight="1">
      <c r="A199" s="4">
        <v>198.0</v>
      </c>
      <c r="B199" s="5" t="str">
        <f>IFERROR(__xludf.DUMMYFUNCTION("GOOGLETRANSLATE(H199, ""th"", ""en"")"),"In the Ayutthaya period, what kind of training was Len Wow?")</f>
        <v>In the Ayutthaya period, what kind of training was Len Wow?</v>
      </c>
      <c r="C199" s="5" t="str">
        <f>IFERROR(__xludf.DUMMYFUNCTION("GOOGLETRANSLATE(I199, ""th"", ""en"")"),"A) Swordsmanship; B) Archery; C) Fighting; D) Marksmanship")</f>
        <v>A) Swordsmanship; B) Archery; C) Fighting; D) Marksmanship</v>
      </c>
      <c r="D199" s="5" t="str">
        <f>IFERROR(__xludf.DUMMYFUNCTION("GOOGLETRANSLATE(J199, ""th"", ""en"")"),"C) Fighting skills")</f>
        <v>C) Fighting skills</v>
      </c>
      <c r="E199" s="5" t="str">
        <f>IFERROR(__xludf.DUMMYFUNCTION("GOOGLETRANSLATE(K199, ""th"", ""en"")"),"Lane Wow in the Ayutthaya period was a training for fighting skills.")</f>
        <v>Lane Wow in the Ayutthaya period was a training for fighting skills.</v>
      </c>
      <c r="G199" s="6">
        <v>198.0</v>
      </c>
      <c r="H199" s="7" t="s">
        <v>2430</v>
      </c>
      <c r="I199" s="7" t="s">
        <v>2431</v>
      </c>
      <c r="J199" s="7" t="s">
        <v>2360</v>
      </c>
      <c r="K199" s="7" t="s">
        <v>2432</v>
      </c>
    </row>
    <row r="200" ht="14.25" customHeight="1">
      <c r="A200" s="4">
        <v>199.0</v>
      </c>
      <c r="B200" s="5" t="str">
        <f>IFERROR(__xludf.DUMMYFUNCTION("GOOGLETRANSLATE(H200, ""th"", ""en"")"),"During the Rattanakosin period, what skills did soldiers who trained in the Wow lane gain?")</f>
        <v>During the Rattanakosin period, what skills did soldiers who trained in the Wow lane gain?</v>
      </c>
      <c r="C200" s="5" t="str">
        <f>IFERROR(__xludf.DUMMYFUNCTION("GOOGLETRANSLATE(I200, ""th"", ""en"")"),"A) Archery skills; B) Swordsmanship skills; C) Agile fighting skills; D) Weaponry skills")</f>
        <v>A) Archery skills; B) Swordsmanship skills; C) Agile fighting skills; D) Weaponry skills</v>
      </c>
      <c r="D200" s="5" t="str">
        <f>IFERROR(__xludf.DUMMYFUNCTION("GOOGLETRANSLATE(J200, ""th"", ""en"")"),"C) Agile fighting skills")</f>
        <v>C) Agile fighting skills</v>
      </c>
      <c r="E200" s="5" t="str">
        <f>IFERROR(__xludf.DUMMYFUNCTION("GOOGLETRANSLATE(K200, ""th"", ""en"")"),"Soldiers who trained in the Rattanakosin period received agile combat skills.")</f>
        <v>Soldiers who trained in the Rattanakosin period received agile combat skills.</v>
      </c>
      <c r="G200" s="6">
        <v>199.0</v>
      </c>
      <c r="H200" s="7" t="s">
        <v>2433</v>
      </c>
      <c r="I200" s="7" t="s">
        <v>2434</v>
      </c>
      <c r="J200" s="7" t="s">
        <v>2435</v>
      </c>
      <c r="K200" s="7" t="s">
        <v>2436</v>
      </c>
    </row>
    <row r="201" ht="14.25" customHeight="1">
      <c r="G201" s="6">
        <v>200.0</v>
      </c>
      <c r="H201" s="7" t="s">
        <v>2437</v>
      </c>
      <c r="I201" s="7" t="s">
        <v>2438</v>
      </c>
      <c r="J201" s="7" t="s">
        <v>2378</v>
      </c>
      <c r="K201" s="7" t="s">
        <v>2439</v>
      </c>
    </row>
    <row r="202" ht="14.25" customHeight="1">
      <c r="G202" s="6"/>
      <c r="H202" s="7" t="s">
        <v>2440</v>
      </c>
      <c r="I202" s="7" t="s">
        <v>2440</v>
      </c>
      <c r="J202" s="7" t="s">
        <v>2440</v>
      </c>
      <c r="K202" s="7" t="s">
        <v>2440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9"/>
      <c r="B208" s="9" t="s">
        <v>1</v>
      </c>
      <c r="C208" s="9" t="s">
        <v>759</v>
      </c>
      <c r="D208" s="9" t="s">
        <v>760</v>
      </c>
      <c r="E208" s="9" t="s">
        <v>2</v>
      </c>
      <c r="F208" s="9" t="s">
        <v>761</v>
      </c>
      <c r="G208" s="9" t="s">
        <v>3</v>
      </c>
      <c r="H208" s="9" t="s">
        <v>762</v>
      </c>
      <c r="I208" s="9" t="s">
        <v>4</v>
      </c>
      <c r="J208" s="9" t="s">
        <v>763</v>
      </c>
    </row>
    <row r="209" ht="14.25" customHeight="1">
      <c r="A209" s="11"/>
      <c r="B209" s="11" t="s">
        <v>2441</v>
      </c>
      <c r="C209" s="10">
        <v>1.0</v>
      </c>
      <c r="D209" s="12"/>
      <c r="E209" s="11" t="s">
        <v>1701</v>
      </c>
      <c r="F209" s="12"/>
      <c r="G209" s="11" t="s">
        <v>970</v>
      </c>
      <c r="H209" s="12"/>
      <c r="I209" s="11" t="s">
        <v>2442</v>
      </c>
    </row>
    <row r="210" ht="14.25" customHeight="1">
      <c r="A210" s="14"/>
      <c r="B210" s="14" t="s">
        <v>2443</v>
      </c>
      <c r="C210" s="13">
        <v>1.0</v>
      </c>
      <c r="D210" s="15"/>
      <c r="E210" s="14" t="s">
        <v>1704</v>
      </c>
      <c r="F210" s="14" t="s">
        <v>2444</v>
      </c>
      <c r="G210" s="14" t="s">
        <v>1705</v>
      </c>
      <c r="H210" s="14" t="s">
        <v>2445</v>
      </c>
      <c r="I210" s="14" t="s">
        <v>2446</v>
      </c>
    </row>
    <row r="211" ht="14.25" customHeight="1">
      <c r="A211" s="11"/>
      <c r="B211" s="11" t="s">
        <v>2447</v>
      </c>
      <c r="C211" s="10">
        <v>1.0</v>
      </c>
      <c r="D211" s="12"/>
      <c r="E211" s="11" t="s">
        <v>1708</v>
      </c>
      <c r="F211" s="12"/>
      <c r="G211" s="11" t="s">
        <v>1709</v>
      </c>
      <c r="H211" s="12"/>
      <c r="I211" s="11" t="s">
        <v>2448</v>
      </c>
      <c r="J211" s="12"/>
    </row>
    <row r="212" ht="14.25" customHeight="1">
      <c r="A212" s="14"/>
      <c r="B212" s="14" t="s">
        <v>2449</v>
      </c>
      <c r="C212" s="13">
        <v>1.0</v>
      </c>
      <c r="D212" s="15"/>
      <c r="E212" s="14" t="s">
        <v>1712</v>
      </c>
      <c r="F212" s="15"/>
      <c r="G212" s="14" t="s">
        <v>1713</v>
      </c>
      <c r="H212" s="15"/>
      <c r="I212" s="14" t="s">
        <v>2450</v>
      </c>
    </row>
    <row r="213" ht="14.25" customHeight="1">
      <c r="A213" s="11"/>
      <c r="B213" s="11" t="s">
        <v>2451</v>
      </c>
      <c r="C213" s="10">
        <v>1.0</v>
      </c>
      <c r="D213" s="12"/>
      <c r="E213" s="11" t="s">
        <v>1716</v>
      </c>
      <c r="F213" s="12"/>
      <c r="G213" s="11" t="s">
        <v>1717</v>
      </c>
      <c r="H213" s="12"/>
      <c r="I213" s="11" t="s">
        <v>2452</v>
      </c>
      <c r="J213" s="12"/>
    </row>
    <row r="214" ht="14.25" customHeight="1">
      <c r="A214" s="14"/>
      <c r="B214" s="14" t="s">
        <v>2453</v>
      </c>
      <c r="C214" s="13">
        <v>1.0</v>
      </c>
      <c r="D214" s="15"/>
      <c r="E214" s="14" t="s">
        <v>1720</v>
      </c>
      <c r="F214" s="15"/>
      <c r="G214" s="14" t="s">
        <v>287</v>
      </c>
      <c r="H214" s="15"/>
      <c r="I214" s="14" t="s">
        <v>2454</v>
      </c>
      <c r="J214" s="15"/>
    </row>
    <row r="215" ht="14.25" customHeight="1">
      <c r="A215" s="11"/>
      <c r="B215" s="11" t="s">
        <v>2455</v>
      </c>
      <c r="C215" s="10">
        <v>0.0</v>
      </c>
      <c r="D215" s="12"/>
      <c r="E215" s="11" t="s">
        <v>1723</v>
      </c>
      <c r="F215" s="12"/>
      <c r="G215" s="11" t="s">
        <v>1724</v>
      </c>
      <c r="H215" s="12"/>
      <c r="I215" s="11" t="s">
        <v>2456</v>
      </c>
      <c r="J215" s="12"/>
    </row>
    <row r="216" ht="14.25" customHeight="1">
      <c r="A216" s="14"/>
      <c r="B216" s="14" t="s">
        <v>2457</v>
      </c>
      <c r="C216" s="13">
        <v>1.0</v>
      </c>
      <c r="D216" s="15"/>
      <c r="E216" s="14" t="s">
        <v>1727</v>
      </c>
      <c r="F216" s="15"/>
      <c r="G216" s="14" t="s">
        <v>1728</v>
      </c>
      <c r="H216" s="14" t="s">
        <v>2458</v>
      </c>
      <c r="I216" s="14" t="s">
        <v>2459</v>
      </c>
      <c r="J216" s="15"/>
    </row>
    <row r="217" ht="14.25" customHeight="1">
      <c r="A217" s="11"/>
      <c r="B217" s="11" t="s">
        <v>2460</v>
      </c>
      <c r="C217" s="10">
        <v>1.0</v>
      </c>
      <c r="D217" s="12"/>
      <c r="E217" s="11" t="s">
        <v>1731</v>
      </c>
      <c r="F217" s="12"/>
      <c r="G217" s="11" t="s">
        <v>1732</v>
      </c>
      <c r="H217" s="12"/>
      <c r="I217" s="11" t="s">
        <v>2461</v>
      </c>
      <c r="J217" s="12"/>
    </row>
    <row r="218" ht="14.25" customHeight="1">
      <c r="A218" s="14"/>
      <c r="B218" s="14" t="s">
        <v>2462</v>
      </c>
      <c r="C218" s="13">
        <v>1.0</v>
      </c>
      <c r="D218" s="15"/>
      <c r="E218" s="14" t="s">
        <v>1735</v>
      </c>
      <c r="F218" s="15"/>
      <c r="G218" s="14" t="s">
        <v>1736</v>
      </c>
      <c r="H218" s="15"/>
      <c r="I218" s="14" t="s">
        <v>1737</v>
      </c>
      <c r="J218" s="15"/>
    </row>
    <row r="219" ht="14.25" customHeight="1">
      <c r="A219" s="11"/>
      <c r="B219" s="11" t="s">
        <v>2463</v>
      </c>
      <c r="C219" s="10">
        <v>1.0</v>
      </c>
      <c r="D219" s="12"/>
      <c r="E219" s="11" t="s">
        <v>1739</v>
      </c>
      <c r="G219" s="11" t="s">
        <v>1740</v>
      </c>
      <c r="H219" s="12"/>
      <c r="I219" s="11" t="s">
        <v>2464</v>
      </c>
      <c r="J219" s="12"/>
    </row>
    <row r="220" ht="14.25" customHeight="1">
      <c r="A220" s="14"/>
      <c r="B220" s="14" t="s">
        <v>2465</v>
      </c>
      <c r="C220" s="13">
        <v>1.0</v>
      </c>
      <c r="D220" s="15"/>
      <c r="E220" s="14" t="s">
        <v>1743</v>
      </c>
      <c r="F220" s="15"/>
      <c r="G220" s="14" t="s">
        <v>1744</v>
      </c>
      <c r="H220" s="15"/>
      <c r="I220" s="14" t="s">
        <v>2466</v>
      </c>
      <c r="J220" s="15"/>
    </row>
    <row r="221" ht="14.25" customHeight="1">
      <c r="A221" s="11"/>
      <c r="B221" s="11" t="s">
        <v>2467</v>
      </c>
      <c r="C221" s="10">
        <v>1.0</v>
      </c>
      <c r="D221" s="12"/>
      <c r="E221" s="11" t="s">
        <v>1747</v>
      </c>
      <c r="G221" s="11" t="s">
        <v>1748</v>
      </c>
      <c r="H221" s="12"/>
      <c r="I221" s="11" t="s">
        <v>2468</v>
      </c>
      <c r="J221" s="12"/>
    </row>
    <row r="222" ht="14.25" customHeight="1">
      <c r="A222" s="14"/>
      <c r="B222" s="14" t="s">
        <v>2469</v>
      </c>
      <c r="C222" s="13">
        <v>0.0</v>
      </c>
      <c r="D222" s="15"/>
      <c r="E222" s="14" t="s">
        <v>1751</v>
      </c>
      <c r="G222" s="14" t="s">
        <v>1752</v>
      </c>
      <c r="H222" s="15"/>
      <c r="I222" s="14" t="s">
        <v>2470</v>
      </c>
      <c r="J222" s="15"/>
    </row>
    <row r="223" ht="14.25" customHeight="1">
      <c r="A223" s="11"/>
      <c r="B223" s="11" t="s">
        <v>2471</v>
      </c>
      <c r="C223" s="10">
        <v>0.0</v>
      </c>
      <c r="D223" s="12"/>
      <c r="E223" s="11" t="s">
        <v>1755</v>
      </c>
      <c r="F223" s="12"/>
      <c r="G223" s="11" t="s">
        <v>1756</v>
      </c>
      <c r="H223" s="12"/>
      <c r="I223" s="11" t="s">
        <v>2472</v>
      </c>
      <c r="J223" s="12"/>
    </row>
    <row r="224" ht="14.25" customHeight="1">
      <c r="A224" s="14"/>
      <c r="B224" s="14" t="s">
        <v>2473</v>
      </c>
      <c r="C224" s="13">
        <v>1.0</v>
      </c>
      <c r="D224" s="15"/>
      <c r="E224" s="14" t="s">
        <v>1759</v>
      </c>
      <c r="F224" s="15"/>
      <c r="G224" s="14" t="s">
        <v>1760</v>
      </c>
      <c r="H224" s="15"/>
      <c r="I224" s="14" t="s">
        <v>2474</v>
      </c>
      <c r="J224" s="15"/>
    </row>
    <row r="225" ht="14.25" customHeight="1">
      <c r="A225" s="11"/>
      <c r="B225" s="11" t="s">
        <v>2475</v>
      </c>
      <c r="C225" s="10">
        <v>0.0</v>
      </c>
      <c r="D225" s="12"/>
      <c r="E225" s="11" t="s">
        <v>1763</v>
      </c>
      <c r="F225" s="12"/>
      <c r="G225" s="11" t="s">
        <v>1764</v>
      </c>
      <c r="H225" s="12"/>
      <c r="I225" s="11" t="s">
        <v>2476</v>
      </c>
      <c r="J225" s="12"/>
    </row>
    <row r="226" ht="14.25" customHeight="1">
      <c r="A226" s="14"/>
      <c r="B226" s="14" t="s">
        <v>2477</v>
      </c>
      <c r="C226" s="13">
        <v>1.0</v>
      </c>
      <c r="D226" s="15"/>
      <c r="E226" s="14" t="s">
        <v>1767</v>
      </c>
      <c r="F226" s="15"/>
      <c r="G226" s="14" t="s">
        <v>1768</v>
      </c>
      <c r="H226" s="15"/>
      <c r="I226" s="14" t="s">
        <v>2478</v>
      </c>
      <c r="J226" s="15"/>
    </row>
    <row r="227" ht="14.25" customHeight="1">
      <c r="A227" s="11"/>
      <c r="B227" s="11" t="s">
        <v>2479</v>
      </c>
      <c r="C227" s="10">
        <v>0.0</v>
      </c>
      <c r="D227" s="12"/>
      <c r="E227" s="11" t="s">
        <v>1771</v>
      </c>
      <c r="F227" s="12"/>
      <c r="G227" s="11" t="s">
        <v>1772</v>
      </c>
      <c r="H227" s="12"/>
      <c r="I227" s="11" t="s">
        <v>2480</v>
      </c>
      <c r="J227" s="12"/>
    </row>
    <row r="228" ht="14.25" customHeight="1">
      <c r="A228" s="14"/>
      <c r="B228" s="14" t="s">
        <v>2481</v>
      </c>
      <c r="C228" s="13">
        <v>0.0</v>
      </c>
      <c r="D228" s="15"/>
      <c r="E228" s="14" t="s">
        <v>1775</v>
      </c>
      <c r="G228" s="14" t="s">
        <v>1776</v>
      </c>
      <c r="H228" s="15"/>
      <c r="I228" s="14" t="s">
        <v>2482</v>
      </c>
      <c r="J228" s="15"/>
    </row>
    <row r="229" ht="14.25" customHeight="1">
      <c r="A229" s="11"/>
      <c r="B229" s="11" t="s">
        <v>2483</v>
      </c>
      <c r="C229" s="10">
        <v>1.0</v>
      </c>
      <c r="D229" s="12"/>
      <c r="E229" s="11" t="s">
        <v>1779</v>
      </c>
      <c r="G229" s="11" t="s">
        <v>1780</v>
      </c>
      <c r="H229" s="12"/>
      <c r="I229" s="11" t="s">
        <v>2484</v>
      </c>
      <c r="J229" s="12"/>
    </row>
    <row r="230" ht="14.25" customHeight="1">
      <c r="A230" s="14"/>
      <c r="B230" s="14" t="s">
        <v>2485</v>
      </c>
      <c r="C230" s="13">
        <v>1.0</v>
      </c>
      <c r="D230" s="15"/>
      <c r="E230" s="14" t="s">
        <v>1783</v>
      </c>
      <c r="F230" s="15"/>
      <c r="G230" s="14" t="s">
        <v>1784</v>
      </c>
      <c r="H230" s="15"/>
      <c r="I230" s="14" t="s">
        <v>2486</v>
      </c>
    </row>
    <row r="231" ht="14.25" customHeight="1">
      <c r="A231" s="11"/>
      <c r="B231" s="11" t="s">
        <v>2487</v>
      </c>
      <c r="C231" s="10">
        <v>1.0</v>
      </c>
      <c r="D231" s="12"/>
      <c r="E231" s="11" t="s">
        <v>1787</v>
      </c>
      <c r="G231" s="11" t="s">
        <v>1788</v>
      </c>
      <c r="H231" s="12"/>
      <c r="I231" s="11" t="s">
        <v>2488</v>
      </c>
      <c r="J231" s="12"/>
    </row>
    <row r="232" ht="14.25" customHeight="1">
      <c r="A232" s="14"/>
      <c r="B232" s="14" t="s">
        <v>2489</v>
      </c>
      <c r="C232" s="13">
        <v>1.0</v>
      </c>
      <c r="D232" s="15"/>
      <c r="E232" s="14" t="s">
        <v>1791</v>
      </c>
      <c r="F232" s="15"/>
      <c r="G232" s="14" t="s">
        <v>1792</v>
      </c>
      <c r="H232" s="15"/>
      <c r="I232" s="14" t="s">
        <v>1793</v>
      </c>
      <c r="J232" s="15"/>
    </row>
    <row r="233" ht="14.25" customHeight="1">
      <c r="A233" s="11"/>
      <c r="B233" s="11" t="s">
        <v>2490</v>
      </c>
      <c r="C233" s="10">
        <v>1.0</v>
      </c>
      <c r="D233" s="12"/>
      <c r="E233" s="11" t="s">
        <v>1795</v>
      </c>
      <c r="G233" s="11" t="s">
        <v>1796</v>
      </c>
      <c r="H233" s="12"/>
      <c r="I233" s="11" t="s">
        <v>2491</v>
      </c>
      <c r="J233" s="12"/>
    </row>
    <row r="234" ht="14.25" customHeight="1">
      <c r="A234" s="14"/>
      <c r="B234" s="14" t="s">
        <v>2492</v>
      </c>
      <c r="C234" s="13">
        <v>1.0</v>
      </c>
      <c r="D234" s="15"/>
      <c r="E234" s="14" t="s">
        <v>1799</v>
      </c>
      <c r="F234" s="15"/>
      <c r="G234" s="14" t="s">
        <v>1800</v>
      </c>
      <c r="H234" s="15"/>
      <c r="I234" s="14" t="s">
        <v>2493</v>
      </c>
      <c r="J234" s="15"/>
    </row>
    <row r="235" ht="14.25" customHeight="1">
      <c r="A235" s="11"/>
      <c r="B235" s="11" t="s">
        <v>2494</v>
      </c>
      <c r="C235" s="10">
        <v>1.0</v>
      </c>
      <c r="D235" s="12"/>
      <c r="E235" s="11" t="s">
        <v>1803</v>
      </c>
      <c r="F235" s="12"/>
      <c r="G235" s="11" t="s">
        <v>579</v>
      </c>
      <c r="H235" s="11" t="s">
        <v>2495</v>
      </c>
      <c r="I235" s="11" t="s">
        <v>1804</v>
      </c>
      <c r="J235" s="11" t="s">
        <v>2496</v>
      </c>
    </row>
    <row r="236" ht="14.25" customHeight="1">
      <c r="A236" s="14"/>
      <c r="B236" s="14" t="s">
        <v>2497</v>
      </c>
      <c r="C236" s="13">
        <v>1.0</v>
      </c>
      <c r="D236" s="15"/>
      <c r="E236" s="14" t="s">
        <v>1806</v>
      </c>
      <c r="G236" s="14" t="s">
        <v>1807</v>
      </c>
      <c r="H236" s="15"/>
      <c r="I236" s="14" t="s">
        <v>2498</v>
      </c>
      <c r="J236" s="15"/>
    </row>
    <row r="237" ht="14.25" customHeight="1">
      <c r="A237" s="11"/>
      <c r="B237" s="11" t="s">
        <v>2499</v>
      </c>
      <c r="C237" s="10">
        <v>1.0</v>
      </c>
      <c r="D237" s="12"/>
      <c r="E237" s="11" t="s">
        <v>1810</v>
      </c>
      <c r="F237" s="12"/>
      <c r="G237" s="11" t="s">
        <v>1811</v>
      </c>
      <c r="H237" s="12"/>
      <c r="I237" s="11" t="s">
        <v>2500</v>
      </c>
      <c r="J237" s="12"/>
    </row>
    <row r="238" ht="14.25" customHeight="1">
      <c r="A238" s="14"/>
      <c r="B238" s="14" t="s">
        <v>2501</v>
      </c>
      <c r="C238" s="13">
        <v>1.0</v>
      </c>
      <c r="D238" s="15"/>
      <c r="E238" s="14" t="s">
        <v>1814</v>
      </c>
      <c r="G238" s="14" t="s">
        <v>1815</v>
      </c>
      <c r="H238" s="15"/>
      <c r="I238" s="14" t="s">
        <v>2502</v>
      </c>
      <c r="J238" s="15"/>
    </row>
    <row r="239" ht="14.25" customHeight="1">
      <c r="A239" s="11"/>
      <c r="B239" s="11" t="s">
        <v>2503</v>
      </c>
      <c r="C239" s="10">
        <v>1.0</v>
      </c>
      <c r="D239" s="12"/>
      <c r="E239" s="11" t="s">
        <v>1818</v>
      </c>
      <c r="F239" s="12"/>
      <c r="G239" s="11" t="s">
        <v>1819</v>
      </c>
      <c r="H239" s="12"/>
      <c r="I239" s="11" t="s">
        <v>2504</v>
      </c>
      <c r="J239" s="12"/>
    </row>
    <row r="240" ht="14.25" customHeight="1">
      <c r="A240" s="14"/>
      <c r="B240" s="14" t="s">
        <v>2505</v>
      </c>
      <c r="C240" s="13">
        <v>1.0</v>
      </c>
      <c r="D240" s="15"/>
      <c r="E240" s="14" t="s">
        <v>1822</v>
      </c>
      <c r="F240" s="15"/>
      <c r="G240" s="14" t="s">
        <v>1823</v>
      </c>
      <c r="H240" s="14" t="s">
        <v>2506</v>
      </c>
      <c r="I240" s="14" t="s">
        <v>2507</v>
      </c>
      <c r="J240" s="14" t="s">
        <v>2508</v>
      </c>
    </row>
    <row r="241" ht="14.25" customHeight="1">
      <c r="A241" s="11"/>
      <c r="B241" s="11" t="s">
        <v>2509</v>
      </c>
      <c r="C241" s="10">
        <v>1.0</v>
      </c>
      <c r="D241" s="12"/>
      <c r="E241" s="11" t="s">
        <v>1826</v>
      </c>
      <c r="G241" s="11" t="s">
        <v>1827</v>
      </c>
      <c r="H241" s="11" t="s">
        <v>2510</v>
      </c>
      <c r="I241" s="11" t="s">
        <v>2511</v>
      </c>
      <c r="J241" s="11" t="s">
        <v>2512</v>
      </c>
    </row>
    <row r="242" ht="14.25" customHeight="1">
      <c r="A242" s="14"/>
      <c r="B242" s="14" t="s">
        <v>2513</v>
      </c>
      <c r="C242" s="13">
        <v>1.0</v>
      </c>
      <c r="D242" s="15"/>
      <c r="E242" s="14" t="s">
        <v>1830</v>
      </c>
      <c r="F242" s="15"/>
      <c r="G242" s="14" t="s">
        <v>1831</v>
      </c>
      <c r="H242" s="15"/>
      <c r="I242" s="14" t="s">
        <v>2514</v>
      </c>
      <c r="J242" s="15"/>
    </row>
    <row r="243" ht="14.25" customHeight="1">
      <c r="A243" s="11"/>
      <c r="B243" s="11" t="s">
        <v>2515</v>
      </c>
      <c r="C243" s="10">
        <v>0.0</v>
      </c>
      <c r="D243" s="12"/>
      <c r="E243" s="11" t="s">
        <v>1834</v>
      </c>
      <c r="F243" s="12"/>
      <c r="G243" s="11" t="s">
        <v>1835</v>
      </c>
      <c r="H243" s="12"/>
      <c r="I243" s="11" t="s">
        <v>2516</v>
      </c>
      <c r="J243" s="12"/>
    </row>
    <row r="244" ht="14.25" customHeight="1">
      <c r="A244" s="14"/>
      <c r="B244" s="14" t="s">
        <v>2517</v>
      </c>
      <c r="C244" s="13">
        <v>0.0</v>
      </c>
      <c r="D244" s="15"/>
      <c r="E244" s="14" t="s">
        <v>1838</v>
      </c>
      <c r="G244" s="14" t="s">
        <v>1839</v>
      </c>
      <c r="H244" s="15"/>
      <c r="I244" s="14" t="s">
        <v>2518</v>
      </c>
      <c r="J244" s="15"/>
    </row>
    <row r="245" ht="14.25" customHeight="1">
      <c r="A245" s="11"/>
      <c r="B245" s="11" t="s">
        <v>2519</v>
      </c>
      <c r="C245" s="10">
        <v>0.0</v>
      </c>
      <c r="D245" s="12"/>
      <c r="E245" s="11" t="s">
        <v>1842</v>
      </c>
      <c r="F245" s="12"/>
      <c r="G245" s="11" t="s">
        <v>1843</v>
      </c>
      <c r="H245" s="12"/>
      <c r="I245" s="11" t="s">
        <v>2520</v>
      </c>
      <c r="J245" s="12"/>
    </row>
    <row r="246" ht="14.25" customHeight="1">
      <c r="A246" s="14"/>
      <c r="B246" s="14" t="s">
        <v>2521</v>
      </c>
      <c r="C246" s="13">
        <v>1.0</v>
      </c>
      <c r="D246" s="15"/>
      <c r="E246" s="14" t="s">
        <v>1846</v>
      </c>
      <c r="F246" s="15"/>
      <c r="G246" s="14" t="s">
        <v>1847</v>
      </c>
      <c r="H246" s="15"/>
      <c r="I246" s="14" t="s">
        <v>2522</v>
      </c>
      <c r="J246" s="15"/>
    </row>
    <row r="247" ht="14.25" customHeight="1">
      <c r="A247" s="11"/>
      <c r="B247" s="11" t="s">
        <v>2523</v>
      </c>
      <c r="C247" s="10">
        <v>0.0</v>
      </c>
      <c r="D247" s="12"/>
      <c r="E247" s="11" t="s">
        <v>1850</v>
      </c>
      <c r="F247" s="12"/>
      <c r="G247" s="11" t="s">
        <v>1851</v>
      </c>
      <c r="H247" s="12"/>
      <c r="I247" s="11" t="s">
        <v>2524</v>
      </c>
      <c r="J247" s="12"/>
    </row>
    <row r="248" ht="14.25" customHeight="1">
      <c r="A248" s="14"/>
      <c r="B248" s="14" t="s">
        <v>2525</v>
      </c>
      <c r="C248" s="13">
        <v>1.0</v>
      </c>
      <c r="D248" s="15"/>
      <c r="E248" s="14" t="s">
        <v>1854</v>
      </c>
      <c r="F248" s="15"/>
      <c r="G248" s="14" t="s">
        <v>1709</v>
      </c>
      <c r="H248" s="15"/>
      <c r="I248" s="14" t="s">
        <v>2526</v>
      </c>
      <c r="J248" s="15"/>
    </row>
    <row r="249" ht="14.25" customHeight="1">
      <c r="A249" s="11"/>
      <c r="B249" s="11" t="s">
        <v>2527</v>
      </c>
      <c r="C249" s="10">
        <v>1.0</v>
      </c>
      <c r="D249" s="12"/>
      <c r="E249" s="11" t="s">
        <v>1857</v>
      </c>
      <c r="F249" s="12"/>
      <c r="G249" s="11" t="s">
        <v>1858</v>
      </c>
      <c r="H249" s="12"/>
      <c r="I249" s="11" t="s">
        <v>2528</v>
      </c>
      <c r="J249" s="12"/>
    </row>
    <row r="250" ht="14.25" customHeight="1">
      <c r="A250" s="14"/>
      <c r="B250" s="14" t="s">
        <v>2529</v>
      </c>
      <c r="C250" s="13">
        <v>1.0</v>
      </c>
      <c r="D250" s="15"/>
      <c r="E250" s="14" t="s">
        <v>1861</v>
      </c>
      <c r="F250" s="15"/>
      <c r="G250" s="14" t="s">
        <v>1862</v>
      </c>
      <c r="H250" s="15"/>
      <c r="I250" s="14" t="s">
        <v>2530</v>
      </c>
      <c r="J250" s="15"/>
    </row>
    <row r="251" ht="14.25" customHeight="1">
      <c r="A251" s="11"/>
      <c r="B251" s="11" t="s">
        <v>2531</v>
      </c>
      <c r="C251" s="10">
        <v>0.0</v>
      </c>
      <c r="D251" s="12"/>
      <c r="E251" s="11" t="s">
        <v>1842</v>
      </c>
      <c r="F251" s="12"/>
      <c r="G251" s="11" t="s">
        <v>1865</v>
      </c>
      <c r="H251" s="12"/>
      <c r="I251" s="11" t="s">
        <v>2532</v>
      </c>
      <c r="J251" s="12"/>
    </row>
    <row r="252" ht="14.25" customHeight="1">
      <c r="A252" s="14"/>
      <c r="B252" s="14" t="s">
        <v>2533</v>
      </c>
      <c r="C252" s="13">
        <v>1.0</v>
      </c>
      <c r="D252" s="15"/>
      <c r="E252" s="14" t="s">
        <v>1868</v>
      </c>
      <c r="F252" s="14" t="s">
        <v>2534</v>
      </c>
      <c r="G252" s="14" t="s">
        <v>1869</v>
      </c>
      <c r="H252" s="14" t="s">
        <v>2535</v>
      </c>
      <c r="I252" s="14" t="s">
        <v>2536</v>
      </c>
      <c r="J252" s="14" t="s">
        <v>2537</v>
      </c>
    </row>
    <row r="253" ht="14.25" customHeight="1">
      <c r="A253" s="11"/>
      <c r="B253" s="11" t="s">
        <v>2538</v>
      </c>
      <c r="C253" s="10">
        <v>1.0</v>
      </c>
      <c r="D253" s="12"/>
      <c r="E253" s="11" t="s">
        <v>1872</v>
      </c>
      <c r="F253" s="12"/>
      <c r="G253" s="11" t="s">
        <v>1873</v>
      </c>
      <c r="H253" s="12"/>
      <c r="I253" s="11" t="s">
        <v>2539</v>
      </c>
      <c r="J253" s="12"/>
    </row>
    <row r="254" ht="14.25" customHeight="1">
      <c r="A254" s="14"/>
      <c r="B254" s="14" t="s">
        <v>2540</v>
      </c>
      <c r="C254" s="13">
        <v>0.0</v>
      </c>
      <c r="D254" s="15"/>
      <c r="E254" s="14" t="s">
        <v>1876</v>
      </c>
      <c r="G254" s="14" t="s">
        <v>48</v>
      </c>
      <c r="H254" s="15"/>
      <c r="I254" s="14" t="s">
        <v>2541</v>
      </c>
      <c r="J254" s="15"/>
    </row>
    <row r="255" ht="14.25" customHeight="1">
      <c r="A255" s="11"/>
      <c r="B255" s="11" t="s">
        <v>2542</v>
      </c>
      <c r="C255" s="10">
        <v>1.0</v>
      </c>
      <c r="D255" s="12"/>
      <c r="E255" s="11" t="s">
        <v>1879</v>
      </c>
      <c r="F255" s="12"/>
      <c r="G255" s="11" t="s">
        <v>1880</v>
      </c>
      <c r="H255" s="12"/>
      <c r="I255" s="11" t="s">
        <v>2543</v>
      </c>
      <c r="J255" s="12"/>
    </row>
    <row r="256" ht="14.25" customHeight="1">
      <c r="A256" s="14"/>
      <c r="B256" s="14" t="s">
        <v>2544</v>
      </c>
      <c r="C256" s="13">
        <v>1.0</v>
      </c>
      <c r="D256" s="15"/>
      <c r="E256" s="14" t="s">
        <v>1883</v>
      </c>
      <c r="G256" s="14" t="s">
        <v>1884</v>
      </c>
      <c r="H256" s="15"/>
      <c r="I256" s="14" t="s">
        <v>2545</v>
      </c>
      <c r="J256" s="15"/>
    </row>
    <row r="257" ht="14.25" customHeight="1">
      <c r="A257" s="11"/>
      <c r="B257" s="11" t="s">
        <v>2546</v>
      </c>
      <c r="C257" s="10">
        <v>1.0</v>
      </c>
      <c r="D257" s="12"/>
      <c r="E257" s="11" t="s">
        <v>1887</v>
      </c>
      <c r="G257" s="11" t="s">
        <v>1888</v>
      </c>
      <c r="H257" s="12"/>
      <c r="I257" s="11" t="s">
        <v>2547</v>
      </c>
      <c r="J257" s="12"/>
    </row>
    <row r="258" ht="14.25" customHeight="1">
      <c r="A258" s="14"/>
      <c r="B258" s="14" t="s">
        <v>2548</v>
      </c>
      <c r="C258" s="13">
        <v>0.0</v>
      </c>
      <c r="D258" s="15"/>
      <c r="E258" s="14" t="s">
        <v>1891</v>
      </c>
      <c r="G258" s="14" t="s">
        <v>1892</v>
      </c>
      <c r="H258" s="15"/>
      <c r="I258" s="14" t="s">
        <v>2549</v>
      </c>
      <c r="J258" s="15"/>
    </row>
    <row r="259" ht="14.25" customHeight="1">
      <c r="A259" s="11"/>
      <c r="B259" s="11" t="s">
        <v>2550</v>
      </c>
      <c r="C259" s="10">
        <v>1.0</v>
      </c>
      <c r="D259" s="12"/>
      <c r="E259" s="11" t="s">
        <v>1895</v>
      </c>
      <c r="F259" s="12"/>
      <c r="G259" s="11" t="s">
        <v>1896</v>
      </c>
      <c r="H259" s="11" t="s">
        <v>2551</v>
      </c>
      <c r="I259" s="11" t="s">
        <v>2552</v>
      </c>
      <c r="J259" s="11" t="s">
        <v>2553</v>
      </c>
    </row>
    <row r="260" ht="14.25" customHeight="1">
      <c r="A260" s="14"/>
      <c r="B260" s="14" t="s">
        <v>2554</v>
      </c>
      <c r="C260" s="13">
        <v>1.0</v>
      </c>
      <c r="D260" s="15"/>
      <c r="E260" s="14" t="s">
        <v>1899</v>
      </c>
      <c r="F260" s="15"/>
      <c r="G260" s="14" t="s">
        <v>1900</v>
      </c>
      <c r="H260" s="14" t="s">
        <v>2555</v>
      </c>
      <c r="I260" s="14" t="s">
        <v>2556</v>
      </c>
      <c r="J260" s="14" t="s">
        <v>2557</v>
      </c>
    </row>
    <row r="261" ht="14.25" customHeight="1">
      <c r="A261" s="11"/>
      <c r="B261" s="11" t="s">
        <v>2558</v>
      </c>
      <c r="C261" s="10">
        <v>0.0</v>
      </c>
      <c r="D261" s="12"/>
      <c r="E261" s="11" t="s">
        <v>1903</v>
      </c>
      <c r="F261" s="12"/>
      <c r="G261" s="11" t="s">
        <v>1904</v>
      </c>
      <c r="H261" s="12"/>
      <c r="I261" s="11" t="s">
        <v>2559</v>
      </c>
      <c r="J261" s="12"/>
    </row>
    <row r="262" ht="14.25" customHeight="1">
      <c r="A262" s="14"/>
      <c r="B262" s="14" t="s">
        <v>2560</v>
      </c>
      <c r="C262" s="13">
        <v>1.0</v>
      </c>
      <c r="D262" s="15"/>
      <c r="E262" s="14" t="s">
        <v>1907</v>
      </c>
      <c r="F262" s="15"/>
      <c r="G262" s="14" t="s">
        <v>1908</v>
      </c>
      <c r="H262" s="15"/>
      <c r="I262" s="14" t="s">
        <v>2561</v>
      </c>
      <c r="J262" s="15"/>
    </row>
    <row r="263" ht="14.25" customHeight="1">
      <c r="A263" s="11"/>
      <c r="B263" s="11" t="s">
        <v>2562</v>
      </c>
      <c r="C263" s="10">
        <v>0.0</v>
      </c>
      <c r="D263" s="12"/>
      <c r="E263" s="11" t="s">
        <v>1072</v>
      </c>
      <c r="F263" s="12"/>
      <c r="G263" s="11" t="s">
        <v>1647</v>
      </c>
      <c r="H263" s="12"/>
      <c r="I263" s="11" t="s">
        <v>2563</v>
      </c>
      <c r="J263" s="12"/>
    </row>
    <row r="264" ht="14.25" customHeight="1">
      <c r="A264" s="14"/>
      <c r="B264" s="14" t="s">
        <v>2564</v>
      </c>
      <c r="C264" s="13">
        <v>1.0</v>
      </c>
      <c r="D264" s="15"/>
      <c r="E264" s="14" t="s">
        <v>1913</v>
      </c>
      <c r="F264" s="15"/>
      <c r="G264" s="14" t="s">
        <v>1873</v>
      </c>
      <c r="H264" s="15"/>
      <c r="I264" s="14" t="s">
        <v>2565</v>
      </c>
      <c r="J264" s="15"/>
    </row>
    <row r="265" ht="14.25" customHeight="1">
      <c r="A265" s="11"/>
      <c r="B265" s="11" t="s">
        <v>2566</v>
      </c>
      <c r="C265" s="10">
        <v>1.0</v>
      </c>
      <c r="D265" s="12"/>
      <c r="E265" s="11" t="s">
        <v>1857</v>
      </c>
      <c r="F265" s="12"/>
      <c r="G265" s="11" t="s">
        <v>146</v>
      </c>
      <c r="H265" s="11" t="s">
        <v>1858</v>
      </c>
      <c r="I265" s="11" t="s">
        <v>2567</v>
      </c>
      <c r="J265" s="11" t="s">
        <v>2568</v>
      </c>
    </row>
    <row r="266" ht="14.25" customHeight="1">
      <c r="A266" s="14"/>
      <c r="B266" s="14" t="s">
        <v>2569</v>
      </c>
      <c r="C266" s="13">
        <v>1.0</v>
      </c>
      <c r="D266" s="15"/>
      <c r="E266" s="14" t="s">
        <v>1918</v>
      </c>
      <c r="G266" s="14" t="s">
        <v>1919</v>
      </c>
      <c r="H266" s="15"/>
      <c r="I266" s="14" t="s">
        <v>2570</v>
      </c>
      <c r="J266" s="15"/>
    </row>
    <row r="267" ht="14.25" customHeight="1">
      <c r="A267" s="11"/>
      <c r="B267" s="11" t="s">
        <v>2571</v>
      </c>
      <c r="C267" s="10">
        <v>1.0</v>
      </c>
      <c r="D267" s="12"/>
      <c r="E267" s="11" t="s">
        <v>1922</v>
      </c>
      <c r="F267" s="12"/>
      <c r="G267" s="11" t="s">
        <v>1923</v>
      </c>
      <c r="H267" s="12"/>
      <c r="I267" s="11" t="s">
        <v>2572</v>
      </c>
      <c r="J267" s="12"/>
    </row>
    <row r="268" ht="14.25" customHeight="1">
      <c r="A268" s="14"/>
      <c r="B268" s="14" t="s">
        <v>2573</v>
      </c>
      <c r="C268" s="13">
        <v>0.0</v>
      </c>
      <c r="D268" s="15"/>
      <c r="E268" s="14" t="s">
        <v>1926</v>
      </c>
      <c r="F268" s="15"/>
      <c r="G268" s="14" t="s">
        <v>1927</v>
      </c>
      <c r="H268" s="15"/>
      <c r="I268" s="14" t="s">
        <v>2574</v>
      </c>
      <c r="J268" s="15"/>
    </row>
    <row r="269" ht="14.25" customHeight="1">
      <c r="A269" s="11"/>
      <c r="B269" s="11" t="s">
        <v>2575</v>
      </c>
      <c r="C269" s="10">
        <v>0.0</v>
      </c>
      <c r="D269" s="12"/>
      <c r="E269" s="11" t="s">
        <v>1930</v>
      </c>
      <c r="F269" s="12"/>
      <c r="G269" s="11" t="s">
        <v>1493</v>
      </c>
      <c r="H269" s="12"/>
      <c r="I269" s="11" t="s">
        <v>2576</v>
      </c>
      <c r="J269" s="12"/>
    </row>
    <row r="270" ht="14.25" customHeight="1">
      <c r="A270" s="14"/>
      <c r="B270" s="14" t="s">
        <v>2577</v>
      </c>
      <c r="C270" s="13">
        <v>1.0</v>
      </c>
      <c r="D270" s="15"/>
      <c r="E270" s="14" t="s">
        <v>1933</v>
      </c>
      <c r="G270" s="14" t="s">
        <v>1934</v>
      </c>
      <c r="H270" s="15"/>
      <c r="I270" s="14" t="s">
        <v>2578</v>
      </c>
      <c r="J270" s="15"/>
    </row>
    <row r="271" ht="14.25" customHeight="1">
      <c r="A271" s="11"/>
      <c r="B271" s="11" t="s">
        <v>2579</v>
      </c>
      <c r="C271" s="10">
        <v>1.0</v>
      </c>
      <c r="D271" s="12"/>
      <c r="E271" s="11" t="s">
        <v>1937</v>
      </c>
      <c r="G271" s="11" t="s">
        <v>1938</v>
      </c>
      <c r="H271" s="12"/>
      <c r="I271" s="11" t="s">
        <v>2580</v>
      </c>
      <c r="J271" s="12"/>
    </row>
    <row r="272" ht="14.25" customHeight="1">
      <c r="A272" s="14"/>
      <c r="B272" s="14" t="s">
        <v>2581</v>
      </c>
      <c r="C272" s="13">
        <v>1.0</v>
      </c>
      <c r="D272" s="15"/>
      <c r="E272" s="14" t="s">
        <v>1941</v>
      </c>
      <c r="G272" s="14" t="s">
        <v>1942</v>
      </c>
      <c r="H272" s="15"/>
      <c r="I272" s="14" t="s">
        <v>2582</v>
      </c>
      <c r="J272" s="15"/>
    </row>
    <row r="273" ht="14.25" customHeight="1">
      <c r="A273" s="11"/>
      <c r="B273" s="11" t="s">
        <v>2583</v>
      </c>
      <c r="C273" s="10">
        <v>1.0</v>
      </c>
      <c r="D273" s="12"/>
      <c r="E273" s="11" t="s">
        <v>1945</v>
      </c>
      <c r="F273" s="12"/>
      <c r="G273" s="11" t="s">
        <v>1946</v>
      </c>
      <c r="H273" s="11" t="s">
        <v>2584</v>
      </c>
      <c r="I273" s="11" t="s">
        <v>2585</v>
      </c>
      <c r="J273" s="11" t="s">
        <v>2586</v>
      </c>
    </row>
    <row r="274" ht="14.25" customHeight="1">
      <c r="A274" s="14"/>
      <c r="B274" s="14" t="s">
        <v>2587</v>
      </c>
      <c r="C274" s="13">
        <v>0.0</v>
      </c>
      <c r="D274" s="15"/>
      <c r="E274" s="14" t="s">
        <v>1949</v>
      </c>
      <c r="F274" s="15"/>
      <c r="G274" s="14" t="s">
        <v>1950</v>
      </c>
      <c r="H274" s="15"/>
      <c r="I274" s="14" t="s">
        <v>2588</v>
      </c>
      <c r="J274" s="15"/>
    </row>
    <row r="275" ht="14.25" customHeight="1">
      <c r="A275" s="11"/>
      <c r="B275" s="11" t="s">
        <v>2589</v>
      </c>
      <c r="C275" s="10">
        <v>0.0</v>
      </c>
      <c r="D275" s="12"/>
      <c r="E275" s="11" t="s">
        <v>1953</v>
      </c>
      <c r="F275" s="12"/>
      <c r="G275" s="11" t="s">
        <v>1954</v>
      </c>
      <c r="H275" s="12"/>
      <c r="I275" s="11" t="s">
        <v>2590</v>
      </c>
      <c r="J275" s="12"/>
    </row>
    <row r="276" ht="14.25" customHeight="1">
      <c r="A276" s="14"/>
      <c r="B276" s="14" t="s">
        <v>2591</v>
      </c>
      <c r="C276" s="13">
        <v>1.0</v>
      </c>
      <c r="D276" s="15"/>
      <c r="E276" s="14" t="s">
        <v>1957</v>
      </c>
      <c r="F276" s="15"/>
      <c r="G276" s="14" t="s">
        <v>1958</v>
      </c>
      <c r="H276" s="15"/>
      <c r="I276" s="14" t="s">
        <v>2592</v>
      </c>
      <c r="J276" s="15"/>
    </row>
    <row r="277" ht="14.25" customHeight="1">
      <c r="A277" s="11"/>
      <c r="B277" s="11" t="s">
        <v>2593</v>
      </c>
      <c r="C277" s="10">
        <v>0.0</v>
      </c>
      <c r="D277" s="12"/>
      <c r="E277" s="11" t="s">
        <v>1961</v>
      </c>
      <c r="F277" s="12"/>
      <c r="G277" s="11" t="s">
        <v>1962</v>
      </c>
      <c r="H277" s="12"/>
      <c r="I277" s="11" t="s">
        <v>2594</v>
      </c>
      <c r="J277" s="12"/>
    </row>
    <row r="278" ht="14.25" customHeight="1">
      <c r="A278" s="14"/>
      <c r="B278" s="14" t="s">
        <v>2595</v>
      </c>
      <c r="C278" s="13">
        <v>1.0</v>
      </c>
      <c r="D278" s="15"/>
      <c r="E278" s="14" t="s">
        <v>1965</v>
      </c>
      <c r="F278" s="15"/>
      <c r="G278" s="14" t="s">
        <v>1966</v>
      </c>
      <c r="H278" s="15"/>
      <c r="I278" s="14" t="s">
        <v>1967</v>
      </c>
      <c r="J278" s="15"/>
    </row>
    <row r="279" ht="14.25" customHeight="1">
      <c r="A279" s="11"/>
      <c r="B279" s="11" t="s">
        <v>2596</v>
      </c>
      <c r="C279" s="10">
        <v>1.0</v>
      </c>
      <c r="D279" s="12"/>
      <c r="E279" s="11" t="s">
        <v>1968</v>
      </c>
      <c r="F279" s="12"/>
      <c r="G279" s="11" t="s">
        <v>1705</v>
      </c>
      <c r="H279" s="11" t="s">
        <v>2597</v>
      </c>
      <c r="I279" s="11" t="s">
        <v>2598</v>
      </c>
      <c r="J279" s="11" t="s">
        <v>2599</v>
      </c>
    </row>
    <row r="280" ht="14.25" customHeight="1">
      <c r="A280" s="14"/>
      <c r="B280" s="14" t="s">
        <v>2600</v>
      </c>
      <c r="C280" s="13">
        <v>0.0</v>
      </c>
      <c r="D280" s="15"/>
      <c r="E280" s="14" t="s">
        <v>1971</v>
      </c>
      <c r="F280" s="15"/>
      <c r="G280" s="14" t="s">
        <v>1972</v>
      </c>
      <c r="H280" s="14" t="s">
        <v>2601</v>
      </c>
      <c r="I280" s="14" t="s">
        <v>2602</v>
      </c>
      <c r="J280" s="14" t="s">
        <v>2603</v>
      </c>
    </row>
    <row r="281" ht="14.25" customHeight="1">
      <c r="A281" s="11"/>
      <c r="B281" s="11" t="s">
        <v>2604</v>
      </c>
      <c r="C281" s="10">
        <v>0.0</v>
      </c>
      <c r="D281" s="12"/>
      <c r="E281" s="11" t="s">
        <v>1975</v>
      </c>
      <c r="F281" s="12"/>
      <c r="G281" s="11" t="s">
        <v>1976</v>
      </c>
      <c r="H281" s="12"/>
      <c r="I281" s="11" t="s">
        <v>2605</v>
      </c>
      <c r="J281" s="12"/>
    </row>
    <row r="282" ht="14.25" customHeight="1">
      <c r="A282" s="14"/>
      <c r="B282" s="14" t="s">
        <v>2606</v>
      </c>
      <c r="C282" s="13">
        <v>1.0</v>
      </c>
      <c r="D282" s="15"/>
      <c r="E282" s="14" t="s">
        <v>1979</v>
      </c>
      <c r="F282" s="15"/>
      <c r="G282" s="14" t="s">
        <v>1980</v>
      </c>
      <c r="H282" s="15"/>
      <c r="I282" s="14" t="s">
        <v>2607</v>
      </c>
      <c r="J282" s="15"/>
    </row>
    <row r="283" ht="14.25" customHeight="1">
      <c r="A283" s="11"/>
      <c r="B283" s="11" t="s">
        <v>2608</v>
      </c>
      <c r="C283" s="10">
        <v>1.0</v>
      </c>
      <c r="D283" s="12"/>
      <c r="E283" s="11" t="s">
        <v>1983</v>
      </c>
      <c r="F283" s="12"/>
      <c r="G283" s="11" t="s">
        <v>1984</v>
      </c>
      <c r="H283" s="12"/>
      <c r="I283" s="11" t="s">
        <v>1985</v>
      </c>
      <c r="J283" s="12"/>
    </row>
    <row r="284" ht="14.25" customHeight="1">
      <c r="A284" s="14"/>
      <c r="B284" s="14" t="s">
        <v>2609</v>
      </c>
      <c r="C284" s="13">
        <v>0.0</v>
      </c>
      <c r="D284" s="15"/>
      <c r="E284" s="14" t="s">
        <v>1987</v>
      </c>
      <c r="F284" s="15"/>
      <c r="G284" s="14" t="s">
        <v>1988</v>
      </c>
      <c r="H284" s="15"/>
      <c r="I284" s="14" t="s">
        <v>2610</v>
      </c>
      <c r="J284" s="15"/>
    </row>
    <row r="285" ht="14.25" customHeight="1">
      <c r="A285" s="11"/>
      <c r="B285" s="11" t="s">
        <v>2611</v>
      </c>
      <c r="C285" s="10">
        <v>1.0</v>
      </c>
      <c r="D285" s="12"/>
      <c r="E285" s="11" t="s">
        <v>1991</v>
      </c>
      <c r="F285" s="11" t="s">
        <v>2612</v>
      </c>
      <c r="G285" s="11" t="s">
        <v>1992</v>
      </c>
      <c r="H285" s="11" t="s">
        <v>2613</v>
      </c>
      <c r="I285" s="11" t="s">
        <v>2614</v>
      </c>
      <c r="J285" s="11" t="s">
        <v>2615</v>
      </c>
    </row>
    <row r="286" ht="14.25" customHeight="1">
      <c r="A286" s="14"/>
      <c r="B286" s="14" t="s">
        <v>2616</v>
      </c>
      <c r="C286" s="13">
        <v>1.0</v>
      </c>
      <c r="D286" s="15"/>
      <c r="E286" s="14" t="s">
        <v>1995</v>
      </c>
      <c r="G286" s="14" t="s">
        <v>1996</v>
      </c>
      <c r="H286" s="15"/>
      <c r="I286" s="14" t="s">
        <v>2580</v>
      </c>
      <c r="J286" s="15"/>
    </row>
    <row r="287" ht="14.25" customHeight="1">
      <c r="A287" s="11"/>
      <c r="B287" s="11" t="s">
        <v>2617</v>
      </c>
      <c r="C287" s="10">
        <v>1.0</v>
      </c>
      <c r="D287" s="12"/>
      <c r="E287" s="11" t="s">
        <v>1998</v>
      </c>
      <c r="F287" s="12"/>
      <c r="G287" s="11" t="s">
        <v>237</v>
      </c>
      <c r="H287" s="12"/>
      <c r="I287" s="11" t="s">
        <v>2618</v>
      </c>
      <c r="J287" s="12"/>
    </row>
    <row r="288" ht="14.25" customHeight="1">
      <c r="A288" s="14"/>
      <c r="B288" s="14" t="s">
        <v>2619</v>
      </c>
      <c r="C288" s="13">
        <v>0.0</v>
      </c>
      <c r="D288" s="15"/>
      <c r="E288" s="14" t="s">
        <v>2001</v>
      </c>
      <c r="F288" s="15"/>
      <c r="G288" s="14" t="s">
        <v>1493</v>
      </c>
      <c r="H288" s="15"/>
      <c r="I288" s="14" t="s">
        <v>2620</v>
      </c>
      <c r="J288" s="15"/>
    </row>
    <row r="289" ht="14.25" customHeight="1">
      <c r="A289" s="11"/>
      <c r="B289" s="11" t="s">
        <v>2621</v>
      </c>
      <c r="C289" s="10">
        <v>1.0</v>
      </c>
      <c r="D289" s="12"/>
      <c r="E289" s="11" t="s">
        <v>2004</v>
      </c>
      <c r="G289" s="11" t="s">
        <v>2005</v>
      </c>
      <c r="H289" s="11" t="s">
        <v>2622</v>
      </c>
      <c r="I289" s="11" t="s">
        <v>2623</v>
      </c>
      <c r="J289" s="11" t="s">
        <v>2624</v>
      </c>
    </row>
    <row r="290" ht="14.25" customHeight="1">
      <c r="A290" s="14"/>
      <c r="B290" s="14" t="s">
        <v>2625</v>
      </c>
      <c r="C290" s="13">
        <v>1.0</v>
      </c>
      <c r="D290" s="15"/>
      <c r="E290" s="14" t="s">
        <v>2008</v>
      </c>
      <c r="F290" s="15"/>
      <c r="G290" s="14" t="s">
        <v>2009</v>
      </c>
      <c r="H290" s="14" t="s">
        <v>2555</v>
      </c>
      <c r="I290" s="14" t="s">
        <v>2626</v>
      </c>
      <c r="J290" s="14" t="s">
        <v>2627</v>
      </c>
    </row>
    <row r="291" ht="14.25" customHeight="1">
      <c r="A291" s="11"/>
      <c r="B291" s="11" t="s">
        <v>2628</v>
      </c>
      <c r="C291" s="10">
        <v>1.0</v>
      </c>
      <c r="D291" s="12"/>
      <c r="E291" s="11" t="s">
        <v>2012</v>
      </c>
      <c r="F291" s="12"/>
      <c r="G291" s="11" t="s">
        <v>2013</v>
      </c>
      <c r="H291" s="12"/>
      <c r="I291" s="11" t="s">
        <v>2629</v>
      </c>
      <c r="J291" s="12"/>
    </row>
    <row r="292" ht="14.25" customHeight="1">
      <c r="A292" s="14"/>
      <c r="B292" s="14" t="s">
        <v>2630</v>
      </c>
      <c r="C292" s="13">
        <v>1.0</v>
      </c>
      <c r="D292" s="15"/>
      <c r="E292" s="14" t="s">
        <v>2016</v>
      </c>
      <c r="F292" s="15"/>
      <c r="G292" s="14" t="s">
        <v>2017</v>
      </c>
      <c r="H292" s="14" t="s">
        <v>2631</v>
      </c>
      <c r="I292" s="14" t="s">
        <v>2632</v>
      </c>
      <c r="J292" s="14" t="s">
        <v>2633</v>
      </c>
    </row>
    <row r="293" ht="14.25" customHeight="1">
      <c r="A293" s="11"/>
      <c r="B293" s="11" t="s">
        <v>2634</v>
      </c>
      <c r="C293" s="10">
        <v>1.0</v>
      </c>
      <c r="D293" s="12"/>
      <c r="E293" s="11" t="s">
        <v>2020</v>
      </c>
      <c r="F293" s="11" t="s">
        <v>2635</v>
      </c>
      <c r="G293" s="11" t="s">
        <v>2021</v>
      </c>
      <c r="H293" s="11" t="s">
        <v>2636</v>
      </c>
      <c r="I293" s="11" t="s">
        <v>2637</v>
      </c>
      <c r="J293" s="11" t="s">
        <v>2638</v>
      </c>
    </row>
    <row r="294" ht="14.25" customHeight="1">
      <c r="A294" s="14"/>
      <c r="B294" s="14" t="s">
        <v>2639</v>
      </c>
      <c r="C294" s="13">
        <v>0.0</v>
      </c>
      <c r="D294" s="15"/>
      <c r="E294" s="14" t="s">
        <v>2024</v>
      </c>
      <c r="F294" s="15"/>
      <c r="G294" s="14" t="s">
        <v>1946</v>
      </c>
      <c r="H294" s="15"/>
      <c r="I294" s="14" t="s">
        <v>2640</v>
      </c>
      <c r="J294" s="15"/>
    </row>
    <row r="295" ht="14.25" customHeight="1">
      <c r="A295" s="11"/>
      <c r="B295" s="11" t="s">
        <v>2641</v>
      </c>
      <c r="C295" s="10">
        <v>1.0</v>
      </c>
      <c r="D295" s="12"/>
      <c r="E295" s="11" t="s">
        <v>2027</v>
      </c>
      <c r="F295" s="12"/>
      <c r="G295" s="11" t="s">
        <v>2028</v>
      </c>
      <c r="H295" s="11" t="s">
        <v>2642</v>
      </c>
      <c r="I295" s="11" t="s">
        <v>2643</v>
      </c>
      <c r="J295" s="11" t="s">
        <v>2644</v>
      </c>
    </row>
    <row r="296" ht="14.25" customHeight="1">
      <c r="A296" s="14"/>
      <c r="B296" s="14" t="s">
        <v>2645</v>
      </c>
      <c r="C296" s="13">
        <v>1.0</v>
      </c>
      <c r="D296" s="15"/>
      <c r="E296" s="14" t="s">
        <v>2031</v>
      </c>
      <c r="F296" s="15"/>
      <c r="G296" s="14" t="s">
        <v>2032</v>
      </c>
      <c r="H296" s="15"/>
      <c r="I296" s="14" t="s">
        <v>2646</v>
      </c>
      <c r="J296" s="15"/>
    </row>
    <row r="297" ht="14.25" customHeight="1">
      <c r="A297" s="11"/>
      <c r="B297" s="11" t="s">
        <v>2647</v>
      </c>
      <c r="C297" s="10">
        <v>1.0</v>
      </c>
      <c r="D297" s="12"/>
      <c r="E297" s="11" t="s">
        <v>2035</v>
      </c>
      <c r="F297" s="12"/>
      <c r="G297" s="11" t="s">
        <v>2036</v>
      </c>
      <c r="H297" s="11" t="s">
        <v>2555</v>
      </c>
      <c r="I297" s="11" t="s">
        <v>2648</v>
      </c>
      <c r="J297" s="11" t="s">
        <v>2649</v>
      </c>
    </row>
    <row r="298" ht="14.25" customHeight="1">
      <c r="A298" s="14"/>
      <c r="B298" s="14" t="s">
        <v>2650</v>
      </c>
      <c r="C298" s="13">
        <v>1.0</v>
      </c>
      <c r="D298" s="15"/>
      <c r="E298" s="14" t="s">
        <v>2039</v>
      </c>
      <c r="F298" s="15"/>
      <c r="G298" s="14" t="s">
        <v>2040</v>
      </c>
      <c r="H298" s="15"/>
      <c r="I298" s="14" t="s">
        <v>2651</v>
      </c>
      <c r="J298" s="15"/>
    </row>
    <row r="299" ht="14.25" customHeight="1">
      <c r="A299" s="11"/>
      <c r="B299" s="11" t="s">
        <v>2652</v>
      </c>
      <c r="C299" s="10">
        <v>1.0</v>
      </c>
      <c r="D299" s="12"/>
      <c r="E299" s="11" t="s">
        <v>2043</v>
      </c>
      <c r="F299" s="12"/>
      <c r="G299" s="11" t="s">
        <v>2044</v>
      </c>
      <c r="H299" s="12"/>
      <c r="I299" s="11" t="s">
        <v>2653</v>
      </c>
      <c r="J299" s="12"/>
    </row>
    <row r="300" ht="14.25" customHeight="1">
      <c r="A300" s="14"/>
      <c r="B300" s="14" t="s">
        <v>2654</v>
      </c>
      <c r="C300" s="13">
        <v>1.0</v>
      </c>
      <c r="D300" s="15"/>
      <c r="E300" s="14" t="s">
        <v>2047</v>
      </c>
      <c r="F300" s="15"/>
      <c r="G300" s="14" t="s">
        <v>2048</v>
      </c>
      <c r="H300" s="15"/>
      <c r="I300" s="14" t="s">
        <v>2655</v>
      </c>
    </row>
    <row r="301" ht="14.25" customHeight="1">
      <c r="A301" s="11"/>
      <c r="B301" s="11" t="s">
        <v>2656</v>
      </c>
      <c r="C301" s="10">
        <v>1.0</v>
      </c>
      <c r="D301" s="12"/>
      <c r="E301" s="11" t="s">
        <v>2051</v>
      </c>
      <c r="F301" s="12"/>
      <c r="G301" s="11" t="s">
        <v>1493</v>
      </c>
      <c r="H301" s="11" t="s">
        <v>2657</v>
      </c>
      <c r="I301" s="11" t="s">
        <v>2658</v>
      </c>
      <c r="J301" s="11" t="s">
        <v>2659</v>
      </c>
    </row>
    <row r="302" ht="14.25" customHeight="1">
      <c r="A302" s="14"/>
      <c r="B302" s="14" t="s">
        <v>2660</v>
      </c>
      <c r="C302" s="13">
        <v>1.0</v>
      </c>
      <c r="D302" s="15"/>
      <c r="E302" s="14" t="s">
        <v>2054</v>
      </c>
      <c r="F302" s="15"/>
      <c r="G302" s="14" t="s">
        <v>2055</v>
      </c>
      <c r="H302" s="15"/>
      <c r="I302" s="14" t="s">
        <v>2661</v>
      </c>
    </row>
    <row r="303" ht="14.25" customHeight="1">
      <c r="A303" s="11"/>
      <c r="B303" s="11" t="s">
        <v>2662</v>
      </c>
      <c r="C303" s="10">
        <v>1.0</v>
      </c>
      <c r="D303" s="12"/>
      <c r="E303" s="11" t="s">
        <v>2058</v>
      </c>
      <c r="F303" s="12"/>
      <c r="G303" s="11" t="s">
        <v>1958</v>
      </c>
      <c r="H303" s="12"/>
      <c r="I303" s="11" t="s">
        <v>2663</v>
      </c>
      <c r="J303" s="12"/>
    </row>
    <row r="304" ht="14.25" customHeight="1">
      <c r="A304" s="14"/>
      <c r="B304" s="14" t="s">
        <v>2664</v>
      </c>
      <c r="C304" s="13">
        <v>1.0</v>
      </c>
      <c r="D304" s="15"/>
      <c r="E304" s="14" t="s">
        <v>2061</v>
      </c>
      <c r="F304" s="15"/>
      <c r="G304" s="14" t="s">
        <v>2062</v>
      </c>
      <c r="H304" s="14" t="s">
        <v>2665</v>
      </c>
      <c r="I304" s="14" t="s">
        <v>2666</v>
      </c>
      <c r="J304" s="14" t="s">
        <v>2667</v>
      </c>
    </row>
    <row r="305" ht="14.25" customHeight="1">
      <c r="A305" s="11"/>
      <c r="B305" s="11" t="s">
        <v>2668</v>
      </c>
      <c r="C305" s="10">
        <v>1.0</v>
      </c>
      <c r="D305" s="12"/>
      <c r="E305" s="11" t="s">
        <v>2065</v>
      </c>
      <c r="F305" s="12"/>
      <c r="G305" s="11" t="s">
        <v>1946</v>
      </c>
      <c r="H305" s="11" t="s">
        <v>2669</v>
      </c>
      <c r="I305" s="11" t="s">
        <v>2670</v>
      </c>
      <c r="J305" s="11" t="s">
        <v>2671</v>
      </c>
    </row>
    <row r="306" ht="14.25" customHeight="1">
      <c r="A306" s="14"/>
      <c r="B306" s="14" t="s">
        <v>2672</v>
      </c>
      <c r="C306" s="13">
        <v>0.0</v>
      </c>
      <c r="D306" s="15"/>
      <c r="E306" s="14" t="s">
        <v>2068</v>
      </c>
      <c r="G306" s="14" t="s">
        <v>2069</v>
      </c>
      <c r="H306" s="15"/>
      <c r="I306" s="14" t="s">
        <v>2673</v>
      </c>
      <c r="J306" s="15"/>
    </row>
    <row r="307" ht="14.25" customHeight="1">
      <c r="A307" s="11"/>
      <c r="B307" s="11" t="s">
        <v>2674</v>
      </c>
      <c r="C307" s="10">
        <v>1.0</v>
      </c>
      <c r="D307" s="12"/>
      <c r="E307" s="11" t="s">
        <v>2072</v>
      </c>
      <c r="F307" s="12"/>
      <c r="G307" s="11" t="s">
        <v>2073</v>
      </c>
      <c r="H307" s="11" t="s">
        <v>2657</v>
      </c>
      <c r="I307" s="11" t="s">
        <v>2675</v>
      </c>
      <c r="J307" s="11" t="s">
        <v>2676</v>
      </c>
    </row>
    <row r="308" ht="14.25" customHeight="1">
      <c r="A308" s="14"/>
      <c r="B308" s="14" t="s">
        <v>2677</v>
      </c>
      <c r="C308" s="13">
        <v>0.0</v>
      </c>
      <c r="D308" s="15"/>
      <c r="E308" s="14" t="s">
        <v>2076</v>
      </c>
      <c r="F308" s="15"/>
      <c r="G308" s="14" t="s">
        <v>2077</v>
      </c>
      <c r="H308" s="15"/>
      <c r="I308" s="14" t="s">
        <v>2678</v>
      </c>
      <c r="J308" s="15"/>
    </row>
    <row r="309" ht="14.25" customHeight="1">
      <c r="A309" s="11"/>
      <c r="B309" s="11" t="s">
        <v>2679</v>
      </c>
      <c r="C309" s="10">
        <v>0.0</v>
      </c>
      <c r="D309" s="12"/>
      <c r="E309" s="11" t="s">
        <v>2080</v>
      </c>
      <c r="F309" s="12"/>
      <c r="G309" s="11" t="s">
        <v>2055</v>
      </c>
      <c r="H309" s="12"/>
      <c r="I309" s="11" t="s">
        <v>2081</v>
      </c>
      <c r="J309" s="12"/>
    </row>
    <row r="310" ht="14.25" customHeight="1">
      <c r="A310" s="14"/>
      <c r="B310" s="14" t="s">
        <v>2680</v>
      </c>
      <c r="C310" s="13">
        <v>1.0</v>
      </c>
      <c r="D310" s="15"/>
      <c r="E310" s="14" t="s">
        <v>2083</v>
      </c>
      <c r="F310" s="15"/>
      <c r="G310" s="14" t="s">
        <v>2084</v>
      </c>
      <c r="H310" s="15"/>
      <c r="I310" s="14" t="s">
        <v>2681</v>
      </c>
      <c r="J310" s="15"/>
    </row>
    <row r="311" ht="14.25" customHeight="1">
      <c r="A311" s="11"/>
      <c r="B311" s="11" t="s">
        <v>2682</v>
      </c>
      <c r="C311" s="10">
        <v>1.0</v>
      </c>
      <c r="D311" s="12"/>
      <c r="E311" s="11" t="s">
        <v>2087</v>
      </c>
      <c r="F311" s="12"/>
      <c r="G311" s="11" t="s">
        <v>2088</v>
      </c>
      <c r="H311" s="12"/>
      <c r="I311" s="11" t="s">
        <v>2683</v>
      </c>
    </row>
    <row r="312" ht="14.25" customHeight="1">
      <c r="A312" s="14"/>
      <c r="B312" s="14" t="s">
        <v>2684</v>
      </c>
      <c r="C312" s="13">
        <v>1.0</v>
      </c>
      <c r="D312" s="15"/>
      <c r="E312" s="14" t="s">
        <v>2091</v>
      </c>
      <c r="F312" s="15"/>
      <c r="G312" s="14" t="s">
        <v>2092</v>
      </c>
      <c r="H312" s="14" t="s">
        <v>2685</v>
      </c>
      <c r="I312" s="14" t="s">
        <v>2686</v>
      </c>
      <c r="J312" s="14" t="s">
        <v>2687</v>
      </c>
    </row>
    <row r="313" ht="14.25" customHeight="1">
      <c r="A313" s="11"/>
      <c r="B313" s="11" t="s">
        <v>2688</v>
      </c>
      <c r="C313" s="10">
        <v>1.0</v>
      </c>
      <c r="D313" s="12"/>
      <c r="E313" s="11" t="s">
        <v>2095</v>
      </c>
      <c r="F313" s="12"/>
      <c r="G313" s="11" t="s">
        <v>2096</v>
      </c>
      <c r="H313" s="11" t="s">
        <v>2689</v>
      </c>
      <c r="I313" s="11" t="s">
        <v>2690</v>
      </c>
      <c r="J313" s="11" t="s">
        <v>2691</v>
      </c>
    </row>
    <row r="314" ht="14.25" customHeight="1">
      <c r="A314" s="14"/>
      <c r="B314" s="14" t="s">
        <v>2692</v>
      </c>
      <c r="C314" s="13">
        <v>1.0</v>
      </c>
      <c r="D314" s="15"/>
      <c r="E314" s="14" t="s">
        <v>2099</v>
      </c>
      <c r="F314" s="15"/>
      <c r="G314" s="14" t="s">
        <v>2100</v>
      </c>
      <c r="H314" s="14" t="s">
        <v>2693</v>
      </c>
      <c r="I314" s="14" t="s">
        <v>2694</v>
      </c>
      <c r="J314" s="14" t="s">
        <v>2695</v>
      </c>
    </row>
    <row r="315" ht="14.25" customHeight="1">
      <c r="A315" s="11"/>
      <c r="B315" s="11" t="s">
        <v>2696</v>
      </c>
      <c r="C315" s="10">
        <v>1.0</v>
      </c>
      <c r="D315" s="12"/>
      <c r="E315" s="11" t="s">
        <v>2103</v>
      </c>
      <c r="F315" s="12"/>
      <c r="G315" s="11" t="s">
        <v>1493</v>
      </c>
      <c r="H315" s="11" t="s">
        <v>2697</v>
      </c>
      <c r="I315" s="11" t="s">
        <v>2646</v>
      </c>
      <c r="J315" s="11" t="s">
        <v>2698</v>
      </c>
    </row>
    <row r="316" ht="14.25" customHeight="1">
      <c r="A316" s="14"/>
      <c r="B316" s="14" t="s">
        <v>2699</v>
      </c>
      <c r="C316" s="13">
        <v>0.0</v>
      </c>
      <c r="D316" s="15"/>
      <c r="E316" s="14" t="s">
        <v>2105</v>
      </c>
      <c r="F316" s="15"/>
      <c r="G316" s="14" t="s">
        <v>1493</v>
      </c>
      <c r="H316" s="15"/>
      <c r="I316" s="14" t="s">
        <v>2700</v>
      </c>
      <c r="J316" s="15"/>
    </row>
    <row r="317" ht="14.25" customHeight="1">
      <c r="A317" s="11"/>
      <c r="B317" s="11" t="s">
        <v>2701</v>
      </c>
      <c r="C317" s="10">
        <v>0.0</v>
      </c>
      <c r="D317" s="12"/>
      <c r="E317" s="11" t="s">
        <v>2108</v>
      </c>
      <c r="F317" s="12"/>
      <c r="G317" s="11" t="s">
        <v>2109</v>
      </c>
      <c r="H317" s="12"/>
      <c r="I317" s="11" t="s">
        <v>2702</v>
      </c>
      <c r="J317" s="12"/>
    </row>
    <row r="318" ht="14.25" customHeight="1">
      <c r="A318" s="14"/>
      <c r="B318" s="14" t="s">
        <v>2703</v>
      </c>
      <c r="C318" s="13">
        <v>1.0</v>
      </c>
      <c r="D318" s="15"/>
      <c r="E318" s="14" t="s">
        <v>2112</v>
      </c>
      <c r="F318" s="15"/>
      <c r="G318" s="14" t="s">
        <v>2032</v>
      </c>
      <c r="H318" s="14" t="s">
        <v>2704</v>
      </c>
      <c r="I318" s="14" t="s">
        <v>2705</v>
      </c>
      <c r="J318" s="14" t="s">
        <v>2706</v>
      </c>
    </row>
    <row r="319" ht="14.25" customHeight="1">
      <c r="A319" s="11"/>
      <c r="B319" s="11" t="s">
        <v>2707</v>
      </c>
      <c r="C319" s="10">
        <v>1.0</v>
      </c>
      <c r="D319" s="12"/>
      <c r="E319" s="11" t="s">
        <v>2115</v>
      </c>
      <c r="F319" s="12"/>
      <c r="G319" s="11" t="s">
        <v>2116</v>
      </c>
      <c r="H319" s="11" t="s">
        <v>2708</v>
      </c>
      <c r="I319" s="11" t="s">
        <v>2709</v>
      </c>
      <c r="J319" s="11" t="s">
        <v>2710</v>
      </c>
    </row>
    <row r="320" ht="14.25" customHeight="1">
      <c r="A320" s="14"/>
      <c r="B320" s="14" t="s">
        <v>2711</v>
      </c>
      <c r="C320" s="13">
        <v>1.0</v>
      </c>
      <c r="D320" s="15"/>
      <c r="E320" s="14" t="s">
        <v>2119</v>
      </c>
      <c r="F320" s="15"/>
      <c r="G320" s="14" t="s">
        <v>1705</v>
      </c>
      <c r="H320" s="15"/>
      <c r="I320" s="14" t="s">
        <v>2712</v>
      </c>
      <c r="J320" s="15"/>
    </row>
    <row r="321" ht="14.25" customHeight="1">
      <c r="A321" s="11"/>
      <c r="B321" s="11" t="s">
        <v>2713</v>
      </c>
      <c r="C321" s="10">
        <v>1.0</v>
      </c>
      <c r="D321" s="12"/>
      <c r="E321" s="11" t="s">
        <v>2122</v>
      </c>
      <c r="F321" s="12"/>
      <c r="G321" s="11" t="s">
        <v>2123</v>
      </c>
      <c r="H321" s="11" t="s">
        <v>2714</v>
      </c>
      <c r="I321" s="11" t="s">
        <v>2715</v>
      </c>
      <c r="J321" s="11" t="s">
        <v>2716</v>
      </c>
    </row>
    <row r="322" ht="14.25" customHeight="1">
      <c r="A322" s="14"/>
      <c r="B322" s="14" t="s">
        <v>2717</v>
      </c>
      <c r="C322" s="13">
        <v>0.0</v>
      </c>
      <c r="D322" s="15"/>
      <c r="E322" s="14" t="s">
        <v>2126</v>
      </c>
      <c r="F322" s="15"/>
      <c r="G322" s="14" t="s">
        <v>2127</v>
      </c>
      <c r="H322" s="15"/>
      <c r="I322" s="14" t="s">
        <v>2718</v>
      </c>
      <c r="J322" s="15"/>
    </row>
    <row r="323" ht="14.25" customHeight="1">
      <c r="A323" s="11"/>
      <c r="B323" s="11" t="s">
        <v>2719</v>
      </c>
      <c r="C323" s="10">
        <v>1.0</v>
      </c>
      <c r="D323" s="12"/>
      <c r="E323" s="11" t="s">
        <v>2130</v>
      </c>
      <c r="F323" s="12"/>
      <c r="G323" s="11" t="s">
        <v>2131</v>
      </c>
      <c r="H323" s="11" t="s">
        <v>2720</v>
      </c>
      <c r="I323" s="11" t="s">
        <v>2721</v>
      </c>
      <c r="J323" s="11" t="s">
        <v>2722</v>
      </c>
    </row>
    <row r="324" ht="14.25" customHeight="1">
      <c r="A324" s="14"/>
      <c r="B324" s="14" t="s">
        <v>2723</v>
      </c>
      <c r="C324" s="13">
        <v>0.0</v>
      </c>
      <c r="D324" s="15"/>
      <c r="E324" s="14" t="s">
        <v>2134</v>
      </c>
      <c r="F324" s="15"/>
      <c r="G324" s="14" t="s">
        <v>146</v>
      </c>
      <c r="H324" s="15"/>
      <c r="I324" s="14" t="s">
        <v>2724</v>
      </c>
      <c r="J324" s="15"/>
    </row>
    <row r="325" ht="14.25" customHeight="1">
      <c r="A325" s="11"/>
      <c r="B325" s="11" t="s">
        <v>2725</v>
      </c>
      <c r="C325" s="10">
        <v>0.0</v>
      </c>
      <c r="D325" s="12"/>
      <c r="E325" s="11" t="s">
        <v>2137</v>
      </c>
      <c r="F325" s="12"/>
      <c r="G325" s="11" t="s">
        <v>1493</v>
      </c>
      <c r="H325" s="11" t="s">
        <v>2726</v>
      </c>
      <c r="I325" s="11" t="s">
        <v>2727</v>
      </c>
      <c r="J325" s="11" t="s">
        <v>2728</v>
      </c>
    </row>
    <row r="326" ht="14.25" customHeight="1">
      <c r="A326" s="14"/>
      <c r="B326" s="14" t="s">
        <v>2729</v>
      </c>
      <c r="C326" s="13">
        <v>0.0</v>
      </c>
      <c r="D326" s="15"/>
      <c r="E326" s="14" t="s">
        <v>2140</v>
      </c>
      <c r="G326" s="14" t="s">
        <v>2073</v>
      </c>
      <c r="H326" s="15"/>
      <c r="I326" s="14" t="s">
        <v>2730</v>
      </c>
      <c r="J326" s="15"/>
    </row>
    <row r="327" ht="14.25" customHeight="1">
      <c r="A327" s="11"/>
      <c r="B327" s="11" t="s">
        <v>2731</v>
      </c>
      <c r="C327" s="10">
        <v>1.0</v>
      </c>
      <c r="D327" s="12"/>
      <c r="E327" s="11" t="s">
        <v>2143</v>
      </c>
      <c r="F327" s="12"/>
      <c r="G327" s="11" t="s">
        <v>2144</v>
      </c>
      <c r="H327" s="12"/>
      <c r="I327" s="11" t="s">
        <v>2732</v>
      </c>
      <c r="J327" s="12"/>
    </row>
    <row r="328" ht="14.25" customHeight="1">
      <c r="A328" s="14"/>
      <c r="B328" s="14" t="s">
        <v>2733</v>
      </c>
      <c r="C328" s="13">
        <v>1.0</v>
      </c>
      <c r="D328" s="15"/>
      <c r="E328" s="14" t="s">
        <v>2147</v>
      </c>
      <c r="F328" s="15"/>
      <c r="G328" s="14" t="s">
        <v>2148</v>
      </c>
      <c r="H328" s="14" t="s">
        <v>2734</v>
      </c>
      <c r="I328" s="14" t="s">
        <v>2735</v>
      </c>
      <c r="J328" s="14" t="s">
        <v>2736</v>
      </c>
    </row>
    <row r="329" ht="14.25" customHeight="1">
      <c r="A329" s="11"/>
      <c r="B329" s="11" t="s">
        <v>2737</v>
      </c>
      <c r="C329" s="10">
        <v>1.0</v>
      </c>
      <c r="D329" s="12"/>
      <c r="E329" s="11" t="s">
        <v>2151</v>
      </c>
      <c r="F329" s="12"/>
      <c r="G329" s="11" t="s">
        <v>2152</v>
      </c>
      <c r="H329" s="11" t="s">
        <v>2738</v>
      </c>
      <c r="I329" s="11" t="s">
        <v>2739</v>
      </c>
      <c r="J329" s="11" t="s">
        <v>2740</v>
      </c>
    </row>
    <row r="330" ht="14.25" customHeight="1">
      <c r="A330" s="14"/>
      <c r="B330" s="14" t="s">
        <v>2741</v>
      </c>
      <c r="C330" s="13">
        <v>1.0</v>
      </c>
      <c r="D330" s="15"/>
      <c r="E330" s="14" t="s">
        <v>2155</v>
      </c>
      <c r="F330" s="15"/>
      <c r="G330" s="14" t="s">
        <v>1972</v>
      </c>
      <c r="H330" s="15"/>
      <c r="I330" s="14" t="s">
        <v>2742</v>
      </c>
      <c r="J330" s="15"/>
    </row>
    <row r="331" ht="14.25" customHeight="1">
      <c r="A331" s="11"/>
      <c r="B331" s="11" t="s">
        <v>2743</v>
      </c>
      <c r="C331" s="10">
        <v>1.0</v>
      </c>
      <c r="D331" s="12"/>
      <c r="E331" s="11" t="s">
        <v>2083</v>
      </c>
      <c r="F331" s="12"/>
      <c r="G331" s="11" t="s">
        <v>2084</v>
      </c>
      <c r="H331" s="12"/>
      <c r="I331" s="11" t="s">
        <v>2744</v>
      </c>
      <c r="J331" s="12"/>
    </row>
    <row r="332" ht="14.25" customHeight="1">
      <c r="A332" s="14"/>
      <c r="B332" s="14" t="s">
        <v>2745</v>
      </c>
      <c r="C332" s="13">
        <v>1.0</v>
      </c>
      <c r="D332" s="15"/>
      <c r="E332" s="14" t="s">
        <v>2160</v>
      </c>
      <c r="F332" s="15"/>
      <c r="G332" s="14" t="s">
        <v>1493</v>
      </c>
      <c r="H332" s="14" t="s">
        <v>2697</v>
      </c>
      <c r="I332" s="14" t="s">
        <v>2746</v>
      </c>
      <c r="J332" s="14" t="s">
        <v>2747</v>
      </c>
    </row>
    <row r="333" ht="14.25" customHeight="1">
      <c r="A333" s="11"/>
      <c r="B333" s="11" t="s">
        <v>2748</v>
      </c>
      <c r="C333" s="10">
        <v>1.0</v>
      </c>
      <c r="D333" s="12"/>
      <c r="E333" s="11" t="s">
        <v>2163</v>
      </c>
      <c r="F333" s="12"/>
      <c r="G333" s="11" t="s">
        <v>2164</v>
      </c>
      <c r="H333" s="12"/>
      <c r="I333" s="11" t="s">
        <v>2749</v>
      </c>
      <c r="J333" s="12"/>
    </row>
    <row r="334" ht="14.25" customHeight="1">
      <c r="A334" s="14"/>
      <c r="B334" s="14" t="s">
        <v>2750</v>
      </c>
      <c r="C334" s="13">
        <v>0.0</v>
      </c>
      <c r="D334" s="15"/>
      <c r="E334" s="14" t="s">
        <v>2167</v>
      </c>
      <c r="F334" s="15"/>
      <c r="G334" s="14" t="s">
        <v>1493</v>
      </c>
      <c r="H334" s="15"/>
      <c r="I334" s="14" t="s">
        <v>2751</v>
      </c>
      <c r="J334" s="15"/>
    </row>
    <row r="335" ht="14.25" customHeight="1">
      <c r="A335" s="11"/>
      <c r="B335" s="11" t="s">
        <v>2752</v>
      </c>
      <c r="C335" s="10">
        <v>0.0</v>
      </c>
      <c r="D335" s="12"/>
      <c r="E335" s="11" t="s">
        <v>2170</v>
      </c>
      <c r="G335" s="11" t="s">
        <v>2171</v>
      </c>
      <c r="H335" s="12"/>
      <c r="I335" s="11" t="s">
        <v>2753</v>
      </c>
      <c r="J335" s="12"/>
    </row>
    <row r="336" ht="14.25" customHeight="1">
      <c r="A336" s="14"/>
      <c r="B336" s="14" t="s">
        <v>2754</v>
      </c>
      <c r="C336" s="13">
        <v>0.0</v>
      </c>
      <c r="D336" s="15"/>
      <c r="E336" s="14" t="s">
        <v>2174</v>
      </c>
      <c r="F336" s="15"/>
      <c r="G336" s="14" t="s">
        <v>2175</v>
      </c>
      <c r="H336" s="15"/>
      <c r="I336" s="14" t="s">
        <v>2755</v>
      </c>
      <c r="J336" s="15"/>
    </row>
    <row r="337" ht="14.25" customHeight="1">
      <c r="A337" s="11"/>
      <c r="B337" s="11" t="s">
        <v>2756</v>
      </c>
      <c r="C337" s="10">
        <v>0.0</v>
      </c>
      <c r="D337" s="12"/>
      <c r="E337" s="11" t="s">
        <v>2178</v>
      </c>
      <c r="G337" s="11" t="s">
        <v>2179</v>
      </c>
      <c r="H337" s="12"/>
      <c r="I337" s="11" t="s">
        <v>2757</v>
      </c>
      <c r="J337" s="12"/>
    </row>
    <row r="338" ht="14.25" customHeight="1">
      <c r="A338" s="14"/>
      <c r="B338" s="14" t="s">
        <v>2758</v>
      </c>
      <c r="C338" s="13">
        <v>0.0</v>
      </c>
      <c r="D338" s="15"/>
      <c r="E338" s="14" t="s">
        <v>2182</v>
      </c>
      <c r="F338" s="15"/>
      <c r="G338" s="14" t="s">
        <v>2183</v>
      </c>
      <c r="H338" s="15"/>
      <c r="I338" s="14" t="s">
        <v>2759</v>
      </c>
      <c r="J338" s="15"/>
    </row>
    <row r="339" ht="14.25" customHeight="1">
      <c r="A339" s="11"/>
      <c r="B339" s="11" t="s">
        <v>2760</v>
      </c>
      <c r="C339" s="10">
        <v>1.0</v>
      </c>
      <c r="D339" s="12"/>
      <c r="E339" s="11" t="s">
        <v>2186</v>
      </c>
      <c r="F339" s="12"/>
      <c r="G339" s="11" t="s">
        <v>2148</v>
      </c>
      <c r="H339" s="11" t="s">
        <v>2761</v>
      </c>
      <c r="I339" s="11" t="s">
        <v>2762</v>
      </c>
      <c r="J339" s="11" t="s">
        <v>2763</v>
      </c>
    </row>
    <row r="340" ht="14.25" customHeight="1">
      <c r="A340" s="14"/>
      <c r="B340" s="14" t="s">
        <v>2764</v>
      </c>
      <c r="C340" s="13">
        <v>1.0</v>
      </c>
      <c r="D340" s="15"/>
      <c r="E340" s="14" t="s">
        <v>2189</v>
      </c>
      <c r="F340" s="15"/>
      <c r="G340" s="14" t="s">
        <v>2032</v>
      </c>
      <c r="H340" s="14" t="s">
        <v>2708</v>
      </c>
      <c r="I340" s="14" t="s">
        <v>2765</v>
      </c>
      <c r="J340" s="14" t="s">
        <v>2710</v>
      </c>
    </row>
    <row r="341" ht="14.25" customHeight="1">
      <c r="A341" s="11"/>
      <c r="B341" s="11" t="s">
        <v>2766</v>
      </c>
      <c r="C341" s="10">
        <v>0.0</v>
      </c>
      <c r="D341" s="12"/>
      <c r="E341" s="11" t="s">
        <v>2192</v>
      </c>
      <c r="F341" s="12"/>
      <c r="G341" s="11" t="s">
        <v>1869</v>
      </c>
      <c r="H341" s="12"/>
      <c r="I341" s="11" t="s">
        <v>2767</v>
      </c>
      <c r="J341" s="12"/>
    </row>
    <row r="342" ht="14.25" customHeight="1">
      <c r="A342" s="14"/>
      <c r="B342" s="14" t="s">
        <v>2768</v>
      </c>
      <c r="C342" s="13">
        <v>0.0</v>
      </c>
      <c r="D342" s="15"/>
      <c r="E342" s="14" t="s">
        <v>2160</v>
      </c>
      <c r="F342" s="15"/>
      <c r="G342" s="14" t="s">
        <v>1493</v>
      </c>
      <c r="H342" s="14" t="s">
        <v>2697</v>
      </c>
      <c r="I342" s="14" t="s">
        <v>2769</v>
      </c>
      <c r="J342" s="14" t="s">
        <v>2770</v>
      </c>
    </row>
    <row r="343" ht="14.25" customHeight="1">
      <c r="A343" s="11"/>
      <c r="B343" s="11" t="s">
        <v>2771</v>
      </c>
      <c r="C343" s="10">
        <v>0.0</v>
      </c>
      <c r="D343" s="12"/>
      <c r="E343" s="11" t="s">
        <v>2197</v>
      </c>
      <c r="G343" s="11" t="s">
        <v>2198</v>
      </c>
      <c r="H343" s="12"/>
      <c r="I343" s="11" t="s">
        <v>2772</v>
      </c>
      <c r="J343" s="12"/>
    </row>
    <row r="344" ht="14.25" customHeight="1">
      <c r="A344" s="14"/>
      <c r="B344" s="14" t="s">
        <v>2773</v>
      </c>
      <c r="C344" s="13">
        <v>0.0</v>
      </c>
      <c r="D344" s="15"/>
      <c r="E344" s="14" t="s">
        <v>2201</v>
      </c>
      <c r="F344" s="15"/>
      <c r="G344" s="14" t="s">
        <v>2202</v>
      </c>
      <c r="H344" s="15"/>
      <c r="I344" s="14" t="s">
        <v>2774</v>
      </c>
      <c r="J344" s="15"/>
    </row>
    <row r="345" ht="14.25" customHeight="1">
      <c r="A345" s="11"/>
      <c r="B345" s="11" t="s">
        <v>2775</v>
      </c>
      <c r="C345" s="10">
        <v>1.0</v>
      </c>
      <c r="D345" s="12"/>
      <c r="E345" s="11" t="s">
        <v>2160</v>
      </c>
      <c r="F345" s="12"/>
      <c r="G345" s="11" t="s">
        <v>1493</v>
      </c>
      <c r="H345" s="11" t="s">
        <v>2697</v>
      </c>
      <c r="I345" s="11" t="s">
        <v>2776</v>
      </c>
      <c r="J345" s="11" t="s">
        <v>2777</v>
      </c>
    </row>
    <row r="346" ht="14.25" customHeight="1">
      <c r="A346" s="14"/>
      <c r="B346" s="14" t="s">
        <v>2778</v>
      </c>
      <c r="C346" s="13">
        <v>1.0</v>
      </c>
      <c r="D346" s="15"/>
      <c r="E346" s="14" t="s">
        <v>2207</v>
      </c>
      <c r="F346" s="15"/>
      <c r="G346" s="14" t="s">
        <v>2208</v>
      </c>
      <c r="H346" s="14" t="s">
        <v>2779</v>
      </c>
      <c r="I346" s="14" t="s">
        <v>2780</v>
      </c>
      <c r="J346" s="14" t="s">
        <v>2781</v>
      </c>
    </row>
    <row r="347" ht="14.25" customHeight="1">
      <c r="A347" s="11"/>
      <c r="B347" s="11" t="s">
        <v>2782</v>
      </c>
      <c r="C347" s="10">
        <v>0.0</v>
      </c>
      <c r="D347" s="12"/>
      <c r="E347" s="11" t="s">
        <v>2211</v>
      </c>
      <c r="F347" s="12"/>
      <c r="G347" s="11" t="s">
        <v>2212</v>
      </c>
      <c r="H347" s="12"/>
      <c r="I347" s="11" t="s">
        <v>2783</v>
      </c>
      <c r="J347" s="12"/>
    </row>
    <row r="348" ht="14.25" customHeight="1">
      <c r="A348" s="14"/>
      <c r="B348" s="14" t="s">
        <v>2784</v>
      </c>
      <c r="C348" s="13">
        <v>0.0</v>
      </c>
      <c r="D348" s="15"/>
      <c r="E348" s="14" t="s">
        <v>2215</v>
      </c>
      <c r="G348" s="14" t="s">
        <v>2216</v>
      </c>
      <c r="H348" s="15"/>
      <c r="I348" s="14" t="s">
        <v>2785</v>
      </c>
      <c r="J348" s="15"/>
    </row>
    <row r="349" ht="14.25" customHeight="1">
      <c r="A349" s="11"/>
      <c r="B349" s="11" t="s">
        <v>2786</v>
      </c>
      <c r="C349" s="10">
        <v>0.0</v>
      </c>
      <c r="D349" s="12"/>
      <c r="E349" s="11" t="s">
        <v>2219</v>
      </c>
      <c r="G349" s="11" t="s">
        <v>2220</v>
      </c>
      <c r="H349" s="12"/>
      <c r="I349" s="11" t="s">
        <v>2787</v>
      </c>
      <c r="J349" s="12"/>
    </row>
    <row r="350" ht="14.25" customHeight="1">
      <c r="A350" s="14"/>
      <c r="B350" s="14" t="s">
        <v>2788</v>
      </c>
      <c r="C350" s="13">
        <v>1.0</v>
      </c>
      <c r="D350" s="15"/>
      <c r="E350" s="14" t="s">
        <v>2223</v>
      </c>
      <c r="G350" s="14" t="s">
        <v>2224</v>
      </c>
      <c r="H350" s="14" t="s">
        <v>2789</v>
      </c>
      <c r="I350" s="14" t="s">
        <v>2790</v>
      </c>
      <c r="J350" s="14" t="s">
        <v>2791</v>
      </c>
    </row>
    <row r="351" ht="14.25" customHeight="1">
      <c r="A351" s="11"/>
      <c r="B351" s="11" t="s">
        <v>2792</v>
      </c>
      <c r="C351" s="10">
        <v>0.0</v>
      </c>
      <c r="D351" s="12"/>
      <c r="E351" s="11" t="s">
        <v>2227</v>
      </c>
      <c r="G351" s="11" t="s">
        <v>2228</v>
      </c>
      <c r="H351" s="12"/>
      <c r="I351" s="11" t="s">
        <v>2793</v>
      </c>
      <c r="J351" s="12"/>
    </row>
    <row r="352" ht="14.25" customHeight="1">
      <c r="A352" s="14"/>
      <c r="B352" s="14" t="s">
        <v>2794</v>
      </c>
      <c r="C352" s="13">
        <v>0.0</v>
      </c>
      <c r="D352" s="15"/>
      <c r="E352" s="14" t="s">
        <v>2231</v>
      </c>
      <c r="F352" s="15"/>
      <c r="G352" s="14" t="s">
        <v>2232</v>
      </c>
      <c r="H352" s="15"/>
      <c r="I352" s="14" t="s">
        <v>2795</v>
      </c>
      <c r="J352" s="15"/>
    </row>
    <row r="353" ht="14.25" customHeight="1">
      <c r="A353" s="11"/>
      <c r="B353" s="11" t="s">
        <v>2796</v>
      </c>
      <c r="C353" s="10">
        <v>1.0</v>
      </c>
      <c r="D353" s="12"/>
      <c r="E353" s="11" t="s">
        <v>2235</v>
      </c>
      <c r="F353" s="11" t="s">
        <v>2797</v>
      </c>
      <c r="G353" s="11" t="s">
        <v>2236</v>
      </c>
      <c r="H353" s="11" t="s">
        <v>2798</v>
      </c>
      <c r="I353" s="11" t="s">
        <v>2799</v>
      </c>
      <c r="J353" s="11" t="s">
        <v>2800</v>
      </c>
    </row>
    <row r="354" ht="14.25" customHeight="1">
      <c r="A354" s="14"/>
      <c r="B354" s="14" t="s">
        <v>2801</v>
      </c>
      <c r="C354" s="13">
        <v>0.0</v>
      </c>
      <c r="D354" s="15"/>
      <c r="E354" s="14" t="s">
        <v>1584</v>
      </c>
      <c r="F354" s="15"/>
      <c r="G354" s="14" t="s">
        <v>2239</v>
      </c>
      <c r="H354" s="15"/>
      <c r="I354" s="14" t="s">
        <v>2802</v>
      </c>
      <c r="J354" s="15"/>
    </row>
    <row r="355" ht="14.25" customHeight="1">
      <c r="A355" s="11"/>
      <c r="B355" s="11" t="s">
        <v>2803</v>
      </c>
      <c r="C355" s="10">
        <v>0.0</v>
      </c>
      <c r="D355" s="12"/>
      <c r="E355" s="11" t="s">
        <v>2242</v>
      </c>
      <c r="G355" s="11" t="s">
        <v>2243</v>
      </c>
      <c r="H355" s="12"/>
      <c r="I355" s="11" t="s">
        <v>2804</v>
      </c>
      <c r="J355" s="12"/>
    </row>
    <row r="356" ht="14.25" customHeight="1">
      <c r="A356" s="14"/>
      <c r="B356" s="14" t="s">
        <v>2805</v>
      </c>
      <c r="C356" s="13">
        <v>0.0</v>
      </c>
      <c r="D356" s="15"/>
      <c r="E356" s="14" t="s">
        <v>2246</v>
      </c>
      <c r="F356" s="15"/>
      <c r="G356" s="14" t="s">
        <v>2247</v>
      </c>
      <c r="H356" s="15"/>
      <c r="I356" s="14" t="s">
        <v>2806</v>
      </c>
      <c r="J356" s="15"/>
    </row>
    <row r="357" ht="14.25" customHeight="1">
      <c r="A357" s="11"/>
      <c r="B357" s="11" t="s">
        <v>2807</v>
      </c>
      <c r="C357" s="10">
        <v>0.0</v>
      </c>
      <c r="D357" s="12"/>
      <c r="E357" s="11" t="s">
        <v>2250</v>
      </c>
      <c r="F357" s="12"/>
      <c r="G357" s="11" t="s">
        <v>2251</v>
      </c>
      <c r="H357" s="12"/>
      <c r="I357" s="11" t="s">
        <v>2808</v>
      </c>
      <c r="J357" s="12"/>
    </row>
    <row r="358" ht="14.25" customHeight="1">
      <c r="A358" s="14"/>
      <c r="B358" s="14" t="s">
        <v>2809</v>
      </c>
      <c r="C358" s="13">
        <v>0.0</v>
      </c>
      <c r="D358" s="15"/>
      <c r="E358" s="14" t="s">
        <v>2254</v>
      </c>
      <c r="F358" s="15"/>
      <c r="G358" s="14" t="s">
        <v>2032</v>
      </c>
      <c r="H358" s="15"/>
      <c r="I358" s="14" t="s">
        <v>2810</v>
      </c>
      <c r="J358" s="15"/>
    </row>
    <row r="359" ht="14.25" customHeight="1">
      <c r="A359" s="11"/>
      <c r="B359" s="11" t="s">
        <v>2811</v>
      </c>
      <c r="C359" s="10">
        <v>0.0</v>
      </c>
      <c r="D359" s="12"/>
      <c r="E359" s="11" t="s">
        <v>2257</v>
      </c>
      <c r="F359" s="12"/>
      <c r="G359" s="11" t="s">
        <v>2258</v>
      </c>
      <c r="H359" s="12"/>
      <c r="I359" s="11" t="s">
        <v>2812</v>
      </c>
      <c r="J359" s="12"/>
    </row>
    <row r="360" ht="14.25" customHeight="1">
      <c r="A360" s="14"/>
      <c r="B360" s="14" t="s">
        <v>2813</v>
      </c>
      <c r="C360" s="13">
        <v>1.0</v>
      </c>
      <c r="D360" s="15"/>
      <c r="E360" s="14" t="s">
        <v>2261</v>
      </c>
      <c r="F360" s="15"/>
      <c r="G360" s="14" t="s">
        <v>2100</v>
      </c>
      <c r="H360" s="14" t="s">
        <v>2814</v>
      </c>
      <c r="I360" s="14" t="s">
        <v>2815</v>
      </c>
      <c r="J360" s="14" t="s">
        <v>2816</v>
      </c>
    </row>
    <row r="361" ht="14.25" customHeight="1">
      <c r="A361" s="11"/>
      <c r="B361" s="11" t="s">
        <v>2817</v>
      </c>
      <c r="C361" s="10">
        <v>0.0</v>
      </c>
      <c r="D361" s="12"/>
      <c r="E361" s="11" t="s">
        <v>2264</v>
      </c>
      <c r="F361" s="12"/>
      <c r="G361" s="11" t="s">
        <v>2265</v>
      </c>
      <c r="H361" s="12"/>
      <c r="I361" s="11" t="s">
        <v>2818</v>
      </c>
      <c r="J361" s="12"/>
    </row>
    <row r="362" ht="14.25" customHeight="1">
      <c r="A362" s="14"/>
      <c r="B362" s="14" t="s">
        <v>2819</v>
      </c>
      <c r="C362" s="13">
        <v>0.0</v>
      </c>
      <c r="D362" s="15"/>
      <c r="E362" s="14" t="s">
        <v>2268</v>
      </c>
      <c r="F362" s="15"/>
      <c r="G362" s="14" t="s">
        <v>2269</v>
      </c>
      <c r="H362" s="15"/>
      <c r="I362" s="14" t="s">
        <v>2820</v>
      </c>
      <c r="J362" s="15"/>
    </row>
    <row r="363" ht="14.25" customHeight="1">
      <c r="A363" s="11"/>
      <c r="B363" s="11" t="s">
        <v>2821</v>
      </c>
      <c r="C363" s="10">
        <v>1.0</v>
      </c>
      <c r="D363" s="12"/>
      <c r="E363" s="11" t="s">
        <v>2272</v>
      </c>
      <c r="F363" s="12"/>
      <c r="G363" s="11" t="s">
        <v>2148</v>
      </c>
      <c r="H363" s="11" t="s">
        <v>2822</v>
      </c>
      <c r="I363" s="11" t="s">
        <v>2823</v>
      </c>
      <c r="J363" s="11" t="s">
        <v>2824</v>
      </c>
    </row>
    <row r="364" ht="14.25" customHeight="1">
      <c r="A364" s="14"/>
      <c r="B364" s="14" t="s">
        <v>2825</v>
      </c>
      <c r="C364" s="13">
        <v>0.0</v>
      </c>
      <c r="D364" s="15"/>
      <c r="E364" s="14" t="s">
        <v>2275</v>
      </c>
      <c r="F364" s="15"/>
      <c r="G364" s="14" t="s">
        <v>1950</v>
      </c>
      <c r="H364" s="15"/>
      <c r="I364" s="14" t="s">
        <v>2826</v>
      </c>
      <c r="J364" s="15"/>
    </row>
    <row r="365" ht="14.25" customHeight="1">
      <c r="A365" s="11"/>
      <c r="B365" s="11" t="s">
        <v>2827</v>
      </c>
      <c r="C365" s="10">
        <v>0.0</v>
      </c>
      <c r="D365" s="12"/>
      <c r="E365" s="11" t="s">
        <v>2278</v>
      </c>
      <c r="G365" s="11" t="s">
        <v>2279</v>
      </c>
      <c r="H365" s="12"/>
      <c r="I365" s="11" t="s">
        <v>2828</v>
      </c>
      <c r="J365" s="12"/>
    </row>
    <row r="366" ht="14.25" customHeight="1">
      <c r="A366" s="14"/>
      <c r="B366" s="14" t="s">
        <v>2829</v>
      </c>
      <c r="C366" s="13">
        <v>0.0</v>
      </c>
      <c r="D366" s="15"/>
      <c r="E366" s="14" t="s">
        <v>2282</v>
      </c>
      <c r="F366" s="15"/>
      <c r="G366" s="14" t="s">
        <v>2283</v>
      </c>
      <c r="H366" s="15"/>
      <c r="I366" s="14" t="s">
        <v>2830</v>
      </c>
      <c r="J366" s="15"/>
    </row>
    <row r="367" ht="14.25" customHeight="1">
      <c r="A367" s="11"/>
      <c r="B367" s="11" t="s">
        <v>2831</v>
      </c>
      <c r="C367" s="10">
        <v>0.0</v>
      </c>
      <c r="D367" s="12"/>
      <c r="E367" s="11" t="s">
        <v>2286</v>
      </c>
      <c r="G367" s="11" t="s">
        <v>2287</v>
      </c>
      <c r="H367" s="12"/>
      <c r="I367" s="11" t="s">
        <v>2832</v>
      </c>
      <c r="J367" s="12"/>
    </row>
    <row r="368" ht="14.25" customHeight="1">
      <c r="A368" s="14"/>
      <c r="B368" s="14" t="s">
        <v>2833</v>
      </c>
      <c r="C368" s="13">
        <v>1.0</v>
      </c>
      <c r="D368" s="15"/>
      <c r="E368" s="14" t="s">
        <v>2834</v>
      </c>
      <c r="F368" s="14" t="s">
        <v>2834</v>
      </c>
      <c r="G368" s="14" t="s">
        <v>2291</v>
      </c>
      <c r="H368" s="14" t="s">
        <v>2835</v>
      </c>
      <c r="I368" s="14" t="s">
        <v>2836</v>
      </c>
      <c r="J368" s="14" t="s">
        <v>2837</v>
      </c>
    </row>
    <row r="369" ht="14.25" customHeight="1">
      <c r="A369" s="11"/>
      <c r="B369" s="11" t="s">
        <v>2838</v>
      </c>
      <c r="C369" s="10">
        <v>1.0</v>
      </c>
      <c r="D369" s="12"/>
      <c r="E369" s="11" t="s">
        <v>2294</v>
      </c>
      <c r="F369" s="12"/>
      <c r="G369" s="11" t="s">
        <v>2295</v>
      </c>
      <c r="H369" s="11" t="s">
        <v>2839</v>
      </c>
      <c r="I369" s="11" t="s">
        <v>2840</v>
      </c>
      <c r="J369" s="11" t="s">
        <v>2841</v>
      </c>
    </row>
    <row r="370" ht="14.25" customHeight="1">
      <c r="A370" s="14"/>
      <c r="B370" s="14" t="s">
        <v>2842</v>
      </c>
      <c r="C370" s="13">
        <v>1.0</v>
      </c>
      <c r="D370" s="15"/>
      <c r="E370" s="14" t="s">
        <v>2298</v>
      </c>
      <c r="F370" s="14" t="s">
        <v>2298</v>
      </c>
      <c r="G370" s="14" t="s">
        <v>2299</v>
      </c>
      <c r="H370" s="14" t="s">
        <v>2843</v>
      </c>
      <c r="I370" s="14" t="s">
        <v>2844</v>
      </c>
      <c r="J370" s="14" t="s">
        <v>2845</v>
      </c>
    </row>
    <row r="371" ht="14.25" customHeight="1">
      <c r="A371" s="11"/>
      <c r="B371" s="11" t="s">
        <v>2846</v>
      </c>
      <c r="C371" s="10">
        <v>0.0</v>
      </c>
      <c r="D371" s="12"/>
      <c r="E371" s="11" t="s">
        <v>2302</v>
      </c>
      <c r="F371" s="12"/>
      <c r="G371" s="11" t="s">
        <v>2303</v>
      </c>
      <c r="H371" s="12"/>
      <c r="I371" s="11" t="s">
        <v>2847</v>
      </c>
      <c r="J371" s="12"/>
    </row>
    <row r="372" ht="14.25" customHeight="1">
      <c r="A372" s="14"/>
      <c r="B372" s="14" t="s">
        <v>2848</v>
      </c>
      <c r="C372" s="13">
        <v>1.0</v>
      </c>
      <c r="D372" s="15"/>
      <c r="E372" s="14" t="s">
        <v>2306</v>
      </c>
      <c r="F372" s="15"/>
      <c r="G372" s="14" t="s">
        <v>1493</v>
      </c>
      <c r="H372" s="14" t="s">
        <v>2697</v>
      </c>
      <c r="I372" s="14" t="s">
        <v>2849</v>
      </c>
      <c r="J372" s="14" t="s">
        <v>2850</v>
      </c>
    </row>
    <row r="373" ht="14.25" customHeight="1">
      <c r="A373" s="11"/>
      <c r="B373" s="11" t="s">
        <v>2851</v>
      </c>
      <c r="C373" s="10">
        <v>0.0</v>
      </c>
      <c r="D373" s="12"/>
      <c r="E373" s="11" t="s">
        <v>2309</v>
      </c>
      <c r="G373" s="11" t="s">
        <v>2310</v>
      </c>
      <c r="H373" s="12"/>
      <c r="I373" s="11" t="s">
        <v>2852</v>
      </c>
      <c r="J373" s="12"/>
    </row>
    <row r="374" ht="14.25" customHeight="1">
      <c r="A374" s="14"/>
      <c r="B374" s="14" t="s">
        <v>2853</v>
      </c>
      <c r="C374" s="13">
        <v>0.0</v>
      </c>
      <c r="D374" s="15"/>
      <c r="E374" s="14" t="s">
        <v>2313</v>
      </c>
      <c r="F374" s="15"/>
      <c r="G374" s="14" t="s">
        <v>2314</v>
      </c>
      <c r="H374" s="15"/>
      <c r="I374" s="14" t="s">
        <v>2854</v>
      </c>
      <c r="J374" s="15"/>
    </row>
    <row r="375" ht="14.25" customHeight="1">
      <c r="A375" s="11"/>
      <c r="B375" s="11" t="s">
        <v>2855</v>
      </c>
      <c r="C375" s="10">
        <v>0.0</v>
      </c>
      <c r="D375" s="12"/>
      <c r="E375" s="11" t="s">
        <v>2317</v>
      </c>
      <c r="G375" s="11" t="s">
        <v>2318</v>
      </c>
      <c r="H375" s="12"/>
      <c r="I375" s="11" t="s">
        <v>2856</v>
      </c>
      <c r="J375" s="12"/>
    </row>
    <row r="376" ht="14.25" customHeight="1">
      <c r="A376" s="14"/>
      <c r="B376" s="14" t="s">
        <v>2829</v>
      </c>
      <c r="C376" s="13">
        <v>0.0</v>
      </c>
      <c r="D376" s="15"/>
      <c r="E376" s="14" t="s">
        <v>2320</v>
      </c>
      <c r="F376" s="15"/>
      <c r="G376" s="14" t="s">
        <v>2127</v>
      </c>
      <c r="H376" s="15"/>
      <c r="I376" s="14" t="s">
        <v>2857</v>
      </c>
      <c r="J376" s="15"/>
    </row>
    <row r="377" ht="14.25" customHeight="1">
      <c r="A377" s="11"/>
      <c r="B377" s="11" t="s">
        <v>2858</v>
      </c>
      <c r="C377" s="10">
        <v>0.0</v>
      </c>
      <c r="D377" s="12"/>
      <c r="E377" s="11" t="s">
        <v>2323</v>
      </c>
      <c r="G377" s="11" t="s">
        <v>2324</v>
      </c>
      <c r="H377" s="12"/>
      <c r="I377" s="11" t="s">
        <v>2859</v>
      </c>
      <c r="J377" s="12"/>
    </row>
    <row r="378" ht="14.25" customHeight="1">
      <c r="A378" s="14"/>
      <c r="B378" s="14" t="s">
        <v>2860</v>
      </c>
      <c r="C378" s="13">
        <v>1.0</v>
      </c>
      <c r="D378" s="15"/>
      <c r="E378" s="14" t="s">
        <v>2327</v>
      </c>
      <c r="G378" s="14" t="s">
        <v>2328</v>
      </c>
      <c r="H378" s="14" t="s">
        <v>2861</v>
      </c>
      <c r="I378" s="14" t="s">
        <v>2862</v>
      </c>
      <c r="J378" s="14" t="s">
        <v>2863</v>
      </c>
    </row>
    <row r="379" ht="14.25" customHeight="1">
      <c r="A379" s="11"/>
      <c r="B379" s="11" t="s">
        <v>2864</v>
      </c>
      <c r="C379" s="10">
        <v>0.0</v>
      </c>
      <c r="D379" s="12"/>
      <c r="E379" s="11" t="s">
        <v>2331</v>
      </c>
      <c r="F379" s="12"/>
      <c r="G379" s="11" t="s">
        <v>2332</v>
      </c>
      <c r="H379" s="12"/>
      <c r="I379" s="11" t="s">
        <v>2865</v>
      </c>
      <c r="J379" s="12"/>
    </row>
    <row r="380" ht="14.25" customHeight="1">
      <c r="A380" s="14"/>
      <c r="B380" s="14" t="s">
        <v>2866</v>
      </c>
      <c r="C380" s="13">
        <v>0.0</v>
      </c>
      <c r="D380" s="15"/>
      <c r="E380" s="14" t="s">
        <v>2335</v>
      </c>
      <c r="G380" s="14" t="s">
        <v>2336</v>
      </c>
      <c r="H380" s="15"/>
      <c r="I380" s="14" t="s">
        <v>2867</v>
      </c>
      <c r="J380" s="15"/>
    </row>
    <row r="381" ht="14.25" customHeight="1">
      <c r="A381" s="11"/>
      <c r="B381" s="11" t="s">
        <v>2868</v>
      </c>
      <c r="C381" s="10">
        <v>0.0</v>
      </c>
      <c r="D381" s="12"/>
      <c r="E381" s="11" t="s">
        <v>2339</v>
      </c>
      <c r="F381" s="12"/>
      <c r="G381" s="11" t="s">
        <v>2340</v>
      </c>
      <c r="H381" s="12"/>
      <c r="I381" s="11" t="s">
        <v>2869</v>
      </c>
      <c r="J381" s="12"/>
    </row>
    <row r="382" ht="14.25" customHeight="1">
      <c r="A382" s="14"/>
      <c r="B382" s="14" t="s">
        <v>2870</v>
      </c>
      <c r="C382" s="13">
        <v>0.0</v>
      </c>
      <c r="D382" s="15"/>
      <c r="E382" s="14" t="s">
        <v>2343</v>
      </c>
      <c r="G382" s="14" t="s">
        <v>2344</v>
      </c>
      <c r="H382" s="15"/>
      <c r="I382" s="14" t="s">
        <v>2871</v>
      </c>
      <c r="J382" s="15"/>
    </row>
    <row r="383" ht="14.25" customHeight="1">
      <c r="A383" s="11"/>
      <c r="B383" s="11" t="s">
        <v>2872</v>
      </c>
      <c r="C383" s="10">
        <v>0.0</v>
      </c>
      <c r="D383" s="12"/>
      <c r="E383" s="11" t="s">
        <v>2347</v>
      </c>
      <c r="G383" s="11" t="s">
        <v>2348</v>
      </c>
      <c r="H383" s="12"/>
      <c r="I383" s="11" t="s">
        <v>2873</v>
      </c>
      <c r="J383" s="12"/>
    </row>
    <row r="384" ht="14.25" customHeight="1">
      <c r="A384" s="14"/>
      <c r="B384" s="14" t="s">
        <v>2874</v>
      </c>
      <c r="C384" s="13">
        <v>0.0</v>
      </c>
      <c r="D384" s="15"/>
      <c r="E384" s="14" t="s">
        <v>2351</v>
      </c>
      <c r="F384" s="15"/>
      <c r="G384" s="14" t="s">
        <v>2352</v>
      </c>
      <c r="H384" s="15"/>
      <c r="I384" s="14" t="s">
        <v>2875</v>
      </c>
      <c r="J384" s="15"/>
    </row>
    <row r="385" ht="14.25" customHeight="1">
      <c r="A385" s="11"/>
      <c r="B385" s="11" t="s">
        <v>2876</v>
      </c>
      <c r="C385" s="10">
        <v>0.0</v>
      </c>
      <c r="D385" s="12"/>
      <c r="E385" s="11" t="s">
        <v>2355</v>
      </c>
      <c r="F385" s="12"/>
      <c r="G385" s="11" t="s">
        <v>2356</v>
      </c>
      <c r="H385" s="12"/>
      <c r="I385" s="11" t="s">
        <v>2877</v>
      </c>
      <c r="J385" s="12"/>
    </row>
    <row r="386" ht="14.25" customHeight="1">
      <c r="A386" s="14"/>
      <c r="B386" s="14" t="s">
        <v>2878</v>
      </c>
      <c r="C386" s="13">
        <v>0.0</v>
      </c>
      <c r="D386" s="15"/>
      <c r="E386" s="14" t="s">
        <v>2359</v>
      </c>
      <c r="F386" s="15"/>
      <c r="G386" s="14" t="s">
        <v>2360</v>
      </c>
      <c r="H386" s="15"/>
      <c r="I386" s="14" t="s">
        <v>2879</v>
      </c>
      <c r="J386" s="15"/>
    </row>
    <row r="387" ht="14.25" customHeight="1">
      <c r="A387" s="11"/>
      <c r="B387" s="11" t="s">
        <v>2880</v>
      </c>
      <c r="C387" s="10">
        <v>0.0</v>
      </c>
      <c r="D387" s="12"/>
      <c r="E387" s="11" t="s">
        <v>2363</v>
      </c>
      <c r="F387" s="12"/>
      <c r="G387" s="11" t="s">
        <v>2127</v>
      </c>
      <c r="H387" s="12"/>
      <c r="I387" s="11" t="s">
        <v>2881</v>
      </c>
      <c r="J387" s="12"/>
    </row>
    <row r="388" ht="14.25" customHeight="1">
      <c r="A388" s="14"/>
      <c r="B388" s="14" t="s">
        <v>2882</v>
      </c>
      <c r="C388" s="13">
        <v>0.0</v>
      </c>
      <c r="D388" s="15"/>
      <c r="E388" s="14" t="s">
        <v>2366</v>
      </c>
      <c r="F388" s="15"/>
      <c r="G388" s="14" t="s">
        <v>2367</v>
      </c>
      <c r="H388" s="15"/>
      <c r="I388" s="14" t="s">
        <v>2854</v>
      </c>
      <c r="J388" s="15"/>
    </row>
    <row r="389" ht="14.25" customHeight="1">
      <c r="A389" s="11"/>
      <c r="B389" s="11" t="s">
        <v>2883</v>
      </c>
      <c r="C389" s="10">
        <v>0.0</v>
      </c>
      <c r="D389" s="12"/>
      <c r="E389" s="11" t="s">
        <v>2369</v>
      </c>
      <c r="F389" s="12"/>
      <c r="G389" s="11" t="s">
        <v>2370</v>
      </c>
      <c r="H389" s="12"/>
      <c r="I389" s="11" t="s">
        <v>2884</v>
      </c>
      <c r="J389" s="12"/>
    </row>
    <row r="390" ht="14.25" customHeight="1">
      <c r="A390" s="14"/>
      <c r="B390" s="14" t="s">
        <v>2885</v>
      </c>
      <c r="C390" s="13">
        <v>0.0</v>
      </c>
      <c r="D390" s="15"/>
      <c r="E390" s="14" t="s">
        <v>2373</v>
      </c>
      <c r="F390" s="15"/>
      <c r="G390" s="14" t="s">
        <v>2374</v>
      </c>
      <c r="H390" s="15"/>
      <c r="I390" s="14" t="s">
        <v>2886</v>
      </c>
      <c r="J390" s="15"/>
    </row>
    <row r="391" ht="14.25" customHeight="1">
      <c r="A391" s="11"/>
      <c r="B391" s="11" t="s">
        <v>2887</v>
      </c>
      <c r="C391" s="10">
        <v>0.0</v>
      </c>
      <c r="D391" s="12"/>
      <c r="E391" s="11" t="s">
        <v>2377</v>
      </c>
      <c r="F391" s="12"/>
      <c r="G391" s="11" t="s">
        <v>2378</v>
      </c>
      <c r="H391" s="12"/>
      <c r="I391" s="11" t="s">
        <v>2888</v>
      </c>
      <c r="J391" s="12"/>
    </row>
    <row r="392" ht="14.25" customHeight="1">
      <c r="A392" s="14"/>
      <c r="B392" s="14" t="s">
        <v>2889</v>
      </c>
      <c r="C392" s="13">
        <v>0.0</v>
      </c>
      <c r="D392" s="15"/>
      <c r="E392" s="14" t="s">
        <v>2381</v>
      </c>
      <c r="F392" s="15"/>
      <c r="G392" s="14" t="s">
        <v>2382</v>
      </c>
      <c r="H392" s="15"/>
      <c r="I392" s="14" t="s">
        <v>2890</v>
      </c>
      <c r="J392" s="15"/>
    </row>
    <row r="393" ht="14.25" customHeight="1">
      <c r="A393" s="11"/>
      <c r="B393" s="11" t="s">
        <v>2891</v>
      </c>
      <c r="C393" s="10">
        <v>0.0</v>
      </c>
      <c r="D393" s="12"/>
      <c r="E393" s="11" t="s">
        <v>2385</v>
      </c>
      <c r="F393" s="12"/>
      <c r="G393" s="11" t="s">
        <v>2386</v>
      </c>
      <c r="H393" s="12"/>
      <c r="I393" s="11" t="s">
        <v>2892</v>
      </c>
      <c r="J393" s="12"/>
    </row>
    <row r="394" ht="14.25" customHeight="1">
      <c r="A394" s="14"/>
      <c r="B394" s="14" t="s">
        <v>2893</v>
      </c>
      <c r="C394" s="13">
        <v>0.0</v>
      </c>
      <c r="D394" s="15"/>
      <c r="E394" s="14" t="s">
        <v>2389</v>
      </c>
      <c r="F394" s="15"/>
      <c r="G394" s="14" t="s">
        <v>2390</v>
      </c>
      <c r="H394" s="15"/>
      <c r="I394" s="14" t="s">
        <v>2894</v>
      </c>
      <c r="J394" s="15"/>
    </row>
    <row r="395" ht="14.25" customHeight="1">
      <c r="A395" s="11"/>
      <c r="B395" s="11" t="s">
        <v>2895</v>
      </c>
      <c r="C395" s="10">
        <v>0.0</v>
      </c>
      <c r="D395" s="12"/>
      <c r="E395" s="11" t="s">
        <v>2393</v>
      </c>
      <c r="F395" s="12"/>
      <c r="G395" s="11" t="s">
        <v>2394</v>
      </c>
      <c r="H395" s="12"/>
      <c r="I395" s="11" t="s">
        <v>2896</v>
      </c>
      <c r="J395" s="12"/>
    </row>
    <row r="396" ht="14.25" customHeight="1">
      <c r="A396" s="14"/>
      <c r="B396" s="14" t="s">
        <v>2897</v>
      </c>
      <c r="C396" s="13">
        <v>0.0</v>
      </c>
      <c r="D396" s="15"/>
      <c r="E396" s="14" t="s">
        <v>2397</v>
      </c>
      <c r="F396" s="15"/>
      <c r="G396" s="14" t="s">
        <v>2398</v>
      </c>
      <c r="H396" s="15"/>
      <c r="I396" s="14" t="s">
        <v>2898</v>
      </c>
      <c r="J396" s="15"/>
    </row>
    <row r="397" ht="14.25" customHeight="1">
      <c r="A397" s="11"/>
      <c r="B397" s="11" t="s">
        <v>2805</v>
      </c>
      <c r="C397" s="10">
        <v>0.0</v>
      </c>
      <c r="D397" s="12"/>
      <c r="E397" s="11" t="s">
        <v>2400</v>
      </c>
      <c r="F397" s="12"/>
      <c r="G397" s="11" t="s">
        <v>2401</v>
      </c>
      <c r="H397" s="12"/>
      <c r="I397" s="11" t="s">
        <v>2854</v>
      </c>
      <c r="J397" s="12"/>
    </row>
    <row r="398" ht="14.25" customHeight="1">
      <c r="A398" s="14"/>
      <c r="B398" s="14" t="s">
        <v>2899</v>
      </c>
      <c r="C398" s="13">
        <v>0.0</v>
      </c>
      <c r="D398" s="15"/>
      <c r="E398" s="14" t="s">
        <v>2403</v>
      </c>
      <c r="G398" s="14" t="s">
        <v>2404</v>
      </c>
      <c r="H398" s="15"/>
      <c r="I398" s="14" t="s">
        <v>2405</v>
      </c>
      <c r="J398" s="15"/>
    </row>
    <row r="399" ht="14.25" customHeight="1">
      <c r="A399" s="11"/>
      <c r="B399" s="11" t="s">
        <v>2813</v>
      </c>
      <c r="C399" s="10">
        <v>0.0</v>
      </c>
      <c r="D399" s="12"/>
      <c r="E399" s="11" t="s">
        <v>2406</v>
      </c>
      <c r="G399" s="11" t="s">
        <v>2407</v>
      </c>
      <c r="H399" s="12"/>
      <c r="I399" s="11" t="s">
        <v>2900</v>
      </c>
      <c r="J399" s="12"/>
    </row>
    <row r="400" ht="14.25" customHeight="1">
      <c r="A400" s="14"/>
      <c r="B400" s="14" t="s">
        <v>2901</v>
      </c>
      <c r="C400" s="13">
        <v>0.0</v>
      </c>
      <c r="D400" s="15"/>
      <c r="E400" s="14" t="s">
        <v>2410</v>
      </c>
      <c r="F400" s="15"/>
      <c r="G400" s="14" t="s">
        <v>2411</v>
      </c>
      <c r="H400" s="15"/>
      <c r="I400" s="14" t="s">
        <v>2902</v>
      </c>
      <c r="J400" s="15"/>
    </row>
    <row r="401" ht="14.25" customHeight="1">
      <c r="A401" s="11"/>
      <c r="B401" s="11" t="s">
        <v>2903</v>
      </c>
      <c r="C401" s="10">
        <v>0.0</v>
      </c>
      <c r="D401" s="12"/>
      <c r="E401" s="11" t="s">
        <v>2414</v>
      </c>
      <c r="F401" s="12"/>
      <c r="G401" s="11" t="s">
        <v>2415</v>
      </c>
      <c r="H401" s="12"/>
      <c r="I401" s="11" t="s">
        <v>2904</v>
      </c>
      <c r="J401" s="12"/>
    </row>
    <row r="402" ht="14.25" customHeight="1">
      <c r="A402" s="14"/>
      <c r="B402" s="14" t="s">
        <v>2905</v>
      </c>
      <c r="C402" s="13">
        <v>0.0</v>
      </c>
      <c r="D402" s="15"/>
      <c r="E402" s="14" t="s">
        <v>2418</v>
      </c>
      <c r="F402" s="15"/>
      <c r="G402" s="14" t="s">
        <v>2419</v>
      </c>
      <c r="H402" s="15"/>
      <c r="I402" s="14" t="s">
        <v>2906</v>
      </c>
      <c r="J402" s="15"/>
    </row>
    <row r="403" ht="14.25" customHeight="1">
      <c r="A403" s="11"/>
      <c r="B403" s="11" t="s">
        <v>2756</v>
      </c>
      <c r="C403" s="10">
        <v>0.0</v>
      </c>
      <c r="D403" s="12"/>
      <c r="E403" s="11" t="s">
        <v>2421</v>
      </c>
      <c r="G403" s="11" t="s">
        <v>2422</v>
      </c>
      <c r="H403" s="12"/>
      <c r="I403" s="11" t="s">
        <v>2907</v>
      </c>
      <c r="J403" s="12"/>
    </row>
    <row r="404" ht="14.25" customHeight="1">
      <c r="A404" s="14"/>
      <c r="B404" s="14" t="s">
        <v>2908</v>
      </c>
      <c r="C404" s="13">
        <v>0.0</v>
      </c>
      <c r="D404" s="15"/>
      <c r="E404" s="14" t="s">
        <v>2425</v>
      </c>
      <c r="F404" s="15"/>
      <c r="G404" s="14" t="s">
        <v>2394</v>
      </c>
      <c r="H404" s="15"/>
      <c r="I404" s="14" t="s">
        <v>2896</v>
      </c>
      <c r="J404" s="15"/>
    </row>
    <row r="405" ht="14.25" customHeight="1">
      <c r="A405" s="11"/>
      <c r="B405" s="11" t="s">
        <v>2909</v>
      </c>
      <c r="C405" s="10">
        <v>0.0</v>
      </c>
      <c r="D405" s="12"/>
      <c r="E405" s="11" t="s">
        <v>2427</v>
      </c>
      <c r="F405" s="12"/>
      <c r="G405" s="11" t="s">
        <v>2428</v>
      </c>
      <c r="H405" s="12"/>
      <c r="I405" s="11" t="s">
        <v>2910</v>
      </c>
      <c r="J405" s="12"/>
    </row>
    <row r="406" ht="14.25" customHeight="1">
      <c r="A406" s="14"/>
      <c r="B406" s="14" t="s">
        <v>2911</v>
      </c>
      <c r="C406" s="13">
        <v>0.0</v>
      </c>
      <c r="D406" s="15"/>
      <c r="E406" s="14" t="s">
        <v>2431</v>
      </c>
      <c r="F406" s="15"/>
      <c r="G406" s="14" t="s">
        <v>2360</v>
      </c>
      <c r="H406" s="15"/>
      <c r="I406" s="14" t="s">
        <v>2912</v>
      </c>
      <c r="J406" s="15"/>
    </row>
    <row r="407" ht="14.25" customHeight="1">
      <c r="A407" s="11"/>
      <c r="B407" s="11" t="s">
        <v>2913</v>
      </c>
      <c r="C407" s="10">
        <v>0.0</v>
      </c>
      <c r="D407" s="12"/>
      <c r="E407" s="11" t="s">
        <v>2434</v>
      </c>
      <c r="F407" s="12"/>
      <c r="G407" s="11" t="s">
        <v>2435</v>
      </c>
      <c r="H407" s="12"/>
      <c r="I407" s="11" t="s">
        <v>2914</v>
      </c>
      <c r="J407" s="12"/>
    </row>
    <row r="408" ht="14.25" customHeight="1">
      <c r="A408" s="14"/>
      <c r="B408" s="14" t="s">
        <v>2915</v>
      </c>
      <c r="C408" s="13">
        <v>0.0</v>
      </c>
      <c r="D408" s="15"/>
      <c r="E408" s="14" t="s">
        <v>2438</v>
      </c>
      <c r="F408" s="15"/>
      <c r="G408" s="14" t="s">
        <v>2378</v>
      </c>
      <c r="H408" s="15"/>
      <c r="I408" s="14" t="s">
        <v>2916</v>
      </c>
      <c r="J408" s="15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I209:J209"/>
    <mergeCell ref="I210:J210"/>
    <mergeCell ref="I212:J212"/>
    <mergeCell ref="E219:F219"/>
    <mergeCell ref="E221:F221"/>
    <mergeCell ref="E222:F222"/>
    <mergeCell ref="E228:F228"/>
    <mergeCell ref="E229:F229"/>
    <mergeCell ref="I230:J230"/>
    <mergeCell ref="E231:F231"/>
    <mergeCell ref="E233:F233"/>
    <mergeCell ref="E236:F236"/>
    <mergeCell ref="E238:F238"/>
    <mergeCell ref="E241:F241"/>
    <mergeCell ref="E244:F244"/>
    <mergeCell ref="E254:F254"/>
    <mergeCell ref="E256:F256"/>
    <mergeCell ref="E257:F257"/>
    <mergeCell ref="E258:F258"/>
    <mergeCell ref="E266:F266"/>
    <mergeCell ref="E270:F270"/>
    <mergeCell ref="E271:F271"/>
    <mergeCell ref="E272:F272"/>
    <mergeCell ref="E286:F286"/>
    <mergeCell ref="E289:F289"/>
    <mergeCell ref="I300:J300"/>
    <mergeCell ref="I302:J302"/>
    <mergeCell ref="I311:J311"/>
    <mergeCell ref="E306:F306"/>
    <mergeCell ref="E326:F326"/>
    <mergeCell ref="E335:F335"/>
    <mergeCell ref="E337:F337"/>
    <mergeCell ref="E343:F343"/>
    <mergeCell ref="E348:F348"/>
    <mergeCell ref="E349:F349"/>
    <mergeCell ref="E377:F377"/>
    <mergeCell ref="E378:F378"/>
    <mergeCell ref="E380:F380"/>
    <mergeCell ref="E382:F382"/>
    <mergeCell ref="E383:F383"/>
    <mergeCell ref="E398:F398"/>
    <mergeCell ref="E399:F399"/>
    <mergeCell ref="E403:F403"/>
    <mergeCell ref="E350:F350"/>
    <mergeCell ref="E351:F351"/>
    <mergeCell ref="E355:F355"/>
    <mergeCell ref="E365:F365"/>
    <mergeCell ref="E367:F367"/>
    <mergeCell ref="E373:F373"/>
    <mergeCell ref="E375:F37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29"/>
    <col customWidth="1" min="2" max="2" width="75.57"/>
    <col customWidth="1" min="3" max="3" width="80.86"/>
    <col customWidth="1" min="4" max="4" width="37.14"/>
    <col customWidth="1" min="5" max="5" width="80.86"/>
    <col customWidth="1" min="6" max="6" width="19.57"/>
    <col customWidth="1" min="7" max="7" width="13.71"/>
    <col customWidth="1" min="8" max="8" width="10.86"/>
    <col customWidth="1" min="9" max="9" width="53.71"/>
    <col customWidth="1" min="10" max="10" width="48.0"/>
    <col customWidth="1" min="11" max="11" width="13.71"/>
    <col customWidth="1" min="12" max="26" width="8.71"/>
  </cols>
  <sheetData>
    <row r="1" ht="14.25" customHeight="1">
      <c r="A1" s="27" t="s">
        <v>5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2917</v>
      </c>
      <c r="G1" s="27" t="s">
        <v>2918</v>
      </c>
      <c r="H1" s="27" t="s">
        <v>2919</v>
      </c>
      <c r="I1" s="27" t="s">
        <v>2920</v>
      </c>
      <c r="J1" s="27" t="s">
        <v>2921</v>
      </c>
      <c r="K1" s="27" t="s">
        <v>2922</v>
      </c>
    </row>
    <row r="2" ht="14.25" customHeight="1">
      <c r="A2" s="27">
        <v>1.0</v>
      </c>
      <c r="B2" s="28" t="s">
        <v>2923</v>
      </c>
      <c r="C2" s="28" t="s">
        <v>2924</v>
      </c>
      <c r="D2" s="28" t="s">
        <v>2925</v>
      </c>
      <c r="E2" s="28" t="s">
        <v>2926</v>
      </c>
      <c r="F2" s="28" t="s">
        <v>2440</v>
      </c>
      <c r="G2" s="28" t="s">
        <v>2440</v>
      </c>
      <c r="H2" s="28" t="s">
        <v>2440</v>
      </c>
      <c r="I2" s="29" t="s">
        <v>1</v>
      </c>
      <c r="J2" s="29" t="s">
        <v>2</v>
      </c>
      <c r="K2" s="29" t="s">
        <v>3</v>
      </c>
    </row>
    <row r="3" ht="14.25" customHeight="1">
      <c r="A3" s="27">
        <v>2.0</v>
      </c>
      <c r="B3" s="28" t="s">
        <v>2927</v>
      </c>
      <c r="C3" s="28" t="s">
        <v>2928</v>
      </c>
      <c r="D3" s="28" t="s">
        <v>2929</v>
      </c>
      <c r="E3" s="28" t="s">
        <v>2930</v>
      </c>
      <c r="F3" s="28" t="s">
        <v>2440</v>
      </c>
      <c r="G3" s="28" t="s">
        <v>2440</v>
      </c>
      <c r="H3" s="28" t="s">
        <v>2440</v>
      </c>
      <c r="I3" s="28" t="str">
        <f>IFERROR(__xludf.DUMMYFUNCTION("GOOGLETRANSLATE(B2, ""th"", ""en"")"),"Where did sepak takraw originate?")</f>
        <v>Where did sepak takraw originate?</v>
      </c>
      <c r="J3" s="28" t="str">
        <f>IFERROR(__xludf.DUMMYFUNCTION("GOOGLETRANSLATE(C2, ""th"", ""en"")"),"A) Thailand, B) Malaysia, C) Indonesia, D) Philippines")</f>
        <v>A) Thailand, B) Malaysia, C) Indonesia, D) Philippines</v>
      </c>
      <c r="K3" s="28" t="str">
        <f>IFERROR(__xludf.DUMMYFUNCTION("GOOGLETRANSLATE(D2, ""th"", ""en"")"),"B) Malaysia")</f>
        <v>B) Malaysia</v>
      </c>
    </row>
    <row r="4" ht="14.25" customHeight="1">
      <c r="A4" s="27">
        <v>3.0</v>
      </c>
      <c r="B4" s="28" t="s">
        <v>2931</v>
      </c>
      <c r="C4" s="28" t="s">
        <v>2932</v>
      </c>
      <c r="D4" s="28" t="s">
        <v>2933</v>
      </c>
      <c r="E4" s="28" t="s">
        <v>2934</v>
      </c>
      <c r="F4" s="28" t="s">
        <v>2440</v>
      </c>
      <c r="G4" s="28" t="s">
        <v>2440</v>
      </c>
      <c r="H4" s="28" t="s">
        <v>2440</v>
      </c>
      <c r="I4" s="28" t="str">
        <f>IFERROR(__xludf.DUMMYFUNCTION("GOOGLETRANSLATE(B3, ""th"", ""en"")"),"What does the word ""Sepak"" mean in Sepak Takraw?")</f>
        <v>What does the word "Sepak" mean in Sepak Takraw?</v>
      </c>
      <c r="J4" s="28" t="str">
        <f>IFERROR(__xludf.DUMMYFUNCTION("GOOGLETRANSLATE(C3, ""th"", ""en"")"),"A) kick, B) throw, C) receive, D) pass")</f>
        <v>A) kick, B) throw, C) receive, D) pass</v>
      </c>
      <c r="K4" s="28" t="str">
        <f>IFERROR(__xludf.DUMMYFUNCTION("GOOGLETRANSLATE(D3, ""th"", ""en"")"),"A) Kick")</f>
        <v>A) Kick</v>
      </c>
    </row>
    <row r="5" ht="14.25" customHeight="1">
      <c r="A5" s="27">
        <v>4.0</v>
      </c>
      <c r="B5" s="28" t="s">
        <v>2935</v>
      </c>
      <c r="C5" s="28" t="s">
        <v>2936</v>
      </c>
      <c r="D5" s="28" t="s">
        <v>2937</v>
      </c>
      <c r="E5" s="28" t="s">
        <v>2938</v>
      </c>
      <c r="F5" s="28" t="s">
        <v>2440</v>
      </c>
      <c r="G5" s="28" t="s">
        <v>2440</v>
      </c>
      <c r="H5" s="28" t="s">
        <v>2440</v>
      </c>
      <c r="I5" s="28" t="str">
        <f>IFERROR(__xludf.DUMMYFUNCTION("GOOGLETRANSLATE(B4, ""th"", ""en"")"),"In what year did sepak takraw begin to be played in Thailand?")</f>
        <v>In what year did sepak takraw begin to be played in Thailand?</v>
      </c>
      <c r="J5" s="28" t="str">
        <f>IFERROR(__xludf.DUMMYFUNCTION("GOOGLETRANSLATE(C4, ""th"", ""en"")"),"A) 1920, B) 1930, C) 1945, D) 1950")</f>
        <v>A) 1920, B) 1930, C) 1945, D) 1950</v>
      </c>
      <c r="K5" s="28" t="str">
        <f>IFERROR(__xludf.DUMMYFUNCTION("GOOGLETRANSLATE(D4, ""th"", ""en"")"),"C) 1945")</f>
        <v>C) 1945</v>
      </c>
    </row>
    <row r="6" ht="14.25" customHeight="1">
      <c r="A6" s="27">
        <v>5.0</v>
      </c>
      <c r="B6" s="28" t="s">
        <v>2939</v>
      </c>
      <c r="C6" s="28" t="s">
        <v>2940</v>
      </c>
      <c r="D6" s="28" t="s">
        <v>2941</v>
      </c>
      <c r="E6" s="28" t="s">
        <v>2942</v>
      </c>
      <c r="F6" s="28" t="s">
        <v>2440</v>
      </c>
      <c r="G6" s="28" t="s">
        <v>2440</v>
      </c>
      <c r="H6" s="28" t="s">
        <v>2440</v>
      </c>
      <c r="I6" s="28" t="str">
        <f>IFERROR(__xludf.DUMMYFUNCTION("GOOGLETRANSLATE(B5, ""th"", ""en"")"),"What was sepak takraw called in Thai?")</f>
        <v>What was sepak takraw called in Thai?</v>
      </c>
      <c r="J6" s="28" t="str">
        <f>IFERROR(__xludf.DUMMYFUNCTION("GOOGLETRANSLATE(C5, ""th"", ""en"")"),"A) Takraw through the hoop, B) Takraw field, C) Takraw kick, D) Takraw center")</f>
        <v>A) Takraw through the hoop, B) Takraw field, C) Takraw kick, D) Takraw center</v>
      </c>
      <c r="K6" s="28" t="str">
        <f>IFERROR(__xludf.DUMMYFUNCTION("GOOGLETRANSLATE(D5, ""th"", ""en"")"),"A) Takraw through the hoop")</f>
        <v>A) Takraw through the hoop</v>
      </c>
    </row>
    <row r="7" ht="14.25" customHeight="1">
      <c r="A7" s="27">
        <v>6.0</v>
      </c>
      <c r="B7" s="28" t="s">
        <v>2943</v>
      </c>
      <c r="C7" s="28" t="s">
        <v>2944</v>
      </c>
      <c r="D7" s="28" t="s">
        <v>2945</v>
      </c>
      <c r="E7" s="28" t="s">
        <v>2946</v>
      </c>
      <c r="F7" s="28" t="s">
        <v>2440</v>
      </c>
      <c r="G7" s="28" t="s">
        <v>2440</v>
      </c>
      <c r="H7" s="28" t="s">
        <v>2440</v>
      </c>
      <c r="I7" s="28" t="str">
        <f>IFERROR(__xludf.DUMMYFUNCTION("GOOGLETRANSLATE(B6, ""th"", ""en"")"),"In which year was sepak takraw included in the Asian Games?")</f>
        <v>In which year was sepak takraw included in the Asian Games?</v>
      </c>
      <c r="J7" s="28" t="str">
        <f>IFERROR(__xludf.DUMMYFUNCTION("GOOGLETRANSLATE(C6, ""th"", ""en"")"),"A) 1966, B) 1970, C) 1990, D) 1994")</f>
        <v>A) 1966, B) 1970, C) 1990, D) 1994</v>
      </c>
      <c r="K7" s="28" t="str">
        <f>IFERROR(__xludf.DUMMYFUNCTION("GOOGLETRANSLATE(D6, ""th"", ""en"")"),"C) 1990")</f>
        <v>C) 1990</v>
      </c>
    </row>
    <row r="8" ht="14.25" customHeight="1">
      <c r="A8" s="27">
        <v>7.0</v>
      </c>
      <c r="B8" s="28" t="s">
        <v>2947</v>
      </c>
      <c r="C8" s="28" t="s">
        <v>2948</v>
      </c>
      <c r="D8" s="28" t="s">
        <v>2949</v>
      </c>
      <c r="E8" s="28" t="s">
        <v>2950</v>
      </c>
      <c r="F8" s="28" t="s">
        <v>2440</v>
      </c>
      <c r="G8" s="28" t="s">
        <v>2440</v>
      </c>
      <c r="H8" s="28" t="s">
        <v>2440</v>
      </c>
      <c r="I8" s="28" t="str">
        <f>IFERROR(__xludf.DUMMYFUNCTION("GOOGLETRANSLATE(B7, ""th"", ""en"")"),"What materials were the first sepak takraw balls made from?")</f>
        <v>What materials were the first sepak takraw balls made from?</v>
      </c>
      <c r="J8" s="28" t="str">
        <f>IFERROR(__xludf.DUMMYFUNCTION("GOOGLETRANSLATE(C7, ""th"", ""en"")"),"A) plastic; B) leaves; C) rattan; D) bamboo")</f>
        <v>A) plastic; B) leaves; C) rattan; D) bamboo</v>
      </c>
      <c r="K8" s="28" t="str">
        <f>IFERROR(__xludf.DUMMYFUNCTION("GOOGLETRANSLATE(D7, ""th"", ""en"")"),"C) Rattan")</f>
        <v>C) Rattan</v>
      </c>
    </row>
    <row r="9" ht="14.25" customHeight="1">
      <c r="A9" s="27">
        <v>8.0</v>
      </c>
      <c r="B9" s="28" t="s">
        <v>2951</v>
      </c>
      <c r="C9" s="28" t="s">
        <v>2952</v>
      </c>
      <c r="D9" s="28" t="s">
        <v>2953</v>
      </c>
      <c r="E9" s="28" t="s">
        <v>2954</v>
      </c>
      <c r="F9" s="28" t="s">
        <v>2440</v>
      </c>
      <c r="G9" s="28" t="s">
        <v>2440</v>
      </c>
      <c r="H9" s="28" t="s">
        <v>2440</v>
      </c>
      <c r="I9" s="28" t="str">
        <f>IFERROR(__xludf.DUMMYFUNCTION("GOOGLETRANSLATE(B8, ""th"", ""en"")"),"In which year were the rules for sepak takraw first established?")</f>
        <v>In which year were the rules for sepak takraw first established?</v>
      </c>
      <c r="J9" s="28" t="str">
        <f>IFERROR(__xludf.DUMMYFUNCTION("GOOGLETRANSLATE(C8, ""th"", ""en"")"),"A) 1934; B) 1953; C) 1960; D) 1965")</f>
        <v>A) 1934; B) 1953; C) 1960; D) 1965</v>
      </c>
      <c r="K9" s="28" t="str">
        <f>IFERROR(__xludf.DUMMYFUNCTION("GOOGLETRANSLATE(D8, ""th"", ""en"")"),"B) 1953")</f>
        <v>B) 1953</v>
      </c>
    </row>
    <row r="10" ht="14.25" customHeight="1">
      <c r="A10" s="27">
        <v>9.0</v>
      </c>
      <c r="B10" s="28" t="s">
        <v>2955</v>
      </c>
      <c r="C10" s="28" t="s">
        <v>2956</v>
      </c>
      <c r="D10" s="28" t="s">
        <v>2957</v>
      </c>
      <c r="E10" s="28" t="s">
        <v>2958</v>
      </c>
      <c r="F10" s="28" t="s">
        <v>2440</v>
      </c>
      <c r="G10" s="28" t="s">
        <v>2440</v>
      </c>
      <c r="H10" s="28" t="s">
        <v>2440</v>
      </c>
      <c r="I10" s="28" t="str">
        <f>IFERROR(__xludf.DUMMYFUNCTION("GOOGLETRANSLATE(B9, ""th"", ""en"")"),"How has Sepak Takraw changed from other forms of play?")</f>
        <v>How has Sepak Takraw changed from other forms of play?</v>
      </c>
      <c r="J10" s="28" t="str">
        <f>IFERROR(__xludf.DUMMYFUNCTION("GOOGLETRANSLATE(C9, ""th"", ""en"")"),"A) playing in the field; B) playing on the beach; C) playing in the temple courtyard; D) playing through hoops")</f>
        <v>A) playing in the field; B) playing on the beach; C) playing in the temple courtyard; D) playing through hoops</v>
      </c>
      <c r="K10" s="28" t="str">
        <f>IFERROR(__xludf.DUMMYFUNCTION("GOOGLETRANSLATE(D9, ""th"", ""en"")"),"D) Playing through hoops")</f>
        <v>D) Playing through hoops</v>
      </c>
    </row>
    <row r="11" ht="14.25" customHeight="1">
      <c r="A11" s="27">
        <v>10.0</v>
      </c>
      <c r="B11" s="28" t="s">
        <v>2959</v>
      </c>
      <c r="C11" s="28" t="s">
        <v>2960</v>
      </c>
      <c r="D11" s="28" t="s">
        <v>2961</v>
      </c>
      <c r="E11" s="28" t="s">
        <v>2962</v>
      </c>
      <c r="F11" s="28" t="s">
        <v>2440</v>
      </c>
      <c r="G11" s="28" t="s">
        <v>2440</v>
      </c>
      <c r="H11" s="28" t="s">
        <v>2440</v>
      </c>
      <c r="I11" s="28" t="str">
        <f>IFERROR(__xludf.DUMMYFUNCTION("GOOGLETRANSLATE(B10, ""th"", ""en"")"),"Which country established the International Sepak Takraw Federation (ISTAF)?")</f>
        <v>Which country established the International Sepak Takraw Federation (ISTAF)?</v>
      </c>
      <c r="J11" s="28" t="str">
        <f>IFERROR(__xludf.DUMMYFUNCTION("GOOGLETRANSLATE(C10, ""th"", ""en"")"),"A) Thailand; B) Malaysia; C) Singapore; D) Indonesia")</f>
        <v>A) Thailand; B) Malaysia; C) Singapore; D) Indonesia</v>
      </c>
      <c r="K11" s="28" t="str">
        <f>IFERROR(__xludf.DUMMYFUNCTION("GOOGLETRANSLATE(D10, ""th"", ""en"")"),"C) Singapore")</f>
        <v>C) Singapore</v>
      </c>
    </row>
    <row r="12" ht="14.25" customHeight="1">
      <c r="A12" s="27">
        <v>11.0</v>
      </c>
      <c r="B12" s="28" t="s">
        <v>2963</v>
      </c>
      <c r="C12" s="28" t="s">
        <v>2964</v>
      </c>
      <c r="D12" s="28" t="s">
        <v>2965</v>
      </c>
      <c r="E12" s="28" t="s">
        <v>2966</v>
      </c>
      <c r="F12" s="28" t="s">
        <v>2440</v>
      </c>
      <c r="G12" s="28" t="s">
        <v>2440</v>
      </c>
      <c r="H12" s="28" t="s">
        <v>2440</v>
      </c>
      <c r="I12" s="28" t="str">
        <f>IFERROR(__xludf.DUMMYFUNCTION("GOOGLETRANSLATE(B11, ""th"", ""en"")"),"In the past, what foot did sepak takraw players use to kick the ball?")</f>
        <v>In the past, what foot did sepak takraw players use to kick the ball?</v>
      </c>
      <c r="J12" s="28" t="str">
        <f>IFERROR(__xludf.DUMMYFUNCTION("GOOGLETRANSLATE(C11, ""th"", ""en"")"),"A) Left foot only; B) Right foot only; C) Both feet; D) Hands and feet")</f>
        <v>A) Left foot only; B) Right foot only; C) Both feet; D) Hands and feet</v>
      </c>
      <c r="K12" s="28" t="str">
        <f>IFERROR(__xludf.DUMMYFUNCTION("GOOGLETRANSLATE(D11, ""th"", ""en"")"),"C) Both feet")</f>
        <v>C) Both feet</v>
      </c>
    </row>
    <row r="13" ht="14.25" customHeight="1">
      <c r="A13" s="27">
        <v>12.0</v>
      </c>
      <c r="B13" s="28" t="s">
        <v>2967</v>
      </c>
      <c r="C13" s="28" t="s">
        <v>2968</v>
      </c>
      <c r="D13" s="28" t="s">
        <v>2969</v>
      </c>
      <c r="E13" s="28" t="s">
        <v>2970</v>
      </c>
      <c r="F13" s="28" t="s">
        <v>2440</v>
      </c>
      <c r="G13" s="28" t="s">
        <v>2440</v>
      </c>
      <c r="H13" s="28" t="s">
        <v>2440</v>
      </c>
      <c r="I13" s="28" t="str">
        <f>IFERROR(__xludf.DUMMYFUNCTION("GOOGLETRANSLATE(B12, ""th"", ""en"")"),"In what year was the first international sepak takraw competition held?")</f>
        <v>In what year was the first international sepak takraw competition held?</v>
      </c>
      <c r="J13" s="28" t="str">
        <f>IFERROR(__xludf.DUMMYFUNCTION("GOOGLETRANSLATE(C12, ""th"", ""en"")"),"A) 1965; B) 1967; C) 1970; D) 1974")</f>
        <v>A) 1965; B) 1967; C) 1970; D) 1974</v>
      </c>
      <c r="K13" s="28" t="str">
        <f>IFERROR(__xludf.DUMMYFUNCTION("GOOGLETRANSLATE(D12, ""th"", ""en"")"),"A) 1965")</f>
        <v>A) 1965</v>
      </c>
    </row>
    <row r="14" ht="14.25" customHeight="1">
      <c r="A14" s="27">
        <v>13.0</v>
      </c>
      <c r="B14" s="28" t="s">
        <v>2971</v>
      </c>
      <c r="C14" s="28" t="s">
        <v>2972</v>
      </c>
      <c r="D14" s="28" t="s">
        <v>1705</v>
      </c>
      <c r="E14" s="28" t="s">
        <v>2973</v>
      </c>
      <c r="F14" s="28" t="s">
        <v>2440</v>
      </c>
      <c r="G14" s="28" t="s">
        <v>2440</v>
      </c>
      <c r="H14" s="28" t="s">
        <v>2440</v>
      </c>
      <c r="I14" s="28" t="str">
        <f>IFERROR(__xludf.DUMMYFUNCTION("GOOGLETRANSLATE(B13, ""th"", ""en"")"),"How many meters is the sepak takraw field?")</f>
        <v>How many meters is the sepak takraw field?</v>
      </c>
      <c r="J14" s="28" t="str">
        <f>IFERROR(__xludf.DUMMYFUNCTION("GOOGLETRANSLATE(C13, ""th"", ""en"")"),"A) 13 x 6 meters; B) 13.4 x 6.1 meters; C) 14 x 7 meters; D) 15 x 8 meters")</f>
        <v>A) 13 x 6 meters; B) 13.4 x 6.1 meters; C) 14 x 7 meters; D) 15 x 8 meters</v>
      </c>
      <c r="K14" s="28" t="str">
        <f>IFERROR(__xludf.DUMMYFUNCTION("GOOGLETRANSLATE(D13, ""th"", ""en"")"),"B) 13.4 x 6.1 meters")</f>
        <v>B) 13.4 x 6.1 meters</v>
      </c>
    </row>
    <row r="15" ht="14.25" customHeight="1">
      <c r="A15" s="27">
        <v>14.0</v>
      </c>
      <c r="B15" s="28" t="s">
        <v>2974</v>
      </c>
      <c r="C15" s="28" t="s">
        <v>2975</v>
      </c>
      <c r="D15" s="28" t="s">
        <v>2976</v>
      </c>
      <c r="E15" s="28" t="s">
        <v>2977</v>
      </c>
      <c r="F15" s="28" t="s">
        <v>2440</v>
      </c>
      <c r="G15" s="28" t="s">
        <v>2440</v>
      </c>
      <c r="H15" s="28" t="s">
        <v>2440</v>
      </c>
      <c r="I15" s="28" t="str">
        <f>IFERROR(__xludf.DUMMYFUNCTION("GOOGLETRANSLATE(B14, ""th"", ""en"")"),"Which country won the first Asian Games sepak takraw competition?")</f>
        <v>Which country won the first Asian Games sepak takraw competition?</v>
      </c>
      <c r="J15" s="28" t="str">
        <f>IFERROR(__xludf.DUMMYFUNCTION("GOOGLETRANSLATE(C14, ""th"", ""en"")"),"A) Thailand; B) Malaysia; C) Indonesia; D) Philippines")</f>
        <v>A) Thailand; B) Malaysia; C) Indonesia; D) Philippines</v>
      </c>
      <c r="K15" s="28" t="str">
        <f>IFERROR(__xludf.DUMMYFUNCTION("GOOGLETRANSLATE(D14, ""th"", ""en"")"),"A) Thai")</f>
        <v>A) Thai</v>
      </c>
    </row>
    <row r="16" ht="14.25" customHeight="1">
      <c r="A16" s="27">
        <v>15.0</v>
      </c>
      <c r="B16" s="28" t="s">
        <v>2978</v>
      </c>
      <c r="C16" s="28" t="s">
        <v>2979</v>
      </c>
      <c r="D16" s="28" t="s">
        <v>2980</v>
      </c>
      <c r="E16" s="28" t="s">
        <v>2981</v>
      </c>
      <c r="F16" s="28" t="s">
        <v>2440</v>
      </c>
      <c r="G16" s="28" t="s">
        <v>2440</v>
      </c>
      <c r="H16" s="28" t="s">
        <v>2440</v>
      </c>
      <c r="I16" s="28" t="str">
        <f>IFERROR(__xludf.DUMMYFUNCTION("GOOGLETRANSLATE(B15, ""th"", ""en"")"),"When was the International Sepak Takraw Federation founded?")</f>
        <v>When was the International Sepak Takraw Federation founded?</v>
      </c>
      <c r="J16" s="28" t="str">
        <f>IFERROR(__xludf.DUMMYFUNCTION("GOOGLETRANSLATE(C15, ""th"", ""en"")"),"A) 1985; B) 1988; C) 1990; D) 1992")</f>
        <v>A) 1985; B) 1988; C) 1990; D) 1992</v>
      </c>
      <c r="K16" s="28" t="str">
        <f>IFERROR(__xludf.DUMMYFUNCTION("GOOGLETRANSLATE(D15, ""th"", ""en"")"),"A) 1985")</f>
        <v>A) 1985</v>
      </c>
    </row>
    <row r="17" ht="14.25" customHeight="1">
      <c r="A17" s="27">
        <v>16.0</v>
      </c>
      <c r="B17" s="28" t="s">
        <v>2982</v>
      </c>
      <c r="C17" s="28" t="s">
        <v>2983</v>
      </c>
      <c r="D17" s="28" t="s">
        <v>2984</v>
      </c>
      <c r="E17" s="28" t="s">
        <v>2985</v>
      </c>
      <c r="F17" s="28" t="s">
        <v>2440</v>
      </c>
      <c r="G17" s="28" t="s">
        <v>2440</v>
      </c>
      <c r="H17" s="28" t="s">
        <v>2440</v>
      </c>
      <c r="I17" s="28" t="str">
        <f>IFERROR(__xludf.DUMMYFUNCTION("GOOGLETRANSLATE(B16, ""th"", ""en"")"),"In the beginning, on what occasions was sepak takraw played?")</f>
        <v>In the beginning, on what occasions was sepak takraw played?</v>
      </c>
      <c r="J17" s="28" t="str">
        <f>IFERROR(__xludf.DUMMYFUNCTION("GOOGLETRANSLATE(C16, ""th"", ""en"")"),"A) celebration; B) sporting event; C) religious ceremony; D) social gathering")</f>
        <v>A) celebration; B) sporting event; C) religious ceremony; D) social gathering</v>
      </c>
      <c r="K17" s="28" t="str">
        <f>IFERROR(__xludf.DUMMYFUNCTION("GOOGLETRANSLATE(D16, ""th"", ""en"")"),"A) Celebration")</f>
        <v>A) Celebration</v>
      </c>
    </row>
    <row r="18" ht="14.25" customHeight="1">
      <c r="A18" s="27">
        <v>17.0</v>
      </c>
      <c r="B18" s="28" t="s">
        <v>2986</v>
      </c>
      <c r="C18" s="28" t="s">
        <v>2987</v>
      </c>
      <c r="D18" s="28" t="s">
        <v>2988</v>
      </c>
      <c r="E18" s="28" t="s">
        <v>2989</v>
      </c>
      <c r="F18" s="28" t="s">
        <v>2440</v>
      </c>
      <c r="G18" s="28" t="s">
        <v>2440</v>
      </c>
      <c r="H18" s="28" t="s">
        <v>2440</v>
      </c>
      <c r="I18" s="28" t="str">
        <f>IFERROR(__xludf.DUMMYFUNCTION("GOOGLETRANSLATE(B17, ""th"", ""en"")"),"In which year was sepak takraw first included in the SEA Games?")</f>
        <v>In which year was sepak takraw first included in the SEA Games?</v>
      </c>
      <c r="J18" s="28" t="str">
        <f>IFERROR(__xludf.DUMMYFUNCTION("GOOGLETRANSLATE(C17, ""th"", ""en"")"),"A) 1959; B) 1965; C) 1971; D) 1977")</f>
        <v>A) 1959; B) 1965; C) 1971; D) 1977</v>
      </c>
      <c r="K18" s="28" t="str">
        <f>IFERROR(__xludf.DUMMYFUNCTION("GOOGLETRANSLATE(D17, ""th"", ""en"")"),"B) 1965")</f>
        <v>B) 1965</v>
      </c>
    </row>
    <row r="19" ht="14.25" customHeight="1">
      <c r="A19" s="27">
        <v>18.0</v>
      </c>
      <c r="B19" s="28" t="s">
        <v>2990</v>
      </c>
      <c r="C19" s="28" t="s">
        <v>2991</v>
      </c>
      <c r="D19" s="28" t="s">
        <v>2992</v>
      </c>
      <c r="E19" s="28" t="s">
        <v>2993</v>
      </c>
      <c r="F19" s="28" t="s">
        <v>2440</v>
      </c>
      <c r="G19" s="28" t="s">
        <v>2440</v>
      </c>
      <c r="H19" s="28" t="s">
        <v>2440</v>
      </c>
      <c r="I19" s="28" t="str">
        <f>IFERROR(__xludf.DUMMYFUNCTION("GOOGLETRANSLATE(B18, ""th"", ""en"")"),"In what year was the plastic rattan ball first used?")</f>
        <v>In what year was the plastic rattan ball first used?</v>
      </c>
      <c r="J19" s="28" t="str">
        <f>IFERROR(__xludf.DUMMYFUNCTION("GOOGLETRANSLATE(C18, ""th"", ""en"")"),"A) 1970; B) 1980; C) 1990; D) 2000")</f>
        <v>A) 1970; B) 1980; C) 1990; D) 2000</v>
      </c>
      <c r="K19" s="28" t="str">
        <f>IFERROR(__xludf.DUMMYFUNCTION("GOOGLETRANSLATE(D18, ""th"", ""en"")"),"B) 1980")</f>
        <v>B) 1980</v>
      </c>
    </row>
    <row r="20" ht="14.25" customHeight="1">
      <c r="A20" s="27">
        <v>19.0</v>
      </c>
      <c r="B20" s="28" t="s">
        <v>2994</v>
      </c>
      <c r="C20" s="28" t="s">
        <v>2995</v>
      </c>
      <c r="D20" s="28" t="s">
        <v>2996</v>
      </c>
      <c r="E20" s="28" t="s">
        <v>2997</v>
      </c>
      <c r="F20" s="28" t="s">
        <v>2440</v>
      </c>
      <c r="G20" s="28" t="s">
        <v>2440</v>
      </c>
      <c r="H20" s="28" t="s">
        <v>2440</v>
      </c>
      <c r="I20" s="28" t="str">
        <f>IFERROR(__xludf.DUMMYFUNCTION("GOOGLETRANSLATE(B19, ""th"", ""en"")"),"In what year did sepak takraw officially begin competition in Thailand?")</f>
        <v>In what year did sepak takraw officially begin competition in Thailand?</v>
      </c>
      <c r="J20" s="28" t="str">
        <f>IFERROR(__xludf.DUMMYFUNCTION("GOOGLETRANSLATE(C19, ""th"", ""en"")"),"A) 1955; B) 1960; C) 1965; D) 1970")</f>
        <v>A) 1955; B) 1960; C) 1965; D) 1970</v>
      </c>
      <c r="K20" s="28" t="str">
        <f>IFERROR(__xludf.DUMMYFUNCTION("GOOGLETRANSLATE(D19, ""th"", ""en"")"),"B) 1960")</f>
        <v>B) 1960</v>
      </c>
    </row>
    <row r="21" ht="14.25" customHeight="1">
      <c r="A21" s="27">
        <v>20.0</v>
      </c>
      <c r="B21" s="28" t="s">
        <v>2998</v>
      </c>
      <c r="C21" s="28" t="s">
        <v>2999</v>
      </c>
      <c r="D21" s="28" t="s">
        <v>3000</v>
      </c>
      <c r="E21" s="28" t="s">
        <v>3001</v>
      </c>
      <c r="F21" s="28" t="s">
        <v>2440</v>
      </c>
      <c r="G21" s="28" t="s">
        <v>2440</v>
      </c>
      <c r="H21" s="28" t="s">
        <v>2440</v>
      </c>
      <c r="I21" s="28" t="str">
        <f>IFERROR(__xludf.DUMMYFUNCTION("GOOGLETRANSLATE(B20, ""th"", ""en"")"),"Who are the famous Thai Sepak Takraw athletes in the past?")</f>
        <v>Who are the famous Thai Sepak Takraw athletes in the past?</v>
      </c>
      <c r="J21" s="28" t="str">
        <f>IFERROR(__xludf.DUMMYFUNCTION("GOOGLETRANSLATE(C20, ""th"", ""en"")"),"A) Somrak Khamsing; B) Amnat Kotanon; C) Pawina Thongsuk; D) Suphawut Theunklang")</f>
        <v>A) Somrak Khamsing; B) Amnat Kotanon; C) Pawina Thongsuk; D) Suphawut Theunklang</v>
      </c>
      <c r="K21" s="28" t="str">
        <f>IFERROR(__xludf.DUMMYFUNCTION("GOOGLETRANSLATE(D20, ""th"", ""en"")"),"B) Power Kotanon")</f>
        <v>B) Power Kotanon</v>
      </c>
    </row>
    <row r="22" ht="14.25" customHeight="1">
      <c r="A22" s="27">
        <v>21.0</v>
      </c>
      <c r="B22" s="28" t="s">
        <v>3002</v>
      </c>
      <c r="C22" s="28" t="s">
        <v>3003</v>
      </c>
      <c r="D22" s="28" t="s">
        <v>3004</v>
      </c>
      <c r="E22" s="28" t="s">
        <v>3005</v>
      </c>
      <c r="F22" s="28" t="s">
        <v>2440</v>
      </c>
      <c r="G22" s="28" t="s">
        <v>2440</v>
      </c>
      <c r="H22" s="28" t="s">
        <v>2440</v>
      </c>
      <c r="I22" s="28" t="str">
        <f>IFERROR(__xludf.DUMMYFUNCTION("GOOGLETRANSLATE(B21, ""th"", ""en"")"),"What is the symbol of the International Sepak Takraw Federation (ISTAF)?")</f>
        <v>What is the symbol of the International Sepak Takraw Federation (ISTAF)?</v>
      </c>
      <c r="J22" s="28" t="str">
        <f>IFERROR(__xludf.DUMMYFUNCTION("GOOGLETRANSLATE(C21, ""th"", ""en"")"),"A) Sepak takraw ball; B) sports field; C) athlete's feet; D) net")</f>
        <v>A) Sepak takraw ball; B) sports field; C) athlete's feet; D) net</v>
      </c>
      <c r="K22" s="28" t="str">
        <f>IFERROR(__xludf.DUMMYFUNCTION("GOOGLETRANSLATE(D21, ""th"", ""en"")"),"A) Sepak takraw")</f>
        <v>A) Sepak takraw</v>
      </c>
    </row>
    <row r="23" ht="14.25" customHeight="1">
      <c r="A23" s="27">
        <v>22.0</v>
      </c>
      <c r="B23" s="28" t="s">
        <v>3006</v>
      </c>
      <c r="C23" s="28" t="s">
        <v>3007</v>
      </c>
      <c r="D23" s="28" t="s">
        <v>2925</v>
      </c>
      <c r="E23" s="28" t="s">
        <v>3008</v>
      </c>
      <c r="F23" s="28" t="s">
        <v>2440</v>
      </c>
      <c r="G23" s="28" t="s">
        <v>2440</v>
      </c>
      <c r="H23" s="28" t="s">
        <v>2440</v>
      </c>
      <c r="I23" s="28" t="str">
        <f>IFERROR(__xludf.DUMMYFUNCTION("GOOGLETRANSLATE(B22, ""th"", ""en"")"),"Has there ever been a Sepak Takraw competition in the Olympics?")</f>
        <v>Has there ever been a Sepak Takraw competition in the Olympics?</v>
      </c>
      <c r="J23" s="28" t="str">
        <f>IFERROR(__xludf.DUMMYFUNCTION("GOOGLETRANSLATE(C22, ""th"", ""en"")"),"A) Yes; B) No; C) Yes in the Summer Olympics; D) Yes in the Winter Olympics")</f>
        <v>A) Yes; B) No; C) Yes in the Summer Olympics; D) Yes in the Winter Olympics</v>
      </c>
      <c r="K23" s="28" t="str">
        <f>IFERROR(__xludf.DUMMYFUNCTION("GOOGLETRANSLATE(D22, ""th"", ""en"")"),"B) None")</f>
        <v>B) None</v>
      </c>
    </row>
    <row r="24" ht="14.25" customHeight="1">
      <c r="A24" s="27">
        <v>23.0</v>
      </c>
      <c r="B24" s="28" t="s">
        <v>3009</v>
      </c>
      <c r="C24" s="28" t="s">
        <v>3010</v>
      </c>
      <c r="D24" s="28" t="s">
        <v>3011</v>
      </c>
      <c r="E24" s="28" t="s">
        <v>3012</v>
      </c>
      <c r="F24" s="28" t="s">
        <v>2440</v>
      </c>
      <c r="G24" s="28" t="s">
        <v>2440</v>
      </c>
      <c r="H24" s="28" t="s">
        <v>2440</v>
      </c>
      <c r="I24" s="28" t="str">
        <f>IFERROR(__xludf.DUMMYFUNCTION("GOOGLETRANSLATE(B23, ""th"", ""en"")"),"Which country has played sepak takraw for the longest time?")</f>
        <v>Which country has played sepak takraw for the longest time?</v>
      </c>
      <c r="J24" s="28" t="str">
        <f>IFERROR(__xludf.DUMMYFUNCTION("GOOGLETRANSLATE(C23, ""th"", ""en"")"),"A) Thailand; B) Malaysia; C) Indonesia; D) Brunei")</f>
        <v>A) Thailand; B) Malaysia; C) Indonesia; D) Brunei</v>
      </c>
      <c r="K24" s="28" t="str">
        <f>IFERROR(__xludf.DUMMYFUNCTION("GOOGLETRANSLATE(D23, ""th"", ""en"")"),"B) Malaysia")</f>
        <v>B) Malaysia</v>
      </c>
    </row>
    <row r="25" ht="14.25" customHeight="1">
      <c r="A25" s="27">
        <v>24.0</v>
      </c>
      <c r="B25" s="28" t="s">
        <v>3013</v>
      </c>
      <c r="C25" s="28" t="s">
        <v>3014</v>
      </c>
      <c r="D25" s="28" t="s">
        <v>3015</v>
      </c>
      <c r="E25" s="28" t="s">
        <v>3016</v>
      </c>
      <c r="F25" s="28" t="s">
        <v>2440</v>
      </c>
      <c r="G25" s="28" t="s">
        <v>2440</v>
      </c>
      <c r="H25" s="28" t="s">
        <v>2440</v>
      </c>
      <c r="I25" s="28" t="str">
        <f>IFERROR(__xludf.DUMMYFUNCTION("GOOGLETRANSLATE(B24, ""th"", ""en"")"),"How much does a sepak takraw ball weigh nowadays?")</f>
        <v>How much does a sepak takraw ball weigh nowadays?</v>
      </c>
      <c r="J25" s="28" t="str">
        <f>IFERROR(__xludf.DUMMYFUNCTION("GOOGLETRANSLATE(C24, ""th"", ""en"")"),"A) 150-160 grams; B) 160-170 grams; C) 170-180 grams; D) 180-190 grams")</f>
        <v>A) 150-160 grams; B) 160-170 grams; C) 170-180 grams; D) 180-190 grams</v>
      </c>
      <c r="K25" s="28" t="str">
        <f>IFERROR(__xludf.DUMMYFUNCTION("GOOGLETRANSLATE(D24, ""th"", ""en"")"),"B) 160-170 grams")</f>
        <v>B) 160-170 grams</v>
      </c>
    </row>
    <row r="26" ht="14.25" customHeight="1">
      <c r="A26" s="27">
        <v>25.0</v>
      </c>
      <c r="B26" s="28" t="s">
        <v>3017</v>
      </c>
      <c r="C26" s="28" t="s">
        <v>3018</v>
      </c>
      <c r="D26" s="28" t="s">
        <v>3019</v>
      </c>
      <c r="E26" s="28" t="s">
        <v>3020</v>
      </c>
      <c r="F26" s="28" t="s">
        <v>2440</v>
      </c>
      <c r="G26" s="28" t="s">
        <v>2440</v>
      </c>
      <c r="H26" s="28" t="s">
        <v>2440</v>
      </c>
      <c r="I26" s="28" t="str">
        <f>IFERROR(__xludf.DUMMYFUNCTION("GOOGLETRANSLATE(B25, ""th"", ""en"")"),"Where does serving in sepak takraw start?")</f>
        <v>Where does serving in sepak takraw start?</v>
      </c>
      <c r="J26" s="28" t="str">
        <f>IFERROR(__xludf.DUMMYFUNCTION("GOOGLETRANSLATE(C25, ""th"", ""en"")"),"A) center field; B) back field; C) side field; D) in front of the net")</f>
        <v>A) center field; B) back field; C) side field; D) in front of the net</v>
      </c>
      <c r="K26" s="28" t="str">
        <f>IFERROR(__xludf.DUMMYFUNCTION("GOOGLETRANSLATE(D25, ""th"", ""en"")"),"B) Behind the field")</f>
        <v>B) Behind the field</v>
      </c>
    </row>
    <row r="27" ht="14.25" customHeight="1">
      <c r="A27" s="27">
        <v>26.0</v>
      </c>
      <c r="B27" s="28" t="s">
        <v>3021</v>
      </c>
      <c r="C27" s="28" t="s">
        <v>3022</v>
      </c>
      <c r="D27" s="28" t="s">
        <v>3023</v>
      </c>
      <c r="E27" s="28" t="s">
        <v>3024</v>
      </c>
      <c r="F27" s="28" t="s">
        <v>2440</v>
      </c>
      <c r="G27" s="28" t="s">
        <v>2440</v>
      </c>
      <c r="H27" s="28" t="s">
        <v>2440</v>
      </c>
      <c r="I27" s="28" t="str">
        <f>IFERROR(__xludf.DUMMYFUNCTION("GOOGLETRANSLATE(B26, ""th"", ""en"")"),"How many players are required in a team according to the Sepak Takraw rules?")</f>
        <v>How many players are required in a team according to the Sepak Takraw rules?</v>
      </c>
      <c r="J27" s="28" t="str">
        <f>IFERROR(__xludf.DUMMYFUNCTION("GOOGLETRANSLATE(C26, ""th"", ""en"")"),"A) 3 people; B) 4 people; C) 5 people; D) 6 people")</f>
        <v>A) 3 people; B) 4 people; C) 5 people; D) 6 people</v>
      </c>
      <c r="K27" s="28" t="str">
        <f>IFERROR(__xludf.DUMMYFUNCTION("GOOGLETRANSLATE(D26, ""th"", ""en"")"),"A) 3 people")</f>
        <v>A) 3 people</v>
      </c>
    </row>
    <row r="28" ht="14.25" customHeight="1">
      <c r="A28" s="27">
        <v>27.0</v>
      </c>
      <c r="B28" s="28" t="s">
        <v>3025</v>
      </c>
      <c r="C28" s="28" t="s">
        <v>3026</v>
      </c>
      <c r="D28" s="28" t="s">
        <v>3027</v>
      </c>
      <c r="E28" s="28" t="s">
        <v>3028</v>
      </c>
      <c r="F28" s="28" t="s">
        <v>2440</v>
      </c>
      <c r="G28" s="28" t="s">
        <v>2440</v>
      </c>
      <c r="H28" s="28" t="s">
        <v>2440</v>
      </c>
      <c r="I28" s="28" t="str">
        <f>IFERROR(__xludf.DUMMYFUNCTION("GOOGLETRANSLATE(B27, ""th"", ""en"")"),"In what year did the mixed doubles sepak takraw competition begin?")</f>
        <v>In what year did the mixed doubles sepak takraw competition begin?</v>
      </c>
      <c r="J28" s="28" t="str">
        <f>IFERROR(__xludf.DUMMYFUNCTION("GOOGLETRANSLATE(C27, ""th"", ""en"")"),"A) 1992; B) 1995; C) 2000; D) 2005")</f>
        <v>A) 1992; B) 1995; C) 2000; D) 2005</v>
      </c>
      <c r="K28" s="28" t="str">
        <f>IFERROR(__xludf.DUMMYFUNCTION("GOOGLETRANSLATE(D27, ""th"", ""en"")"),"B) 1995")</f>
        <v>B) 1995</v>
      </c>
    </row>
    <row r="29" ht="14.25" customHeight="1">
      <c r="A29" s="27">
        <v>28.0</v>
      </c>
      <c r="B29" s="28" t="s">
        <v>3029</v>
      </c>
      <c r="C29" s="28" t="s">
        <v>3030</v>
      </c>
      <c r="D29" s="28" t="s">
        <v>3031</v>
      </c>
      <c r="E29" s="28" t="s">
        <v>3032</v>
      </c>
      <c r="F29" s="28" t="s">
        <v>2440</v>
      </c>
      <c r="G29" s="28" t="s">
        <v>2440</v>
      </c>
      <c r="H29" s="28" t="s">
        <v>2440</v>
      </c>
      <c r="I29" s="28" t="str">
        <f>IFERROR(__xludf.DUMMYFUNCTION("GOOGLETRANSLATE(B28, ""th"", ""en"")"),"In which country was the last SEA Games sepak takraw competition held?")</f>
        <v>In which country was the last SEA Games sepak takraw competition held?</v>
      </c>
      <c r="J29" s="28" t="str">
        <f>IFERROR(__xludf.DUMMYFUNCTION("GOOGLETRANSLATE(C28, ""th"", ""en"")"),"A) Thailand; B) Malaysia; C) Vietnam; D) Philippines")</f>
        <v>A) Thailand; B) Malaysia; C) Vietnam; D) Philippines</v>
      </c>
      <c r="K29" s="28" t="str">
        <f>IFERROR(__xludf.DUMMYFUNCTION("GOOGLETRANSLATE(D28, ""th"", ""en"")"),"C) Vietnam")</f>
        <v>C) Vietnam</v>
      </c>
    </row>
    <row r="30" ht="14.25" customHeight="1">
      <c r="A30" s="27">
        <v>29.0</v>
      </c>
      <c r="B30" s="28" t="s">
        <v>3033</v>
      </c>
      <c r="C30" s="28" t="s">
        <v>3034</v>
      </c>
      <c r="D30" s="28" t="s">
        <v>3035</v>
      </c>
      <c r="E30" s="28" t="s">
        <v>3036</v>
      </c>
      <c r="F30" s="28" t="s">
        <v>2440</v>
      </c>
      <c r="G30" s="28" t="s">
        <v>2440</v>
      </c>
      <c r="H30" s="28" t="s">
        <v>2440</v>
      </c>
      <c r="I30" s="28" t="str">
        <f>IFERROR(__xludf.DUMMYFUNCTION("GOOGLETRANSLATE(B29, ""th"", ""en"")"),"How high is the sepak takraw field divided by a net?")</f>
        <v>How high is the sepak takraw field divided by a net?</v>
      </c>
      <c r="J30" s="28" t="str">
        <f>IFERROR(__xludf.DUMMYFUNCTION("GOOGLETRANSLATE(C29, ""th"", ""en"")"),"A) 1.52 meters; B) 1.55 meters; C) 1.60 meters; D) 1.65 meters")</f>
        <v>A) 1.52 meters; B) 1.55 meters; C) 1.60 meters; D) 1.65 meters</v>
      </c>
      <c r="K30" s="28" t="str">
        <f>IFERROR(__xludf.DUMMYFUNCTION("GOOGLETRANSLATE(D29, ""th"", ""en"")"),"B) 1.55 meters")</f>
        <v>B) 1.55 meters</v>
      </c>
    </row>
    <row r="31" ht="14.25" customHeight="1">
      <c r="A31" s="27">
        <v>30.0</v>
      </c>
      <c r="B31" s="28" t="s">
        <v>3037</v>
      </c>
      <c r="C31" s="28" t="s">
        <v>3038</v>
      </c>
      <c r="D31" s="28" t="s">
        <v>3039</v>
      </c>
      <c r="E31" s="28" t="s">
        <v>3040</v>
      </c>
      <c r="F31" s="28" t="s">
        <v>2440</v>
      </c>
      <c r="G31" s="28" t="s">
        <v>2440</v>
      </c>
      <c r="H31" s="28" t="s">
        <v>2440</v>
      </c>
      <c r="I31" s="28" t="str">
        <f>IFERROR(__xludf.DUMMYFUNCTION("GOOGLETRANSLATE(B30, ""th"", ""en"")"),"What was the first sepak takraw competition like?")</f>
        <v>What was the first sepak takraw competition like?</v>
      </c>
      <c r="J31" s="28" t="str">
        <f>IFERROR(__xludf.DUMMYFUNCTION("GOOGLETRANSLATE(C30, ""th"", ""en"")"),"A) Sports shirt and shorts; B) National costume; C) Sarong; D) T-shirt and shorts")</f>
        <v>A) Sports shirt and shorts; B) National costume; C) Sarong; D) T-shirt and shorts</v>
      </c>
      <c r="K31" s="28" t="str">
        <f>IFERROR(__xludf.DUMMYFUNCTION("GOOGLETRANSLATE(D30, ""th"", ""en"")"),"C) Sarong")</f>
        <v>C) Sarong</v>
      </c>
    </row>
    <row r="32" ht="14.25" customHeight="1">
      <c r="A32" s="27">
        <v>31.0</v>
      </c>
      <c r="B32" s="28" t="s">
        <v>3041</v>
      </c>
      <c r="C32" s="28" t="s">
        <v>3042</v>
      </c>
      <c r="D32" s="28" t="s">
        <v>3043</v>
      </c>
      <c r="E32" s="28" t="s">
        <v>3044</v>
      </c>
      <c r="F32" s="28" t="s">
        <v>2440</v>
      </c>
      <c r="G32" s="28" t="s">
        <v>2440</v>
      </c>
      <c r="H32" s="28" t="s">
        <v>2440</v>
      </c>
      <c r="I32" s="28" t="str">
        <f>IFERROR(__xludf.DUMMYFUNCTION("GOOGLETRANSLATE(B31, ""th"", ""en"")"),"How many sets are there in a sepak takraw competition?")</f>
        <v>How many sets are there in a sepak takraw competition?</v>
      </c>
      <c r="J32" s="28" t="str">
        <f>IFERROR(__xludf.DUMMYFUNCTION("GOOGLETRANSLATE(C31, ""th"", ""en"")"),"A) 1 set; B) 2 sets; C) 3 sets; D) 5 sets")</f>
        <v>A) 1 set; B) 2 sets; C) 3 sets; D) 5 sets</v>
      </c>
      <c r="K32" s="28" t="str">
        <f>IFERROR(__xludf.DUMMYFUNCTION("GOOGLETRANSLATE(D31, ""th"", ""en"")"),"C) 3 sets")</f>
        <v>C) 3 sets</v>
      </c>
    </row>
    <row r="33" ht="14.25" customHeight="1">
      <c r="A33" s="27">
        <v>32.0</v>
      </c>
      <c r="B33" s="28" t="s">
        <v>3045</v>
      </c>
      <c r="C33" s="28" t="s">
        <v>3046</v>
      </c>
      <c r="D33" s="28" t="s">
        <v>2925</v>
      </c>
      <c r="E33" s="28" t="s">
        <v>3047</v>
      </c>
      <c r="F33" s="28" t="s">
        <v>2440</v>
      </c>
      <c r="G33" s="28" t="s">
        <v>2440</v>
      </c>
      <c r="H33" s="28" t="s">
        <v>2440</v>
      </c>
      <c r="I33" s="28" t="str">
        <f>IFERROR(__xludf.DUMMYFUNCTION("GOOGLETRANSLATE(B32, ""th"", ""en"")"),"In which country did sepak takraw first become popular?")</f>
        <v>In which country did sepak takraw first become popular?</v>
      </c>
      <c r="J33" s="28" t="str">
        <f>IFERROR(__xludf.DUMMYFUNCTION("GOOGLETRANSLATE(C32, ""th"", ""en"")"),"A) Indonesia; B) Thailand; C) Malaysia; D) Philippines")</f>
        <v>A) Indonesia; B) Thailand; C) Malaysia; D) Philippines</v>
      </c>
      <c r="K33" s="28" t="str">
        <f>IFERROR(__xludf.DUMMYFUNCTION("GOOGLETRANSLATE(D32, ""th"", ""en"")"),"A) Indonesia")</f>
        <v>A) Indonesia</v>
      </c>
    </row>
    <row r="34" ht="14.25" customHeight="1">
      <c r="A34" s="27">
        <v>33.0</v>
      </c>
      <c r="B34" s="28" t="s">
        <v>3048</v>
      </c>
      <c r="C34" s="28" t="s">
        <v>3049</v>
      </c>
      <c r="D34" s="28" t="s">
        <v>3050</v>
      </c>
      <c r="E34" s="28" t="s">
        <v>3051</v>
      </c>
      <c r="F34" s="28" t="s">
        <v>2440</v>
      </c>
      <c r="G34" s="28" t="s">
        <v>2440</v>
      </c>
      <c r="H34" s="28" t="s">
        <v>2440</v>
      </c>
      <c r="I34" s="28" t="str">
        <f>IFERROR(__xludf.DUMMYFUNCTION("GOOGLETRANSLATE(B33, ""th"", ""en"")"),"In which country was the first international sepak takraw competition held?")</f>
        <v>In which country was the first international sepak takraw competition held?</v>
      </c>
      <c r="J34" s="28" t="str">
        <f>IFERROR(__xludf.DUMMYFUNCTION("GOOGLETRANSLATE(C33, ""th"", ""en"")"),"A) Thailand; B) Malaysia; C) Indonesia; D) Singapore")</f>
        <v>A) Thailand; B) Malaysia; C) Indonesia; D) Singapore</v>
      </c>
      <c r="K34" s="28" t="str">
        <f>IFERROR(__xludf.DUMMYFUNCTION("GOOGLETRANSLATE(D33, ""th"", ""en"")"),"B) Malaysia")</f>
        <v>B) Malaysia</v>
      </c>
    </row>
    <row r="35" ht="14.25" customHeight="1">
      <c r="A35" s="27">
        <v>34.0</v>
      </c>
      <c r="B35" s="28" t="s">
        <v>3052</v>
      </c>
      <c r="C35" s="28" t="s">
        <v>3053</v>
      </c>
      <c r="D35" s="28" t="s">
        <v>3054</v>
      </c>
      <c r="E35" s="28" t="s">
        <v>3055</v>
      </c>
      <c r="F35" s="28" t="s">
        <v>2440</v>
      </c>
      <c r="G35" s="28" t="s">
        <v>2440</v>
      </c>
      <c r="H35" s="28" t="s">
        <v>2440</v>
      </c>
      <c r="I35" s="28" t="str">
        <f>IFERROR(__xludf.DUMMYFUNCTION("GOOGLETRANSLATE(B34, ""th"", ""en"")"),"In the past, sepak takraw was used in the ceremonies of which nation?")</f>
        <v>In the past, sepak takraw was used in the ceremonies of which nation?</v>
      </c>
      <c r="J35" s="28" t="str">
        <f>IFERROR(__xludf.DUMMYFUNCTION("GOOGLETRANSLATE(C34, ""th"", ""en"")"),"A) Malaysia; B) Thailand; C) Brunei; D) Philippines")</f>
        <v>A) Malaysia; B) Thailand; C) Brunei; D) Philippines</v>
      </c>
      <c r="K35" s="28" t="str">
        <f>IFERROR(__xludf.DUMMYFUNCTION("GOOGLETRANSLATE(D34, ""th"", ""en"")"),"C) Brunei")</f>
        <v>C) Brunei</v>
      </c>
    </row>
    <row r="36" ht="14.25" customHeight="1">
      <c r="A36" s="27">
        <v>35.0</v>
      </c>
      <c r="B36" s="28" t="s">
        <v>3056</v>
      </c>
      <c r="C36" s="28" t="s">
        <v>3057</v>
      </c>
      <c r="D36" s="28" t="s">
        <v>3058</v>
      </c>
      <c r="E36" s="28" t="s">
        <v>3059</v>
      </c>
      <c r="F36" s="28" t="s">
        <v>2440</v>
      </c>
      <c r="G36" s="28" t="s">
        <v>2440</v>
      </c>
      <c r="H36" s="28" t="s">
        <v>2440</v>
      </c>
      <c r="I36" s="28" t="str">
        <f>IFERROR(__xludf.DUMMYFUNCTION("GOOGLETRANSLATE(B35, ""th"", ""en"")"),"What is sepak takraw called in Vietnam?")</f>
        <v>What is sepak takraw called in Vietnam?</v>
      </c>
      <c r="J36" s="28" t="str">
        <f>IFERROR(__xludf.DUMMYFUNCTION("GOOGLETRANSLATE(C35, ""th"", ""en"")"),"A) Chankee; B) Juza; C) Miken; D) Gola")</f>
        <v>A) Chankee; B) Juza; C) Miken; D) Gola</v>
      </c>
      <c r="K36" s="28" t="str">
        <f>IFERROR(__xludf.DUMMYFUNCTION("GOOGLETRANSLATE(D35, ""th"", ""en"")"),"A) Chankee")</f>
        <v>A) Chankee</v>
      </c>
    </row>
    <row r="37" ht="14.25" customHeight="1">
      <c r="A37" s="27">
        <v>36.0</v>
      </c>
      <c r="B37" s="28" t="s">
        <v>3060</v>
      </c>
      <c r="C37" s="28" t="s">
        <v>2972</v>
      </c>
      <c r="D37" s="28" t="s">
        <v>1705</v>
      </c>
      <c r="E37" s="28" t="s">
        <v>3061</v>
      </c>
      <c r="F37" s="28" t="s">
        <v>2440</v>
      </c>
      <c r="G37" s="28" t="s">
        <v>2440</v>
      </c>
      <c r="H37" s="28" t="s">
        <v>2440</v>
      </c>
      <c r="I37" s="28" t="str">
        <f>IFERROR(__xludf.DUMMYFUNCTION("GOOGLETRANSLATE(B36, ""th"", ""en"")"),"What significant changes occurred in sepak takraw in the 1980s?")</f>
        <v>What significant changes occurred in sepak takraw in the 1980s?</v>
      </c>
      <c r="J37" s="28" t="str">
        <f>IFERROR(__xludf.DUMMYFUNCTION("GOOGLETRANSLATE(C36, ""th"", ""en"")"),"A) The introduction of plastic sepak takraw balls; B) The use of long-sleeved shirts in competitions; C) The inclusion of the sport in the Asian Games; D) The change in the rules of play.")</f>
        <v>A) The introduction of plastic sepak takraw balls; B) The use of long-sleeved shirts in competitions; C) The inclusion of the sport in the Asian Games; D) The change in the rules of play.</v>
      </c>
      <c r="K37" s="28" t="str">
        <f>IFERROR(__xludf.DUMMYFUNCTION("GOOGLETRANSLATE(D36, ""th"", ""en"")"),"A) The use of plastic rattan balls")</f>
        <v>A) The use of plastic rattan balls</v>
      </c>
    </row>
    <row r="38" ht="14.25" customHeight="1">
      <c r="A38" s="27">
        <v>37.0</v>
      </c>
      <c r="B38" s="28" t="s">
        <v>3062</v>
      </c>
      <c r="C38" s="28" t="s">
        <v>3063</v>
      </c>
      <c r="D38" s="28" t="s">
        <v>3064</v>
      </c>
      <c r="E38" s="28" t="s">
        <v>3065</v>
      </c>
      <c r="F38" s="28" t="s">
        <v>2440</v>
      </c>
      <c r="G38" s="28" t="s">
        <v>2440</v>
      </c>
      <c r="H38" s="28" t="s">
        <v>2440</v>
      </c>
      <c r="I38" s="28" t="str">
        <f>IFERROR(__xludf.DUMMYFUNCTION("GOOGLETRANSLATE(B37, ""th"", ""en"")"),"In which country was the first SEA Games sepak takraw competition held?")</f>
        <v>In which country was the first SEA Games sepak takraw competition held?</v>
      </c>
      <c r="J38" s="28" t="str">
        <f>IFERROR(__xludf.DUMMYFUNCTION("GOOGLETRANSLATE(C37, ""th"", ""en"")"),"A) Thailand; B) Malaysia; C) Indonesia; D) Philippines")</f>
        <v>A) Thailand; B) Malaysia; C) Indonesia; D) Philippines</v>
      </c>
      <c r="K38" s="28" t="str">
        <f>IFERROR(__xludf.DUMMYFUNCTION("GOOGLETRANSLATE(D37, ""th"", ""en"")"),"A) Thai")</f>
        <v>A) Thai</v>
      </c>
    </row>
    <row r="39" ht="14.25" customHeight="1">
      <c r="A39" s="27">
        <v>38.0</v>
      </c>
      <c r="B39" s="28" t="s">
        <v>3066</v>
      </c>
      <c r="C39" s="28" t="s">
        <v>3067</v>
      </c>
      <c r="D39" s="28" t="s">
        <v>3068</v>
      </c>
      <c r="E39" s="28" t="s">
        <v>3069</v>
      </c>
      <c r="F39" s="28" t="s">
        <v>2440</v>
      </c>
      <c r="G39" s="28" t="s">
        <v>2440</v>
      </c>
      <c r="H39" s="28" t="s">
        <v>2440</v>
      </c>
      <c r="I39" s="28" t="str">
        <f>IFERROR(__xludf.DUMMYFUNCTION("GOOGLETRANSLATE(B38, ""th"", ""en"")"),"In which year did Thailand begin promoting sepak takraw as a competitive sport?")</f>
        <v>In which year did Thailand begin promoting sepak takraw as a competitive sport?</v>
      </c>
      <c r="J39" s="28" t="str">
        <f>IFERROR(__xludf.DUMMYFUNCTION("GOOGLETRANSLATE(C38, ""th"", ""en"")"),"A) 1945; B) 1950; C) 1960; D) 1970")</f>
        <v>A) 1945; B) 1950; C) 1960; D) 1970</v>
      </c>
      <c r="K39" s="28" t="str">
        <f>IFERROR(__xludf.DUMMYFUNCTION("GOOGLETRANSLATE(D38, ""th"", ""en"")"),"C) 1960")</f>
        <v>C) 1960</v>
      </c>
    </row>
    <row r="40" ht="14.25" customHeight="1">
      <c r="A40" s="27">
        <v>39.0</v>
      </c>
      <c r="B40" s="28" t="s">
        <v>3070</v>
      </c>
      <c r="C40" s="28" t="s">
        <v>3071</v>
      </c>
      <c r="D40" s="28" t="s">
        <v>3072</v>
      </c>
      <c r="E40" s="28" t="s">
        <v>3073</v>
      </c>
      <c r="F40" s="28" t="s">
        <v>2440</v>
      </c>
      <c r="G40" s="28" t="s">
        <v>2440</v>
      </c>
      <c r="H40" s="28" t="s">
        <v>2440</v>
      </c>
      <c r="I40" s="28" t="str">
        <f>IFERROR(__xludf.DUMMYFUNCTION("GOOGLETRANSLATE(B39, ""th"", ""en"")"),"In 1965, sepak takraw was competed in which event?")</f>
        <v>In 1965, sepak takraw was competed in which event?</v>
      </c>
      <c r="J40" s="28" t="str">
        <f>IFERROR(__xludf.DUMMYFUNCTION("GOOGLETRANSLATE(C39, ""th"", ""en"")"),"A) SEA Games; B) Asian Games; C) University Games; D) National Games")</f>
        <v>A) SEA Games; B) Asian Games; C) University Games; D) National Games</v>
      </c>
      <c r="K40" s="28" t="str">
        <f>IFERROR(__xludf.DUMMYFUNCTION("GOOGLETRANSLATE(D39, ""th"", ""en"")"),"A) SEA Games")</f>
        <v>A) SEA Games</v>
      </c>
    </row>
    <row r="41" ht="14.25" customHeight="1">
      <c r="A41" s="27">
        <v>40.0</v>
      </c>
      <c r="B41" s="28" t="s">
        <v>3074</v>
      </c>
      <c r="C41" s="28" t="s">
        <v>3075</v>
      </c>
      <c r="D41" s="28" t="s">
        <v>3076</v>
      </c>
      <c r="E41" s="28" t="s">
        <v>3077</v>
      </c>
      <c r="F41" s="28" t="s">
        <v>2440</v>
      </c>
      <c r="G41" s="28" t="s">
        <v>2440</v>
      </c>
      <c r="H41" s="28" t="s">
        <v>2440</v>
      </c>
      <c r="I41" s="28" t="str">
        <f>IFERROR(__xludf.DUMMYFUNCTION("GOOGLETRANSLATE(B40, ""th"", ""en"")"),"In which year was sepak takraw included as a featured sport in the Summer Olympics?")</f>
        <v>In which year was sepak takraw included as a featured sport in the Summer Olympics?</v>
      </c>
      <c r="J41" s="28" t="str">
        <f>IFERROR(__xludf.DUMMYFUNCTION("GOOGLETRANSLATE(C40, ""th"", ""en"")"),"A) 1976; B) 1980; C) 1984; D) No arrangement")</f>
        <v>A) 1976; B) 1980; C) 1984; D) No arrangement</v>
      </c>
      <c r="K41" s="28" t="str">
        <f>IFERROR(__xludf.DUMMYFUNCTION("GOOGLETRANSLATE(D40, ""th"", ""en"")"),"A) No arrangement")</f>
        <v>A) No arrangement</v>
      </c>
    </row>
    <row r="42" ht="14.25" customHeight="1">
      <c r="A42" s="27">
        <v>41.0</v>
      </c>
      <c r="B42" s="28" t="s">
        <v>3078</v>
      </c>
      <c r="C42" s="28" t="s">
        <v>3079</v>
      </c>
      <c r="D42" s="28" t="s">
        <v>3080</v>
      </c>
      <c r="E42" s="28" t="s">
        <v>3081</v>
      </c>
      <c r="F42" s="28" t="s">
        <v>2440</v>
      </c>
      <c r="G42" s="28" t="s">
        <v>2440</v>
      </c>
      <c r="H42" s="28" t="s">
        <v>2440</v>
      </c>
      <c r="I42" s="28" t="str">
        <f>IFERROR(__xludf.DUMMYFUNCTION("GOOGLETRANSLATE(B41, ""th"", ""en"")"),"In 1985, which organization was established to play a major role in promoting sepak takraw?")</f>
        <v>In 1985, which organization was established to play a major role in promoting sepak takraw?</v>
      </c>
      <c r="J42" s="28" t="str">
        <f>IFERROR(__xludf.DUMMYFUNCTION("GOOGLETRANSLATE(C41, ""th"", ""en"")"),"A) International Sepak Takraw Federation (ISTAF); B) Sepak Takraw Association of Thailand; C) Asian Sports Federation; D) World Sports Federation")</f>
        <v>A) International Sepak Takraw Federation (ISTAF); B) Sepak Takraw Association of Thailand; C) Asian Sports Federation; D) World Sports Federation</v>
      </c>
      <c r="K42" s="28" t="str">
        <f>IFERROR(__xludf.DUMMYFUNCTION("GOOGLETRANSLATE(D41, ""th"", ""en"")"),"A) International Sepak Takraw Federation (ISTAF)")</f>
        <v>A) International Sepak Takraw Federation (ISTAF)</v>
      </c>
    </row>
    <row r="43" ht="14.25" customHeight="1">
      <c r="A43" s="27">
        <v>42.0</v>
      </c>
      <c r="B43" s="28" t="s">
        <v>3082</v>
      </c>
      <c r="C43" s="28" t="s">
        <v>3083</v>
      </c>
      <c r="D43" s="28" t="s">
        <v>3084</v>
      </c>
      <c r="E43" s="28" t="s">
        <v>3085</v>
      </c>
      <c r="F43" s="28" t="s">
        <v>2440</v>
      </c>
      <c r="G43" s="28" t="s">
        <v>2440</v>
      </c>
      <c r="H43" s="28" t="s">
        <v>2440</v>
      </c>
      <c r="I43" s="28" t="str">
        <f>IFERROR(__xludf.DUMMYFUNCTION("GOOGLETRANSLATE(B42, ""th"", ""en"")"),"What is the size of a standard sepak takraw field?")</f>
        <v>What is the size of a standard sepak takraw field?</v>
      </c>
      <c r="J43" s="28" t="str">
        <f>IFERROR(__xludf.DUMMYFUNCTION("GOOGLETRANSLATE(C42, ""th"", ""en"")"),"A) 10 x 5 meters; B) 13 x 6 meters; C) 15 x 7 meters; D) 12 x 6 meters")</f>
        <v>A) 10 x 5 meters; B) 13 x 6 meters; C) 15 x 7 meters; D) 12 x 6 meters</v>
      </c>
      <c r="K43" s="28" t="str">
        <f>IFERROR(__xludf.DUMMYFUNCTION("GOOGLETRANSLATE(D42, ""th"", ""en"")"),"B) 13 x 6 meters")</f>
        <v>B) 13 x 6 meters</v>
      </c>
    </row>
    <row r="44" ht="14.25" customHeight="1">
      <c r="A44" s="27">
        <v>43.0</v>
      </c>
      <c r="B44" s="28" t="s">
        <v>3086</v>
      </c>
      <c r="C44" s="28" t="s">
        <v>3087</v>
      </c>
      <c r="D44" s="28" t="s">
        <v>3088</v>
      </c>
      <c r="E44" s="28" t="s">
        <v>3089</v>
      </c>
      <c r="F44" s="28" t="s">
        <v>2440</v>
      </c>
      <c r="G44" s="28" t="s">
        <v>2440</v>
      </c>
      <c r="H44" s="28" t="s">
        <v>2440</v>
      </c>
      <c r="I44" s="28" t="str">
        <f>IFERROR(__xludf.DUMMYFUNCTION("GOOGLETRANSLATE(B43, ""th"", ""en"")"),"What sports influenced the development of sepak takraw?")</f>
        <v>What sports influenced the development of sepak takraw?</v>
      </c>
      <c r="J44" s="28" t="str">
        <f>IFERROR(__xludf.DUMMYFUNCTION("GOOGLETRANSLATE(C43, ""th"", ""en"")"),"A) football; B) basketball; C) volleyball; D) badminton")</f>
        <v>A) football; B) basketball; C) volleyball; D) badminton</v>
      </c>
      <c r="K44" s="28" t="str">
        <f>IFERROR(__xludf.DUMMYFUNCTION("GOOGLETRANSLATE(D43, ""th"", ""en"")"),"A) Football")</f>
        <v>A) Football</v>
      </c>
    </row>
    <row r="45" ht="14.25" customHeight="1">
      <c r="A45" s="27">
        <v>44.0</v>
      </c>
      <c r="B45" s="28" t="s">
        <v>3090</v>
      </c>
      <c r="C45" s="28" t="s">
        <v>3087</v>
      </c>
      <c r="D45" s="28" t="s">
        <v>3091</v>
      </c>
      <c r="E45" s="28" t="s">
        <v>3092</v>
      </c>
      <c r="F45" s="28" t="s">
        <v>2440</v>
      </c>
      <c r="G45" s="28" t="s">
        <v>2440</v>
      </c>
      <c r="H45" s="28" t="s">
        <v>2440</v>
      </c>
      <c r="I45" s="28" t="str">
        <f>IFERROR(__xludf.DUMMYFUNCTION("GOOGLETRANSLATE(B44, ""th"", ""en"")"),"In which country was the first international sepak takraw competition held?")</f>
        <v>In which country was the first international sepak takraw competition held?</v>
      </c>
      <c r="J45" s="28" t="str">
        <f>IFERROR(__xludf.DUMMYFUNCTION("GOOGLETRANSLATE(C44, ""th"", ""en"")"),"A) Malaysia; B) Thailand; C) Singapore; D) Indonesia")</f>
        <v>A) Malaysia; B) Thailand; C) Singapore; D) Indonesia</v>
      </c>
      <c r="K45" s="28" t="str">
        <f>IFERROR(__xludf.DUMMYFUNCTION("GOOGLETRANSLATE(D44, ""th"", ""en"")"),"A) Malaysia")</f>
        <v>A) Malaysia</v>
      </c>
    </row>
    <row r="46" ht="14.25" customHeight="1">
      <c r="A46" s="27">
        <v>45.0</v>
      </c>
      <c r="B46" s="28" t="s">
        <v>3093</v>
      </c>
      <c r="C46" s="28" t="s">
        <v>3094</v>
      </c>
      <c r="D46" s="28" t="s">
        <v>3095</v>
      </c>
      <c r="E46" s="28" t="s">
        <v>3096</v>
      </c>
      <c r="F46" s="28" t="s">
        <v>2440</v>
      </c>
      <c r="G46" s="28" t="s">
        <v>2440</v>
      </c>
      <c r="H46" s="28" t="s">
        <v>2440</v>
      </c>
      <c r="I46" s="28" t="str">
        <f>IFERROR(__xludf.DUMMYFUNCTION("GOOGLETRANSLATE(B45, ""th"", ""en"")"),"In which country did Sepak Takraw become most popular in the 1980s?")</f>
        <v>In which country did Sepak Takraw become most popular in the 1980s?</v>
      </c>
      <c r="J46" s="28" t="str">
        <f>IFERROR(__xludf.DUMMYFUNCTION("GOOGLETRANSLATE(C45, ""th"", ""en"")"),"A) Malaysia; B) Thailand; C) Singapore; D) Indonesia")</f>
        <v>A) Malaysia; B) Thailand; C) Singapore; D) Indonesia</v>
      </c>
      <c r="K46" s="28" t="str">
        <f>IFERROR(__xludf.DUMMYFUNCTION("GOOGLETRANSLATE(D45, ""th"", ""en"")"),"B) Thai")</f>
        <v>B) Thai</v>
      </c>
    </row>
    <row r="47" ht="14.25" customHeight="1">
      <c r="A47" s="27">
        <v>46.0</v>
      </c>
      <c r="B47" s="28" t="s">
        <v>3097</v>
      </c>
      <c r="C47" s="28" t="s">
        <v>3098</v>
      </c>
      <c r="D47" s="28" t="s">
        <v>3099</v>
      </c>
      <c r="E47" s="28" t="s">
        <v>3100</v>
      </c>
      <c r="F47" s="28" t="s">
        <v>2440</v>
      </c>
      <c r="G47" s="28" t="s">
        <v>2440</v>
      </c>
      <c r="H47" s="28" t="s">
        <v>2440</v>
      </c>
      <c r="I47" s="28" t="str">
        <f>IFERROR(__xludf.DUMMYFUNCTION("GOOGLETRANSLATE(B46, ""th"", ""en"")"),"What language does the word ""takraw"" come from?")</f>
        <v>What language does the word "takraw" come from?</v>
      </c>
      <c r="J47" s="28" t="str">
        <f>IFERROR(__xludf.DUMMYFUNCTION("GOOGLETRANSLATE(C46, ""th"", ""en"")"),"A) Thai language; B) Malay language; C) Vietnamese language; D) Indonesian language")</f>
        <v>A) Thai language; B) Malay language; C) Vietnamese language; D) Indonesian language</v>
      </c>
      <c r="K47" s="28" t="str">
        <f>IFERROR(__xludf.DUMMYFUNCTION("GOOGLETRANSLATE(D46, ""th"", ""en"")"),"B) Malay language")</f>
        <v>B) Malay language</v>
      </c>
    </row>
    <row r="48" ht="14.25" customHeight="1">
      <c r="A48" s="27">
        <v>47.0</v>
      </c>
      <c r="B48" s="28" t="s">
        <v>3101</v>
      </c>
      <c r="C48" s="28" t="s">
        <v>3102</v>
      </c>
      <c r="D48" s="28" t="s">
        <v>3103</v>
      </c>
      <c r="E48" s="28" t="s">
        <v>3104</v>
      </c>
      <c r="F48" s="28" t="s">
        <v>2440</v>
      </c>
      <c r="G48" s="28" t="s">
        <v>2440</v>
      </c>
      <c r="H48" s="28" t="s">
        <v>2440</v>
      </c>
      <c r="I48" s="28" t="str">
        <f>IFERROR(__xludf.DUMMYFUNCTION("GOOGLETRANSLATE(B47, ""th"", ""en"")"),"What format did Sepak Takraw begin in?")</f>
        <v>What format did Sepak Takraw begin in?</v>
      </c>
      <c r="J48" s="28" t="str">
        <f>IFERROR(__xludf.DUMMYFUNCTION("GOOGLETRANSLATE(C47, ""th"", ""en"")"),"A) playing on the grass; B) playing on the ground; C) playing on the wooden deck; D) playing in the shade")</f>
        <v>A) playing on the grass; B) playing on the ground; C) playing on the wooden deck; D) playing in the shade</v>
      </c>
      <c r="K48" s="28" t="str">
        <f>IFERROR(__xludf.DUMMYFUNCTION("GOOGLETRANSLATE(D47, ""th"", ""en"")"),"C) Playing on the wooden deck")</f>
        <v>C) Playing on the wooden deck</v>
      </c>
    </row>
    <row r="49" ht="14.25" customHeight="1">
      <c r="A49" s="27">
        <v>48.0</v>
      </c>
      <c r="B49" s="28" t="s">
        <v>3105</v>
      </c>
      <c r="C49" s="28" t="s">
        <v>3106</v>
      </c>
      <c r="D49" s="28" t="s">
        <v>2965</v>
      </c>
      <c r="E49" s="28" t="s">
        <v>3107</v>
      </c>
      <c r="F49" s="28" t="s">
        <v>2440</v>
      </c>
      <c r="G49" s="28" t="s">
        <v>2440</v>
      </c>
      <c r="H49" s="28" t="s">
        <v>2440</v>
      </c>
      <c r="I49" s="28" t="str">
        <f>IFERROR(__xludf.DUMMYFUNCTION("GOOGLETRANSLATE(B48, ""th"", ""en"")"),"What format was the first sepak takraw competition played in?")</f>
        <v>What format was the first sepak takraw competition played in?</v>
      </c>
      <c r="J49" s="28" t="str">
        <f>IFERROR(__xludf.DUMMYFUNCTION("GOOGLETRANSLATE(C48, ""th"", ""en"")"),"A) single team play; B) individual competition; C) multi-team competition; D) individual competition")</f>
        <v>A) single team play; B) individual competition; C) multi-team competition; D) individual competition</v>
      </c>
      <c r="K49" s="28" t="str">
        <f>IFERROR(__xludf.DUMMYFUNCTION("GOOGLETRANSLATE(D48, ""th"", ""en"")"),"C) Multi-team competition")</f>
        <v>C) Multi-team competition</v>
      </c>
    </row>
    <row r="50" ht="14.25" customHeight="1">
      <c r="A50" s="27">
        <v>49.0</v>
      </c>
      <c r="B50" s="28" t="s">
        <v>3108</v>
      </c>
      <c r="C50" s="28" t="s">
        <v>3109</v>
      </c>
      <c r="D50" s="28" t="s">
        <v>3110</v>
      </c>
      <c r="E50" s="28" t="s">
        <v>3111</v>
      </c>
      <c r="F50" s="28" t="s">
        <v>2440</v>
      </c>
      <c r="G50" s="28" t="s">
        <v>2440</v>
      </c>
      <c r="H50" s="28" t="s">
        <v>2440</v>
      </c>
      <c r="I50" s="28" t="str">
        <f>IFERROR(__xludf.DUMMYFUNCTION("GOOGLETRANSLATE(B49, ""th"", ""en"")"),"When did the Thai national team begin sending athletes to compete in international sepak takraw competitions?")</f>
        <v>When did the Thai national team begin sending athletes to compete in international sepak takraw competitions?</v>
      </c>
      <c r="J50" s="28" t="str">
        <f>IFERROR(__xludf.DUMMYFUNCTION("GOOGLETRANSLATE(C49, ""th"", ""en"")"),"A) 1965; B) 1970; C) 1975; D) 1980")</f>
        <v>A) 1965; B) 1970; C) 1975; D) 1980</v>
      </c>
      <c r="K50" s="28" t="str">
        <f>IFERROR(__xludf.DUMMYFUNCTION("GOOGLETRANSLATE(D49, ""th"", ""en"")"),"A) 1965")</f>
        <v>A) 1965</v>
      </c>
    </row>
    <row r="51" ht="14.25" customHeight="1">
      <c r="A51" s="27">
        <v>50.0</v>
      </c>
      <c r="B51" s="28" t="s">
        <v>3112</v>
      </c>
      <c r="C51" s="28" t="s">
        <v>3113</v>
      </c>
      <c r="D51" s="28" t="s">
        <v>3114</v>
      </c>
      <c r="E51" s="28" t="s">
        <v>3115</v>
      </c>
      <c r="F51" s="28" t="s">
        <v>2440</v>
      </c>
      <c r="G51" s="28" t="s">
        <v>2440</v>
      </c>
      <c r="H51" s="28" t="s">
        <v>2440</v>
      </c>
      <c r="I51" s="28" t="str">
        <f>IFERROR(__xludf.DUMMYFUNCTION("GOOGLETRANSLATE(B50, ""th"", ""en"")"),"In the past, on what occasions was Sepak Takraw competition played?")</f>
        <v>In the past, on what occasions was Sepak Takraw competition played?</v>
      </c>
      <c r="J51" s="28" t="str">
        <f>IFERROR(__xludf.DUMMYFUNCTION("GOOGLETRANSLATE(C50, ""th"", ""en"")"),"A) a festival; B) a royal celebration; C) a court competition; D) a religious celebration")</f>
        <v>A) a festival; B) a royal celebration; C) a court competition; D) a religious celebration</v>
      </c>
      <c r="K51" s="28" t="str">
        <f>IFERROR(__xludf.DUMMYFUNCTION("GOOGLETRANSLATE(D50, ""th"", ""en"")"),"A) Festival celebrations")</f>
        <v>A) Festival celebrations</v>
      </c>
    </row>
    <row r="52" ht="14.25" customHeight="1">
      <c r="A52" s="27">
        <v>51.0</v>
      </c>
      <c r="B52" s="28" t="s">
        <v>3116</v>
      </c>
      <c r="C52" s="28" t="s">
        <v>3117</v>
      </c>
      <c r="D52" s="28" t="s">
        <v>3118</v>
      </c>
      <c r="E52" s="28" t="s">
        <v>3119</v>
      </c>
      <c r="F52" s="28" t="s">
        <v>2440</v>
      </c>
      <c r="G52" s="28" t="s">
        <v>2440</v>
      </c>
      <c r="H52" s="28" t="s">
        <v>2440</v>
      </c>
      <c r="I52" s="28" t="str">
        <f>IFERROR(__xludf.DUMMYFUNCTION("GOOGLETRANSLATE(B51, ""th"", ""en"")"),"In what year did changes to the Sepak Takraw rules begin?")</f>
        <v>In what year did changes to the Sepak Takraw rules begin?</v>
      </c>
      <c r="J52" s="28" t="str">
        <f>IFERROR(__xludf.DUMMYFUNCTION("GOOGLETRANSLATE(C51, ""th"", ""en"")"),"A) 1960; B) 1970; C) 1980; D) 1990")</f>
        <v>A) 1960; B) 1970; C) 1980; D) 1990</v>
      </c>
      <c r="K52" s="28" t="str">
        <f>IFERROR(__xludf.DUMMYFUNCTION("GOOGLETRANSLATE(D51, ""th"", ""en"")"),"B) 1970")</f>
        <v>B) 1970</v>
      </c>
    </row>
    <row r="53" ht="14.25" customHeight="1">
      <c r="A53" s="27">
        <v>52.0</v>
      </c>
      <c r="B53" s="28" t="s">
        <v>3120</v>
      </c>
      <c r="C53" s="28" t="s">
        <v>3121</v>
      </c>
      <c r="D53" s="28" t="s">
        <v>2965</v>
      </c>
      <c r="E53" s="28" t="s">
        <v>3122</v>
      </c>
      <c r="F53" s="28" t="s">
        <v>2440</v>
      </c>
      <c r="G53" s="28" t="s">
        <v>2440</v>
      </c>
      <c r="H53" s="28" t="s">
        <v>2440</v>
      </c>
      <c r="I53" s="28" t="str">
        <f>IFERROR(__xludf.DUMMYFUNCTION("GOOGLETRANSLATE(B52, ""th"", ""en"")"),"Where was sepak takraw played in the past?")</f>
        <v>Where was sepak takraw played in the past?</v>
      </c>
      <c r="J53" s="28" t="str">
        <f>IFERROR(__xludf.DUMMYFUNCTION("GOOGLETRANSLATE(C52, ""th"", ""en"")"),"A) Grassland; B) Village field; C) Temple grounds; D) Sports field")</f>
        <v>A) Grassland; B) Village field; C) Temple grounds; D) Sports field</v>
      </c>
      <c r="K53" s="28" t="str">
        <f>IFERROR(__xludf.DUMMYFUNCTION("GOOGLETRANSLATE(D52, ""th"", ""en"")"),"A) Grassland")</f>
        <v>A) Grassland</v>
      </c>
    </row>
    <row r="54" ht="14.25" customHeight="1">
      <c r="A54" s="27">
        <v>53.0</v>
      </c>
      <c r="B54" s="28" t="s">
        <v>3123</v>
      </c>
      <c r="C54" s="28" t="s">
        <v>3124</v>
      </c>
      <c r="D54" s="28" t="s">
        <v>3088</v>
      </c>
      <c r="E54" s="28" t="s">
        <v>3125</v>
      </c>
      <c r="F54" s="28" t="s">
        <v>2440</v>
      </c>
      <c r="G54" s="28" t="s">
        <v>2440</v>
      </c>
      <c r="H54" s="28" t="s">
        <v>2440</v>
      </c>
      <c r="I54" s="28" t="str">
        <f>IFERROR(__xludf.DUMMYFUNCTION("GOOGLETRANSLATE(B53, ""th"", ""en"")"),"In which year did Sepak Takraw begin to be held internationally?")</f>
        <v>In which year did Sepak Takraw begin to be held internationally?</v>
      </c>
      <c r="J54" s="28" t="str">
        <f>IFERROR(__xludf.DUMMYFUNCTION("GOOGLETRANSLATE(C53, ""th"", ""en"")"),"A) 1965; B) 1970; C) 1985; D) 1990")</f>
        <v>A) 1965; B) 1970; C) 1985; D) 1990</v>
      </c>
      <c r="K54" s="28" t="str">
        <f>IFERROR(__xludf.DUMMYFUNCTION("GOOGLETRANSLATE(D53, ""th"", ""en"")"),"A) 1965")</f>
        <v>A) 1965</v>
      </c>
    </row>
    <row r="55" ht="14.25" customHeight="1">
      <c r="A55" s="27">
        <v>54.0</v>
      </c>
      <c r="B55" s="28" t="s">
        <v>3126</v>
      </c>
      <c r="C55" s="28" t="s">
        <v>3127</v>
      </c>
      <c r="D55" s="28" t="s">
        <v>3128</v>
      </c>
      <c r="E55" s="28" t="s">
        <v>3129</v>
      </c>
      <c r="F55" s="28" t="s">
        <v>2440</v>
      </c>
      <c r="G55" s="28" t="s">
        <v>2440</v>
      </c>
      <c r="H55" s="28" t="s">
        <v>2440</v>
      </c>
      <c r="I55" s="28" t="str">
        <f>IFERROR(__xludf.DUMMYFUNCTION("GOOGLETRANSLATE(B54, ""th"", ""en"")"),"In which country was the International Sepak Takraw Federation (ISTAF) founded?")</f>
        <v>In which country was the International Sepak Takraw Federation (ISTAF) founded?</v>
      </c>
      <c r="J55" s="28" t="str">
        <f>IFERROR(__xludf.DUMMYFUNCTION("GOOGLETRANSLATE(C54, ""th"", ""en"")"),"A) Malaysia; B) Singapore; C) Thailand; D) Indonesia")</f>
        <v>A) Malaysia; B) Singapore; C) Thailand; D) Indonesia</v>
      </c>
      <c r="K55" s="28" t="str">
        <f>IFERROR(__xludf.DUMMYFUNCTION("GOOGLETRANSLATE(D54, ""th"", ""en"")"),"A) Malaysia")</f>
        <v>A) Malaysia</v>
      </c>
    </row>
    <row r="56" ht="14.25" customHeight="1">
      <c r="A56" s="27">
        <v>55.0</v>
      </c>
      <c r="B56" s="28" t="s">
        <v>3130</v>
      </c>
      <c r="C56" s="28" t="s">
        <v>3131</v>
      </c>
      <c r="D56" s="28" t="s">
        <v>2992</v>
      </c>
      <c r="E56" s="28" t="s">
        <v>3132</v>
      </c>
      <c r="F56" s="28" t="s">
        <v>2440</v>
      </c>
      <c r="G56" s="28" t="s">
        <v>2440</v>
      </c>
      <c r="H56" s="28" t="s">
        <v>2440</v>
      </c>
      <c r="I56" s="28" t="str">
        <f>IFERROR(__xludf.DUMMYFUNCTION("GOOGLETRANSLATE(B55, ""th"", ""en"")"),"In the past, how was sepak takraw played?")</f>
        <v>In the past, how was sepak takraw played?</v>
      </c>
      <c r="J56" s="28" t="str">
        <f>IFERROR(__xludf.DUMMYFUNCTION("GOOGLETRANSLATE(C55, ""th"", ""en"")"),"A) playing in the water; B) playing in the grass; C) playing in an enclosed area; D) playing on the sand")</f>
        <v>A) playing in the water; B) playing in the grass; C) playing in an enclosed area; D) playing on the sand</v>
      </c>
      <c r="K56" s="28" t="str">
        <f>IFERROR(__xludf.DUMMYFUNCTION("GOOGLETRANSLATE(D55, ""th"", ""en"")"),"B) Playing in the grass")</f>
        <v>B) Playing in the grass</v>
      </c>
    </row>
    <row r="57" ht="14.25" customHeight="1">
      <c r="A57" s="27">
        <v>56.0</v>
      </c>
      <c r="B57" s="28" t="s">
        <v>3133</v>
      </c>
      <c r="C57" s="28" t="s">
        <v>3134</v>
      </c>
      <c r="D57" s="28" t="s">
        <v>3135</v>
      </c>
      <c r="E57" s="28" t="s">
        <v>3136</v>
      </c>
      <c r="F57" s="28" t="s">
        <v>2440</v>
      </c>
      <c r="G57" s="28" t="s">
        <v>2440</v>
      </c>
      <c r="H57" s="28" t="s">
        <v>2440</v>
      </c>
      <c r="I57" s="28" t="str">
        <f>IFERROR(__xludf.DUMMYFUNCTION("GOOGLETRANSLATE(B56, ""th"", ""en"")"),"In what year did the establishment of international sepak takraw competitions begin?")</f>
        <v>In what year did the establishment of international sepak takraw competitions begin?</v>
      </c>
      <c r="J57" s="28" t="str">
        <f>IFERROR(__xludf.DUMMYFUNCTION("GOOGLETRANSLATE(C56, ""th"", ""en"")"),"A) 1955; B) 1960; C) 1970; D) 1980")</f>
        <v>A) 1955; B) 1960; C) 1970; D) 1980</v>
      </c>
      <c r="K57" s="28" t="str">
        <f>IFERROR(__xludf.DUMMYFUNCTION("GOOGLETRANSLATE(D56, ""th"", ""en"")"),"B) 1960")</f>
        <v>B) 1960</v>
      </c>
    </row>
    <row r="58" ht="14.25" customHeight="1">
      <c r="A58" s="27">
        <v>57.0</v>
      </c>
      <c r="B58" s="28" t="s">
        <v>3137</v>
      </c>
      <c r="C58" s="28" t="s">
        <v>3138</v>
      </c>
      <c r="D58" s="28" t="s">
        <v>3139</v>
      </c>
      <c r="E58" s="28" t="s">
        <v>3140</v>
      </c>
      <c r="F58" s="28" t="s">
        <v>2440</v>
      </c>
      <c r="G58" s="28" t="s">
        <v>2440</v>
      </c>
      <c r="H58" s="28" t="s">
        <v>2440</v>
      </c>
      <c r="I58" s="28" t="str">
        <f>IFERROR(__xludf.DUMMYFUNCTION("GOOGLETRANSLATE(B57, ""th"", ""en"")"),"In 1970, which organization began supporting the development of sepak takraw?")</f>
        <v>In 1970, which organization began supporting the development of sepak takraw?</v>
      </c>
      <c r="J58" s="28" t="str">
        <f>IFERROR(__xludf.DUMMYFUNCTION("GOOGLETRANSLATE(C57, ""th"", ""en"")"),"A) Asian Sports Federation; B) International Sepak Takraw Federation (ISTAF); C) FIFA World Cup; D) General Sports Association")</f>
        <v>A) Asian Sports Federation; B) International Sepak Takraw Federation (ISTAF); C) FIFA World Cup; D) General Sports Association</v>
      </c>
      <c r="K58" s="28" t="str">
        <f>IFERROR(__xludf.DUMMYFUNCTION("GOOGLETRANSLATE(D57, ""th"", ""en"")"),"B) International Sepak Takraw Federation (ISTAF).")</f>
        <v>B) International Sepak Takraw Federation (ISTAF).</v>
      </c>
    </row>
    <row r="59" ht="14.25" customHeight="1">
      <c r="A59" s="27">
        <v>58.0</v>
      </c>
      <c r="B59" s="28" t="s">
        <v>3141</v>
      </c>
      <c r="C59" s="28" t="s">
        <v>3142</v>
      </c>
      <c r="D59" s="28" t="s">
        <v>2984</v>
      </c>
      <c r="E59" s="28" t="s">
        <v>3143</v>
      </c>
      <c r="F59" s="28" t="s">
        <v>2440</v>
      </c>
      <c r="G59" s="28" t="s">
        <v>2440</v>
      </c>
      <c r="H59" s="28" t="s">
        <v>2440</v>
      </c>
      <c r="I59" s="28" t="str">
        <f>IFERROR(__xludf.DUMMYFUNCTION("GOOGLETRANSLATE(B58, ""th"", ""en"")"),"What language does the word ""Sepak"" come from?")</f>
        <v>What language does the word "Sepak" come from?</v>
      </c>
      <c r="J59" s="28" t="str">
        <f>IFERROR(__xludf.DUMMYFUNCTION("GOOGLETRANSLATE(C58, ""th"", ""en"")"),"A) Malay; B) Thai; C) Indonesian; D) Vietnamese")</f>
        <v>A) Malay; B) Thai; C) Indonesian; D) Vietnamese</v>
      </c>
      <c r="K59" s="28" t="str">
        <f>IFERROR(__xludf.DUMMYFUNCTION("GOOGLETRANSLATE(D58, ""th"", ""en"")"),"A) Malay")</f>
        <v>A) Malay</v>
      </c>
    </row>
    <row r="60" ht="14.25" customHeight="1">
      <c r="A60" s="27">
        <v>59.0</v>
      </c>
      <c r="B60" s="28" t="s">
        <v>3144</v>
      </c>
      <c r="C60" s="28" t="s">
        <v>3145</v>
      </c>
      <c r="D60" s="28" t="s">
        <v>3146</v>
      </c>
      <c r="E60" s="28" t="s">
        <v>3147</v>
      </c>
      <c r="F60" s="28" t="s">
        <v>2440</v>
      </c>
      <c r="G60" s="28" t="s">
        <v>2440</v>
      </c>
      <c r="H60" s="28" t="s">
        <v>2440</v>
      </c>
      <c r="I60" s="28" t="str">
        <f>IFERROR(__xludf.DUMMYFUNCTION("GOOGLETRANSLATE(B59, ""th"", ""en"")"),"When did sepak takraw begin to gain international recognition?")</f>
        <v>When did sepak takraw begin to gain international recognition?</v>
      </c>
      <c r="J60" s="28" t="str">
        <f>IFERROR(__xludf.DUMMYFUNCTION("GOOGLETRANSLATE(C59, ""th"", ""en"")"),"A) 1950; B) 1965; C) 1970; D) 1980")</f>
        <v>A) 1950; B) 1965; C) 1970; D) 1980</v>
      </c>
      <c r="K60" s="28" t="str">
        <f>IFERROR(__xludf.DUMMYFUNCTION("GOOGLETRANSLATE(D59, ""th"", ""en"")"),"B) 1965")</f>
        <v>B) 1965</v>
      </c>
    </row>
    <row r="61" ht="14.25" customHeight="1">
      <c r="A61" s="27">
        <v>60.0</v>
      </c>
      <c r="B61" s="28" t="s">
        <v>3148</v>
      </c>
      <c r="C61" s="28" t="s">
        <v>2972</v>
      </c>
      <c r="D61" s="28" t="s">
        <v>1705</v>
      </c>
      <c r="E61" s="28" t="s">
        <v>3149</v>
      </c>
      <c r="F61" s="28" t="s">
        <v>2440</v>
      </c>
      <c r="G61" s="28" t="s">
        <v>2440</v>
      </c>
      <c r="H61" s="28" t="s">
        <v>2440</v>
      </c>
      <c r="I61" s="28" t="str">
        <f>IFERROR(__xludf.DUMMYFUNCTION("GOOGLETRANSLATE(B60, ""th"", ""en"")"),"When did sepak takraw become an Asian Games sport?")</f>
        <v>When did sepak takraw become an Asian Games sport?</v>
      </c>
      <c r="J61" s="28" t="str">
        <f>IFERROR(__xludf.DUMMYFUNCTION("GOOGLETRANSLATE(C60, ""th"", ""en"")"),"A) 1974; B) 1982; C) 1990; D) 2000")</f>
        <v>A) 1974; B) 1982; C) 1990; D) 2000</v>
      </c>
      <c r="K61" s="28" t="str">
        <f>IFERROR(__xludf.DUMMYFUNCTION("GOOGLETRANSLATE(D60, ""th"", ""en"")"),"B) 1982")</f>
        <v>B) 1982</v>
      </c>
    </row>
    <row r="62" ht="14.25" customHeight="1">
      <c r="A62" s="27">
        <v>61.0</v>
      </c>
      <c r="B62" s="28" t="s">
        <v>3150</v>
      </c>
      <c r="C62" s="28" t="s">
        <v>2987</v>
      </c>
      <c r="D62" s="28" t="s">
        <v>2941</v>
      </c>
      <c r="E62" s="28" t="s">
        <v>3151</v>
      </c>
      <c r="F62" s="28" t="s">
        <v>2440</v>
      </c>
      <c r="G62" s="28" t="s">
        <v>2440</v>
      </c>
      <c r="H62" s="28" t="s">
        <v>2440</v>
      </c>
      <c r="I62" s="28" t="str">
        <f>IFERROR(__xludf.DUMMYFUNCTION("GOOGLETRANSLATE(B61, ""th"", ""en"")"),"In which country is sepak takraw most popular?")</f>
        <v>In which country is sepak takraw most popular?</v>
      </c>
      <c r="J62" s="28" t="str">
        <f>IFERROR(__xludf.DUMMYFUNCTION("GOOGLETRANSLATE(C61, ""th"", ""en"")"),"A) Thailand; B) Malaysia; C) Indonesia; D) Philippines")</f>
        <v>A) Thailand; B) Malaysia; C) Indonesia; D) Philippines</v>
      </c>
      <c r="K62" s="28" t="str">
        <f>IFERROR(__xludf.DUMMYFUNCTION("GOOGLETRANSLATE(D61, ""th"", ""en"")"),"A) Thai")</f>
        <v>A) Thai</v>
      </c>
    </row>
    <row r="63" ht="14.25" customHeight="1">
      <c r="A63" s="27">
        <v>62.0</v>
      </c>
      <c r="B63" s="28" t="s">
        <v>3152</v>
      </c>
      <c r="C63" s="28" t="s">
        <v>3113</v>
      </c>
      <c r="D63" s="28" t="s">
        <v>3153</v>
      </c>
      <c r="E63" s="28" t="s">
        <v>3154</v>
      </c>
      <c r="F63" s="28" t="s">
        <v>2440</v>
      </c>
      <c r="G63" s="28" t="s">
        <v>2440</v>
      </c>
      <c r="H63" s="28" t="s">
        <v>2440</v>
      </c>
      <c r="I63" s="28" t="str">
        <f>IFERROR(__xludf.DUMMYFUNCTION("GOOGLETRANSLATE(B62, ""th"", ""en"")"),"In what year did the world-class Sepak Takraw competition begin?")</f>
        <v>In what year did the world-class Sepak Takraw competition begin?</v>
      </c>
      <c r="J63" s="28" t="str">
        <f>IFERROR(__xludf.DUMMYFUNCTION("GOOGLETRANSLATE(C62, ""th"", ""en"")"),"A) 1970; B) 1980; C) 1990; D) 2000")</f>
        <v>A) 1970; B) 1980; C) 1990; D) 2000</v>
      </c>
      <c r="K63" s="28" t="str">
        <f>IFERROR(__xludf.DUMMYFUNCTION("GOOGLETRANSLATE(D62, ""th"", ""en"")"),"C) 1990")</f>
        <v>C) 1990</v>
      </c>
    </row>
    <row r="64" ht="14.25" customHeight="1">
      <c r="A64" s="27">
        <v>63.0</v>
      </c>
      <c r="B64" s="28" t="s">
        <v>3155</v>
      </c>
      <c r="C64" s="28" t="s">
        <v>3156</v>
      </c>
      <c r="D64" s="28" t="s">
        <v>2965</v>
      </c>
      <c r="E64" s="28" t="s">
        <v>3157</v>
      </c>
      <c r="F64" s="28" t="s">
        <v>2440</v>
      </c>
      <c r="G64" s="28" t="s">
        <v>2440</v>
      </c>
      <c r="H64" s="28" t="s">
        <v>2440</v>
      </c>
      <c r="I64" s="28" t="str">
        <f>IFERROR(__xludf.DUMMYFUNCTION("GOOGLETRANSLATE(B63, ""th"", ""en"")"),"In which year were the rules of sepak takraw changed?")</f>
        <v>In which year were the rules of sepak takraw changed?</v>
      </c>
      <c r="J64" s="28" t="str">
        <f>IFERROR(__xludf.DUMMYFUNCTION("GOOGLETRANSLATE(C63, ""th"", ""en"")"),"A) 1960; B) 1970; C) 1980; D) 1990")</f>
        <v>A) 1960; B) 1970; C) 1980; D) 1990</v>
      </c>
      <c r="K64" s="28" t="str">
        <f>IFERROR(__xludf.DUMMYFUNCTION("GOOGLETRANSLATE(D63, ""th"", ""en"")"),"C) 1980")</f>
        <v>C) 1980</v>
      </c>
    </row>
    <row r="65" ht="14.25" customHeight="1">
      <c r="A65" s="27">
        <v>64.0</v>
      </c>
      <c r="B65" s="28" t="s">
        <v>3158</v>
      </c>
      <c r="C65" s="28" t="s">
        <v>3159</v>
      </c>
      <c r="D65" s="28" t="s">
        <v>3160</v>
      </c>
      <c r="E65" s="28" t="s">
        <v>3161</v>
      </c>
      <c r="F65" s="28" t="s">
        <v>2440</v>
      </c>
      <c r="G65" s="28" t="s">
        <v>2440</v>
      </c>
      <c r="H65" s="28" t="s">
        <v>2440</v>
      </c>
      <c r="I65" s="28" t="str">
        <f>IFERROR(__xludf.DUMMYFUNCTION("GOOGLETRANSLATE(B64, ""th"", ""en"")"),"In what year did the sepak takraw competition at the SEA Games begin?")</f>
        <v>In what year did the sepak takraw competition at the SEA Games begin?</v>
      </c>
      <c r="J65" s="28" t="str">
        <f>IFERROR(__xludf.DUMMYFUNCTION("GOOGLETRANSLATE(C64, ""th"", ""en"")"),"A) 1965; B) 1975; C) 1980; D) 1985")</f>
        <v>A) 1965; B) 1975; C) 1980; D) 1985</v>
      </c>
      <c r="K65" s="28" t="str">
        <f>IFERROR(__xludf.DUMMYFUNCTION("GOOGLETRANSLATE(D64, ""th"", ""en"")"),"A) 1965")</f>
        <v>A) 1965</v>
      </c>
    </row>
    <row r="66" ht="14.25" customHeight="1">
      <c r="A66" s="27">
        <v>65.0</v>
      </c>
      <c r="B66" s="28" t="s">
        <v>3162</v>
      </c>
      <c r="C66" s="28" t="s">
        <v>3163</v>
      </c>
      <c r="D66" s="28" t="s">
        <v>3164</v>
      </c>
      <c r="E66" s="28" t="s">
        <v>3165</v>
      </c>
      <c r="F66" s="28" t="s">
        <v>2440</v>
      </c>
      <c r="G66" s="28" t="s">
        <v>2440</v>
      </c>
      <c r="H66" s="28" t="s">
        <v>2440</v>
      </c>
      <c r="I66" s="28" t="str">
        <f>IFERROR(__xludf.DUMMYFUNCTION("GOOGLETRANSLATE(B65, ""th"", ""en"")"),"In which year was sepak takraw first introduced as a major sporting event?")</f>
        <v>In which year was sepak takraw first introduced as a major sporting event?</v>
      </c>
      <c r="J66" s="28" t="str">
        <f>IFERROR(__xludf.DUMMYFUNCTION("GOOGLETRANSLATE(C65, ""th"", ""en"")"),"A) 1974; B) 1980; C) 1982; D) 1984")</f>
        <v>A) 1974; B) 1980; C) 1982; D) 1984</v>
      </c>
      <c r="K66" s="28" t="str">
        <f>IFERROR(__xludf.DUMMYFUNCTION("GOOGLETRANSLATE(D65, ""th"", ""en"")"),"C) 1982")</f>
        <v>C) 1982</v>
      </c>
    </row>
    <row r="67" ht="14.25" customHeight="1">
      <c r="A67" s="27">
        <v>66.0</v>
      </c>
      <c r="B67" s="28" t="s">
        <v>3166</v>
      </c>
      <c r="C67" s="28" t="s">
        <v>3167</v>
      </c>
      <c r="D67" s="28" t="s">
        <v>3168</v>
      </c>
      <c r="E67" s="28" t="s">
        <v>3169</v>
      </c>
      <c r="F67" s="28" t="s">
        <v>2440</v>
      </c>
      <c r="G67" s="28" t="s">
        <v>2440</v>
      </c>
      <c r="H67" s="28" t="s">
        <v>2440</v>
      </c>
      <c r="I67" s="28" t="str">
        <f>IFERROR(__xludf.DUMMYFUNCTION("GOOGLETRANSLATE(B66, ""th"", ""en"")"),"In which year has the sepak takraw competition not yet been held in the Olympics?")</f>
        <v>In which year has the sepak takraw competition not yet been held in the Olympics?</v>
      </c>
      <c r="J67" s="28" t="str">
        <f>IFERROR(__xludf.DUMMYFUNCTION("GOOGLETRANSLATE(C66, ""th"", ""en"")"),"A) 1960; B) 1976; C) 1980; D) 2000")</f>
        <v>A) 1960; B) 1976; C) 1980; D) 2000</v>
      </c>
      <c r="K67" s="28" t="str">
        <f>IFERROR(__xludf.DUMMYFUNCTION("GOOGLETRANSLATE(D66, ""th"", ""en"")"),"B) 1976")</f>
        <v>B) 1976</v>
      </c>
    </row>
    <row r="68" ht="14.25" customHeight="1">
      <c r="A68" s="27">
        <v>67.0</v>
      </c>
      <c r="B68" s="28" t="s">
        <v>3170</v>
      </c>
      <c r="C68" s="28" t="s">
        <v>3113</v>
      </c>
      <c r="D68" s="28" t="s">
        <v>3171</v>
      </c>
      <c r="E68" s="28" t="s">
        <v>3172</v>
      </c>
      <c r="F68" s="28" t="s">
        <v>2440</v>
      </c>
      <c r="G68" s="28" t="s">
        <v>2440</v>
      </c>
      <c r="H68" s="28" t="s">
        <v>2440</v>
      </c>
      <c r="I68" s="28" t="str">
        <f>IFERROR(__xludf.DUMMYFUNCTION("GOOGLETRANSLATE(B67, ""th"", ""en"")"),"On what occasions has Sepak Takraw been played?")</f>
        <v>On what occasions has Sepak Takraw been played?</v>
      </c>
      <c r="J68" s="28" t="str">
        <f>IFERROR(__xludf.DUMMYFUNCTION("GOOGLETRANSLATE(C67, ""th"", ""en"")"),"A) World Games; B) Festival Celebration; C) World Friendship Games; D) People's Games")</f>
        <v>A) World Games; B) Festival Celebration; C) World Friendship Games; D) People's Games</v>
      </c>
      <c r="K68" s="28" t="str">
        <f>IFERROR(__xludf.DUMMYFUNCTION("GOOGLETRANSLATE(D67, ""th"", ""en"")"),"B) Festival celebrations")</f>
        <v>B) Festival celebrations</v>
      </c>
    </row>
    <row r="69" ht="14.25" customHeight="1">
      <c r="A69" s="27">
        <v>68.0</v>
      </c>
      <c r="B69" s="28" t="s">
        <v>3173</v>
      </c>
      <c r="C69" s="28" t="s">
        <v>3174</v>
      </c>
      <c r="D69" s="28" t="s">
        <v>3091</v>
      </c>
      <c r="E69" s="28" t="s">
        <v>3175</v>
      </c>
      <c r="F69" s="28" t="s">
        <v>2440</v>
      </c>
      <c r="G69" s="28" t="s">
        <v>2440</v>
      </c>
      <c r="H69" s="28" t="s">
        <v>2440</v>
      </c>
      <c r="I69" s="28" t="str">
        <f>IFERROR(__xludf.DUMMYFUNCTION("GOOGLETRANSLATE(B68, ""th"", ""en"")"),"In what year was the development of sepak takraw in Thailand established?")</f>
        <v>In what year was the development of sepak takraw in Thailand established?</v>
      </c>
      <c r="J69" s="28" t="str">
        <f>IFERROR(__xludf.DUMMYFUNCTION("GOOGLETRANSLATE(C68, ""th"", ""en"")"),"A) 1960; B) 1970; C) 1980; D) 1990")</f>
        <v>A) 1960; B) 1970; C) 1980; D) 1990</v>
      </c>
      <c r="K69" s="28" t="str">
        <f>IFERROR(__xludf.DUMMYFUNCTION("GOOGLETRANSLATE(D68, ""th"", ""en"")"),"A) 1960")</f>
        <v>A) 1960</v>
      </c>
    </row>
    <row r="70" ht="14.25" customHeight="1">
      <c r="A70" s="27">
        <v>69.0</v>
      </c>
      <c r="B70" s="28" t="s">
        <v>3176</v>
      </c>
      <c r="C70" s="28" t="s">
        <v>3113</v>
      </c>
      <c r="D70" s="28" t="s">
        <v>3153</v>
      </c>
      <c r="E70" s="28" t="s">
        <v>3177</v>
      </c>
      <c r="F70" s="28" t="s">
        <v>2440</v>
      </c>
      <c r="G70" s="28" t="s">
        <v>2440</v>
      </c>
      <c r="H70" s="28" t="s">
        <v>2440</v>
      </c>
      <c r="I70" s="28" t="str">
        <f>IFERROR(__xludf.DUMMYFUNCTION("GOOGLETRANSLATE(B69, ""th"", ""en"")"),"Where was the Sepak Takraw Federation established in 1990?")</f>
        <v>Where was the Sepak Takraw Federation established in 1990?</v>
      </c>
      <c r="J70" s="28" t="str">
        <f>IFERROR(__xludf.DUMMYFUNCTION("GOOGLETRANSLATE(C69, ""th"", ""en"")"),"A) Malaysia; B) Thailand; C) Indonesia; D) Vietnam")</f>
        <v>A) Malaysia; B) Thailand; C) Indonesia; D) Vietnam</v>
      </c>
      <c r="K70" s="28" t="str">
        <f>IFERROR(__xludf.DUMMYFUNCTION("GOOGLETRANSLATE(D69, ""th"", ""en"")"),"B) Thai")</f>
        <v>B) Thai</v>
      </c>
    </row>
    <row r="71" ht="14.25" customHeight="1">
      <c r="A71" s="27">
        <v>70.0</v>
      </c>
      <c r="B71" s="28" t="s">
        <v>3178</v>
      </c>
      <c r="C71" s="28" t="s">
        <v>3179</v>
      </c>
      <c r="D71" s="28" t="s">
        <v>3180</v>
      </c>
      <c r="E71" s="28" t="s">
        <v>3181</v>
      </c>
      <c r="F71" s="28" t="s">
        <v>2440</v>
      </c>
      <c r="G71" s="28" t="s">
        <v>2440</v>
      </c>
      <c r="H71" s="28" t="s">
        <v>2440</v>
      </c>
      <c r="I71" s="28" t="str">
        <f>IFERROR(__xludf.DUMMYFUNCTION("GOOGLETRANSLATE(B70, ""th"", ""en"")"),"In which year did sepak takraw begin using plastic sepak takraw balls instead of rattan balls?")</f>
        <v>In which year did sepak takraw begin using plastic sepak takraw balls instead of rattan balls?</v>
      </c>
      <c r="J71" s="28" t="str">
        <f>IFERROR(__xludf.DUMMYFUNCTION("GOOGLETRANSLATE(C70, ""th"", ""en"")"),"A) 1960; B) 1970; C) 1980; D) 1990")</f>
        <v>A) 1960; B) 1970; C) 1980; D) 1990</v>
      </c>
      <c r="K71" s="28" t="str">
        <f>IFERROR(__xludf.DUMMYFUNCTION("GOOGLETRANSLATE(D70, ""th"", ""en"")"),"C) 1980")</f>
        <v>C) 1980</v>
      </c>
    </row>
    <row r="72" ht="14.25" customHeight="1">
      <c r="A72" s="27">
        <v>71.0</v>
      </c>
      <c r="B72" s="28" t="s">
        <v>3182</v>
      </c>
      <c r="C72" s="28" t="s">
        <v>3183</v>
      </c>
      <c r="D72" s="28" t="s">
        <v>3184</v>
      </c>
      <c r="E72" s="28" t="s">
        <v>3185</v>
      </c>
      <c r="F72" s="28" t="s">
        <v>2440</v>
      </c>
      <c r="G72" s="28" t="s">
        <v>2440</v>
      </c>
      <c r="H72" s="28" t="s">
        <v>2440</v>
      </c>
      <c r="I72" s="28" t="str">
        <f>IFERROR(__xludf.DUMMYFUNCTION("GOOGLETRANSLATE(B71, ""th"", ""en"")"),"In Indonesia, what is sepak takraw called?")</f>
        <v>In Indonesia, what is sepak takraw called?</v>
      </c>
      <c r="J72" s="28" t="str">
        <f>IFERROR(__xludf.DUMMYFUNCTION("GOOGLETRANSLATE(C71, ""th"", ""en"")"),"A) Sepak Bola; B) Sepak Raga; C) Sepak Takraw; D) Sepak Net")</f>
        <v>A) Sepak Bola; B) Sepak Raga; C) Sepak Takraw; D) Sepak Net</v>
      </c>
      <c r="K72" s="28" t="str">
        <f>IFERROR(__xludf.DUMMYFUNCTION("GOOGLETRANSLATE(D71, ""th"", ""en"")"),"B) Sepak Raga")</f>
        <v>B) Sepak Raga</v>
      </c>
    </row>
    <row r="73" ht="14.25" customHeight="1">
      <c r="A73" s="27">
        <v>72.0</v>
      </c>
      <c r="B73" s="28" t="s">
        <v>3186</v>
      </c>
      <c r="C73" s="28" t="s">
        <v>2956</v>
      </c>
      <c r="D73" s="28" t="s">
        <v>1705</v>
      </c>
      <c r="E73" s="28" t="s">
        <v>3187</v>
      </c>
      <c r="F73" s="28" t="s">
        <v>2440</v>
      </c>
      <c r="G73" s="28" t="s">
        <v>2440</v>
      </c>
      <c r="H73" s="28" t="s">
        <v>2440</v>
      </c>
      <c r="I73" s="28" t="str">
        <f>IFERROR(__xludf.DUMMYFUNCTION("GOOGLETRANSLATE(B72, ""th"", ""en"")"),"In the past, how was Sepak Takraw played with equipment?")</f>
        <v>In the past, how was Sepak Takraw played with equipment?</v>
      </c>
      <c r="J73" s="28" t="str">
        <f>IFERROR(__xludf.DUMMYFUNCTION("GOOGLETRANSLATE(C72, ""th"", ""en"")"),"A) wearing shoes; B) using a wooden basket; C) without special equipment; D) using a metal basket")</f>
        <v>A) wearing shoes; B) using a wooden basket; C) without special equipment; D) using a metal basket</v>
      </c>
      <c r="K73" s="28" t="str">
        <f>IFERROR(__xludf.DUMMYFUNCTION("GOOGLETRANSLATE(D72, ""th"", ""en"")"),"B) Use a wooden basket.")</f>
        <v>B) Use a wooden basket.</v>
      </c>
    </row>
    <row r="74" ht="14.25" customHeight="1">
      <c r="A74" s="27">
        <v>73.0</v>
      </c>
      <c r="B74" s="28" t="s">
        <v>3188</v>
      </c>
      <c r="C74" s="28" t="s">
        <v>3189</v>
      </c>
      <c r="D74" s="28" t="s">
        <v>3190</v>
      </c>
      <c r="E74" s="28" t="s">
        <v>3191</v>
      </c>
      <c r="F74" s="28" t="s">
        <v>2440</v>
      </c>
      <c r="G74" s="28" t="s">
        <v>2440</v>
      </c>
      <c r="H74" s="28" t="s">
        <v>2440</v>
      </c>
      <c r="I74" s="28" t="str">
        <f>IFERROR(__xludf.DUMMYFUNCTION("GOOGLETRANSLATE(B73, ""th"", ""en"")"),"Which country was the sepak takraw champion at the latest SEA Games?")</f>
        <v>Which country was the sepak takraw champion at the latest SEA Games?</v>
      </c>
      <c r="J74" s="28" t="str">
        <f>IFERROR(__xludf.DUMMYFUNCTION("GOOGLETRANSLATE(C73, ""th"", ""en"")"),"A) Thailand; B) Malaysia; C) Singapore; D) Indonesia")</f>
        <v>A) Thailand; B) Malaysia; C) Singapore; D) Indonesia</v>
      </c>
      <c r="K74" s="28" t="str">
        <f>IFERROR(__xludf.DUMMYFUNCTION("GOOGLETRANSLATE(D73, ""th"", ""en"")"),"A) Thai")</f>
        <v>A) Thai</v>
      </c>
    </row>
    <row r="75" ht="14.25" customHeight="1">
      <c r="A75" s="27">
        <v>74.0</v>
      </c>
      <c r="B75" s="28" t="s">
        <v>3192</v>
      </c>
      <c r="C75" s="28" t="s">
        <v>3193</v>
      </c>
      <c r="D75" s="28" t="s">
        <v>2965</v>
      </c>
      <c r="E75" s="28" t="s">
        <v>3194</v>
      </c>
      <c r="F75" s="28" t="s">
        <v>2440</v>
      </c>
      <c r="G75" s="28" t="s">
        <v>2440</v>
      </c>
      <c r="H75" s="28" t="s">
        <v>2440</v>
      </c>
      <c r="I75" s="28" t="str">
        <f>IFERROR(__xludf.DUMMYFUNCTION("GOOGLETRANSLATE(B74, ""th"", ""en"")"),"When did Sepak Takraw originate in the past?")</f>
        <v>When did Sepak Takraw originate in the past?</v>
      </c>
      <c r="J75" s="28" t="str">
        <f>IFERROR(__xludf.DUMMYFUNCTION("GOOGLETRANSLATE(C74, ""th"", ""en"")"),"A) after sunset; B) during the day; C) at night; D) in summer")</f>
        <v>A) after sunset; B) during the day; C) at night; D) in summer</v>
      </c>
      <c r="K75" s="28" t="str">
        <f>IFERROR(__xludf.DUMMYFUNCTION("GOOGLETRANSLATE(D74, ""th"", ""en"")"),"B) During the day")</f>
        <v>B) During the day</v>
      </c>
    </row>
    <row r="76" ht="14.25" customHeight="1">
      <c r="A76" s="27">
        <v>75.0</v>
      </c>
      <c r="B76" s="28" t="s">
        <v>3195</v>
      </c>
      <c r="C76" s="28" t="s">
        <v>3196</v>
      </c>
      <c r="D76" s="28" t="s">
        <v>3091</v>
      </c>
      <c r="E76" s="28" t="s">
        <v>3197</v>
      </c>
      <c r="F76" s="28" t="s">
        <v>2440</v>
      </c>
      <c r="G76" s="28" t="s">
        <v>2440</v>
      </c>
      <c r="H76" s="28" t="s">
        <v>2440</v>
      </c>
      <c r="I76" s="28" t="str">
        <f>IFERROR(__xludf.DUMMYFUNCTION("GOOGLETRANSLATE(B75, ""th"", ""en"")"),"In which year was Sepak Takraw first recognized as an international competitive sport?")</f>
        <v>In which year was Sepak Takraw first recognized as an international competitive sport?</v>
      </c>
      <c r="J76" s="28" t="str">
        <f>IFERROR(__xludf.DUMMYFUNCTION("GOOGLETRANSLATE(C75, ""th"", ""en"")"),"A) 1965; B) 1970; C) 1980; D) 1990")</f>
        <v>A) 1965; B) 1970; C) 1980; D) 1990</v>
      </c>
      <c r="K76" s="28" t="str">
        <f>IFERROR(__xludf.DUMMYFUNCTION("GOOGLETRANSLATE(D75, ""th"", ""en"")"),"A) 1965")</f>
        <v>A) 1965</v>
      </c>
    </row>
    <row r="77" ht="14.25" customHeight="1">
      <c r="A77" s="27">
        <v>76.0</v>
      </c>
      <c r="B77" s="28" t="s">
        <v>3198</v>
      </c>
      <c r="C77" s="28" t="s">
        <v>3046</v>
      </c>
      <c r="D77" s="28" t="s">
        <v>2925</v>
      </c>
      <c r="E77" s="28" t="s">
        <v>3199</v>
      </c>
      <c r="F77" s="28" t="s">
        <v>2440</v>
      </c>
      <c r="G77" s="28" t="s">
        <v>2440</v>
      </c>
      <c r="H77" s="28" t="s">
        <v>2440</v>
      </c>
      <c r="I77" s="28" t="str">
        <f>IFERROR(__xludf.DUMMYFUNCTION("GOOGLETRANSLATE(B76, ""th"", ""en"")"),"In which Asian country is sepak takraw most popular?")</f>
        <v>In which Asian country is sepak takraw most popular?</v>
      </c>
      <c r="J77" s="28" t="str">
        <f>IFERROR(__xludf.DUMMYFUNCTION("GOOGLETRANSLATE(C76, ""th"", ""en"")"),"A) Malaysia; B) Thailand; C) Indonesia; D) Philippines")</f>
        <v>A) Malaysia; B) Thailand; C) Indonesia; D) Philippines</v>
      </c>
      <c r="K77" s="28" t="str">
        <f>IFERROR(__xludf.DUMMYFUNCTION("GOOGLETRANSLATE(D76, ""th"", ""en"")"),"B) Thai")</f>
        <v>B) Thai</v>
      </c>
    </row>
    <row r="78" ht="14.25" customHeight="1">
      <c r="A78" s="27">
        <v>77.0</v>
      </c>
      <c r="B78" s="28" t="s">
        <v>3200</v>
      </c>
      <c r="C78" s="28" t="s">
        <v>3201</v>
      </c>
      <c r="D78" s="28" t="s">
        <v>3202</v>
      </c>
      <c r="E78" s="28" t="s">
        <v>3203</v>
      </c>
      <c r="F78" s="28" t="s">
        <v>2440</v>
      </c>
      <c r="G78" s="28" t="s">
        <v>2440</v>
      </c>
      <c r="H78" s="28" t="s">
        <v>2440</v>
      </c>
      <c r="I78" s="28" t="str">
        <f>IFERROR(__xludf.DUMMYFUNCTION("GOOGLETRANSLATE(B77, ""th"", ""en"")"),"Where did the world-class sepak takraw competition begin?")</f>
        <v>Where did the world-class sepak takraw competition begin?</v>
      </c>
      <c r="J78" s="28" t="str">
        <f>IFERROR(__xludf.DUMMYFUNCTION("GOOGLETRANSLATE(C77, ""th"", ""en"")"),"A) Thailand; B) Malaysia; C) Indonesia; D) Singapore")</f>
        <v>A) Thailand; B) Malaysia; C) Indonesia; D) Singapore</v>
      </c>
      <c r="K78" s="28" t="str">
        <f>IFERROR(__xludf.DUMMYFUNCTION("GOOGLETRANSLATE(D77, ""th"", ""en"")"),"B) Malaysia")</f>
        <v>B) Malaysia</v>
      </c>
    </row>
    <row r="79" ht="14.25" customHeight="1">
      <c r="A79" s="27">
        <v>78.0</v>
      </c>
      <c r="B79" s="28" t="s">
        <v>3204</v>
      </c>
      <c r="C79" s="28" t="s">
        <v>3205</v>
      </c>
      <c r="D79" s="28" t="s">
        <v>3206</v>
      </c>
      <c r="E79" s="28" t="s">
        <v>3207</v>
      </c>
      <c r="F79" s="28" t="s">
        <v>2440</v>
      </c>
      <c r="G79" s="28" t="s">
        <v>2440</v>
      </c>
      <c r="H79" s="28" t="s">
        <v>2440</v>
      </c>
      <c r="I79" s="28" t="str">
        <f>IFERROR(__xludf.DUMMYFUNCTION("GOOGLETRANSLATE(B78, ""th"", ""en"")"),"When did sepak takraw become a team sport?")</f>
        <v>When did sepak takraw become a team sport?</v>
      </c>
      <c r="J79" s="28" t="str">
        <f>IFERROR(__xludf.DUMMYFUNCTION("GOOGLETRANSLATE(C78, ""th"", ""en"")"),"A) 1950; B) 1960; C) 1970; D) 1980")</f>
        <v>A) 1950; B) 1960; C) 1970; D) 1980</v>
      </c>
      <c r="K79" s="28" t="str">
        <f>IFERROR(__xludf.DUMMYFUNCTION("GOOGLETRANSLATE(D78, ""th"", ""en"")"),"C) 1970")</f>
        <v>C) 1970</v>
      </c>
    </row>
    <row r="80" ht="14.25" customHeight="1">
      <c r="A80" s="27">
        <v>79.0</v>
      </c>
      <c r="B80" s="28" t="s">
        <v>3208</v>
      </c>
      <c r="C80" s="28" t="s">
        <v>3209</v>
      </c>
      <c r="D80" s="28" t="s">
        <v>3210</v>
      </c>
      <c r="E80" s="28" t="s">
        <v>3211</v>
      </c>
      <c r="F80" s="28" t="s">
        <v>2440</v>
      </c>
      <c r="G80" s="28" t="s">
        <v>2440</v>
      </c>
      <c r="H80" s="28" t="s">
        <v>2440</v>
      </c>
      <c r="I80" s="28" t="str">
        <f>IFERROR(__xludf.DUMMYFUNCTION("GOOGLETRANSLATE(B79, ""th"", ""en"")"),"In the beginning of sepak takraw, what type of competition did sepak takraw usually have?")</f>
        <v>In the beginning of sepak takraw, what type of competition did sepak takraw usually have?</v>
      </c>
      <c r="J80" s="28" t="str">
        <f>IFERROR(__xludf.DUMMYFUNCTION("GOOGLETRANSLATE(C79, ""th"", ""en"")"),"A) race on a field; B) race on a grass field; C) race on a field; D) race on an open area.")</f>
        <v>A) race on a field; B) race on a grass field; C) race on a field; D) race on an open area.</v>
      </c>
      <c r="K80" s="28" t="str">
        <f>IFERROR(__xludf.DUMMYFUNCTION("GOOGLETRANSLATE(D79, ""th"", ""en"")"),"B) Grass field competition")</f>
        <v>B) Grass field competition</v>
      </c>
    </row>
    <row r="81" ht="14.25" customHeight="1">
      <c r="A81" s="27">
        <v>80.0</v>
      </c>
      <c r="B81" s="28" t="s">
        <v>3212</v>
      </c>
      <c r="C81" s="28" t="s">
        <v>3213</v>
      </c>
      <c r="D81" s="28" t="s">
        <v>3214</v>
      </c>
      <c r="E81" s="28" t="s">
        <v>3215</v>
      </c>
      <c r="F81" s="28" t="s">
        <v>2440</v>
      </c>
      <c r="G81" s="28" t="s">
        <v>2440</v>
      </c>
      <c r="H81" s="28" t="s">
        <v>2440</v>
      </c>
      <c r="I81" s="28" t="str">
        <f>IFERROR(__xludf.DUMMYFUNCTION("GOOGLETRANSLATE(B80, ""th"", ""en"")"),"Where did the development of sepak takraw on a world-class level come from?")</f>
        <v>Where did the development of sepak takraw on a world-class level come from?</v>
      </c>
      <c r="J81" s="28" t="str">
        <f>IFERROR(__xludf.DUMMYFUNCTION("GOOGLETRANSLATE(C80, ""th"", ""en"")"),"A) 1970 in Malaysia; B) 1980 in Thailand; C) 1990 in Indonesia; D) 2000 in the Philippines.")</f>
        <v>A) 1970 in Malaysia; B) 1980 in Thailand; C) 1990 in Indonesia; D) 2000 in the Philippines.</v>
      </c>
      <c r="K81" s="28" t="str">
        <f>IFERROR(__xludf.DUMMYFUNCTION("GOOGLETRANSLATE(D80, ""th"", ""en"")"),"A) 1970 in Malaysia")</f>
        <v>A) 1970 in Malaysia</v>
      </c>
    </row>
    <row r="82" ht="14.25" customHeight="1">
      <c r="A82" s="27">
        <v>81.0</v>
      </c>
      <c r="B82" s="28" t="s">
        <v>3216</v>
      </c>
      <c r="C82" s="28" t="s">
        <v>2987</v>
      </c>
      <c r="D82" s="28" t="s">
        <v>3217</v>
      </c>
      <c r="E82" s="28" t="s">
        <v>3218</v>
      </c>
      <c r="F82" s="28" t="s">
        <v>2440</v>
      </c>
      <c r="G82" s="28" t="s">
        <v>2440</v>
      </c>
      <c r="H82" s="28" t="s">
        <v>2440</v>
      </c>
      <c r="I82" s="28" t="str">
        <f>IFERROR(__xludf.DUMMYFUNCTION("GOOGLETRANSLATE(B81, ""th"", ""en"")"),"In which year was sepak takraw recognized as a sport at the Asian Games?")</f>
        <v>In which year was sepak takraw recognized as a sport at the Asian Games?</v>
      </c>
      <c r="J82" s="28" t="str">
        <f>IFERROR(__xludf.DUMMYFUNCTION("GOOGLETRANSLATE(C81, ""th"", ""en"")"),"A) 1980; B) 1982; C) 1984; D) 1986")</f>
        <v>A) 1980; B) 1982; C) 1984; D) 1986</v>
      </c>
      <c r="K82" s="28" t="str">
        <f>IFERROR(__xludf.DUMMYFUNCTION("GOOGLETRANSLATE(D81, ""th"", ""en"")"),"B) 1982")</f>
        <v>B) 1982</v>
      </c>
    </row>
    <row r="83" ht="14.25" customHeight="1">
      <c r="A83" s="27">
        <v>82.0</v>
      </c>
      <c r="B83" s="28" t="s">
        <v>3219</v>
      </c>
      <c r="C83" s="28" t="s">
        <v>3113</v>
      </c>
      <c r="D83" s="28" t="s">
        <v>3114</v>
      </c>
      <c r="E83" s="28" t="s">
        <v>3220</v>
      </c>
      <c r="F83" s="28" t="s">
        <v>2440</v>
      </c>
      <c r="G83" s="28" t="s">
        <v>2440</v>
      </c>
      <c r="H83" s="28" t="s">
        <v>2440</v>
      </c>
      <c r="I83" s="28" t="str">
        <f>IFERROR(__xludf.DUMMYFUNCTION("GOOGLETRANSLATE(B82, ""th"", ""en"")"),"In which year was Sepak Takraw first recognized as an international team sport?")</f>
        <v>In which year was Sepak Takraw first recognized as an international team sport?</v>
      </c>
      <c r="J83" s="28" t="str">
        <f>IFERROR(__xludf.DUMMYFUNCTION("GOOGLETRANSLATE(C82, ""th"", ""en"")"),"A) 1970; B) 1980; C) 1990; D) 2000")</f>
        <v>A) 1970; B) 1980; C) 1990; D) 2000</v>
      </c>
      <c r="K83" s="28" t="str">
        <f>IFERROR(__xludf.DUMMYFUNCTION("GOOGLETRANSLATE(D82, ""th"", ""en"")"),"A) 1970")</f>
        <v>A) 1970</v>
      </c>
    </row>
    <row r="84" ht="14.25" customHeight="1">
      <c r="A84" s="27">
        <v>83.0</v>
      </c>
      <c r="B84" s="28" t="s">
        <v>3221</v>
      </c>
      <c r="C84" s="28" t="s">
        <v>3222</v>
      </c>
      <c r="D84" s="28" t="s">
        <v>3223</v>
      </c>
      <c r="E84" s="28" t="s">
        <v>3224</v>
      </c>
      <c r="F84" s="28" t="s">
        <v>2440</v>
      </c>
      <c r="G84" s="28" t="s">
        <v>2440</v>
      </c>
      <c r="H84" s="28" t="s">
        <v>2440</v>
      </c>
      <c r="I84" s="28" t="str">
        <f>IFERROR(__xludf.DUMMYFUNCTION("GOOGLETRANSLATE(B83, ""th"", ""en"")"),"When did sepak takraw begin to develop in Thailand?")</f>
        <v>When did sepak takraw begin to develop in Thailand?</v>
      </c>
      <c r="J84" s="28" t="str">
        <f>IFERROR(__xludf.DUMMYFUNCTION("GOOGLETRANSLATE(C83, ""th"", ""en"")"),"A) 1960; B) 1970; C) 1980; D) 1990")</f>
        <v>A) 1960; B) 1970; C) 1980; D) 1990</v>
      </c>
      <c r="K84" s="28" t="str">
        <f>IFERROR(__xludf.DUMMYFUNCTION("GOOGLETRANSLATE(D83, ""th"", ""en"")"),"B) 1970")</f>
        <v>B) 1970</v>
      </c>
    </row>
    <row r="85" ht="14.25" customHeight="1">
      <c r="A85" s="27">
        <v>84.0</v>
      </c>
      <c r="B85" s="28" t="s">
        <v>3225</v>
      </c>
      <c r="C85" s="28" t="s">
        <v>3226</v>
      </c>
      <c r="D85" s="28" t="s">
        <v>3091</v>
      </c>
      <c r="E85" s="28" t="s">
        <v>3227</v>
      </c>
      <c r="F85" s="28" t="s">
        <v>2440</v>
      </c>
      <c r="G85" s="28" t="s">
        <v>2440</v>
      </c>
      <c r="H85" s="28" t="s">
        <v>2440</v>
      </c>
      <c r="I85" s="28" t="str">
        <f>IFERROR(__xludf.DUMMYFUNCTION("GOOGLETRANSLATE(B84, ""th"", ""en"")"),"What type of court was Sepak Takraw played on in the past?")</f>
        <v>What type of court was Sepak Takraw played on in the past?</v>
      </c>
      <c r="J85" s="28" t="str">
        <f>IFERROR(__xludf.DUMMYFUNCTION("GOOGLETRANSLATE(C84, ""th"", ""en"")"),"A) grass field; B) concrete field; C) sand field; D) dirt field")</f>
        <v>A) grass field; B) concrete field; C) sand field; D) dirt field</v>
      </c>
      <c r="K85" s="28" t="str">
        <f>IFERROR(__xludf.DUMMYFUNCTION("GOOGLETRANSLATE(D84, ""th"", ""en"")"),"A) Lawn")</f>
        <v>A) Lawn</v>
      </c>
    </row>
    <row r="86" ht="14.25" customHeight="1">
      <c r="A86" s="27">
        <v>85.0</v>
      </c>
      <c r="B86" s="28" t="s">
        <v>3228</v>
      </c>
      <c r="C86" s="28" t="s">
        <v>1576</v>
      </c>
      <c r="D86" s="28" t="s">
        <v>3229</v>
      </c>
      <c r="E86" s="28" t="s">
        <v>3230</v>
      </c>
      <c r="F86" s="28" t="s">
        <v>2440</v>
      </c>
      <c r="G86" s="28" t="s">
        <v>2440</v>
      </c>
      <c r="H86" s="28" t="s">
        <v>2440</v>
      </c>
      <c r="I86" s="28" t="str">
        <f>IFERROR(__xludf.DUMMYFUNCTION("GOOGLETRANSLATE(B85, ""th"", ""en"")"),"In which country was sepak takraw developed to become a standard sport?")</f>
        <v>In which country was sepak takraw developed to become a standard sport?</v>
      </c>
      <c r="J86" s="28" t="str">
        <f>IFERROR(__xludf.DUMMYFUNCTION("GOOGLETRANSLATE(C85, ""th"", ""en"")"),"A) Malaysia; B) Thailand; C) Indonesia; D) Singapore")</f>
        <v>A) Malaysia; B) Thailand; C) Indonesia; D) Singapore</v>
      </c>
      <c r="K86" s="28" t="str">
        <f>IFERROR(__xludf.DUMMYFUNCTION("GOOGLETRANSLATE(D85, ""th"", ""en"")"),"B) Thai")</f>
        <v>B) Thai</v>
      </c>
    </row>
    <row r="87" ht="14.25" customHeight="1">
      <c r="A87" s="27">
        <v>86.0</v>
      </c>
      <c r="B87" s="28" t="s">
        <v>3231</v>
      </c>
      <c r="C87" s="28" t="s">
        <v>3193</v>
      </c>
      <c r="D87" s="28" t="s">
        <v>3114</v>
      </c>
      <c r="E87" s="28" t="s">
        <v>3232</v>
      </c>
      <c r="F87" s="28" t="s">
        <v>2440</v>
      </c>
      <c r="G87" s="28" t="s">
        <v>2440</v>
      </c>
      <c r="H87" s="28" t="s">
        <v>2440</v>
      </c>
      <c r="I87" s="28" t="str">
        <f>IFERROR(__xludf.DUMMYFUNCTION("GOOGLETRANSLATE(B86, ""th"", ""en"")"),"When did the international sepak takraw competition begin?")</f>
        <v>When did the international sepak takraw competition begin?</v>
      </c>
      <c r="J87" s="28" t="str">
        <f>IFERROR(__xludf.DUMMYFUNCTION("GOOGLETRANSLATE(C86, ""th"", ""en"")"),"A) 1960s; B) 1970s; C) 1980s; D) 1990s")</f>
        <v>A) 1960s; B) 1970s; C) 1980s; D) 1990s</v>
      </c>
      <c r="K87" s="28" t="str">
        <f>IFERROR(__xludf.DUMMYFUNCTION("GOOGLETRANSLATE(D86, ""th"", ""en"")"),"A) 1960")</f>
        <v>A) 1960</v>
      </c>
    </row>
    <row r="88" ht="14.25" customHeight="1">
      <c r="A88" s="27">
        <v>87.0</v>
      </c>
      <c r="B88" s="28" t="s">
        <v>3233</v>
      </c>
      <c r="C88" s="28" t="s">
        <v>3234</v>
      </c>
      <c r="D88" s="28" t="s">
        <v>3164</v>
      </c>
      <c r="E88" s="28" t="s">
        <v>3235</v>
      </c>
      <c r="F88" s="28" t="s">
        <v>2440</v>
      </c>
      <c r="G88" s="28" t="s">
        <v>2440</v>
      </c>
      <c r="H88" s="28" t="s">
        <v>2440</v>
      </c>
      <c r="I88" s="28" t="str">
        <f>IFERROR(__xludf.DUMMYFUNCTION("GOOGLETRANSLATE(B87, ""th"", ""en"")"),"In what year did the development of sepak takraw in Indonesia begin?")</f>
        <v>In what year did the development of sepak takraw in Indonesia begin?</v>
      </c>
      <c r="J88" s="28" t="str">
        <f>IFERROR(__xludf.DUMMYFUNCTION("GOOGLETRANSLATE(C87, ""th"", ""en"")"),"A) 1965; B) 1970; C) 1980; D) 1990")</f>
        <v>A) 1965; B) 1970; C) 1980; D) 1990</v>
      </c>
      <c r="K88" s="28" t="str">
        <f>IFERROR(__xludf.DUMMYFUNCTION("GOOGLETRANSLATE(D87, ""th"", ""en"")"),"B) 1970")</f>
        <v>B) 1970</v>
      </c>
    </row>
    <row r="89" ht="14.25" customHeight="1">
      <c r="A89" s="27">
        <v>88.0</v>
      </c>
      <c r="B89" s="28" t="s">
        <v>3236</v>
      </c>
      <c r="C89" s="28" t="s">
        <v>3237</v>
      </c>
      <c r="D89" s="28" t="s">
        <v>3238</v>
      </c>
      <c r="E89" s="28" t="s">
        <v>3239</v>
      </c>
      <c r="F89" s="28" t="s">
        <v>2440</v>
      </c>
      <c r="G89" s="28" t="s">
        <v>2440</v>
      </c>
      <c r="H89" s="28" t="s">
        <v>2440</v>
      </c>
      <c r="I89" s="28" t="str">
        <f>IFERROR(__xludf.DUMMYFUNCTION("GOOGLETRANSLATE(B88, ""th"", ""en"")"),"In which year did the sepak takraw competition at the Olympics take place?")</f>
        <v>In which year did the sepak takraw competition at the Olympics take place?</v>
      </c>
      <c r="J89" s="28" t="str">
        <f>IFERROR(__xludf.DUMMYFUNCTION("GOOGLETRANSLATE(C88, ""th"", ""en"")"),"A) 1960; B) 1976; C) 1984; D) No arrangement")</f>
        <v>A) 1960; B) 1976; C) 1984; D) No arrangement</v>
      </c>
      <c r="K89" s="28" t="str">
        <f>IFERROR(__xludf.DUMMYFUNCTION("GOOGLETRANSLATE(D88, ""th"", ""en"")"),"B) 1976")</f>
        <v>B) 1976</v>
      </c>
    </row>
    <row r="90" ht="14.25" customHeight="1">
      <c r="A90" s="27">
        <v>89.0</v>
      </c>
      <c r="B90" s="28" t="s">
        <v>3240</v>
      </c>
      <c r="C90" s="28" t="s">
        <v>3241</v>
      </c>
      <c r="D90" s="28" t="s">
        <v>3095</v>
      </c>
      <c r="E90" s="28" t="s">
        <v>3242</v>
      </c>
      <c r="F90" s="28" t="s">
        <v>2440</v>
      </c>
      <c r="G90" s="28" t="s">
        <v>2440</v>
      </c>
      <c r="H90" s="28" t="s">
        <v>2440</v>
      </c>
      <c r="I90" s="28" t="str">
        <f>IFERROR(__xludf.DUMMYFUNCTION("GOOGLETRANSLATE(B89, ""th"", ""en"")"),"In which year was sepak takraw first held at the Asian Games?")</f>
        <v>In which year was sepak takraw first held at the Asian Games?</v>
      </c>
      <c r="J90" s="28" t="str">
        <f>IFERROR(__xludf.DUMMYFUNCTION("GOOGLETRANSLATE(C89, ""th"", ""en"")"),"A) 1982; B) 1986; C) 1990; D) 1994")</f>
        <v>A) 1982; B) 1986; C) 1990; D) 1994</v>
      </c>
      <c r="K90" s="28" t="str">
        <f>IFERROR(__xludf.DUMMYFUNCTION("GOOGLETRANSLATE(D89, ""th"", ""en"")"),"A) 1982")</f>
        <v>A) 1982</v>
      </c>
    </row>
    <row r="91" ht="14.25" customHeight="1">
      <c r="A91" s="27">
        <v>90.0</v>
      </c>
      <c r="B91" s="28" t="s">
        <v>3243</v>
      </c>
      <c r="C91" s="28" t="s">
        <v>3244</v>
      </c>
      <c r="D91" s="28" t="s">
        <v>3245</v>
      </c>
      <c r="E91" s="28" t="s">
        <v>3246</v>
      </c>
      <c r="F91" s="28" t="s">
        <v>2440</v>
      </c>
      <c r="G91" s="28" t="s">
        <v>2440</v>
      </c>
      <c r="H91" s="28" t="s">
        <v>2440</v>
      </c>
      <c r="I91" s="28" t="str">
        <f>IFERROR(__xludf.DUMMYFUNCTION("GOOGLETRANSLATE(B90, ""th"", ""en"")"),"What word does the word ""takraw"" in the name of the sport of sepak takraw come from?")</f>
        <v>What word does the word "takraw" in the name of the sport of sepak takraw come from?</v>
      </c>
      <c r="J91" s="28" t="str">
        <f>IFERROR(__xludf.DUMMYFUNCTION("GOOGLETRANSLATE(C90, ""th"", ""en"")"),"A) Thai language; B) Malay language; C) Indonesian language; D) Chinese language")</f>
        <v>A) Thai language; B) Malay language; C) Indonesian language; D) Chinese language</v>
      </c>
      <c r="K91" s="28" t="str">
        <f>IFERROR(__xludf.DUMMYFUNCTION("GOOGLETRANSLATE(D90, ""th"", ""en"")"),"B) Malay language")</f>
        <v>B) Malay language</v>
      </c>
    </row>
    <row r="92" ht="14.25" customHeight="1">
      <c r="A92" s="27">
        <v>91.0</v>
      </c>
      <c r="B92" s="28" t="s">
        <v>3247</v>
      </c>
      <c r="C92" s="28" t="s">
        <v>3193</v>
      </c>
      <c r="D92" s="28" t="s">
        <v>2965</v>
      </c>
      <c r="E92" s="28" t="s">
        <v>3248</v>
      </c>
      <c r="F92" s="28" t="s">
        <v>2440</v>
      </c>
      <c r="G92" s="28" t="s">
        <v>2440</v>
      </c>
      <c r="H92" s="28" t="s">
        <v>2440</v>
      </c>
      <c r="I92" s="28" t="str">
        <f>IFERROR(__xludf.DUMMYFUNCTION("GOOGLETRANSLATE(B91, ""th"", ""en"")"),"In which year did the sepak takraw competition at the SEA Games begin?")</f>
        <v>In which year did the sepak takraw competition at the SEA Games begin?</v>
      </c>
      <c r="J92" s="28" t="str">
        <f>IFERROR(__xludf.DUMMYFUNCTION("GOOGLETRANSLATE(C91, ""th"", ""en"")"),"A) 1965; B) 1970; C) 1980; D) 1990")</f>
        <v>A) 1965; B) 1970; C) 1980; D) 1990</v>
      </c>
      <c r="K92" s="28" t="str">
        <f>IFERROR(__xludf.DUMMYFUNCTION("GOOGLETRANSLATE(D91, ""th"", ""en"")"),"A) 1965")</f>
        <v>A) 1965</v>
      </c>
    </row>
    <row r="93" ht="14.25" customHeight="1">
      <c r="A93" s="27">
        <v>92.0</v>
      </c>
      <c r="B93" s="28" t="s">
        <v>3249</v>
      </c>
      <c r="C93" s="28" t="s">
        <v>3113</v>
      </c>
      <c r="D93" s="28" t="s">
        <v>3114</v>
      </c>
      <c r="E93" s="28" t="s">
        <v>3250</v>
      </c>
      <c r="F93" s="28" t="s">
        <v>2440</v>
      </c>
      <c r="G93" s="28" t="s">
        <v>2440</v>
      </c>
      <c r="H93" s="28" t="s">
        <v>2440</v>
      </c>
      <c r="I93" s="28" t="str">
        <f>IFERROR(__xludf.DUMMYFUNCTION("GOOGLETRANSLATE(B92, ""th"", ""en"")"),"In which year was Sepak Takraw recognized as an official sport at the international level?")</f>
        <v>In which year was Sepak Takraw recognized as an official sport at the international level?</v>
      </c>
      <c r="J93" s="28" t="str">
        <f>IFERROR(__xludf.DUMMYFUNCTION("GOOGLETRANSLATE(C92, ""th"", ""en"")"),"A) 1965; B) 1970; C) 1980; D) 1990")</f>
        <v>A) 1965; B) 1970; C) 1980; D) 1990</v>
      </c>
      <c r="K93" s="28" t="str">
        <f>IFERROR(__xludf.DUMMYFUNCTION("GOOGLETRANSLATE(D92, ""th"", ""en"")"),"A) 1965")</f>
        <v>A) 1965</v>
      </c>
    </row>
    <row r="94" ht="14.25" customHeight="1">
      <c r="A94" s="27">
        <v>93.0</v>
      </c>
      <c r="B94" s="28" t="s">
        <v>3251</v>
      </c>
      <c r="C94" s="28" t="s">
        <v>3113</v>
      </c>
      <c r="D94" s="28" t="s">
        <v>3171</v>
      </c>
      <c r="E94" s="28" t="s">
        <v>3252</v>
      </c>
      <c r="F94" s="28" t="s">
        <v>2440</v>
      </c>
      <c r="G94" s="28" t="s">
        <v>2440</v>
      </c>
      <c r="H94" s="28" t="s">
        <v>2440</v>
      </c>
      <c r="I94" s="28" t="str">
        <f>IFERROR(__xludf.DUMMYFUNCTION("GOOGLETRANSLATE(B93, ""th"", ""en"")"),"In what year did the development of sepak takraw in Malaysia begin?")</f>
        <v>In what year did the development of sepak takraw in Malaysia begin?</v>
      </c>
      <c r="J94" s="28" t="str">
        <f>IFERROR(__xludf.DUMMYFUNCTION("GOOGLETRANSLATE(C93, ""th"", ""en"")"),"A) 1960; B) 1970; C) 1980; D) 1990")</f>
        <v>A) 1960; B) 1970; C) 1980; D) 1990</v>
      </c>
      <c r="K94" s="28" t="str">
        <f>IFERROR(__xludf.DUMMYFUNCTION("GOOGLETRANSLATE(D93, ""th"", ""en"")"),"B) 1970")</f>
        <v>B) 1970</v>
      </c>
    </row>
    <row r="95" ht="14.25" customHeight="1">
      <c r="A95" s="27">
        <v>94.0</v>
      </c>
      <c r="B95" s="28" t="s">
        <v>3253</v>
      </c>
      <c r="C95" s="28" t="s">
        <v>3254</v>
      </c>
      <c r="D95" s="28" t="s">
        <v>3255</v>
      </c>
      <c r="E95" s="28" t="s">
        <v>3256</v>
      </c>
      <c r="F95" s="28" t="s">
        <v>2440</v>
      </c>
      <c r="G95" s="28" t="s">
        <v>2440</v>
      </c>
      <c r="H95" s="28" t="s">
        <v>2440</v>
      </c>
      <c r="I95" s="28" t="str">
        <f>IFERROR(__xludf.DUMMYFUNCTION("GOOGLETRANSLATE(B94, ""th"", ""en"")"),"In what year did Sepak Takraw begin to gain international recognition?")</f>
        <v>In what year did Sepak Takraw begin to gain international recognition?</v>
      </c>
      <c r="J95" s="28" t="str">
        <f>IFERROR(__xludf.DUMMYFUNCTION("GOOGLETRANSLATE(C94, ""th"", ""en"")"),"A) 1960; B) 1970; C) 1980; D) 1990")</f>
        <v>A) 1960; B) 1970; C) 1980; D) 1990</v>
      </c>
      <c r="K95" s="28" t="str">
        <f>IFERROR(__xludf.DUMMYFUNCTION("GOOGLETRANSLATE(D94, ""th"", ""en"")"),"A) 1960")</f>
        <v>A) 1960</v>
      </c>
    </row>
    <row r="96" ht="14.25" customHeight="1">
      <c r="A96" s="27">
        <v>95.0</v>
      </c>
      <c r="B96" s="28" t="s">
        <v>3257</v>
      </c>
      <c r="C96" s="28" t="s">
        <v>3201</v>
      </c>
      <c r="D96" s="28" t="s">
        <v>2992</v>
      </c>
      <c r="E96" s="28" t="s">
        <v>3258</v>
      </c>
      <c r="F96" s="28" t="s">
        <v>2440</v>
      </c>
      <c r="G96" s="28" t="s">
        <v>2440</v>
      </c>
      <c r="H96" s="28" t="s">
        <v>2440</v>
      </c>
      <c r="I96" s="28" t="str">
        <f>IFERROR(__xludf.DUMMYFUNCTION("GOOGLETRANSLATE(B95, ""th"", ""en"")"),"In what year was Sepak Takraw developed in Southeast Asia?")</f>
        <v>In what year was Sepak Takraw developed in Southeast Asia?</v>
      </c>
      <c r="J96" s="28" t="str">
        <f>IFERROR(__xludf.DUMMYFUNCTION("GOOGLETRANSLATE(C95, ""th"", ""en"")"),"A) 1960-1970; B) 1970-1980; C) 1980-1990; D) 1990-2000")</f>
        <v>A) 1960-1970; B) 1970-1980; C) 1980-1990; D) 1990-2000</v>
      </c>
      <c r="K96" s="28" t="str">
        <f>IFERROR(__xludf.DUMMYFUNCTION("GOOGLETRANSLATE(D95, ""th"", ""en"")"),"A) 1960-1970")</f>
        <v>A) 1960-1970</v>
      </c>
    </row>
    <row r="97" ht="14.25" customHeight="1">
      <c r="A97" s="27">
        <v>96.0</v>
      </c>
      <c r="B97" s="28" t="s">
        <v>3259</v>
      </c>
      <c r="C97" s="28" t="s">
        <v>3260</v>
      </c>
      <c r="D97" s="28" t="s">
        <v>3261</v>
      </c>
      <c r="E97" s="28" t="s">
        <v>3262</v>
      </c>
      <c r="F97" s="28" t="s">
        <v>2440</v>
      </c>
      <c r="G97" s="28" t="s">
        <v>2440</v>
      </c>
      <c r="H97" s="28" t="s">
        <v>2440</v>
      </c>
      <c r="I97" s="28" t="str">
        <f>IFERROR(__xludf.DUMMYFUNCTION("GOOGLETRANSLATE(B96, ""th"", ""en"")"),"When did sepak takraw become popular in Thailand?")</f>
        <v>When did sepak takraw become popular in Thailand?</v>
      </c>
      <c r="J97" s="28" t="str">
        <f>IFERROR(__xludf.DUMMYFUNCTION("GOOGLETRANSLATE(C96, ""th"", ""en"")"),"A) 1950; B) 1960; C) 1970; D) 1980")</f>
        <v>A) 1950; B) 1960; C) 1970; D) 1980</v>
      </c>
      <c r="K97" s="28" t="str">
        <f>IFERROR(__xludf.DUMMYFUNCTION("GOOGLETRANSLATE(D96, ""th"", ""en"")"),"B) 1960")</f>
        <v>B) 1960</v>
      </c>
    </row>
    <row r="98" ht="14.25" customHeight="1">
      <c r="A98" s="27">
        <v>97.0</v>
      </c>
      <c r="B98" s="28" t="s">
        <v>3263</v>
      </c>
      <c r="C98" s="28" t="s">
        <v>3134</v>
      </c>
      <c r="D98" s="28" t="s">
        <v>3264</v>
      </c>
      <c r="E98" s="28" t="s">
        <v>3265</v>
      </c>
      <c r="F98" s="28" t="s">
        <v>2440</v>
      </c>
      <c r="G98" s="28" t="s">
        <v>2440</v>
      </c>
      <c r="H98" s="28" t="s">
        <v>2440</v>
      </c>
      <c r="I98" s="28" t="str">
        <f>IFERROR(__xludf.DUMMYFUNCTION("GOOGLETRANSLATE(B97, ""th"", ""en"")"),"In the past, how was Sepak Takraw played?")</f>
        <v>In the past, how was Sepak Takraw played?</v>
      </c>
      <c r="J98" s="28" t="str">
        <f>IFERROR(__xludf.DUMMYFUNCTION("GOOGLETRANSLATE(C97, ""th"", ""en"")"),"A) playing on a grass field; B) playing on a dirt field; C) playing on a cement field; D) playing on a sand field")</f>
        <v>A) playing on a grass field; B) playing on a dirt field; C) playing on a cement field; D) playing on a sand field</v>
      </c>
      <c r="K98" s="28" t="str">
        <f>IFERROR(__xludf.DUMMYFUNCTION("GOOGLETRANSLATE(D97, ""th"", ""en"")"),"A) Playing in the grass")</f>
        <v>A) Playing in the grass</v>
      </c>
    </row>
    <row r="99" ht="14.25" customHeight="1">
      <c r="A99" s="27">
        <v>98.0</v>
      </c>
      <c r="B99" s="28" t="s">
        <v>3266</v>
      </c>
      <c r="C99" s="28" t="s">
        <v>3267</v>
      </c>
      <c r="D99" s="28" t="s">
        <v>3268</v>
      </c>
      <c r="E99" s="28" t="s">
        <v>3269</v>
      </c>
      <c r="F99" s="28" t="s">
        <v>2440</v>
      </c>
      <c r="G99" s="28" t="s">
        <v>2440</v>
      </c>
      <c r="H99" s="28" t="s">
        <v>2440</v>
      </c>
      <c r="I99" s="28" t="str">
        <f>IFERROR(__xludf.DUMMYFUNCTION("GOOGLETRANSLATE(B98, ""th"", ""en"")"),"Which organization sponsored sepak takraw in 1970?")</f>
        <v>Which organization sponsored sepak takraw in 1970?</v>
      </c>
      <c r="J99" s="28" t="str">
        <f>IFERROR(__xludf.DUMMYFUNCTION("GOOGLETRANSLATE(C98, ""th"", ""en"")"),"A) Asian Sports Federation; B) International Sepak Takraw Federation (ISTAF); C) FIFA World Cup; D) General Sports Association")</f>
        <v>A) Asian Sports Federation; B) International Sepak Takraw Federation (ISTAF); C) FIFA World Cup; D) General Sports Association</v>
      </c>
      <c r="K99" s="28" t="str">
        <f>IFERROR(__xludf.DUMMYFUNCTION("GOOGLETRANSLATE(D98, ""th"", ""en"")"),"B) International Sepak Takraw Federation (ISTAF)")</f>
        <v>B) International Sepak Takraw Federation (ISTAF)</v>
      </c>
    </row>
    <row r="100" ht="14.25" customHeight="1">
      <c r="A100" s="27">
        <v>99.0</v>
      </c>
      <c r="B100" s="28" t="s">
        <v>3270</v>
      </c>
      <c r="C100" s="28" t="s">
        <v>3226</v>
      </c>
      <c r="D100" s="28" t="s">
        <v>3088</v>
      </c>
      <c r="E100" s="28" t="s">
        <v>3271</v>
      </c>
      <c r="F100" s="28" t="s">
        <v>2440</v>
      </c>
      <c r="G100" s="28" t="s">
        <v>2440</v>
      </c>
      <c r="H100" s="28" t="s">
        <v>2440</v>
      </c>
      <c r="I100" s="28" t="str">
        <f>IFERROR(__xludf.DUMMYFUNCTION("GOOGLETRANSLATE(B99, ""th"", ""en"")"),"The use of rattan balls in sepak takraw began to be replaced by what material in the 1980s?")</f>
        <v>The use of rattan balls in sepak takraw began to be replaced by what material in the 1980s?</v>
      </c>
      <c r="J100" s="28" t="str">
        <f>IFERROR(__xludf.DUMMYFUNCTION("GOOGLETRANSLATE(C99, ""th"", ""en"")"),"A) Plastic basket; B) Wooden basket; C) Metal basket; D) Basket made from natural materials")</f>
        <v>A) Plastic basket; B) Wooden basket; C) Metal basket; D) Basket made from natural materials</v>
      </c>
      <c r="K100" s="28" t="str">
        <f>IFERROR(__xludf.DUMMYFUNCTION("GOOGLETRANSLATE(D99, ""th"", ""en"")"),"A) Plastic basket")</f>
        <v>A) Plastic basket</v>
      </c>
    </row>
    <row r="101" ht="14.25" customHeight="1">
      <c r="A101" s="27">
        <v>100.0</v>
      </c>
      <c r="B101" s="28" t="s">
        <v>3272</v>
      </c>
      <c r="C101" s="28" t="s">
        <v>3046</v>
      </c>
      <c r="D101" s="28" t="s">
        <v>1705</v>
      </c>
      <c r="E101" s="28" t="s">
        <v>3273</v>
      </c>
      <c r="F101" s="28" t="s">
        <v>2440</v>
      </c>
      <c r="G101" s="28" t="s">
        <v>2440</v>
      </c>
      <c r="H101" s="28" t="s">
        <v>2440</v>
      </c>
      <c r="I101" s="28" t="str">
        <f>IFERROR(__xludf.DUMMYFUNCTION("GOOGLETRANSLATE(B100, ""th"", ""en"")"),"Where were international sepak takraw competitions held in the 1990s?")</f>
        <v>Where were international sepak takraw competitions held in the 1990s?</v>
      </c>
      <c r="J101" s="28" t="str">
        <f>IFERROR(__xludf.DUMMYFUNCTION("GOOGLETRANSLATE(C100, ""th"", ""en"")"),"A) Malaysia; B) Thailand; C) Indonesia; D) Singapore")</f>
        <v>A) Malaysia; B) Thailand; C) Indonesia; D) Singapore</v>
      </c>
      <c r="K101" s="28" t="str">
        <f>IFERROR(__xludf.DUMMYFUNCTION("GOOGLETRANSLATE(D100, ""th"", ""en"")"),"A) Malaysia")</f>
        <v>A) Malaysia</v>
      </c>
    </row>
    <row r="102" ht="14.25" customHeight="1">
      <c r="A102" s="27">
        <v>101.0</v>
      </c>
      <c r="B102" s="28" t="s">
        <v>3274</v>
      </c>
      <c r="C102" s="28" t="s">
        <v>3275</v>
      </c>
      <c r="D102" s="28" t="s">
        <v>3276</v>
      </c>
      <c r="E102" s="28" t="s">
        <v>3277</v>
      </c>
      <c r="F102" s="28" t="s">
        <v>3278</v>
      </c>
      <c r="G102" s="28"/>
      <c r="H102" s="28"/>
      <c r="I102" s="28" t="str">
        <f>IFERROR(__xludf.DUMMYFUNCTION("GOOGLETRANSLATE(B101, ""th"", ""en"")"),"Which country won the gold medal in sepak takraw at the 1982 Asian Games?")</f>
        <v>Which country won the gold medal in sepak takraw at the 1982 Asian Games?</v>
      </c>
      <c r="J102" s="28" t="str">
        <f>IFERROR(__xludf.DUMMYFUNCTION("GOOGLETRANSLATE(C101, ""th"", ""en"")"),"A) Thailand; B) Malaysia; C) Indonesia; D) Singapore")</f>
        <v>A) Thailand; B) Malaysia; C) Indonesia; D) Singapore</v>
      </c>
      <c r="K102" s="28" t="str">
        <f>IFERROR(__xludf.DUMMYFUNCTION("GOOGLETRANSLATE(D101, ""th"", ""en"")"),"A) Thai")</f>
        <v>A) Thai</v>
      </c>
    </row>
    <row r="103" ht="14.25" customHeight="1">
      <c r="A103" s="27">
        <v>102.0</v>
      </c>
      <c r="B103" s="28" t="s">
        <v>3279</v>
      </c>
      <c r="C103" s="28" t="s">
        <v>3280</v>
      </c>
      <c r="D103" s="28" t="s">
        <v>2965</v>
      </c>
      <c r="E103" s="28" t="s">
        <v>3136</v>
      </c>
      <c r="F103" s="28" t="s">
        <v>2440</v>
      </c>
      <c r="G103" s="28" t="s">
        <v>2440</v>
      </c>
      <c r="H103" s="28" t="s">
        <v>2440</v>
      </c>
      <c r="I103" s="28" t="str">
        <f>IFERROR(__xludf.DUMMYFUNCTION("GOOGLETRANSLATE(B102, ""th"", ""en"")"),"Where was the sepak takraw competition held at the 1990 Asian Games?")</f>
        <v>Where was the sepak takraw competition held at the 1990 Asian Games?</v>
      </c>
      <c r="J103" s="28" t="str">
        <f>IFERROR(__xludf.DUMMYFUNCTION("GOOGLETRANSLATE(C102, ""th"", ""en"")"),"A) Bangkok, Thailand; B) Seoul, South Korea; C) Jakarta, Indonesia; D) Manila, Philippines")</f>
        <v>A) Bangkok, Thailand; B) Seoul, South Korea; C) Jakarta, Indonesia; D) Manila, Philippines</v>
      </c>
      <c r="K103" s="28" t="str">
        <f>IFERROR(__xludf.DUMMYFUNCTION("GOOGLETRANSLATE(D102, ""th"", ""en"")"),"A) Bangkok, Thailand")</f>
        <v>A) Bangkok, Thailand</v>
      </c>
    </row>
    <row r="104" ht="14.25" customHeight="1">
      <c r="A104" s="27">
        <v>103.0</v>
      </c>
      <c r="B104" s="28" t="s">
        <v>3281</v>
      </c>
      <c r="C104" s="28" t="s">
        <v>3244</v>
      </c>
      <c r="D104" s="28" t="s">
        <v>1073</v>
      </c>
      <c r="E104" s="28" t="s">
        <v>3282</v>
      </c>
      <c r="F104" s="28" t="s">
        <v>2440</v>
      </c>
      <c r="G104" s="28" t="s">
        <v>2440</v>
      </c>
      <c r="H104" s="28" t="s">
        <v>2440</v>
      </c>
      <c r="I104" s="28" t="str">
        <f>IFERROR(__xludf.DUMMYFUNCTION("GOOGLETRANSLATE(B103, ""th"", ""en"")"),"In which year was the first sepak takraw competition held at the SEA Games?")</f>
        <v>In which year was the first sepak takraw competition held at the SEA Games?</v>
      </c>
      <c r="J104" s="28" t="str">
        <f>IFERROR(__xludf.DUMMYFUNCTION("GOOGLETRANSLATE(C103, ""th"", ""en"")"),"A) 1965; B) 1975; C) 1985; D) 1995")</f>
        <v>A) 1965; B) 1975; C) 1985; D) 1995</v>
      </c>
      <c r="K104" s="28" t="str">
        <f>IFERROR(__xludf.DUMMYFUNCTION("GOOGLETRANSLATE(D103, ""th"", ""en"")"),"A) 1965")</f>
        <v>A) 1965</v>
      </c>
    </row>
    <row r="105" ht="14.25" customHeight="1">
      <c r="A105" s="27">
        <v>104.0</v>
      </c>
      <c r="B105" s="28" t="s">
        <v>3283</v>
      </c>
      <c r="C105" s="28" t="s">
        <v>2972</v>
      </c>
      <c r="D105" s="28" t="s">
        <v>2925</v>
      </c>
      <c r="E105" s="28" t="s">
        <v>3284</v>
      </c>
      <c r="F105" s="28" t="s">
        <v>2440</v>
      </c>
      <c r="G105" s="28" t="s">
        <v>2440</v>
      </c>
      <c r="H105" s="28" t="s">
        <v>2440</v>
      </c>
      <c r="I105" s="28" t="str">
        <f>IFERROR(__xludf.DUMMYFUNCTION("GOOGLETRANSLATE(B104, ""th"", ""en"")"),"In which year did sepak takraw become an internationally recognized sport?")</f>
        <v>In which year did sepak takraw become an internationally recognized sport?</v>
      </c>
      <c r="J105" s="28" t="str">
        <f>IFERROR(__xludf.DUMMYFUNCTION("GOOGLETRANSLATE(C104, ""th"", ""en"")"),"A) 1965; B) 1970; C) 1980; D) 1990")</f>
        <v>A) 1965; B) 1970; C) 1980; D) 1990</v>
      </c>
      <c r="K105" s="28" t="str">
        <f>IFERROR(__xludf.DUMMYFUNCTION("GOOGLETRANSLATE(D104, ""th"", ""en"")"),"B) 1970")</f>
        <v>B) 1970</v>
      </c>
    </row>
    <row r="106" ht="14.25" customHeight="1">
      <c r="A106" s="27">
        <v>105.0</v>
      </c>
      <c r="B106" s="28" t="s">
        <v>3285</v>
      </c>
      <c r="C106" s="28" t="s">
        <v>3124</v>
      </c>
      <c r="D106" s="28" t="s">
        <v>3088</v>
      </c>
      <c r="E106" s="28" t="s">
        <v>3286</v>
      </c>
      <c r="F106" s="28" t="s">
        <v>2440</v>
      </c>
      <c r="G106" s="28" t="s">
        <v>2440</v>
      </c>
      <c r="H106" s="28" t="s">
        <v>2440</v>
      </c>
      <c r="I106" s="28" t="str">
        <f>IFERROR(__xludf.DUMMYFUNCTION("GOOGLETRANSLATE(B105, ""th"", ""en"")"),"In which country did Sepak Takraw begin to develop first?")</f>
        <v>In which country did Sepak Takraw begin to develop first?</v>
      </c>
      <c r="J106" s="28" t="str">
        <f>IFERROR(__xludf.DUMMYFUNCTION("GOOGLETRANSLATE(C105, ""th"", ""en"")"),"A) Thailand; B) Malaysia; C) Indonesia; D) Philippines")</f>
        <v>A) Thailand; B) Malaysia; C) Indonesia; D) Philippines</v>
      </c>
      <c r="K106" s="28" t="str">
        <f>IFERROR(__xludf.DUMMYFUNCTION("GOOGLETRANSLATE(D105, ""th"", ""en"")"),"B) Malaysia")</f>
        <v>B) Malaysia</v>
      </c>
    </row>
    <row r="107" ht="14.25" customHeight="1">
      <c r="A107" s="27">
        <v>106.0</v>
      </c>
      <c r="B107" s="28" t="s">
        <v>3287</v>
      </c>
      <c r="C107" s="28" t="s">
        <v>2987</v>
      </c>
      <c r="D107" s="28" t="s">
        <v>3217</v>
      </c>
      <c r="E107" s="28" t="s">
        <v>3288</v>
      </c>
      <c r="F107" s="28" t="s">
        <v>2440</v>
      </c>
      <c r="G107" s="28" t="s">
        <v>2440</v>
      </c>
      <c r="H107" s="28" t="s">
        <v>2440</v>
      </c>
      <c r="I107" s="28" t="str">
        <f>IFERROR(__xludf.DUMMYFUNCTION("GOOGLETRANSLATE(B106, ""th"", ""en"")"),"Where was the 1970 World Sepak Takraw Championship held?")</f>
        <v>Where was the 1970 World Sepak Takraw Championship held?</v>
      </c>
      <c r="J107" s="28" t="str">
        <f>IFERROR(__xludf.DUMMYFUNCTION("GOOGLETRANSLATE(C106, ""th"", ""en"")"),"A) Malaysia; B) Singapore; C) Thailand; D) Indonesia")</f>
        <v>A) Malaysia; B) Singapore; C) Thailand; D) Indonesia</v>
      </c>
      <c r="K107" s="28" t="str">
        <f>IFERROR(__xludf.DUMMYFUNCTION("GOOGLETRANSLATE(D106, ""th"", ""en"")"),"A) Malaysia")</f>
        <v>A) Malaysia</v>
      </c>
    </row>
    <row r="108" ht="14.25" customHeight="1">
      <c r="A108" s="27">
        <v>107.0</v>
      </c>
      <c r="B108" s="28" t="s">
        <v>3289</v>
      </c>
      <c r="C108" s="28" t="s">
        <v>2956</v>
      </c>
      <c r="D108" s="28" t="s">
        <v>2925</v>
      </c>
      <c r="E108" s="28" t="s">
        <v>3290</v>
      </c>
      <c r="F108" s="28" t="s">
        <v>2440</v>
      </c>
      <c r="G108" s="28" t="s">
        <v>2440</v>
      </c>
      <c r="H108" s="28" t="s">
        <v>2440</v>
      </c>
      <c r="I108" s="28" t="str">
        <f>IFERROR(__xludf.DUMMYFUNCTION("GOOGLETRANSLATE(B107, ""th"", ""en"")"),"When was sepak takraw recognized by the Asian Sports Federation?")</f>
        <v>When was sepak takraw recognized by the Asian Sports Federation?</v>
      </c>
      <c r="J108" s="28" t="str">
        <f>IFERROR(__xludf.DUMMYFUNCTION("GOOGLETRANSLATE(C107, ""th"", ""en"")"),"A) 1970; B) 1980; C) 1990; D) 2000")</f>
        <v>A) 1970; B) 1980; C) 1990; D) 2000</v>
      </c>
      <c r="K108" s="28" t="str">
        <f>IFERROR(__xludf.DUMMYFUNCTION("GOOGLETRANSLATE(D107, ""th"", ""en"")"),"A) 1970")</f>
        <v>A) 1970</v>
      </c>
    </row>
    <row r="109" ht="14.25" customHeight="1">
      <c r="A109" s="27">
        <v>108.0</v>
      </c>
      <c r="B109" s="28" t="s">
        <v>3291</v>
      </c>
      <c r="C109" s="28" t="s">
        <v>1225</v>
      </c>
      <c r="D109" s="28" t="s">
        <v>3292</v>
      </c>
      <c r="E109" s="28" t="s">
        <v>3293</v>
      </c>
      <c r="F109" s="28" t="s">
        <v>2440</v>
      </c>
      <c r="G109" s="28" t="s">
        <v>2440</v>
      </c>
      <c r="H109" s="28" t="s">
        <v>2440</v>
      </c>
      <c r="I109" s="28" t="str">
        <f>IFERROR(__xludf.DUMMYFUNCTION("GOOGLETRANSLATE(B108, ""th"", ""en"")"),"Which country hosted the first international sepak takraw competition?")</f>
        <v>Which country hosted the first international sepak takraw competition?</v>
      </c>
      <c r="J109" s="28" t="str">
        <f>IFERROR(__xludf.DUMMYFUNCTION("GOOGLETRANSLATE(C108, ""th"", ""en"")"),"A) Thailand; B) Malaysia; C) Singapore; D) Indonesia")</f>
        <v>A) Thailand; B) Malaysia; C) Singapore; D) Indonesia</v>
      </c>
      <c r="K109" s="28" t="str">
        <f>IFERROR(__xludf.DUMMYFUNCTION("GOOGLETRANSLATE(D108, ""th"", ""en"")"),"B) Malaysia")</f>
        <v>B) Malaysia</v>
      </c>
    </row>
    <row r="110" ht="14.25" customHeight="1">
      <c r="A110" s="27">
        <v>109.0</v>
      </c>
      <c r="B110" s="28" t="s">
        <v>3294</v>
      </c>
      <c r="C110" s="28" t="s">
        <v>3237</v>
      </c>
      <c r="D110" s="28" t="s">
        <v>3238</v>
      </c>
      <c r="E110" s="28" t="s">
        <v>3295</v>
      </c>
      <c r="F110" s="28" t="s">
        <v>2440</v>
      </c>
      <c r="G110" s="28" t="s">
        <v>2440</v>
      </c>
      <c r="H110" s="28" t="s">
        <v>2440</v>
      </c>
      <c r="I110" s="28" t="str">
        <f>IFERROR(__xludf.DUMMYFUNCTION("GOOGLETRANSLATE(B109, ""th"", ""en"")"),"In which year was Sepak Takraw recognized as an official sport in Thailand?")</f>
        <v>In which year was Sepak Takraw recognized as an official sport in Thailand?</v>
      </c>
      <c r="J110" s="28" t="str">
        <f>IFERROR(__xludf.DUMMYFUNCTION("GOOGLETRANSLATE(C109, ""th"", ""en"")"),"A) 1950; B) 1960; C) 1970; D) 1980")</f>
        <v>A) 1950; B) 1960; C) 1970; D) 1980</v>
      </c>
      <c r="K110" s="28" t="str">
        <f>IFERROR(__xludf.DUMMYFUNCTION("GOOGLETRANSLATE(D109, ""th"", ""en"")"),"B) 1960")</f>
        <v>B) 1960</v>
      </c>
    </row>
    <row r="111" ht="14.25" customHeight="1">
      <c r="A111" s="27">
        <v>110.0</v>
      </c>
      <c r="B111" s="28" t="s">
        <v>3296</v>
      </c>
      <c r="C111" s="28" t="s">
        <v>3046</v>
      </c>
      <c r="D111" s="28" t="s">
        <v>1705</v>
      </c>
      <c r="E111" s="28" t="s">
        <v>3297</v>
      </c>
      <c r="F111" s="28" t="s">
        <v>2440</v>
      </c>
      <c r="G111" s="28" t="s">
        <v>2440</v>
      </c>
      <c r="H111" s="28" t="s">
        <v>2440</v>
      </c>
      <c r="I111" s="28" t="str">
        <f>IFERROR(__xludf.DUMMYFUNCTION("GOOGLETRANSLATE(B110, ""th"", ""en"")"),"In which year was the first sepak takraw competition held at the Asian Games?")</f>
        <v>In which year was the first sepak takraw competition held at the Asian Games?</v>
      </c>
      <c r="J111" s="28" t="str">
        <f>IFERROR(__xludf.DUMMYFUNCTION("GOOGLETRANSLATE(C110, ""th"", ""en"")"),"A) 1982; B) 1986; C) 1990; D) 1994")</f>
        <v>A) 1982; B) 1986; C) 1990; D) 1994</v>
      </c>
      <c r="K111" s="28" t="str">
        <f>IFERROR(__xludf.DUMMYFUNCTION("GOOGLETRANSLATE(D110, ""th"", ""en"")"),"A) 1982")</f>
        <v>A) 1982</v>
      </c>
    </row>
    <row r="112" ht="14.25" customHeight="1">
      <c r="A112" s="27">
        <v>111.0</v>
      </c>
      <c r="B112" s="28" t="s">
        <v>3298</v>
      </c>
      <c r="C112" s="28" t="s">
        <v>3299</v>
      </c>
      <c r="D112" s="28" t="s">
        <v>3300</v>
      </c>
      <c r="E112" s="28" t="s">
        <v>3301</v>
      </c>
      <c r="F112" s="28" t="s">
        <v>2440</v>
      </c>
      <c r="G112" s="28" t="s">
        <v>2440</v>
      </c>
      <c r="H112" s="28" t="s">
        <v>2440</v>
      </c>
      <c r="I112" s="28" t="str">
        <f>IFERROR(__xludf.DUMMYFUNCTION("GOOGLETRANSLATE(B111, ""th"", ""en"")"),"Which country hosted the World Sepak Takraw Championship in 1980?")</f>
        <v>Which country hosted the World Sepak Takraw Championship in 1980?</v>
      </c>
      <c r="J112" s="28" t="str">
        <f>IFERROR(__xludf.DUMMYFUNCTION("GOOGLETRANSLATE(C111, ""th"", ""en"")"),"A) Thailand; B) Malaysia; C) Indonesia; D) Singapore")</f>
        <v>A) Thailand; B) Malaysia; C) Indonesia; D) Singapore</v>
      </c>
      <c r="K112" s="28" t="str">
        <f>IFERROR(__xludf.DUMMYFUNCTION("GOOGLETRANSLATE(D111, ""th"", ""en"")"),"A) Thai")</f>
        <v>A) Thai</v>
      </c>
    </row>
    <row r="113" ht="14.25" customHeight="1">
      <c r="A113" s="27">
        <v>112.0</v>
      </c>
      <c r="B113" s="28" t="s">
        <v>3212</v>
      </c>
      <c r="C113" s="28" t="s">
        <v>3237</v>
      </c>
      <c r="D113" s="28" t="s">
        <v>3238</v>
      </c>
      <c r="E113" s="28" t="s">
        <v>3302</v>
      </c>
      <c r="F113" s="28" t="s">
        <v>2440</v>
      </c>
      <c r="G113" s="28" t="s">
        <v>2440</v>
      </c>
      <c r="H113" s="28" t="s">
        <v>2440</v>
      </c>
      <c r="I113" s="28" t="str">
        <f>IFERROR(__xludf.DUMMYFUNCTION("GOOGLETRANSLATE(B112, ""th"", ""en"")"),"In which year was the second SEA Games sepak takraw competition held?")</f>
        <v>In which year was the second SEA Games sepak takraw competition held?</v>
      </c>
      <c r="J113" s="28" t="str">
        <f>IFERROR(__xludf.DUMMYFUNCTION("GOOGLETRANSLATE(C112, ""th"", ""en"")"),"A) 1970; B) 1975; C) 1980; D) 1985")</f>
        <v>A) 1970; B) 1975; C) 1980; D) 1985</v>
      </c>
      <c r="K113" s="28" t="str">
        <f>IFERROR(__xludf.DUMMYFUNCTION("GOOGLETRANSLATE(D112, ""th"", ""en"")"),"B) 1975")</f>
        <v>B) 1975</v>
      </c>
    </row>
    <row r="114" ht="14.25" customHeight="1">
      <c r="A114" s="27">
        <v>113.0</v>
      </c>
      <c r="B114" s="28" t="s">
        <v>3303</v>
      </c>
      <c r="C114" s="28" t="s">
        <v>3299</v>
      </c>
      <c r="D114" s="28" t="s">
        <v>3304</v>
      </c>
      <c r="E114" s="28" t="s">
        <v>3305</v>
      </c>
      <c r="F114" s="28" t="s">
        <v>2440</v>
      </c>
      <c r="G114" s="28" t="s">
        <v>2440</v>
      </c>
      <c r="H114" s="28" t="s">
        <v>2440</v>
      </c>
      <c r="I114" s="28" t="str">
        <f>IFERROR(__xludf.DUMMYFUNCTION("GOOGLETRANSLATE(B113, ""th"", ""en"")"),"In which year was sepak takraw recognized as a sport at the Asian Games?")</f>
        <v>In which year was sepak takraw recognized as a sport at the Asian Games?</v>
      </c>
      <c r="J114" s="28" t="str">
        <f>IFERROR(__xludf.DUMMYFUNCTION("GOOGLETRANSLATE(C113, ""th"", ""en"")"),"A) 1982; B) 1986; C) 1990; D) 1994")</f>
        <v>A) 1982; B) 1986; C) 1990; D) 1994</v>
      </c>
      <c r="K114" s="28" t="str">
        <f>IFERROR(__xludf.DUMMYFUNCTION("GOOGLETRANSLATE(D113, ""th"", ""en"")"),"A) 1982")</f>
        <v>A) 1982</v>
      </c>
    </row>
    <row r="115" ht="14.25" customHeight="1">
      <c r="A115" s="27">
        <v>114.0</v>
      </c>
      <c r="B115" s="28" t="s">
        <v>3306</v>
      </c>
      <c r="C115" s="28" t="s">
        <v>3307</v>
      </c>
      <c r="D115" s="28" t="s">
        <v>3308</v>
      </c>
      <c r="E115" s="28" t="s">
        <v>3309</v>
      </c>
      <c r="F115" s="28" t="s">
        <v>2440</v>
      </c>
      <c r="G115" s="28" t="s">
        <v>2440</v>
      </c>
      <c r="H115" s="28" t="s">
        <v>2440</v>
      </c>
      <c r="I115" s="28" t="str">
        <f>IFERROR(__xludf.DUMMYFUNCTION("GOOGLETRANSLATE(B114, ""th"", ""en"")"),"In which year was the first world sepak takraw competition held?")</f>
        <v>In which year was the first world sepak takraw competition held?</v>
      </c>
      <c r="J115" s="28" t="str">
        <f>IFERROR(__xludf.DUMMYFUNCTION("GOOGLETRANSLATE(C114, ""th"", ""en"")"),"A) 1970; B) 1975; C) 1980; D) 1985")</f>
        <v>A) 1970; B) 1975; C) 1980; D) 1985</v>
      </c>
      <c r="K115" s="28" t="str">
        <f>IFERROR(__xludf.DUMMYFUNCTION("GOOGLETRANSLATE(D114, ""th"", ""en"")"),"A) 1970")</f>
        <v>A) 1970</v>
      </c>
    </row>
    <row r="116" ht="14.25" customHeight="1">
      <c r="A116" s="27">
        <v>115.0</v>
      </c>
      <c r="B116" s="28" t="s">
        <v>3233</v>
      </c>
      <c r="C116" s="28" t="s">
        <v>3310</v>
      </c>
      <c r="D116" s="28" t="s">
        <v>3311</v>
      </c>
      <c r="E116" s="28" t="s">
        <v>3312</v>
      </c>
      <c r="F116" s="28" t="s">
        <v>2440</v>
      </c>
      <c r="G116" s="28" t="s">
        <v>2440</v>
      </c>
      <c r="H116" s="28" t="s">
        <v>2440</v>
      </c>
      <c r="I116" s="28" t="str">
        <f>IFERROR(__xludf.DUMMYFUNCTION("GOOGLETRANSLATE(B115, ""th"", ""en"")"),"Who developed sepak takraw in Thailand?")</f>
        <v>Who developed sepak takraw in Thailand?</v>
      </c>
      <c r="J116" s="28" t="str">
        <f>IFERROR(__xludf.DUMMYFUNCTION("GOOGLETRANSLATE(C115, ""th"", ""en"")"),"A) Sepak Takraw Association of Thailand; B) Asian Sports Federation; C) Football Association of Thailand; D) International Sepak Takraw Federation")</f>
        <v>A) Sepak Takraw Association of Thailand; B) Asian Sports Federation; C) Football Association of Thailand; D) International Sepak Takraw Federation</v>
      </c>
      <c r="K116" s="28" t="str">
        <f>IFERROR(__xludf.DUMMYFUNCTION("GOOGLETRANSLATE(D115, ""th"", ""en"")"),"A) Sepak Takraw Association of Thailand")</f>
        <v>A) Sepak Takraw Association of Thailand</v>
      </c>
    </row>
    <row r="117" ht="14.25" customHeight="1">
      <c r="A117" s="27">
        <v>116.0</v>
      </c>
      <c r="B117" s="28" t="s">
        <v>3313</v>
      </c>
      <c r="C117" s="28" t="s">
        <v>1225</v>
      </c>
      <c r="D117" s="28" t="s">
        <v>3292</v>
      </c>
      <c r="E117" s="28" t="s">
        <v>3314</v>
      </c>
      <c r="F117" s="28" t="s">
        <v>2440</v>
      </c>
      <c r="G117" s="28" t="s">
        <v>2440</v>
      </c>
      <c r="H117" s="28" t="s">
        <v>2440</v>
      </c>
      <c r="I117" s="28" t="str">
        <f>IFERROR(__xludf.DUMMYFUNCTION("GOOGLETRANSLATE(B116, ""th"", ""en"")"),"In which year did the sepak takraw competition at the Olympics take place?")</f>
        <v>In which year did the sepak takraw competition at the Olympics take place?</v>
      </c>
      <c r="J117" s="28" t="str">
        <f>IFERROR(__xludf.DUMMYFUNCTION("GOOGLETRANSLATE(C116, ""th"", ""en"")"),"A) There was no Olympic competition; B) 1984; C) 1992; D) 2000")</f>
        <v>A) There was no Olympic competition; B) 1984; C) 1992; D) 2000</v>
      </c>
      <c r="K117" s="28" t="str">
        <f>IFERROR(__xludf.DUMMYFUNCTION("GOOGLETRANSLATE(D116, ""th"", ""en"")"),"A) There is no Olympic competition.")</f>
        <v>A) There is no Olympic competition.</v>
      </c>
    </row>
    <row r="118" ht="14.25" customHeight="1">
      <c r="A118" s="27">
        <v>117.0</v>
      </c>
      <c r="B118" s="28" t="s">
        <v>3315</v>
      </c>
      <c r="C118" s="28" t="s">
        <v>1455</v>
      </c>
      <c r="D118" s="28" t="s">
        <v>1530</v>
      </c>
      <c r="E118" s="28" t="s">
        <v>3316</v>
      </c>
      <c r="F118" s="28" t="s">
        <v>2440</v>
      </c>
      <c r="G118" s="28" t="s">
        <v>2440</v>
      </c>
      <c r="H118" s="28" t="s">
        <v>2440</v>
      </c>
      <c r="I118" s="28" t="str">
        <f>IFERROR(__xludf.DUMMYFUNCTION("GOOGLETRANSLATE(B117, ""th"", ""en"")"),"In what year did the use of rattan sepak takraw begin?")</f>
        <v>In what year did the use of rattan sepak takraw begin?</v>
      </c>
      <c r="J118" s="28" t="str">
        <f>IFERROR(__xludf.DUMMYFUNCTION("GOOGLETRANSLATE(C117, ""th"", ""en"")"),"A) 1950; B) 1960; C) 1970; D) 1980")</f>
        <v>A) 1950; B) 1960; C) 1970; D) 1980</v>
      </c>
      <c r="K118" s="28" t="str">
        <f>IFERROR(__xludf.DUMMYFUNCTION("GOOGLETRANSLATE(D117, ""th"", ""en"")"),"B) 1960")</f>
        <v>B) 1960</v>
      </c>
    </row>
    <row r="119" ht="14.25" customHeight="1">
      <c r="A119" s="27">
        <v>118.0</v>
      </c>
      <c r="B119" s="28" t="s">
        <v>3317</v>
      </c>
      <c r="C119" s="28" t="s">
        <v>1455</v>
      </c>
      <c r="D119" s="28" t="s">
        <v>3304</v>
      </c>
      <c r="E119" s="28" t="s">
        <v>3318</v>
      </c>
      <c r="F119" s="28" t="s">
        <v>2440</v>
      </c>
      <c r="G119" s="28" t="s">
        <v>2440</v>
      </c>
      <c r="H119" s="28" t="s">
        <v>2440</v>
      </c>
      <c r="I119" s="28" t="str">
        <f>IFERROR(__xludf.DUMMYFUNCTION("GOOGLETRANSLATE(B118, ""th"", ""en"")"),"In what year did the use of plastic sepak takraw begin in competitions?")</f>
        <v>In what year did the use of plastic sepak takraw begin in competitions?</v>
      </c>
      <c r="J119" s="28" t="str">
        <f>IFERROR(__xludf.DUMMYFUNCTION("GOOGLETRANSLATE(C118, ""th"", ""en"")"),"A) 1970; B) 1980; C) 1990; D) 2000")</f>
        <v>A) 1970; B) 1980; C) 1990; D) 2000</v>
      </c>
      <c r="K119" s="28" t="str">
        <f>IFERROR(__xludf.DUMMYFUNCTION("GOOGLETRANSLATE(D118, ""th"", ""en"")"),"B) 1980")</f>
        <v>B) 1980</v>
      </c>
    </row>
    <row r="120" ht="14.25" customHeight="1">
      <c r="A120" s="27">
        <v>119.0</v>
      </c>
      <c r="B120" s="28" t="s">
        <v>3319</v>
      </c>
      <c r="C120" s="28" t="s">
        <v>3244</v>
      </c>
      <c r="D120" s="28" t="s">
        <v>3245</v>
      </c>
      <c r="E120" s="28" t="s">
        <v>3320</v>
      </c>
      <c r="F120" s="28" t="s">
        <v>2440</v>
      </c>
      <c r="G120" s="28" t="s">
        <v>2440</v>
      </c>
      <c r="H120" s="28" t="s">
        <v>2440</v>
      </c>
      <c r="I120" s="28" t="str">
        <f>IFERROR(__xludf.DUMMYFUNCTION("GOOGLETRANSLATE(B119, ""th"", ""en"")"),"When did sepak takraw become internationally recognized?")</f>
        <v>When did sepak takraw become internationally recognized?</v>
      </c>
      <c r="J120" s="28" t="str">
        <f>IFERROR(__xludf.DUMMYFUNCTION("GOOGLETRANSLATE(C119, ""th"", ""en"")"),"A) 1970; B) 1980; C) 1990; D) 2000")</f>
        <v>A) 1970; B) 1980; C) 1990; D) 2000</v>
      </c>
      <c r="K120" s="28" t="str">
        <f>IFERROR(__xludf.DUMMYFUNCTION("GOOGLETRANSLATE(D119, ""th"", ""en"")"),"A) 1970")</f>
        <v>A) 1970</v>
      </c>
    </row>
    <row r="121" ht="14.25" customHeight="1">
      <c r="A121" s="27">
        <v>120.0</v>
      </c>
      <c r="B121" s="28" t="s">
        <v>3321</v>
      </c>
      <c r="C121" s="28" t="s">
        <v>1455</v>
      </c>
      <c r="D121" s="28" t="s">
        <v>1530</v>
      </c>
      <c r="E121" s="28" t="s">
        <v>3322</v>
      </c>
      <c r="F121" s="28" t="s">
        <v>2440</v>
      </c>
      <c r="G121" s="28" t="s">
        <v>2440</v>
      </c>
      <c r="H121" s="28" t="s">
        <v>2440</v>
      </c>
      <c r="I121" s="28" t="str">
        <f>IFERROR(__xludf.DUMMYFUNCTION("GOOGLETRANSLATE(B120, ""th"", ""en"")"),"In which year was the first sepak takraw competition held at the SEA Games?")</f>
        <v>In which year was the first sepak takraw competition held at the SEA Games?</v>
      </c>
      <c r="J121" s="28" t="str">
        <f>IFERROR(__xludf.DUMMYFUNCTION("GOOGLETRANSLATE(C120, ""th"", ""en"")"),"A) 1965; B) 1970; C) 1980; D) 1990")</f>
        <v>A) 1965; B) 1970; C) 1980; D) 1990</v>
      </c>
      <c r="K121" s="28" t="str">
        <f>IFERROR(__xludf.DUMMYFUNCTION("GOOGLETRANSLATE(D120, ""th"", ""en"")"),"A) 1965")</f>
        <v>A) 1965</v>
      </c>
    </row>
    <row r="122" ht="14.25" customHeight="1">
      <c r="A122" s="27">
        <v>121.0</v>
      </c>
      <c r="B122" s="28" t="s">
        <v>3323</v>
      </c>
      <c r="C122" s="28" t="s">
        <v>3324</v>
      </c>
      <c r="D122" s="28" t="s">
        <v>3325</v>
      </c>
      <c r="E122" s="28" t="s">
        <v>3326</v>
      </c>
      <c r="F122" s="28" t="s">
        <v>2440</v>
      </c>
      <c r="G122" s="28" t="s">
        <v>2440</v>
      </c>
      <c r="H122" s="28" t="s">
        <v>2440</v>
      </c>
      <c r="I122" s="28" t="str">
        <f>IFERROR(__xludf.DUMMYFUNCTION("GOOGLETRANSLATE(B121, ""th"", ""en"")"),"In what year did the game of sepak takraw on grass courts begin to be played on concrete courts?")</f>
        <v>In what year did the game of sepak takraw on grass courts begin to be played on concrete courts?</v>
      </c>
      <c r="J122" s="28" t="str">
        <f>IFERROR(__xludf.DUMMYFUNCTION("GOOGLETRANSLATE(C121, ""th"", ""en"")"),"A) 1970; B) 1980; C) 1990; D) 2000")</f>
        <v>A) 1970; B) 1980; C) 1990; D) 2000</v>
      </c>
      <c r="K122" s="28" t="str">
        <f>IFERROR(__xludf.DUMMYFUNCTION("GOOGLETRANSLATE(D121, ""th"", ""en"")"),"B) 1980")</f>
        <v>B) 1980</v>
      </c>
    </row>
    <row r="123" ht="14.25" customHeight="1">
      <c r="A123" s="27">
        <v>122.0</v>
      </c>
      <c r="B123" s="28" t="s">
        <v>3327</v>
      </c>
      <c r="C123" s="28" t="s">
        <v>3046</v>
      </c>
      <c r="D123" s="28" t="s">
        <v>2925</v>
      </c>
      <c r="E123" s="28" t="s">
        <v>3328</v>
      </c>
      <c r="F123" s="28" t="s">
        <v>2440</v>
      </c>
      <c r="G123" s="28" t="s">
        <v>2440</v>
      </c>
      <c r="H123" s="28" t="s">
        <v>2440</v>
      </c>
      <c r="I123" s="28" t="str">
        <f>IFERROR(__xludf.DUMMYFUNCTION("GOOGLETRANSLATE(B122, ""th"", ""en"")"),"In which country is sepak takraw a popular sport?")</f>
        <v>In which country is sepak takraw a popular sport?</v>
      </c>
      <c r="J123" s="28" t="str">
        <f>IFERROR(__xludf.DUMMYFUNCTION("GOOGLETRANSLATE(C122, ""th"", ""en"")"),"A) Thailand; B) Malaysia; C) Indonesia; D) All countries in Southeast Asia")</f>
        <v>A) Thailand; B) Malaysia; C) Indonesia; D) All countries in Southeast Asia</v>
      </c>
      <c r="K123" s="28" t="str">
        <f>IFERROR(__xludf.DUMMYFUNCTION("GOOGLETRANSLATE(D122, ""th"", ""en"")"),"D) All countries in Southeast Asia")</f>
        <v>D) All countries in Southeast Asia</v>
      </c>
    </row>
    <row r="124" ht="14.25" customHeight="1">
      <c r="A124" s="27">
        <v>123.0</v>
      </c>
      <c r="B124" s="28" t="s">
        <v>3329</v>
      </c>
      <c r="C124" s="28" t="s">
        <v>3244</v>
      </c>
      <c r="D124" s="28" t="s">
        <v>3245</v>
      </c>
      <c r="E124" s="28" t="s">
        <v>3330</v>
      </c>
      <c r="F124" s="28" t="s">
        <v>2440</v>
      </c>
      <c r="G124" s="28" t="s">
        <v>2440</v>
      </c>
      <c r="H124" s="28" t="s">
        <v>2440</v>
      </c>
      <c r="I124" s="28" t="str">
        <f>IFERROR(__xludf.DUMMYFUNCTION("GOOGLETRANSLATE(B123, ""th"", ""en"")"),"Which country hosted the Sepak Takraw competition in 1990?")</f>
        <v>Which country hosted the Sepak Takraw competition in 1990?</v>
      </c>
      <c r="J124" s="28" t="str">
        <f>IFERROR(__xludf.DUMMYFUNCTION("GOOGLETRANSLATE(C123, ""th"", ""en"")"),"A) Thailand; B) Malaysia; C) Indonesia; D) Singapore")</f>
        <v>A) Thailand; B) Malaysia; C) Indonesia; D) Singapore</v>
      </c>
      <c r="K124" s="28" t="str">
        <f>IFERROR(__xludf.DUMMYFUNCTION("GOOGLETRANSLATE(D123, ""th"", ""en"")"),"B) Malaysia")</f>
        <v>B) Malaysia</v>
      </c>
    </row>
    <row r="125" ht="14.25" customHeight="1">
      <c r="A125" s="27">
        <v>124.0</v>
      </c>
      <c r="B125" s="28" t="s">
        <v>3331</v>
      </c>
      <c r="C125" s="28" t="s">
        <v>1072</v>
      </c>
      <c r="D125" s="28" t="s">
        <v>1073</v>
      </c>
      <c r="E125" s="28" t="s">
        <v>3332</v>
      </c>
      <c r="F125" s="28" t="s">
        <v>2440</v>
      </c>
      <c r="G125" s="28" t="s">
        <v>2440</v>
      </c>
      <c r="H125" s="28" t="s">
        <v>2440</v>
      </c>
      <c r="I125" s="28" t="str">
        <f>IFERROR(__xludf.DUMMYFUNCTION("GOOGLETRANSLATE(B124, ""th"", ""en"")"),"In which year was sepak takraw first included as a SEA Games sport?")</f>
        <v>In which year was sepak takraw first included as a SEA Games sport?</v>
      </c>
      <c r="J125" s="28" t="str">
        <f>IFERROR(__xludf.DUMMYFUNCTION("GOOGLETRANSLATE(C124, ""th"", ""en"")"),"A) 1965; B) 1970; C) 1980; D) 1990")</f>
        <v>A) 1965; B) 1970; C) 1980; D) 1990</v>
      </c>
      <c r="K125" s="28" t="str">
        <f>IFERROR(__xludf.DUMMYFUNCTION("GOOGLETRANSLATE(D124, ""th"", ""en"")"),"A) 1965")</f>
        <v>A) 1965</v>
      </c>
    </row>
    <row r="126" ht="14.25" customHeight="1">
      <c r="A126" s="27">
        <v>125.0</v>
      </c>
      <c r="B126" s="28" t="s">
        <v>3333</v>
      </c>
      <c r="C126" s="28" t="s">
        <v>1072</v>
      </c>
      <c r="D126" s="28" t="s">
        <v>1073</v>
      </c>
      <c r="E126" s="28" t="s">
        <v>3334</v>
      </c>
      <c r="F126" s="28" t="s">
        <v>2440</v>
      </c>
      <c r="G126" s="28" t="s">
        <v>2440</v>
      </c>
      <c r="H126" s="28" t="s">
        <v>2440</v>
      </c>
      <c r="I126" s="28" t="str">
        <f>IFERROR(__xludf.DUMMYFUNCTION("GOOGLETRANSLATE(B125, ""th"", ""en"")"),"In which year was Sepak Takraw recognized as an international team sport?")</f>
        <v>In which year was Sepak Takraw recognized as an international team sport?</v>
      </c>
      <c r="J126" s="28" t="str">
        <f>IFERROR(__xludf.DUMMYFUNCTION("GOOGLETRANSLATE(C125, ""th"", ""en"")"),"A) 1960; B) 1970; C) 1980; D) 1990")</f>
        <v>A) 1960; B) 1970; C) 1980; D) 1990</v>
      </c>
      <c r="K126" s="28" t="str">
        <f>IFERROR(__xludf.DUMMYFUNCTION("GOOGLETRANSLATE(D125, ""th"", ""en"")"),"B) 1970")</f>
        <v>B) 1970</v>
      </c>
    </row>
    <row r="127" ht="14.25" customHeight="1">
      <c r="A127" s="27">
        <v>126.0</v>
      </c>
      <c r="B127" s="28" t="s">
        <v>3335</v>
      </c>
      <c r="C127" s="28" t="s">
        <v>3226</v>
      </c>
      <c r="D127" s="28" t="s">
        <v>3088</v>
      </c>
      <c r="E127" s="28" t="s">
        <v>3336</v>
      </c>
      <c r="F127" s="28" t="s">
        <v>2440</v>
      </c>
      <c r="G127" s="28" t="s">
        <v>2440</v>
      </c>
      <c r="H127" s="28" t="s">
        <v>2440</v>
      </c>
      <c r="I127" s="28" t="str">
        <f>IFERROR(__xludf.DUMMYFUNCTION("GOOGLETRANSLATE(B126, ""th"", ""en"")"),"In what year did the development of sepak takraw in Thailand begin?")</f>
        <v>In what year did the development of sepak takraw in Thailand begin?</v>
      </c>
      <c r="J127" s="28" t="str">
        <f>IFERROR(__xludf.DUMMYFUNCTION("GOOGLETRANSLATE(C126, ""th"", ""en"")"),"A) 1960; B) 1970; C) 1980; D) 1990")</f>
        <v>A) 1960; B) 1970; C) 1980; D) 1990</v>
      </c>
      <c r="K127" s="28" t="str">
        <f>IFERROR(__xludf.DUMMYFUNCTION("GOOGLETRANSLATE(D126, ""th"", ""en"")"),"B) 1970")</f>
        <v>B) 1970</v>
      </c>
    </row>
    <row r="128" ht="14.25" customHeight="1">
      <c r="A128" s="27">
        <v>127.0</v>
      </c>
      <c r="B128" s="28" t="s">
        <v>3337</v>
      </c>
      <c r="C128" s="28" t="s">
        <v>1225</v>
      </c>
      <c r="D128" s="28" t="s">
        <v>3292</v>
      </c>
      <c r="E128" s="28" t="s">
        <v>3338</v>
      </c>
      <c r="F128" s="28" t="s">
        <v>2440</v>
      </c>
      <c r="G128" s="28" t="s">
        <v>2440</v>
      </c>
      <c r="H128" s="28" t="s">
        <v>2440</v>
      </c>
      <c r="I128" s="28" t="str">
        <f>IFERROR(__xludf.DUMMYFUNCTION("GOOGLETRANSLATE(B127, ""th"", ""en"")"),"Where was the international sepak takraw competition held in 1985?")</f>
        <v>Where was the international sepak takraw competition held in 1985?</v>
      </c>
      <c r="J128" s="28" t="str">
        <f>IFERROR(__xludf.DUMMYFUNCTION("GOOGLETRANSLATE(C127, ""th"", ""en"")"),"A) Malaysia; B) Thailand; C) Indonesia; D) Singapore")</f>
        <v>A) Malaysia; B) Thailand; C) Indonesia; D) Singapore</v>
      </c>
      <c r="K128" s="28" t="str">
        <f>IFERROR(__xludf.DUMMYFUNCTION("GOOGLETRANSLATE(D127, ""th"", ""en"")"),"A) Malaysia")</f>
        <v>A) Malaysia</v>
      </c>
    </row>
    <row r="129" ht="14.25" customHeight="1">
      <c r="A129" s="27">
        <v>128.0</v>
      </c>
      <c r="B129" s="28" t="s">
        <v>3339</v>
      </c>
      <c r="C129" s="28" t="s">
        <v>3340</v>
      </c>
      <c r="D129" s="28" t="s">
        <v>3341</v>
      </c>
      <c r="E129" s="28" t="s">
        <v>3342</v>
      </c>
      <c r="F129" s="28" t="s">
        <v>2440</v>
      </c>
      <c r="G129" s="28" t="s">
        <v>2440</v>
      </c>
      <c r="H129" s="28" t="s">
        <v>2440</v>
      </c>
      <c r="I129" s="28" t="str">
        <f>IFERROR(__xludf.DUMMYFUNCTION("GOOGLETRANSLATE(B128, ""th"", ""en"")"),"When did sepak takraw become popular in Thailand?")</f>
        <v>When did sepak takraw become popular in Thailand?</v>
      </c>
      <c r="J129" s="28" t="str">
        <f>IFERROR(__xludf.DUMMYFUNCTION("GOOGLETRANSLATE(C128, ""th"", ""en"")"),"A) 1950; B) 1960; C) 1970; D) 1980")</f>
        <v>A) 1950; B) 1960; C) 1970; D) 1980</v>
      </c>
      <c r="K129" s="28" t="str">
        <f>IFERROR(__xludf.DUMMYFUNCTION("GOOGLETRANSLATE(D128, ""th"", ""en"")"),"B) 1960")</f>
        <v>B) 1960</v>
      </c>
    </row>
    <row r="130" ht="14.25" customHeight="1">
      <c r="A130" s="27">
        <v>129.0</v>
      </c>
      <c r="B130" s="28" t="s">
        <v>3343</v>
      </c>
      <c r="C130" s="28" t="s">
        <v>3344</v>
      </c>
      <c r="D130" s="28" t="s">
        <v>134</v>
      </c>
      <c r="E130" s="28" t="s">
        <v>3345</v>
      </c>
      <c r="F130" s="28" t="s">
        <v>2440</v>
      </c>
      <c r="G130" s="28" t="s">
        <v>2440</v>
      </c>
      <c r="H130" s="28" t="s">
        <v>2440</v>
      </c>
      <c r="I130" s="28" t="str">
        <f>IFERROR(__xludf.DUMMYFUNCTION("GOOGLETRANSLATE(B129, ""th"", ""en"")"),"Which organization promotes sepak takraw in Thailand?")</f>
        <v>Which organization promotes sepak takraw in Thailand?</v>
      </c>
      <c r="J130" s="28" t="str">
        <f>IFERROR(__xludf.DUMMYFUNCTION("GOOGLETRANSLATE(C129, ""th"", ""en"")"),"A) Sepak Takraw Federation of Thailand; B) Football Federation of Thailand; C) Sports Association of Thailand; D) Asian Sports Federation")</f>
        <v>A) Sepak Takraw Federation of Thailand; B) Football Federation of Thailand; C) Sports Association of Thailand; D) Asian Sports Federation</v>
      </c>
      <c r="K130" s="28" t="str">
        <f>IFERROR(__xludf.DUMMYFUNCTION("GOOGLETRANSLATE(D129, ""th"", ""en"")"),"A) Sepak Takraw Federation of Thailand")</f>
        <v>A) Sepak Takraw Federation of Thailand</v>
      </c>
    </row>
    <row r="131" ht="14.25" customHeight="1">
      <c r="A131" s="27">
        <v>130.0</v>
      </c>
      <c r="B131" s="28" t="s">
        <v>3231</v>
      </c>
      <c r="C131" s="28" t="s">
        <v>1072</v>
      </c>
      <c r="D131" s="28" t="s">
        <v>1073</v>
      </c>
      <c r="E131" s="28" t="s">
        <v>3346</v>
      </c>
      <c r="F131" s="28" t="s">
        <v>2440</v>
      </c>
      <c r="G131" s="28" t="s">
        <v>2440</v>
      </c>
      <c r="H131" s="28" t="s">
        <v>2440</v>
      </c>
      <c r="I131" s="28" t="str">
        <f>IFERROR(__xludf.DUMMYFUNCTION("GOOGLETRANSLATE(B130, ""th"", ""en"")"),"Was the 1982 Asian Games the first time that sepak takraw was held?")</f>
        <v>Was the 1982 Asian Games the first time that sepak takraw was held?</v>
      </c>
      <c r="J131" s="28" t="str">
        <f>IFERROR(__xludf.DUMMYFUNCTION("GOOGLETRANSLATE(C130, ""th"", ""en"")"),"A) Yes; B) No")</f>
        <v>A) Yes; B) No</v>
      </c>
      <c r="K131" s="28" t="str">
        <f>IFERROR(__xludf.DUMMYFUNCTION("GOOGLETRANSLATE(D130, ""th"", ""en"")"),"A) Yes.")</f>
        <v>A) Yes.</v>
      </c>
    </row>
    <row r="132" ht="14.25" customHeight="1">
      <c r="A132" s="27">
        <v>131.0</v>
      </c>
      <c r="B132" s="28" t="s">
        <v>3347</v>
      </c>
      <c r="C132" s="28" t="s">
        <v>2972</v>
      </c>
      <c r="D132" s="28" t="s">
        <v>1705</v>
      </c>
      <c r="E132" s="28" t="s">
        <v>3348</v>
      </c>
      <c r="F132" s="28" t="s">
        <v>2440</v>
      </c>
      <c r="G132" s="28" t="s">
        <v>2440</v>
      </c>
      <c r="H132" s="28" t="s">
        <v>2440</v>
      </c>
      <c r="I132" s="28" t="str">
        <f>IFERROR(__xludf.DUMMYFUNCTION("GOOGLETRANSLATE(B131, ""th"", ""en"")"),"In what year did the development of sepak takraw in Indonesia begin?")</f>
        <v>In what year did the development of sepak takraw in Indonesia begin?</v>
      </c>
      <c r="J132" s="28" t="str">
        <f>IFERROR(__xludf.DUMMYFUNCTION("GOOGLETRANSLATE(C131, ""th"", ""en"")"),"A) 1960; B) 1970; C) 1980; D) 1990")</f>
        <v>A) 1960; B) 1970; C) 1980; D) 1990</v>
      </c>
      <c r="K132" s="28" t="str">
        <f>IFERROR(__xludf.DUMMYFUNCTION("GOOGLETRANSLATE(D131, ""th"", ""en"")"),"B) 1970")</f>
        <v>B) 1970</v>
      </c>
    </row>
    <row r="133" ht="14.25" customHeight="1">
      <c r="A133" s="27">
        <v>132.0</v>
      </c>
      <c r="B133" s="28" t="s">
        <v>3349</v>
      </c>
      <c r="C133" s="28" t="s">
        <v>3350</v>
      </c>
      <c r="D133" s="28" t="s">
        <v>3351</v>
      </c>
      <c r="E133" s="28" t="s">
        <v>3352</v>
      </c>
      <c r="F133" s="28" t="s">
        <v>2440</v>
      </c>
      <c r="G133" s="28" t="s">
        <v>2440</v>
      </c>
      <c r="H133" s="28" t="s">
        <v>2440</v>
      </c>
      <c r="I133" s="28" t="str">
        <f>IFERROR(__xludf.DUMMYFUNCTION("GOOGLETRANSLATE(B132, ""th"", ""en"")"),"Sepak takraw began as the national sport of which country?")</f>
        <v>Sepak takraw began as the national sport of which country?</v>
      </c>
      <c r="J133" s="28" t="str">
        <f>IFERROR(__xludf.DUMMYFUNCTION("GOOGLETRANSLATE(C132, ""th"", ""en"")"),"A) Thailand; B) Malaysia; C) Indonesia; D) Philippines")</f>
        <v>A) Thailand; B) Malaysia; C) Indonesia; D) Philippines</v>
      </c>
      <c r="K133" s="28" t="str">
        <f>IFERROR(__xludf.DUMMYFUNCTION("GOOGLETRANSLATE(D132, ""th"", ""en"")"),"A) Thai")</f>
        <v>A) Thai</v>
      </c>
    </row>
    <row r="134" ht="14.25" customHeight="1">
      <c r="A134" s="27">
        <v>133.0</v>
      </c>
      <c r="B134" s="28" t="s">
        <v>3353</v>
      </c>
      <c r="C134" s="28" t="s">
        <v>3354</v>
      </c>
      <c r="D134" s="28" t="s">
        <v>3355</v>
      </c>
      <c r="E134" s="28" t="s">
        <v>3356</v>
      </c>
      <c r="F134" s="28"/>
      <c r="G134" s="28"/>
      <c r="H134" s="28"/>
      <c r="I134" s="28" t="str">
        <f>IFERROR(__xludf.DUMMYFUNCTION("GOOGLETRANSLATE(B133, ""th"", ""en"")"),"In 1991, which tournament did Sepak Takraw participate in?")</f>
        <v>In 1991, which tournament did Sepak Takraw participate in?</v>
      </c>
      <c r="J134" s="28" t="str">
        <f>IFERROR(__xludf.DUMMYFUNCTION("GOOGLETRANSLATE(C133, ""th"", ""en"")"),"A) Olympic Games; B) Asian Games; C) SEA Games; D) World Games")</f>
        <v>A) Olympic Games; B) Asian Games; C) SEA Games; D) World Games</v>
      </c>
      <c r="K134" s="28" t="str">
        <f>IFERROR(__xludf.DUMMYFUNCTION("GOOGLETRANSLATE(D133, ""th"", ""en"")"),"B) Asian Games")</f>
        <v>B) Asian Games</v>
      </c>
    </row>
    <row r="135" ht="14.25" customHeight="1">
      <c r="A135" s="27">
        <v>134.0</v>
      </c>
      <c r="B135" s="28" t="s">
        <v>3357</v>
      </c>
      <c r="C135" s="28" t="s">
        <v>1225</v>
      </c>
      <c r="D135" s="28" t="s">
        <v>3292</v>
      </c>
      <c r="E135" s="28" t="s">
        <v>3358</v>
      </c>
      <c r="F135" s="28" t="s">
        <v>2440</v>
      </c>
      <c r="G135" s="28" t="s">
        <v>2440</v>
      </c>
      <c r="H135" s="28" t="s">
        <v>2440</v>
      </c>
      <c r="I135" s="28" t="str">
        <f>IFERROR(__xludf.DUMMYFUNCTION("GOOGLETRANSLATE(B134, ""th"", ""en"")"),"Where will the sepak takraw competition at the 10th SEA Games be held?")</f>
        <v>Where will the sepak takraw competition at the 10th SEA Games be held?</v>
      </c>
      <c r="J135" s="28" t="str">
        <f>IFERROR(__xludf.DUMMYFUNCTION("GOOGLETRANSLATE(C134, ""th"", ""en"")"),"A) Jakarta, Indonesia; B) Manila, Philippines; C) Bangkok, Thailand; D) Singapore")</f>
        <v>A) Jakarta, Indonesia; B) Manila, Philippines; C) Bangkok, Thailand; D) Singapore</v>
      </c>
      <c r="K135" s="28" t="str">
        <f>IFERROR(__xludf.DUMMYFUNCTION("GOOGLETRANSLATE(D134, ""th"", ""en"")"),"A) Jakarta")</f>
        <v>A) Jakarta</v>
      </c>
    </row>
    <row r="136" ht="14.25" customHeight="1">
      <c r="A136" s="27">
        <v>135.0</v>
      </c>
      <c r="B136" s="28" t="s">
        <v>3359</v>
      </c>
      <c r="C136" s="28" t="s">
        <v>1455</v>
      </c>
      <c r="D136" s="28" t="s">
        <v>3304</v>
      </c>
      <c r="E136" s="28" t="s">
        <v>3360</v>
      </c>
      <c r="F136" s="28" t="s">
        <v>2440</v>
      </c>
      <c r="G136" s="28" t="s">
        <v>2440</v>
      </c>
      <c r="H136" s="28" t="s">
        <v>2440</v>
      </c>
      <c r="I136" s="28" t="str">
        <f>IFERROR(__xludf.DUMMYFUNCTION("GOOGLETRANSLATE(B135, ""th"", ""en"")"),"In which year did the change from traditional sepak takraw to modern sepak takraw take place?")</f>
        <v>In which year did the change from traditional sepak takraw to modern sepak takraw take place?</v>
      </c>
      <c r="J136" s="28" t="str">
        <f>IFERROR(__xludf.DUMMYFUNCTION("GOOGLETRANSLATE(C135, ""th"", ""en"")"),"A) 1950; B) 1960; C) 1970; D) 1980")</f>
        <v>A) 1950; B) 1960; C) 1970; D) 1980</v>
      </c>
      <c r="K136" s="28" t="str">
        <f>IFERROR(__xludf.DUMMYFUNCTION("GOOGLETRANSLATE(D135, ""th"", ""en"")"),"B) 1960")</f>
        <v>B) 1960</v>
      </c>
    </row>
    <row r="137" ht="14.25" customHeight="1">
      <c r="A137" s="27">
        <v>136.0</v>
      </c>
      <c r="B137" s="28" t="s">
        <v>3361</v>
      </c>
      <c r="C137" s="28" t="s">
        <v>3362</v>
      </c>
      <c r="D137" s="28" t="s">
        <v>3238</v>
      </c>
      <c r="E137" s="28" t="s">
        <v>3363</v>
      </c>
      <c r="F137" s="28" t="s">
        <v>2440</v>
      </c>
      <c r="G137" s="28" t="s">
        <v>2440</v>
      </c>
      <c r="H137" s="28" t="s">
        <v>2440</v>
      </c>
      <c r="I137" s="28" t="str">
        <f>IFERROR(__xludf.DUMMYFUNCTION("GOOGLETRANSLATE(B136, ""th"", ""en"")"),"In which year was sepak takraw recognized as an international sport?")</f>
        <v>In which year was sepak takraw recognized as an international sport?</v>
      </c>
      <c r="J137" s="28" t="str">
        <f>IFERROR(__xludf.DUMMYFUNCTION("GOOGLETRANSLATE(C136, ""th"", ""en"")"),"A) 1970; B) 1980; C) 1990; D) 2000")</f>
        <v>A) 1970; B) 1980; C) 1990; D) 2000</v>
      </c>
      <c r="K137" s="28" t="str">
        <f>IFERROR(__xludf.DUMMYFUNCTION("GOOGLETRANSLATE(D136, ""th"", ""en"")"),"A) 1970")</f>
        <v>A) 1970</v>
      </c>
    </row>
    <row r="138" ht="14.25" customHeight="1">
      <c r="A138" s="27">
        <v>137.0</v>
      </c>
      <c r="B138" s="28" t="s">
        <v>3364</v>
      </c>
      <c r="C138" s="28" t="s">
        <v>3365</v>
      </c>
      <c r="D138" s="28" t="s">
        <v>3091</v>
      </c>
      <c r="E138" s="28" t="s">
        <v>3366</v>
      </c>
      <c r="F138" s="28" t="s">
        <v>2440</v>
      </c>
      <c r="G138" s="28" t="s">
        <v>2440</v>
      </c>
      <c r="H138" s="28" t="s">
        <v>2440</v>
      </c>
      <c r="I138" s="28" t="str">
        <f>IFERROR(__xludf.DUMMYFUNCTION("GOOGLETRANSLATE(B137, ""th"", ""en"")"),"In which year was the first sepak takraw competition held at the Asian Games?")</f>
        <v>In which year was the first sepak takraw competition held at the Asian Games?</v>
      </c>
      <c r="J138" s="28" t="str">
        <f>IFERROR(__xludf.DUMMYFUNCTION("GOOGLETRANSLATE(C137, ""th"", ""en"")"),"A) 1982; B) 1990; C) 1994; D) 1986")</f>
        <v>A) 1982; B) 1990; C) 1994; D) 1986</v>
      </c>
      <c r="K138" s="28" t="str">
        <f>IFERROR(__xludf.DUMMYFUNCTION("GOOGLETRANSLATE(D137, ""th"", ""en"")"),"A) 1982")</f>
        <v>A) 1982</v>
      </c>
    </row>
    <row r="139" ht="14.25" customHeight="1">
      <c r="A139" s="27">
        <v>138.0</v>
      </c>
      <c r="B139" s="28" t="s">
        <v>3367</v>
      </c>
      <c r="C139" s="28" t="s">
        <v>1225</v>
      </c>
      <c r="D139" s="28" t="s">
        <v>1226</v>
      </c>
      <c r="E139" s="28" t="s">
        <v>3368</v>
      </c>
      <c r="F139" s="28" t="s">
        <v>2440</v>
      </c>
      <c r="G139" s="28" t="s">
        <v>2440</v>
      </c>
      <c r="H139" s="28" t="s">
        <v>2440</v>
      </c>
      <c r="I139" s="28" t="str">
        <f>IFERROR(__xludf.DUMMYFUNCTION("GOOGLETRANSLATE(B138, ""th"", ""en"")"),"Where is the sepak takraw competition at the 12th SEA Games held?")</f>
        <v>Where is the sepak takraw competition at the 12th SEA Games held?</v>
      </c>
      <c r="J139" s="28" t="str">
        <f>IFERROR(__xludf.DUMMYFUNCTION("GOOGLETRANSLATE(C138, ""th"", ""en"")"),"A) Malaysia; B) Thailand; C) Philippines; D) Singapore")</f>
        <v>A) Malaysia; B) Thailand; C) Philippines; D) Singapore</v>
      </c>
      <c r="K139" s="28" t="str">
        <f>IFERROR(__xludf.DUMMYFUNCTION("GOOGLETRANSLATE(D138, ""th"", ""en"")"),"B) Thai")</f>
        <v>B) Thai</v>
      </c>
    </row>
    <row r="140" ht="14.25" customHeight="1">
      <c r="A140" s="27">
        <v>139.0</v>
      </c>
      <c r="B140" s="28" t="s">
        <v>3369</v>
      </c>
      <c r="C140" s="28" t="s">
        <v>3046</v>
      </c>
      <c r="D140" s="28" t="s">
        <v>2925</v>
      </c>
      <c r="E140" s="28" t="s">
        <v>3370</v>
      </c>
      <c r="F140" s="28" t="s">
        <v>2440</v>
      </c>
      <c r="G140" s="28" t="s">
        <v>2440</v>
      </c>
      <c r="H140" s="28" t="s">
        <v>2440</v>
      </c>
      <c r="I140" s="28" t="str">
        <f>IFERROR(__xludf.DUMMYFUNCTION("GOOGLETRANSLATE(B139, ""th"", ""en"")"),"When did sepak takraw begin to become a popular sport in Southeast Asia?")</f>
        <v>When did sepak takraw begin to become a popular sport in Southeast Asia?</v>
      </c>
      <c r="J140" s="28" t="str">
        <f>IFERROR(__xludf.DUMMYFUNCTION("GOOGLETRANSLATE(C139, ""th"", ""en"")"),"A) 1950; B) 1960; C) 1970; D) 1980")</f>
        <v>A) 1950; B) 1960; C) 1970; D) 1980</v>
      </c>
      <c r="K140" s="28" t="str">
        <f>IFERROR(__xludf.DUMMYFUNCTION("GOOGLETRANSLATE(D139, ""th"", ""en"")"),"C) 1970")</f>
        <v>C) 1970</v>
      </c>
    </row>
    <row r="141" ht="14.25" customHeight="1">
      <c r="A141" s="27">
        <v>140.0</v>
      </c>
      <c r="B141" s="28" t="s">
        <v>3371</v>
      </c>
      <c r="C141" s="28" t="s">
        <v>3372</v>
      </c>
      <c r="D141" s="28" t="s">
        <v>1073</v>
      </c>
      <c r="E141" s="28" t="s">
        <v>3373</v>
      </c>
      <c r="F141" s="28" t="s">
        <v>2440</v>
      </c>
      <c r="G141" s="28" t="s">
        <v>2440</v>
      </c>
      <c r="H141" s="28" t="s">
        <v>2440</v>
      </c>
      <c r="I141" s="28" t="str">
        <f>IFERROR(__xludf.DUMMYFUNCTION("GOOGLETRANSLATE(B140, ""th"", ""en"")"),"Which country was the first to organize an international sepak takraw competition?")</f>
        <v>Which country was the first to organize an international sepak takraw competition?</v>
      </c>
      <c r="J141" s="28" t="str">
        <f>IFERROR(__xludf.DUMMYFUNCTION("GOOGLETRANSLATE(C140, ""th"", ""en"")"),"A) Thailand; B) Malaysia; C) Indonesia; D) Singapore")</f>
        <v>A) Thailand; B) Malaysia; C) Indonesia; D) Singapore</v>
      </c>
      <c r="K141" s="28" t="str">
        <f>IFERROR(__xludf.DUMMYFUNCTION("GOOGLETRANSLATE(D140, ""th"", ""en"")"),"B) Malaysia")</f>
        <v>B) Malaysia</v>
      </c>
    </row>
    <row r="142" ht="14.25" customHeight="1">
      <c r="A142" s="27">
        <v>141.0</v>
      </c>
      <c r="B142" s="28" t="s">
        <v>3374</v>
      </c>
      <c r="C142" s="28" t="s">
        <v>3196</v>
      </c>
      <c r="D142" s="28" t="s">
        <v>3088</v>
      </c>
      <c r="E142" s="28" t="s">
        <v>3375</v>
      </c>
      <c r="F142" s="28" t="s">
        <v>2440</v>
      </c>
      <c r="G142" s="28" t="s">
        <v>2440</v>
      </c>
      <c r="H142" s="28" t="s">
        <v>2440</v>
      </c>
      <c r="I142" s="28" t="str">
        <f>IFERROR(__xludf.DUMMYFUNCTION("GOOGLETRANSLATE(B141, ""th"", ""en"")"),"In which year was sepak takraw recognized by the Asian Sports Federation?")</f>
        <v>In which year was sepak takraw recognized by the Asian Sports Federation?</v>
      </c>
      <c r="J142" s="28" t="str">
        <f>IFERROR(__xludf.DUMMYFUNCTION("GOOGLETRANSLATE(C141, ""th"", ""en"")"),"A) 1965; B) 1970; C) 1975; D) 1980")</f>
        <v>A) 1965; B) 1970; C) 1975; D) 1980</v>
      </c>
      <c r="K142" s="28" t="str">
        <f>IFERROR(__xludf.DUMMYFUNCTION("GOOGLETRANSLATE(D141, ""th"", ""en"")"),"B) 1970")</f>
        <v>B) 1970</v>
      </c>
    </row>
    <row r="143" ht="14.25" customHeight="1">
      <c r="A143" s="27">
        <v>142.0</v>
      </c>
      <c r="B143" s="28" t="s">
        <v>3376</v>
      </c>
      <c r="C143" s="28" t="s">
        <v>3226</v>
      </c>
      <c r="D143" s="28" t="s">
        <v>3088</v>
      </c>
      <c r="E143" s="28" t="s">
        <v>3377</v>
      </c>
      <c r="F143" s="28" t="s">
        <v>2440</v>
      </c>
      <c r="G143" s="28" t="s">
        <v>2440</v>
      </c>
      <c r="H143" s="28" t="s">
        <v>2440</v>
      </c>
      <c r="I143" s="28" t="str">
        <f>IFERROR(__xludf.DUMMYFUNCTION("GOOGLETRANSLATE(B142, ""th"", ""en"")"),"Where was the first world sepak takraw competition held?")</f>
        <v>Where was the first world sepak takraw competition held?</v>
      </c>
      <c r="J143" s="28" t="str">
        <f>IFERROR(__xludf.DUMMYFUNCTION("GOOGLETRANSLATE(C142, ""th"", ""en"")"),"A) Malaysia; B) Thailand; C) Indonesia; D) Philippines")</f>
        <v>A) Malaysia; B) Thailand; C) Indonesia; D) Philippines</v>
      </c>
      <c r="K143" s="28" t="str">
        <f>IFERROR(__xludf.DUMMYFUNCTION("GOOGLETRANSLATE(D142, ""th"", ""en"")"),"A) Malaysia")</f>
        <v>A) Malaysia</v>
      </c>
    </row>
    <row r="144" ht="14.25" customHeight="1">
      <c r="A144" s="27">
        <v>143.0</v>
      </c>
      <c r="B144" s="28" t="s">
        <v>3378</v>
      </c>
      <c r="C144" s="28" t="s">
        <v>2956</v>
      </c>
      <c r="D144" s="28" t="s">
        <v>2925</v>
      </c>
      <c r="E144" s="28" t="s">
        <v>3379</v>
      </c>
      <c r="F144" s="28" t="s">
        <v>2440</v>
      </c>
      <c r="G144" s="28" t="s">
        <v>2440</v>
      </c>
      <c r="H144" s="28" t="s">
        <v>2440</v>
      </c>
      <c r="I144" s="28" t="str">
        <f>IFERROR(__xludf.DUMMYFUNCTION("GOOGLETRANSLATE(B143, ""th"", ""en"")"),"In which country did sepak takraw begin?")</f>
        <v>In which country did sepak takraw begin?</v>
      </c>
      <c r="J144" s="28" t="str">
        <f>IFERROR(__xludf.DUMMYFUNCTION("GOOGLETRANSLATE(C143, ""th"", ""en"")"),"A) Malaysia; B) Thailand; C) Indonesia; D) Singapore")</f>
        <v>A) Malaysia; B) Thailand; C) Indonesia; D) Singapore</v>
      </c>
      <c r="K144" s="28" t="str">
        <f>IFERROR(__xludf.DUMMYFUNCTION("GOOGLETRANSLATE(D143, ""th"", ""en"")"),"A) Malaysia")</f>
        <v>A) Malaysia</v>
      </c>
    </row>
    <row r="145" ht="14.25" customHeight="1">
      <c r="A145" s="27">
        <v>144.0</v>
      </c>
      <c r="B145" s="28" t="s">
        <v>3380</v>
      </c>
      <c r="C145" s="28" t="s">
        <v>3372</v>
      </c>
      <c r="D145" s="28" t="s">
        <v>3245</v>
      </c>
      <c r="E145" s="28" t="s">
        <v>3381</v>
      </c>
      <c r="F145" s="28" t="s">
        <v>2440</v>
      </c>
      <c r="G145" s="28" t="s">
        <v>2440</v>
      </c>
      <c r="H145" s="28" t="s">
        <v>2440</v>
      </c>
      <c r="I145" s="28" t="str">
        <f>IFERROR(__xludf.DUMMYFUNCTION("GOOGLETRANSLATE(B144, ""th"", ""en"")"),"Where was the world-class Sepak Takraw event held in 1986?")</f>
        <v>Where was the world-class Sepak Takraw event held in 1986?</v>
      </c>
      <c r="J145" s="28" t="str">
        <f>IFERROR(__xludf.DUMMYFUNCTION("GOOGLETRANSLATE(C144, ""th"", ""en"")"),"A) Thailand; B) Malaysia; C) Singapore; D) Indonesia")</f>
        <v>A) Thailand; B) Malaysia; C) Singapore; D) Indonesia</v>
      </c>
      <c r="K145" s="28" t="str">
        <f>IFERROR(__xludf.DUMMYFUNCTION("GOOGLETRANSLATE(D144, ""th"", ""en"")"),"B) Malaysia")</f>
        <v>B) Malaysia</v>
      </c>
    </row>
    <row r="146" ht="14.25" customHeight="1">
      <c r="A146" s="27">
        <v>145.0</v>
      </c>
      <c r="B146" s="28" t="s">
        <v>3382</v>
      </c>
      <c r="C146" s="28" t="s">
        <v>1455</v>
      </c>
      <c r="D146" s="28" t="s">
        <v>3304</v>
      </c>
      <c r="E146" s="28" t="s">
        <v>3383</v>
      </c>
      <c r="F146" s="28" t="s">
        <v>2440</v>
      </c>
      <c r="G146" s="28" t="s">
        <v>2440</v>
      </c>
      <c r="H146" s="28" t="s">
        <v>2440</v>
      </c>
      <c r="I146" s="28" t="str">
        <f>IFERROR(__xludf.DUMMYFUNCTION("GOOGLETRANSLATE(B145, ""th"", ""en"")"),"In which year was the first sepak takraw competition introduced at the SEA Games?")</f>
        <v>In which year was the first sepak takraw competition introduced at the SEA Games?</v>
      </c>
      <c r="J146" s="28" t="str">
        <f>IFERROR(__xludf.DUMMYFUNCTION("GOOGLETRANSLATE(C145, ""th"", ""en"")"),"A) 1965; B) 1970; C) 1975; D) 1980")</f>
        <v>A) 1965; B) 1970; C) 1975; D) 1980</v>
      </c>
      <c r="K146" s="28" t="str">
        <f>IFERROR(__xludf.DUMMYFUNCTION("GOOGLETRANSLATE(D145, ""th"", ""en"")"),"A) 1965")</f>
        <v>A) 1965</v>
      </c>
    </row>
    <row r="147" ht="14.25" customHeight="1">
      <c r="A147" s="27">
        <v>146.0</v>
      </c>
      <c r="B147" s="28" t="s">
        <v>3384</v>
      </c>
      <c r="C147" s="28" t="s">
        <v>1455</v>
      </c>
      <c r="D147" s="28" t="s">
        <v>1530</v>
      </c>
      <c r="E147" s="28" t="s">
        <v>3385</v>
      </c>
      <c r="F147" s="28" t="s">
        <v>2440</v>
      </c>
      <c r="G147" s="28" t="s">
        <v>2440</v>
      </c>
      <c r="H147" s="28" t="s">
        <v>2440</v>
      </c>
      <c r="I147" s="28" t="str">
        <f>IFERROR(__xludf.DUMMYFUNCTION("GOOGLETRANSLATE(B146, ""th"", ""en"")"),"In which year was sepak takraw recognized as a world-class sport?")</f>
        <v>In which year was sepak takraw recognized as a world-class sport?</v>
      </c>
      <c r="J147" s="28" t="str">
        <f>IFERROR(__xludf.DUMMYFUNCTION("GOOGLETRANSLATE(C146, ""th"", ""en"")"),"A) 1970; B) 1980; C) 1990; D) 2000")</f>
        <v>A) 1970; B) 1980; C) 1990; D) 2000</v>
      </c>
      <c r="K147" s="28" t="str">
        <f>IFERROR(__xludf.DUMMYFUNCTION("GOOGLETRANSLATE(D146, ""th"", ""en"")"),"A) 1970")</f>
        <v>A) 1970</v>
      </c>
    </row>
    <row r="148" ht="14.25" customHeight="1">
      <c r="A148" s="27">
        <v>147.0</v>
      </c>
      <c r="B148" s="28" t="s">
        <v>3386</v>
      </c>
      <c r="C148" s="28" t="s">
        <v>3362</v>
      </c>
      <c r="D148" s="28" t="s">
        <v>3238</v>
      </c>
      <c r="E148" s="28" t="s">
        <v>3387</v>
      </c>
      <c r="F148" s="28" t="s">
        <v>2440</v>
      </c>
      <c r="G148" s="28" t="s">
        <v>2440</v>
      </c>
      <c r="H148" s="28" t="s">
        <v>2440</v>
      </c>
      <c r="I148" s="28" t="str">
        <f>IFERROR(__xludf.DUMMYFUNCTION("GOOGLETRANSLATE(B147, ""th"", ""en"")"),"In which year did the change from rattan to plastic rattan occur?")</f>
        <v>In which year did the change from rattan to plastic rattan occur?</v>
      </c>
      <c r="J148" s="28" t="str">
        <f>IFERROR(__xludf.DUMMYFUNCTION("GOOGLETRANSLATE(C147, ""th"", ""en"")"),"A) 1970; B) 1980; C) 1990; D) 2000")</f>
        <v>A) 1970; B) 1980; C) 1990; D) 2000</v>
      </c>
      <c r="K148" s="28" t="str">
        <f>IFERROR(__xludf.DUMMYFUNCTION("GOOGLETRANSLATE(D147, ""th"", ""en"")"),"B) 1980")</f>
        <v>B) 1980</v>
      </c>
    </row>
    <row r="149" ht="14.25" customHeight="1">
      <c r="A149" s="27">
        <v>148.0</v>
      </c>
      <c r="B149" s="28" t="s">
        <v>3388</v>
      </c>
      <c r="C149" s="28" t="s">
        <v>1225</v>
      </c>
      <c r="D149" s="28" t="s">
        <v>3292</v>
      </c>
      <c r="E149" s="28" t="s">
        <v>3389</v>
      </c>
      <c r="F149" s="28" t="s">
        <v>2440</v>
      </c>
      <c r="G149" s="28" t="s">
        <v>2440</v>
      </c>
      <c r="H149" s="28" t="s">
        <v>2440</v>
      </c>
      <c r="I149" s="28" t="str">
        <f>IFERROR(__xludf.DUMMYFUNCTION("GOOGLETRANSLATE(B148, ""th"", ""en"")"),"In which year was sepak takraw first introduced as a sport at the Asian Games?")</f>
        <v>In which year was sepak takraw first introduced as a sport at the Asian Games?</v>
      </c>
      <c r="J149" s="28" t="str">
        <f>IFERROR(__xludf.DUMMYFUNCTION("GOOGLETRANSLATE(C148, ""th"", ""en"")"),"A) 1982; B) 1990; C) 1994; D) 1986")</f>
        <v>A) 1982; B) 1990; C) 1994; D) 1986</v>
      </c>
      <c r="K149" s="28" t="str">
        <f>IFERROR(__xludf.DUMMYFUNCTION("GOOGLETRANSLATE(D148, ""th"", ""en"")"),"A) 1982")</f>
        <v>A) 1982</v>
      </c>
    </row>
    <row r="150" ht="14.25" customHeight="1">
      <c r="A150" s="27">
        <v>149.0</v>
      </c>
      <c r="B150" s="28" t="s">
        <v>3390</v>
      </c>
      <c r="C150" s="28" t="s">
        <v>3391</v>
      </c>
      <c r="D150" s="28" t="s">
        <v>3392</v>
      </c>
      <c r="E150" s="28" t="s">
        <v>3393</v>
      </c>
      <c r="F150" s="28" t="s">
        <v>2440</v>
      </c>
      <c r="G150" s="28" t="s">
        <v>2440</v>
      </c>
      <c r="H150" s="28" t="s">
        <v>2440</v>
      </c>
      <c r="I150" s="28" t="str">
        <f>IFERROR(__xludf.DUMMYFUNCTION("GOOGLETRANSLATE(B149, ""th"", ""en"")"),"When was sepak takraw training established in Thailand?")</f>
        <v>When was sepak takraw training established in Thailand?</v>
      </c>
      <c r="J150" s="28" t="str">
        <f>IFERROR(__xludf.DUMMYFUNCTION("GOOGLETRANSLATE(C149, ""th"", ""en"")"),"A) 1950; B) 1960; C) 1970; D) 1980")</f>
        <v>A) 1950; B) 1960; C) 1970; D) 1980</v>
      </c>
      <c r="K150" s="28" t="str">
        <f>IFERROR(__xludf.DUMMYFUNCTION("GOOGLETRANSLATE(D149, ""th"", ""en"")"),"B) 1960")</f>
        <v>B) 1960</v>
      </c>
    </row>
    <row r="151" ht="14.25" customHeight="1">
      <c r="A151" s="27">
        <v>150.0</v>
      </c>
      <c r="B151" s="28" t="s">
        <v>3394</v>
      </c>
      <c r="C151" s="28" t="s">
        <v>3395</v>
      </c>
      <c r="D151" s="28" t="s">
        <v>1356</v>
      </c>
      <c r="E151" s="28" t="s">
        <v>3396</v>
      </c>
      <c r="F151" s="28" t="s">
        <v>2440</v>
      </c>
      <c r="G151" s="28" t="s">
        <v>2440</v>
      </c>
      <c r="H151" s="28" t="s">
        <v>2440</v>
      </c>
      <c r="I151" s="28" t="str">
        <f>IFERROR(__xludf.DUMMYFUNCTION("GOOGLETRANSLATE(B150, ""th"", ""en"")"),"In which year was sepak takraw recognized by the Olympics?")</f>
        <v>In which year was sepak takraw recognized by the Olympics?</v>
      </c>
      <c r="J151" s="28" t="str">
        <f>IFERROR(__xludf.DUMMYFUNCTION("GOOGLETRANSLATE(C150, ""th"", ""en"")"),"A) 1980; B) 1990; C) 2000; D) not yet accepted")</f>
        <v>A) 1980; B) 1990; C) 2000; D) not yet accepted</v>
      </c>
      <c r="K151" s="28" t="str">
        <f>IFERROR(__xludf.DUMMYFUNCTION("GOOGLETRANSLATE(D150, ""th"", ""en"")"),"D) Not yet accepted")</f>
        <v>D) Not yet accepted</v>
      </c>
    </row>
    <row r="152" ht="14.25" customHeight="1">
      <c r="A152" s="27">
        <v>151.0</v>
      </c>
      <c r="B152" s="28" t="s">
        <v>3397</v>
      </c>
      <c r="C152" s="28" t="s">
        <v>3226</v>
      </c>
      <c r="D152" s="28" t="s">
        <v>3088</v>
      </c>
      <c r="E152" s="28" t="s">
        <v>3398</v>
      </c>
      <c r="F152" s="28" t="s">
        <v>2440</v>
      </c>
      <c r="G152" s="28" t="s">
        <v>2440</v>
      </c>
      <c r="H152" s="28" t="s">
        <v>2440</v>
      </c>
      <c r="I152" s="28" t="str">
        <f>IFERROR(__xludf.DUMMYFUNCTION("GOOGLETRANSLATE(B151, ""th"", ""en"")"),"Where was the most important international sepak takraw competition held in 1995?")</f>
        <v>Where was the most important international sepak takraw competition held in 1995?</v>
      </c>
      <c r="J152" s="28" t="str">
        <f>IFERROR(__xludf.DUMMYFUNCTION("GOOGLETRANSLATE(C151, ""th"", ""en"")"),"A) Thailand; B) Singapore; C) Indonesia; D) Malaysia")</f>
        <v>A) Thailand; B) Singapore; C) Indonesia; D) Malaysia</v>
      </c>
      <c r="K152" s="28" t="str">
        <f>IFERROR(__xludf.DUMMYFUNCTION("GOOGLETRANSLATE(D151, ""th"", ""en"")"),"D) Malaysia")</f>
        <v>D) Malaysia</v>
      </c>
    </row>
    <row r="153" ht="14.25" customHeight="1">
      <c r="A153" s="27">
        <v>152.0</v>
      </c>
      <c r="B153" s="28" t="s">
        <v>3399</v>
      </c>
      <c r="C153" s="28" t="s">
        <v>1072</v>
      </c>
      <c r="D153" s="28" t="s">
        <v>1073</v>
      </c>
      <c r="E153" s="28" t="s">
        <v>3400</v>
      </c>
      <c r="F153" s="28" t="s">
        <v>2440</v>
      </c>
      <c r="G153" s="28" t="s">
        <v>2440</v>
      </c>
      <c r="H153" s="28" t="s">
        <v>2440</v>
      </c>
      <c r="I153" s="28" t="str">
        <f>IFERROR(__xludf.DUMMYFUNCTION("GOOGLETRANSLATE(B152, ""th"", ""en"")"),"Where was the first world-class sepak takraw competition launched?")</f>
        <v>Where was the first world-class sepak takraw competition launched?</v>
      </c>
      <c r="J153" s="28" t="str">
        <f>IFERROR(__xludf.DUMMYFUNCTION("GOOGLETRANSLATE(C152, ""th"", ""en"")"),"A) Malaysia; B) Thailand; C) Indonesia; D) Singapore")</f>
        <v>A) Malaysia; B) Thailand; C) Indonesia; D) Singapore</v>
      </c>
      <c r="K153" s="28" t="str">
        <f>IFERROR(__xludf.DUMMYFUNCTION("GOOGLETRANSLATE(D152, ""th"", ""en"")"),"A) Malaysia")</f>
        <v>A) Malaysia</v>
      </c>
    </row>
    <row r="154" ht="14.25" customHeight="1">
      <c r="A154" s="27">
        <v>153.0</v>
      </c>
      <c r="B154" s="28" t="s">
        <v>3401</v>
      </c>
      <c r="C154" s="28" t="s">
        <v>1225</v>
      </c>
      <c r="D154" s="28" t="s">
        <v>1226</v>
      </c>
      <c r="E154" s="28" t="s">
        <v>3402</v>
      </c>
      <c r="F154" s="28" t="s">
        <v>2440</v>
      </c>
      <c r="G154" s="28" t="s">
        <v>2440</v>
      </c>
      <c r="H154" s="28" t="s">
        <v>2440</v>
      </c>
      <c r="I154" s="28" t="str">
        <f>IFERROR(__xludf.DUMMYFUNCTION("GOOGLETRANSLATE(B153, ""th"", ""en"")"),"In which year was Sepak Takraw recognized as an international sport in Asia?")</f>
        <v>In which year was Sepak Takraw recognized as an international sport in Asia?</v>
      </c>
      <c r="J154" s="28" t="str">
        <f>IFERROR(__xludf.DUMMYFUNCTION("GOOGLETRANSLATE(C153, ""th"", ""en"")"),"A) 1960; B) 1970; C) 1980; D) 1990")</f>
        <v>A) 1960; B) 1970; C) 1980; D) 1990</v>
      </c>
      <c r="K154" s="28" t="str">
        <f>IFERROR(__xludf.DUMMYFUNCTION("GOOGLETRANSLATE(D153, ""th"", ""en"")"),"B) 1970")</f>
        <v>B) 1970</v>
      </c>
    </row>
    <row r="155" ht="14.25" customHeight="1">
      <c r="A155" s="27">
        <v>154.0</v>
      </c>
      <c r="B155" s="28" t="s">
        <v>3403</v>
      </c>
      <c r="C155" s="28" t="s">
        <v>1339</v>
      </c>
      <c r="D155" s="28" t="s">
        <v>1340</v>
      </c>
      <c r="E155" s="28" t="s">
        <v>3404</v>
      </c>
      <c r="F155" s="28" t="s">
        <v>2440</v>
      </c>
      <c r="G155" s="28" t="s">
        <v>2440</v>
      </c>
      <c r="H155" s="28" t="s">
        <v>2440</v>
      </c>
      <c r="I155" s="28" t="str">
        <f>IFERROR(__xludf.DUMMYFUNCTION("GOOGLETRANSLATE(B154, ""th"", ""en"")"),"In which decade did sepak takraw begin to develop into a world-class sport?")</f>
        <v>In which decade did sepak takraw begin to develop into a world-class sport?</v>
      </c>
      <c r="J155" s="28" t="str">
        <f>IFERROR(__xludf.DUMMYFUNCTION("GOOGLETRANSLATE(C154, ""th"", ""en"")"),"A) 1950; B) 1960; C) 1970; D) 1980")</f>
        <v>A) 1950; B) 1960; C) 1970; D) 1980</v>
      </c>
      <c r="K155" s="28" t="str">
        <f>IFERROR(__xludf.DUMMYFUNCTION("GOOGLETRANSLATE(D154, ""th"", ""en"")"),"C) 1970")</f>
        <v>C) 1970</v>
      </c>
    </row>
    <row r="156" ht="14.25" customHeight="1">
      <c r="A156" s="27">
        <v>155.0</v>
      </c>
      <c r="B156" s="28" t="s">
        <v>3405</v>
      </c>
      <c r="C156" s="28" t="s">
        <v>3406</v>
      </c>
      <c r="D156" s="28" t="s">
        <v>3341</v>
      </c>
      <c r="E156" s="28" t="s">
        <v>3342</v>
      </c>
      <c r="F156" s="28" t="s">
        <v>2440</v>
      </c>
      <c r="G156" s="28" t="s">
        <v>2440</v>
      </c>
      <c r="H156" s="28" t="s">
        <v>2440</v>
      </c>
      <c r="I156" s="28" t="str">
        <f>IFERROR(__xludf.DUMMYFUNCTION("GOOGLETRANSLATE(B155, ""th"", ""en"")"),"When was sepak takraw recognized by the World Sports Federation?")</f>
        <v>When was sepak takraw recognized by the World Sports Federation?</v>
      </c>
      <c r="J156" s="28" t="str">
        <f>IFERROR(__xludf.DUMMYFUNCTION("GOOGLETRANSLATE(C155, ""th"", ""en"")"),"A) 1980; B) 1990; C) 2000; D) 2010")</f>
        <v>A) 1980; B) 1990; C) 2000; D) 2010</v>
      </c>
      <c r="K156" s="28" t="str">
        <f>IFERROR(__xludf.DUMMYFUNCTION("GOOGLETRANSLATE(D155, ""th"", ""en"")"),"B) 1990")</f>
        <v>B) 1990</v>
      </c>
    </row>
    <row r="157" ht="14.25" customHeight="1">
      <c r="A157" s="27">
        <v>156.0</v>
      </c>
      <c r="B157" s="28" t="s">
        <v>3407</v>
      </c>
      <c r="C157" s="28" t="s">
        <v>2972</v>
      </c>
      <c r="D157" s="28" t="s">
        <v>2925</v>
      </c>
      <c r="E157" s="28" t="s">
        <v>3408</v>
      </c>
      <c r="F157" s="28" t="s">
        <v>2440</v>
      </c>
      <c r="G157" s="28" t="s">
        <v>2440</v>
      </c>
      <c r="H157" s="28" t="s">
        <v>2440</v>
      </c>
      <c r="I157" s="28" t="str">
        <f>IFERROR(__xludf.DUMMYFUNCTION("GOOGLETRANSLATE(B156, ""th"", ""en"")"),"Who plays a role in promoting sepak takraw in Thailand?")</f>
        <v>Who plays a role in promoting sepak takraw in Thailand?</v>
      </c>
      <c r="J157" s="28" t="str">
        <f>IFERROR(__xludf.DUMMYFUNCTION("GOOGLETRANSLATE(C156, ""th"", ""en"")"),"A) Ministry of Sports; B) Sepak Takraw Federation of Thailand; C) Sports Association of Thailand; D) Football Club")</f>
        <v>A) Ministry of Sports; B) Sepak Takraw Federation of Thailand; C) Sports Association of Thailand; D) Football Club</v>
      </c>
      <c r="K157" s="28" t="str">
        <f>IFERROR(__xludf.DUMMYFUNCTION("GOOGLETRANSLATE(D156, ""th"", ""en"")"),"A) Sepak Takraw Federation of Thailand")</f>
        <v>A) Sepak Takraw Federation of Thailand</v>
      </c>
    </row>
    <row r="158" ht="14.25" customHeight="1">
      <c r="A158" s="27">
        <v>157.0</v>
      </c>
      <c r="B158" s="28" t="s">
        <v>3409</v>
      </c>
      <c r="C158" s="28" t="s">
        <v>3410</v>
      </c>
      <c r="D158" s="28" t="s">
        <v>3411</v>
      </c>
      <c r="E158" s="28" t="s">
        <v>3412</v>
      </c>
      <c r="F158" s="28"/>
      <c r="G158" s="28" t="s">
        <v>2440</v>
      </c>
      <c r="H158" s="28" t="s">
        <v>2440</v>
      </c>
      <c r="I158" s="28" t="str">
        <f>IFERROR(__xludf.DUMMYFUNCTION("GOOGLETRANSLATE(B157, ""th"", ""en"")"),"In which country did Sepak Takraw first become popular?")</f>
        <v>In which country did Sepak Takraw first become popular?</v>
      </c>
      <c r="J158" s="28" t="str">
        <f>IFERROR(__xludf.DUMMYFUNCTION("GOOGLETRANSLATE(C157, ""th"", ""en"")"),"A) Thailand; B) Malaysia; C) Indonesia; D) Philippines")</f>
        <v>A) Thailand; B) Malaysia; C) Indonesia; D) Philippines</v>
      </c>
      <c r="K158" s="28" t="str">
        <f>IFERROR(__xludf.DUMMYFUNCTION("GOOGLETRANSLATE(D157, ""th"", ""en"")"),"B) Malaysia")</f>
        <v>B) Malaysia</v>
      </c>
    </row>
    <row r="159" ht="14.25" customHeight="1">
      <c r="A159" s="27">
        <v>158.0</v>
      </c>
      <c r="B159" s="28" t="s">
        <v>3413</v>
      </c>
      <c r="C159" s="28" t="s">
        <v>3414</v>
      </c>
      <c r="D159" s="28" t="s">
        <v>3415</v>
      </c>
      <c r="E159" s="28" t="s">
        <v>3416</v>
      </c>
      <c r="F159" s="28" t="s">
        <v>2440</v>
      </c>
      <c r="G159" s="28" t="s">
        <v>2440</v>
      </c>
      <c r="H159" s="28" t="s">
        <v>2440</v>
      </c>
      <c r="I159" s="28" t="str">
        <f>IFERROR(__xludf.DUMMYFUNCTION("GOOGLETRANSLATE(B158, ""th"", ""en"")"),"In which city was the first Asian Games sepak takraw competition held?")</f>
        <v>In which city was the first Asian Games sepak takraw competition held?</v>
      </c>
      <c r="J159" s="28" t="str">
        <f>IFERROR(__xludf.DUMMYFUNCTION("GOOGLETRANSLATE(C158, ""th"", ""en"")"),"A) Jakarta; B) Bangkok; C) Singapore; D) Seoul")</f>
        <v>A) Jakarta; B) Bangkok; C) Singapore; D) Seoul</v>
      </c>
      <c r="K159" s="28" t="str">
        <f>IFERROR(__xludf.DUMMYFUNCTION("GOOGLETRANSLATE(D158, ""th"", ""en"")"),"A) Jakarta")</f>
        <v>A) Jakarta</v>
      </c>
    </row>
    <row r="160" ht="14.25" customHeight="1">
      <c r="A160" s="27">
        <v>159.0</v>
      </c>
      <c r="B160" s="28" t="s">
        <v>3417</v>
      </c>
      <c r="C160" s="28" t="s">
        <v>1072</v>
      </c>
      <c r="D160" s="28" t="s">
        <v>1073</v>
      </c>
      <c r="E160" s="28" t="s">
        <v>3418</v>
      </c>
      <c r="F160" s="28" t="s">
        <v>2440</v>
      </c>
      <c r="G160" s="28" t="s">
        <v>2440</v>
      </c>
      <c r="H160" s="28" t="s">
        <v>2440</v>
      </c>
      <c r="I160" s="28" t="str">
        <f>IFERROR(__xludf.DUMMYFUNCTION("GOOGLETRANSLATE(B159, ""th"", ""en"")"),"In which year was sepak takraw first introduced into the SEA Games?")</f>
        <v>In which year was sepak takraw first introduced into the SEA Games?</v>
      </c>
      <c r="J160" s="28" t="str">
        <f>IFERROR(__xludf.DUMMYFUNCTION("GOOGLETRANSLATE(C159, ""th"", ""en"")"),"A) 1965; B) 1977; C) 1983; D) 1990")</f>
        <v>A) 1965; B) 1977; C) 1983; D) 1990</v>
      </c>
      <c r="K160" s="28" t="str">
        <f>IFERROR(__xludf.DUMMYFUNCTION("GOOGLETRANSLATE(D159, ""th"", ""en"")"),"B) 1977")</f>
        <v>B) 1977</v>
      </c>
    </row>
    <row r="161" ht="14.25" customHeight="1">
      <c r="A161" s="27">
        <v>160.0</v>
      </c>
      <c r="B161" s="28" t="s">
        <v>3419</v>
      </c>
      <c r="C161" s="28" t="s">
        <v>3420</v>
      </c>
      <c r="D161" s="28" t="s">
        <v>1530</v>
      </c>
      <c r="E161" s="28" t="s">
        <v>3421</v>
      </c>
      <c r="F161" s="28" t="s">
        <v>2440</v>
      </c>
      <c r="G161" s="28" t="s">
        <v>2440</v>
      </c>
      <c r="H161" s="28" t="s">
        <v>2440</v>
      </c>
      <c r="I161" s="28" t="str">
        <f>IFERROR(__xludf.DUMMYFUNCTION("GOOGLETRANSLATE(B160, ""th"", ""en"")"),"In which year did Sepak Takraw first begin to be held as an international competition?")</f>
        <v>In which year did Sepak Takraw first begin to be held as an international competition?</v>
      </c>
      <c r="J161" s="28" t="str">
        <f>IFERROR(__xludf.DUMMYFUNCTION("GOOGLETRANSLATE(C160, ""th"", ""en"")"),"A) 1960; B) 1970; C) 1980; D) 1990")</f>
        <v>A) 1960; B) 1970; C) 1980; D) 1990</v>
      </c>
      <c r="K161" s="28" t="str">
        <f>IFERROR(__xludf.DUMMYFUNCTION("GOOGLETRANSLATE(D160, ""th"", ""en"")"),"B) 1970")</f>
        <v>B) 1970</v>
      </c>
    </row>
    <row r="162" ht="14.25" customHeight="1">
      <c r="A162" s="27">
        <v>161.0</v>
      </c>
      <c r="B162" s="28" t="s">
        <v>3422</v>
      </c>
      <c r="C162" s="28" t="s">
        <v>1072</v>
      </c>
      <c r="D162" s="28" t="s">
        <v>3423</v>
      </c>
      <c r="E162" s="28" t="s">
        <v>3424</v>
      </c>
      <c r="F162" s="28" t="s">
        <v>2440</v>
      </c>
      <c r="G162" s="28" t="s">
        <v>2440</v>
      </c>
      <c r="H162" s="28" t="s">
        <v>2440</v>
      </c>
      <c r="I162" s="28" t="str">
        <f>IFERROR(__xludf.DUMMYFUNCTION("GOOGLETRANSLATE(B161, ""th"", ""en"")"),"In what year did changes to the rules of international sepak takraw competitions begin?")</f>
        <v>In what year did changes to the rules of international sepak takraw competitions begin?</v>
      </c>
      <c r="J162" s="28" t="str">
        <f>IFERROR(__xludf.DUMMYFUNCTION("GOOGLETRANSLATE(C161, ""th"", ""en"")"),"A) 1975; B) 1980; C) 1990; D) 2000")</f>
        <v>A) 1975; B) 1980; C) 1990; D) 2000</v>
      </c>
      <c r="K162" s="28" t="str">
        <f>IFERROR(__xludf.DUMMYFUNCTION("GOOGLETRANSLATE(D161, ""th"", ""en"")"),"B) 1980")</f>
        <v>B) 1980</v>
      </c>
    </row>
    <row r="163" ht="14.25" customHeight="1">
      <c r="A163" s="27">
        <v>162.0</v>
      </c>
      <c r="B163" s="28" t="s">
        <v>3371</v>
      </c>
      <c r="C163" s="28" t="s">
        <v>1072</v>
      </c>
      <c r="D163" s="28" t="s">
        <v>1073</v>
      </c>
      <c r="E163" s="28" t="s">
        <v>3373</v>
      </c>
      <c r="F163" s="28" t="s">
        <v>2440</v>
      </c>
      <c r="G163" s="28" t="s">
        <v>2440</v>
      </c>
      <c r="H163" s="28" t="s">
        <v>2440</v>
      </c>
      <c r="I163" s="28" t="str">
        <f>IFERROR(__xludf.DUMMYFUNCTION("GOOGLETRANSLATE(B162, ""th"", ""en"")"),"In what year did the promotion of sepak takraw in Thailand begin?")</f>
        <v>In what year did the promotion of sepak takraw in Thailand begin?</v>
      </c>
      <c r="J163" s="28" t="str">
        <f>IFERROR(__xludf.DUMMYFUNCTION("GOOGLETRANSLATE(C162, ""th"", ""en"")"),"A) 1960; B) 1970; C) 1980; D) 1990")</f>
        <v>A) 1960; B) 1970; C) 1980; D) 1990</v>
      </c>
      <c r="K163" s="28" t="str">
        <f>IFERROR(__xludf.DUMMYFUNCTION("GOOGLETRANSLATE(D162, ""th"", ""en"")"),"A) 1960")</f>
        <v>A) 1960</v>
      </c>
    </row>
    <row r="164" ht="14.25" customHeight="1">
      <c r="A164" s="27">
        <v>163.0</v>
      </c>
      <c r="B164" s="28" t="s">
        <v>3425</v>
      </c>
      <c r="C164" s="28" t="s">
        <v>3426</v>
      </c>
      <c r="D164" s="28" t="s">
        <v>3427</v>
      </c>
      <c r="E164" s="28" t="s">
        <v>3428</v>
      </c>
      <c r="F164" s="28" t="s">
        <v>2440</v>
      </c>
      <c r="G164" s="28" t="s">
        <v>2440</v>
      </c>
      <c r="H164" s="28" t="s">
        <v>2440</v>
      </c>
      <c r="I164" s="28" t="str">
        <f>IFERROR(__xludf.DUMMYFUNCTION("GOOGLETRANSLATE(B163, ""th"", ""en"")"),"In which year was sepak takraw recognized by the Asian Sports Federation?")</f>
        <v>In which year was sepak takraw recognized by the Asian Sports Federation?</v>
      </c>
      <c r="J164" s="28" t="str">
        <f>IFERROR(__xludf.DUMMYFUNCTION("GOOGLETRANSLATE(C163, ""th"", ""en"")"),"A) 1960; B) 1970; C) 1980; D) 1990")</f>
        <v>A) 1960; B) 1970; C) 1980; D) 1990</v>
      </c>
      <c r="K164" s="28" t="str">
        <f>IFERROR(__xludf.DUMMYFUNCTION("GOOGLETRANSLATE(D163, ""th"", ""en"")"),"B) 1970")</f>
        <v>B) 1970</v>
      </c>
    </row>
    <row r="165" ht="14.25" customHeight="1">
      <c r="A165" s="27">
        <v>164.0</v>
      </c>
      <c r="B165" s="28" t="s">
        <v>3429</v>
      </c>
      <c r="C165" s="28" t="s">
        <v>1339</v>
      </c>
      <c r="D165" s="28" t="s">
        <v>1340</v>
      </c>
      <c r="E165" s="28" t="s">
        <v>3404</v>
      </c>
      <c r="F165" s="28" t="s">
        <v>2440</v>
      </c>
      <c r="G165" s="28" t="s">
        <v>2440</v>
      </c>
      <c r="H165" s="28" t="s">
        <v>2440</v>
      </c>
      <c r="I165" s="28" t="str">
        <f>IFERROR(__xludf.DUMMYFUNCTION("GOOGLETRANSLATE(B164, ""th"", ""en"")"),"In which city was the 9th SEA Games sepak takraw competition held?")</f>
        <v>In which city was the 9th SEA Games sepak takraw competition held?</v>
      </c>
      <c r="J165" s="28" t="str">
        <f>IFERROR(__xludf.DUMMYFUNCTION("GOOGLETRANSLATE(C164, ""th"", ""en"")"),"A) Malaysia; B) Philippines; C) Indonesia; D) Singapore")</f>
        <v>A) Malaysia; B) Philippines; C) Indonesia; D) Singapore</v>
      </c>
      <c r="K165" s="28" t="str">
        <f>IFERROR(__xludf.DUMMYFUNCTION("GOOGLETRANSLATE(D164, ""th"", ""en"")"),"B) Philippines")</f>
        <v>B) Philippines</v>
      </c>
    </row>
    <row r="166" ht="14.25" customHeight="1">
      <c r="A166" s="27">
        <v>165.0</v>
      </c>
      <c r="B166" s="28" t="s">
        <v>3430</v>
      </c>
      <c r="C166" s="28" t="s">
        <v>3431</v>
      </c>
      <c r="D166" s="28" t="s">
        <v>3238</v>
      </c>
      <c r="E166" s="28" t="s">
        <v>3432</v>
      </c>
      <c r="F166" s="28" t="s">
        <v>2440</v>
      </c>
      <c r="G166" s="28" t="s">
        <v>2440</v>
      </c>
      <c r="H166" s="28" t="s">
        <v>2440</v>
      </c>
      <c r="I166" s="28" t="str">
        <f>IFERROR(__xludf.DUMMYFUNCTION("GOOGLETRANSLATE(B165, ""th"", ""en"")"),"In which year was sepak takraw recognized by the World Sports Federation?")</f>
        <v>In which year was sepak takraw recognized by the World Sports Federation?</v>
      </c>
      <c r="J166" s="28" t="str">
        <f>IFERROR(__xludf.DUMMYFUNCTION("GOOGLETRANSLATE(C165, ""th"", ""en"")"),"A) 1980; B) 1990; C) 2000; D) 2010")</f>
        <v>A) 1980; B) 1990; C) 2000; D) 2010</v>
      </c>
      <c r="K166" s="28" t="str">
        <f>IFERROR(__xludf.DUMMYFUNCTION("GOOGLETRANSLATE(D165, ""th"", ""en"")"),"B) 1990")</f>
        <v>B) 1990</v>
      </c>
    </row>
    <row r="167" ht="14.25" customHeight="1">
      <c r="A167" s="27">
        <v>166.0</v>
      </c>
      <c r="B167" s="28" t="s">
        <v>3433</v>
      </c>
      <c r="C167" s="28" t="s">
        <v>3434</v>
      </c>
      <c r="D167" s="28" t="s">
        <v>3355</v>
      </c>
      <c r="E167" s="28" t="s">
        <v>3435</v>
      </c>
      <c r="F167" s="28"/>
      <c r="G167" s="28" t="s">
        <v>2440</v>
      </c>
      <c r="H167" s="28" t="s">
        <v>2440</v>
      </c>
      <c r="I167" s="28" t="str">
        <f>IFERROR(__xludf.DUMMYFUNCTION("GOOGLETRANSLATE(B166, ""th"", ""en"")"),"In which year was sepak takraw recognized as a sport in the Asian Games?")</f>
        <v>In which year was sepak takraw recognized as a sport in the Asian Games?</v>
      </c>
      <c r="J167" s="28" t="str">
        <f>IFERROR(__xludf.DUMMYFUNCTION("GOOGLETRANSLATE(C166, ""th"", ""en"")"),"A) 1982; B) 1990; C) 1994; D) 2000")</f>
        <v>A) 1982; B) 1990; C) 1994; D) 2000</v>
      </c>
      <c r="K167" s="28" t="str">
        <f>IFERROR(__xludf.DUMMYFUNCTION("GOOGLETRANSLATE(D166, ""th"", ""en"")"),"A) 1982")</f>
        <v>A) 1982</v>
      </c>
    </row>
    <row r="168" ht="14.25" customHeight="1">
      <c r="A168" s="27">
        <v>167.0</v>
      </c>
      <c r="B168" s="28" t="s">
        <v>3436</v>
      </c>
      <c r="C168" s="28" t="s">
        <v>3437</v>
      </c>
      <c r="D168" s="28" t="s">
        <v>3438</v>
      </c>
      <c r="E168" s="28" t="s">
        <v>3439</v>
      </c>
      <c r="F168" s="28"/>
      <c r="G168" s="28" t="s">
        <v>2440</v>
      </c>
      <c r="H168" s="28" t="s">
        <v>2440</v>
      </c>
      <c r="I168" s="28" t="str">
        <f>IFERROR(__xludf.DUMMYFUNCTION("GOOGLETRANSLATE(B167, ""th"", ""en"")"),"In which city was the 10th SEA Games sepak takraw competition held?")</f>
        <v>In which city was the 10th SEA Games sepak takraw competition held?</v>
      </c>
      <c r="J168" s="28" t="str">
        <f>IFERROR(__xludf.DUMMYFUNCTION("GOOGLETRANSLATE(C167, ""th"", ""en"")"),"A) Jakarta; B) Bangkok; C) Singapore; D) Malaysia")</f>
        <v>A) Jakarta; B) Bangkok; C) Singapore; D) Malaysia</v>
      </c>
      <c r="K168" s="28" t="str">
        <f>IFERROR(__xludf.DUMMYFUNCTION("GOOGLETRANSLATE(D167, ""th"", ""en"")"),"A) Jakarta")</f>
        <v>A) Jakarta</v>
      </c>
    </row>
    <row r="169" ht="14.25" customHeight="1">
      <c r="A169" s="27">
        <v>168.0</v>
      </c>
      <c r="B169" s="28" t="s">
        <v>3231</v>
      </c>
      <c r="C169" s="28" t="s">
        <v>1072</v>
      </c>
      <c r="D169" s="28" t="s">
        <v>1073</v>
      </c>
      <c r="E169" s="28" t="s">
        <v>3346</v>
      </c>
      <c r="F169" s="28" t="s">
        <v>2440</v>
      </c>
      <c r="G169" s="28" t="s">
        <v>2440</v>
      </c>
      <c r="H169" s="28" t="s">
        <v>2440</v>
      </c>
      <c r="I169" s="28" t="str">
        <f>IFERROR(__xludf.DUMMYFUNCTION("GOOGLETRANSLATE(B168, ""th"", ""en"")"),"In which city was the 9th Asian Games Sepak Takraw competition held?")</f>
        <v>In which city was the 9th Asian Games Sepak Takraw competition held?</v>
      </c>
      <c r="J169" s="28" t="str">
        <f>IFERROR(__xludf.DUMMYFUNCTION("GOOGLETRANSLATE(C168, ""th"", ""en"")"),"A) Bangkok; B) Hanoi; C) Manila; D) Seoul")</f>
        <v>A) Bangkok; B) Hanoi; C) Manila; D) Seoul</v>
      </c>
      <c r="K169" s="28" t="str">
        <f>IFERROR(__xludf.DUMMYFUNCTION("GOOGLETRANSLATE(D168, ""th"", ""en"")"),"D) Seoul")</f>
        <v>D) Seoul</v>
      </c>
    </row>
    <row r="170" ht="14.25" customHeight="1">
      <c r="A170" s="27">
        <v>169.0</v>
      </c>
      <c r="B170" s="28" t="s">
        <v>3440</v>
      </c>
      <c r="C170" s="28" t="s">
        <v>2972</v>
      </c>
      <c r="D170" s="28" t="s">
        <v>2925</v>
      </c>
      <c r="E170" s="28" t="s">
        <v>3375</v>
      </c>
      <c r="F170" s="28" t="s">
        <v>2440</v>
      </c>
      <c r="G170" s="28" t="s">
        <v>2440</v>
      </c>
      <c r="H170" s="28" t="s">
        <v>2440</v>
      </c>
      <c r="I170" s="28" t="str">
        <f>IFERROR(__xludf.DUMMYFUNCTION("GOOGLETRANSLATE(B169, ""th"", ""en"")"),"In what year did the development of sepak takraw in Indonesia begin?")</f>
        <v>In what year did the development of sepak takraw in Indonesia begin?</v>
      </c>
      <c r="J170" s="28" t="str">
        <f>IFERROR(__xludf.DUMMYFUNCTION("GOOGLETRANSLATE(C169, ""th"", ""en"")"),"A) 1960; B) 1970; C) 1980; D) 1990")</f>
        <v>A) 1960; B) 1970; C) 1980; D) 1990</v>
      </c>
      <c r="K170" s="28" t="str">
        <f>IFERROR(__xludf.DUMMYFUNCTION("GOOGLETRANSLATE(D169, ""th"", ""en"")"),"B) 1970")</f>
        <v>B) 1970</v>
      </c>
    </row>
    <row r="171" ht="14.25" customHeight="1">
      <c r="A171" s="27">
        <v>170.0</v>
      </c>
      <c r="B171" s="28" t="s">
        <v>3441</v>
      </c>
      <c r="C171" s="28" t="s">
        <v>1072</v>
      </c>
      <c r="D171" s="28" t="s">
        <v>1647</v>
      </c>
      <c r="E171" s="28" t="s">
        <v>3442</v>
      </c>
      <c r="F171" s="28" t="s">
        <v>2440</v>
      </c>
      <c r="G171" s="28" t="s">
        <v>2440</v>
      </c>
      <c r="H171" s="28" t="s">
        <v>2440</v>
      </c>
      <c r="I171" s="28" t="str">
        <f>IFERROR(__xludf.DUMMYFUNCTION("GOOGLETRANSLATE(B170, ""th"", ""en"")"),"In which country was the first world sepak takraw competition held?")</f>
        <v>In which country was the first world sepak takraw competition held?</v>
      </c>
      <c r="J171" s="28" t="str">
        <f>IFERROR(__xludf.DUMMYFUNCTION("GOOGLETRANSLATE(C170, ""th"", ""en"")"),"A) Thailand; B) Malaysia; C) Indonesia; D) Philippines")</f>
        <v>A) Thailand; B) Malaysia; C) Indonesia; D) Philippines</v>
      </c>
      <c r="K171" s="28" t="str">
        <f>IFERROR(__xludf.DUMMYFUNCTION("GOOGLETRANSLATE(D170, ""th"", ""en"")"),"B) Malaysia")</f>
        <v>B) Malaysia</v>
      </c>
    </row>
    <row r="172" ht="14.25" customHeight="1">
      <c r="A172" s="27">
        <v>171.0</v>
      </c>
      <c r="B172" s="28" t="s">
        <v>3443</v>
      </c>
      <c r="C172" s="28" t="s">
        <v>1455</v>
      </c>
      <c r="D172" s="28" t="s">
        <v>3304</v>
      </c>
      <c r="E172" s="28" t="s">
        <v>3444</v>
      </c>
      <c r="F172" s="28" t="s">
        <v>2440</v>
      </c>
      <c r="G172" s="28" t="s">
        <v>2440</v>
      </c>
      <c r="H172" s="28" t="s">
        <v>2440</v>
      </c>
      <c r="I172" s="28" t="str">
        <f>IFERROR(__xludf.DUMMYFUNCTION("GOOGLETRANSLATE(B171, ""th"", ""en"")"),"When did sepak takraw become popular in the Philippines?")</f>
        <v>When did sepak takraw become popular in the Philippines?</v>
      </c>
      <c r="J172" s="28" t="str">
        <f>IFERROR(__xludf.DUMMYFUNCTION("GOOGLETRANSLATE(C171, ""th"", ""en"")"),"A) 1960; B) 1970; C) 1980; D) 1990")</f>
        <v>A) 1960; B) 1970; C) 1980; D) 1990</v>
      </c>
      <c r="K172" s="28" t="str">
        <f>IFERROR(__xludf.DUMMYFUNCTION("GOOGLETRANSLATE(D171, ""th"", ""en"")"),"C) 1980")</f>
        <v>C) 1980</v>
      </c>
    </row>
    <row r="173" ht="14.25" customHeight="1">
      <c r="A173" s="27">
        <v>172.0</v>
      </c>
      <c r="B173" s="28" t="s">
        <v>3445</v>
      </c>
      <c r="C173" s="28" t="s">
        <v>1455</v>
      </c>
      <c r="D173" s="28" t="s">
        <v>1530</v>
      </c>
      <c r="E173" s="28" t="s">
        <v>3446</v>
      </c>
      <c r="F173" s="28" t="s">
        <v>2440</v>
      </c>
      <c r="G173" s="28" t="s">
        <v>2440</v>
      </c>
      <c r="H173" s="28" t="s">
        <v>2440</v>
      </c>
      <c r="I173" s="28" t="str">
        <f>IFERROR(__xludf.DUMMYFUNCTION("GOOGLETRANSLATE(B172, ""th"", ""en"")"),"In which year was sepak takraw recognized as an international sport?")</f>
        <v>In which year was sepak takraw recognized as an international sport?</v>
      </c>
      <c r="J173" s="28" t="str">
        <f>IFERROR(__xludf.DUMMYFUNCTION("GOOGLETRANSLATE(C172, ""th"", ""en"")"),"A) 1970; B) 1980; C) 1990; D) 2000")</f>
        <v>A) 1970; B) 1980; C) 1990; D) 2000</v>
      </c>
      <c r="K173" s="28" t="str">
        <f>IFERROR(__xludf.DUMMYFUNCTION("GOOGLETRANSLATE(D172, ""th"", ""en"")"),"A) 1970")</f>
        <v>A) 1970</v>
      </c>
    </row>
    <row r="174" ht="14.25" customHeight="1">
      <c r="A174" s="27">
        <v>173.0</v>
      </c>
      <c r="B174" s="28" t="s">
        <v>3447</v>
      </c>
      <c r="C174" s="28" t="s">
        <v>3372</v>
      </c>
      <c r="D174" s="28" t="s">
        <v>3245</v>
      </c>
      <c r="E174" s="28" t="s">
        <v>3448</v>
      </c>
      <c r="F174" s="28" t="s">
        <v>2440</v>
      </c>
      <c r="G174" s="28" t="s">
        <v>2440</v>
      </c>
      <c r="H174" s="28" t="s">
        <v>2440</v>
      </c>
      <c r="I174" s="28" t="str">
        <f>IFERROR(__xludf.DUMMYFUNCTION("GOOGLETRANSLATE(B173, ""th"", ""en"")"),"In which year did sepak takraw develop into a world-class sport?")</f>
        <v>In which year did sepak takraw develop into a world-class sport?</v>
      </c>
      <c r="J174" s="28" t="str">
        <f>IFERROR(__xludf.DUMMYFUNCTION("GOOGLETRANSLATE(C173, ""th"", ""en"")"),"A) 1970; B) 1980; C) 1990; D) 2000")</f>
        <v>A) 1970; B) 1980; C) 1990; D) 2000</v>
      </c>
      <c r="K174" s="28" t="str">
        <f>IFERROR(__xludf.DUMMYFUNCTION("GOOGLETRANSLATE(D173, ""th"", ""en"")"),"B) 1980")</f>
        <v>B) 1980</v>
      </c>
    </row>
    <row r="175" ht="14.25" customHeight="1">
      <c r="A175" s="27">
        <v>174.0</v>
      </c>
      <c r="B175" s="28" t="s">
        <v>3449</v>
      </c>
      <c r="C175" s="28" t="s">
        <v>1072</v>
      </c>
      <c r="D175" s="28" t="s">
        <v>3423</v>
      </c>
      <c r="E175" s="28" t="s">
        <v>3450</v>
      </c>
      <c r="F175" s="28" t="s">
        <v>2440</v>
      </c>
      <c r="G175" s="28" t="s">
        <v>2440</v>
      </c>
      <c r="H175" s="28" t="s">
        <v>2440</v>
      </c>
      <c r="I175" s="28" t="str">
        <f>IFERROR(__xludf.DUMMYFUNCTION("GOOGLETRANSLATE(B174, ""th"", ""en"")"),"In which year was Sepak Takraw first held at the SEA Games?")</f>
        <v>In which year was Sepak Takraw first held at the SEA Games?</v>
      </c>
      <c r="J175" s="28" t="str">
        <f>IFERROR(__xludf.DUMMYFUNCTION("GOOGLETRANSLATE(C174, ""th"", ""en"")"),"A) 1965; B) 1970; C) 1975; D) 1980")</f>
        <v>A) 1965; B) 1970; C) 1975; D) 1980</v>
      </c>
      <c r="K175" s="28" t="str">
        <f>IFERROR(__xludf.DUMMYFUNCTION("GOOGLETRANSLATE(D174, ""th"", ""en"")"),"A) 1965")</f>
        <v>A) 1965</v>
      </c>
    </row>
    <row r="176" ht="14.25" customHeight="1">
      <c r="A176" s="27">
        <v>175.0</v>
      </c>
      <c r="B176" s="28" t="s">
        <v>3451</v>
      </c>
      <c r="C176" s="28" t="s">
        <v>1072</v>
      </c>
      <c r="D176" s="28" t="s">
        <v>1073</v>
      </c>
      <c r="E176" s="28" t="s">
        <v>3452</v>
      </c>
      <c r="F176" s="28" t="s">
        <v>2440</v>
      </c>
      <c r="G176" s="28" t="s">
        <v>2440</v>
      </c>
      <c r="H176" s="28" t="s">
        <v>2440</v>
      </c>
      <c r="I176" s="28" t="str">
        <f>IFERROR(__xludf.DUMMYFUNCTION("GOOGLETRANSLATE(B175, ""th"", ""en"")"),"In what year did the development of sepak takraw in Thailand begin?")</f>
        <v>In what year did the development of sepak takraw in Thailand begin?</v>
      </c>
      <c r="J176" s="28" t="str">
        <f>IFERROR(__xludf.DUMMYFUNCTION("GOOGLETRANSLATE(C175, ""th"", ""en"")"),"A) 1960; B) 1970; C) 1980; D) 1990")</f>
        <v>A) 1960; B) 1970; C) 1980; D) 1990</v>
      </c>
      <c r="K176" s="28" t="str">
        <f>IFERROR(__xludf.DUMMYFUNCTION("GOOGLETRANSLATE(D175, ""th"", ""en"")"),"A) 1960")</f>
        <v>A) 1960</v>
      </c>
    </row>
    <row r="177" ht="14.25" customHeight="1">
      <c r="A177" s="27">
        <v>176.0</v>
      </c>
      <c r="B177" s="28" t="s">
        <v>3453</v>
      </c>
      <c r="C177" s="28" t="s">
        <v>1072</v>
      </c>
      <c r="D177" s="28" t="s">
        <v>1073</v>
      </c>
      <c r="E177" s="28" t="s">
        <v>3373</v>
      </c>
      <c r="F177" s="28" t="s">
        <v>2440</v>
      </c>
      <c r="G177" s="28" t="s">
        <v>2440</v>
      </c>
      <c r="H177" s="28" t="s">
        <v>2440</v>
      </c>
      <c r="I177" s="28" t="str">
        <f>IFERROR(__xludf.DUMMYFUNCTION("GOOGLETRANSLATE(B176, ""th"", ""en"")"),"In what year did Sepak Takraw begin to gain popularity in Malaysia?")</f>
        <v>In what year did Sepak Takraw begin to gain popularity in Malaysia?</v>
      </c>
      <c r="J177" s="28" t="str">
        <f>IFERROR(__xludf.DUMMYFUNCTION("GOOGLETRANSLATE(C176, ""th"", ""en"")"),"A) 1960; B) 1970; C) 1980; D) 1990")</f>
        <v>A) 1960; B) 1970; C) 1980; D) 1990</v>
      </c>
      <c r="K177" s="28" t="str">
        <f>IFERROR(__xludf.DUMMYFUNCTION("GOOGLETRANSLATE(D176, ""th"", ""en"")"),"B) 1970")</f>
        <v>B) 1970</v>
      </c>
    </row>
    <row r="178" ht="14.25" customHeight="1">
      <c r="A178" s="27">
        <v>177.0</v>
      </c>
      <c r="B178" s="28" t="s">
        <v>3454</v>
      </c>
      <c r="C178" s="28" t="s">
        <v>1455</v>
      </c>
      <c r="D178" s="28" t="s">
        <v>3304</v>
      </c>
      <c r="E178" s="28" t="s">
        <v>3455</v>
      </c>
      <c r="F178" s="28" t="s">
        <v>2440</v>
      </c>
      <c r="G178" s="28" t="s">
        <v>2440</v>
      </c>
      <c r="H178" s="28" t="s">
        <v>2440</v>
      </c>
      <c r="I178" s="28" t="str">
        <f>IFERROR(__xludf.DUMMYFUNCTION("GOOGLETRANSLATE(B177, ""th"", ""en"")"),"When was sepak takraw recognized by the Asian Sports Federation?")</f>
        <v>When was sepak takraw recognized by the Asian Sports Federation?</v>
      </c>
      <c r="J178" s="28" t="str">
        <f>IFERROR(__xludf.DUMMYFUNCTION("GOOGLETRANSLATE(C177, ""th"", ""en"")"),"A) 1960; B) 1970; C) 1980; D) 1990")</f>
        <v>A) 1960; B) 1970; C) 1980; D) 1990</v>
      </c>
      <c r="K178" s="28" t="str">
        <f>IFERROR(__xludf.DUMMYFUNCTION("GOOGLETRANSLATE(D177, ""th"", ""en"")"),"B) 1970")</f>
        <v>B) 1970</v>
      </c>
    </row>
    <row r="179" ht="14.25" customHeight="1">
      <c r="A179" s="27">
        <v>178.0</v>
      </c>
      <c r="B179" s="28" t="s">
        <v>3456</v>
      </c>
      <c r="C179" s="28" t="s">
        <v>3457</v>
      </c>
      <c r="D179" s="28" t="s">
        <v>2925</v>
      </c>
      <c r="E179" s="28" t="s">
        <v>3458</v>
      </c>
      <c r="F179" s="28" t="s">
        <v>2440</v>
      </c>
      <c r="G179" s="28" t="s">
        <v>2440</v>
      </c>
      <c r="H179" s="28" t="s">
        <v>2440</v>
      </c>
      <c r="I179" s="28" t="str">
        <f>IFERROR(__xludf.DUMMYFUNCTION("GOOGLETRANSLATE(B178, ""th"", ""en"")"),"In which year was the first international sepak takraw competition held?")</f>
        <v>In which year was the first international sepak takraw competition held?</v>
      </c>
      <c r="J179" s="28" t="str">
        <f>IFERROR(__xludf.DUMMYFUNCTION("GOOGLETRANSLATE(C178, ""th"", ""en"")"),"A) 1970; B) 1980; C) 1990; D) 2000")</f>
        <v>A) 1970; B) 1980; C) 1990; D) 2000</v>
      </c>
      <c r="K179" s="28" t="str">
        <f>IFERROR(__xludf.DUMMYFUNCTION("GOOGLETRANSLATE(D178, ""th"", ""en"")"),"A) 1970")</f>
        <v>A) 1970</v>
      </c>
    </row>
    <row r="180" ht="14.25" customHeight="1">
      <c r="A180" s="27">
        <v>179.0</v>
      </c>
      <c r="B180" s="28" t="s">
        <v>3459</v>
      </c>
      <c r="C180" s="28" t="s">
        <v>3460</v>
      </c>
      <c r="D180" s="28" t="s">
        <v>3461</v>
      </c>
      <c r="E180" s="28" t="s">
        <v>3462</v>
      </c>
      <c r="F180" s="28" t="s">
        <v>2440</v>
      </c>
      <c r="G180" s="28" t="s">
        <v>2440</v>
      </c>
      <c r="H180" s="28" t="s">
        <v>2440</v>
      </c>
      <c r="I180" s="28" t="str">
        <f>IFERROR(__xludf.DUMMYFUNCTION("GOOGLETRANSLATE(B179, ""th"", ""en"")"),"In which city was the 7th SEA Games sepak takraw competition held?")</f>
        <v>In which city was the 7th SEA Games sepak takraw competition held?</v>
      </c>
      <c r="J180" s="28" t="str">
        <f>IFERROR(__xludf.DUMMYFUNCTION("GOOGLETRANSLATE(C179, ""th"", ""en"")"),"A) Indonesia; B) Malaysia; C) Singapore; D) Thailand")</f>
        <v>A) Indonesia; B) Malaysia; C) Singapore; D) Thailand</v>
      </c>
      <c r="K180" s="28" t="str">
        <f>IFERROR(__xludf.DUMMYFUNCTION("GOOGLETRANSLATE(D179, ""th"", ""en"")"),"B) Malaysia")</f>
        <v>B) Malaysia</v>
      </c>
    </row>
    <row r="181" ht="14.25" customHeight="1">
      <c r="A181" s="27">
        <v>180.0</v>
      </c>
      <c r="B181" s="28" t="s">
        <v>3390</v>
      </c>
      <c r="C181" s="28" t="s">
        <v>3463</v>
      </c>
      <c r="D181" s="28" t="s">
        <v>3392</v>
      </c>
      <c r="E181" s="28" t="s">
        <v>3393</v>
      </c>
      <c r="F181" s="28" t="s">
        <v>2440</v>
      </c>
      <c r="G181" s="28" t="s">
        <v>2440</v>
      </c>
      <c r="H181" s="28" t="s">
        <v>2440</v>
      </c>
      <c r="I181" s="28" t="str">
        <f>IFERROR(__xludf.DUMMYFUNCTION("GOOGLETRANSLATE(B180, ""th"", ""en"")"),"Where did the development of sepak takraw in Thailand begin?")</f>
        <v>Where did the development of sepak takraw in Thailand begin?</v>
      </c>
      <c r="J181" s="28" t="str">
        <f>IFERROR(__xludf.DUMMYFUNCTION("GOOGLETRANSLATE(C180, ""th"", ""en"")"),"A) Bangkok; B) Phuket; C) Chiang Mai; D) Khon Kaen")</f>
        <v>A) Bangkok; B) Phuket; C) Chiang Mai; D) Khon Kaen</v>
      </c>
      <c r="K181" s="28" t="str">
        <f>IFERROR(__xludf.DUMMYFUNCTION("GOOGLETRANSLATE(D180, ""th"", ""en"")"),"A) Bangkok")</f>
        <v>A) Bangkok</v>
      </c>
    </row>
    <row r="182" ht="14.25" customHeight="1">
      <c r="A182" s="27">
        <v>181.0</v>
      </c>
      <c r="B182" s="28" t="s">
        <v>3464</v>
      </c>
      <c r="C182" s="28" t="s">
        <v>1072</v>
      </c>
      <c r="D182" s="28" t="s">
        <v>3423</v>
      </c>
      <c r="E182" s="28" t="s">
        <v>3465</v>
      </c>
      <c r="F182" s="28" t="s">
        <v>2440</v>
      </c>
      <c r="G182" s="28" t="s">
        <v>2440</v>
      </c>
      <c r="H182" s="28" t="s">
        <v>2440</v>
      </c>
      <c r="I182" s="28" t="str">
        <f>IFERROR(__xludf.DUMMYFUNCTION("GOOGLETRANSLATE(B181, ""th"", ""en"")"),"In which year was sepak takraw recognized by the Olympics?")</f>
        <v>In which year was sepak takraw recognized by the Olympics?</v>
      </c>
      <c r="J182" s="28" t="str">
        <f>IFERROR(__xludf.DUMMYFUNCTION("GOOGLETRANSLATE(C181, ""th"", ""en"")"),"A) 1990; B) 1980; C) 2000; D) not yet accepted")</f>
        <v>A) 1990; B) 1980; C) 2000; D) not yet accepted</v>
      </c>
      <c r="K182" s="28" t="str">
        <f>IFERROR(__xludf.DUMMYFUNCTION("GOOGLETRANSLATE(D181, ""th"", ""en"")"),"D) Not yet accepted")</f>
        <v>D) Not yet accepted</v>
      </c>
    </row>
    <row r="183" ht="14.25" customHeight="1">
      <c r="A183" s="27">
        <v>182.0</v>
      </c>
      <c r="B183" s="28" t="s">
        <v>3466</v>
      </c>
      <c r="C183" s="28" t="s">
        <v>3467</v>
      </c>
      <c r="D183" s="28" t="s">
        <v>3043</v>
      </c>
      <c r="E183" s="28" t="s">
        <v>3468</v>
      </c>
      <c r="F183" s="28" t="s">
        <v>2440</v>
      </c>
      <c r="G183" s="28" t="s">
        <v>2440</v>
      </c>
      <c r="H183" s="28" t="s">
        <v>2440</v>
      </c>
      <c r="I183" s="28" t="str">
        <f>IFERROR(__xludf.DUMMYFUNCTION("GOOGLETRANSLATE(B182, ""th"", ""en"")"),"In what year was Sepak Takraw first held in Thailand?")</f>
        <v>In what year was Sepak Takraw first held in Thailand?</v>
      </c>
      <c r="J183" s="28" t="str">
        <f>IFERROR(__xludf.DUMMYFUNCTION("GOOGLETRANSLATE(C182, ""th"", ""en"")"),"A) 1960; B) 1970; C) 1980; D) 1990")</f>
        <v>A) 1960; B) 1970; C) 1980; D) 1990</v>
      </c>
      <c r="K183" s="28" t="str">
        <f>IFERROR(__xludf.DUMMYFUNCTION("GOOGLETRANSLATE(D182, ""th"", ""en"")"),"A) 1960")</f>
        <v>A) 1960</v>
      </c>
    </row>
    <row r="184" ht="14.25" customHeight="1">
      <c r="A184" s="27">
        <v>183.0</v>
      </c>
      <c r="B184" s="28" t="s">
        <v>3469</v>
      </c>
      <c r="C184" s="28" t="s">
        <v>1072</v>
      </c>
      <c r="D184" s="28" t="s">
        <v>3423</v>
      </c>
      <c r="E184" s="28" t="s">
        <v>3470</v>
      </c>
      <c r="F184" s="28" t="s">
        <v>2440</v>
      </c>
      <c r="G184" s="28" t="s">
        <v>2440</v>
      </c>
      <c r="H184" s="28" t="s">
        <v>2440</v>
      </c>
      <c r="I184" s="28" t="str">
        <f>IFERROR(__xludf.DUMMYFUNCTION("GOOGLETRANSLATE(B183, ""th"", ""en"")"),"In which city was the 11th Asian Games Sepak Takraw competition held?")</f>
        <v>In which city was the 11th Asian Games Sepak Takraw competition held?</v>
      </c>
      <c r="J184" s="28" t="str">
        <f>IFERROR(__xludf.DUMMYFUNCTION("GOOGLETRANSLATE(C183, ""th"", ""en"")"),"A) Indonesia; B) Malaysia; C) Guangzhou; D) Baku")</f>
        <v>A) Indonesia; B) Malaysia; C) Guangzhou; D) Baku</v>
      </c>
      <c r="K184" s="28" t="str">
        <f>IFERROR(__xludf.DUMMYFUNCTION("GOOGLETRANSLATE(D183, ""th"", ""en"")"),"A) Indonesia")</f>
        <v>A) Indonesia</v>
      </c>
    </row>
    <row r="185" ht="14.25" customHeight="1">
      <c r="A185" s="27">
        <v>184.0</v>
      </c>
      <c r="B185" s="28" t="s">
        <v>3471</v>
      </c>
      <c r="C185" s="28" t="s">
        <v>3472</v>
      </c>
      <c r="D185" s="28" t="s">
        <v>3473</v>
      </c>
      <c r="E185" s="28" t="s">
        <v>3474</v>
      </c>
      <c r="F185" s="28"/>
      <c r="G185" s="28" t="s">
        <v>2440</v>
      </c>
      <c r="H185" s="28" t="s">
        <v>2440</v>
      </c>
      <c r="I185" s="28" t="str">
        <f>IFERROR(__xludf.DUMMYFUNCTION("GOOGLETRANSLATE(B184, ""th"", ""en"")"),"Since what year did Sepak Takraw become known in Thailand?")</f>
        <v>Since what year did Sepak Takraw become known in Thailand?</v>
      </c>
      <c r="J185" s="28" t="str">
        <f>IFERROR(__xludf.DUMMYFUNCTION("GOOGLETRANSLATE(C184, ""th"", ""en"")"),"A) 1960; B) 1970; C) 1980; D) 1990")</f>
        <v>A) 1960; B) 1970; C) 1980; D) 1990</v>
      </c>
      <c r="K185" s="28" t="str">
        <f>IFERROR(__xludf.DUMMYFUNCTION("GOOGLETRANSLATE(D184, ""th"", ""en"")"),"A) 1960")</f>
        <v>A) 1960</v>
      </c>
    </row>
    <row r="186" ht="14.25" customHeight="1">
      <c r="A186" s="27">
        <v>185.0</v>
      </c>
      <c r="B186" s="28" t="s">
        <v>3475</v>
      </c>
      <c r="C186" s="28" t="s">
        <v>1072</v>
      </c>
      <c r="D186" s="28" t="s">
        <v>1073</v>
      </c>
      <c r="E186" s="28" t="s">
        <v>3476</v>
      </c>
      <c r="F186" s="28" t="s">
        <v>2440</v>
      </c>
      <c r="G186" s="28" t="s">
        <v>2440</v>
      </c>
      <c r="H186" s="28" t="s">
        <v>2440</v>
      </c>
      <c r="I186" s="28" t="str">
        <f>IFERROR(__xludf.DUMMYFUNCTION("GOOGLETRANSLATE(B185, ""th"", ""en"")"),"In which city was the 8th Asian Games Sepak Takraw competition held?")</f>
        <v>In which city was the 8th Asian Games Sepak Takraw competition held?</v>
      </c>
      <c r="J186" s="28" t="str">
        <f>IFERROR(__xludf.DUMMYFUNCTION("GOOGLETRANSLATE(C185, ""th"", ""en"")"),"A) Seoul; B) Hanoi; C) Bangkok; D) Shanghai")</f>
        <v>A) Seoul; B) Hanoi; C) Bangkok; D) Shanghai</v>
      </c>
      <c r="K186" s="28" t="str">
        <f>IFERROR(__xludf.DUMMYFUNCTION("GOOGLETRANSLATE(D185, ""th"", ""en"")"),"C) Bangkok")</f>
        <v>C) Bangkok</v>
      </c>
    </row>
    <row r="187" ht="14.25" customHeight="1">
      <c r="A187" s="27">
        <v>186.0</v>
      </c>
      <c r="B187" s="28" t="s">
        <v>3477</v>
      </c>
      <c r="C187" s="28" t="s">
        <v>3478</v>
      </c>
      <c r="D187" s="28" t="s">
        <v>3479</v>
      </c>
      <c r="E187" s="28" t="s">
        <v>3480</v>
      </c>
      <c r="F187" s="28" t="s">
        <v>2440</v>
      </c>
      <c r="G187" s="28" t="s">
        <v>2440</v>
      </c>
      <c r="H187" s="28" t="s">
        <v>2440</v>
      </c>
      <c r="I187" s="28" t="str">
        <f>IFERROR(__xludf.DUMMYFUNCTION("GOOGLETRANSLATE(B186, ""th"", ""en"")"),"In what year did the development of sepak takraw in Malaysia begin?")</f>
        <v>In what year did the development of sepak takraw in Malaysia begin?</v>
      </c>
      <c r="J187" s="28" t="str">
        <f>IFERROR(__xludf.DUMMYFUNCTION("GOOGLETRANSLATE(C186, ""th"", ""en"")"),"A) 1960; B) 1970; C) 1980; D) 1990")</f>
        <v>A) 1960; B) 1970; C) 1980; D) 1990</v>
      </c>
      <c r="K187" s="28" t="str">
        <f>IFERROR(__xludf.DUMMYFUNCTION("GOOGLETRANSLATE(D186, ""th"", ""en"")"),"B) 1970")</f>
        <v>B) 1970</v>
      </c>
    </row>
    <row r="188" ht="14.25" customHeight="1">
      <c r="A188" s="27">
        <v>187.0</v>
      </c>
      <c r="B188" s="28" t="s">
        <v>3481</v>
      </c>
      <c r="C188" s="28" t="s">
        <v>3482</v>
      </c>
      <c r="D188" s="28" t="s">
        <v>2957</v>
      </c>
      <c r="E188" s="28" t="s">
        <v>3483</v>
      </c>
      <c r="F188" s="28" t="s">
        <v>2440</v>
      </c>
      <c r="G188" s="28" t="s">
        <v>2440</v>
      </c>
      <c r="H188" s="28" t="s">
        <v>2440</v>
      </c>
      <c r="I188" s="28" t="str">
        <f>IFERROR(__xludf.DUMMYFUNCTION("GOOGLETRANSLATE(B187, ""th"", ""en"")"),"In what year did Sepak Takraw become more popular in Thailand?")</f>
        <v>In what year did Sepak Takraw become more popular in Thailand?</v>
      </c>
      <c r="J188" s="28" t="str">
        <f>IFERROR(__xludf.DUMMYFUNCTION("GOOGLETRANSLATE(C187, ""th"", ""en"")"),"A) 1960-1970; B) 1970-1980; C) 1980-1990; D) 1990-2000")</f>
        <v>A) 1960-1970; B) 1970-1980; C) 1980-1990; D) 1990-2000</v>
      </c>
      <c r="K188" s="28" t="str">
        <f>IFERROR(__xludf.DUMMYFUNCTION("GOOGLETRANSLATE(D187, ""th"", ""en"")"),"B) 1970-1980")</f>
        <v>B) 1970-1980</v>
      </c>
    </row>
    <row r="189" ht="14.25" customHeight="1">
      <c r="A189" s="27">
        <v>188.0</v>
      </c>
      <c r="B189" s="28" t="s">
        <v>3484</v>
      </c>
      <c r="C189" s="28" t="s">
        <v>3478</v>
      </c>
      <c r="D189" s="28" t="s">
        <v>3479</v>
      </c>
      <c r="E189" s="28" t="s">
        <v>3485</v>
      </c>
      <c r="F189" s="28" t="s">
        <v>2440</v>
      </c>
      <c r="G189" s="28" t="s">
        <v>2440</v>
      </c>
      <c r="H189" s="28" t="s">
        <v>2440</v>
      </c>
      <c r="I189" s="28" t="str">
        <f>IFERROR(__xludf.DUMMYFUNCTION("GOOGLETRANSLATE(B188, ""th"", ""en"")"),"In which city was the 12th SEA Games sepak takraw competition held?")</f>
        <v>In which city was the 12th SEA Games sepak takraw competition held?</v>
      </c>
      <c r="J189" s="28" t="str">
        <f>IFERROR(__xludf.DUMMYFUNCTION("GOOGLETRANSLATE(C188, ""th"", ""en"")"),"A) Malaysia; B) Philippines; C) Singapore; D) Indonesia")</f>
        <v>A) Malaysia; B) Philippines; C) Singapore; D) Indonesia</v>
      </c>
      <c r="K189" s="28" t="str">
        <f>IFERROR(__xludf.DUMMYFUNCTION("GOOGLETRANSLATE(D188, ""th"", ""en"")"),"C) Singapore")</f>
        <v>C) Singapore</v>
      </c>
    </row>
    <row r="190" ht="14.25" customHeight="1">
      <c r="A190" s="27">
        <v>189.0</v>
      </c>
      <c r="B190" s="28" t="s">
        <v>3486</v>
      </c>
      <c r="C190" s="28" t="s">
        <v>3487</v>
      </c>
      <c r="D190" s="28" t="s">
        <v>3438</v>
      </c>
      <c r="E190" s="28" t="s">
        <v>3488</v>
      </c>
      <c r="F190" s="28" t="s">
        <v>2440</v>
      </c>
      <c r="G190" s="28" t="s">
        <v>2440</v>
      </c>
      <c r="H190" s="28" t="s">
        <v>2440</v>
      </c>
      <c r="I190" s="28" t="str">
        <f>IFERROR(__xludf.DUMMYFUNCTION("GOOGLETRANSLATE(B189, ""th"", ""en"")"),"In what year was Sepak Takraw developed in Indonesia?")</f>
        <v>In what year was Sepak Takraw developed in Indonesia?</v>
      </c>
      <c r="J190" s="28" t="str">
        <f>IFERROR(__xludf.DUMMYFUNCTION("GOOGLETRANSLATE(C189, ""th"", ""en"")"),"A) 1960-1970; B) 1970-1980; C) 1980-1990; D) 1990-2000")</f>
        <v>A) 1960-1970; B) 1970-1980; C) 1980-1990; D) 1990-2000</v>
      </c>
      <c r="K190" s="28" t="str">
        <f>IFERROR(__xludf.DUMMYFUNCTION("GOOGLETRANSLATE(D189, ""th"", ""en"")"),"B) 1970-1980")</f>
        <v>B) 1970-1980</v>
      </c>
    </row>
    <row r="191" ht="14.25" customHeight="1">
      <c r="A191" s="27">
        <v>190.0</v>
      </c>
      <c r="B191" s="28" t="s">
        <v>3489</v>
      </c>
      <c r="C191" s="28" t="s">
        <v>1072</v>
      </c>
      <c r="D191" s="28" t="s">
        <v>3423</v>
      </c>
      <c r="E191" s="28" t="s">
        <v>3450</v>
      </c>
      <c r="F191" s="28" t="s">
        <v>2440</v>
      </c>
      <c r="G191" s="28" t="s">
        <v>2440</v>
      </c>
      <c r="H191" s="28" t="s">
        <v>2440</v>
      </c>
      <c r="I191" s="28" t="str">
        <f>IFERROR(__xludf.DUMMYFUNCTION("GOOGLETRANSLATE(B190, ""th"", ""en"")"),"In which city was the 6th Asian Games Sepak Takraw competition held?")</f>
        <v>In which city was the 6th Asian Games Sepak Takraw competition held?</v>
      </c>
      <c r="J191" s="28" t="str">
        <f>IFERROR(__xludf.DUMMYFUNCTION("GOOGLETRANSLATE(C190, ""th"", ""en"")"),"A) Ho Chi Minh; B) Bangkok; C) Jakarta; D) Seoul")</f>
        <v>A) Ho Chi Minh; B) Bangkok; C) Jakarta; D) Seoul</v>
      </c>
      <c r="K191" s="28" t="str">
        <f>IFERROR(__xludf.DUMMYFUNCTION("GOOGLETRANSLATE(D190, ""th"", ""en"")"),"D) Seoul")</f>
        <v>D) Seoul</v>
      </c>
    </row>
    <row r="192" ht="14.25" customHeight="1">
      <c r="A192" s="27">
        <v>191.0</v>
      </c>
      <c r="B192" s="28" t="s">
        <v>3490</v>
      </c>
      <c r="C192" s="28" t="s">
        <v>3491</v>
      </c>
      <c r="D192" s="28" t="s">
        <v>3492</v>
      </c>
      <c r="E192" s="28" t="s">
        <v>3493</v>
      </c>
      <c r="F192" s="28" t="s">
        <v>2440</v>
      </c>
      <c r="G192" s="28" t="s">
        <v>2440</v>
      </c>
      <c r="H192" s="28" t="s">
        <v>2440</v>
      </c>
      <c r="I192" s="28" t="str">
        <f>IFERROR(__xludf.DUMMYFUNCTION("GOOGLETRANSLATE(B191, ""th"", ""en"")"),"In which year was sepak takraw developed in Thailand?")</f>
        <v>In which year was sepak takraw developed in Thailand?</v>
      </c>
      <c r="J192" s="28" t="str">
        <f>IFERROR(__xludf.DUMMYFUNCTION("GOOGLETRANSLATE(C191, ""th"", ""en"")"),"A) 1960; B) 1970; C) 1980; D) 1990")</f>
        <v>A) 1960; B) 1970; C) 1980; D) 1990</v>
      </c>
      <c r="K192" s="28" t="str">
        <f>IFERROR(__xludf.DUMMYFUNCTION("GOOGLETRANSLATE(D191, ""th"", ""en"")"),"A) 1960")</f>
        <v>A) 1960</v>
      </c>
    </row>
    <row r="193" ht="14.25" customHeight="1">
      <c r="A193" s="27">
        <v>192.0</v>
      </c>
      <c r="B193" s="28" t="s">
        <v>3494</v>
      </c>
      <c r="C193" s="28" t="s">
        <v>1072</v>
      </c>
      <c r="D193" s="28" t="s">
        <v>1073</v>
      </c>
      <c r="E193" s="28" t="s">
        <v>3495</v>
      </c>
      <c r="F193" s="28" t="s">
        <v>2440</v>
      </c>
      <c r="G193" s="28" t="s">
        <v>2440</v>
      </c>
      <c r="H193" s="28" t="s">
        <v>2440</v>
      </c>
      <c r="I193" s="28" t="str">
        <f>IFERROR(__xludf.DUMMYFUNCTION("GOOGLETRANSLATE(B192, ""th"", ""en"")"),"In which city was the 4th Asian Games Sepak Takraw competition held?")</f>
        <v>In which city was the 4th Asian Games Sepak Takraw competition held?</v>
      </c>
      <c r="J193" s="28" t="str">
        <f>IFERROR(__xludf.DUMMYFUNCTION("GOOGLETRANSLATE(C192, ""th"", ""en"")"),"A) Bangkok; B) Taipei; C) Hanoi; D) Seoul")</f>
        <v>A) Bangkok; B) Taipei; C) Hanoi; D) Seoul</v>
      </c>
      <c r="K193" s="28" t="str">
        <f>IFERROR(__xludf.DUMMYFUNCTION("GOOGLETRANSLATE(D192, ""th"", ""en"")"),"B) Taipei")</f>
        <v>B) Taipei</v>
      </c>
    </row>
    <row r="194" ht="14.25" customHeight="1">
      <c r="A194" s="27">
        <v>193.0</v>
      </c>
      <c r="B194" s="28" t="s">
        <v>3496</v>
      </c>
      <c r="C194" s="28" t="s">
        <v>1072</v>
      </c>
      <c r="D194" s="28" t="s">
        <v>1073</v>
      </c>
      <c r="E194" s="28" t="s">
        <v>3497</v>
      </c>
      <c r="F194" s="28" t="s">
        <v>2440</v>
      </c>
      <c r="G194" s="28" t="s">
        <v>2440</v>
      </c>
      <c r="H194" s="28" t="s">
        <v>2440</v>
      </c>
      <c r="I194" s="28" t="str">
        <f>IFERROR(__xludf.DUMMYFUNCTION("GOOGLETRANSLATE(B193, ""th"", ""en"")"),"In what year was the Sepak Takraw Federation of Thailand founded?")</f>
        <v>In what year was the Sepak Takraw Federation of Thailand founded?</v>
      </c>
      <c r="J194" s="28" t="str">
        <f>IFERROR(__xludf.DUMMYFUNCTION("GOOGLETRANSLATE(C193, ""th"", ""en"")"),"A) 1960; B) 1970; C) 1980; D) 1990")</f>
        <v>A) 1960; B) 1970; C) 1980; D) 1990</v>
      </c>
      <c r="K194" s="28" t="str">
        <f>IFERROR(__xludf.DUMMYFUNCTION("GOOGLETRANSLATE(D193, ""th"", ""en"")"),"B) 1970")</f>
        <v>B) 1970</v>
      </c>
    </row>
    <row r="195" ht="14.25" customHeight="1">
      <c r="A195" s="27">
        <v>194.0</v>
      </c>
      <c r="B195" s="28" t="s">
        <v>3498</v>
      </c>
      <c r="C195" s="28" t="s">
        <v>3499</v>
      </c>
      <c r="D195" s="28" t="s">
        <v>3500</v>
      </c>
      <c r="E195" s="28" t="s">
        <v>3501</v>
      </c>
      <c r="F195" s="28" t="s">
        <v>2440</v>
      </c>
      <c r="G195" s="28" t="s">
        <v>2440</v>
      </c>
      <c r="H195" s="28" t="s">
        <v>2440</v>
      </c>
      <c r="I195" s="28" t="str">
        <f>IFERROR(__xludf.DUMMYFUNCTION("GOOGLETRANSLATE(B194, ""th"", ""en"")"),"Since what year did sepak takraw become popular in Thailand?")</f>
        <v>Since what year did sepak takraw become popular in Thailand?</v>
      </c>
      <c r="J195" s="28" t="str">
        <f>IFERROR(__xludf.DUMMYFUNCTION("GOOGLETRANSLATE(C194, ""th"", ""en"")"),"A) 1960; B) 1970; C) 1980; D) 1990")</f>
        <v>A) 1960; B) 1970; C) 1980; D) 1990</v>
      </c>
      <c r="K195" s="28" t="str">
        <f>IFERROR(__xludf.DUMMYFUNCTION("GOOGLETRANSLATE(D194, ""th"", ""en"")"),"B) 1970")</f>
        <v>B) 1970</v>
      </c>
    </row>
    <row r="196" ht="14.25" customHeight="1">
      <c r="A196" s="27">
        <v>195.0</v>
      </c>
      <c r="B196" s="28" t="s">
        <v>3502</v>
      </c>
      <c r="C196" s="28" t="s">
        <v>3503</v>
      </c>
      <c r="D196" s="28" t="s">
        <v>3088</v>
      </c>
      <c r="E196" s="28" t="s">
        <v>3375</v>
      </c>
      <c r="F196" s="28" t="s">
        <v>2440</v>
      </c>
      <c r="G196" s="28" t="s">
        <v>2440</v>
      </c>
      <c r="H196" s="28" t="s">
        <v>2440</v>
      </c>
      <c r="I196" s="28" t="str">
        <f>IFERROR(__xludf.DUMMYFUNCTION("GOOGLETRANSLATE(B195, ""th"", ""en"")"),"In which city was the 5th Asian Games Sepak Takraw competition held?")</f>
        <v>In which city was the 5th Asian Games Sepak Takraw competition held?</v>
      </c>
      <c r="J196" s="28" t="str">
        <f>IFERROR(__xludf.DUMMYFUNCTION("GOOGLETRANSLATE(C195, ""th"", ""en"")"),"A) Malaysia; B) Indonesia; C) Bangladesh; D) India")</f>
        <v>A) Malaysia; B) Indonesia; C) Bangladesh; D) India</v>
      </c>
      <c r="K196" s="28" t="str">
        <f>IFERROR(__xludf.DUMMYFUNCTION("GOOGLETRANSLATE(D195, ""th"", ""en"")"),"B) Indonesia")</f>
        <v>B) Indonesia</v>
      </c>
    </row>
    <row r="197" ht="14.25" customHeight="1">
      <c r="A197" s="27">
        <v>196.0</v>
      </c>
      <c r="B197" s="28" t="s">
        <v>3504</v>
      </c>
      <c r="C197" s="28" t="s">
        <v>3505</v>
      </c>
      <c r="D197" s="28" t="s">
        <v>3506</v>
      </c>
      <c r="E197" s="28" t="s">
        <v>3507</v>
      </c>
      <c r="F197" s="28" t="s">
        <v>2440</v>
      </c>
      <c r="G197" s="28" t="s">
        <v>2440</v>
      </c>
      <c r="H197" s="28" t="s">
        <v>2440</v>
      </c>
      <c r="I197" s="28" t="str">
        <f>IFERROR(__xludf.DUMMYFUNCTION("GOOGLETRANSLATE(B196, ""th"", ""en"")"),"In which city was the first world-class sepak takraw competition held?")</f>
        <v>In which city was the first world-class sepak takraw competition held?</v>
      </c>
      <c r="J197" s="28" t="str">
        <f>IFERROR(__xludf.DUMMYFUNCTION("GOOGLETRANSLATE(C196, ""th"", ""en"")"),"A) Malaysia; B) Bangkok; C) Indonesia; D) Singapore")</f>
        <v>A) Malaysia; B) Bangkok; C) Indonesia; D) Singapore</v>
      </c>
      <c r="K197" s="28" t="str">
        <f>IFERROR(__xludf.DUMMYFUNCTION("GOOGLETRANSLATE(D196, ""th"", ""en"")"),"A) Malaysia")</f>
        <v>A) Malaysia</v>
      </c>
    </row>
    <row r="198" ht="14.25" customHeight="1">
      <c r="A198" s="27">
        <v>197.0</v>
      </c>
      <c r="B198" s="28" t="s">
        <v>3508</v>
      </c>
      <c r="C198" s="28" t="s">
        <v>3509</v>
      </c>
      <c r="D198" s="28" t="s">
        <v>3461</v>
      </c>
      <c r="E198" s="28" t="s">
        <v>3510</v>
      </c>
      <c r="F198" s="28" t="s">
        <v>2440</v>
      </c>
      <c r="G198" s="28" t="s">
        <v>2440</v>
      </c>
      <c r="H198" s="28" t="s">
        <v>2440</v>
      </c>
      <c r="I198" s="28" t="str">
        <f>IFERROR(__xludf.DUMMYFUNCTION("GOOGLETRANSLATE(B197, ""th"", ""en"")"),"When did Sepak Takraw become known in Thailand?")</f>
        <v>When did Sepak Takraw become known in Thailand?</v>
      </c>
      <c r="J198" s="28" t="str">
        <f>IFERROR(__xludf.DUMMYFUNCTION("GOOGLETRANSLATE(C197, ""th"", ""en"")"),"A) 1950s; B) 1960s; C) 1970s; D) 1980s")</f>
        <v>A) 1950s; B) 1960s; C) 1970s; D) 1980s</v>
      </c>
      <c r="K198" s="28" t="str">
        <f>IFERROR(__xludf.DUMMYFUNCTION("GOOGLETRANSLATE(D197, ""th"", ""en"")"),"B) 1960")</f>
        <v>B) 1960</v>
      </c>
    </row>
    <row r="199" ht="14.25" customHeight="1">
      <c r="A199" s="27">
        <v>198.0</v>
      </c>
      <c r="B199" s="28" t="s">
        <v>3511</v>
      </c>
      <c r="C199" s="28" t="s">
        <v>3512</v>
      </c>
      <c r="D199" s="28" t="s">
        <v>3513</v>
      </c>
      <c r="E199" s="28" t="s">
        <v>3514</v>
      </c>
      <c r="F199" s="28" t="s">
        <v>2440</v>
      </c>
      <c r="G199" s="28" t="s">
        <v>2440</v>
      </c>
      <c r="H199" s="28" t="s">
        <v>2440</v>
      </c>
      <c r="I199" s="28" t="str">
        <f>IFERROR(__xludf.DUMMYFUNCTION("GOOGLETRANSLATE(B198, ""th"", ""en"")"),"In which city was the 13th SEA Games sepak takraw competition held?")</f>
        <v>In which city was the 13th SEA Games sepak takraw competition held?</v>
      </c>
      <c r="J199" s="28" t="str">
        <f>IFERROR(__xludf.DUMMYFUNCTION("GOOGLETRANSLATE(C198, ""th"", ""en"")"),"A) Bangkok; B) Singapore; C) Hanoi; D) Jakarta")</f>
        <v>A) Bangkok; B) Singapore; C) Hanoi; D) Jakarta</v>
      </c>
      <c r="K199" s="28" t="str">
        <f>IFERROR(__xludf.DUMMYFUNCTION("GOOGLETRANSLATE(D198, ""th"", ""en"")"),"A) Bangkok")</f>
        <v>A) Bangkok</v>
      </c>
    </row>
    <row r="200" ht="14.25" customHeight="1">
      <c r="A200" s="27">
        <v>199.0</v>
      </c>
      <c r="B200" s="28" t="s">
        <v>3515</v>
      </c>
      <c r="C200" s="28" t="s">
        <v>1455</v>
      </c>
      <c r="D200" s="28" t="s">
        <v>3304</v>
      </c>
      <c r="E200" s="28" t="s">
        <v>3516</v>
      </c>
      <c r="F200" s="28" t="s">
        <v>2440</v>
      </c>
      <c r="G200" s="28" t="s">
        <v>2440</v>
      </c>
      <c r="H200" s="28" t="s">
        <v>2440</v>
      </c>
      <c r="I200" s="28" t="str">
        <f>IFERROR(__xludf.DUMMYFUNCTION("GOOGLETRANSLATE(B199, ""th"", ""en"")"),"Who supports the development of sepak takraw in Thailand?")</f>
        <v>Who supports the development of sepak takraw in Thailand?</v>
      </c>
      <c r="J200" s="28" t="str">
        <f>IFERROR(__xludf.DUMMYFUNCTION("GOOGLETRANSLATE(C199, ""th"", ""en"")"),"A) Ministry of Tourism and Sports; B) Sepak Takraw Federation of Thailand; C) Sports Association of Thailand; D) Sports Authority of Thailand")</f>
        <v>A) Ministry of Tourism and Sports; B) Sepak Takraw Federation of Thailand; C) Sports Association of Thailand; D) Sports Authority of Thailand</v>
      </c>
      <c r="K200" s="28" t="str">
        <f>IFERROR(__xludf.DUMMYFUNCTION("GOOGLETRANSLATE(D199, ""th"", ""en"")"),"B) Sepak Takraw Federation of Thailand")</f>
        <v>B) Sepak Takraw Federation of Thailand</v>
      </c>
    </row>
    <row r="201" ht="14.25" customHeight="1">
      <c r="A201" s="27">
        <v>200.0</v>
      </c>
      <c r="B201" s="28" t="s">
        <v>3517</v>
      </c>
      <c r="C201" s="28" t="s">
        <v>1339</v>
      </c>
      <c r="D201" s="28" t="s">
        <v>1340</v>
      </c>
      <c r="E201" s="28" t="s">
        <v>3518</v>
      </c>
      <c r="F201" s="28" t="s">
        <v>2440</v>
      </c>
      <c r="G201" s="28" t="s">
        <v>2440</v>
      </c>
      <c r="H201" s="28" t="s">
        <v>2440</v>
      </c>
      <c r="I201" s="28" t="str">
        <f>IFERROR(__xludf.DUMMYFUNCTION("GOOGLETRANSLATE(B200, ""th"", ""en"")"),"In what year did Sepak Takraw first begin being competed internationally?")</f>
        <v>In what year did Sepak Takraw first begin being competed internationally?</v>
      </c>
      <c r="J201" s="28" t="str">
        <f>IFERROR(__xludf.DUMMYFUNCTION("GOOGLETRANSLATE(C200, ""th"", ""en"")"),"A) 1970; B) 1980; C) 1990; D) 2000")</f>
        <v>A) 1970; B) 1980; C) 1990; D) 2000</v>
      </c>
      <c r="K201" s="28" t="str">
        <f>IFERROR(__xludf.DUMMYFUNCTION("GOOGLETRANSLATE(D200, ""th"", ""en"")"),"A) 1970")</f>
        <v>A) 1970</v>
      </c>
    </row>
    <row r="202" ht="14.25" customHeight="1">
      <c r="A202" s="27"/>
      <c r="B202" s="28" t="s">
        <v>2440</v>
      </c>
      <c r="C202" s="28" t="s">
        <v>2440</v>
      </c>
      <c r="D202" s="28" t="s">
        <v>2440</v>
      </c>
      <c r="E202" s="28" t="s">
        <v>2440</v>
      </c>
      <c r="F202" s="28" t="s">
        <v>2440</v>
      </c>
      <c r="G202" s="28" t="s">
        <v>2440</v>
      </c>
      <c r="H202" s="28" t="s">
        <v>2440</v>
      </c>
      <c r="I202" s="28" t="s">
        <v>2440</v>
      </c>
      <c r="J202" s="28" t="s">
        <v>2440</v>
      </c>
      <c r="K202" s="28" t="s">
        <v>2440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14.29"/>
    <col customWidth="1" min="3" max="3" width="78.57"/>
    <col customWidth="1" min="4" max="4" width="33.71"/>
    <col customWidth="1" min="5" max="5" width="44.29"/>
    <col customWidth="1" min="6" max="6" width="18.0"/>
    <col customWidth="1" min="7" max="7" width="14.29"/>
    <col customWidth="1" min="8" max="9" width="43.0"/>
    <col customWidth="1" min="10" max="10" width="32.0"/>
    <col customWidth="1" min="11" max="11" width="43.0"/>
    <col customWidth="1" min="12" max="18" width="8.71"/>
  </cols>
  <sheetData>
    <row r="1" ht="14.25" customHeight="1">
      <c r="A1" s="30" t="s">
        <v>0</v>
      </c>
      <c r="B1" s="30" t="s">
        <v>1</v>
      </c>
      <c r="C1" s="30" t="s">
        <v>2</v>
      </c>
      <c r="D1" s="30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31">
        <v>1.0</v>
      </c>
      <c r="B2" s="7" t="str">
        <f>IFERROR(__xludf.DUMMYFUNCTION("GOOGLETRANSLATE(H2, ""th"", ""en"")"),"When did Muay Thai originate?")</f>
        <v>When did Muay Thai originate?</v>
      </c>
      <c r="C2" s="7" t="str">
        <f>IFERROR(__xludf.DUMMYFUNCTION("GOOGLETRANSLATE(I2, ""th"", ""en"")"),"A) Sukhothai period, B) Ayutthaya period, C) Rattanakosin period, D) Dvaravati period")</f>
        <v>A) Sukhothai period, B) Ayutthaya period, C) Rattanakosin period, D) Dvaravati period</v>
      </c>
      <c r="D2" s="7" t="str">
        <f>IFERROR(__xludf.DUMMYFUNCTION("GOOGLETRANSLATE(J2, ""th"", ""en"")"),"A) Sukhothai period")</f>
        <v>A) Sukhothai period</v>
      </c>
      <c r="E2" s="5" t="str">
        <f>IFERROR(__xludf.DUMMYFUNCTION("GOOGLETRANSLATE(K2, ""th"", ""en"")"),"Muay Thai began in the Sukhothai period and has continued to develop.")</f>
        <v>Muay Thai began in the Sukhothai period and has continued to develop.</v>
      </c>
      <c r="G2" s="6">
        <v>1.0</v>
      </c>
      <c r="H2" s="7" t="s">
        <v>3519</v>
      </c>
      <c r="I2" s="7" t="s">
        <v>3520</v>
      </c>
      <c r="J2" s="7" t="s">
        <v>3521</v>
      </c>
      <c r="K2" s="7" t="s">
        <v>3522</v>
      </c>
    </row>
    <row r="3" ht="14.25" customHeight="1">
      <c r="A3" s="31">
        <v>2.0</v>
      </c>
      <c r="B3" s="7" t="str">
        <f>IFERROR(__xludf.DUMMYFUNCTION("GOOGLETRANSLATE(H3, ""th"", ""en"")"),"What was the original name of Muay Thai?")</f>
        <v>What was the original name of Muay Thai?</v>
      </c>
      <c r="C3" s="7" t="str">
        <f>IFERROR(__xludf.DUMMYFUNCTION("GOOGLETRANSLATE(I3, ""th"", ""en"")"),"A) Thai martial arts, B) Muay Thai, C) Horse boxing, D) Thai boxing")</f>
        <v>A) Thai martial arts, B) Muay Thai, C) Horse boxing, D) Thai boxing</v>
      </c>
      <c r="D3" s="7" t="str">
        <f>IFERROR(__xludf.DUMMYFUNCTION("GOOGLETRANSLATE(J3, ""th"", ""en"")"),"B) Muay Thai boxing")</f>
        <v>B) Muay Thai boxing</v>
      </c>
      <c r="E3" s="5" t="str">
        <f>IFERROR(__xludf.DUMMYFUNCTION("GOOGLETRANSLATE(K3, ""th"", ""en"")"),"Muay Thai was originally called 'Muay Kad Chuek' which used rope tying in fighting.")</f>
        <v>Muay Thai was originally called 'Muay Kad Chuek' which used rope tying in fighting.</v>
      </c>
      <c r="G3" s="6">
        <v>2.0</v>
      </c>
      <c r="H3" s="7" t="s">
        <v>3523</v>
      </c>
      <c r="I3" s="7" t="s">
        <v>3524</v>
      </c>
      <c r="J3" s="7" t="s">
        <v>3525</v>
      </c>
      <c r="K3" s="7" t="s">
        <v>3526</v>
      </c>
    </row>
    <row r="4" ht="14.25" customHeight="1">
      <c r="A4" s="31">
        <v>3.0</v>
      </c>
      <c r="B4" s="7" t="str">
        <f>IFERROR(__xludf.DUMMYFUNCTION("GOOGLETRANSLATE(H4, ""th"", ""en"")"),"Who founded modern Muay Thai?")</f>
        <v>Who founded modern Muay Thai?</v>
      </c>
      <c r="C4" s="7" t="str">
        <f>IFERROR(__xludf.DUMMYFUNCTION("GOOGLETRANSLATE(I4, ""th"", ""en"")"),"A) Phraya Phra Sadet, B) Lord Chancellor, C) King Naresuan, D) King Bhumibol Adulyadej")</f>
        <v>A) Phraya Phra Sadet, B) Lord Chancellor, C) King Naresuan, D) King Bhumibol Adulyadej</v>
      </c>
      <c r="D4" s="7" t="str">
        <f>IFERROR(__xludf.DUMMYFUNCTION("GOOGLETRANSLATE(J4, ""th"", ""en"")"),"B) His Highness")</f>
        <v>B) His Highness</v>
      </c>
      <c r="E4" s="5" t="str">
        <f>IFERROR(__xludf.DUMMYFUNCTION("GOOGLETRANSLATE(K4, ""th"", ""en"")"),"His Highness played an important role in the development of Muay Thai.")</f>
        <v>His Highness played an important role in the development of Muay Thai.</v>
      </c>
      <c r="G4" s="6">
        <v>3.0</v>
      </c>
      <c r="H4" s="7" t="s">
        <v>3527</v>
      </c>
      <c r="I4" s="7" t="s">
        <v>3528</v>
      </c>
      <c r="J4" s="7" t="s">
        <v>3529</v>
      </c>
      <c r="K4" s="7" t="s">
        <v>3530</v>
      </c>
    </row>
    <row r="5" ht="14.25" customHeight="1">
      <c r="A5" s="31">
        <v>4.0</v>
      </c>
      <c r="B5" s="7" t="str">
        <f>IFERROR(__xludf.DUMMYFUNCTION("GOOGLETRANSLATE(H5, ""th"", ""en"")"),"Which posture did Muay Thai training in the past emphasize the most?")</f>
        <v>Which posture did Muay Thai training in the past emphasize the most?</v>
      </c>
      <c r="C5" s="7" t="str">
        <f>IFERROR(__xludf.DUMMYFUNCTION("GOOGLETRANSLATE(I5, ""th"", ""en"")"),"A) Punch; B) Knee; C) Elbow; D) Kick")</f>
        <v>A) Punch; B) Knee; C) Elbow; D) Kick</v>
      </c>
      <c r="D5" s="7" t="str">
        <f>IFERROR(__xludf.DUMMYFUNCTION("GOOGLETRANSLATE(J5, ""th"", ""en"")"),"B) Knee pose")</f>
        <v>B) Knee pose</v>
      </c>
      <c r="E5" s="5" t="str">
        <f>IFERROR(__xludf.DUMMYFUNCTION("GOOGLETRANSLATE(K5, ""th"", ""en"")"),"Knee stances are one of the most important and widely used stances in Muay Thai.")</f>
        <v>Knee stances are one of the most important and widely used stances in Muay Thai.</v>
      </c>
      <c r="G5" s="6">
        <v>4.0</v>
      </c>
      <c r="H5" s="7" t="s">
        <v>3531</v>
      </c>
      <c r="I5" s="7" t="s">
        <v>3532</v>
      </c>
      <c r="J5" s="7" t="s">
        <v>3533</v>
      </c>
      <c r="K5" s="7" t="s">
        <v>3534</v>
      </c>
    </row>
    <row r="6" ht="14.25" customHeight="1">
      <c r="A6" s="31">
        <v>5.0</v>
      </c>
      <c r="B6" s="7" t="str">
        <f>IFERROR(__xludf.DUMMYFUNCTION("GOOGLETRANSLATE(H6, ""th"", ""en"")"),"When did Muay Thai first gain international recognition?")</f>
        <v>When did Muay Thai first gain international recognition?</v>
      </c>
      <c r="C6" s="7" t="str">
        <f>IFERROR(__xludf.DUMMYFUNCTION("GOOGLETRANSLATE(I6, ""th"", ""en"")"),"A) in 1930; B) in 1950; C) in 1960; D) in 1980")</f>
        <v>A) in 1930; B) in 1950; C) in 1960; D) in 1980</v>
      </c>
      <c r="D6" s="7" t="str">
        <f>IFERROR(__xludf.DUMMYFUNCTION("GOOGLETRANSLATE(J6, ""th"", ""en"")"),"B) In 1950")</f>
        <v>B) In 1950</v>
      </c>
      <c r="E6" s="5" t="str">
        <f>IFERROR(__xludf.DUMMYFUNCTION("GOOGLETRANSLATE(K6, ""th"", ""en"")"),"Muay Thai became popular abroad in the 1950s.")</f>
        <v>Muay Thai became popular abroad in the 1950s.</v>
      </c>
      <c r="G6" s="6">
        <v>5.0</v>
      </c>
      <c r="H6" s="7" t="s">
        <v>3535</v>
      </c>
      <c r="I6" s="7" t="s">
        <v>3536</v>
      </c>
      <c r="J6" s="7" t="s">
        <v>3537</v>
      </c>
      <c r="K6" s="7" t="s">
        <v>3538</v>
      </c>
    </row>
    <row r="7" ht="14.25" customHeight="1">
      <c r="A7" s="31">
        <v>6.0</v>
      </c>
      <c r="B7" s="7" t="str">
        <f>IFERROR(__xludf.DUMMYFUNCTION("GOOGLETRANSLATE(H7, ""th"", ""en"")"),"Where is the most important Muay Thai boxing stadium located?")</f>
        <v>Where is the most important Muay Thai boxing stadium located?</v>
      </c>
      <c r="C7" s="7" t="str">
        <f>IFERROR(__xludf.DUMMYFUNCTION("GOOGLETRANSLATE(I7, ""th"", ""en"")"),"A) Rajadamnern Boxing Stadium; B) Lumpini Boxing Stadium; C) Thai Boxing Stadium; D) Siam Boxing Stadium")</f>
        <v>A) Rajadamnern Boxing Stadium; B) Lumpini Boxing Stadium; C) Thai Boxing Stadium; D) Siam Boxing Stadium</v>
      </c>
      <c r="D7" s="7" t="str">
        <f>IFERROR(__xludf.DUMMYFUNCTION("GOOGLETRANSLATE(J7, ""th"", ""en"")"),"A) Rajadamnern Boxing Stadium")</f>
        <v>A) Rajadamnern Boxing Stadium</v>
      </c>
      <c r="E7" s="5" t="str">
        <f>IFERROR(__xludf.DUMMYFUNCTION("GOOGLETRANSLATE(K7, ""th"", ""en"")"),"Rajadamnern Boxing Stadium is the most famous stadium for hosting Muay Thai matches.")</f>
        <v>Rajadamnern Boxing Stadium is the most famous stadium for hosting Muay Thai matches.</v>
      </c>
      <c r="G7" s="6">
        <v>6.0</v>
      </c>
      <c r="H7" s="7" t="s">
        <v>3539</v>
      </c>
      <c r="I7" s="7" t="s">
        <v>3540</v>
      </c>
      <c r="J7" s="7" t="s">
        <v>3541</v>
      </c>
      <c r="K7" s="7" t="s">
        <v>3542</v>
      </c>
    </row>
    <row r="8" ht="14.25" customHeight="1">
      <c r="A8" s="31">
        <v>7.0</v>
      </c>
      <c r="B8" s="7" t="str">
        <f>IFERROR(__xludf.DUMMYFUNCTION("GOOGLETRANSLATE(H8, ""th"", ""en"")"),"In the past, how did Muay Thai use ropes for training?")</f>
        <v>In the past, how did Muay Thai use ropes for training?</v>
      </c>
      <c r="C8" s="7" t="str">
        <f>IFERROR(__xludf.DUMMYFUNCTION("GOOGLETRANSLATE(I8, ""th"", ""en"")"),"A) Use hand ropes for control; B) Use leg ropes for protection; C) Use body ropes for flexibility; D) Use ropes stretched as a fence during competition.")</f>
        <v>A) Use hand ropes for control; B) Use leg ropes for protection; C) Use body ropes for flexibility; D) Use ropes stretched as a fence during competition.</v>
      </c>
      <c r="D8" s="7" t="str">
        <f>IFERROR(__xludf.DUMMYFUNCTION("GOOGLETRANSLATE(J8, ""th"", ""en"")"),"A) Use a hand rope for control.")</f>
        <v>A) Use a hand rope for control.</v>
      </c>
      <c r="E8" s="5" t="str">
        <f>IFERROR(__xludf.DUMMYFUNCTION("GOOGLETRANSLATE(K8, ""th"", ""en"")"),"The use of hand ropes helps to control posture in Muay Thai.")</f>
        <v>The use of hand ropes helps to control posture in Muay Thai.</v>
      </c>
      <c r="G8" s="6">
        <v>7.0</v>
      </c>
      <c r="H8" s="7" t="s">
        <v>3543</v>
      </c>
      <c r="I8" s="7" t="s">
        <v>3544</v>
      </c>
      <c r="J8" s="7" t="s">
        <v>3545</v>
      </c>
      <c r="K8" s="7" t="s">
        <v>3546</v>
      </c>
    </row>
    <row r="9" ht="14.25" customHeight="1">
      <c r="A9" s="31">
        <v>8.0</v>
      </c>
      <c r="B9" s="7" t="str">
        <f>IFERROR(__xludf.DUMMYFUNCTION("GOOGLETRANSLATE(H9, ""th"", ""en"")"),"What are the important symbols used in Muay Thai competitions?")</f>
        <v>What are the important symbols used in Muay Thai competitions?</v>
      </c>
      <c r="C9" s="7" t="str">
        <f>IFERROR(__xludf.DUMMYFUNCTION("GOOGLETRANSLATE(I9, ""th"", ""en"")"),"A) white cloth; B) headband; C) rope band; D) waistband")</f>
        <v>A) white cloth; B) headband; C) rope band; D) waistband</v>
      </c>
      <c r="D9" s="7" t="str">
        <f>IFERROR(__xludf.DUMMYFUNCTION("GOOGLETRANSLATE(J9, ""th"", ""en"")"),"B) Headband")</f>
        <v>B) Headband</v>
      </c>
      <c r="E9" s="5" t="str">
        <f>IFERROR(__xludf.DUMMYFUNCTION("GOOGLETRANSLATE(K9, ""th"", ""en"")"),"The headband is an important symbol of Muay Thai boxers.")</f>
        <v>The headband is an important symbol of Muay Thai boxers.</v>
      </c>
      <c r="G9" s="6">
        <v>8.0</v>
      </c>
      <c r="H9" s="7" t="s">
        <v>3547</v>
      </c>
      <c r="I9" s="7" t="s">
        <v>3548</v>
      </c>
      <c r="J9" s="7" t="s">
        <v>3549</v>
      </c>
      <c r="K9" s="7" t="s">
        <v>3550</v>
      </c>
    </row>
    <row r="10" ht="14.25" customHeight="1">
      <c r="A10" s="31">
        <v>9.0</v>
      </c>
      <c r="B10" s="7" t="str">
        <f>IFERROR(__xludf.DUMMYFUNCTION("GOOGLETRANSLATE(H10, ""th"", ""en"")"),"Muay Thai is a combination of martial arts from which country?")</f>
        <v>Muay Thai is a combination of martial arts from which country?</v>
      </c>
      <c r="C10" s="7" t="str">
        <f>IFERROR(__xludf.DUMMYFUNCTION("GOOGLETRANSLATE(I10, ""th"", ""en"")"),"A) China; B) Japan; C) India; D) Malaysia")</f>
        <v>A) China; B) Japan; C) India; D) Malaysia</v>
      </c>
      <c r="D10" s="7" t="str">
        <f>IFERROR(__xludf.DUMMYFUNCTION("GOOGLETRANSLATE(J10, ""th"", ""en"")"),"C) India")</f>
        <v>C) India</v>
      </c>
      <c r="E10" s="5" t="str">
        <f>IFERROR(__xludf.DUMMYFUNCTION("GOOGLETRANSLATE(K10, ""th"", ""en"")"),"Muay Thai is a combination of martial arts from India.")</f>
        <v>Muay Thai is a combination of martial arts from India.</v>
      </c>
      <c r="G10" s="6">
        <v>9.0</v>
      </c>
      <c r="H10" s="7" t="s">
        <v>3551</v>
      </c>
      <c r="I10" s="7" t="s">
        <v>3552</v>
      </c>
      <c r="J10" s="7" t="s">
        <v>3553</v>
      </c>
      <c r="K10" s="7" t="s">
        <v>3554</v>
      </c>
    </row>
    <row r="11" ht="14.25" customHeight="1">
      <c r="A11" s="31">
        <v>10.0</v>
      </c>
      <c r="B11" s="7" t="str">
        <f>IFERROR(__xludf.DUMMYFUNCTION("GOOGLETRANSLATE(H11, ""th"", ""en"")"),"What does the term ""Muay Thai"" mean?")</f>
        <v>What does the term "Muay Thai" mean?</v>
      </c>
      <c r="C11" s="7" t="str">
        <f>IFERROR(__xludf.DUMMYFUNCTION("GOOGLETRANSLATE(I11, ""th"", ""en"")"),"A) Traditional Thai fighting; B) Fighting using specific techniques; C) Fighting that mainly uses fists; D) Group fighting")</f>
        <v>A) Traditional Thai fighting; B) Fighting using specific techniques; C) Fighting that mainly uses fists; D) Group fighting</v>
      </c>
      <c r="D11" s="7" t="str">
        <f>IFERROR(__xludf.DUMMYFUNCTION("GOOGLETRANSLATE(J11, ""th"", ""en"")"),"A) Traditional Thai fighting")</f>
        <v>A) Traditional Thai fighting</v>
      </c>
      <c r="E11" s="5" t="str">
        <f>IFERROR(__xludf.DUMMYFUNCTION("GOOGLETRANSLATE(K11, ""th"", ""en"")"),"Muay Thai refers to the traditional fighting style of Thailand.")</f>
        <v>Muay Thai refers to the traditional fighting style of Thailand.</v>
      </c>
      <c r="G11" s="6">
        <v>10.0</v>
      </c>
      <c r="H11" s="7" t="s">
        <v>3555</v>
      </c>
      <c r="I11" s="7" t="s">
        <v>3556</v>
      </c>
      <c r="J11" s="7" t="s">
        <v>3557</v>
      </c>
      <c r="K11" s="7" t="s">
        <v>3558</v>
      </c>
    </row>
    <row r="12" ht="14.25" customHeight="1">
      <c r="A12" s="31">
        <v>11.0</v>
      </c>
      <c r="B12" s="7" t="str">
        <f>IFERROR(__xludf.DUMMYFUNCTION("GOOGLETRANSLATE(H12, ""th"", ""en"")"),"Who was the first Muay Thai boxer to gain international recognition?")</f>
        <v>Who was the first Muay Thai boxer to gain international recognition?</v>
      </c>
      <c r="C12" s="7" t="str">
        <f>IFERROR(__xludf.DUMMYFUNCTION("GOOGLETRANSLATE(I12, ""th"", ""en"")"),"A) King; B) Treasure; C) Golden Breed; D) Fortune Telling")</f>
        <v>A) King; B) Treasure; C) Golden Breed; D) Fortune Telling</v>
      </c>
      <c r="D12" s="7" t="str">
        <f>IFERROR(__xludf.DUMMYFUNCTION("GOOGLETRANSLATE(J12, ""th"", ""en"")"),"C) Golden breed")</f>
        <v>C) Golden breed</v>
      </c>
      <c r="E12" s="5" t="str">
        <f>IFERROR(__xludf.DUMMYFUNCTION("GOOGLETRANSLATE(K12, ""th"", ""en"")"),"Panthong was the first Thai boxer to gain international popularity.")</f>
        <v>Panthong was the first Thai boxer to gain international popularity.</v>
      </c>
      <c r="G12" s="6">
        <v>11.0</v>
      </c>
      <c r="H12" s="7" t="s">
        <v>3559</v>
      </c>
      <c r="I12" s="7" t="s">
        <v>3560</v>
      </c>
      <c r="J12" s="7" t="s">
        <v>3561</v>
      </c>
      <c r="K12" s="7" t="s">
        <v>3562</v>
      </c>
    </row>
    <row r="13" ht="14.25" customHeight="1">
      <c r="A13" s="31">
        <v>12.0</v>
      </c>
      <c r="B13" s="7" t="str">
        <f>IFERROR(__xludf.DUMMYFUNCTION("GOOGLETRANSLATE(H13, ""th"", ""en"")"),"When was Muay Thai first introduced as a sport in the Asian Games?")</f>
        <v>When was Muay Thai first introduced as a sport in the Asian Games?</v>
      </c>
      <c r="C13" s="7" t="str">
        <f>IFERROR(__xludf.DUMMYFUNCTION("GOOGLETRANSLATE(I13, ""th"", ""en"")"),"A) 1974; B) 1982; C) 1990; D) 2002")</f>
        <v>A) 1974; B) 1982; C) 1990; D) 2002</v>
      </c>
      <c r="D13" s="7" t="str">
        <f>IFERROR(__xludf.DUMMYFUNCTION("GOOGLETRANSLATE(J13, ""th"", ""en"")"),"B) 1982")</f>
        <v>B) 1982</v>
      </c>
      <c r="E13" s="5" t="str">
        <f>IFERROR(__xludf.DUMMYFUNCTION("GOOGLETRANSLATE(K13, ""th"", ""en"")"),"Muay Thai was one of the sports included in the 9th Asian Games in 1982.")</f>
        <v>Muay Thai was one of the sports included in the 9th Asian Games in 1982.</v>
      </c>
      <c r="G13" s="6">
        <v>12.0</v>
      </c>
      <c r="H13" s="7" t="s">
        <v>3563</v>
      </c>
      <c r="I13" s="7" t="s">
        <v>3564</v>
      </c>
      <c r="J13" s="7" t="s">
        <v>3214</v>
      </c>
      <c r="K13" s="7" t="s">
        <v>3565</v>
      </c>
    </row>
    <row r="14" ht="14.25" customHeight="1">
      <c r="A14" s="31">
        <v>13.0</v>
      </c>
      <c r="B14" s="7" t="str">
        <f>IFERROR(__xludf.DUMMYFUNCTION("GOOGLETRANSLATE(H14, ""th"", ""en"")"),"What types of training are there in Muay Thai?")</f>
        <v>What types of training are there in Muay Thai?</v>
      </c>
      <c r="C14" s="7" t="str">
        <f>IFERROR(__xludf.DUMMYFUNCTION("GOOGLETRANSLATE(I14, ""th"", ""en"")"),"A) Peer-assisted training; B) Trainer-assisted training; C) One-on-one training; D) Large group training")</f>
        <v>A) Peer-assisted training; B) Trainer-assisted training; C) One-on-one training; D) Large group training</v>
      </c>
      <c r="D14" s="7" t="str">
        <f>IFERROR(__xludf.DUMMYFUNCTION("GOOGLETRANSLATE(J14, ""th"", ""en"")"),"B) Train like a trainer.")</f>
        <v>B) Train like a trainer.</v>
      </c>
      <c r="E14" s="5" t="str">
        <f>IFERROR(__xludf.DUMMYFUNCTION("GOOGLETRANSLATE(K14, ""th"", ""en"")"),"Muay Thai training is usually done under the guidance of a trainer.")</f>
        <v>Muay Thai training is usually done under the guidance of a trainer.</v>
      </c>
      <c r="G14" s="6">
        <v>13.0</v>
      </c>
      <c r="H14" s="7" t="s">
        <v>3566</v>
      </c>
      <c r="I14" s="7" t="s">
        <v>3567</v>
      </c>
      <c r="J14" s="7" t="s">
        <v>3568</v>
      </c>
      <c r="K14" s="7" t="s">
        <v>3569</v>
      </c>
    </row>
    <row r="15" ht="14.25" customHeight="1">
      <c r="A15" s="31">
        <v>14.0</v>
      </c>
      <c r="B15" s="7" t="str">
        <f>IFERROR(__xludf.DUMMYFUNCTION("GOOGLETRANSLATE(H15, ""th"", ""en"")"),"In Muay Thai, what are leg kicks often used for?")</f>
        <v>In Muay Thai, what are leg kicks often used for?</v>
      </c>
      <c r="C15" s="7" t="str">
        <f>IFERROR(__xludf.DUMMYFUNCTION("GOOGLETRANSLATE(I15, ""th"", ""en"")"),"A) Distract the opponent; B) Immobilize the opponent; C) Injure and exhaust the opponent; D) All of the above.")</f>
        <v>A) Distract the opponent; B) Immobilize the opponent; C) Injure and exhaust the opponent; D) All of the above.</v>
      </c>
      <c r="D15" s="7" t="str">
        <f>IFERROR(__xludf.DUMMYFUNCTION("GOOGLETRANSLATE(J15, ""th"", ""en"")"),"D) All of the above")</f>
        <v>D) All of the above</v>
      </c>
      <c r="E15" s="5" t="str">
        <f>IFERROR(__xludf.DUMMYFUNCTION("GOOGLETRANSLATE(K15, ""th"", ""en"")"),"Leg kicks have multiple benefits, including distracting and exhausting your opponent.")</f>
        <v>Leg kicks have multiple benefits, including distracting and exhausting your opponent.</v>
      </c>
      <c r="G15" s="6">
        <v>14.0</v>
      </c>
      <c r="H15" s="7" t="s">
        <v>3570</v>
      </c>
      <c r="I15" s="7" t="s">
        <v>3571</v>
      </c>
      <c r="J15" s="7" t="s">
        <v>3572</v>
      </c>
      <c r="K15" s="7" t="s">
        <v>3573</v>
      </c>
    </row>
    <row r="16" ht="14.25" customHeight="1">
      <c r="A16" s="31">
        <v>15.0</v>
      </c>
      <c r="B16" s="7" t="str">
        <f>IFERROR(__xludf.DUMMYFUNCTION("GOOGLETRANSLATE(H16, ""th"", ""en"")"),"In what year was Muay Thai first organized as a professional competition?")</f>
        <v>In what year was Muay Thai first organized as a professional competition?</v>
      </c>
      <c r="C16" s="7" t="str">
        <f>IFERROR(__xludf.DUMMYFUNCTION("GOOGLETRANSLATE(I16, ""th"", ""en"")"),"A) 1950; B) 1960; C) 1970; D) 1980")</f>
        <v>A) 1950; B) 1960; C) 1970; D) 1980</v>
      </c>
      <c r="D16" s="7" t="str">
        <f>IFERROR(__xludf.DUMMYFUNCTION("GOOGLETRANSLATE(J16, ""th"", ""en"")"),"A) 1950")</f>
        <v>A) 1950</v>
      </c>
      <c r="E16" s="5" t="str">
        <f>IFERROR(__xludf.DUMMYFUNCTION("GOOGLETRANSLATE(K16, ""th"", ""en"")"),"Muay Thai began organizing professional competitions in the 1950s.")</f>
        <v>Muay Thai began organizing professional competitions in the 1950s.</v>
      </c>
      <c r="G16" s="6">
        <v>15.0</v>
      </c>
      <c r="H16" s="7" t="s">
        <v>3574</v>
      </c>
      <c r="I16" s="7" t="s">
        <v>1225</v>
      </c>
      <c r="J16" s="7" t="s">
        <v>3575</v>
      </c>
      <c r="K16" s="7" t="s">
        <v>3576</v>
      </c>
    </row>
    <row r="17" ht="14.25" customHeight="1">
      <c r="A17" s="31">
        <v>16.0</v>
      </c>
      <c r="B17" s="7" t="str">
        <f>IFERROR(__xludf.DUMMYFUNCTION("GOOGLETRANSLATE(H17, ""th"", ""en"")"),"Where did Muay Thai boxers train in the past?")</f>
        <v>Where did Muay Thai boxers train in the past?</v>
      </c>
      <c r="C17" s="7" t="str">
        <f>IFERROR(__xludf.DUMMYFUNCTION("GOOGLETRANSLATE(I17, ""th"", ""en"")"),"A) Private training room; B) Temple training field; C) General sports field; D) Tourist attraction")</f>
        <v>A) Private training room; B) Temple training field; C) General sports field; D) Tourist attraction</v>
      </c>
      <c r="D17" s="7" t="str">
        <f>IFERROR(__xludf.DUMMYFUNCTION("GOOGLETRANSLATE(J17, ""th"", ""en"")"),"B) Training ground in the temple")</f>
        <v>B) Training ground in the temple</v>
      </c>
      <c r="E17" s="5" t="str">
        <f>IFERROR(__xludf.DUMMYFUNCTION("GOOGLETRANSLATE(K17, ""th"", ""en"")"),"In the past, Muay Thai training was often held at temples.")</f>
        <v>In the past, Muay Thai training was often held at temples.</v>
      </c>
      <c r="G17" s="6">
        <v>16.0</v>
      </c>
      <c r="H17" s="7" t="s">
        <v>3577</v>
      </c>
      <c r="I17" s="7" t="s">
        <v>3578</v>
      </c>
      <c r="J17" s="7" t="s">
        <v>3579</v>
      </c>
      <c r="K17" s="7" t="s">
        <v>3580</v>
      </c>
    </row>
    <row r="18" ht="14.25" customHeight="1">
      <c r="A18" s="31">
        <v>17.0</v>
      </c>
      <c r="B18" s="7" t="str">
        <f>IFERROR(__xludf.DUMMYFUNCTION("GOOGLETRANSLATE(H18, ""th"", ""en"")"),"How many main stances are there in Muay Thai?")</f>
        <v>How many main stances are there in Muay Thai?</v>
      </c>
      <c r="C18" s="7" t="str">
        <f>IFERROR(__xludf.DUMMYFUNCTION("GOOGLETRANSLATE(I18, ""th"", ""en"")"),"A) 5 poses; B) 8 poses; C) 10 poses; D) 12 poses")</f>
        <v>A) 5 poses; B) 8 poses; C) 10 poses; D) 12 poses</v>
      </c>
      <c r="D18" s="7" t="str">
        <f>IFERROR(__xludf.DUMMYFUNCTION("GOOGLETRANSLATE(J18, ""th"", ""en"")"),"B) 8 poses")</f>
        <v>B) 8 poses</v>
      </c>
      <c r="E18" s="5" t="str">
        <f>IFERROR(__xludf.DUMMYFUNCTION("GOOGLETRANSLATE(K18, ""th"", ""en"")"),"Muay Thai has 8 main stances: fists, feet, knees and strikes.")</f>
        <v>Muay Thai has 8 main stances: fists, feet, knees and strikes.</v>
      </c>
      <c r="G18" s="6">
        <v>17.0</v>
      </c>
      <c r="H18" s="7" t="s">
        <v>3581</v>
      </c>
      <c r="I18" s="7" t="s">
        <v>3582</v>
      </c>
      <c r="J18" s="7" t="s">
        <v>3583</v>
      </c>
      <c r="K18" s="7" t="s">
        <v>3584</v>
      </c>
    </row>
    <row r="19" ht="14.25" customHeight="1">
      <c r="A19" s="31">
        <v>18.0</v>
      </c>
      <c r="B19" s="7" t="str">
        <f>IFERROR(__xludf.DUMMYFUNCTION("GOOGLETRANSLATE(H19, ""th"", ""en"")"),"Muay Thai became known worldwide through which competition?")</f>
        <v>Muay Thai became known worldwide through which competition?</v>
      </c>
      <c r="C19" s="7" t="str">
        <f>IFERROR(__xludf.DUMMYFUNCTION("GOOGLETRANSLATE(I19, ""th"", ""en"")"),"A) Olympics; B) World Muay Thai Championship; C) World Muay Thai Cup; D) Asian Championship")</f>
        <v>A) Olympics; B) World Muay Thai Championship; C) World Muay Thai Cup; D) Asian Championship</v>
      </c>
      <c r="D19" s="7" t="str">
        <f>IFERROR(__xludf.DUMMYFUNCTION("GOOGLETRANSLATE(J19, ""th"", ""en"")"),"B) Muay Thai World Championship")</f>
        <v>B) Muay Thai World Championship</v>
      </c>
      <c r="E19" s="5" t="str">
        <f>IFERROR(__xludf.DUMMYFUNCTION("GOOGLETRANSLATE(K19, ""th"", ""en"")"),"The world championship has made Muay Thai popular on an international level.")</f>
        <v>The world championship has made Muay Thai popular on an international level.</v>
      </c>
      <c r="G19" s="6">
        <v>18.0</v>
      </c>
      <c r="H19" s="7" t="s">
        <v>3585</v>
      </c>
      <c r="I19" s="7" t="s">
        <v>3586</v>
      </c>
      <c r="J19" s="7" t="s">
        <v>3587</v>
      </c>
      <c r="K19" s="7" t="s">
        <v>3588</v>
      </c>
    </row>
    <row r="20" ht="14.25" customHeight="1">
      <c r="A20" s="31">
        <v>19.0</v>
      </c>
      <c r="B20" s="7" t="str">
        <f>IFERROR(__xludf.DUMMYFUNCTION("GOOGLETRANSLATE(H20, ""th"", ""en"")"),"Does Muay Thai use large cloth in training?")</f>
        <v>Does Muay Thai use large cloth in training?</v>
      </c>
      <c r="C20" s="7" t="str">
        <f>IFERROR(__xludf.DUMMYFUNCTION("GOOGLETRANSLATE(I20, ""th"", ""en"")"),"A) Yes, to prevent injury; B) No, using a large cloth is not necessary; C) Use only in specific cases; D) Never use.")</f>
        <v>A) Yes, to prevent injury; B) No, using a large cloth is not necessary; C) Use only in specific cases; D) Never use.</v>
      </c>
      <c r="D20" s="7" t="str">
        <f>IFERROR(__xludf.DUMMYFUNCTION("GOOGLETRANSLATE(J20, ""th"", ""en"")"),"A) Yes, to prevent injury.")</f>
        <v>A) Yes, to prevent injury.</v>
      </c>
      <c r="E20" s="5" t="str">
        <f>IFERROR(__xludf.DUMMYFUNCTION("GOOGLETRANSLATE(K20, ""th"", ""en"")"),"Large cloths are used to help prevent injuries during training.")</f>
        <v>Large cloths are used to help prevent injuries during training.</v>
      </c>
      <c r="G20" s="6">
        <v>19.0</v>
      </c>
      <c r="H20" s="7" t="s">
        <v>3589</v>
      </c>
      <c r="I20" s="7" t="s">
        <v>3590</v>
      </c>
      <c r="J20" s="7" t="s">
        <v>3591</v>
      </c>
      <c r="K20" s="7" t="s">
        <v>3592</v>
      </c>
    </row>
    <row r="21" ht="14.25" customHeight="1">
      <c r="A21" s="31">
        <v>20.0</v>
      </c>
      <c r="B21" s="7" t="str">
        <f>IFERROR(__xludf.DUMMYFUNCTION("GOOGLETRANSLATE(H21, ""th"", ""en"")"),"Where did Muay Thai competitions in the past usually take place?")</f>
        <v>Where did Muay Thai competitions in the past usually take place?</v>
      </c>
      <c r="C21" s="7" t="str">
        <f>IFERROR(__xludf.DUMMYFUNCTION("GOOGLETRANSLATE(I21, ""th"", ""en"")"),"A) City Hall; B) Floating Market; C) Temple Stage; D) Village Boxing Stadium")</f>
        <v>A) City Hall; B) Floating Market; C) Temple Stage; D) Village Boxing Stadium</v>
      </c>
      <c r="D21" s="7" t="str">
        <f>IFERROR(__xludf.DUMMYFUNCTION("GOOGLETRANSLATE(J21, ""th"", ""en"")"),"C) Temple stage")</f>
        <v>C) Temple stage</v>
      </c>
      <c r="E21" s="5" t="str">
        <f>IFERROR(__xludf.DUMMYFUNCTION("GOOGLETRANSLATE(K21, ""th"", ""en"")"),"In the past, Muay Thai matches often took place at temple rings.")</f>
        <v>In the past, Muay Thai matches often took place at temple rings.</v>
      </c>
      <c r="G21" s="6">
        <v>20.0</v>
      </c>
      <c r="H21" s="7" t="s">
        <v>3593</v>
      </c>
      <c r="I21" s="7" t="s">
        <v>3594</v>
      </c>
      <c r="J21" s="7" t="s">
        <v>3595</v>
      </c>
      <c r="K21" s="7" t="s">
        <v>3596</v>
      </c>
    </row>
    <row r="22" ht="14.25" customHeight="1">
      <c r="A22" s="31">
        <v>21.0</v>
      </c>
      <c r="B22" s="7" t="str">
        <f>IFERROR(__xludf.DUMMYFUNCTION("GOOGLETRANSLATE(H22, ""th"", ""en"")"),"What is the martial art used in Muay Thai?")</f>
        <v>What is the martial art used in Muay Thai?</v>
      </c>
      <c r="C22" s="7" t="str">
        <f>IFERROR(__xludf.DUMMYFUNCTION("GOOGLETRANSLATE(I22, ""th"", ""en"")"),"A) Defending against an attack using kicks; B) Dodging and striking; C) Using weapons; D) Using body weight.")</f>
        <v>A) Defending against an attack using kicks; B) Dodging and striking; C) Using weapons; D) Using body weight.</v>
      </c>
      <c r="D22" s="7" t="str">
        <f>IFERROR(__xludf.DUMMYFUNCTION("GOOGLETRANSLATE(J22, ""th"", ""en"")"),"B) Dodge and hit")</f>
        <v>B) Dodge and hit</v>
      </c>
      <c r="E22" s="5" t="str">
        <f>IFERROR(__xludf.DUMMYFUNCTION("GOOGLETRANSLATE(K22, ""th"", ""en"")"),"Self-defense in Muay Thai often involves dodging and striking to avoid an opponent's attack.")</f>
        <v>Self-defense in Muay Thai often involves dodging and striking to avoid an opponent's attack.</v>
      </c>
      <c r="G22" s="6">
        <v>21.0</v>
      </c>
      <c r="H22" s="7" t="s">
        <v>3597</v>
      </c>
      <c r="I22" s="7" t="s">
        <v>3598</v>
      </c>
      <c r="J22" s="7" t="s">
        <v>3599</v>
      </c>
      <c r="K22" s="7" t="s">
        <v>3600</v>
      </c>
    </row>
    <row r="23" ht="14.25" customHeight="1">
      <c r="A23" s="31">
        <v>22.0</v>
      </c>
      <c r="B23" s="7" t="str">
        <f>IFERROR(__xludf.DUMMYFUNCTION("GOOGLETRANSLATE(H23, ""th"", ""en"")"),"What is the main purpose of using various techniques in Muay Thai?")</f>
        <v>What is the main purpose of using various techniques in Muay Thai?</v>
      </c>
      <c r="C23" s="7" t="str">
        <f>IFERROR(__xludf.DUMMYFUNCTION("GOOGLETRANSLATE(I23, ""th"", ""en"")"),"A) To make the opponent feel scared; B) To control the game and gain an advantage; C) To make the game more fun; D) To make the fight last longer.")</f>
        <v>A) To make the opponent feel scared; B) To control the game and gain an advantage; C) To make the game more fun; D) To make the fight last longer.</v>
      </c>
      <c r="D23" s="7" t="str">
        <f>IFERROR(__xludf.DUMMYFUNCTION("GOOGLETRANSLATE(J23, ""th"", ""en"")"),"B) To control the game and gain an advantage.")</f>
        <v>B) To control the game and gain an advantage.</v>
      </c>
      <c r="E23" s="5" t="str">
        <f>IFERROR(__xludf.DUMMYFUNCTION("GOOGLETRANSLATE(K23, ""th"", ""en"")"),"Using various techniques helps the trainer to gain control of the game.")</f>
        <v>Using various techniques helps the trainer to gain control of the game.</v>
      </c>
      <c r="G23" s="6">
        <v>22.0</v>
      </c>
      <c r="H23" s="7" t="s">
        <v>3601</v>
      </c>
      <c r="I23" s="7" t="s">
        <v>3602</v>
      </c>
      <c r="J23" s="7" t="s">
        <v>3603</v>
      </c>
      <c r="K23" s="7" t="s">
        <v>3604</v>
      </c>
    </row>
    <row r="24" ht="14.25" customHeight="1">
      <c r="A24" s="31">
        <v>23.0</v>
      </c>
      <c r="B24" s="7" t="str">
        <f>IFERROR(__xludf.DUMMYFUNCTION("GOOGLETRANSLATE(H24, ""th"", ""en"")"),"What type of punches does Muay Thai usually use?")</f>
        <v>What type of punches does Muay Thai usually use?</v>
      </c>
      <c r="C24" s="7" t="str">
        <f>IFERROR(__xludf.DUMMYFUNCTION("GOOGLETRANSLATE(I24, ""th"", ""en"")"),"A) straight punch; B) cross punch; C) counter punch; D) up punch")</f>
        <v>A) straight punch; B) cross punch; C) counter punch; D) up punch</v>
      </c>
      <c r="D24" s="7" t="str">
        <f>IFERROR(__xludf.DUMMYFUNCTION("GOOGLETRANSLATE(J24, ""th"", ""en"")"),"A) Straight punch")</f>
        <v>A) Straight punch</v>
      </c>
      <c r="E24" s="5" t="str">
        <f>IFERROR(__xludf.DUMMYFUNCTION("GOOGLETRANSLATE(K24, ""th"", ""en"")"),"The straight punch is a commonly used punch in Muay Thai fighting.")</f>
        <v>The straight punch is a commonly used punch in Muay Thai fighting.</v>
      </c>
      <c r="G24" s="6">
        <v>23.0</v>
      </c>
      <c r="H24" s="7" t="s">
        <v>3605</v>
      </c>
      <c r="I24" s="7" t="s">
        <v>3606</v>
      </c>
      <c r="J24" s="7" t="s">
        <v>3607</v>
      </c>
      <c r="K24" s="7" t="s">
        <v>3608</v>
      </c>
    </row>
    <row r="25" ht="14.25" customHeight="1">
      <c r="A25" s="31">
        <v>24.0</v>
      </c>
      <c r="B25" s="7" t="str">
        <f>IFERROR(__xludf.DUMMYFUNCTION("GOOGLETRANSLATE(H25, ""th"", ""en"")"),"In the early days, what format were Muay Thai competitions organized?")</f>
        <v>In the early days, what format were Muay Thai competitions organized?</v>
      </c>
      <c r="C25" s="7" t="str">
        <f>IFERROR(__xludf.DUMMYFUNCTION("GOOGLETRANSLATE(I25, ""th"", ""en"")"),"A) One-on-one competition in a steel cage; B) Group competition; C) One-on-one competition in an open arena; D) Competition in a specially built arena.")</f>
        <v>A) One-on-one competition in a steel cage; B) Group competition; C) One-on-one competition in an open arena; D) Competition in a specially built arena.</v>
      </c>
      <c r="D25" s="7" t="str">
        <f>IFERROR(__xludf.DUMMYFUNCTION("GOOGLETRANSLATE(J25, ""th"", ""en"")"),"C) One-on-one competition in an open field")</f>
        <v>C) One-on-one competition in an open field</v>
      </c>
      <c r="E25" s="5" t="str">
        <f>IFERROR(__xludf.DUMMYFUNCTION("GOOGLETRANSLATE(K25, ""th"", ""en"")"),"In the past, Muay Thai competitions often took place in open fields.")</f>
        <v>In the past, Muay Thai competitions often took place in open fields.</v>
      </c>
      <c r="G25" s="6">
        <v>24.0</v>
      </c>
      <c r="H25" s="7" t="s">
        <v>3609</v>
      </c>
      <c r="I25" s="7" t="s">
        <v>3610</v>
      </c>
      <c r="J25" s="7" t="s">
        <v>3611</v>
      </c>
      <c r="K25" s="7" t="s">
        <v>3612</v>
      </c>
    </row>
    <row r="26" ht="14.25" customHeight="1">
      <c r="A26" s="31">
        <v>25.0</v>
      </c>
      <c r="B26" s="7" t="str">
        <f>IFERROR(__xludf.DUMMYFUNCTION("GOOGLETRANSLATE(H26, ""th"", ""en"")"),"In which country outside of Thailand is Muay Thai most popular?")</f>
        <v>In which country outside of Thailand is Muay Thai most popular?</v>
      </c>
      <c r="C26" s="7" t="str">
        <f>IFERROR(__xludf.DUMMYFUNCTION("GOOGLETRANSLATE(I26, ""th"", ""en"")"),"A) United States; B) England; C) Japan; D) Australia")</f>
        <v>A) United States; B) England; C) Japan; D) Australia</v>
      </c>
      <c r="D26" s="7" t="str">
        <f>IFERROR(__xludf.DUMMYFUNCTION("GOOGLETRANSLATE(J26, ""th"", ""en"")"),"A) United States")</f>
        <v>A) United States</v>
      </c>
      <c r="E26" s="5" t="str">
        <f>IFERROR(__xludf.DUMMYFUNCTION("GOOGLETRANSLATE(K26, ""th"", ""en"")"),"Muay Thai is very popular in the United States.")</f>
        <v>Muay Thai is very popular in the United States.</v>
      </c>
      <c r="G26" s="6">
        <v>25.0</v>
      </c>
      <c r="H26" s="7" t="s">
        <v>3613</v>
      </c>
      <c r="I26" s="7" t="s">
        <v>3614</v>
      </c>
      <c r="J26" s="7" t="s">
        <v>3615</v>
      </c>
      <c r="K26" s="7" t="s">
        <v>3616</v>
      </c>
    </row>
    <row r="27" ht="14.25" customHeight="1">
      <c r="A27" s="31">
        <v>26.0</v>
      </c>
      <c r="B27" s="7" t="str">
        <f>IFERROR(__xludf.DUMMYFUNCTION("GOOGLETRANSLATE(H27, ""th"", ""en"")"),"Where were the spectators at past Muay Thai matches?")</f>
        <v>Where were the spectators at past Muay Thai matches?</v>
      </c>
      <c r="C27" s="7" t="str">
        <f>IFERROR(__xludf.DUMMYFUNCTION("GOOGLETRANSLATE(I27, ""th"", ""en"")"),"A) in the house; B) at the racecourse; C) in a place where ceremonies are often held; D) in a market")</f>
        <v>A) in the house; B) at the racecourse; C) in a place where ceremonies are often held; D) in a market</v>
      </c>
      <c r="D27" s="7" t="str">
        <f>IFERROR(__xludf.DUMMYFUNCTION("GOOGLETRANSLATE(J27, ""th"", ""en"")"),"C) In places where ceremonies are often held")</f>
        <v>C) In places where ceremonies are often held</v>
      </c>
      <c r="E27" s="5" t="str">
        <f>IFERROR(__xludf.DUMMYFUNCTION("GOOGLETRANSLATE(K27, ""th"", ""en"")"),"In the past, Thai boxing spectators were often in places where ceremonies were held.")</f>
        <v>In the past, Thai boxing spectators were often in places where ceremonies were held.</v>
      </c>
      <c r="G27" s="6">
        <v>26.0</v>
      </c>
      <c r="H27" s="7" t="s">
        <v>3617</v>
      </c>
      <c r="I27" s="7" t="s">
        <v>3618</v>
      </c>
      <c r="J27" s="7" t="s">
        <v>3619</v>
      </c>
      <c r="K27" s="7" t="s">
        <v>3620</v>
      </c>
    </row>
    <row r="28" ht="14.25" customHeight="1">
      <c r="A28" s="31">
        <v>27.0</v>
      </c>
      <c r="B28" s="7" t="str">
        <f>IFERROR(__xludf.DUMMYFUNCTION("GOOGLETRANSLATE(H28, ""th"", ""en"")"),"What does the word ""fight"" mean in Muay Thai?")</f>
        <v>What does the word "fight" mean in Muay Thai?</v>
      </c>
      <c r="C28" s="7" t="str">
        <f>IFERROR(__xludf.DUMMYFUNCTION("GOOGLETRANSLATE(I28, ""th"", ""en"")"),"A) training; B) competition; C) rest; D) attack")</f>
        <v>A) training; B) competition; C) rest; D) attack</v>
      </c>
      <c r="D28" s="7" t="str">
        <f>IFERROR(__xludf.DUMMYFUNCTION("GOOGLETRANSLATE(J28, ""th"", ""en"")"),"B) Competition")</f>
        <v>B) Competition</v>
      </c>
      <c r="E28" s="5" t="str">
        <f>IFERROR(__xludf.DUMMYFUNCTION("GOOGLETRANSLATE(K28, ""th"", ""en"")"),"The word 'fight' is used to refer to a competition in Muay Thai.")</f>
        <v>The word 'fight' is used to refer to a competition in Muay Thai.</v>
      </c>
      <c r="G28" s="6">
        <v>27.0</v>
      </c>
      <c r="H28" s="7" t="s">
        <v>3621</v>
      </c>
      <c r="I28" s="7" t="s">
        <v>3622</v>
      </c>
      <c r="J28" s="7" t="s">
        <v>3623</v>
      </c>
      <c r="K28" s="7" t="s">
        <v>3624</v>
      </c>
    </row>
    <row r="29" ht="14.25" customHeight="1">
      <c r="A29" s="31">
        <v>28.0</v>
      </c>
      <c r="B29" s="7" t="str">
        <f>IFERROR(__xludf.DUMMYFUNCTION("GOOGLETRANSLATE(H29, ""th"", ""en"")"),"In Muay Thai, what type of attack is the use of knees to attack an opponent?")</f>
        <v>In Muay Thai, what type of attack is the use of knees to attack an opponent?</v>
      </c>
      <c r="C29" s="7" t="str">
        <f>IFERROR(__xludf.DUMMYFUNCTION("GOOGLETRANSLATE(I29, ""th"", ""en"")"),"A) melee attack; B) ranged attack; C) spin attack; D) back attack")</f>
        <v>A) melee attack; B) ranged attack; C) spin attack; D) back attack</v>
      </c>
      <c r="D29" s="7" t="str">
        <f>IFERROR(__xludf.DUMMYFUNCTION("GOOGLETRANSLATE(J29, ""th"", ""en"")"),"A) Melee attack")</f>
        <v>A) Melee attack</v>
      </c>
      <c r="E29" s="5" t="str">
        <f>IFERROR(__xludf.DUMMYFUNCTION("GOOGLETRANSLATE(K29, ""th"", ""en"")"),"The use of the knee in an attack is usually a close-range attack.")</f>
        <v>The use of the knee in an attack is usually a close-range attack.</v>
      </c>
      <c r="G29" s="6">
        <v>28.0</v>
      </c>
      <c r="H29" s="7" t="s">
        <v>3625</v>
      </c>
      <c r="I29" s="7" t="s">
        <v>3626</v>
      </c>
      <c r="J29" s="7" t="s">
        <v>3627</v>
      </c>
      <c r="K29" s="7" t="s">
        <v>3628</v>
      </c>
    </row>
    <row r="30" ht="14.25" customHeight="1">
      <c r="A30" s="31">
        <v>29.0</v>
      </c>
      <c r="B30" s="7" t="str">
        <f>IFERROR(__xludf.DUMMYFUNCTION("GOOGLETRANSLATE(H30, ""th"", ""en"")"),"What skills does Muay Thai training play an important role in developing?")</f>
        <v>What skills does Muay Thai training play an important role in developing?</v>
      </c>
      <c r="C30" s="7" t="str">
        <f>IFERROR(__xludf.DUMMYFUNCTION("GOOGLETRANSLATE(I30, ""th"", ""en"")"),"A) Strength and flexibility; B) Speed ​​and agility; C) Endurance and defensive skills; D) All of the above.")</f>
        <v>A) Strength and flexibility; B) Speed ​​and agility; C) Endurance and defensive skills; D) All of the above.</v>
      </c>
      <c r="D30" s="7" t="str">
        <f>IFERROR(__xludf.DUMMYFUNCTION("GOOGLETRANSLATE(J30, ""th"", ""en"")"),"D) All of the above")</f>
        <v>D) All of the above</v>
      </c>
      <c r="E30" s="5" t="str">
        <f>IFERROR(__xludf.DUMMYFUNCTION("GOOGLETRANSLATE(K30, ""th"", ""en"")"),"Muay Thai training helps develop strength, flexibility, speed, and defensive skills.")</f>
        <v>Muay Thai training helps develop strength, flexibility, speed, and defensive skills.</v>
      </c>
      <c r="G30" s="6">
        <v>29.0</v>
      </c>
      <c r="H30" s="7" t="s">
        <v>3629</v>
      </c>
      <c r="I30" s="7" t="s">
        <v>3630</v>
      </c>
      <c r="J30" s="7" t="s">
        <v>3572</v>
      </c>
      <c r="K30" s="7" t="s">
        <v>3631</v>
      </c>
    </row>
    <row r="31" ht="14.25" customHeight="1">
      <c r="A31" s="31">
        <v>30.0</v>
      </c>
      <c r="B31" s="7" t="str">
        <f>IFERROR(__xludf.DUMMYFUNCTION("GOOGLETRANSLATE(H31, ""th"", ""en"")"),"How has Muay Thai developed in the modern era?")</f>
        <v>How has Muay Thai developed in the modern era?</v>
      </c>
      <c r="C31" s="7" t="str">
        <f>IFERROR(__xludf.DUMMYFUNCTION("GOOGLETRANSLATE(I31, ""th"", ""en"")"),"A) Use new techniques in competition; B) Have stricter rules; C) Establish systematic training; D) All of the above.")</f>
        <v>A) Use new techniques in competition; B) Have stricter rules; C) Establish systematic training; D) All of the above.</v>
      </c>
      <c r="D31" s="7" t="str">
        <f>IFERROR(__xludf.DUMMYFUNCTION("GOOGLETRANSLATE(J31, ""th"", ""en"")"),"D) All of the above")</f>
        <v>D) All of the above</v>
      </c>
      <c r="E31" s="5" t="str">
        <f>IFERROR(__xludf.DUMMYFUNCTION("GOOGLETRANSLATE(K31, ""th"", ""en"")"),"Muay Thai has now developed in many aspects to become a quality professional sport.")</f>
        <v>Muay Thai has now developed in many aspects to become a quality professional sport.</v>
      </c>
      <c r="G31" s="6">
        <v>30.0</v>
      </c>
      <c r="H31" s="7" t="s">
        <v>3632</v>
      </c>
      <c r="I31" s="7" t="s">
        <v>3633</v>
      </c>
      <c r="J31" s="7" t="s">
        <v>3572</v>
      </c>
      <c r="K31" s="7" t="s">
        <v>3634</v>
      </c>
    </row>
    <row r="32" ht="14.25" customHeight="1">
      <c r="A32" s="31">
        <v>31.0</v>
      </c>
      <c r="B32" s="7" t="str">
        <f>IFERROR(__xludf.DUMMYFUNCTION("GOOGLETRANSLATE(H32, ""th"", ""en"")"),"In which year was Muay Thai recognized as a national martial art?")</f>
        <v>In which year was Muay Thai recognized as a national martial art?</v>
      </c>
      <c r="C32" s="7" t="str">
        <f>IFERROR(__xludf.DUMMYFUNCTION("GOOGLETRANSLATE(I32, ""th"", ""en"")"),"A) 1932; B) 1950; C) 1970; D) 1995")</f>
        <v>A) 1932; B) 1950; C) 1970; D) 1995</v>
      </c>
      <c r="D32" s="7" t="str">
        <f>IFERROR(__xludf.DUMMYFUNCTION("GOOGLETRANSLATE(J32, ""th"", ""en"")"),"B) 1950")</f>
        <v>B) 1950</v>
      </c>
      <c r="E32" s="5" t="str">
        <f>IFERROR(__xludf.DUMMYFUNCTION("GOOGLETRANSLATE(K32, ""th"", ""en"")"),"Muay Thai was recognized as a national martial art in 1950.")</f>
        <v>Muay Thai was recognized as a national martial art in 1950.</v>
      </c>
      <c r="G32" s="6">
        <v>31.0</v>
      </c>
      <c r="H32" s="7" t="s">
        <v>3635</v>
      </c>
      <c r="I32" s="7" t="s">
        <v>3636</v>
      </c>
      <c r="J32" s="7" t="s">
        <v>3637</v>
      </c>
      <c r="K32" s="7" t="s">
        <v>3638</v>
      </c>
    </row>
    <row r="33" ht="14.25" customHeight="1">
      <c r="A33" s="31">
        <v>32.0</v>
      </c>
      <c r="B33" s="7" t="str">
        <f>IFERROR(__xludf.DUMMYFUNCTION("GOOGLETRANSLATE(H33, ""th"", ""en"")"),"When did Muay Thai begin to gain popularity abroad?")</f>
        <v>When did Muay Thai begin to gain popularity abroad?</v>
      </c>
      <c r="C33" s="7" t="str">
        <f>IFERROR(__xludf.DUMMYFUNCTION("GOOGLETRANSLATE(I33, ""th"", ""en"")"),"A) Ayutthaya period; B) during the 1970s; C) during the 1990s; D) after the year 2000")</f>
        <v>A) Ayutthaya period; B) during the 1970s; C) during the 1990s; D) after the year 2000</v>
      </c>
      <c r="D33" s="7" t="str">
        <f>IFERROR(__xludf.DUMMYFUNCTION("GOOGLETRANSLATE(J33, ""th"", ""en"")"),"B) In the 1970s")</f>
        <v>B) In the 1970s</v>
      </c>
      <c r="E33" s="5" t="str">
        <f>IFERROR(__xludf.DUMMYFUNCTION("GOOGLETRANSLATE(K33, ""th"", ""en"")"),"Muay Thai began to gain popularity abroad in the 1970s.")</f>
        <v>Muay Thai began to gain popularity abroad in the 1970s.</v>
      </c>
      <c r="G33" s="6">
        <v>32.0</v>
      </c>
      <c r="H33" s="7" t="s">
        <v>3639</v>
      </c>
      <c r="I33" s="7" t="s">
        <v>3640</v>
      </c>
      <c r="J33" s="7" t="s">
        <v>3641</v>
      </c>
      <c r="K33" s="7" t="s">
        <v>3642</v>
      </c>
    </row>
    <row r="34" ht="14.25" customHeight="1">
      <c r="A34" s="31">
        <v>33.0</v>
      </c>
      <c r="B34" s="7" t="str">
        <f>IFERROR(__xludf.DUMMYFUNCTION("GOOGLETRANSLATE(H34, ""th"", ""en"")"),"In which year was Muay Thai accepted into the Olympics?")</f>
        <v>In which year was Muay Thai accepted into the Olympics?</v>
      </c>
      <c r="C34" s="7" t="str">
        <f>IFERROR(__xludf.DUMMYFUNCTION("GOOGLETRANSLATE(I34, ""th"", ""en"")"),"A) 1964; B) 1972; C) 1988; D) Muay Thai has not yet been accepted into the Olympics.")</f>
        <v>A) 1964; B) 1972; C) 1988; D) Muay Thai has not yet been accepted into the Olympics.</v>
      </c>
      <c r="D34" s="7" t="str">
        <f>IFERROR(__xludf.DUMMYFUNCTION("GOOGLETRANSLATE(J34, ""th"", ""en"")"),"D) Muay Thai has not yet been accepted into the Olympics.")</f>
        <v>D) Muay Thai has not yet been accepted into the Olympics.</v>
      </c>
      <c r="E34" s="5" t="str">
        <f>IFERROR(__xludf.DUMMYFUNCTION("GOOGLETRANSLATE(K34, ""th"", ""en"")"),"Although Muay Thai is very popular, it has not yet been accepted into the Olympic Games.")</f>
        <v>Although Muay Thai is very popular, it has not yet been accepted into the Olympic Games.</v>
      </c>
      <c r="G34" s="6">
        <v>33.0</v>
      </c>
      <c r="H34" s="7" t="s">
        <v>3643</v>
      </c>
      <c r="I34" s="7" t="s">
        <v>3644</v>
      </c>
      <c r="J34" s="7" t="s">
        <v>3645</v>
      </c>
      <c r="K34" s="7" t="s">
        <v>3646</v>
      </c>
    </row>
    <row r="35" ht="14.25" customHeight="1">
      <c r="A35" s="31">
        <v>34.0</v>
      </c>
      <c r="B35" s="7" t="str">
        <f>IFERROR(__xludf.DUMMYFUNCTION("GOOGLETRANSLATE(H35, ""th"", ""en"")"),"In which Asian country is Muay Thai most popular?")</f>
        <v>In which Asian country is Muay Thai most popular?</v>
      </c>
      <c r="C35" s="7" t="str">
        <f>IFERROR(__xludf.DUMMYFUNCTION("GOOGLETRANSLATE(I35, ""th"", ""en"")"),"A) Indonesia; B) Malaysia; C) Philippines; D) Japan")</f>
        <v>A) Indonesia; B) Malaysia; C) Philippines; D) Japan</v>
      </c>
      <c r="D35" s="7" t="str">
        <f>IFERROR(__xludf.DUMMYFUNCTION("GOOGLETRANSLATE(J35, ""th"", ""en"")"),"D) Japan")</f>
        <v>D) Japan</v>
      </c>
      <c r="E35" s="5" t="str">
        <f>IFERROR(__xludf.DUMMYFUNCTION("GOOGLETRANSLATE(K35, ""th"", ""en"")"),"Japan is one of the countries where Muay Thai is most popular in Asia.")</f>
        <v>Japan is one of the countries where Muay Thai is most popular in Asia.</v>
      </c>
      <c r="G35" s="6">
        <v>34.0</v>
      </c>
      <c r="H35" s="7" t="s">
        <v>3647</v>
      </c>
      <c r="I35" s="7" t="s">
        <v>3648</v>
      </c>
      <c r="J35" s="7" t="s">
        <v>3649</v>
      </c>
      <c r="K35" s="7" t="s">
        <v>3650</v>
      </c>
    </row>
    <row r="36" ht="14.25" customHeight="1">
      <c r="A36" s="31">
        <v>35.0</v>
      </c>
      <c r="B36" s="7" t="str">
        <f>IFERROR(__xludf.DUMMYFUNCTION("GOOGLETRANSLATE(H36, ""th"", ""en"")"),"Who is the founder of Rajadamnern Boxing Stadium?")</f>
        <v>Who is the founder of Rajadamnern Boxing Stadium?</v>
      </c>
      <c r="C36" s="7" t="str">
        <f>IFERROR(__xludf.DUMMYFUNCTION("GOOGLETRANSLATE(I36, ""th"", ""en"")"),"A) King Taksin; B) King Rama VI; C) King Jayavarman; D) King Bhumibol Adulyadej")</f>
        <v>A) King Taksin; B) King Rama VI; C) King Jayavarman; D) King Bhumibol Adulyadej</v>
      </c>
      <c r="D36" s="7" t="str">
        <f>IFERROR(__xludf.DUMMYFUNCTION("GOOGLETRANSLATE(J36, ""th"", ""en"")"),"B) King Rama VI")</f>
        <v>B) King Rama VI</v>
      </c>
      <c r="E36" s="5" t="str">
        <f>IFERROR(__xludf.DUMMYFUNCTION("GOOGLETRANSLATE(K36, ""th"", ""en"")"),"King Rama VI was the founder of Rajadamnern Boxing Stadium.")</f>
        <v>King Rama VI was the founder of Rajadamnern Boxing Stadium.</v>
      </c>
      <c r="G36" s="6">
        <v>35.0</v>
      </c>
      <c r="H36" s="7" t="s">
        <v>3651</v>
      </c>
      <c r="I36" s="7" t="s">
        <v>3652</v>
      </c>
      <c r="J36" s="7" t="s">
        <v>3653</v>
      </c>
      <c r="K36" s="7" t="s">
        <v>3654</v>
      </c>
    </row>
    <row r="37" ht="14.25" customHeight="1">
      <c r="A37" s="31">
        <v>36.0</v>
      </c>
      <c r="B37" s="7" t="str">
        <f>IFERROR(__xludf.DUMMYFUNCTION("GOOGLETRANSLATE(H37, ""th"", ""en"")"),"When did knee stances in Muay Thai begin to be used?")</f>
        <v>When did knee stances in Muay Thai begin to be used?</v>
      </c>
      <c r="C37" s="7" t="str">
        <f>IFERROR(__xludf.DUMMYFUNCTION("GOOGLETRANSLATE(I37, ""th"", ""en"")"),"A) Ayutthaya period; B) Sukhothai period; C) Rattanakosin period; D) Post-World War II period")</f>
        <v>A) Ayutthaya period; B) Sukhothai period; C) Rattanakosin period; D) Post-World War II period</v>
      </c>
      <c r="D37" s="7" t="str">
        <f>IFERROR(__xludf.DUMMYFUNCTION("GOOGLETRANSLATE(J37, ""th"", ""en"")"),"A) Ayutthaya period")</f>
        <v>A) Ayutthaya period</v>
      </c>
      <c r="E37" s="5" t="str">
        <f>IFERROR(__xludf.DUMMYFUNCTION("GOOGLETRANSLATE(K37, ""th"", ""en"")"),"Knee stances in Muay Thai have been used since the Ayutthaya period.")</f>
        <v>Knee stances in Muay Thai have been used since the Ayutthaya period.</v>
      </c>
      <c r="G37" s="6">
        <v>36.0</v>
      </c>
      <c r="H37" s="7" t="s">
        <v>3655</v>
      </c>
      <c r="I37" s="7" t="s">
        <v>3656</v>
      </c>
      <c r="J37" s="7" t="s">
        <v>970</v>
      </c>
      <c r="K37" s="7" t="s">
        <v>3657</v>
      </c>
    </row>
    <row r="38" ht="14.25" customHeight="1">
      <c r="A38" s="31">
        <v>37.0</v>
      </c>
      <c r="B38" s="7" t="str">
        <f>IFERROR(__xludf.DUMMYFUNCTION("GOOGLETRANSLATE(H38, ""th"", ""en"")"),"Where was the first famous Muay Thai competition held abroad?")</f>
        <v>Where was the first famous Muay Thai competition held abroad?</v>
      </c>
      <c r="C38" s="7" t="str">
        <f>IFERROR(__xludf.DUMMYFUNCTION("GOOGLETRANSLATE(I38, ""th"", ""en"")"),"A) Muay Thai World Cup; B) Muay Thai World Championship; C) Asian Muay Thai competition; D) Muay Thai competition in France")</f>
        <v>A) Muay Thai World Cup; B) Muay Thai World Championship; C) Asian Muay Thai competition; D) Muay Thai competition in France</v>
      </c>
      <c r="D38" s="7" t="str">
        <f>IFERROR(__xludf.DUMMYFUNCTION("GOOGLETRANSLATE(J38, ""th"", ""en"")"),"B) World Muay Thai Championship")</f>
        <v>B) World Muay Thai Championship</v>
      </c>
      <c r="E38" s="5" t="str">
        <f>IFERROR(__xludf.DUMMYFUNCTION("GOOGLETRANSLATE(K38, ""th"", ""en"")"),"The Muay Thai World Championships have made Muay Thai popular around the world.")</f>
        <v>The Muay Thai World Championships have made Muay Thai popular around the world.</v>
      </c>
      <c r="G38" s="6">
        <v>37.0</v>
      </c>
      <c r="H38" s="7" t="s">
        <v>3658</v>
      </c>
      <c r="I38" s="7" t="s">
        <v>3659</v>
      </c>
      <c r="J38" s="7" t="s">
        <v>3660</v>
      </c>
      <c r="K38" s="7" t="s">
        <v>3661</v>
      </c>
    </row>
    <row r="39" ht="14.25" customHeight="1">
      <c r="A39" s="31">
        <v>38.0</v>
      </c>
      <c r="B39" s="7" t="str">
        <f>IFERROR(__xludf.DUMMYFUNCTION("GOOGLETRANSLATE(H39, ""th"", ""en"")"),"What was the main purpose of Muay Thai training in the past?")</f>
        <v>What was the main purpose of Muay Thai training in the past?</v>
      </c>
      <c r="C39" s="7" t="str">
        <f>IFERROR(__xludf.DUMMYFUNCTION("GOOGLETRANSLATE(I39, ""th"", ""en"")"),"A) national defense; B) entertainment; C) military training; D) sports")</f>
        <v>A) national defense; B) entertainment; C) military training; D) sports</v>
      </c>
      <c r="D39" s="7" t="str">
        <f>IFERROR(__xludf.DUMMYFUNCTION("GOOGLETRANSLATE(J39, ""th"", ""en"")"),"A) Defend the country")</f>
        <v>A) Defend the country</v>
      </c>
      <c r="E39" s="5" t="str">
        <f>IFERROR(__xludf.DUMMYFUNCTION("GOOGLETRANSLATE(K39, ""th"", ""en"")"),"Muay Thai was trained as a tool for national defense in ancient times.")</f>
        <v>Muay Thai was trained as a tool for national defense in ancient times.</v>
      </c>
      <c r="G39" s="6">
        <v>38.0</v>
      </c>
      <c r="H39" s="7" t="s">
        <v>3662</v>
      </c>
      <c r="I39" s="7" t="s">
        <v>3663</v>
      </c>
      <c r="J39" s="7" t="s">
        <v>3664</v>
      </c>
      <c r="K39" s="7" t="s">
        <v>3665</v>
      </c>
    </row>
    <row r="40" ht="14.25" customHeight="1">
      <c r="A40" s="31">
        <v>39.0</v>
      </c>
      <c r="B40" s="7" t="str">
        <f>IFERROR(__xludf.DUMMYFUNCTION("GOOGLETRANSLATE(H40, ""th"", ""en"")"),"Who was the first Thai boxer to be recognized internationally?")</f>
        <v>Who was the first Thai boxer to be recognized internationally?</v>
      </c>
      <c r="C40" s="7" t="str">
        <f>IFERROR(__xludf.DUMMYFUNCTION("GOOGLETRANSLATE(I40, ""th"", ""en"")"),"A) Sombat Methani; B) Phanthong; C) Chomracha; D) Fortune telling")</f>
        <v>A) Sombat Methani; B) Phanthong; C) Chomracha; D) Fortune telling</v>
      </c>
      <c r="D40" s="7" t="str">
        <f>IFERROR(__xludf.DUMMYFUNCTION("GOOGLETRANSLATE(J40, ""th"", ""en"")"),"B) Golden breed")</f>
        <v>B) Golden breed</v>
      </c>
      <c r="E40" s="5" t="str">
        <f>IFERROR(__xludf.DUMMYFUNCTION("GOOGLETRANSLATE(K40, ""th"", ""en"")"),"Panthong was the first Thai boxer to be recognized abroad.")</f>
        <v>Panthong was the first Thai boxer to be recognized abroad.</v>
      </c>
      <c r="G40" s="6">
        <v>39.0</v>
      </c>
      <c r="H40" s="7" t="s">
        <v>3666</v>
      </c>
      <c r="I40" s="7" t="s">
        <v>3667</v>
      </c>
      <c r="J40" s="7" t="s">
        <v>3668</v>
      </c>
      <c r="K40" s="7" t="s">
        <v>3669</v>
      </c>
    </row>
    <row r="41" ht="14.25" customHeight="1">
      <c r="A41" s="31">
        <v>40.0</v>
      </c>
      <c r="B41" s="7" t="str">
        <f>IFERROR(__xludf.DUMMYFUNCTION("GOOGLETRANSLATE(H41, ""th"", ""en"")"),"How did the use of weapons in Muay Thai evolve?")</f>
        <v>How did the use of weapons in Muay Thai evolve?</v>
      </c>
      <c r="C41" s="7" t="str">
        <f>IFERROR(__xludf.DUMMYFUNCTION("GOOGLETRANSLATE(I41, ""th"", ""en"")"),"A) military training; B) use of swords and spears; C) hand-to-hand combat; D) self-defense against animals.")</f>
        <v>A) military training; B) use of swords and spears; C) hand-to-hand combat; D) self-defense against animals.</v>
      </c>
      <c r="D41" s="7" t="str">
        <f>IFERROR(__xludf.DUMMYFUNCTION("GOOGLETRANSLATE(J41, ""th"", ""en"")"),"C) Hand-to-hand combat")</f>
        <v>C) Hand-to-hand combat</v>
      </c>
      <c r="E41" s="5" t="str">
        <f>IFERROR(__xludf.DUMMYFUNCTION("GOOGLETRANSLATE(K41, ""th"", ""en"")"),"Muay Thai began as bare-handed fighting and evolved into the use of certain weapons.")</f>
        <v>Muay Thai began as bare-handed fighting and evolved into the use of certain weapons.</v>
      </c>
      <c r="G41" s="6">
        <v>40.0</v>
      </c>
      <c r="H41" s="7" t="s">
        <v>3670</v>
      </c>
      <c r="I41" s="7" t="s">
        <v>3671</v>
      </c>
      <c r="J41" s="7" t="s">
        <v>3672</v>
      </c>
      <c r="K41" s="7" t="s">
        <v>3673</v>
      </c>
    </row>
    <row r="42" ht="14.25" customHeight="1">
      <c r="A42" s="31">
        <v>41.0</v>
      </c>
      <c r="B42" s="7" t="str">
        <f>IFERROR(__xludf.DUMMYFUNCTION("GOOGLETRANSLATE(H42, ""th"", ""en"")"),"In which continent has Muay Thai spread to the greatest extent?")</f>
        <v>In which continent has Muay Thai spread to the greatest extent?</v>
      </c>
      <c r="C42" s="7" t="str">
        <f>IFERROR(__xludf.DUMMYFUNCTION("GOOGLETRANSLATE(I42, ""th"", ""en"")"),"A) America; B) Europe; C) Asia; D) Africa")</f>
        <v>A) America; B) Europe; C) Asia; D) Africa</v>
      </c>
      <c r="D42" s="7" t="str">
        <f>IFERROR(__xludf.DUMMYFUNCTION("GOOGLETRANSLATE(J42, ""th"", ""en"")"),"C) Asia")</f>
        <v>C) Asia</v>
      </c>
      <c r="E42" s="5" t="str">
        <f>IFERROR(__xludf.DUMMYFUNCTION("GOOGLETRANSLATE(K42, ""th"", ""en"")"),"Muay Thai has been spread and popular in Asia.")</f>
        <v>Muay Thai has been spread and popular in Asia.</v>
      </c>
      <c r="G42" s="6">
        <v>41.0</v>
      </c>
      <c r="H42" s="7" t="s">
        <v>3674</v>
      </c>
      <c r="I42" s="7" t="s">
        <v>3675</v>
      </c>
      <c r="J42" s="7" t="s">
        <v>3676</v>
      </c>
      <c r="K42" s="7" t="s">
        <v>3677</v>
      </c>
    </row>
    <row r="43" ht="14.25" customHeight="1">
      <c r="A43" s="31">
        <v>42.0</v>
      </c>
      <c r="B43" s="7" t="str">
        <f>IFERROR(__xludf.DUMMYFUNCTION("GOOGLETRANSLATE(H43, ""th"", ""en"")"),"When did the use of elbows in Muay Thai begin?")</f>
        <v>When did the use of elbows in Muay Thai begin?</v>
      </c>
      <c r="C43" s="7" t="str">
        <f>IFERROR(__xludf.DUMMYFUNCTION("GOOGLETRANSLATE(I43, ""th"", ""en"")"),"A) Ayutthaya period; B) Rattanakosin period; C) Sukhothai period; D) Present period")</f>
        <v>A) Ayutthaya period; B) Rattanakosin period; C) Sukhothai period; D) Present period</v>
      </c>
      <c r="D43" s="7" t="str">
        <f>IFERROR(__xludf.DUMMYFUNCTION("GOOGLETRANSLATE(J43, ""th"", ""en"")"),"A) Ayutthaya period")</f>
        <v>A) Ayutthaya period</v>
      </c>
      <c r="E43" s="5" t="str">
        <f>IFERROR(__xludf.DUMMYFUNCTION("GOOGLETRANSLATE(K43, ""th"", ""en"")"),"The use of elbows in attacking began in the Ayutthaya period.")</f>
        <v>The use of elbows in attacking began in the Ayutthaya period.</v>
      </c>
      <c r="G43" s="6">
        <v>42.0</v>
      </c>
      <c r="H43" s="7" t="s">
        <v>3678</v>
      </c>
      <c r="I43" s="7" t="s">
        <v>3679</v>
      </c>
      <c r="J43" s="7" t="s">
        <v>970</v>
      </c>
      <c r="K43" s="7" t="s">
        <v>3680</v>
      </c>
    </row>
    <row r="44" ht="14.25" customHeight="1">
      <c r="A44" s="31">
        <v>43.0</v>
      </c>
      <c r="B44" s="7" t="str">
        <f>IFERROR(__xludf.DUMMYFUNCTION("GOOGLETRANSLATE(H44, ""th"", ""en"")"),"Where was Muay Thai training traditionally held?")</f>
        <v>Where was Muay Thai training traditionally held?</v>
      </c>
      <c r="C44" s="7" t="str">
        <f>IFERROR(__xludf.DUMMYFUNCTION("GOOGLETRANSLATE(I44, ""th"", ""en"")"),"A) police station; B) in the village; C) temple; D) in the house")</f>
        <v>A) police station; B) in the village; C) temple; D) in the house</v>
      </c>
      <c r="D44" s="7" t="str">
        <f>IFERROR(__xludf.DUMMYFUNCTION("GOOGLETRANSLATE(J44, ""th"", ""en"")"),"C) Temple")</f>
        <v>C) Temple</v>
      </c>
      <c r="E44" s="5" t="str">
        <f>IFERROR(__xludf.DUMMYFUNCTION("GOOGLETRANSLATE(K44, ""th"", ""en"")"),"In the past, Muay Thai training often took place in temples.")</f>
        <v>In the past, Muay Thai training often took place in temples.</v>
      </c>
      <c r="G44" s="6">
        <v>43.0</v>
      </c>
      <c r="H44" s="7" t="s">
        <v>3681</v>
      </c>
      <c r="I44" s="7" t="s">
        <v>3682</v>
      </c>
      <c r="J44" s="7" t="s">
        <v>3683</v>
      </c>
      <c r="K44" s="7" t="s">
        <v>3684</v>
      </c>
    </row>
    <row r="45" ht="14.25" customHeight="1">
      <c r="A45" s="31">
        <v>44.0</v>
      </c>
      <c r="B45" s="7" t="str">
        <f>IFERROR(__xludf.DUMMYFUNCTION("GOOGLETRANSLATE(H45, ""th"", ""en"")"),"What is a martial art that combines Muay Thai?")</f>
        <v>What is a martial art that combines Muay Thai?</v>
      </c>
      <c r="C45" s="7" t="str">
        <f>IFERROR(__xludf.DUMMYFUNCTION("GOOGLETRANSLATE(I45, ""th"", ""en"")"),"A) Karate; B) Taekwondo; C) Sabat; D) Phinphat")</f>
        <v>A) Karate; B) Taekwondo; C) Sabat; D) Phinphat</v>
      </c>
      <c r="D45" s="7" t="str">
        <f>IFERROR(__xludf.DUMMYFUNCTION("GOOGLETRANSLATE(J45, ""th"", ""en"")"),"C) Sabat")</f>
        <v>C) Sabat</v>
      </c>
      <c r="E45" s="5" t="str">
        <f>IFERROR(__xludf.DUMMYFUNCTION("GOOGLETRANSLATE(K45, ""th"", ""en"")"),"Muay Thai is a combination of martial arts from Sabath.")</f>
        <v>Muay Thai is a combination of martial arts from Sabath.</v>
      </c>
      <c r="G45" s="6">
        <v>44.0</v>
      </c>
      <c r="H45" s="7" t="s">
        <v>3685</v>
      </c>
      <c r="I45" s="7" t="s">
        <v>3686</v>
      </c>
      <c r="J45" s="7" t="s">
        <v>3687</v>
      </c>
      <c r="K45" s="7" t="s">
        <v>3688</v>
      </c>
    </row>
    <row r="46" ht="14.25" customHeight="1">
      <c r="A46" s="31">
        <v>45.0</v>
      </c>
      <c r="B46" s="7" t="str">
        <f>IFERROR(__xludf.DUMMYFUNCTION("GOOGLETRANSLATE(H46, ""th"", ""en"")"),"What symbols are used in Muay Thai?")</f>
        <v>What symbols are used in Muay Thai?</v>
      </c>
      <c r="C46" s="7" t="str">
        <f>IFERROR(__xludf.DUMMYFUNCTION("GOOGLETRANSLATE(I46, ""th"", ""en"")"),"A) headband; B) waistband; C) wristband; D) legband")</f>
        <v>A) headband; B) waistband; C) wristband; D) legband</v>
      </c>
      <c r="D46" s="7" t="str">
        <f>IFERROR(__xludf.DUMMYFUNCTION("GOOGLETRANSLATE(J46, ""th"", ""en"")"),"A) Headband")</f>
        <v>A) Headband</v>
      </c>
      <c r="E46" s="5" t="str">
        <f>IFERROR(__xludf.DUMMYFUNCTION("GOOGLETRANSLATE(K46, ""th"", ""en"")"),"The headband is a commonly used symbol of Muay Thai boxing.")</f>
        <v>The headband is a commonly used symbol of Muay Thai boxing.</v>
      </c>
      <c r="G46" s="6">
        <v>45.0</v>
      </c>
      <c r="H46" s="7" t="s">
        <v>3689</v>
      </c>
      <c r="I46" s="7" t="s">
        <v>3690</v>
      </c>
      <c r="J46" s="7" t="s">
        <v>3691</v>
      </c>
      <c r="K46" s="7" t="s">
        <v>3692</v>
      </c>
    </row>
    <row r="47" ht="14.25" customHeight="1">
      <c r="A47" s="31">
        <v>46.0</v>
      </c>
      <c r="B47" s="7" t="str">
        <f>IFERROR(__xludf.DUMMYFUNCTION("GOOGLETRANSLATE(H47, ""th"", ""en"")"),"What words are most commonly used when naming important boxing stadiums in Thailand?")</f>
        <v>What words are most commonly used when naming important boxing stadiums in Thailand?</v>
      </c>
      <c r="C47" s="7" t="str">
        <f>IFERROR(__xludf.DUMMYFUNCTION("GOOGLETRANSLATE(I47, ""th"", ""en"")"),"A) Soldiers; B) Ratchadamnoen; C) Sri Ayutthaya; D) Mahathir")</f>
        <v>A) Soldiers; B) Ratchadamnoen; C) Sri Ayutthaya; D) Mahathir</v>
      </c>
      <c r="D47" s="7" t="str">
        <f>IFERROR(__xludf.DUMMYFUNCTION("GOOGLETRANSLATE(J47, ""th"", ""en"")"),"B) Ratchadamnoen")</f>
        <v>B) Ratchadamnoen</v>
      </c>
      <c r="E47" s="5" t="str">
        <f>IFERROR(__xludf.DUMMYFUNCTION("GOOGLETRANSLATE(K47, ""th"", ""en"")"),"The names of important boxing stadiums often contain the word 'Rajadamnern', such as Rajadamnern Boxing Stadium.")</f>
        <v>The names of important boxing stadiums often contain the word 'Rajadamnern', such as Rajadamnern Boxing Stadium.</v>
      </c>
      <c r="G47" s="6">
        <v>46.0</v>
      </c>
      <c r="H47" s="7" t="s">
        <v>3693</v>
      </c>
      <c r="I47" s="7" t="s">
        <v>3694</v>
      </c>
      <c r="J47" s="7" t="s">
        <v>3695</v>
      </c>
      <c r="K47" s="7" t="s">
        <v>3696</v>
      </c>
    </row>
    <row r="48" ht="14.25" customHeight="1">
      <c r="A48" s="31">
        <v>47.0</v>
      </c>
      <c r="B48" s="7" t="str">
        <f>IFERROR(__xludf.DUMMYFUNCTION("GOOGLETRANSLATE(H48, ""th"", ""en"")"),"Where did Muay Thai first use a boxing ring with a roof?")</f>
        <v>Where did Muay Thai first use a boxing ring with a roof?</v>
      </c>
      <c r="C48" s="7" t="str">
        <f>IFERROR(__xludf.DUMMYFUNCTION("GOOGLETRANSLATE(I48, ""th"", ""en"")"),"A) Rajadamnern Boxing Stadium; B) Lumpini Boxing Stadium; C) Big Boxing Stadium; D) Provincial Boxing Stadium")</f>
        <v>A) Rajadamnern Boxing Stadium; B) Lumpini Boxing Stadium; C) Big Boxing Stadium; D) Provincial Boxing Stadium</v>
      </c>
      <c r="D48" s="7" t="str">
        <f>IFERROR(__xludf.DUMMYFUNCTION("GOOGLETRANSLATE(J48, ""th"", ""en"")"),"A) Rajadamnern Boxing Stadium")</f>
        <v>A) Rajadamnern Boxing Stadium</v>
      </c>
      <c r="E48" s="5" t="str">
        <f>IFERROR(__xludf.DUMMYFUNCTION("GOOGLETRANSLATE(K48, ""th"", ""en"")"),"Rajadamnern Boxing Stadium was the first to use a boxing ring with a roof.")</f>
        <v>Rajadamnern Boxing Stadium was the first to use a boxing ring with a roof.</v>
      </c>
      <c r="G48" s="6">
        <v>47.0</v>
      </c>
      <c r="H48" s="7" t="s">
        <v>3697</v>
      </c>
      <c r="I48" s="7" t="s">
        <v>3698</v>
      </c>
      <c r="J48" s="7" t="s">
        <v>3541</v>
      </c>
      <c r="K48" s="7" t="s">
        <v>3699</v>
      </c>
    </row>
    <row r="49" ht="14.25" customHeight="1">
      <c r="A49" s="31">
        <v>48.0</v>
      </c>
      <c r="B49" s="7" t="str">
        <f>IFERROR(__xludf.DUMMYFUNCTION("GOOGLETRANSLATE(H49, ""th"", ""en"")"),"In which media programs has Muay Thai gained global recognition?")</f>
        <v>In which media programs has Muay Thai gained global recognition?</v>
      </c>
      <c r="C49" s="7" t="str">
        <f>IFERROR(__xludf.DUMMYFUNCTION("GOOGLETRANSLATE(I49, ""th"", ""en"")"),"A) Documentary; B) Sports program; C) News; D) Travel program")</f>
        <v>A) Documentary; B) Sports program; C) News; D) Travel program</v>
      </c>
      <c r="D49" s="7" t="str">
        <f>IFERROR(__xludf.DUMMYFUNCTION("GOOGLETRANSLATE(J49, ""th"", ""en"")"),"B) Sports programs")</f>
        <v>B) Sports programs</v>
      </c>
      <c r="E49" s="5" t="str">
        <f>IFERROR(__xludf.DUMMYFUNCTION("GOOGLETRANSLATE(K49, ""th"", ""en"")"),"Muay Thai has gained global exposure and recognition through its media coverage in sports events.")</f>
        <v>Muay Thai has gained global exposure and recognition through its media coverage in sports events.</v>
      </c>
      <c r="G49" s="6">
        <v>48.0</v>
      </c>
      <c r="H49" s="7" t="s">
        <v>3700</v>
      </c>
      <c r="I49" s="7" t="s">
        <v>3701</v>
      </c>
      <c r="J49" s="7" t="s">
        <v>3702</v>
      </c>
      <c r="K49" s="7" t="s">
        <v>3703</v>
      </c>
    </row>
    <row r="50" ht="14.25" customHeight="1">
      <c r="A50" s="31">
        <v>49.0</v>
      </c>
      <c r="B50" s="7" t="str">
        <f>IFERROR(__xludf.DUMMYFUNCTION("GOOGLETRANSLATE(H50, ""th"", ""en"")"),"Who was the first Muay Thai boxer to be trained using modern methods in the modern era?")</f>
        <v>Who was the first Muay Thai boxer to be trained using modern methods in the modern era?</v>
      </c>
      <c r="C50" s="7" t="str">
        <f>IFERROR(__xludf.DUMMYFUNCTION("GOOGLETRANSLATE(I50, ""th"", ""en"")"),"A) Sun; B) Sombat Methani; C) Phanthong; D) Chomracha")</f>
        <v>A) Sun; B) Sombat Methani; C) Phanthong; D) Chomracha</v>
      </c>
      <c r="D50" s="7" t="str">
        <f>IFERROR(__xludf.DUMMYFUNCTION("GOOGLETRANSLATE(J50, ""th"", ""en"")"),"A) The sun")</f>
        <v>A) The sun</v>
      </c>
      <c r="E50" s="5" t="str">
        <f>IFERROR(__xludf.DUMMYFUNCTION("GOOGLETRANSLATE(K50, ""th"", ""en"")"),"Tawan was the first Muay Thai boxer to be trained using new, modern methods.")</f>
        <v>Tawan was the first Muay Thai boxer to be trained using new, modern methods.</v>
      </c>
      <c r="G50" s="6">
        <v>49.0</v>
      </c>
      <c r="H50" s="7" t="s">
        <v>3704</v>
      </c>
      <c r="I50" s="7" t="s">
        <v>3705</v>
      </c>
      <c r="J50" s="7" t="s">
        <v>3706</v>
      </c>
      <c r="K50" s="7" t="s">
        <v>3707</v>
      </c>
    </row>
    <row r="51" ht="14.25" customHeight="1">
      <c r="A51" s="31">
        <v>50.0</v>
      </c>
      <c r="B51" s="7" t="str">
        <f>IFERROR(__xludf.DUMMYFUNCTION("GOOGLETRANSLATE(H51, ""th"", ""en"")"),"Is Muay Thai taught in the school system?")</f>
        <v>Is Muay Thai taught in the school system?</v>
      </c>
      <c r="C51" s="7" t="str">
        <f>IFERROR(__xludf.DUMMYFUNCTION("GOOGLETRANSLATE(I51, ""th"", ""en"")"),"A) Yes; B) No")</f>
        <v>A) Yes; B) No</v>
      </c>
      <c r="D51" s="7" t="str">
        <f>IFERROR(__xludf.DUMMYFUNCTION("GOOGLETRANSLATE(J51, ""th"", ""en"")"),"A) Yes")</f>
        <v>A) Yes</v>
      </c>
      <c r="E51" s="5" t="str">
        <f>IFERROR(__xludf.DUMMYFUNCTION("GOOGLETRANSLATE(K51, ""th"", ""en"")"),"Muay Thai is now taught in some schools.")</f>
        <v>Muay Thai is now taught in some schools.</v>
      </c>
      <c r="G51" s="6">
        <v>50.0</v>
      </c>
      <c r="H51" s="7" t="s">
        <v>3708</v>
      </c>
      <c r="I51" s="7" t="s">
        <v>3709</v>
      </c>
      <c r="J51" s="7" t="s">
        <v>60</v>
      </c>
      <c r="K51" s="7" t="s">
        <v>3710</v>
      </c>
    </row>
    <row r="52" ht="14.25" customHeight="1">
      <c r="A52" s="31">
        <v>51.0</v>
      </c>
      <c r="B52" s="7" t="str">
        <f>IFERROR(__xludf.DUMMYFUNCTION("GOOGLETRANSLATE(H52, ""th"", ""en"")"),"Do Muay Thai fights often involve the use of hands?")</f>
        <v>Do Muay Thai fights often involve the use of hands?</v>
      </c>
      <c r="C52" s="7" t="str">
        <f>IFERROR(__xludf.DUMMYFUNCTION("GOOGLETRANSLATE(I52, ""th"", ""en"")"),"A) Use hands; B) Do not use hands")</f>
        <v>A) Use hands; B) Do not use hands</v>
      </c>
      <c r="D52" s="7" t="str">
        <f>IFERROR(__xludf.DUMMYFUNCTION("GOOGLETRANSLATE(J52, ""th"", ""en"")"),"A) Use your hands")</f>
        <v>A) Use your hands</v>
      </c>
      <c r="E52" s="5" t="str">
        <f>IFERROR(__xludf.DUMMYFUNCTION("GOOGLETRANSLATE(K52, ""th"", ""en"")"),"The hands are the primary weapon used in Muay Thai attacks.")</f>
        <v>The hands are the primary weapon used in Muay Thai attacks.</v>
      </c>
      <c r="G52" s="6">
        <v>51.0</v>
      </c>
      <c r="H52" s="7" t="s">
        <v>3711</v>
      </c>
      <c r="I52" s="7" t="s">
        <v>3712</v>
      </c>
      <c r="J52" s="7" t="s">
        <v>3713</v>
      </c>
      <c r="K52" s="7" t="s">
        <v>3714</v>
      </c>
    </row>
    <row r="53" ht="14.25" customHeight="1">
      <c r="A53" s="31">
        <v>52.0</v>
      </c>
      <c r="B53" s="7" t="str">
        <f>IFERROR(__xludf.DUMMYFUNCTION("GOOGLETRANSLATE(H53, ""th"", ""en"")"),"When did the use of kicks in Muay Thai begin?")</f>
        <v>When did the use of kicks in Muay Thai begin?</v>
      </c>
      <c r="C53" s="7" t="str">
        <f>IFERROR(__xludf.DUMMYFUNCTION("GOOGLETRANSLATE(I53, ""th"", ""en"")"),"A) Ayutthaya period; B) Sukhothai period; C) Rattanakosin period; D) Present period")</f>
        <v>A) Ayutthaya period; B) Sukhothai period; C) Rattanakosin period; D) Present period</v>
      </c>
      <c r="D53" s="7" t="str">
        <f>IFERROR(__xludf.DUMMYFUNCTION("GOOGLETRANSLATE(J53, ""th"", ""en"")"),"A) Ayutthaya period")</f>
        <v>A) Ayutthaya period</v>
      </c>
      <c r="E53" s="5" t="str">
        <f>IFERROR(__xludf.DUMMYFUNCTION("GOOGLETRANSLATE(K53, ""th"", ""en"")"),"The kicking stance was first used in the Ayutthaya period.")</f>
        <v>The kicking stance was first used in the Ayutthaya period.</v>
      </c>
      <c r="G53" s="6">
        <v>52.0</v>
      </c>
      <c r="H53" s="7" t="s">
        <v>3715</v>
      </c>
      <c r="I53" s="7" t="s">
        <v>3716</v>
      </c>
      <c r="J53" s="7" t="s">
        <v>970</v>
      </c>
      <c r="K53" s="7" t="s">
        <v>3717</v>
      </c>
    </row>
    <row r="54" ht="14.25" customHeight="1">
      <c r="A54" s="31">
        <v>53.0</v>
      </c>
      <c r="B54" s="7" t="str">
        <f>IFERROR(__xludf.DUMMYFUNCTION("GOOGLETRANSLATE(H54, ""th"", ""en"")"),"What is the importance of elbows in Muay Thai?")</f>
        <v>What is the importance of elbows in Muay Thai?</v>
      </c>
      <c r="C54" s="7" t="str">
        <f>IFERROR(__xludf.DUMMYFUNCTION("GOOGLETRANSLATE(I54, ""th"", ""en"")"),"A) Self-defense; B) Close-range attack; C) Quick movement; D) Closing the rhythm")</f>
        <v>A) Self-defense; B) Close-range attack; C) Quick movement; D) Closing the rhythm</v>
      </c>
      <c r="D54" s="7" t="str">
        <f>IFERROR(__xludf.DUMMYFUNCTION("GOOGLETRANSLATE(J54, ""th"", ""en"")"),"B) Close-range attack")</f>
        <v>B) Close-range attack</v>
      </c>
      <c r="E54" s="5" t="str">
        <f>IFERROR(__xludf.DUMMYFUNCTION("GOOGLETRANSLATE(K54, ""th"", ""en"")"),"The elbow in Muay Thai is used for close-range attacks.")</f>
        <v>The elbow in Muay Thai is used for close-range attacks.</v>
      </c>
      <c r="G54" s="6">
        <v>53.0</v>
      </c>
      <c r="H54" s="7" t="s">
        <v>3718</v>
      </c>
      <c r="I54" s="7" t="s">
        <v>3719</v>
      </c>
      <c r="J54" s="7" t="s">
        <v>3720</v>
      </c>
      <c r="K54" s="7" t="s">
        <v>3721</v>
      </c>
    </row>
    <row r="55" ht="14.25" customHeight="1">
      <c r="A55" s="31">
        <v>54.0</v>
      </c>
      <c r="B55" s="7" t="str">
        <f>IFERROR(__xludf.DUMMYFUNCTION("GOOGLETRANSLATE(H55, ""th"", ""en"")"),"What skills does learning Muay Thai help develop?")</f>
        <v>What skills does learning Muay Thai help develop?</v>
      </c>
      <c r="C55" s="7" t="str">
        <f>IFERROR(__xludf.DUMMYFUNCTION("GOOGLETRANSLATE(I55, ""th"", ""en"")"),"A) Endurance; B) Speed; C) Agility; D) All of the above")</f>
        <v>A) Endurance; B) Speed; C) Agility; D) All of the above</v>
      </c>
      <c r="D55" s="7" t="str">
        <f>IFERROR(__xludf.DUMMYFUNCTION("GOOGLETRANSLATE(J55, ""th"", ""en"")"),"D) All of the above")</f>
        <v>D) All of the above</v>
      </c>
      <c r="E55" s="5" t="str">
        <f>IFERROR(__xludf.DUMMYFUNCTION("GOOGLETRANSLATE(K55, ""th"", ""en"")"),"Learning Muay Thai helps develop endurance, speed, and agility.")</f>
        <v>Learning Muay Thai helps develop endurance, speed, and agility.</v>
      </c>
      <c r="G55" s="6">
        <v>54.0</v>
      </c>
      <c r="H55" s="7" t="s">
        <v>3722</v>
      </c>
      <c r="I55" s="7" t="s">
        <v>3723</v>
      </c>
      <c r="J55" s="7" t="s">
        <v>3572</v>
      </c>
      <c r="K55" s="7" t="s">
        <v>3724</v>
      </c>
    </row>
    <row r="56" ht="14.25" customHeight="1">
      <c r="A56" s="31">
        <v>55.0</v>
      </c>
      <c r="B56" s="7" t="str">
        <f>IFERROR(__xludf.DUMMYFUNCTION("GOOGLETRANSLATE(H56, ""th"", ""en"")"),"What are the main weapons in Muay Thai?")</f>
        <v>What are the main weapons in Muay Thai?</v>
      </c>
      <c r="C56" s="7" t="str">
        <f>IFERROR(__xludf.DUMMYFUNCTION("GOOGLETRANSLATE(I56, ""th"", ""en"")"),"A) fist; B) knee; C) elbow; D) all of the above")</f>
        <v>A) fist; B) knee; C) elbow; D) all of the above</v>
      </c>
      <c r="D56" s="7" t="str">
        <f>IFERROR(__xludf.DUMMYFUNCTION("GOOGLETRANSLATE(J56, ""th"", ""en"")"),"D) All of the above")</f>
        <v>D) All of the above</v>
      </c>
      <c r="E56" s="5" t="str">
        <f>IFERROR(__xludf.DUMMYFUNCTION("GOOGLETRANSLATE(K56, ""th"", ""en"")"),"Muay Thai uses fists, knees, and elbows in its attacks.")</f>
        <v>Muay Thai uses fists, knees, and elbows in its attacks.</v>
      </c>
      <c r="G56" s="6">
        <v>55.0</v>
      </c>
      <c r="H56" s="7" t="s">
        <v>3725</v>
      </c>
      <c r="I56" s="7" t="s">
        <v>3726</v>
      </c>
      <c r="J56" s="7" t="s">
        <v>3572</v>
      </c>
      <c r="K56" s="7" t="s">
        <v>3727</v>
      </c>
    </row>
    <row r="57" ht="14.25" customHeight="1">
      <c r="A57" s="31">
        <v>56.0</v>
      </c>
      <c r="B57" s="7" t="str">
        <f>IFERROR(__xludf.DUMMYFUNCTION("GOOGLETRANSLATE(H57, ""th"", ""en"")"),"How are results decided in a Muay Thai match?")</f>
        <v>How are results decided in a Muay Thai match?</v>
      </c>
      <c r="C57" s="7" t="str">
        <f>IFERROR(__xludf.DUMMYFUNCTION("GOOGLETRANSLATE(I57, ""th"", ""en"")"),"A) By score; B) By knockout; C) By coach's decision; D) By number of strikes.")</f>
        <v>A) By score; B) By knockout; C) By coach's decision; D) By number of strikes.</v>
      </c>
      <c r="D57" s="7" t="str">
        <f>IFERROR(__xludf.DUMMYFUNCTION("GOOGLETRANSLATE(J57, ""th"", ""en"")"),"A) By score")</f>
        <v>A) By score</v>
      </c>
      <c r="E57" s="5" t="str">
        <f>IFERROR(__xludf.DUMMYFUNCTION("GOOGLETRANSLATE(K57, ""th"", ""en"")"),"The decision of the Muay Thai match is based on the scores from attack and defense.")</f>
        <v>The decision of the Muay Thai match is based on the scores from attack and defense.</v>
      </c>
      <c r="G57" s="6">
        <v>56.0</v>
      </c>
      <c r="H57" s="7" t="s">
        <v>3728</v>
      </c>
      <c r="I57" s="7" t="s">
        <v>3729</v>
      </c>
      <c r="J57" s="7" t="s">
        <v>3730</v>
      </c>
      <c r="K57" s="7" t="s">
        <v>3731</v>
      </c>
    </row>
    <row r="58" ht="14.25" customHeight="1">
      <c r="A58" s="31">
        <v>57.0</v>
      </c>
      <c r="B58" s="7" t="str">
        <f>IFERROR(__xludf.DUMMYFUNCTION("GOOGLETRANSLATE(H58, ""th"", ""en"")"),"Where do Muay Thai trainings nowadays usually take place?")</f>
        <v>Where do Muay Thai trainings nowadays usually take place?</v>
      </c>
      <c r="C58" s="7" t="str">
        <f>IFERROR(__xludf.DUMMYFUNCTION("GOOGLETRANSLATE(I58, ""th"", ""en"")"),"A) temple; B) sports school; C) boxing club; D) police station")</f>
        <v>A) temple; B) sports school; C) boxing club; D) police station</v>
      </c>
      <c r="D58" s="7" t="str">
        <f>IFERROR(__xludf.DUMMYFUNCTION("GOOGLETRANSLATE(J58, ""th"", ""en"")"),"C) Boxing Club")</f>
        <v>C) Boxing Club</v>
      </c>
      <c r="E58" s="5" t="str">
        <f>IFERROR(__xludf.DUMMYFUNCTION("GOOGLETRANSLATE(K58, ""th"", ""en"")"),"Muay Thai training nowadays usually takes place in boxing clubs.")</f>
        <v>Muay Thai training nowadays usually takes place in boxing clubs.</v>
      </c>
      <c r="G58" s="6">
        <v>57.0</v>
      </c>
      <c r="H58" s="7" t="s">
        <v>3732</v>
      </c>
      <c r="I58" s="7" t="s">
        <v>3733</v>
      </c>
      <c r="J58" s="7" t="s">
        <v>3734</v>
      </c>
      <c r="K58" s="7" t="s">
        <v>3735</v>
      </c>
    </row>
    <row r="59" ht="14.25" customHeight="1">
      <c r="A59" s="31">
        <v>58.0</v>
      </c>
      <c r="B59" s="7" t="str">
        <f>IFERROR(__xludf.DUMMYFUNCTION("GOOGLETRANSLATE(H59, ""th"", ""en"")"),"What are the distinctive characteristics of Muay Thai fighting?")</f>
        <v>What are the distinctive characteristics of Muay Thai fighting?</v>
      </c>
      <c r="C59" s="7" t="str">
        <f>IFERROR(__xludf.DUMMYFUNCTION("GOOGLETRANSLATE(I59, ""th"", ""en"")"),"A) fast movement; B) close-range combat; C) foot attacks; D) use of self-defense.")</f>
        <v>A) fast movement; B) close-range combat; C) foot attacks; D) use of self-defense.</v>
      </c>
      <c r="D59" s="7" t="str">
        <f>IFERROR(__xludf.DUMMYFUNCTION("GOOGLETRANSLATE(J59, ""th"", ""en"")"),"B) Close-range combat")</f>
        <v>B) Close-range combat</v>
      </c>
      <c r="E59" s="5" t="str">
        <f>IFERROR(__xludf.DUMMYFUNCTION("GOOGLETRANSLATE(K59, ""th"", ""en"")"),"Muay Thai is characterized by close-range fighting.")</f>
        <v>Muay Thai is characterized by close-range fighting.</v>
      </c>
      <c r="G59" s="6">
        <v>58.0</v>
      </c>
      <c r="H59" s="7" t="s">
        <v>3736</v>
      </c>
      <c r="I59" s="7" t="s">
        <v>3737</v>
      </c>
      <c r="J59" s="7" t="s">
        <v>3738</v>
      </c>
      <c r="K59" s="7" t="s">
        <v>3739</v>
      </c>
    </row>
    <row r="60" ht="14.25" customHeight="1">
      <c r="A60" s="31">
        <v>59.0</v>
      </c>
      <c r="B60" s="7" t="str">
        <f>IFERROR(__xludf.DUMMYFUNCTION("GOOGLETRANSLATE(H60, ""th"", ""en"")"),"How has Muay Thai been developed and improved today?")</f>
        <v>How has Muay Thai been developed and improved today?</v>
      </c>
      <c r="C60" s="7" t="str">
        <f>IFERROR(__xludf.DUMMYFUNCTION("GOOGLETRANSLATE(I60, ""th"", ""en"")"),"A) new moves are used; B) rules are revised; C) new boxing stadiums are built; D) all of the above.")</f>
        <v>A) new moves are used; B) rules are revised; C) new boxing stadiums are built; D) all of the above.</v>
      </c>
      <c r="D60" s="7" t="str">
        <f>IFERROR(__xludf.DUMMYFUNCTION("GOOGLETRANSLATE(J60, ""th"", ""en"")"),"D) All of the above")</f>
        <v>D) All of the above</v>
      </c>
      <c r="E60" s="5" t="str">
        <f>IFERROR(__xludf.DUMMYFUNCTION("GOOGLETRANSLATE(K60, ""th"", ""en"")"),"Muay Thai today has been developed and improved in many aspects.")</f>
        <v>Muay Thai today has been developed and improved in many aspects.</v>
      </c>
      <c r="G60" s="6">
        <v>59.0</v>
      </c>
      <c r="H60" s="7" t="s">
        <v>3740</v>
      </c>
      <c r="I60" s="7" t="s">
        <v>3741</v>
      </c>
      <c r="J60" s="7" t="s">
        <v>3572</v>
      </c>
      <c r="K60" s="7" t="s">
        <v>3742</v>
      </c>
    </row>
    <row r="61" ht="14.25" customHeight="1">
      <c r="A61" s="31">
        <v>60.0</v>
      </c>
      <c r="B61" s="7" t="str">
        <f>IFERROR(__xludf.DUMMYFUNCTION("GOOGLETRANSLATE(H61, ""th"", ""en"")"),"Which Muay Thai boxer is the most well-known in the world?")</f>
        <v>Which Muay Thai boxer is the most well-known in the world?</v>
      </c>
      <c r="C61" s="7" t="str">
        <f>IFERROR(__xludf.DUMMYFUNCTION("GOOGLETRANSLATE(I61, ""th"", ""en"")"),"A) Sombat Methani; B) Tawan; C) Buakhao; D) Phanthong")</f>
        <v>A) Sombat Methani; B) Tawan; C) Buakhao; D) Phanthong</v>
      </c>
      <c r="D61" s="7" t="str">
        <f>IFERROR(__xludf.DUMMYFUNCTION("GOOGLETRANSLATE(J61, ""th"", ""en"")"),"C) White Lotus")</f>
        <v>C) White Lotus</v>
      </c>
      <c r="E61" s="5" t="str">
        <f>IFERROR(__xludf.DUMMYFUNCTION("GOOGLETRANSLATE(K61, ""th"", ""en"")"),"Buakaw is the most well-known Muay Thai fighter in the world.")</f>
        <v>Buakaw is the most well-known Muay Thai fighter in the world.</v>
      </c>
      <c r="G61" s="6">
        <v>60.0</v>
      </c>
      <c r="H61" s="7" t="s">
        <v>3743</v>
      </c>
      <c r="I61" s="7" t="s">
        <v>3744</v>
      </c>
      <c r="J61" s="7" t="s">
        <v>3745</v>
      </c>
      <c r="K61" s="7" t="s">
        <v>3746</v>
      </c>
    </row>
    <row r="62" ht="14.25" customHeight="1">
      <c r="A62" s="31">
        <v>61.0</v>
      </c>
      <c r="B62" s="7" t="str">
        <f>IFERROR(__xludf.DUMMYFUNCTION("GOOGLETRANSLATE(H62, ""th"", ""en"")"),"How did the use of fists in Muay Thai begin?")</f>
        <v>How did the use of fists in Muay Thai begin?</v>
      </c>
      <c r="C62" s="7" t="str">
        <f>IFERROR(__xludf.DUMMYFUNCTION("GOOGLETRANSLATE(I62, ""th"", ""en"")"),"A) to attack from a distance; B) to defend oneself; C) to attack at close range; D) to move quickly.")</f>
        <v>A) to attack from a distance; B) to defend oneself; C) to attack at close range; D) to move quickly.</v>
      </c>
      <c r="D62" s="7" t="str">
        <f>IFERROR(__xludf.DUMMYFUNCTION("GOOGLETRANSLATE(J62, ""th"", ""en"")"),"C) To attack at close range")</f>
        <v>C) To attack at close range</v>
      </c>
      <c r="E62" s="5" t="str">
        <f>IFERROR(__xludf.DUMMYFUNCTION("GOOGLETRANSLATE(K62, ""th"", ""en"")"),"Punches in Muay Thai were initially used for close-range attacks.")</f>
        <v>Punches in Muay Thai were initially used for close-range attacks.</v>
      </c>
      <c r="G62" s="6">
        <v>61.0</v>
      </c>
      <c r="H62" s="7" t="s">
        <v>3747</v>
      </c>
      <c r="I62" s="7" t="s">
        <v>3748</v>
      </c>
      <c r="J62" s="7" t="s">
        <v>3749</v>
      </c>
      <c r="K62" s="7" t="s">
        <v>3750</v>
      </c>
    </row>
    <row r="63" ht="14.25" customHeight="1">
      <c r="A63" s="31">
        <v>62.0</v>
      </c>
      <c r="B63" s="7" t="str">
        <f>IFERROR(__xludf.DUMMYFUNCTION("GOOGLETRANSLATE(H63, ""th"", ""en"")"),"Muay Thai was developed and improved from which martial arts?")</f>
        <v>Muay Thai was developed and improved from which martial arts?</v>
      </c>
      <c r="C63" s="7" t="str">
        <f>IFERROR(__xludf.DUMMYFUNCTION("GOOGLETRANSLATE(I63, ""th"", ""en"")"),"A) Karate; B) Sabbath; C) Jujitsu; D) Martial Arts")</f>
        <v>A) Karate; B) Sabbath; C) Jujitsu; D) Martial Arts</v>
      </c>
      <c r="D63" s="7" t="str">
        <f>IFERROR(__xludf.DUMMYFUNCTION("GOOGLETRANSLATE(J63, ""th"", ""en"")"),"B) Sabat")</f>
        <v>B) Sabat</v>
      </c>
      <c r="E63" s="5" t="str">
        <f>IFERROR(__xludf.DUMMYFUNCTION("GOOGLETRANSLATE(K63, ""th"", ""en"")"),"Muay Thai was developed and improved from the martial art of Sabat.")</f>
        <v>Muay Thai was developed and improved from the martial art of Sabat.</v>
      </c>
      <c r="G63" s="6">
        <v>62.0</v>
      </c>
      <c r="H63" s="7" t="s">
        <v>3751</v>
      </c>
      <c r="I63" s="7" t="s">
        <v>3752</v>
      </c>
      <c r="J63" s="7" t="s">
        <v>3753</v>
      </c>
      <c r="K63" s="7" t="s">
        <v>3754</v>
      </c>
    </row>
    <row r="64" ht="14.25" customHeight="1">
      <c r="A64" s="31">
        <v>63.0</v>
      </c>
      <c r="B64" s="7" t="str">
        <f>IFERROR(__xludf.DUMMYFUNCTION("GOOGLETRANSLATE(H64, ""th"", ""en"")"),"Was Muay Thai ever part of military training in the past?")</f>
        <v>Was Muay Thai ever part of military training in the past?</v>
      </c>
      <c r="C64" s="7" t="str">
        <f>IFERROR(__xludf.DUMMYFUNCTION("GOOGLETRANSLATE(I64, ""th"", ""en"")"),"A) Yes; B) No")</f>
        <v>A) Yes; B) No</v>
      </c>
      <c r="D64" s="7" t="str">
        <f>IFERROR(__xludf.DUMMYFUNCTION("GOOGLETRANSLATE(J64, ""th"", ""en"")"),"A) Yes.")</f>
        <v>A) Yes.</v>
      </c>
      <c r="E64" s="5" t="str">
        <f>IFERROR(__xludf.DUMMYFUNCTION("GOOGLETRANSLATE(K64, ""th"", ""en"")"),"Muay Thai was once part of military training in ancient times.")</f>
        <v>Muay Thai was once part of military training in ancient times.</v>
      </c>
      <c r="G64" s="6">
        <v>63.0</v>
      </c>
      <c r="H64" s="7" t="s">
        <v>3755</v>
      </c>
      <c r="I64" s="7" t="s">
        <v>3344</v>
      </c>
      <c r="J64" s="7" t="s">
        <v>134</v>
      </c>
      <c r="K64" s="7" t="s">
        <v>3756</v>
      </c>
    </row>
    <row r="65" ht="14.25" customHeight="1">
      <c r="A65" s="31">
        <v>64.0</v>
      </c>
      <c r="B65" s="7" t="str">
        <f>IFERROR(__xludf.DUMMYFUNCTION("GOOGLETRANSLATE(H65, ""th"", ""en"")"),"After what event did Muay Thai become popular abroad?")</f>
        <v>After what event did Muay Thai become popular abroad?</v>
      </c>
      <c r="C65" s="7" t="str">
        <f>IFERROR(__xludf.DUMMYFUNCTION("GOOGLETRANSLATE(I65, ""th"", ""en"")"),"A) World War II; B) Asian Games; C) Live TV broadcast; D) Tourism in Thailand")</f>
        <v>A) World War II; B) Asian Games; C) Live TV broadcast; D) Tourism in Thailand</v>
      </c>
      <c r="D65" s="7" t="str">
        <f>IFERROR(__xludf.DUMMYFUNCTION("GOOGLETRANSLATE(J65, ""th"", ""en"")"),"C) Live broadcast on TV")</f>
        <v>C) Live broadcast on TV</v>
      </c>
      <c r="E65" s="5" t="str">
        <f>IFERROR(__xludf.DUMMYFUNCTION("GOOGLETRANSLATE(K65, ""th"", ""en"")"),"Muay Thai began to gain popularity abroad after being broadcast live on TV.")</f>
        <v>Muay Thai began to gain popularity abroad after being broadcast live on TV.</v>
      </c>
      <c r="G65" s="6">
        <v>64.0</v>
      </c>
      <c r="H65" s="7" t="s">
        <v>3757</v>
      </c>
      <c r="I65" s="7" t="s">
        <v>3758</v>
      </c>
      <c r="J65" s="7" t="s">
        <v>3759</v>
      </c>
      <c r="K65" s="7" t="s">
        <v>3760</v>
      </c>
    </row>
    <row r="66" ht="14.25" customHeight="1">
      <c r="A66" s="31">
        <v>65.0</v>
      </c>
      <c r="B66" s="7" t="str">
        <f>IFERROR(__xludf.DUMMYFUNCTION("GOOGLETRANSLATE(H66, ""th"", ""en"")"),"In what direction has Muay Thai developed over time?")</f>
        <v>In what direction has Muay Thai developed over time?</v>
      </c>
      <c r="C66" s="7" t="str">
        <f>IFERROR(__xludf.DUMMYFUNCTION("GOOGLETRANSLATE(I66, ""th"", ""en"")"),"A) the use of new moves and modern rules; B) the development of the Olympic Games; C) the improvement of the costumes; D) the training of soldiers.")</f>
        <v>A) the use of new moves and modern rules; B) the development of the Olympic Games; C) the improvement of the costumes; D) the training of soldiers.</v>
      </c>
      <c r="D66" s="7" t="str">
        <f>IFERROR(__xludf.DUMMYFUNCTION("GOOGLETRANSLATE(J66, ""th"", ""en"")"),"A) Using new moves and modern rules.")</f>
        <v>A) Using new moves and modern rules.</v>
      </c>
      <c r="E66" s="5" t="str">
        <f>IFERROR(__xludf.DUMMYFUNCTION("GOOGLETRANSLATE(K66, ""th"", ""en"")"),"Muay Thai has evolved by using new moves and modern rules.")</f>
        <v>Muay Thai has evolved by using new moves and modern rules.</v>
      </c>
      <c r="G66" s="6">
        <v>65.0</v>
      </c>
      <c r="H66" s="7" t="s">
        <v>3761</v>
      </c>
      <c r="I66" s="7" t="s">
        <v>3762</v>
      </c>
      <c r="J66" s="7" t="s">
        <v>3763</v>
      </c>
      <c r="K66" s="7" t="s">
        <v>3764</v>
      </c>
    </row>
    <row r="67" ht="14.25" customHeight="1">
      <c r="A67" s="31">
        <v>66.0</v>
      </c>
      <c r="B67" s="7" t="str">
        <f>IFERROR(__xludf.DUMMYFUNCTION("GOOGLETRANSLATE(H67, ""th"", ""en"")"),"When did Muay Thai begin to spread globally?")</f>
        <v>When did Muay Thai begin to spread globally?</v>
      </c>
      <c r="C67" s="7" t="str">
        <f>IFERROR(__xludf.DUMMYFUNCTION("GOOGLETRANSLATE(I67, ""th"", ""en"")"),"A) 1970s; B) 1980s; C) 1990s; D) 2000s")</f>
        <v>A) 1970s; B) 1980s; C) 1990s; D) 2000s</v>
      </c>
      <c r="D67" s="7" t="str">
        <f>IFERROR(__xludf.DUMMYFUNCTION("GOOGLETRANSLATE(J67, ""th"", ""en"")"),"A) The 1970s")</f>
        <v>A) The 1970s</v>
      </c>
      <c r="E67" s="5" t="str">
        <f>IFERROR(__xludf.DUMMYFUNCTION("GOOGLETRANSLATE(K67, ""th"", ""en"")"),"Muay Thai began to spread internationally in the 1970s.")</f>
        <v>Muay Thai began to spread internationally in the 1970s.</v>
      </c>
      <c r="G67" s="6">
        <v>66.0</v>
      </c>
      <c r="H67" s="7" t="s">
        <v>3765</v>
      </c>
      <c r="I67" s="7" t="s">
        <v>3766</v>
      </c>
      <c r="J67" s="7" t="s">
        <v>3767</v>
      </c>
      <c r="K67" s="7" t="s">
        <v>3768</v>
      </c>
    </row>
    <row r="68" ht="14.25" customHeight="1">
      <c r="A68" s="31">
        <v>67.0</v>
      </c>
      <c r="B68" s="7" t="str">
        <f>IFERROR(__xludf.DUMMYFUNCTION("GOOGLETRANSLATE(H68, ""th"", ""en"")"),"Where is the most important boxing stadium in Thailand?")</f>
        <v>Where is the most important boxing stadium in Thailand?</v>
      </c>
      <c r="C68" s="7" t="str">
        <f>IFERROR(__xludf.DUMMYFUNCTION("GOOGLETRANSLATE(I68, ""th"", ""en"")"),"A) Big Boxing Stadium; B) Rajadamnern Boxing Stadium; C) Lumpini Boxing Stadium; D) Chiang Mai Boxing Stadium")</f>
        <v>A) Big Boxing Stadium; B) Rajadamnern Boxing Stadium; C) Lumpini Boxing Stadium; D) Chiang Mai Boxing Stadium</v>
      </c>
      <c r="D68" s="7" t="str">
        <f>IFERROR(__xludf.DUMMYFUNCTION("GOOGLETRANSLATE(J68, ""th"", ""en"")"),"B) Rajadamnern Boxing Stadium")</f>
        <v>B) Rajadamnern Boxing Stadium</v>
      </c>
      <c r="E68" s="5" t="str">
        <f>IFERROR(__xludf.DUMMYFUNCTION("GOOGLETRANSLATE(K68, ""th"", ""en"")"),"Rajadamnern Boxing Stadium is considered the most important boxing stadium in Thailand.")</f>
        <v>Rajadamnern Boxing Stadium is considered the most important boxing stadium in Thailand.</v>
      </c>
      <c r="G68" s="6">
        <v>67.0</v>
      </c>
      <c r="H68" s="7" t="s">
        <v>3769</v>
      </c>
      <c r="I68" s="7" t="s">
        <v>3770</v>
      </c>
      <c r="J68" s="7" t="s">
        <v>3771</v>
      </c>
      <c r="K68" s="7" t="s">
        <v>3772</v>
      </c>
    </row>
    <row r="69" ht="14.25" customHeight="1">
      <c r="A69" s="31">
        <v>68.0</v>
      </c>
      <c r="B69" s="7" t="str">
        <f>IFERROR(__xludf.DUMMYFUNCTION("GOOGLETRANSLATE(H69, ""th"", ""en"")"),"Has Muay Thai fighting evolved in the 2000s?")</f>
        <v>Has Muay Thai fighting evolved in the 2000s?</v>
      </c>
      <c r="C69" s="7" t="str">
        <f>IFERROR(__xludf.DUMMYFUNCTION("GOOGLETRANSLATE(I69, ""th"", ""en"")"),"A) There is development in rules and techniques; B) There is no development; C) Development is limited; D) Development occurs later.")</f>
        <v>A) There is development in rules and techniques; B) There is no development; C) Development is limited; D) Development occurs later.</v>
      </c>
      <c r="D69" s="7" t="str">
        <f>IFERROR(__xludf.DUMMYFUNCTION("GOOGLETRANSLATE(J69, ""th"", ""en"")"),"A) There are developments in rules and techniques.")</f>
        <v>A) There are developments in rules and techniques.</v>
      </c>
      <c r="E69" s="5" t="str">
        <f>IFERROR(__xludf.DUMMYFUNCTION("GOOGLETRANSLATE(K69, ""th"", ""en"")"),"Muay Thai has evolved in terms of rules and techniques in the 2000s.")</f>
        <v>Muay Thai has evolved in terms of rules and techniques in the 2000s.</v>
      </c>
      <c r="G69" s="6">
        <v>68.0</v>
      </c>
      <c r="H69" s="7" t="s">
        <v>3773</v>
      </c>
      <c r="I69" s="7" t="s">
        <v>3774</v>
      </c>
      <c r="J69" s="7" t="s">
        <v>3775</v>
      </c>
      <c r="K69" s="7" t="s">
        <v>3776</v>
      </c>
    </row>
    <row r="70" ht="14.25" customHeight="1">
      <c r="A70" s="31">
        <v>69.0</v>
      </c>
      <c r="B70" s="7" t="str">
        <f>IFERROR(__xludf.DUMMYFUNCTION("GOOGLETRANSLATE(H70, ""th"", ""en"")"),"When did Muay Thai become recognized as an international sport?")</f>
        <v>When did Muay Thai become recognized as an international sport?</v>
      </c>
      <c r="C70" s="7" t="str">
        <f>IFERROR(__xludf.DUMMYFUNCTION("GOOGLETRANSLATE(I70, ""th"", ""en"")"),"A) After the first Olympic Games; B) After the World Boxing Championships; C) After the live broadcast of the competitions abroad; D) After the first Muay Thai World Championships.")</f>
        <v>A) After the first Olympic Games; B) After the World Boxing Championships; C) After the live broadcast of the competitions abroad; D) After the first Muay Thai World Championships.</v>
      </c>
      <c r="D70" s="7" t="str">
        <f>IFERROR(__xludf.DUMMYFUNCTION("GOOGLETRANSLATE(J70, ""th"", ""en"")"),"C) After the live broadcast of the competition abroad")</f>
        <v>C) After the live broadcast of the competition abroad</v>
      </c>
      <c r="E70" s="5" t="str">
        <f>IFERROR(__xludf.DUMMYFUNCTION("GOOGLETRANSLATE(K70, ""th"", ""en"")"),"Muay Thai has gained international recognition as a sport after broadcasting matches abroad.")</f>
        <v>Muay Thai has gained international recognition as a sport after broadcasting matches abroad.</v>
      </c>
      <c r="G70" s="6">
        <v>69.0</v>
      </c>
      <c r="H70" s="7" t="s">
        <v>3777</v>
      </c>
      <c r="I70" s="7" t="s">
        <v>3778</v>
      </c>
      <c r="J70" s="7" t="s">
        <v>3779</v>
      </c>
      <c r="K70" s="7" t="s">
        <v>3780</v>
      </c>
    </row>
    <row r="71" ht="14.25" customHeight="1">
      <c r="A71" s="31">
        <v>70.0</v>
      </c>
      <c r="B71" s="7" t="str">
        <f>IFERROR(__xludf.DUMMYFUNCTION("GOOGLETRANSLATE(H71, ""th"", ""en"")"),"In which country in the Americas did Muay Thai first gain the most recognition?")</f>
        <v>In which country in the Americas did Muay Thai first gain the most recognition?</v>
      </c>
      <c r="C71" s="7" t="str">
        <f>IFERROR(__xludf.DUMMYFUNCTION("GOOGLETRANSLATE(I71, ""th"", ""en"")"),"A) United States; B) Canada; C) Mexico; D) Brazil")</f>
        <v>A) United States; B) Canada; C) Mexico; D) Brazil</v>
      </c>
      <c r="D71" s="7" t="str">
        <f>IFERROR(__xludf.DUMMYFUNCTION("GOOGLETRANSLATE(J71, ""th"", ""en"")"),"A) United States")</f>
        <v>A) United States</v>
      </c>
      <c r="E71" s="5" t="str">
        <f>IFERROR(__xludf.DUMMYFUNCTION("GOOGLETRANSLATE(K71, ""th"", ""en"")"),"Muay Thai is the most recognized sport in the Americas.")</f>
        <v>Muay Thai is the most recognized sport in the Americas.</v>
      </c>
      <c r="G71" s="6">
        <v>70.0</v>
      </c>
      <c r="H71" s="7" t="s">
        <v>3781</v>
      </c>
      <c r="I71" s="7" t="s">
        <v>3782</v>
      </c>
      <c r="J71" s="7" t="s">
        <v>3615</v>
      </c>
      <c r="K71" s="7" t="s">
        <v>3783</v>
      </c>
    </row>
    <row r="72" ht="14.25" customHeight="1">
      <c r="A72" s="31">
        <v>71.0</v>
      </c>
      <c r="B72" s="7" t="str">
        <f>IFERROR(__xludf.DUMMYFUNCTION("GOOGLETRANSLATE(H72, ""th"", ""en"")"),"What weapons are used in Muay Thai fighting?")</f>
        <v>What weapons are used in Muay Thai fighting?</v>
      </c>
      <c r="C72" s="7" t="str">
        <f>IFERROR(__xludf.DUMMYFUNCTION("GOOGLETRANSLATE(I72, ""th"", ""en"")"),"A) fist, knee, elbow, foot; B) sword, club, hammer; C) foot, club, knife; D) fist, elbow, club")</f>
        <v>A) fist, knee, elbow, foot; B) sword, club, hammer; C) foot, club, knife; D) fist, elbow, club</v>
      </c>
      <c r="D72" s="7" t="str">
        <f>IFERROR(__xludf.DUMMYFUNCTION("GOOGLETRANSLATE(J72, ""th"", ""en"")"),"A) Fist, knee, elbow, foot")</f>
        <v>A) Fist, knee, elbow, foot</v>
      </c>
      <c r="E72" s="5" t="str">
        <f>IFERROR(__xludf.DUMMYFUNCTION("GOOGLETRANSLATE(K72, ""th"", ""en"")"),"Muay Thai uses fists, knees, elbows, and feet in combat.")</f>
        <v>Muay Thai uses fists, knees, elbows, and feet in combat.</v>
      </c>
      <c r="G72" s="6">
        <v>71.0</v>
      </c>
      <c r="H72" s="7" t="s">
        <v>3784</v>
      </c>
      <c r="I72" s="7" t="s">
        <v>3785</v>
      </c>
      <c r="J72" s="7" t="s">
        <v>3786</v>
      </c>
      <c r="K72" s="7" t="s">
        <v>3787</v>
      </c>
    </row>
    <row r="73" ht="14.25" customHeight="1">
      <c r="A73" s="31">
        <v>72.0</v>
      </c>
      <c r="B73" s="7" t="str">
        <f>IFERROR(__xludf.DUMMYFUNCTION("GOOGLETRANSLATE(H73, ""th"", ""en"")"),"When was the major development and improvement of the Muay Thai rules?")</f>
        <v>When was the major development and improvement of the Muay Thai rules?</v>
      </c>
      <c r="C73" s="7" t="str">
        <f>IFERROR(__xludf.DUMMYFUNCTION("GOOGLETRANSLATE(I73, ""th"", ""en"")"),"A) 1960; B) 1970; C) 1980; D) 1990")</f>
        <v>A) 1960; B) 1970; C) 1980; D) 1990</v>
      </c>
      <c r="D73" s="7" t="str">
        <f>IFERROR(__xludf.DUMMYFUNCTION("GOOGLETRANSLATE(J73, ""th"", ""en"")"),"B) 1970")</f>
        <v>B) 1970</v>
      </c>
      <c r="E73" s="5" t="str">
        <f>IFERROR(__xludf.DUMMYFUNCTION("GOOGLETRANSLATE(K73, ""th"", ""en"")"),"Muay Thai rules were developed and improved during the 1970s.")</f>
        <v>Muay Thai rules were developed and improved during the 1970s.</v>
      </c>
      <c r="G73" s="6">
        <v>72.0</v>
      </c>
      <c r="H73" s="7" t="s">
        <v>3788</v>
      </c>
      <c r="I73" s="7" t="s">
        <v>1072</v>
      </c>
      <c r="J73" s="7" t="s">
        <v>1073</v>
      </c>
      <c r="K73" s="7" t="s">
        <v>3789</v>
      </c>
    </row>
    <row r="74" ht="14.25" customHeight="1">
      <c r="A74" s="31">
        <v>73.0</v>
      </c>
      <c r="B74" s="7" t="str">
        <f>IFERROR(__xludf.DUMMYFUNCTION("GOOGLETRANSLATE(H74, ""th"", ""en"")"),"When did Muay Thai become popular internationally?")</f>
        <v>When did Muay Thai become popular internationally?</v>
      </c>
      <c r="C74" s="7" t="str">
        <f>IFERROR(__xludf.DUMMYFUNCTION("GOOGLETRANSLATE(I74, ""th"", ""en"")"),"A) Ayutthaya period; B) Rattanakosin period; C) Post-World War II period; D) Present period")</f>
        <v>A) Ayutthaya period; B) Rattanakosin period; C) Post-World War II period; D) Present period</v>
      </c>
      <c r="D74" s="7" t="str">
        <f>IFERROR(__xludf.DUMMYFUNCTION("GOOGLETRANSLATE(J74, ""th"", ""en"")"),"C) After World War II")</f>
        <v>C) After World War II</v>
      </c>
      <c r="E74" s="5" t="str">
        <f>IFERROR(__xludf.DUMMYFUNCTION("GOOGLETRANSLATE(K74, ""th"", ""en"")"),"Muay Thai began to spread internationally after World War II.")</f>
        <v>Muay Thai began to spread internationally after World War II.</v>
      </c>
      <c r="G74" s="6">
        <v>73.0</v>
      </c>
      <c r="H74" s="7" t="s">
        <v>3790</v>
      </c>
      <c r="I74" s="7" t="s">
        <v>3791</v>
      </c>
      <c r="J74" s="7" t="s">
        <v>3792</v>
      </c>
      <c r="K74" s="7" t="s">
        <v>3793</v>
      </c>
    </row>
    <row r="75" ht="14.25" customHeight="1">
      <c r="A75" s="31">
        <v>74.0</v>
      </c>
      <c r="B75" s="7" t="str">
        <f>IFERROR(__xludf.DUMMYFUNCTION("GOOGLETRANSLATE(H75, ""th"", ""en"")"),"How did Buakaw Banchamek achieve success in Muay Thai competitions?")</f>
        <v>How did Buakaw Banchamek achieve success in Muay Thai competitions?</v>
      </c>
      <c r="C75" s="7" t="str">
        <f>IFERROR(__xludf.DUMMYFUNCTION("GOOGLETRANSLATE(I75, ""th"", ""en"")"),"A) won many world boxing championships; B) was a world champion in many weight classes; C) was an undefeated boxer; D) was a famous boxer only in Thailand.")</f>
        <v>A) won many world boxing championships; B) was a world champion in many weight classes; C) was an undefeated boxer; D) was a famous boxer only in Thailand.</v>
      </c>
      <c r="D75" s="7" t="str">
        <f>IFERROR(__xludf.DUMMYFUNCTION("GOOGLETRANSLATE(J75, ""th"", ""en"")"),"B) is a world champion in many divisions.")</f>
        <v>B) is a world champion in many divisions.</v>
      </c>
      <c r="E75" s="5" t="str">
        <f>IFERROR(__xludf.DUMMYFUNCTION("GOOGLETRANSLATE(K75, ""th"", ""en"")"),"Buakaw Banchamek has achieved success in Muay Thai competitions, becoming a world champion in several divisions.")</f>
        <v>Buakaw Banchamek has achieved success in Muay Thai competitions, becoming a world champion in several divisions.</v>
      </c>
      <c r="G75" s="6">
        <v>74.0</v>
      </c>
      <c r="H75" s="7" t="s">
        <v>3794</v>
      </c>
      <c r="I75" s="7" t="s">
        <v>3795</v>
      </c>
      <c r="J75" s="7" t="s">
        <v>3796</v>
      </c>
      <c r="K75" s="7" t="s">
        <v>3797</v>
      </c>
    </row>
    <row r="76" ht="14.25" customHeight="1">
      <c r="A76" s="31">
        <v>75.0</v>
      </c>
      <c r="B76" s="7" t="str">
        <f>IFERROR(__xludf.DUMMYFUNCTION("GOOGLETRANSLATE(H76, ""th"", ""en"")"),"What are the important events that promote the development of Muay Thai abroad?")</f>
        <v>What are the important events that promote the development of Muay Thai abroad?</v>
      </c>
      <c r="C76" s="7" t="str">
        <f>IFERROR(__xludf.DUMMYFUNCTION("GOOGLETRANSLATE(I76, ""th"", ""en"")"),"A) International competitions; B) Organizing Muay Thai training abroad; C) Performing Muay Thai at festivals; D) Developing Muay Thai websites.")</f>
        <v>A) International competitions; B) Organizing Muay Thai training abroad; C) Performing Muay Thai at festivals; D) Developing Muay Thai websites.</v>
      </c>
      <c r="D76" s="7" t="str">
        <f>IFERROR(__xludf.DUMMYFUNCTION("GOOGLETRANSLATE(J76, ""th"", ""en"")"),"A) International competition")</f>
        <v>A) International competition</v>
      </c>
      <c r="E76" s="5" t="str">
        <f>IFERROR(__xludf.DUMMYFUNCTION("GOOGLETRANSLATE(K76, ""th"", ""en"")"),"International competitions play an important role in promoting the development of Muay Thai.")</f>
        <v>International competitions play an important role in promoting the development of Muay Thai.</v>
      </c>
      <c r="G76" s="6">
        <v>75.0</v>
      </c>
      <c r="H76" s="7" t="s">
        <v>3798</v>
      </c>
      <c r="I76" s="7" t="s">
        <v>3799</v>
      </c>
      <c r="J76" s="7" t="s">
        <v>3800</v>
      </c>
      <c r="K76" s="7" t="s">
        <v>3801</v>
      </c>
    </row>
    <row r="77" ht="14.25" customHeight="1">
      <c r="A77" s="31">
        <v>76.0</v>
      </c>
      <c r="B77" s="7" t="str">
        <f>IFERROR(__xludf.DUMMYFUNCTION("GOOGLETRANSLATE(H77, ""th"", ""en"")"),"How important is Lumpini Boxing Stadium in the history of Muay Thai?")</f>
        <v>How important is Lumpini Boxing Stadium in the history of Muay Thai?</v>
      </c>
      <c r="C77" s="7" t="str">
        <f>IFERROR(__xludf.DUMMYFUNCTION("GOOGLETRANSLATE(I77, ""th"", ""en"")"),"A) It is the first stadium to host world-class competitions; B) It is a stadium where top boxers are trained; C) It is the birthplace of Muay Thai; D) It is a stadium recognized by the World Boxing Federation.")</f>
        <v>A) It is the first stadium to host world-class competitions; B) It is a stadium where top boxers are trained; C) It is the birthplace of Muay Thai; D) It is a stadium recognized by the World Boxing Federation.</v>
      </c>
      <c r="D77" s="7" t="str">
        <f>IFERROR(__xludf.DUMMYFUNCTION("GOOGLETRANSLATE(J77, ""th"", ""en"")"),"B) It is a field where top boxers are trained.")</f>
        <v>B) It is a field where top boxers are trained.</v>
      </c>
      <c r="E77" s="5" t="str">
        <f>IFERROR(__xludf.DUMMYFUNCTION("GOOGLETRANSLATE(K77, ""th"", ""en"")"),"Lumpini Boxing Stadium is important for training top boxers.")</f>
        <v>Lumpini Boxing Stadium is important for training top boxers.</v>
      </c>
      <c r="G77" s="6">
        <v>76.0</v>
      </c>
      <c r="H77" s="7" t="s">
        <v>3802</v>
      </c>
      <c r="I77" s="7" t="s">
        <v>3803</v>
      </c>
      <c r="J77" s="7" t="s">
        <v>3804</v>
      </c>
      <c r="K77" s="7" t="s">
        <v>3805</v>
      </c>
    </row>
    <row r="78" ht="14.25" customHeight="1">
      <c r="A78" s="31">
        <v>77.0</v>
      </c>
      <c r="B78" s="7" t="str">
        <f>IFERROR(__xludf.DUMMYFUNCTION("GOOGLETRANSLATE(H78, ""th"", ""en"")"),"What started the process of spreading Muay Thai abroad?")</f>
        <v>What started the process of spreading Muay Thai abroad?</v>
      </c>
      <c r="C78" s="7" t="str">
        <f>IFERROR(__xludf.DUMMYFUNCTION("GOOGLETRANSLATE(I78, ""th"", ""en"")"),"A) Organizing Muay Thai training abroad; B) sending Muay Thai boxers to compete abroad; C) disseminating through the media; D) staging fights abroad.")</f>
        <v>A) Organizing Muay Thai training abroad; B) sending Muay Thai boxers to compete abroad; C) disseminating through the media; D) staging fights abroad.</v>
      </c>
      <c r="D78" s="7" t="str">
        <f>IFERROR(__xludf.DUMMYFUNCTION("GOOGLETRANSLATE(J78, ""th"", ""en"")"),"B) Send Thai boxers to compete abroad.")</f>
        <v>B) Send Thai boxers to compete abroad.</v>
      </c>
      <c r="E78" s="5" t="str">
        <f>IFERROR(__xludf.DUMMYFUNCTION("GOOGLETRANSLATE(K78, ""th"", ""en"")"),"The spread of Muay Thai began with sending Muay Thai boxers to compete abroad.")</f>
        <v>The spread of Muay Thai began with sending Muay Thai boxers to compete abroad.</v>
      </c>
      <c r="G78" s="6">
        <v>77.0</v>
      </c>
      <c r="H78" s="7" t="s">
        <v>3806</v>
      </c>
      <c r="I78" s="7" t="s">
        <v>3807</v>
      </c>
      <c r="J78" s="7" t="s">
        <v>3808</v>
      </c>
      <c r="K78" s="7" t="s">
        <v>3809</v>
      </c>
    </row>
    <row r="79" ht="14.25" customHeight="1">
      <c r="A79" s="31">
        <v>78.0</v>
      </c>
      <c r="B79" s="7" t="str">
        <f>IFERROR(__xludf.DUMMYFUNCTION("GOOGLETRANSLATE(H79, ""th"", ""en"")"),"Where in Thailand was Buakaw Banchamek born?")</f>
        <v>Where in Thailand was Buakaw Banchamek born?</v>
      </c>
      <c r="C79" s="7" t="str">
        <f>IFERROR(__xludf.DUMMYFUNCTION("GOOGLETRANSLATE(I79, ""th"", ""en"")"),"A) Bangkok; B) Chonburi; C) Buriram; D) Surin")</f>
        <v>A) Bangkok; B) Chonburi; C) Buriram; D) Surin</v>
      </c>
      <c r="D79" s="7" t="str">
        <f>IFERROR(__xludf.DUMMYFUNCTION("GOOGLETRANSLATE(J79, ""th"", ""en"")"),"C) Buriram")</f>
        <v>C) Buriram</v>
      </c>
      <c r="E79" s="5" t="str">
        <f>IFERROR(__xludf.DUMMYFUNCTION("GOOGLETRANSLATE(K79, ""th"", ""en"")"),"Buakaw Banchamek was born in Buriram Province.")</f>
        <v>Buakaw Banchamek was born in Buriram Province.</v>
      </c>
      <c r="G79" s="6">
        <v>78.0</v>
      </c>
      <c r="H79" s="7" t="s">
        <v>3810</v>
      </c>
      <c r="I79" s="7" t="s">
        <v>3811</v>
      </c>
      <c r="J79" s="7" t="s">
        <v>3812</v>
      </c>
      <c r="K79" s="7" t="s">
        <v>3813</v>
      </c>
    </row>
    <row r="80" ht="14.25" customHeight="1">
      <c r="A80" s="31">
        <v>79.0</v>
      </c>
      <c r="B80" s="7" t="str">
        <f>IFERROR(__xludf.DUMMYFUNCTION("GOOGLETRANSLATE(H80, ""th"", ""en"")"),"Is Muay Thai training similar or different from other boxing training?")</f>
        <v>Is Muay Thai training similar or different from other boxing training?</v>
      </c>
      <c r="C80" s="7" t="str">
        <f>IFERROR(__xludf.DUMMYFUNCTION("GOOGLETRANSLATE(I80, ""th"", ""en"")"),"A) different; B) same")</f>
        <v>A) different; B) same</v>
      </c>
      <c r="D80" s="7" t="str">
        <f>IFERROR(__xludf.DUMMYFUNCTION("GOOGLETRANSLATE(J80, ""th"", ""en"")"),"A) Different")</f>
        <v>A) Different</v>
      </c>
      <c r="E80" s="5" t="str">
        <f>IFERROR(__xludf.DUMMYFUNCTION("GOOGLETRANSLATE(K80, ""th"", ""en"")"),"Muay Thai training is different from other boxing training in that it uses special moves.")</f>
        <v>Muay Thai training is different from other boxing training in that it uses special moves.</v>
      </c>
      <c r="G80" s="6">
        <v>79.0</v>
      </c>
      <c r="H80" s="7" t="s">
        <v>3814</v>
      </c>
      <c r="I80" s="7" t="s">
        <v>3815</v>
      </c>
      <c r="J80" s="7" t="s">
        <v>3816</v>
      </c>
      <c r="K80" s="7" t="s">
        <v>3817</v>
      </c>
    </row>
    <row r="81" ht="14.25" customHeight="1">
      <c r="A81" s="31">
        <v>80.0</v>
      </c>
      <c r="B81" s="7" t="str">
        <f>IFERROR(__xludf.DUMMYFUNCTION("GOOGLETRANSLATE(H81, ""th"", ""en"")"),"What form of fighting did Muay Thai begin as?")</f>
        <v>What form of fighting did Muay Thai begin as?</v>
      </c>
      <c r="C81" s="7" t="str">
        <f>IFERROR(__xludf.DUMMYFUNCTION("GOOGLETRANSLATE(I81, ""th"", ""en"")"),"A) Hand-to-hand combat; B) Weapon combat; C) Arena combat; D) Arena combat")</f>
        <v>A) Hand-to-hand combat; B) Weapon combat; C) Arena combat; D) Arena combat</v>
      </c>
      <c r="D81" s="7" t="str">
        <f>IFERROR(__xludf.DUMMYFUNCTION("GOOGLETRANSLATE(J81, ""th"", ""en"")"),"A) Hand-to-hand combat")</f>
        <v>A) Hand-to-hand combat</v>
      </c>
      <c r="E81" s="5" t="str">
        <f>IFERROR(__xludf.DUMMYFUNCTION("GOOGLETRANSLATE(K81, ""th"", ""en"")"),"Muay Thai began as a bare-handed fight.")</f>
        <v>Muay Thai began as a bare-handed fight.</v>
      </c>
      <c r="G81" s="6">
        <v>80.0</v>
      </c>
      <c r="H81" s="7" t="s">
        <v>3818</v>
      </c>
      <c r="I81" s="7" t="s">
        <v>3819</v>
      </c>
      <c r="J81" s="7" t="s">
        <v>3820</v>
      </c>
      <c r="K81" s="7" t="s">
        <v>3821</v>
      </c>
    </row>
    <row r="82" ht="14.25" customHeight="1">
      <c r="A82" s="31">
        <v>81.0</v>
      </c>
      <c r="B82" s="7" t="str">
        <f>IFERROR(__xludf.DUMMYFUNCTION("GOOGLETRANSLATE(H82, ""th"", ""en"")"),"Who is one of the most famous Muay Thai boxers in the world?")</f>
        <v>Who is one of the most famous Muay Thai boxers in the world?</v>
      </c>
      <c r="C82" s="7" t="str">
        <f>IFERROR(__xludf.DUMMYFUNCTION("GOOGLETRANSLATE(I82, ""th"", ""en"")"),"A) Neil Leven; B) Buakaw Banchamek; C) Somrak Khamsing; D) Thaksin Shinawatra")</f>
        <v>A) Neil Leven; B) Buakaw Banchamek; C) Somrak Khamsing; D) Thaksin Shinawatra</v>
      </c>
      <c r="D82" s="7" t="str">
        <f>IFERROR(__xludf.DUMMYFUNCTION("GOOGLETRANSLATE(J82, ""th"", ""en"")"),"B) Buakaw Banchamek")</f>
        <v>B) Buakaw Banchamek</v>
      </c>
      <c r="E82" s="5" t="str">
        <f>IFERROR(__xludf.DUMMYFUNCTION("GOOGLETRANSLATE(K82, ""th"", ""en"")"),"Buakaw Banchamek is a world-famous Muay Thai fighter.")</f>
        <v>Buakaw Banchamek is a world-famous Muay Thai fighter.</v>
      </c>
      <c r="G82" s="6">
        <v>81.0</v>
      </c>
      <c r="H82" s="7" t="s">
        <v>3822</v>
      </c>
      <c r="I82" s="7" t="s">
        <v>3823</v>
      </c>
      <c r="J82" s="7" t="s">
        <v>3824</v>
      </c>
      <c r="K82" s="7" t="s">
        <v>3825</v>
      </c>
    </row>
    <row r="83" ht="14.25" customHeight="1">
      <c r="A83" s="31">
        <v>82.0</v>
      </c>
      <c r="B83" s="7" t="str">
        <f>IFERROR(__xludf.DUMMYFUNCTION("GOOGLETRANSLATE(H83, ""th"", ""en"")"),"How long does it take to become good at Muay Thai?")</f>
        <v>How long does it take to become good at Muay Thai?</v>
      </c>
      <c r="C83" s="7" t="str">
        <f>IFERROR(__xludf.DUMMYFUNCTION("GOOGLETRANSLATE(I83, ""th"", ""en"")"),"A) 6 months; B) 1 year; C) 3-5 years; D) 10 years")</f>
        <v>A) 6 months; B) 1 year; C) 3-5 years; D) 10 years</v>
      </c>
      <c r="D83" s="7" t="str">
        <f>IFERROR(__xludf.DUMMYFUNCTION("GOOGLETRANSLATE(J83, ""th"", ""en"")"),"C) 3-5 years")</f>
        <v>C) 3-5 years</v>
      </c>
      <c r="E83" s="5" t="str">
        <f>IFERROR(__xludf.DUMMYFUNCTION("GOOGLETRANSLATE(K83, ""th"", ""en"")"),"Muay Thai training takes years to develop skills.")</f>
        <v>Muay Thai training takes years to develop skills.</v>
      </c>
      <c r="G83" s="6">
        <v>82.0</v>
      </c>
      <c r="H83" s="7" t="s">
        <v>3826</v>
      </c>
      <c r="I83" s="7" t="s">
        <v>3827</v>
      </c>
      <c r="J83" s="7" t="s">
        <v>3828</v>
      </c>
      <c r="K83" s="7" t="s">
        <v>3829</v>
      </c>
    </row>
    <row r="84" ht="14.25" customHeight="1">
      <c r="A84" s="31">
        <v>83.0</v>
      </c>
      <c r="B84" s="7" t="str">
        <f>IFERROR(__xludf.DUMMYFUNCTION("GOOGLETRANSLATE(H84, ""th"", ""en"")"),"What cultural influences does Muay Thai have in Thailand?")</f>
        <v>What cultural influences does Muay Thai have in Thailand?</v>
      </c>
      <c r="C84" s="7" t="str">
        <f>IFERROR(__xludf.DUMMYFUNCTION("GOOGLETRANSLATE(I84, ""th"", ""en"")"),"A) Chinese culture; B) Malay culture; C) Indian culture; D) Thai culture")</f>
        <v>A) Chinese culture; B) Malay culture; C) Indian culture; D) Thai culture</v>
      </c>
      <c r="D84" s="7" t="str">
        <f>IFERROR(__xludf.DUMMYFUNCTION("GOOGLETRANSLATE(J84, ""th"", ""en"")"),"D) Thai culture")</f>
        <v>D) Thai culture</v>
      </c>
      <c r="E84" s="5" t="str">
        <f>IFERROR(__xludf.DUMMYFUNCTION("GOOGLETRANSLATE(K84, ""th"", ""en"")"),"Muay Thai is influenced by Thai culture with specific fighting skills.")</f>
        <v>Muay Thai is influenced by Thai culture with specific fighting skills.</v>
      </c>
      <c r="G84" s="6">
        <v>83.0</v>
      </c>
      <c r="H84" s="7" t="s">
        <v>3830</v>
      </c>
      <c r="I84" s="7" t="s">
        <v>3831</v>
      </c>
      <c r="J84" s="7" t="s">
        <v>3832</v>
      </c>
      <c r="K84" s="7" t="s">
        <v>3833</v>
      </c>
    </row>
    <row r="85" ht="14.25" customHeight="1">
      <c r="A85" s="31">
        <v>84.0</v>
      </c>
      <c r="B85" s="7" t="str">
        <f>IFERROR(__xludf.DUMMYFUNCTION("GOOGLETRANSLATE(H85, ""th"", ""en"")"),"What is the purpose of using knees in Muay Thai fighting?")</f>
        <v>What is the purpose of using knees in Muay Thai fighting?</v>
      </c>
      <c r="C85" s="7" t="str">
        <f>IFERROR(__xludf.DUMMYFUNCTION("GOOGLETRANSLATE(I85, ""th"", ""en"")"),"A) To scare an opponent; B) To attack at close range; C) To defend against an attack; D) To move forward.")</f>
        <v>A) To scare an opponent; B) To attack at close range; C) To defend against an attack; D) To move forward.</v>
      </c>
      <c r="D85" s="7" t="str">
        <f>IFERROR(__xludf.DUMMYFUNCTION("GOOGLETRANSLATE(J85, ""th"", ""en"")"),"B) To attack at close range")</f>
        <v>B) To attack at close range</v>
      </c>
      <c r="E85" s="5" t="str">
        <f>IFERROR(__xludf.DUMMYFUNCTION("GOOGLETRANSLATE(K85, ""th"", ""en"")"),"Knees are often used in close-range attacks to gain an advantage.")</f>
        <v>Knees are often used in close-range attacks to gain an advantage.</v>
      </c>
      <c r="G85" s="6">
        <v>84.0</v>
      </c>
      <c r="H85" s="7" t="s">
        <v>3834</v>
      </c>
      <c r="I85" s="7" t="s">
        <v>3835</v>
      </c>
      <c r="J85" s="7" t="s">
        <v>3836</v>
      </c>
      <c r="K85" s="7" t="s">
        <v>3837</v>
      </c>
    </row>
    <row r="86" ht="14.25" customHeight="1">
      <c r="A86" s="31">
        <v>85.0</v>
      </c>
      <c r="B86" s="7" t="str">
        <f>IFERROR(__xludf.DUMMYFUNCTION("GOOGLETRANSLATE(H86, ""th"", ""en"")"),"When did Muay Thai begin to receive government support?")</f>
        <v>When did Muay Thai begin to receive government support?</v>
      </c>
      <c r="C86" s="7" t="str">
        <f>IFERROR(__xludf.DUMMYFUNCTION("GOOGLETRANSLATE(I86, ""th"", ""en"")"),"A) During the reign of King Rama V; B) During the reign of King Rama VII; C) During the reign of King Rama IX; D) During the reign of King Rama X")</f>
        <v>A) During the reign of King Rama V; B) During the reign of King Rama VII; C) During the reign of King Rama IX; D) During the reign of King Rama X</v>
      </c>
      <c r="D86" s="7" t="str">
        <f>IFERROR(__xludf.DUMMYFUNCTION("GOOGLETRANSLATE(J86, ""th"", ""en"")"),"A) During the reign of King Rama V")</f>
        <v>A) During the reign of King Rama V</v>
      </c>
      <c r="E86" s="5" t="str">
        <f>IFERROR(__xludf.DUMMYFUNCTION("GOOGLETRANSLATE(K86, ""th"", ""en"")"),"Muay Thai received support from the government during the reign of King Rama V.")</f>
        <v>Muay Thai received support from the government during the reign of King Rama V.</v>
      </c>
      <c r="G86" s="6">
        <v>85.0</v>
      </c>
      <c r="H86" s="7" t="s">
        <v>3838</v>
      </c>
      <c r="I86" s="7" t="s">
        <v>3839</v>
      </c>
      <c r="J86" s="7" t="s">
        <v>3840</v>
      </c>
      <c r="K86" s="7" t="s">
        <v>3841</v>
      </c>
    </row>
    <row r="87" ht="14.25" customHeight="1">
      <c r="A87" s="31">
        <v>86.0</v>
      </c>
      <c r="B87" s="7" t="str">
        <f>IFERROR(__xludf.DUMMYFUNCTION("GOOGLETRANSLATE(H87, ""th"", ""en"")"),"What should Muay Thai training begin with?")</f>
        <v>What should Muay Thai training begin with?</v>
      </c>
      <c r="C87" s="7" t="str">
        <f>IFERROR(__xludf.DUMMYFUNCTION("GOOGLETRANSLATE(I87, ""th"", ""en"")"),"A) Basic movements; B) Training with opponents; C) Learning special techniques; D) Fighting on the field.")</f>
        <v>A) Basic movements; B) Training with opponents; C) Learning special techniques; D) Fighting on the field.</v>
      </c>
      <c r="D87" s="7" t="str">
        <f>IFERROR(__xludf.DUMMYFUNCTION("GOOGLETRANSLATE(J87, ""th"", ""en"")"),"A) Basic movements")</f>
        <v>A) Basic movements</v>
      </c>
      <c r="E87" s="5" t="str">
        <f>IFERROR(__xludf.DUMMYFUNCTION("GOOGLETRANSLATE(K87, ""th"", ""en"")"),"Muay Thai training begins with basic training such as movement.")</f>
        <v>Muay Thai training begins with basic training such as movement.</v>
      </c>
      <c r="G87" s="6">
        <v>86.0</v>
      </c>
      <c r="H87" s="7" t="s">
        <v>3842</v>
      </c>
      <c r="I87" s="7" t="s">
        <v>3843</v>
      </c>
      <c r="J87" s="7" t="s">
        <v>3844</v>
      </c>
      <c r="K87" s="7" t="s">
        <v>3845</v>
      </c>
    </row>
    <row r="88" ht="14.25" customHeight="1">
      <c r="A88" s="31">
        <v>87.0</v>
      </c>
      <c r="B88" s="7" t="str">
        <f>IFERROR(__xludf.DUMMYFUNCTION("GOOGLETRANSLATE(H88, ""th"", ""en"")"),"In recent times, have there been any Muay Thai boxers who have been regarded as heroes in the Muay Thai world?")</f>
        <v>In recent times, have there been any Muay Thai boxers who have been regarded as heroes in the Muay Thai world?</v>
      </c>
      <c r="C88" s="7" t="str">
        <f>IFERROR(__xludf.DUMMYFUNCTION("GOOGLETRANSLATE(I88, ""th"", ""en"")"),"A) Yes, like Buakaw Banchamek; B) Never; C) Yes, but only some people; D) Muay Thai boxers have never been heroes.")</f>
        <v>A) Yes, like Buakaw Banchamek; B) Never; C) Yes, but only some people; D) Muay Thai boxers have never been heroes.</v>
      </c>
      <c r="D88" s="7" t="str">
        <f>IFERROR(__xludf.DUMMYFUNCTION("GOOGLETRANSLATE(J88, ""th"", ""en"")"),"A) Yes, such as Buakaw Banchamek.")</f>
        <v>A) Yes, such as Buakaw Banchamek.</v>
      </c>
      <c r="E88" s="5" t="str">
        <f>IFERROR(__xludf.DUMMYFUNCTION("GOOGLETRANSLATE(K88, ""th"", ""en"")"),"Buakaw Banchamek is regarded as a hero in the Muay Thai world.")</f>
        <v>Buakaw Banchamek is regarded as a hero in the Muay Thai world.</v>
      </c>
      <c r="G88" s="6">
        <v>87.0</v>
      </c>
      <c r="H88" s="7" t="s">
        <v>3846</v>
      </c>
      <c r="I88" s="7" t="s">
        <v>3847</v>
      </c>
      <c r="J88" s="7" t="s">
        <v>3848</v>
      </c>
      <c r="K88" s="7" t="s">
        <v>3849</v>
      </c>
    </row>
    <row r="89" ht="14.25" customHeight="1">
      <c r="A89" s="31">
        <v>88.0</v>
      </c>
      <c r="B89" s="7" t="str">
        <f>IFERROR(__xludf.DUMMYFUNCTION("GOOGLETRANSLATE(H89, ""th"", ""en"")"),"Where did the development of Muay Thai in foreign countries begin?")</f>
        <v>Where did the development of Muay Thai in foreign countries begin?</v>
      </c>
      <c r="C89" s="7" t="str">
        <f>IFERROR(__xludf.DUMMYFUNCTION("GOOGLETRANSLATE(I89, ""th"", ""en"")"),"A) United States; B) Australia; C) England; D) China")</f>
        <v>A) United States; B) Australia; C) England; D) China</v>
      </c>
      <c r="D89" s="7" t="str">
        <f>IFERROR(__xludf.DUMMYFUNCTION("GOOGLETRANSLATE(J89, ""th"", ""en"")"),"A) United States")</f>
        <v>A) United States</v>
      </c>
      <c r="E89" s="5" t="str">
        <f>IFERROR(__xludf.DUMMYFUNCTION("GOOGLETRANSLATE(K89, ""th"", ""en"")"),"The development of Muay Thai abroad began in the United States.")</f>
        <v>The development of Muay Thai abroad began in the United States.</v>
      </c>
      <c r="G89" s="6">
        <v>88.0</v>
      </c>
      <c r="H89" s="7" t="s">
        <v>3850</v>
      </c>
      <c r="I89" s="7" t="s">
        <v>3851</v>
      </c>
      <c r="J89" s="7" t="s">
        <v>3615</v>
      </c>
      <c r="K89" s="7" t="s">
        <v>3852</v>
      </c>
    </row>
    <row r="90" ht="14.25" customHeight="1">
      <c r="A90" s="31">
        <v>89.0</v>
      </c>
      <c r="B90" s="7" t="str">
        <f>IFERROR(__xludf.DUMMYFUNCTION("GOOGLETRANSLATE(H90, ""th"", ""en"")"),"Which Muay Thai boxer is considered a legend in the Muay Thai world?")</f>
        <v>Which Muay Thai boxer is considered a legend in the Muay Thai world?</v>
      </c>
      <c r="C90" s="7" t="str">
        <f>IFERROR(__xludf.DUMMYFUNCTION("GOOGLETRANSLATE(I90, ""th"", ""en"")"),"A) Somrak Khamsing; B) Buakaw Banchamek; C) Thaksin Shinawatra; D) Sombat Methani")</f>
        <v>A) Somrak Khamsing; B) Buakaw Banchamek; C) Thaksin Shinawatra; D) Sombat Methani</v>
      </c>
      <c r="D90" s="7" t="str">
        <f>IFERROR(__xludf.DUMMYFUNCTION("GOOGLETRANSLATE(J90, ""th"", ""en"")"),"B) Buakaw Banchamek")</f>
        <v>B) Buakaw Banchamek</v>
      </c>
      <c r="E90" s="5" t="str">
        <f>IFERROR(__xludf.DUMMYFUNCTION("GOOGLETRANSLATE(K90, ""th"", ""en"")"),"Buakaw Banchamek is considered a legend in the Muay Thai world.")</f>
        <v>Buakaw Banchamek is considered a legend in the Muay Thai world.</v>
      </c>
      <c r="G90" s="6">
        <v>89.0</v>
      </c>
      <c r="H90" s="7" t="s">
        <v>3853</v>
      </c>
      <c r="I90" s="7" t="s">
        <v>3854</v>
      </c>
      <c r="J90" s="7" t="s">
        <v>3824</v>
      </c>
      <c r="K90" s="7" t="s">
        <v>3855</v>
      </c>
    </row>
    <row r="91" ht="14.25" customHeight="1">
      <c r="A91" s="31">
        <v>90.0</v>
      </c>
      <c r="B91" s="7" t="str">
        <f>IFERROR(__xludf.DUMMYFUNCTION("GOOGLETRANSLATE(H91, ""th"", ""en"")"),"What training has Muay Thai been a part of in Thai history?")</f>
        <v>What training has Muay Thai been a part of in Thai history?</v>
      </c>
      <c r="C91" s="7" t="str">
        <f>IFERROR(__xludf.DUMMYFUNCTION("GOOGLETRANSLATE(I91, ""th"", ""en"")"),"A) martial arts; B) military training; C) historical studies; D) psychological training.")</f>
        <v>A) martial arts; B) military training; C) historical studies; D) psychological training.</v>
      </c>
      <c r="D91" s="7" t="str">
        <f>IFERROR(__xludf.DUMMYFUNCTION("GOOGLETRANSLATE(J91, ""th"", ""en"")"),"B) Military training")</f>
        <v>B) Military training</v>
      </c>
      <c r="E91" s="5" t="str">
        <f>IFERROR(__xludf.DUMMYFUNCTION("GOOGLETRANSLATE(K91, ""th"", ""en"")"),"Muay Thai has been a part of military training in Thai history.")</f>
        <v>Muay Thai has been a part of military training in Thai history.</v>
      </c>
      <c r="G91" s="6">
        <v>90.0</v>
      </c>
      <c r="H91" s="7" t="s">
        <v>3856</v>
      </c>
      <c r="I91" s="7" t="s">
        <v>3857</v>
      </c>
      <c r="J91" s="7" t="s">
        <v>1336</v>
      </c>
      <c r="K91" s="7" t="s">
        <v>3858</v>
      </c>
    </row>
    <row r="92" ht="14.25" customHeight="1">
      <c r="A92" s="31">
        <v>91.0</v>
      </c>
      <c r="B92" s="7" t="str">
        <f>IFERROR(__xludf.DUMMYFUNCTION("GOOGLETRANSLATE(H92, ""th"", ""en"")"),"In which year was Muay Thai first developed and developed into an official competitive sport?")</f>
        <v>In which year was Muay Thai first developed and developed into an official competitive sport?</v>
      </c>
      <c r="C92" s="7" t="str">
        <f>IFERROR(__xludf.DUMMYFUNCTION("GOOGLETRANSLATE(I92, ""th"", ""en"")"),"A) 1900; B) 1920; C) 1930; D) 1940")</f>
        <v>A) 1900; B) 1920; C) 1930; D) 1940</v>
      </c>
      <c r="D92" s="7" t="str">
        <f>IFERROR(__xludf.DUMMYFUNCTION("GOOGLETRANSLATE(J92, ""th"", ""en"")"),"B) 1920")</f>
        <v>B) 1920</v>
      </c>
      <c r="E92" s="5" t="str">
        <f>IFERROR(__xludf.DUMMYFUNCTION("GOOGLETRANSLATE(K92, ""th"", ""en"")"),"Muay Thai was reformed and developed into an official competitive sport in 1920.")</f>
        <v>Muay Thai was reformed and developed into an official competitive sport in 1920.</v>
      </c>
      <c r="G92" s="6">
        <v>91.0</v>
      </c>
      <c r="H92" s="7" t="s">
        <v>3859</v>
      </c>
      <c r="I92" s="7" t="s">
        <v>1580</v>
      </c>
      <c r="J92" s="7" t="s">
        <v>130</v>
      </c>
      <c r="K92" s="7" t="s">
        <v>3860</v>
      </c>
    </row>
    <row r="93" ht="14.25" customHeight="1">
      <c r="A93" s="31">
        <v>92.0</v>
      </c>
      <c r="B93" s="7" t="str">
        <f>IFERROR(__xludf.DUMMYFUNCTION("GOOGLETRANSLATE(H93, ""th"", ""en"")"),"Where is the most famous boxing stadium in Thailand?")</f>
        <v>Where is the most famous boxing stadium in Thailand?</v>
      </c>
      <c r="C93" s="7" t="str">
        <f>IFERROR(__xludf.DUMMYFUNCTION("GOOGLETRANSLATE(I93, ""th"", ""en"")"),"A) Rajadamnern Boxing Stadium; B) Lumpini Boxing Stadium; C) Big Boxing Stadium; D) Mittraphap Boxing Stadium")</f>
        <v>A) Rajadamnern Boxing Stadium; B) Lumpini Boxing Stadium; C) Big Boxing Stadium; D) Mittraphap Boxing Stadium</v>
      </c>
      <c r="D93" s="7" t="str">
        <f>IFERROR(__xludf.DUMMYFUNCTION("GOOGLETRANSLATE(J93, ""th"", ""en"")"),"A) Rajadamnern Boxing Stadium")</f>
        <v>A) Rajadamnern Boxing Stadium</v>
      </c>
      <c r="E93" s="5" t="str">
        <f>IFERROR(__xludf.DUMMYFUNCTION("GOOGLETRANSLATE(K93, ""th"", ""en"")"),"Rajadamnern Boxing Stadium is the most famous boxing stadium in Thailand.")</f>
        <v>Rajadamnern Boxing Stadium is the most famous boxing stadium in Thailand.</v>
      </c>
      <c r="G93" s="6">
        <v>92.0</v>
      </c>
      <c r="H93" s="7" t="s">
        <v>3861</v>
      </c>
      <c r="I93" s="7" t="s">
        <v>3862</v>
      </c>
      <c r="J93" s="7" t="s">
        <v>3541</v>
      </c>
      <c r="K93" s="7" t="s">
        <v>3863</v>
      </c>
    </row>
    <row r="94" ht="14.25" customHeight="1">
      <c r="A94" s="31">
        <v>93.0</v>
      </c>
      <c r="B94" s="7" t="str">
        <f>IFERROR(__xludf.DUMMYFUNCTION("GOOGLETRANSLATE(H94, ""th"", ""en"")"),"Who were the key figures in making Muay Thai known internationally?")</f>
        <v>Who were the key figures in making Muay Thai known internationally?</v>
      </c>
      <c r="C94" s="7" t="str">
        <f>IFERROR(__xludf.DUMMYFUNCTION("GOOGLETRANSLATE(I94, ""th"", ""en"")"),"A) Somrak Khamsing; B) Buakaw Banchamek; C) Thaksin Shinawatra; D) Banharn Silpa-archa")</f>
        <v>A) Somrak Khamsing; B) Buakaw Banchamek; C) Thaksin Shinawatra; D) Banharn Silpa-archa</v>
      </c>
      <c r="D94" s="7" t="str">
        <f>IFERROR(__xludf.DUMMYFUNCTION("GOOGLETRANSLATE(J94, ""th"", ""en"")"),"B) Buakaw Banchamek")</f>
        <v>B) Buakaw Banchamek</v>
      </c>
      <c r="E94" s="5" t="str">
        <f>IFERROR(__xludf.DUMMYFUNCTION("GOOGLETRANSLATE(K94, ""th"", ""en"")"),"Buakaw Banchamek played a key role in making Muay Thai known internationally.")</f>
        <v>Buakaw Banchamek played a key role in making Muay Thai known internationally.</v>
      </c>
      <c r="G94" s="6">
        <v>93.0</v>
      </c>
      <c r="H94" s="7" t="s">
        <v>3864</v>
      </c>
      <c r="I94" s="7" t="s">
        <v>3865</v>
      </c>
      <c r="J94" s="7" t="s">
        <v>3824</v>
      </c>
      <c r="K94" s="7" t="s">
        <v>3866</v>
      </c>
    </row>
    <row r="95" ht="14.25" customHeight="1">
      <c r="A95" s="31">
        <v>94.0</v>
      </c>
      <c r="B95" s="7" t="str">
        <f>IFERROR(__xludf.DUMMYFUNCTION("GOOGLETRANSLATE(H95, ""th"", ""en"")"),"When did Muay Thai become known abroad?")</f>
        <v>When did Muay Thai become known abroad?</v>
      </c>
      <c r="C95" s="7" t="str">
        <f>IFERROR(__xludf.DUMMYFUNCTION("GOOGLETRANSLATE(I95, ""th"", ""en"")"),"A) 1950s; B) 1960s; C) 1970s; D) 1980s")</f>
        <v>A) 1950s; B) 1960s; C) 1970s; D) 1980s</v>
      </c>
      <c r="D95" s="7" t="str">
        <f>IFERROR(__xludf.DUMMYFUNCTION("GOOGLETRANSLATE(J95, ""th"", ""en"")"),"C) 1970s")</f>
        <v>C) 1970s</v>
      </c>
      <c r="E95" s="5" t="str">
        <f>IFERROR(__xludf.DUMMYFUNCTION("GOOGLETRANSLATE(K95, ""th"", ""en"")"),"Muay Thai began to be known abroad in the 1970s.")</f>
        <v>Muay Thai began to be known abroad in the 1970s.</v>
      </c>
      <c r="G95" s="6">
        <v>94.0</v>
      </c>
      <c r="H95" s="7" t="s">
        <v>3867</v>
      </c>
      <c r="I95" s="7" t="s">
        <v>3868</v>
      </c>
      <c r="J95" s="7" t="s">
        <v>3869</v>
      </c>
      <c r="K95" s="7" t="s">
        <v>3870</v>
      </c>
    </row>
    <row r="96" ht="14.25" customHeight="1">
      <c r="A96" s="31">
        <v>95.0</v>
      </c>
      <c r="B96" s="7" t="str">
        <f>IFERROR(__xludf.DUMMYFUNCTION("GOOGLETRANSLATE(H96, ""th"", ""en"")"),"Which Muay Thai boxer is a world champion in multiple divisions?")</f>
        <v>Which Muay Thai boxer is a world champion in multiple divisions?</v>
      </c>
      <c r="C96" s="7" t="str">
        <f>IFERROR(__xludf.DUMMYFUNCTION("GOOGLETRANSLATE(I96, ""th"", ""en"")"),"A) Somrak Khamsing; B) Buakaw Banchamek; C) Pakorn Pongpibul; D) Sirichai Namkham")</f>
        <v>A) Somrak Khamsing; B) Buakaw Banchamek; C) Pakorn Pongpibul; D) Sirichai Namkham</v>
      </c>
      <c r="D96" s="7" t="str">
        <f>IFERROR(__xludf.DUMMYFUNCTION("GOOGLETRANSLATE(J96, ""th"", ""en"")"),"B) Buakaw Banchamek")</f>
        <v>B) Buakaw Banchamek</v>
      </c>
      <c r="E96" s="5" t="str">
        <f>IFERROR(__xludf.DUMMYFUNCTION("GOOGLETRANSLATE(K96, ""th"", ""en"")"),"Buakaw Banchamek is a world champion in multiple divisions.")</f>
        <v>Buakaw Banchamek is a world champion in multiple divisions.</v>
      </c>
      <c r="G96" s="6">
        <v>95.0</v>
      </c>
      <c r="H96" s="7" t="s">
        <v>3871</v>
      </c>
      <c r="I96" s="7" t="s">
        <v>3872</v>
      </c>
      <c r="J96" s="7" t="s">
        <v>3824</v>
      </c>
      <c r="K96" s="7" t="s">
        <v>3873</v>
      </c>
    </row>
    <row r="97" ht="14.25" customHeight="1">
      <c r="A97" s="31">
        <v>96.0</v>
      </c>
      <c r="B97" s="7" t="str">
        <f>IFERROR(__xludf.DUMMYFUNCTION("GOOGLETRANSLATE(H97, ""th"", ""en"")"),"What ancient fighting style does Muay Thai have its roots in?")</f>
        <v>What ancient fighting style does Muay Thai have its roots in?</v>
      </c>
      <c r="C97" s="7" t="str">
        <f>IFERROR(__xludf.DUMMYFUNCTION("GOOGLETRANSLATE(I97, ""th"", ""en"")"),"A) Sabat; B) Buddhism; C) Martial arts; D) Military training")</f>
        <v>A) Sabat; B) Buddhism; C) Martial arts; D) Military training</v>
      </c>
      <c r="D97" s="7" t="str">
        <f>IFERROR(__xludf.DUMMYFUNCTION("GOOGLETRANSLATE(J97, ""th"", ""en"")"),"D) Military training")</f>
        <v>D) Military training</v>
      </c>
      <c r="E97" s="5" t="str">
        <f>IFERROR(__xludf.DUMMYFUNCTION("GOOGLETRANSLATE(K97, ""th"", ""en"")"),"Muay Thai has its roots in ancient military training.")</f>
        <v>Muay Thai has its roots in ancient military training.</v>
      </c>
      <c r="G97" s="6">
        <v>96.0</v>
      </c>
      <c r="H97" s="7" t="s">
        <v>3874</v>
      </c>
      <c r="I97" s="7" t="s">
        <v>3875</v>
      </c>
      <c r="J97" s="7" t="s">
        <v>3876</v>
      </c>
      <c r="K97" s="7" t="s">
        <v>3877</v>
      </c>
    </row>
    <row r="98" ht="14.25" customHeight="1">
      <c r="A98" s="31">
        <v>97.0</v>
      </c>
      <c r="B98" s="7" t="str">
        <f>IFERROR(__xludf.DUMMYFUNCTION("GOOGLETRANSLATE(H98, ""th"", ""en"")"),"When did Muay Thai begin to enter the world competition scene?")</f>
        <v>When did Muay Thai begin to enter the world competition scene?</v>
      </c>
      <c r="C98" s="7" t="str">
        <f>IFERROR(__xludf.DUMMYFUNCTION("GOOGLETRANSLATE(I98, ""th"", ""en"")"),"A) after World War I; B) after World War II; C) the 1960s; D) the 1980s")</f>
        <v>A) after World War I; B) after World War II; C) the 1960s; D) the 1980s</v>
      </c>
      <c r="D98" s="7" t="str">
        <f>IFERROR(__xludf.DUMMYFUNCTION("GOOGLETRANSLATE(J98, ""th"", ""en"")"),"B) After World War II")</f>
        <v>B) After World War II</v>
      </c>
      <c r="E98" s="5" t="str">
        <f>IFERROR(__xludf.DUMMYFUNCTION("GOOGLETRANSLATE(K98, ""th"", ""en"")"),"Muay Thai began to enter the world competition scene after World War II.")</f>
        <v>Muay Thai began to enter the world competition scene after World War II.</v>
      </c>
      <c r="G98" s="6">
        <v>97.0</v>
      </c>
      <c r="H98" s="7" t="s">
        <v>3878</v>
      </c>
      <c r="I98" s="7" t="s">
        <v>3879</v>
      </c>
      <c r="J98" s="7" t="s">
        <v>3880</v>
      </c>
      <c r="K98" s="7" t="s">
        <v>3881</v>
      </c>
    </row>
    <row r="99" ht="14.25" customHeight="1">
      <c r="A99" s="31">
        <v>98.0</v>
      </c>
      <c r="B99" s="7" t="str">
        <f>IFERROR(__xludf.DUMMYFUNCTION("GOOGLETRANSLATE(H99, ""th"", ""en"")"),"What was the first thing to learn when training in Muay Thai in the past?")</f>
        <v>What was the first thing to learn when training in Muay Thai in the past?</v>
      </c>
      <c r="C99" s="7" t="str">
        <f>IFERROR(__xludf.DUMMYFUNCTION("GOOGLETRANSLATE(I99, ""th"", ""en"")"),"A) Standing training; B) Movement training; C) Combat training; D) Specific technique training")</f>
        <v>A) Standing training; B) Movement training; C) Combat training; D) Specific technique training</v>
      </c>
      <c r="D99" s="7" t="str">
        <f>IFERROR(__xludf.DUMMYFUNCTION("GOOGLETRANSLATE(J99, ""th"", ""en"")"),"A) Standing practice")</f>
        <v>A) Standing practice</v>
      </c>
      <c r="E99" s="5" t="str">
        <f>IFERROR(__xludf.DUMMYFUNCTION("GOOGLETRANSLATE(K99, ""th"", ""en"")"),"Traditional Muay Thai training began with learning standing postures.")</f>
        <v>Traditional Muay Thai training began with learning standing postures.</v>
      </c>
      <c r="G99" s="6">
        <v>98.0</v>
      </c>
      <c r="H99" s="7" t="s">
        <v>3882</v>
      </c>
      <c r="I99" s="7" t="s">
        <v>3883</v>
      </c>
      <c r="J99" s="7" t="s">
        <v>3884</v>
      </c>
      <c r="K99" s="7" t="s">
        <v>3885</v>
      </c>
    </row>
    <row r="100" ht="14.25" customHeight="1">
      <c r="A100" s="31">
        <v>99.0</v>
      </c>
      <c r="B100" s="7" t="str">
        <f>IFERROR(__xludf.DUMMYFUNCTION("GOOGLETRANSLATE(H100, ""th"", ""en"")"),"Is Muay Thai entering the Olympics?")</f>
        <v>Is Muay Thai entering the Olympics?</v>
      </c>
      <c r="C100" s="7" t="str">
        <f>IFERROR(__xludf.DUMMYFUNCTION("GOOGLETRANSLATE(I100, ""th"", ""en"")"),"A) Muay Thai began qualifying in 2000; B) Muay Thai has never been included in the Olympics; C) Muay Thai was once an Olympic sport; D) Muay Thai began competing in 1980.")</f>
        <v>A) Muay Thai began qualifying in 2000; B) Muay Thai has never been included in the Olympics; C) Muay Thai was once an Olympic sport; D) Muay Thai began competing in 1980.</v>
      </c>
      <c r="D100" s="7" t="str">
        <f>IFERROR(__xludf.DUMMYFUNCTION("GOOGLETRANSLATE(J100, ""th"", ""en"")"),"B) Muay Thai has never entered the Olympic Games.")</f>
        <v>B) Muay Thai has never entered the Olympic Games.</v>
      </c>
      <c r="E100" s="5" t="str">
        <f>IFERROR(__xludf.DUMMYFUNCTION("GOOGLETRANSLATE(K100, ""th"", ""en"")"),"Muay Thai has not yet entered the Olympic Games.")</f>
        <v>Muay Thai has not yet entered the Olympic Games.</v>
      </c>
      <c r="G100" s="6">
        <v>99.0</v>
      </c>
      <c r="H100" s="7" t="s">
        <v>3886</v>
      </c>
      <c r="I100" s="7" t="s">
        <v>3887</v>
      </c>
      <c r="J100" s="7" t="s">
        <v>3888</v>
      </c>
      <c r="K100" s="7" t="s">
        <v>3889</v>
      </c>
    </row>
    <row r="101" ht="14.25" customHeight="1">
      <c r="A101" s="31">
        <v>100.0</v>
      </c>
      <c r="B101" s="7" t="str">
        <f>IFERROR(__xludf.DUMMYFUNCTION("GOOGLETRANSLATE(H101, ""th"", ""en"")"),"When did Buakaw Banchamek begin his boxing career?")</f>
        <v>When did Buakaw Banchamek begin his boxing career?</v>
      </c>
      <c r="C101" s="7" t="str">
        <f>IFERROR(__xludf.DUMMYFUNCTION("GOOGLETRANSLATE(I101, ""th"", ""en"")"),"A) at the age of 10; B) at the age of 15; C) at the age of 18; D) at the age of 20")</f>
        <v>A) at the age of 10; B) at the age of 15; C) at the age of 18; D) at the age of 20</v>
      </c>
      <c r="D101" s="7" t="str">
        <f>IFERROR(__xludf.DUMMYFUNCTION("GOOGLETRANSLATE(J101, ""th"", ""en"")"),"B) At the age of 15 years")</f>
        <v>B) At the age of 15 years</v>
      </c>
      <c r="E101" s="5" t="str">
        <f>IFERROR(__xludf.DUMMYFUNCTION("GOOGLETRANSLATE(K101, ""th"", ""en"")"),"Buakaw Banchamek began his boxing career at the age of 15.")</f>
        <v>Buakaw Banchamek began his boxing career at the age of 15.</v>
      </c>
      <c r="G101" s="6">
        <v>100.0</v>
      </c>
      <c r="H101" s="7" t="s">
        <v>3890</v>
      </c>
      <c r="I101" s="7" t="s">
        <v>3891</v>
      </c>
      <c r="J101" s="7" t="s">
        <v>3892</v>
      </c>
      <c r="K101" s="7" t="s">
        <v>3893</v>
      </c>
    </row>
    <row r="102" ht="14.25" customHeight="1">
      <c r="A102" s="31">
        <v>101.0</v>
      </c>
      <c r="B102" s="7" t="str">
        <f>IFERROR(__xludf.DUMMYFUNCTION("GOOGLETRANSLATE(H102, ""th"", ""en"")"),"When did Muay Thai begin to be spread abroad?")</f>
        <v>When did Muay Thai begin to be spread abroad?</v>
      </c>
      <c r="C102" s="7" t="str">
        <f>IFERROR(__xludf.DUMMYFUNCTION("GOOGLETRANSLATE(I102, ""th"", ""en"")"),"A) 1960s; B) 1970s; C) 1980s; D) 1990s")</f>
        <v>A) 1960s; B) 1970s; C) 1980s; D) 1990s</v>
      </c>
      <c r="D102" s="7" t="str">
        <f>IFERROR(__xludf.DUMMYFUNCTION("GOOGLETRANSLATE(J102, ""th"", ""en"")"),"B) 1970s")</f>
        <v>B) 1970s</v>
      </c>
      <c r="E102" s="5" t="str">
        <f>IFERROR(__xludf.DUMMYFUNCTION("GOOGLETRANSLATE(K102, ""th"", ""en"")"),"Muay Thai began to spread abroad in the 1970s.")</f>
        <v>Muay Thai began to spread abroad in the 1970s.</v>
      </c>
      <c r="G102" s="6">
        <v>101.0</v>
      </c>
      <c r="H102" s="7" t="s">
        <v>3894</v>
      </c>
      <c r="I102" s="7" t="s">
        <v>1257</v>
      </c>
      <c r="J102" s="7" t="s">
        <v>1258</v>
      </c>
      <c r="K102" s="7" t="s">
        <v>3895</v>
      </c>
    </row>
    <row r="103" ht="14.25" customHeight="1">
      <c r="A103" s="31">
        <v>102.0</v>
      </c>
      <c r="B103" s="7" t="str">
        <f>IFERROR(__xludf.DUMMYFUNCTION("GOOGLETRANSLATE(H103, ""th"", ""en"")"),"Which Muay Thai boxer is a legend in the Muay Thai world?")</f>
        <v>Which Muay Thai boxer is a legend in the Muay Thai world?</v>
      </c>
      <c r="C103" s="7" t="str">
        <f>IFERROR(__xludf.DUMMYFUNCTION("GOOGLETRANSLATE(I103, ""th"", ""en"")"),"A) Somrak Khamsing; B) Buakaw Banchamek; C) Thaksin Shinawatra; D) Sirichai Namkham")</f>
        <v>A) Somrak Khamsing; B) Buakaw Banchamek; C) Thaksin Shinawatra; D) Sirichai Namkham</v>
      </c>
      <c r="D103" s="7" t="str">
        <f>IFERROR(__xludf.DUMMYFUNCTION("GOOGLETRANSLATE(J103, ""th"", ""en"")"),"B) Buakaw Banchamek")</f>
        <v>B) Buakaw Banchamek</v>
      </c>
      <c r="E103" s="5" t="str">
        <f>IFERROR(__xludf.DUMMYFUNCTION("GOOGLETRANSLATE(K103, ""th"", ""en"")"),"Buakaw Banchamek is a boxer who is considered a legend in the Muay Thai world.")</f>
        <v>Buakaw Banchamek is a boxer who is considered a legend in the Muay Thai world.</v>
      </c>
      <c r="G103" s="6">
        <v>102.0</v>
      </c>
      <c r="H103" s="7" t="s">
        <v>3896</v>
      </c>
      <c r="I103" s="7" t="s">
        <v>3897</v>
      </c>
      <c r="J103" s="7" t="s">
        <v>3824</v>
      </c>
      <c r="K103" s="7" t="s">
        <v>3898</v>
      </c>
    </row>
    <row r="104" ht="14.25" customHeight="1">
      <c r="A104" s="31">
        <v>103.0</v>
      </c>
      <c r="B104" s="7" t="str">
        <f>IFERROR(__xludf.DUMMYFUNCTION("GOOGLETRANSLATE(H104, ""th"", ""en"")"),"When was the time when Muay Thai received a major rule overhaul?")</f>
        <v>When was the time when Muay Thai received a major rule overhaul?</v>
      </c>
      <c r="C104" s="7" t="str">
        <f>IFERROR(__xludf.DUMMYFUNCTION("GOOGLETRANSLATE(I104, ""th"", ""en"")"),"A) 1960s; B) 1970s; C) 1980s; D) 1990s")</f>
        <v>A) 1960s; B) 1970s; C) 1980s; D) 1990s</v>
      </c>
      <c r="D104" s="7" t="str">
        <f>IFERROR(__xludf.DUMMYFUNCTION("GOOGLETRANSLATE(J104, ""th"", ""en"")"),"B) 1970s")</f>
        <v>B) 1970s</v>
      </c>
      <c r="E104" s="5" t="str">
        <f>IFERROR(__xludf.DUMMYFUNCTION("GOOGLETRANSLATE(K104, ""th"", ""en"")"),"Muay Thai underwent a major rule overhaul in the 1970s.")</f>
        <v>Muay Thai underwent a major rule overhaul in the 1970s.</v>
      </c>
      <c r="G104" s="6">
        <v>103.0</v>
      </c>
      <c r="H104" s="7" t="s">
        <v>3899</v>
      </c>
      <c r="I104" s="7" t="s">
        <v>1257</v>
      </c>
      <c r="J104" s="7" t="s">
        <v>1258</v>
      </c>
      <c r="K104" s="7" t="s">
        <v>3900</v>
      </c>
    </row>
    <row r="105" ht="14.25" customHeight="1">
      <c r="A105" s="31">
        <v>104.0</v>
      </c>
      <c r="B105" s="7" t="str">
        <f>IFERROR(__xludf.DUMMYFUNCTION("GOOGLETRANSLATE(H105, ""th"", ""en"")"),"Who are the key players in making Muay Thai known worldwide?")</f>
        <v>Who are the key players in making Muay Thai known worldwide?</v>
      </c>
      <c r="C105" s="7" t="str">
        <f>IFERROR(__xludf.DUMMYFUNCTION("GOOGLETRANSLATE(I105, ""th"", ""en"")"),"A) Buakaw Banchamek; B) Somrak Khamsing; C) Phirom Suriyawong; D) Thaksin Shinawatra")</f>
        <v>A) Buakaw Banchamek; B) Somrak Khamsing; C) Phirom Suriyawong; D) Thaksin Shinawatra</v>
      </c>
      <c r="D105" s="7" t="str">
        <f>IFERROR(__xludf.DUMMYFUNCTION("GOOGLETRANSLATE(J105, ""th"", ""en"")"),"A) Buakaw Banchamek")</f>
        <v>A) Buakaw Banchamek</v>
      </c>
      <c r="E105" s="5" t="str">
        <f>IFERROR(__xludf.DUMMYFUNCTION("GOOGLETRANSLATE(K105, ""th"", ""en"")"),"Buakaw Banchamek played a key role in making Muay Thai known on a global level.")</f>
        <v>Buakaw Banchamek played a key role in making Muay Thai known on a global level.</v>
      </c>
      <c r="G105" s="6">
        <v>104.0</v>
      </c>
      <c r="H105" s="7" t="s">
        <v>3901</v>
      </c>
      <c r="I105" s="7" t="s">
        <v>3902</v>
      </c>
      <c r="J105" s="7" t="s">
        <v>3903</v>
      </c>
      <c r="K105" s="7" t="s">
        <v>3904</v>
      </c>
    </row>
    <row r="106" ht="14.25" customHeight="1">
      <c r="A106" s="31">
        <v>105.0</v>
      </c>
      <c r="B106" s="7" t="str">
        <f>IFERROR(__xludf.DUMMYFUNCTION("GOOGLETRANSLATE(H106, ""th"", ""en"")"),"What religion is Muay Thai related to?")</f>
        <v>What religion is Muay Thai related to?</v>
      </c>
      <c r="C106" s="7" t="str">
        <f>IFERROR(__xludf.DUMMYFUNCTION("GOOGLETRANSLATE(I106, ""th"", ""en"")"),"A) Buddhism; B) Islam; C) Christianity; D) Hinduism")</f>
        <v>A) Buddhism; B) Islam; C) Christianity; D) Hinduism</v>
      </c>
      <c r="D106" s="7" t="str">
        <f>IFERROR(__xludf.DUMMYFUNCTION("GOOGLETRANSLATE(J106, ""th"", ""en"")"),"A) Buddhism")</f>
        <v>A) Buddhism</v>
      </c>
      <c r="E106" s="5" t="str">
        <f>IFERROR(__xludf.DUMMYFUNCTION("GOOGLETRANSLATE(K106, ""th"", ""en"")"),"Muay Thai is associated with Buddhism and is part of some rituals.")</f>
        <v>Muay Thai is associated with Buddhism and is part of some rituals.</v>
      </c>
      <c r="G106" s="6">
        <v>105.0</v>
      </c>
      <c r="H106" s="7" t="s">
        <v>3905</v>
      </c>
      <c r="I106" s="7" t="s">
        <v>3906</v>
      </c>
      <c r="J106" s="7" t="s">
        <v>3907</v>
      </c>
      <c r="K106" s="7" t="s">
        <v>3908</v>
      </c>
    </row>
    <row r="107" ht="14.25" customHeight="1">
      <c r="A107" s="31">
        <v>106.0</v>
      </c>
      <c r="B107" s="7" t="str">
        <f>IFERROR(__xludf.DUMMYFUNCTION("GOOGLETRANSLATE(H107, ""th"", ""en"")"),"In the history of Muay Thai, is there any other entertainment sport that involves the same kind of fighting?")</f>
        <v>In the history of Muay Thai, is there any other entertainment sport that involves the same kind of fighting?</v>
      </c>
      <c r="C107" s="7" t="str">
        <f>IFERROR(__xludf.DUMMYFUNCTION("GOOGLETRANSLATE(I107, ""th"", ""en"")"),"A) Karate; B) Wrestling; C) Sumo; D) Sabbat")</f>
        <v>A) Karate; B) Wrestling; C) Sumo; D) Sabbat</v>
      </c>
      <c r="D107" s="7" t="str">
        <f>IFERROR(__xludf.DUMMYFUNCTION("GOOGLETRANSLATE(J107, ""th"", ""en"")"),"B) Wrestling")</f>
        <v>B) Wrestling</v>
      </c>
      <c r="E107" s="5" t="str">
        <f>IFERROR(__xludf.DUMMYFUNCTION("GOOGLETRANSLATE(K107, ""th"", ""en"")"),"Muay Thai has historical links with wrestling.")</f>
        <v>Muay Thai has historical links with wrestling.</v>
      </c>
      <c r="G107" s="6">
        <v>106.0</v>
      </c>
      <c r="H107" s="7" t="s">
        <v>3909</v>
      </c>
      <c r="I107" s="7" t="s">
        <v>3910</v>
      </c>
      <c r="J107" s="7" t="s">
        <v>3911</v>
      </c>
      <c r="K107" s="7" t="s">
        <v>3912</v>
      </c>
    </row>
    <row r="108" ht="14.25" customHeight="1">
      <c r="A108" s="31">
        <v>107.0</v>
      </c>
      <c r="B108" s="7" t="str">
        <f>IFERROR(__xludf.DUMMYFUNCTION("GOOGLETRANSLATE(H108, ""th"", ""en"")"),"How important is Lumpini Boxing Stadium in the history of Muay Thai?")</f>
        <v>How important is Lumpini Boxing Stadium in the history of Muay Thai?</v>
      </c>
      <c r="C108" s="7" t="str">
        <f>IFERROR(__xludf.DUMMYFUNCTION("GOOGLETRANSLATE(I108, ""th"", ""en"")"),"A) It is the first stadium used to hold Muay Thai competitions; B) It is a place to practice Muay Thai skills; C) It is a stadium where famous competitions are held; D) It is a stadium used for world-class competitions.")</f>
        <v>A) It is the first stadium used to hold Muay Thai competitions; B) It is a place to practice Muay Thai skills; C) It is a stadium where famous competitions are held; D) It is a stadium used for world-class competitions.</v>
      </c>
      <c r="D108" s="7" t="str">
        <f>IFERROR(__xludf.DUMMYFUNCTION("GOOGLETRANSLATE(J108, ""th"", ""en"")"),"C) It is a famous competition venue.")</f>
        <v>C) It is a famous competition venue.</v>
      </c>
      <c r="E108" s="5" t="str">
        <f>IFERROR(__xludf.DUMMYFUNCTION("GOOGLETRANSLATE(K108, ""th"", ""en"")"),"Lumpini Boxing Stadium is famous for hosting important Muay Thai matches.")</f>
        <v>Lumpini Boxing Stadium is famous for hosting important Muay Thai matches.</v>
      </c>
      <c r="G108" s="6">
        <v>107.0</v>
      </c>
      <c r="H108" s="7" t="s">
        <v>3802</v>
      </c>
      <c r="I108" s="7" t="s">
        <v>3913</v>
      </c>
      <c r="J108" s="7" t="s">
        <v>3914</v>
      </c>
      <c r="K108" s="7" t="s">
        <v>3915</v>
      </c>
    </row>
    <row r="109" ht="14.25" customHeight="1">
      <c r="A109" s="31">
        <v>108.0</v>
      </c>
      <c r="B109" s="7" t="str">
        <f>IFERROR(__xludf.DUMMYFUNCTION("GOOGLETRANSLATE(H109, ""th"", ""en"")"),"Where did Muay Thai originate?")</f>
        <v>Where did Muay Thai originate?</v>
      </c>
      <c r="C109" s="7" t="str">
        <f>IFERROR(__xludf.DUMMYFUNCTION("GOOGLETRANSLATE(I109, ""th"", ""en"")"),"A) India; B) Thailand; C) China; D) Mongolia")</f>
        <v>A) India; B) Thailand; C) China; D) Mongolia</v>
      </c>
      <c r="D109" s="7" t="str">
        <f>IFERROR(__xludf.DUMMYFUNCTION("GOOGLETRANSLATE(J109, ""th"", ""en"")"),"B) Thai")</f>
        <v>B) Thai</v>
      </c>
      <c r="E109" s="5" t="str">
        <f>IFERROR(__xludf.DUMMYFUNCTION("GOOGLETRANSLATE(K109, ""th"", ""en"")"),"Muay Thai originated in Thailand and is an important sport in Thai culture.")</f>
        <v>Muay Thai originated in Thailand and is an important sport in Thai culture.</v>
      </c>
      <c r="G109" s="6">
        <v>108.0</v>
      </c>
      <c r="H109" s="7" t="s">
        <v>3916</v>
      </c>
      <c r="I109" s="7" t="s">
        <v>3917</v>
      </c>
      <c r="J109" s="7" t="s">
        <v>3091</v>
      </c>
      <c r="K109" s="7" t="s">
        <v>3918</v>
      </c>
    </row>
    <row r="110" ht="14.25" customHeight="1">
      <c r="A110" s="31">
        <v>109.0</v>
      </c>
      <c r="B110" s="7" t="str">
        <f>IFERROR(__xludf.DUMMYFUNCTION("GOOGLETRANSLATE(H110, ""th"", ""en"")"),"In which country was Muay Thai once part of military training?")</f>
        <v>In which country was Muay Thai once part of military training?</v>
      </c>
      <c r="C110" s="7" t="str">
        <f>IFERROR(__xludf.DUMMYFUNCTION("GOOGLETRANSLATE(I110, ""th"", ""en"")"),"A) Thailand; B) China; C) Japan; D) India")</f>
        <v>A) Thailand; B) China; C) Japan; D) India</v>
      </c>
      <c r="D110" s="7" t="str">
        <f>IFERROR(__xludf.DUMMYFUNCTION("GOOGLETRANSLATE(J110, ""th"", ""en"")"),"A) Thai")</f>
        <v>A) Thai</v>
      </c>
      <c r="E110" s="5" t="str">
        <f>IFERROR(__xludf.DUMMYFUNCTION("GOOGLETRANSLATE(K110, ""th"", ""en"")"),"Muay Thai was once part of military training in Thailand.")</f>
        <v>Muay Thai was once part of military training in Thailand.</v>
      </c>
      <c r="G110" s="6">
        <v>109.0</v>
      </c>
      <c r="H110" s="7" t="s">
        <v>3919</v>
      </c>
      <c r="I110" s="7" t="s">
        <v>3920</v>
      </c>
      <c r="J110" s="7" t="s">
        <v>1705</v>
      </c>
      <c r="K110" s="7" t="s">
        <v>3921</v>
      </c>
    </row>
    <row r="111" ht="14.25" customHeight="1">
      <c r="A111" s="31">
        <v>110.0</v>
      </c>
      <c r="B111" s="7" t="str">
        <f>IFERROR(__xludf.DUMMYFUNCTION("GOOGLETRANSLATE(H111, ""th"", ""en"")"),"In what era was Muay Thai developed into a professional sport?")</f>
        <v>In what era was Muay Thai developed into a professional sport?</v>
      </c>
      <c r="C111" s="7" t="str">
        <f>IFERROR(__xludf.DUMMYFUNCTION("GOOGLETRANSLATE(I111, ""th"", ""en"")"),"A) During the reign of King Rama V; B) During the reign of King Rama VII; C) During the reign of King Rama IX; D) During the reign of King Rama X")</f>
        <v>A) During the reign of King Rama V; B) During the reign of King Rama VII; C) During the reign of King Rama IX; D) During the reign of King Rama X</v>
      </c>
      <c r="D111" s="7" t="str">
        <f>IFERROR(__xludf.DUMMYFUNCTION("GOOGLETRANSLATE(J111, ""th"", ""en"")"),"B) During the reign of King Rama VII")</f>
        <v>B) During the reign of King Rama VII</v>
      </c>
      <c r="E111" s="5" t="str">
        <f>IFERROR(__xludf.DUMMYFUNCTION("GOOGLETRANSLATE(K111, ""th"", ""en"")"),"Muay Thai was developed into a professional sport during the reign of King Rama VII.")</f>
        <v>Muay Thai was developed into a professional sport during the reign of King Rama VII.</v>
      </c>
      <c r="G111" s="6">
        <v>110.0</v>
      </c>
      <c r="H111" s="7" t="s">
        <v>3922</v>
      </c>
      <c r="I111" s="7" t="s">
        <v>3923</v>
      </c>
      <c r="J111" s="7" t="s">
        <v>3924</v>
      </c>
      <c r="K111" s="7" t="s">
        <v>3925</v>
      </c>
    </row>
    <row r="112" ht="14.25" customHeight="1">
      <c r="A112" s="31">
        <v>111.0</v>
      </c>
      <c r="B112" s="7" t="str">
        <f>IFERROR(__xludf.DUMMYFUNCTION("GOOGLETRANSLATE(H112, ""th"", ""en"")"),"How was Muay Thai training practiced in the past?")</f>
        <v>How was Muay Thai training practiced in the past?</v>
      </c>
      <c r="C112" s="7" t="str">
        <f>IFERROR(__xludf.DUMMYFUNCTION("GOOGLETRANSLATE(I112, ""th"", ""en"")"),"A) Training by learning stances and fighting techniques; B) Training by studying military strategies; C) Training by reading books; D) Training by traveling to different areas.")</f>
        <v>A) Training by learning stances and fighting techniques; B) Training by studying military strategies; C) Training by reading books; D) Training by traveling to different areas.</v>
      </c>
      <c r="D112" s="7" t="str">
        <f>IFERROR(__xludf.DUMMYFUNCTION("GOOGLETRANSLATE(J112, ""th"", ""en"")"),"A) Practice by learning stances and fighting techniques.")</f>
        <v>A) Practice by learning stances and fighting techniques.</v>
      </c>
      <c r="E112" s="5" t="str">
        <f>IFERROR(__xludf.DUMMYFUNCTION("GOOGLETRANSLATE(K112, ""th"", ""en"")"),"Muay Thai training in the past focused on learning fighting stances and techniques.")</f>
        <v>Muay Thai training in the past focused on learning fighting stances and techniques.</v>
      </c>
      <c r="G112" s="6">
        <v>111.0</v>
      </c>
      <c r="H112" s="7" t="s">
        <v>3926</v>
      </c>
      <c r="I112" s="7" t="s">
        <v>3927</v>
      </c>
      <c r="J112" s="7" t="s">
        <v>3928</v>
      </c>
      <c r="K112" s="7" t="s">
        <v>3929</v>
      </c>
    </row>
    <row r="113" ht="14.25" customHeight="1">
      <c r="A113" s="31">
        <v>112.0</v>
      </c>
      <c r="B113" s="7" t="str">
        <f>IFERROR(__xludf.DUMMYFUNCTION("GOOGLETRANSLATE(H113, ""th"", ""en"")"),"When did Muay Thai become world famous?")</f>
        <v>When did Muay Thai become world famous?</v>
      </c>
      <c r="C113" s="7" t="str">
        <f>IFERROR(__xludf.DUMMYFUNCTION("GOOGLETRANSLATE(I113, ""th"", ""en"")"),"A) after World War I; B) after World War II; C) the 1970s; D) the 1990s")</f>
        <v>A) after World War I; B) after World War II; C) the 1970s; D) the 1990s</v>
      </c>
      <c r="D113" s="7" t="str">
        <f>IFERROR(__xludf.DUMMYFUNCTION("GOOGLETRANSLATE(J113, ""th"", ""en"")"),"C) 1970s")</f>
        <v>C) 1970s</v>
      </c>
      <c r="E113" s="5" t="str">
        <f>IFERROR(__xludf.DUMMYFUNCTION("GOOGLETRANSLATE(K113, ""th"", ""en"")"),"Muay Thai began to gain world fame in the 1970s.")</f>
        <v>Muay Thai began to gain world fame in the 1970s.</v>
      </c>
      <c r="G113" s="6">
        <v>112.0</v>
      </c>
      <c r="H113" s="7" t="s">
        <v>3930</v>
      </c>
      <c r="I113" s="7" t="s">
        <v>3931</v>
      </c>
      <c r="J113" s="7" t="s">
        <v>3869</v>
      </c>
      <c r="K113" s="7" t="s">
        <v>3932</v>
      </c>
    </row>
    <row r="114" ht="14.25" customHeight="1">
      <c r="A114" s="31">
        <v>113.0</v>
      </c>
      <c r="B114" s="7" t="str">
        <f>IFERROR(__xludf.DUMMYFUNCTION("GOOGLETRANSLATE(H114, ""th"", ""en"")"),"Buakaw Banchamek is famous for which competition?")</f>
        <v>Buakaw Banchamek is famous for which competition?</v>
      </c>
      <c r="C114" s="7" t="str">
        <f>IFERROR(__xludf.DUMMYFUNCTION("GOOGLETRANSLATE(I114, ""th"", ""en"")"),"A) wrestling; B) Muay Thai; C) karate; D) kickboxing")</f>
        <v>A) wrestling; B) Muay Thai; C) karate; D) kickboxing</v>
      </c>
      <c r="D114" s="7" t="str">
        <f>IFERROR(__xludf.DUMMYFUNCTION("GOOGLETRANSLATE(J114, ""th"", ""en"")"),"B) Muay Thai")</f>
        <v>B) Muay Thai</v>
      </c>
      <c r="E114" s="5" t="str">
        <f>IFERROR(__xludf.DUMMYFUNCTION("GOOGLETRANSLATE(K114, ""th"", ""en"")"),"Buakaw Banchamek is famous for his Muay Thai competitions.")</f>
        <v>Buakaw Banchamek is famous for his Muay Thai competitions.</v>
      </c>
      <c r="G114" s="6">
        <v>113.0</v>
      </c>
      <c r="H114" s="7" t="s">
        <v>3933</v>
      </c>
      <c r="I114" s="7" t="s">
        <v>3934</v>
      </c>
      <c r="J114" s="7" t="s">
        <v>3935</v>
      </c>
      <c r="K114" s="7" t="s">
        <v>3936</v>
      </c>
    </row>
    <row r="115" ht="14.25" customHeight="1">
      <c r="A115" s="31">
        <v>114.0</v>
      </c>
      <c r="B115" s="7" t="str">
        <f>IFERROR(__xludf.DUMMYFUNCTION("GOOGLETRANSLATE(H115, ""th"", ""en"")"),"When was Muay Thai first recognized as an internationally recognized sport?")</f>
        <v>When was Muay Thai first recognized as an internationally recognized sport?</v>
      </c>
      <c r="C115" s="7" t="str">
        <f>IFERROR(__xludf.DUMMYFUNCTION("GOOGLETRANSLATE(I115, ""th"", ""en"")"),"A) 1950s; B) 1970s; C) 1990s; D) 2000s")</f>
        <v>A) 1950s; B) 1970s; C) 1990s; D) 2000s</v>
      </c>
      <c r="D115" s="7" t="str">
        <f>IFERROR(__xludf.DUMMYFUNCTION("GOOGLETRANSLATE(J115, ""th"", ""en"")"),"B) 1970s")</f>
        <v>B) 1970s</v>
      </c>
      <c r="E115" s="5" t="str">
        <f>IFERROR(__xludf.DUMMYFUNCTION("GOOGLETRANSLATE(K115, ""th"", ""en"")"),"Muay Thai gained international recognition as a standard sport in the 1970s.")</f>
        <v>Muay Thai gained international recognition as a standard sport in the 1970s.</v>
      </c>
      <c r="G115" s="6">
        <v>114.0</v>
      </c>
      <c r="H115" s="7" t="s">
        <v>3937</v>
      </c>
      <c r="I115" s="7" t="s">
        <v>3938</v>
      </c>
      <c r="J115" s="7" t="s">
        <v>1258</v>
      </c>
      <c r="K115" s="7" t="s">
        <v>3939</v>
      </c>
    </row>
    <row r="116" ht="14.25" customHeight="1">
      <c r="A116" s="31">
        <v>115.0</v>
      </c>
      <c r="B116" s="7" t="str">
        <f>IFERROR(__xludf.DUMMYFUNCTION("GOOGLETRANSLATE(H116, ""th"", ""en"")"),"Where does Muay Thai come from as a martial art?")</f>
        <v>Where does Muay Thai come from as a martial art?</v>
      </c>
      <c r="C116" s="7" t="str">
        <f>IFERROR(__xludf.DUMMYFUNCTION("GOOGLETRANSLATE(I116, ""th"", ""en"")"),"A) Thai military training; B) Chinese military training; C) Japanese military training; D) Indian military training")</f>
        <v>A) Thai military training; B) Chinese military training; C) Japanese military training; D) Indian military training</v>
      </c>
      <c r="D116" s="7" t="str">
        <f>IFERROR(__xludf.DUMMYFUNCTION("GOOGLETRANSLATE(J116, ""th"", ""en"")"),"A) Thai military training")</f>
        <v>A) Thai military training</v>
      </c>
      <c r="E116" s="5" t="str">
        <f>IFERROR(__xludf.DUMMYFUNCTION("GOOGLETRANSLATE(K116, ""th"", ""en"")"),"Muay Thai has its roots in training Thai soldiers for use in warfare.")</f>
        <v>Muay Thai has its roots in training Thai soldiers for use in warfare.</v>
      </c>
      <c r="G116" s="6">
        <v>115.0</v>
      </c>
      <c r="H116" s="7" t="s">
        <v>3940</v>
      </c>
      <c r="I116" s="7" t="s">
        <v>3941</v>
      </c>
      <c r="J116" s="7" t="s">
        <v>3942</v>
      </c>
      <c r="K116" s="7" t="s">
        <v>3943</v>
      </c>
    </row>
    <row r="117" ht="14.25" customHeight="1">
      <c r="A117" s="31">
        <v>116.0</v>
      </c>
      <c r="B117" s="7" t="str">
        <f>IFERROR(__xludf.DUMMYFUNCTION("GOOGLETRANSLATE(H117, ""th"", ""en"")"),"What moves did the Muay Thai style of fighting begin with?")</f>
        <v>What moves did the Muay Thai style of fighting begin with?</v>
      </c>
      <c r="C117" s="7" t="str">
        <f>IFERROR(__xludf.DUMMYFUNCTION("GOOGLETRANSLATE(I117, ""th"", ""en"")"),"A) fist; B) foot; C) knee; D) elbow")</f>
        <v>A) fist; B) foot; C) knee; D) elbow</v>
      </c>
      <c r="D117" s="7" t="str">
        <f>IFERROR(__xludf.DUMMYFUNCTION("GOOGLETRANSLATE(J117, ""th"", ""en"")"),"B) feet")</f>
        <v>B) feet</v>
      </c>
      <c r="E117" s="5" t="str">
        <f>IFERROR(__xludf.DUMMYFUNCTION("GOOGLETRANSLATE(K117, ""th"", ""en"")"),"Muay Thai began with the use of footwork in fighting.")</f>
        <v>Muay Thai began with the use of footwork in fighting.</v>
      </c>
      <c r="G117" s="6">
        <v>116.0</v>
      </c>
      <c r="H117" s="7" t="s">
        <v>3944</v>
      </c>
      <c r="I117" s="7" t="s">
        <v>3945</v>
      </c>
      <c r="J117" s="7" t="s">
        <v>3946</v>
      </c>
      <c r="K117" s="7" t="s">
        <v>3947</v>
      </c>
    </row>
    <row r="118" ht="14.25" customHeight="1">
      <c r="A118" s="31">
        <v>117.0</v>
      </c>
      <c r="B118" s="7" t="str">
        <f>IFERROR(__xludf.DUMMYFUNCTION("GOOGLETRANSLATE(H118, ""th"", ""en"")"),"In the past, the management of Muay Thai was controlled by which organization?")</f>
        <v>In the past, the management of Muay Thai was controlled by which organization?</v>
      </c>
      <c r="C118" s="7" t="str">
        <f>IFERROR(__xludf.DUMMYFUNCTION("GOOGLETRANSLATE(I118, ""th"", ""en"")"),"A) Sports Association; B) Military Government; C) Muay Thai Committee; D) Muay Thai Foundation")</f>
        <v>A) Sports Association; B) Military Government; C) Muay Thai Committee; D) Muay Thai Foundation</v>
      </c>
      <c r="D118" s="7" t="str">
        <f>IFERROR(__xludf.DUMMYFUNCTION("GOOGLETRANSLATE(J118, ""th"", ""en"")"),"B) Military service")</f>
        <v>B) Military service</v>
      </c>
      <c r="E118" s="5" t="str">
        <f>IFERROR(__xludf.DUMMYFUNCTION("GOOGLETRANSLATE(K118, ""th"", ""en"")"),"The management of Muay Thai in the past was controlled by the military.")</f>
        <v>The management of Muay Thai in the past was controlled by the military.</v>
      </c>
      <c r="G118" s="6">
        <v>117.0</v>
      </c>
      <c r="H118" s="7" t="s">
        <v>3948</v>
      </c>
      <c r="I118" s="7" t="s">
        <v>3949</v>
      </c>
      <c r="J118" s="7" t="s">
        <v>3950</v>
      </c>
      <c r="K118" s="7" t="s">
        <v>3951</v>
      </c>
    </row>
    <row r="119" ht="14.25" customHeight="1">
      <c r="A119" s="31">
        <v>118.0</v>
      </c>
      <c r="B119" s="7" t="str">
        <f>IFERROR(__xludf.DUMMYFUNCTION("GOOGLETRANSLATE(H119, ""th"", ""en"")"),"Who was a popular Muay Thai fighter in the 1970s?")</f>
        <v>Who was a popular Muay Thai fighter in the 1970s?</v>
      </c>
      <c r="C119" s="7" t="str">
        <f>IFERROR(__xludf.DUMMYFUNCTION("GOOGLETRANSLATE(I119, ""th"", ""en"")"),"A) Somrak Khamsing; B) Mahasamut Sangkaew; C) Ratchanon Songwanrat; D) Sirichai Namkham")</f>
        <v>A) Somrak Khamsing; B) Mahasamut Sangkaew; C) Ratchanon Songwanrat; D) Sirichai Namkham</v>
      </c>
      <c r="D119" s="7" t="str">
        <f>IFERROR(__xludf.DUMMYFUNCTION("GOOGLETRANSLATE(J119, ""th"", ""en"")"),"B) Ocean, Conch")</f>
        <v>B) Ocean, Conch</v>
      </c>
      <c r="E119" s="5" t="str">
        <f>IFERROR(__xludf.DUMMYFUNCTION("GOOGLETRANSLATE(K119, ""th"", ""en"")"),"Mahasamut Sangkaew was a popular Muay Thai fighter during the 1970s.")</f>
        <v>Mahasamut Sangkaew was a popular Muay Thai fighter during the 1970s.</v>
      </c>
      <c r="G119" s="6">
        <v>118.0</v>
      </c>
      <c r="H119" s="7" t="s">
        <v>3952</v>
      </c>
      <c r="I119" s="7" t="s">
        <v>3953</v>
      </c>
      <c r="J119" s="7" t="s">
        <v>3954</v>
      </c>
      <c r="K119" s="7" t="s">
        <v>3955</v>
      </c>
    </row>
    <row r="120" ht="14.25" customHeight="1">
      <c r="A120" s="31">
        <v>119.0</v>
      </c>
      <c r="B120" s="7" t="str">
        <f>IFERROR(__xludf.DUMMYFUNCTION("GOOGLETRANSLATE(H120, ""th"", ""en"")"),"When did knee skills begin to be used in Muay Thai competitions?")</f>
        <v>When did knee skills begin to be used in Muay Thai competitions?</v>
      </c>
      <c r="C120" s="7" t="str">
        <f>IFERROR(__xludf.DUMMYFUNCTION("GOOGLETRANSLATE(I120, ""th"", ""en"")"),"A) the 18th century; B) the 19th century; C) the 1900s; D) the 1970s")</f>
        <v>A) the 18th century; B) the 19th century; C) the 1900s; D) the 1970s</v>
      </c>
      <c r="D120" s="7" t="str">
        <f>IFERROR(__xludf.DUMMYFUNCTION("GOOGLETRANSLATE(J120, ""th"", ""en"")"),"B) 19th century")</f>
        <v>B) 19th century</v>
      </c>
      <c r="E120" s="5" t="str">
        <f>IFERROR(__xludf.DUMMYFUNCTION("GOOGLETRANSLATE(K120, ""th"", ""en"")"),"The use of knees in Muay Thai began to be used in competitions in the 19th century.")</f>
        <v>The use of knees in Muay Thai began to be used in competitions in the 19th century.</v>
      </c>
      <c r="G120" s="6">
        <v>119.0</v>
      </c>
      <c r="H120" s="7" t="s">
        <v>3956</v>
      </c>
      <c r="I120" s="7" t="s">
        <v>3957</v>
      </c>
      <c r="J120" s="7" t="s">
        <v>3958</v>
      </c>
      <c r="K120" s="7" t="s">
        <v>3959</v>
      </c>
    </row>
    <row r="121" ht="14.25" customHeight="1">
      <c r="A121" s="31">
        <v>120.0</v>
      </c>
      <c r="B121" s="7" t="str">
        <f>IFERROR(__xludf.DUMMYFUNCTION("GOOGLETRANSLATE(H121, ""th"", ""en"")"),"When did Muay Thai become recognized as a world-class competitive sport?")</f>
        <v>When did Muay Thai become recognized as a world-class competitive sport?</v>
      </c>
      <c r="C121" s="7" t="str">
        <f>IFERROR(__xludf.DUMMYFUNCTION("GOOGLETRANSLATE(I121, ""th"", ""en"")"),"A) 1950s; B) 1960s; C) 1970s; D) 1990s")</f>
        <v>A) 1950s; B) 1960s; C) 1970s; D) 1990s</v>
      </c>
      <c r="D121" s="7" t="str">
        <f>IFERROR(__xludf.DUMMYFUNCTION("GOOGLETRANSLATE(J121, ""th"", ""en"")"),"C) 1970s")</f>
        <v>C) 1970s</v>
      </c>
      <c r="E121" s="5" t="str">
        <f>IFERROR(__xludf.DUMMYFUNCTION("GOOGLETRANSLATE(K121, ""th"", ""en"")"),"Muay Thai gained recognition as a world-class competitive sport in the 1970s.")</f>
        <v>Muay Thai gained recognition as a world-class competitive sport in the 1970s.</v>
      </c>
      <c r="G121" s="6">
        <v>120.0</v>
      </c>
      <c r="H121" s="7" t="s">
        <v>3960</v>
      </c>
      <c r="I121" s="7" t="s">
        <v>3961</v>
      </c>
      <c r="J121" s="7" t="s">
        <v>3962</v>
      </c>
      <c r="K121" s="7" t="s">
        <v>3963</v>
      </c>
    </row>
    <row r="122" ht="14.25" customHeight="1">
      <c r="A122" s="31">
        <v>121.0</v>
      </c>
      <c r="B122" s="7" t="str">
        <f>IFERROR(__xludf.DUMMYFUNCTION("GOOGLETRANSLATE(H122, ""th"", ""en"")"),"Who was the most popular Muay Thai boxer abroad in the 2000s?")</f>
        <v>Who was the most popular Muay Thai boxer abroad in the 2000s?</v>
      </c>
      <c r="C122" s="7" t="str">
        <f>IFERROR(__xludf.DUMMYFUNCTION("GOOGLETRANSLATE(I122, ""th"", ""en"")"),"A) Somrak Khamsing; B) Buakaw Banchamek; C) Rachanon Songwanrat; D) Phichit Muay Thai")</f>
        <v>A) Somrak Khamsing; B) Buakaw Banchamek; C) Rachanon Songwanrat; D) Phichit Muay Thai</v>
      </c>
      <c r="D122" s="7" t="str">
        <f>IFERROR(__xludf.DUMMYFUNCTION("GOOGLETRANSLATE(J122, ""th"", ""en"")"),"B) Buakaw Banchamek")</f>
        <v>B) Buakaw Banchamek</v>
      </c>
      <c r="E122" s="5" t="str">
        <f>IFERROR(__xludf.DUMMYFUNCTION("GOOGLETRANSLATE(K122, ""th"", ""en"")"),"Buakaw Banchamek was the most popular Muay Thai fighter abroad in the 2000s.")</f>
        <v>Buakaw Banchamek was the most popular Muay Thai fighter abroad in the 2000s.</v>
      </c>
      <c r="G122" s="6">
        <v>121.0</v>
      </c>
      <c r="H122" s="7" t="s">
        <v>3964</v>
      </c>
      <c r="I122" s="7" t="s">
        <v>3965</v>
      </c>
      <c r="J122" s="7" t="s">
        <v>3824</v>
      </c>
      <c r="K122" s="7" t="s">
        <v>3966</v>
      </c>
    </row>
    <row r="123" ht="14.25" customHeight="1">
      <c r="A123" s="31">
        <v>122.0</v>
      </c>
      <c r="B123" s="7" t="str">
        <f>IFERROR(__xludf.DUMMYFUNCTION("GOOGLETRANSLATE(H123, ""th"", ""en"")"),"When did Muay Thai begin to officially change its rules?")</f>
        <v>When did Muay Thai begin to officially change its rules?</v>
      </c>
      <c r="C123" s="7" t="str">
        <f>IFERROR(__xludf.DUMMYFUNCTION("GOOGLETRANSLATE(I123, ""th"", ""en"")"),"A) 1900s; B) 1920s; C) 1930s; D) 1970s")</f>
        <v>A) 1900s; B) 1920s; C) 1930s; D) 1970s</v>
      </c>
      <c r="D123" s="7" t="str">
        <f>IFERROR(__xludf.DUMMYFUNCTION("GOOGLETRANSLATE(J123, ""th"", ""en"")"),"D) 1970s")</f>
        <v>D) 1970s</v>
      </c>
      <c r="E123" s="5" t="str">
        <f>IFERROR(__xludf.DUMMYFUNCTION("GOOGLETRANSLATE(K123, ""th"", ""en"")"),"Muay Thai began to have official rule changes in the 1970s.")</f>
        <v>Muay Thai began to have official rule changes in the 1970s.</v>
      </c>
      <c r="G123" s="6">
        <v>122.0</v>
      </c>
      <c r="H123" s="7" t="s">
        <v>3967</v>
      </c>
      <c r="I123" s="7" t="s">
        <v>3968</v>
      </c>
      <c r="J123" s="7" t="s">
        <v>3969</v>
      </c>
      <c r="K123" s="7" t="s">
        <v>3970</v>
      </c>
    </row>
    <row r="124" ht="14.25" customHeight="1">
      <c r="A124" s="31">
        <v>123.0</v>
      </c>
      <c r="B124" s="7" t="str">
        <f>IFERROR(__xludf.DUMMYFUNCTION("GOOGLETRANSLATE(H124, ""th"", ""en"")"),"When did Muay Thai first begin to be competed internationally?")</f>
        <v>When did Muay Thai first begin to be competed internationally?</v>
      </c>
      <c r="C124" s="7" t="str">
        <f>IFERROR(__xludf.DUMMYFUNCTION("GOOGLETRANSLATE(I124, ""th"", ""en"")"),"A) 1960s; B) 1970s; C) 1980s; D) 1990s")</f>
        <v>A) 1960s; B) 1970s; C) 1980s; D) 1990s</v>
      </c>
      <c r="D124" s="7" t="str">
        <f>IFERROR(__xludf.DUMMYFUNCTION("GOOGLETRANSLATE(J124, ""th"", ""en"")"),"B) 1970s")</f>
        <v>B) 1970s</v>
      </c>
      <c r="E124" s="5" t="str">
        <f>IFERROR(__xludf.DUMMYFUNCTION("GOOGLETRANSLATE(K124, ""th"", ""en"")"),"Muay Thai first began competing internationally in the 1970s.")</f>
        <v>Muay Thai first began competing internationally in the 1970s.</v>
      </c>
      <c r="G124" s="6">
        <v>123.0</v>
      </c>
      <c r="H124" s="7" t="s">
        <v>3971</v>
      </c>
      <c r="I124" s="7" t="s">
        <v>1257</v>
      </c>
      <c r="J124" s="7" t="s">
        <v>1258</v>
      </c>
      <c r="K124" s="7" t="s">
        <v>3972</v>
      </c>
    </row>
    <row r="125" ht="14.25" customHeight="1">
      <c r="A125" s="31">
        <v>124.0</v>
      </c>
      <c r="B125" s="7" t="str">
        <f>IFERROR(__xludf.DUMMYFUNCTION("GOOGLETRANSLATE(H125, ""th"", ""en"")"),"In the past, Muay Thai played an important role in training soldiers in which country?")</f>
        <v>In the past, Muay Thai played an important role in training soldiers in which country?</v>
      </c>
      <c r="C125" s="7" t="str">
        <f>IFERROR(__xludf.DUMMYFUNCTION("GOOGLETRANSLATE(I125, ""th"", ""en"")"),"A) Thailand; B) Burma; C) Laos; D) Vietnam")</f>
        <v>A) Thailand; B) Burma; C) Laos; D) Vietnam</v>
      </c>
      <c r="D125" s="7" t="str">
        <f>IFERROR(__xludf.DUMMYFUNCTION("GOOGLETRANSLATE(J125, ""th"", ""en"")"),"A) Thai")</f>
        <v>A) Thai</v>
      </c>
      <c r="E125" s="5" t="str">
        <f>IFERROR(__xludf.DUMMYFUNCTION("GOOGLETRANSLATE(K125, ""th"", ""en"")"),"Muay Thai plays an important role in military training in Thailand.")</f>
        <v>Muay Thai plays an important role in military training in Thailand.</v>
      </c>
      <c r="G125" s="6">
        <v>124.0</v>
      </c>
      <c r="H125" s="7" t="s">
        <v>3973</v>
      </c>
      <c r="I125" s="7" t="s">
        <v>3974</v>
      </c>
      <c r="J125" s="7" t="s">
        <v>1705</v>
      </c>
      <c r="K125" s="7" t="s">
        <v>3975</v>
      </c>
    </row>
    <row r="126" ht="14.25" customHeight="1">
      <c r="A126" s="31">
        <v>125.0</v>
      </c>
      <c r="B126" s="7" t="str">
        <f>IFERROR(__xludf.DUMMYFUNCTION("GOOGLETRANSLATE(H126, ""th"", ""en"")"),"In which era did Muay Thai primarily use a strategy called ""using fists""?")</f>
        <v>In which era did Muay Thai primarily use a strategy called "using fists"?</v>
      </c>
      <c r="C126" s="7" t="str">
        <f>IFERROR(__xludf.DUMMYFUNCTION("GOOGLETRANSLATE(I126, ""th"", ""en"")"),"A) ancient times; B) the reign of King Rama V; C) the reign of King Rama VII; D) the reign of King Rama IX")</f>
        <v>A) ancient times; B) the reign of King Rama V; C) the reign of King Rama VII; D) the reign of King Rama IX</v>
      </c>
      <c r="D126" s="7" t="str">
        <f>IFERROR(__xludf.DUMMYFUNCTION("GOOGLETRANSLATE(J126, ""th"", ""en"")"),"B) During the reign of King Rama V")</f>
        <v>B) During the reign of King Rama V</v>
      </c>
      <c r="E126" s="5" t="str">
        <f>IFERROR(__xludf.DUMMYFUNCTION("GOOGLETRANSLATE(K126, ""th"", ""en"")"),"The use of fists as a primary strategy in Muay Thai began to develop during the reign of King Rama V.")</f>
        <v>The use of fists as a primary strategy in Muay Thai began to develop during the reign of King Rama V.</v>
      </c>
      <c r="G126" s="6">
        <v>125.0</v>
      </c>
      <c r="H126" s="7" t="s">
        <v>3976</v>
      </c>
      <c r="I126" s="7" t="s">
        <v>3977</v>
      </c>
      <c r="J126" s="7" t="s">
        <v>1634</v>
      </c>
      <c r="K126" s="7" t="s">
        <v>3978</v>
      </c>
    </row>
    <row r="127" ht="14.25" customHeight="1">
      <c r="A127" s="31">
        <v>126.0</v>
      </c>
      <c r="B127" s="7" t="str">
        <f>IFERROR(__xludf.DUMMYFUNCTION("GOOGLETRANSLATE(H127, ""th"", ""en"")"),"What was the main focus of Muay Thai training in the early days?")</f>
        <v>What was the main focus of Muay Thai training in the early days?</v>
      </c>
      <c r="C127" s="7" t="str">
        <f>IFERROR(__xludf.DUMMYFUNCTION("GOOGLETRANSLATE(I127, ""th"", ""en"")"),"A) learning standing postures; B) fighting with real enemies; C) practicing movement postures; D) studying martial arts.")</f>
        <v>A) learning standing postures; B) fighting with real enemies; C) practicing movement postures; D) studying martial arts.</v>
      </c>
      <c r="D127" s="7" t="str">
        <f>IFERROR(__xludf.DUMMYFUNCTION("GOOGLETRANSLATE(J127, ""th"", ""en"")"),"A) Learning standing postures")</f>
        <v>A) Learning standing postures</v>
      </c>
      <c r="E127" s="5" t="str">
        <f>IFERROR(__xludf.DUMMYFUNCTION("GOOGLETRANSLATE(K127, ""th"", ""en"")"),"Early Muay Thai training focused on learning standing postures.")</f>
        <v>Early Muay Thai training focused on learning standing postures.</v>
      </c>
      <c r="G127" s="6">
        <v>126.0</v>
      </c>
      <c r="H127" s="7" t="s">
        <v>3979</v>
      </c>
      <c r="I127" s="7" t="s">
        <v>3980</v>
      </c>
      <c r="J127" s="7" t="s">
        <v>3981</v>
      </c>
      <c r="K127" s="7" t="s">
        <v>3982</v>
      </c>
    </row>
    <row r="128" ht="14.25" customHeight="1">
      <c r="A128" s="31">
        <v>127.0</v>
      </c>
      <c r="B128" s="7" t="str">
        <f>IFERROR(__xludf.DUMMYFUNCTION("GOOGLETRANSLATE(H128, ""th"", ""en"")"),"In what ways did Muay Thai develop during the reign of King Rama VII?")</f>
        <v>In what ways did Muay Thai develop during the reign of King Rama VII?</v>
      </c>
      <c r="C128" s="7" t="str">
        <f>IFERROR(__xludf.DUMMYFUNCTION("GOOGLETRANSLATE(I128, ""th"", ""en"")"),"A) Posture training; B) Improving the rules and competition format; C) Kicking training; D) Developing fighting techniques.")</f>
        <v>A) Posture training; B) Improving the rules and competition format; C) Kicking training; D) Developing fighting techniques.</v>
      </c>
      <c r="D128" s="7" t="str">
        <f>IFERROR(__xludf.DUMMYFUNCTION("GOOGLETRANSLATE(J128, ""th"", ""en"")"),"B) Improving the rules and format of the competition")</f>
        <v>B) Improving the rules and format of the competition</v>
      </c>
      <c r="E128" s="5" t="str">
        <f>IFERROR(__xludf.DUMMYFUNCTION("GOOGLETRANSLATE(K128, ""th"", ""en"")"),"Muay Thai during the reign of King Rama VII was developed in terms of improving the rules and competition formats.")</f>
        <v>Muay Thai during the reign of King Rama VII was developed in terms of improving the rules and competition formats.</v>
      </c>
      <c r="G128" s="6">
        <v>127.0</v>
      </c>
      <c r="H128" s="7" t="s">
        <v>3983</v>
      </c>
      <c r="I128" s="7" t="s">
        <v>3984</v>
      </c>
      <c r="J128" s="7" t="s">
        <v>3985</v>
      </c>
      <c r="K128" s="7" t="s">
        <v>3986</v>
      </c>
    </row>
    <row r="129" ht="14.25" customHeight="1">
      <c r="A129" s="31">
        <v>128.0</v>
      </c>
      <c r="B129" s="7" t="str">
        <f>IFERROR(__xludf.DUMMYFUNCTION("GOOGLETRANSLATE(H129, ""th"", ""en"")"),"In what year did Muay Thai begin to gain international recognition?")</f>
        <v>In what year did Muay Thai begin to gain international recognition?</v>
      </c>
      <c r="C129" s="7" t="str">
        <f>IFERROR(__xludf.DUMMYFUNCTION("GOOGLETRANSLATE(I129, ""th"", ""en"")"),"A) 1930; B) 1940; C) 1950; D) 1970")</f>
        <v>A) 1930; B) 1940; C) 1950; D) 1970</v>
      </c>
      <c r="D129" s="7" t="str">
        <f>IFERROR(__xludf.DUMMYFUNCTION("GOOGLETRANSLATE(J129, ""th"", ""en"")"),"D) 1970")</f>
        <v>D) 1970</v>
      </c>
      <c r="E129" s="5" t="str">
        <f>IFERROR(__xludf.DUMMYFUNCTION("GOOGLETRANSLATE(K129, ""th"", ""en"")"),"Muay Thai began to gain international recognition in the 1970s.")</f>
        <v>Muay Thai began to gain international recognition in the 1970s.</v>
      </c>
      <c r="G129" s="6">
        <v>128.0</v>
      </c>
      <c r="H129" s="7" t="s">
        <v>3987</v>
      </c>
      <c r="I129" s="7" t="s">
        <v>3988</v>
      </c>
      <c r="J129" s="7" t="s">
        <v>3989</v>
      </c>
      <c r="K129" s="7" t="s">
        <v>3990</v>
      </c>
    </row>
    <row r="130" ht="14.25" customHeight="1">
      <c r="A130" s="31">
        <v>129.0</v>
      </c>
      <c r="B130" s="7" t="str">
        <f>IFERROR(__xludf.DUMMYFUNCTION("GOOGLETRANSLATE(H130, ""th"", ""en"")"),"Which Muay Thai boxer was the first to win a world championship?")</f>
        <v>Which Muay Thai boxer was the first to win a world championship?</v>
      </c>
      <c r="C130" s="7" t="str">
        <f>IFERROR(__xludf.DUMMYFUNCTION("GOOGLETRANSLATE(I130, ""th"", ""en"")"),"A) Somrak Khamsing; B) Buakaw Banchamek; C) Chanchai Thongmuan; D) Pakorn Pongpibul")</f>
        <v>A) Somrak Khamsing; B) Buakaw Banchamek; C) Chanchai Thongmuan; D) Pakorn Pongpibul</v>
      </c>
      <c r="D130" s="7" t="str">
        <f>IFERROR(__xludf.DUMMYFUNCTION("GOOGLETRANSLATE(J130, ""th"", ""en"")"),"B) Buakaw Banchamek")</f>
        <v>B) Buakaw Banchamek</v>
      </c>
      <c r="E130" s="5" t="str">
        <f>IFERROR(__xludf.DUMMYFUNCTION("GOOGLETRANSLATE(K130, ""th"", ""en"")"),"Buakaw Banchamek was the first winner of a world-class competition.")</f>
        <v>Buakaw Banchamek was the first winner of a world-class competition.</v>
      </c>
      <c r="G130" s="6">
        <v>129.0</v>
      </c>
      <c r="H130" s="7" t="s">
        <v>3991</v>
      </c>
      <c r="I130" s="7" t="s">
        <v>3992</v>
      </c>
      <c r="J130" s="7" t="s">
        <v>3824</v>
      </c>
      <c r="K130" s="7" t="s">
        <v>3993</v>
      </c>
    </row>
    <row r="131" ht="14.25" customHeight="1">
      <c r="A131" s="31">
        <v>130.0</v>
      </c>
      <c r="B131" s="7" t="str">
        <f>IFERROR(__xludf.DUMMYFUNCTION("GOOGLETRANSLATE(H131, ""th"", ""en"")"),"In what year did Muay Thai begin to gain popularity abroad?")</f>
        <v>In what year did Muay Thai begin to gain popularity abroad?</v>
      </c>
      <c r="C131" s="7" t="str">
        <f>IFERROR(__xludf.DUMMYFUNCTION("GOOGLETRANSLATE(I131, ""th"", ""en"")"),"A) 1950; B) 1960; C) 1970; D) 1980")</f>
        <v>A) 1950; B) 1960; C) 1970; D) 1980</v>
      </c>
      <c r="D131" s="7" t="str">
        <f>IFERROR(__xludf.DUMMYFUNCTION("GOOGLETRANSLATE(J131, ""th"", ""en"")"),"C) 1970")</f>
        <v>C) 1970</v>
      </c>
      <c r="E131" s="5" t="str">
        <f>IFERROR(__xludf.DUMMYFUNCTION("GOOGLETRANSLATE(K131, ""th"", ""en"")"),"Muay Thai began to gain popularity abroad in the 1970s.")</f>
        <v>Muay Thai began to gain popularity abroad in the 1970s.</v>
      </c>
      <c r="G131" s="6">
        <v>130.0</v>
      </c>
      <c r="H131" s="7" t="s">
        <v>3994</v>
      </c>
      <c r="I131" s="7" t="s">
        <v>1225</v>
      </c>
      <c r="J131" s="7" t="s">
        <v>1226</v>
      </c>
      <c r="K131" s="7" t="s">
        <v>3642</v>
      </c>
    </row>
    <row r="132" ht="14.25" customHeight="1">
      <c r="A132" s="31">
        <v>131.0</v>
      </c>
      <c r="B132" s="7" t="str">
        <f>IFERROR(__xludf.DUMMYFUNCTION("GOOGLETRANSLATE(H132, ""th"", ""en"")"),"Who is the most famous trainer in Muay Thai?")</f>
        <v>Who is the most famous trainer in Muay Thai?</v>
      </c>
      <c r="C132" s="7" t="str">
        <f>IFERROR(__xludf.DUMMYFUNCTION("GOOGLETRANSLATE(I132, ""th"", ""en"")"),"A) Wittaya Sirisit; B) Somrak Khamsing; C) Chatree Sitsanti; D) Thawatchai Sanchai")</f>
        <v>A) Wittaya Sirisit; B) Somrak Khamsing; C) Chatree Sitsanti; D) Thawatchai Sanchai</v>
      </c>
      <c r="D132" s="7" t="str">
        <f>IFERROR(__xludf.DUMMYFUNCTION("GOOGLETRANSLATE(J132, ""th"", ""en"")"),"A) Wittaya Sirisit")</f>
        <v>A) Wittaya Sirisit</v>
      </c>
      <c r="E132" s="5" t="str">
        <f>IFERROR(__xludf.DUMMYFUNCTION("GOOGLETRANSLATE(K132, ""th"", ""en"")"),"Wittaya Sirisit is a famous trainer in the Muay Thai world.")</f>
        <v>Wittaya Sirisit is a famous trainer in the Muay Thai world.</v>
      </c>
      <c r="G132" s="6">
        <v>131.0</v>
      </c>
      <c r="H132" s="7" t="s">
        <v>3995</v>
      </c>
      <c r="I132" s="7" t="s">
        <v>3996</v>
      </c>
      <c r="J132" s="7" t="s">
        <v>3997</v>
      </c>
      <c r="K132" s="7" t="s">
        <v>3998</v>
      </c>
    </row>
    <row r="133" ht="14.25" customHeight="1">
      <c r="A133" s="31">
        <v>132.0</v>
      </c>
      <c r="B133" s="7" t="str">
        <f>IFERROR(__xludf.DUMMYFUNCTION("GOOGLETRANSLATE(H133, ""th"", ""en"")"),"When did Muay Thai begin to develop into an international competitive sport?")</f>
        <v>When did Muay Thai begin to develop into an international competitive sport?</v>
      </c>
      <c r="C133" s="7" t="str">
        <f>IFERROR(__xludf.DUMMYFUNCTION("GOOGLETRANSLATE(I133, ""th"", ""en"")"),"A) 1920; B) 1940; C) 1960; D) 1980")</f>
        <v>A) 1920; B) 1940; C) 1960; D) 1980</v>
      </c>
      <c r="D133" s="7" t="str">
        <f>IFERROR(__xludf.DUMMYFUNCTION("GOOGLETRANSLATE(J133, ""th"", ""en"")"),"C) 1960")</f>
        <v>C) 1960</v>
      </c>
      <c r="E133" s="5" t="str">
        <f>IFERROR(__xludf.DUMMYFUNCTION("GOOGLETRANSLATE(K133, ""th"", ""en"")"),"Muay Thai began to develop into an international competitive sport in the 1960s.")</f>
        <v>Muay Thai began to develop into an international competitive sport in the 1960s.</v>
      </c>
      <c r="G133" s="6">
        <v>132.0</v>
      </c>
      <c r="H133" s="7" t="s">
        <v>3999</v>
      </c>
      <c r="I133" s="7" t="s">
        <v>4000</v>
      </c>
      <c r="J133" s="7" t="s">
        <v>1962</v>
      </c>
      <c r="K133" s="7" t="s">
        <v>4001</v>
      </c>
    </row>
    <row r="134" ht="14.25" customHeight="1">
      <c r="A134" s="31">
        <v>133.0</v>
      </c>
      <c r="B134" s="7" t="str">
        <f>IFERROR(__xludf.DUMMYFUNCTION("GOOGLETRANSLATE(H134, ""th"", ""en"")"),"What is the most famous move used in Muay Thai in the sport?")</f>
        <v>What is the most famous move used in Muay Thai in the sport?</v>
      </c>
      <c r="C134" s="7" t="str">
        <f>IFERROR(__xludf.DUMMYFUNCTION("GOOGLETRANSLATE(I134, ""th"", ""en"")"),"A) fist stance; B) knee stance; C) foot stance; D) elbow stance")</f>
        <v>A) fist stance; B) knee stance; C) foot stance; D) elbow stance</v>
      </c>
      <c r="D134" s="7" t="str">
        <f>IFERROR(__xludf.DUMMYFUNCTION("GOOGLETRANSLATE(J134, ""th"", ""en"")"),"D) Elbow pose")</f>
        <v>D) Elbow pose</v>
      </c>
      <c r="E134" s="5" t="str">
        <f>IFERROR(__xludf.DUMMYFUNCTION("GOOGLETRANSLATE(K134, ""th"", ""en"")"),"The elbow strike is the most famous stance in Muay Thai.")</f>
        <v>The elbow strike is the most famous stance in Muay Thai.</v>
      </c>
      <c r="G134" s="6">
        <v>133.0</v>
      </c>
      <c r="H134" s="7" t="s">
        <v>4002</v>
      </c>
      <c r="I134" s="7" t="s">
        <v>4003</v>
      </c>
      <c r="J134" s="7" t="s">
        <v>4004</v>
      </c>
      <c r="K134" s="7" t="s">
        <v>4005</v>
      </c>
    </row>
    <row r="135" ht="14.25" customHeight="1">
      <c r="A135" s="31">
        <v>134.0</v>
      </c>
      <c r="B135" s="7" t="str">
        <f>IFERROR(__xludf.DUMMYFUNCTION("GOOGLETRANSLATE(H135, ""th"", ""en"")"),"Buakaw Banchamek is popular for winning which competition?")</f>
        <v>Buakaw Banchamek is popular for winning which competition?</v>
      </c>
      <c r="C135" s="7" t="str">
        <f>IFERROR(__xludf.DUMMYFUNCTION("GOOGLETRANSLATE(I135, ""th"", ""en"")"),"A) K-1; B) Muay Thai World Championship; C) UFC; D) One Championship")</f>
        <v>A) K-1; B) Muay Thai World Championship; C) UFC; D) One Championship</v>
      </c>
      <c r="D135" s="7" t="str">
        <f>IFERROR(__xludf.DUMMYFUNCTION("GOOGLETRANSLATE(J135, ""th"", ""en"")"),"A) K-1")</f>
        <v>A) K-1</v>
      </c>
      <c r="E135" s="5" t="str">
        <f>IFERROR(__xludf.DUMMYFUNCTION("GOOGLETRANSLATE(K135, ""th"", ""en"")"),"Buakaw Banchamek gained popularity from winning the K-1 tournament.")</f>
        <v>Buakaw Banchamek gained popularity from winning the K-1 tournament.</v>
      </c>
      <c r="G135" s="6">
        <v>134.0</v>
      </c>
      <c r="H135" s="7" t="s">
        <v>4006</v>
      </c>
      <c r="I135" s="7" t="s">
        <v>4007</v>
      </c>
      <c r="J135" s="7" t="s">
        <v>4008</v>
      </c>
      <c r="K135" s="7" t="s">
        <v>4009</v>
      </c>
    </row>
    <row r="136" ht="14.25" customHeight="1">
      <c r="A136" s="31">
        <v>135.0</v>
      </c>
      <c r="B136" s="7" t="str">
        <f>IFERROR(__xludf.DUMMYFUNCTION("GOOGLETRANSLATE(H136, ""th"", ""en"")"),"In what year did Muay Thai develop into a professional sport?")</f>
        <v>In what year did Muay Thai develop into a professional sport?</v>
      </c>
      <c r="C136" s="7" t="str">
        <f>IFERROR(__xludf.DUMMYFUNCTION("GOOGLETRANSLATE(I136, ""th"", ""en"")"),"A) 1930; B) 1940; C) 1950; D) 1970")</f>
        <v>A) 1930; B) 1940; C) 1950; D) 1970</v>
      </c>
      <c r="D136" s="7" t="str">
        <f>IFERROR(__xludf.DUMMYFUNCTION("GOOGLETRANSLATE(J136, ""th"", ""en"")"),"D) 1970")</f>
        <v>D) 1970</v>
      </c>
      <c r="E136" s="5" t="str">
        <f>IFERROR(__xludf.DUMMYFUNCTION("GOOGLETRANSLATE(K136, ""th"", ""en"")"),"Muay Thai was developed into a professional sport in the 1970s.")</f>
        <v>Muay Thai was developed into a professional sport in the 1970s.</v>
      </c>
      <c r="G136" s="6">
        <v>135.0</v>
      </c>
      <c r="H136" s="7" t="s">
        <v>4010</v>
      </c>
      <c r="I136" s="7" t="s">
        <v>3988</v>
      </c>
      <c r="J136" s="7" t="s">
        <v>3989</v>
      </c>
      <c r="K136" s="7" t="s">
        <v>4011</v>
      </c>
    </row>
    <row r="137" ht="14.25" customHeight="1">
      <c r="A137" s="31">
        <v>136.0</v>
      </c>
      <c r="B137" s="7" t="str">
        <f>IFERROR(__xludf.DUMMYFUNCTION("GOOGLETRANSLATE(H137, ""th"", ""en"")"),"In which country was Muay Thai first recognized as an international sport?")</f>
        <v>In which country was Muay Thai first recognized as an international sport?</v>
      </c>
      <c r="C137" s="7" t="str">
        <f>IFERROR(__xludf.DUMMYFUNCTION("GOOGLETRANSLATE(I137, ""th"", ""en"")"),"A) China; B) Japan; C) United States; D) France")</f>
        <v>A) China; B) Japan; C) United States; D) France</v>
      </c>
      <c r="D137" s="7" t="str">
        <f>IFERROR(__xludf.DUMMYFUNCTION("GOOGLETRANSLATE(J137, ""th"", ""en"")"),"C) United States")</f>
        <v>C) United States</v>
      </c>
      <c r="E137" s="5" t="str">
        <f>IFERROR(__xludf.DUMMYFUNCTION("GOOGLETRANSLATE(K137, ""th"", ""en"")"),"Muay Thai was first recognized by the United States as an international sport.")</f>
        <v>Muay Thai was first recognized by the United States as an international sport.</v>
      </c>
      <c r="G137" s="6">
        <v>136.0</v>
      </c>
      <c r="H137" s="7" t="s">
        <v>4012</v>
      </c>
      <c r="I137" s="7" t="s">
        <v>4013</v>
      </c>
      <c r="J137" s="7" t="s">
        <v>4014</v>
      </c>
      <c r="K137" s="7" t="s">
        <v>4015</v>
      </c>
    </row>
    <row r="138" ht="14.25" customHeight="1">
      <c r="A138" s="31">
        <v>137.0</v>
      </c>
      <c r="B138" s="7" t="str">
        <f>IFERROR(__xludf.DUMMYFUNCTION("GOOGLETRANSLATE(H138, ""th"", ""en"")"),"In which country does Muay Thai play an important role in military training?")</f>
        <v>In which country does Muay Thai play an important role in military training?</v>
      </c>
      <c r="C138" s="7" t="str">
        <f>IFERROR(__xludf.DUMMYFUNCTION("GOOGLETRANSLATE(I138, ""th"", ""en"")"),"A) Thailand; B) Myanmar; C) Laos; D) Cambodia")</f>
        <v>A) Thailand; B) Myanmar; C) Laos; D) Cambodia</v>
      </c>
      <c r="D138" s="7" t="str">
        <f>IFERROR(__xludf.DUMMYFUNCTION("GOOGLETRANSLATE(J138, ""th"", ""en"")"),"A) Thai")</f>
        <v>A) Thai</v>
      </c>
      <c r="E138" s="5" t="str">
        <f>IFERROR(__xludf.DUMMYFUNCTION("GOOGLETRANSLATE(K138, ""th"", ""en"")"),"Muay Thai plays an important role in military training in Thailand.")</f>
        <v>Muay Thai plays an important role in military training in Thailand.</v>
      </c>
      <c r="G138" s="6">
        <v>137.0</v>
      </c>
      <c r="H138" s="7" t="s">
        <v>4016</v>
      </c>
      <c r="I138" s="7" t="s">
        <v>4017</v>
      </c>
      <c r="J138" s="7" t="s">
        <v>1705</v>
      </c>
      <c r="K138" s="7" t="s">
        <v>3975</v>
      </c>
    </row>
    <row r="139" ht="14.25" customHeight="1">
      <c r="A139" s="31">
        <v>138.0</v>
      </c>
      <c r="B139" s="7" t="str">
        <f>IFERROR(__xludf.DUMMYFUNCTION("GOOGLETRANSLATE(H139, ""th"", ""en"")"),"Does Muay Thai training nowadays often use technology to assist in training?")</f>
        <v>Does Muay Thai training nowadays often use technology to assist in training?</v>
      </c>
      <c r="C139" s="7" t="str">
        <f>IFERROR(__xludf.DUMMYFUNCTION("GOOGLETRANSLATE(I139, ""th"", ""en"")"),"A) Yes, it is used to develop skills; B) No, it is a traditional method of training; C) It is used only sometimes; D) It is used in every training session.")</f>
        <v>A) Yes, it is used to develop skills; B) No, it is a traditional method of training; C) It is used only sometimes; D) It is used in every training session.</v>
      </c>
      <c r="D139" s="7" t="str">
        <f>IFERROR(__xludf.DUMMYFUNCTION("GOOGLETRANSLATE(J139, ""th"", ""en"")"),"A) Yes, it is used to develop skills.")</f>
        <v>A) Yes, it is used to develop skills.</v>
      </c>
      <c r="E139" s="5" t="str">
        <f>IFERROR(__xludf.DUMMYFUNCTION("GOOGLETRANSLATE(K139, ""th"", ""en"")"),"Muay Thai training today uses technology to develop skills.")</f>
        <v>Muay Thai training today uses technology to develop skills.</v>
      </c>
      <c r="G139" s="6">
        <v>138.0</v>
      </c>
      <c r="H139" s="7" t="s">
        <v>4018</v>
      </c>
      <c r="I139" s="7" t="s">
        <v>4019</v>
      </c>
      <c r="J139" s="7" t="s">
        <v>4020</v>
      </c>
      <c r="K139" s="7" t="s">
        <v>4021</v>
      </c>
    </row>
    <row r="140" ht="14.25" customHeight="1">
      <c r="A140" s="31">
        <v>139.0</v>
      </c>
      <c r="B140" s="7" t="str">
        <f>IFERROR(__xludf.DUMMYFUNCTION("GOOGLETRANSLATE(H140, ""th"", ""en"")"),"In which era was Muay Thai used as a military training sport?")</f>
        <v>In which era was Muay Thai used as a military training sport?</v>
      </c>
      <c r="C140" s="7" t="str">
        <f>IFERROR(__xludf.DUMMYFUNCTION("GOOGLETRANSLATE(I140, ""th"", ""en"")"),"A) ancient times; B) medieval times; C) modern times; D) the reign of King Rama V")</f>
        <v>A) ancient times; B) medieval times; C) modern times; D) the reign of King Rama V</v>
      </c>
      <c r="D140" s="7" t="str">
        <f>IFERROR(__xludf.DUMMYFUNCTION("GOOGLETRANSLATE(J140, ""th"", ""en"")"),"A) Ancient times")</f>
        <v>A) Ancient times</v>
      </c>
      <c r="E140" s="5" t="str">
        <f>IFERROR(__xludf.DUMMYFUNCTION("GOOGLETRANSLATE(K140, ""th"", ""en"")"),"Muay Thai was used in military training in ancient times.")</f>
        <v>Muay Thai was used in military training in ancient times.</v>
      </c>
      <c r="G140" s="6">
        <v>139.0</v>
      </c>
      <c r="H140" s="7" t="s">
        <v>4022</v>
      </c>
      <c r="I140" s="7" t="s">
        <v>4023</v>
      </c>
      <c r="J140" s="7" t="s">
        <v>4024</v>
      </c>
      <c r="K140" s="7" t="s">
        <v>4025</v>
      </c>
    </row>
    <row r="141" ht="14.25" customHeight="1">
      <c r="A141" s="31">
        <v>140.0</v>
      </c>
      <c r="B141" s="7" t="str">
        <f>IFERROR(__xludf.DUMMYFUNCTION("GOOGLETRANSLATE(H141, ""th"", ""en"")"),"How important is the use of fists in Muay Thai?")</f>
        <v>How important is the use of fists in Muay Thai?</v>
      </c>
      <c r="C141" s="7" t="str">
        <f>IFERROR(__xludf.DUMMYFUNCTION("GOOGLETRANSLATE(I141, ""th"", ""en"")"),"A) is the primary stance for attacking; B) is used for defense; C) is an additional stance for kicking; D) is used to finish the game.")</f>
        <v>A) is the primary stance for attacking; B) is used for defense; C) is an additional stance for kicking; D) is used to finish the game.</v>
      </c>
      <c r="D141" s="7" t="str">
        <f>IFERROR(__xludf.DUMMYFUNCTION("GOOGLETRANSLATE(J141, ""th"", ""en"")"),"A) It is the main stance in attack.")</f>
        <v>A) It is the main stance in attack.</v>
      </c>
      <c r="E141" s="5" t="str">
        <f>IFERROR(__xludf.DUMMYFUNCTION("GOOGLETRANSLATE(K141, ""th"", ""en"")"),"The fist in Muay Thai is the primary attacking stance.")</f>
        <v>The fist in Muay Thai is the primary attacking stance.</v>
      </c>
      <c r="G141" s="6">
        <v>140.0</v>
      </c>
      <c r="H141" s="7" t="s">
        <v>4026</v>
      </c>
      <c r="I141" s="7" t="s">
        <v>4027</v>
      </c>
      <c r="J141" s="7" t="s">
        <v>4028</v>
      </c>
      <c r="K141" s="7" t="s">
        <v>4029</v>
      </c>
    </row>
    <row r="142" ht="14.25" customHeight="1">
      <c r="A142" s="31">
        <v>141.0</v>
      </c>
      <c r="B142" s="7" t="str">
        <f>IFERROR(__xludf.DUMMYFUNCTION("GOOGLETRANSLATE(H142, ""th"", ""en"")"),"In ancient times, when was Muay Thai used to protect the country from enemy invasions?")</f>
        <v>In ancient times, when was Muay Thai used to protect the country from enemy invasions?</v>
      </c>
      <c r="C142" s="7" t="str">
        <f>IFERROR(__xludf.DUMMYFUNCTION("GOOGLETRANSLATE(I142, ""th"", ""en"")"),"A) Sukhothai period; B) Ayutthaya period; C) Rattanakosin period; D) Thonburi period")</f>
        <v>A) Sukhothai period; B) Ayutthaya period; C) Rattanakosin period; D) Thonburi period</v>
      </c>
      <c r="D142" s="7" t="str">
        <f>IFERROR(__xludf.DUMMYFUNCTION("GOOGLETRANSLATE(J142, ""th"", ""en"")"),"B) Ayutthaya period")</f>
        <v>B) Ayutthaya period</v>
      </c>
      <c r="E142" s="5" t="str">
        <f>IFERROR(__xludf.DUMMYFUNCTION("GOOGLETRANSLATE(K142, ""th"", ""en"")"),"Muay Thai during the Ayutthaya period was used to defend the country from enemy invasions.")</f>
        <v>Muay Thai during the Ayutthaya period was used to defend the country from enemy invasions.</v>
      </c>
      <c r="G142" s="6">
        <v>141.0</v>
      </c>
      <c r="H142" s="7" t="s">
        <v>4030</v>
      </c>
      <c r="I142" s="7" t="s">
        <v>4031</v>
      </c>
      <c r="J142" s="7" t="s">
        <v>1497</v>
      </c>
      <c r="K142" s="7" t="s">
        <v>4032</v>
      </c>
    </row>
    <row r="143" ht="14.25" customHeight="1">
      <c r="A143" s="31">
        <v>142.0</v>
      </c>
      <c r="B143" s="7" t="str">
        <f>IFERROR(__xludf.DUMMYFUNCTION("GOOGLETRANSLATE(H143, ""th"", ""en"")"),"When did the use of elbows in Muay Thai begin to develop?")</f>
        <v>When did the use of elbows in Muay Thai begin to develop?</v>
      </c>
      <c r="C143" s="7" t="str">
        <f>IFERROR(__xludf.DUMMYFUNCTION("GOOGLETRANSLATE(I143, ""th"", ""en"")"),"A) Sukhothai period; B) Ayutthaya period; C) Rattanakosin period; D) King Rama V period")</f>
        <v>A) Sukhothai period; B) Ayutthaya period; C) Rattanakosin period; D) King Rama V period</v>
      </c>
      <c r="D143" s="7" t="str">
        <f>IFERROR(__xludf.DUMMYFUNCTION("GOOGLETRANSLATE(J143, ""th"", ""en"")"),"B) Ayutthaya period")</f>
        <v>B) Ayutthaya period</v>
      </c>
      <c r="E143" s="5" t="str">
        <f>IFERROR(__xludf.DUMMYFUNCTION("GOOGLETRANSLATE(K143, ""th"", ""en"")"),"The use of elbows in Muay Thai began to develop during the Ayutthaya period.")</f>
        <v>The use of elbows in Muay Thai began to develop during the Ayutthaya period.</v>
      </c>
      <c r="G143" s="6">
        <v>142.0</v>
      </c>
      <c r="H143" s="7" t="s">
        <v>4033</v>
      </c>
      <c r="I143" s="7" t="s">
        <v>4034</v>
      </c>
      <c r="J143" s="7" t="s">
        <v>1497</v>
      </c>
      <c r="K143" s="7" t="s">
        <v>4035</v>
      </c>
    </row>
    <row r="144" ht="14.25" customHeight="1">
      <c r="A144" s="31">
        <v>143.0</v>
      </c>
      <c r="B144" s="7" t="str">
        <f>IFERROR(__xludf.DUMMYFUNCTION("GOOGLETRANSLATE(H144, ""th"", ""en"")"),"When was Muay Thai developed into a competitive sport?")</f>
        <v>When was Muay Thai developed into a competitive sport?</v>
      </c>
      <c r="C144" s="7" t="str">
        <f>IFERROR(__xludf.DUMMYFUNCTION("GOOGLETRANSLATE(I144, ""th"", ""en"")"),"A) During the reign of King Rama V; B) During the reign of King Rama VI; C) During the reign of King Rama VII; D) During the reign of King Rama VIII")</f>
        <v>A) During the reign of King Rama V; B) During the reign of King Rama VI; C) During the reign of King Rama VII; D) During the reign of King Rama VIII</v>
      </c>
      <c r="D144" s="7" t="str">
        <f>IFERROR(__xludf.DUMMYFUNCTION("GOOGLETRANSLATE(J144, ""th"", ""en"")"),"A) During the reign of King Rama V")</f>
        <v>A) During the reign of King Rama V</v>
      </c>
      <c r="E144" s="5" t="str">
        <f>IFERROR(__xludf.DUMMYFUNCTION("GOOGLETRANSLATE(K144, ""th"", ""en"")"),"Muay Thai was developed into a competitive sport during the reign of King Rama V.")</f>
        <v>Muay Thai was developed into a competitive sport during the reign of King Rama V.</v>
      </c>
      <c r="G144" s="6">
        <v>143.0</v>
      </c>
      <c r="H144" s="7" t="s">
        <v>4036</v>
      </c>
      <c r="I144" s="7" t="s">
        <v>4037</v>
      </c>
      <c r="J144" s="7" t="s">
        <v>3840</v>
      </c>
      <c r="K144" s="7" t="s">
        <v>4038</v>
      </c>
    </row>
    <row r="145" ht="14.25" customHeight="1">
      <c r="A145" s="31">
        <v>144.0</v>
      </c>
      <c r="B145" s="7" t="str">
        <f>IFERROR(__xludf.DUMMYFUNCTION("GOOGLETRANSLATE(H145, ""th"", ""en"")"),"Where did Muay Thai competitions take place in the past?")</f>
        <v>Where did Muay Thai competitions take place in the past?</v>
      </c>
      <c r="C145" s="7" t="str">
        <f>IFERROR(__xludf.DUMMYFUNCTION("GOOGLETRANSLATE(I145, ""th"", ""en"")"),"A) Stadium; B) Boxing ring; C) City hall; D) School")</f>
        <v>A) Stadium; B) Boxing ring; C) City hall; D) School</v>
      </c>
      <c r="D145" s="7" t="str">
        <f>IFERROR(__xludf.DUMMYFUNCTION("GOOGLETRANSLATE(J145, ""th"", ""en"")"),"B) Boxing ring")</f>
        <v>B) Boxing ring</v>
      </c>
      <c r="E145" s="5" t="str">
        <f>IFERROR(__xludf.DUMMYFUNCTION("GOOGLETRANSLATE(K145, ""th"", ""en"")"),"In the past, Muay Thai matches often took place in boxing stadiums.")</f>
        <v>In the past, Muay Thai matches often took place in boxing stadiums.</v>
      </c>
      <c r="G145" s="6">
        <v>144.0</v>
      </c>
      <c r="H145" s="7" t="s">
        <v>4039</v>
      </c>
      <c r="I145" s="7" t="s">
        <v>4040</v>
      </c>
      <c r="J145" s="7" t="s">
        <v>4041</v>
      </c>
      <c r="K145" s="7" t="s">
        <v>4042</v>
      </c>
    </row>
    <row r="146" ht="14.25" customHeight="1">
      <c r="A146" s="31">
        <v>145.0</v>
      </c>
      <c r="B146" s="7" t="str">
        <f>IFERROR(__xludf.DUMMYFUNCTION("GOOGLETRANSLATE(H146, ""th"", ""en"")"),"Who was the first to introduce Muay Thai into international competition?")</f>
        <v>Who was the first to introduce Muay Thai into international competition?</v>
      </c>
      <c r="C146" s="7" t="str">
        <f>IFERROR(__xludf.DUMMYFUNCTION("GOOGLETRANSLATE(I146, ""th"", ""en"")"),"A) Somrak Khamsing; B) Buakaw Banchamek; C) Tiger Muay Thai; D) Narut Samsan")</f>
        <v>A) Somrak Khamsing; B) Buakaw Banchamek; C) Tiger Muay Thai; D) Narut Samsan</v>
      </c>
      <c r="D146" s="7" t="str">
        <f>IFERROR(__xludf.DUMMYFUNCTION("GOOGLETRANSLATE(J146, ""th"", ""en"")"),"B) Buakaw Banchamek")</f>
        <v>B) Buakaw Banchamek</v>
      </c>
      <c r="E146" s="5" t="str">
        <f>IFERROR(__xludf.DUMMYFUNCTION("GOOGLETRANSLATE(K146, ""th"", ""en"")"),"Buakaw Banchamek was the first Muay Thai boxer to introduce Muay Thai into international competition.")</f>
        <v>Buakaw Banchamek was the first Muay Thai boxer to introduce Muay Thai into international competition.</v>
      </c>
      <c r="G146" s="6">
        <v>145.0</v>
      </c>
      <c r="H146" s="7" t="s">
        <v>4043</v>
      </c>
      <c r="I146" s="7" t="s">
        <v>4044</v>
      </c>
      <c r="J146" s="7" t="s">
        <v>3824</v>
      </c>
      <c r="K146" s="7" t="s">
        <v>4045</v>
      </c>
    </row>
    <row r="147" ht="14.25" customHeight="1">
      <c r="A147" s="31">
        <v>146.0</v>
      </c>
      <c r="B147" s="7" t="str">
        <f>IFERROR(__xludf.DUMMYFUNCTION("GOOGLETRANSLATE(H147, ""th"", ""en"")"),"In what year was Muay Thai recognized as an international standard sport?")</f>
        <v>In what year was Muay Thai recognized as an international standard sport?</v>
      </c>
      <c r="C147" s="7" t="str">
        <f>IFERROR(__xludf.DUMMYFUNCTION("GOOGLETRANSLATE(I147, ""th"", ""en"")"),"A) 1950; B) 1960; C) 1970; D) 1980")</f>
        <v>A) 1950; B) 1960; C) 1970; D) 1980</v>
      </c>
      <c r="D147" s="7" t="str">
        <f>IFERROR(__xludf.DUMMYFUNCTION("GOOGLETRANSLATE(J147, ""th"", ""en"")"),"C) 1970")</f>
        <v>C) 1970</v>
      </c>
      <c r="E147" s="5" t="str">
        <f>IFERROR(__xludf.DUMMYFUNCTION("GOOGLETRANSLATE(K147, ""th"", ""en"")"),"Muay Thai was recognized as an international standard sport in the 1970s.")</f>
        <v>Muay Thai was recognized as an international standard sport in the 1970s.</v>
      </c>
      <c r="G147" s="6">
        <v>146.0</v>
      </c>
      <c r="H147" s="7" t="s">
        <v>4046</v>
      </c>
      <c r="I147" s="7" t="s">
        <v>1225</v>
      </c>
      <c r="J147" s="7" t="s">
        <v>1226</v>
      </c>
      <c r="K147" s="7" t="s">
        <v>4047</v>
      </c>
    </row>
    <row r="148" ht="14.25" customHeight="1">
      <c r="A148" s="31">
        <v>147.0</v>
      </c>
      <c r="B148" s="7" t="str">
        <f>IFERROR(__xludf.DUMMYFUNCTION("GOOGLETRANSLATE(H148, ""th"", ""en"")"),"What form of training was used in Muay Thai in the past?")</f>
        <v>What form of training was used in Muay Thai in the past?</v>
      </c>
      <c r="C148" s="7" t="str">
        <f>IFERROR(__xludf.DUMMYFUNCTION("GOOGLETRANSLATE(I148, ""th"", ""en"")"),"A) Pair training; B) Individual training; C) Group training; D) Competition training")</f>
        <v>A) Pair training; B) Individual training; C) Group training; D) Competition training</v>
      </c>
      <c r="D148" s="7" t="str">
        <f>IFERROR(__xludf.DUMMYFUNCTION("GOOGLETRANSLATE(J148, ""th"", ""en"")"),"A) Pair training")</f>
        <v>A) Pair training</v>
      </c>
      <c r="E148" s="5" t="str">
        <f>IFERROR(__xludf.DUMMYFUNCTION("GOOGLETRANSLATE(K148, ""th"", ""en"")"),"Muay Thai in the past was often practiced in a pair training format.")</f>
        <v>Muay Thai in the past was often practiced in a pair training format.</v>
      </c>
      <c r="G148" s="6">
        <v>147.0</v>
      </c>
      <c r="H148" s="7" t="s">
        <v>4048</v>
      </c>
      <c r="I148" s="7" t="s">
        <v>4049</v>
      </c>
      <c r="J148" s="7" t="s">
        <v>4050</v>
      </c>
      <c r="K148" s="7" t="s">
        <v>4051</v>
      </c>
    </row>
    <row r="149" ht="14.25" customHeight="1">
      <c r="A149" s="31">
        <v>148.0</v>
      </c>
      <c r="B149" s="7" t="str">
        <f>IFERROR(__xludf.DUMMYFUNCTION("GOOGLETRANSLATE(H149, ""th"", ""en"")"),"When does Muay Thai use a move called ""jumping""?")</f>
        <v>When does Muay Thai use a move called "jumping"?</v>
      </c>
      <c r="C149" s="7" t="str">
        <f>IFERROR(__xludf.DUMMYFUNCTION("GOOGLETRANSLATE(I149, ""th"", ""en"")"),"A) Ayutthaya period; B) King Rama V period; C) King Rama VII period; D) King Rama IX period")</f>
        <v>A) Ayutthaya period; B) King Rama V period; C) King Rama VII period; D) King Rama IX period</v>
      </c>
      <c r="D149" s="7" t="str">
        <f>IFERROR(__xludf.DUMMYFUNCTION("GOOGLETRANSLATE(J149, ""th"", ""en"")"),"B) During the reign of King Rama V")</f>
        <v>B) During the reign of King Rama V</v>
      </c>
      <c r="E149" s="5" t="str">
        <f>IFERROR(__xludf.DUMMYFUNCTION("GOOGLETRANSLATE(K149, ""th"", ""en"")"),"The practice of jumping in Muay Thai began to be used during the reign of King Rama V.")</f>
        <v>The practice of jumping in Muay Thai began to be used during the reign of King Rama V.</v>
      </c>
      <c r="G149" s="6">
        <v>148.0</v>
      </c>
      <c r="H149" s="7" t="s">
        <v>4052</v>
      </c>
      <c r="I149" s="7" t="s">
        <v>4053</v>
      </c>
      <c r="J149" s="7" t="s">
        <v>1634</v>
      </c>
      <c r="K149" s="7" t="s">
        <v>4054</v>
      </c>
    </row>
    <row r="150" ht="14.25" customHeight="1">
      <c r="A150" s="31">
        <v>149.0</v>
      </c>
      <c r="B150" s="7" t="str">
        <f>IFERROR(__xludf.DUMMYFUNCTION("GOOGLETRANSLATE(H150, ""th"", ""en"")"),"When did Muay Thai first gain international recognition?")</f>
        <v>When did Muay Thai first gain international recognition?</v>
      </c>
      <c r="C150" s="7" t="str">
        <f>IFERROR(__xludf.DUMMYFUNCTION("GOOGLETRANSLATE(I150, ""th"", ""en"")"),"A) 1940s; B) 1950s; C) 1960s; D) 1970s")</f>
        <v>A) 1940s; B) 1950s; C) 1960s; D) 1970s</v>
      </c>
      <c r="D150" s="7" t="str">
        <f>IFERROR(__xludf.DUMMYFUNCTION("GOOGLETRANSLATE(J150, ""th"", ""en"")"),"C) 1960s")</f>
        <v>C) 1960s</v>
      </c>
      <c r="E150" s="5" t="str">
        <f>IFERROR(__xludf.DUMMYFUNCTION("GOOGLETRANSLATE(K150, ""th"", ""en"")"),"Muay Thai began to gain international recognition in the 1960s.")</f>
        <v>Muay Thai began to gain international recognition in the 1960s.</v>
      </c>
      <c r="G150" s="6">
        <v>149.0</v>
      </c>
      <c r="H150" s="7" t="s">
        <v>4055</v>
      </c>
      <c r="I150" s="7" t="s">
        <v>4056</v>
      </c>
      <c r="J150" s="7" t="s">
        <v>1266</v>
      </c>
      <c r="K150" s="7" t="s">
        <v>4057</v>
      </c>
    </row>
    <row r="151" ht="14.25" customHeight="1">
      <c r="A151" s="31">
        <v>150.0</v>
      </c>
      <c r="B151" s="7" t="str">
        <f>IFERROR(__xludf.DUMMYFUNCTION("GOOGLETRANSLATE(H151, ""th"", ""en"")"),"When did the use of knees in Muay Thai begin to develop?")</f>
        <v>When did the use of knees in Muay Thai begin to develop?</v>
      </c>
      <c r="C151" s="7" t="str">
        <f>IFERROR(__xludf.DUMMYFUNCTION("GOOGLETRANSLATE(I151, ""th"", ""en"")"),"A) Ayutthaya period; B) Rattanakosin period; C) King Rama VI period; D) King Rama V period")</f>
        <v>A) Ayutthaya period; B) Rattanakosin period; C) King Rama VI period; D) King Rama V period</v>
      </c>
      <c r="D151" s="7" t="str">
        <f>IFERROR(__xludf.DUMMYFUNCTION("GOOGLETRANSLATE(J151, ""th"", ""en"")"),"A) Ayutthaya period")</f>
        <v>A) Ayutthaya period</v>
      </c>
      <c r="E151" s="5" t="str">
        <f>IFERROR(__xludf.DUMMYFUNCTION("GOOGLETRANSLATE(K151, ""th"", ""en"")"),"The use of knees in Muay Thai began to develop during the Ayutthaya period.")</f>
        <v>The use of knees in Muay Thai began to develop during the Ayutthaya period.</v>
      </c>
      <c r="G151" s="6">
        <v>150.0</v>
      </c>
      <c r="H151" s="7" t="s">
        <v>4058</v>
      </c>
      <c r="I151" s="7" t="s">
        <v>4059</v>
      </c>
      <c r="J151" s="7" t="s">
        <v>970</v>
      </c>
      <c r="K151" s="7" t="s">
        <v>4060</v>
      </c>
    </row>
    <row r="152" ht="14.25" customHeight="1">
      <c r="A152" s="31">
        <v>151.0</v>
      </c>
      <c r="B152" s="7" t="str">
        <f>IFERROR(__xludf.DUMMYFUNCTION("GOOGLETRANSLATE(H152, ""th"", ""en"")"),"What is the main focus of Muay Thai training in the present era?")</f>
        <v>What is the main focus of Muay Thai training in the present era?</v>
      </c>
      <c r="C152" s="7" t="str">
        <f>IFERROR(__xludf.DUMMYFUNCTION("GOOGLETRANSLATE(I152, ""th"", ""en"")"),"A) Posture and movement training; B) Footwork training; C) Elbow training; D) Mental power training")</f>
        <v>A) Posture and movement training; B) Footwork training; C) Elbow training; D) Mental power training</v>
      </c>
      <c r="D152" s="7" t="str">
        <f>IFERROR(__xludf.DUMMYFUNCTION("GOOGLETRANSLATE(J152, ""th"", ""en"")"),"A) Posture and movement training")</f>
        <v>A) Posture and movement training</v>
      </c>
      <c r="E152" s="5" t="str">
        <f>IFERROR(__xludf.DUMMYFUNCTION("GOOGLETRANSLATE(K152, ""th"", ""en"")"),"Modern Muay Thai training emphasizes posture and movement training.")</f>
        <v>Modern Muay Thai training emphasizes posture and movement training.</v>
      </c>
      <c r="G152" s="6">
        <v>151.0</v>
      </c>
      <c r="H152" s="7" t="s">
        <v>4061</v>
      </c>
      <c r="I152" s="7" t="s">
        <v>4062</v>
      </c>
      <c r="J152" s="7" t="s">
        <v>4063</v>
      </c>
      <c r="K152" s="7" t="s">
        <v>4064</v>
      </c>
    </row>
    <row r="153" ht="14.25" customHeight="1">
      <c r="A153" s="31">
        <v>152.0</v>
      </c>
      <c r="B153" s="7" t="str">
        <f>IFERROR(__xludf.DUMMYFUNCTION("GOOGLETRANSLATE(H153, ""th"", ""en"")"),"When did the use of elbows in Muay Thai become popular?")</f>
        <v>When did the use of elbows in Muay Thai become popular?</v>
      </c>
      <c r="C153" s="7" t="str">
        <f>IFERROR(__xludf.DUMMYFUNCTION("GOOGLETRANSLATE(I153, ""th"", ""en"")"),"A) Ayutthaya period; B) King Rama V period; C) King Rama VII period; D) King Rama IX period")</f>
        <v>A) Ayutthaya period; B) King Rama V period; C) King Rama VII period; D) King Rama IX period</v>
      </c>
      <c r="D153" s="7" t="str">
        <f>IFERROR(__xludf.DUMMYFUNCTION("GOOGLETRANSLATE(J153, ""th"", ""en"")"),"A) Ayutthaya period")</f>
        <v>A) Ayutthaya period</v>
      </c>
      <c r="E153" s="5" t="str">
        <f>IFERROR(__xludf.DUMMYFUNCTION("GOOGLETRANSLATE(K153, ""th"", ""en"")"),"The use of elbows in Muay Thai began to become popular during the Ayutthaya period.")</f>
        <v>The use of elbows in Muay Thai began to become popular during the Ayutthaya period.</v>
      </c>
      <c r="G153" s="6">
        <v>152.0</v>
      </c>
      <c r="H153" s="7" t="s">
        <v>4065</v>
      </c>
      <c r="I153" s="7" t="s">
        <v>4053</v>
      </c>
      <c r="J153" s="7" t="s">
        <v>970</v>
      </c>
      <c r="K153" s="7" t="s">
        <v>4066</v>
      </c>
    </row>
    <row r="154" ht="14.25" customHeight="1">
      <c r="A154" s="31">
        <v>153.0</v>
      </c>
      <c r="B154" s="7" t="str">
        <f>IFERROR(__xludf.DUMMYFUNCTION("GOOGLETRANSLATE(H154, ""th"", ""en"")"),"In which country does Muay Thai play an important role in military training?")</f>
        <v>In which country does Muay Thai play an important role in military training?</v>
      </c>
      <c r="C154" s="7" t="str">
        <f>IFERROR(__xludf.DUMMYFUNCTION("GOOGLETRANSLATE(I154, ""th"", ""en"")"),"A) Thailand; B) Myanmar; C) Cambodia; D) Laos")</f>
        <v>A) Thailand; B) Myanmar; C) Cambodia; D) Laos</v>
      </c>
      <c r="D154" s="7" t="str">
        <f>IFERROR(__xludf.DUMMYFUNCTION("GOOGLETRANSLATE(J154, ""th"", ""en"")"),"A) Thai")</f>
        <v>A) Thai</v>
      </c>
      <c r="E154" s="5" t="str">
        <f>IFERROR(__xludf.DUMMYFUNCTION("GOOGLETRANSLATE(K154, ""th"", ""en"")"),"Muay Thai plays an important role in military training in Thailand.")</f>
        <v>Muay Thai plays an important role in military training in Thailand.</v>
      </c>
      <c r="G154" s="6">
        <v>153.0</v>
      </c>
      <c r="H154" s="7" t="s">
        <v>4016</v>
      </c>
      <c r="I154" s="7" t="s">
        <v>4067</v>
      </c>
      <c r="J154" s="7" t="s">
        <v>1705</v>
      </c>
      <c r="K154" s="7" t="s">
        <v>3975</v>
      </c>
    </row>
    <row r="155" ht="14.25" customHeight="1">
      <c r="A155" s="31">
        <v>154.0</v>
      </c>
      <c r="B155" s="7" t="str">
        <f>IFERROR(__xludf.DUMMYFUNCTION("GOOGLETRANSLATE(H155, ""th"", ""en"")"),"When did Muay Thai begin to be developed seriously as a sport?")</f>
        <v>When did Muay Thai begin to be developed seriously as a sport?</v>
      </c>
      <c r="C155" s="7" t="str">
        <f>IFERROR(__xludf.DUMMYFUNCTION("GOOGLETRANSLATE(I155, ""th"", ""en"")"),"A) 1900s; B) 1950s; C) 1960s; D) 1970s")</f>
        <v>A) 1900s; B) 1950s; C) 1960s; D) 1970s</v>
      </c>
      <c r="D155" s="7" t="str">
        <f>IFERROR(__xludf.DUMMYFUNCTION("GOOGLETRANSLATE(J155, ""th"", ""en"")"),"D) 1970s")</f>
        <v>D) 1970s</v>
      </c>
      <c r="E155" s="5" t="str">
        <f>IFERROR(__xludf.DUMMYFUNCTION("GOOGLETRANSLATE(K155, ""th"", ""en"")"),"Muay Thai began to be developed seriously as a sport in the 1970s.")</f>
        <v>Muay Thai began to be developed seriously as a sport in the 1970s.</v>
      </c>
      <c r="G155" s="6">
        <v>154.0</v>
      </c>
      <c r="H155" s="7" t="s">
        <v>4068</v>
      </c>
      <c r="I155" s="7" t="s">
        <v>4069</v>
      </c>
      <c r="J155" s="7" t="s">
        <v>3969</v>
      </c>
      <c r="K155" s="7" t="s">
        <v>4070</v>
      </c>
    </row>
    <row r="156" ht="14.25" customHeight="1">
      <c r="A156" s="31">
        <v>155.0</v>
      </c>
      <c r="B156" s="7" t="str">
        <f>IFERROR(__xludf.DUMMYFUNCTION("GOOGLETRANSLATE(H156, ""th"", ""en"")"),"Did traditional Muay Thai training focus on learning from real opponents?")</f>
        <v>Did traditional Muay Thai training focus on learning from real opponents?</v>
      </c>
      <c r="C156" s="7" t="str">
        <f>IFERROR(__xludf.DUMMYFUNCTION("GOOGLETRANSLATE(I156, ""th"", ""en"")"),"A) Yes, training with real opponents is an important part of training; B) No, training will involve learning from textbooks or teachers; C) Yes, but not very often; D) No, training will involve only movement training.")</f>
        <v>A) Yes, training with real opponents is an important part of training; B) No, training will involve learning from textbooks or teachers; C) Yes, but not very often; D) No, training will involve only movement training.</v>
      </c>
      <c r="D156" s="7" t="str">
        <f>IFERROR(__xludf.DUMMYFUNCTION("GOOGLETRANSLATE(J156, ""th"", ""en"")"),"A) Yes, training with real opponents is an important part of training.")</f>
        <v>A) Yes, training with real opponents is an important part of training.</v>
      </c>
      <c r="E156" s="5" t="str">
        <f>IFERROR(__xludf.DUMMYFUNCTION("GOOGLETRANSLATE(K156, ""th"", ""en"")"),"Muay Thai training in the past focused on learning from training with real opponents.")</f>
        <v>Muay Thai training in the past focused on learning from training with real opponents.</v>
      </c>
      <c r="G156" s="6">
        <v>155.0</v>
      </c>
      <c r="H156" s="7" t="s">
        <v>4071</v>
      </c>
      <c r="I156" s="7" t="s">
        <v>4072</v>
      </c>
      <c r="J156" s="7" t="s">
        <v>4073</v>
      </c>
      <c r="K156" s="7" t="s">
        <v>4074</v>
      </c>
    </row>
    <row r="157" ht="14.25" customHeight="1">
      <c r="A157" s="31">
        <v>156.0</v>
      </c>
      <c r="B157" s="7" t="str">
        <f>IFERROR(__xludf.DUMMYFUNCTION("GOOGLETRANSLATE(H157, ""th"", ""en"")"),"When did Muay Thai begin to gain popularity abroad?")</f>
        <v>When did Muay Thai begin to gain popularity abroad?</v>
      </c>
      <c r="C157" s="7" t="str">
        <f>IFERROR(__xludf.DUMMYFUNCTION("GOOGLETRANSLATE(I157, ""th"", ""en"")"),"A) 1940s; B) 1950s; C) 1970s; D) 1980s")</f>
        <v>A) 1940s; B) 1950s; C) 1970s; D) 1980s</v>
      </c>
      <c r="D157" s="7" t="str">
        <f>IFERROR(__xludf.DUMMYFUNCTION("GOOGLETRANSLATE(J157, ""th"", ""en"")"),"C) 1970s")</f>
        <v>C) 1970s</v>
      </c>
      <c r="E157" s="5" t="str">
        <f>IFERROR(__xludf.DUMMYFUNCTION("GOOGLETRANSLATE(K157, ""th"", ""en"")"),"Muay Thai began to gain popularity abroad in the 1970s.")</f>
        <v>Muay Thai began to gain popularity abroad in the 1970s.</v>
      </c>
      <c r="G157" s="6">
        <v>156.0</v>
      </c>
      <c r="H157" s="7" t="s">
        <v>4075</v>
      </c>
      <c r="I157" s="7" t="s">
        <v>4076</v>
      </c>
      <c r="J157" s="7" t="s">
        <v>3962</v>
      </c>
      <c r="K157" s="7" t="s">
        <v>3642</v>
      </c>
    </row>
    <row r="158" ht="14.25" customHeight="1">
      <c r="A158" s="31">
        <v>157.0</v>
      </c>
      <c r="B158" s="7" t="str">
        <f>IFERROR(__xludf.DUMMYFUNCTION("GOOGLETRANSLATE(H158, ""th"", ""en"")"),"Who is the Muay Thai boxer who is credited with developing the fighting techniques in Muay Thai?")</f>
        <v>Who is the Muay Thai boxer who is credited with developing the fighting techniques in Muay Thai?</v>
      </c>
      <c r="C158" s="7" t="str">
        <f>IFERROR(__xludf.DUMMYFUNCTION("GOOGLETRANSLATE(I158, ""th"", ""en"")"),"A) Somrak Khamsing; B) Buakaw Banchamek; C) Rachanon Songwanrat; D) Phichit Muay Thai")</f>
        <v>A) Somrak Khamsing; B) Buakaw Banchamek; C) Rachanon Songwanrat; D) Phichit Muay Thai</v>
      </c>
      <c r="D158" s="7" t="str">
        <f>IFERROR(__xludf.DUMMYFUNCTION("GOOGLETRANSLATE(J158, ""th"", ""en"")"),"B) Buakaw Banchamek")</f>
        <v>B) Buakaw Banchamek</v>
      </c>
      <c r="E158" s="5" t="str">
        <f>IFERROR(__xludf.DUMMYFUNCTION("GOOGLETRANSLATE(K158, ""th"", ""en"")"),"Buakaw Banchamek is credited with developing the fighting techniques in Muay Thai.")</f>
        <v>Buakaw Banchamek is credited with developing the fighting techniques in Muay Thai.</v>
      </c>
      <c r="G158" s="6">
        <v>157.0</v>
      </c>
      <c r="H158" s="7" t="s">
        <v>4077</v>
      </c>
      <c r="I158" s="7" t="s">
        <v>3965</v>
      </c>
      <c r="J158" s="7" t="s">
        <v>3824</v>
      </c>
      <c r="K158" s="7" t="s">
        <v>4078</v>
      </c>
    </row>
    <row r="159" ht="14.25" customHeight="1">
      <c r="A159" s="31">
        <v>158.0</v>
      </c>
      <c r="B159" s="7" t="str">
        <f>IFERROR(__xludf.DUMMYFUNCTION("GOOGLETRANSLATE(H159, ""th"", ""en"")"),"When did Muay Thai begin to be taught in schools and universities in Thailand?")</f>
        <v>When did Muay Thai begin to be taught in schools and universities in Thailand?</v>
      </c>
      <c r="C159" s="7" t="str">
        <f>IFERROR(__xludf.DUMMYFUNCTION("GOOGLETRANSLATE(I159, ""th"", ""en"")"),"A) Ayutthaya period; B) Rattanakosin period; C) King Rama V period; D) King Rama VII period")</f>
        <v>A) Ayutthaya period; B) Rattanakosin period; C) King Rama V period; D) King Rama VII period</v>
      </c>
      <c r="D159" s="7" t="str">
        <f>IFERROR(__xludf.DUMMYFUNCTION("GOOGLETRANSLATE(J159, ""th"", ""en"")"),"C) During the reign of King Rama V")</f>
        <v>C) During the reign of King Rama V</v>
      </c>
      <c r="E159" s="5" t="str">
        <f>IFERROR(__xludf.DUMMYFUNCTION("GOOGLETRANSLATE(K159, ""th"", ""en"")"),"Muay Thai began to be taught in schools and universities during the reign of King Rama V.")</f>
        <v>Muay Thai began to be taught in schools and universities during the reign of King Rama V.</v>
      </c>
      <c r="G159" s="6">
        <v>158.0</v>
      </c>
      <c r="H159" s="7" t="s">
        <v>4079</v>
      </c>
      <c r="I159" s="7" t="s">
        <v>4080</v>
      </c>
      <c r="J159" s="7" t="s">
        <v>1858</v>
      </c>
      <c r="K159" s="7" t="s">
        <v>4081</v>
      </c>
    </row>
    <row r="160" ht="14.25" customHeight="1">
      <c r="A160" s="31">
        <v>159.0</v>
      </c>
      <c r="B160" s="7" t="str">
        <f>IFERROR(__xludf.DUMMYFUNCTION("GOOGLETRANSLATE(H160, ""th"", ""en"")"),"In the past, what tools were used for Muay Thai training?")</f>
        <v>In the past, what tools were used for Muay Thai training?</v>
      </c>
      <c r="C160" s="7" t="str">
        <f>IFERROR(__xludf.DUMMYFUNCTION("GOOGLETRANSLATE(I160, ""th"", ""en"")"),"A) gun; B) sword; C) gloves; D) sandbag")</f>
        <v>A) gun; B) sword; C) gloves; D) sandbag</v>
      </c>
      <c r="D160" s="7" t="str">
        <f>IFERROR(__xludf.DUMMYFUNCTION("GOOGLETRANSLATE(J160, ""th"", ""en"")"),"D) Sandbag")</f>
        <v>D) Sandbag</v>
      </c>
      <c r="E160" s="5" t="str">
        <f>IFERROR(__xludf.DUMMYFUNCTION("GOOGLETRANSLATE(K160, ""th"", ""en"")"),"In the past, Muay Thai often used sandbags for training.")</f>
        <v>In the past, Muay Thai often used sandbags for training.</v>
      </c>
      <c r="G160" s="6">
        <v>159.0</v>
      </c>
      <c r="H160" s="7" t="s">
        <v>4082</v>
      </c>
      <c r="I160" s="7" t="s">
        <v>4083</v>
      </c>
      <c r="J160" s="7" t="s">
        <v>4084</v>
      </c>
      <c r="K160" s="7" t="s">
        <v>4085</v>
      </c>
    </row>
    <row r="161" ht="14.25" customHeight="1">
      <c r="A161" s="31">
        <v>160.0</v>
      </c>
      <c r="B161" s="7" t="str">
        <f>IFERROR(__xludf.DUMMYFUNCTION("GOOGLETRANSLATE(H161, ""th"", ""en"")"),"When did Muay Thai develop into an internationally recognized sport?")</f>
        <v>When did Muay Thai develop into an internationally recognized sport?</v>
      </c>
      <c r="C161" s="7" t="str">
        <f>IFERROR(__xludf.DUMMYFUNCTION("GOOGLETRANSLATE(I161, ""th"", ""en"")"),"A) During the reign of King Rama V; B) During the 1960s; C) During the 1970s; D) During the 1980s")</f>
        <v>A) During the reign of King Rama V; B) During the 1960s; C) During the 1970s; D) During the 1980s</v>
      </c>
      <c r="D161" s="7" t="str">
        <f>IFERROR(__xludf.DUMMYFUNCTION("GOOGLETRANSLATE(J161, ""th"", ""en"")"),"B) 1960s")</f>
        <v>B) 1960s</v>
      </c>
      <c r="E161" s="5" t="str">
        <f>IFERROR(__xludf.DUMMYFUNCTION("GOOGLETRANSLATE(K161, ""th"", ""en"")"),"Muay Thai was developed into a standardized sport on an international level in the 1960s.")</f>
        <v>Muay Thai was developed into a standardized sport on an international level in the 1960s.</v>
      </c>
      <c r="G161" s="6">
        <v>160.0</v>
      </c>
      <c r="H161" s="7" t="s">
        <v>4086</v>
      </c>
      <c r="I161" s="7" t="s">
        <v>4087</v>
      </c>
      <c r="J161" s="7" t="s">
        <v>4088</v>
      </c>
      <c r="K161" s="7" t="s">
        <v>4089</v>
      </c>
    </row>
    <row r="162" ht="14.25" customHeight="1">
      <c r="A162" s="31">
        <v>161.0</v>
      </c>
      <c r="B162" s="7" t="str">
        <f>IFERROR(__xludf.DUMMYFUNCTION("GOOGLETRANSLATE(H162, ""th"", ""en"")"),"In which year was Muay Thai developed into a world-class competitive sport?")</f>
        <v>In which year was Muay Thai developed into a world-class competitive sport?</v>
      </c>
      <c r="C162" s="7" t="str">
        <f>IFERROR(__xludf.DUMMYFUNCTION("GOOGLETRANSLATE(I162, ""th"", ""en"")"),"A) 1960; B) 1970; C) 1980; D) 1990")</f>
        <v>A) 1960; B) 1970; C) 1980; D) 1990</v>
      </c>
      <c r="D162" s="7" t="str">
        <f>IFERROR(__xludf.DUMMYFUNCTION("GOOGLETRANSLATE(J162, ""th"", ""en"")"),"B) 1970")</f>
        <v>B) 1970</v>
      </c>
      <c r="E162" s="5" t="str">
        <f>IFERROR(__xludf.DUMMYFUNCTION("GOOGLETRANSLATE(K162, ""th"", ""en"")"),"Muay Thai began to develop into a world-class competitive sport in the 1970s.")</f>
        <v>Muay Thai began to develop into a world-class competitive sport in the 1970s.</v>
      </c>
      <c r="G162" s="6">
        <v>161.0</v>
      </c>
      <c r="H162" s="7" t="s">
        <v>4090</v>
      </c>
      <c r="I162" s="7" t="s">
        <v>1072</v>
      </c>
      <c r="J162" s="7" t="s">
        <v>1073</v>
      </c>
      <c r="K162" s="7" t="s">
        <v>4091</v>
      </c>
    </row>
    <row r="163" ht="14.25" customHeight="1">
      <c r="A163" s="31">
        <v>162.0</v>
      </c>
      <c r="B163" s="7" t="str">
        <f>IFERROR(__xludf.DUMMYFUNCTION("GOOGLETRANSLATE(H163, ""th"", ""en"")"),"When did Muay Thai become officially recognized as a sport in Thailand?")</f>
        <v>When did Muay Thai become officially recognized as a sport in Thailand?</v>
      </c>
      <c r="C163" s="7" t="str">
        <f>IFERROR(__xludf.DUMMYFUNCTION("GOOGLETRANSLATE(I163, ""th"", ""en"")"),"A) Ayutthaya period; B) King Rama V period; C) King Rama VII period; D) King Rama IX period")</f>
        <v>A) Ayutthaya period; B) King Rama V period; C) King Rama VII period; D) King Rama IX period</v>
      </c>
      <c r="D163" s="7" t="str">
        <f>IFERROR(__xludf.DUMMYFUNCTION("GOOGLETRANSLATE(J163, ""th"", ""en"")"),"B) During the reign of King Rama V")</f>
        <v>B) During the reign of King Rama V</v>
      </c>
      <c r="E163" s="5" t="str">
        <f>IFERROR(__xludf.DUMMYFUNCTION("GOOGLETRANSLATE(K163, ""th"", ""en"")"),"Muay Thai fighting was accepted into the sports world in Thailand during the reign of King Rama V.")</f>
        <v>Muay Thai fighting was accepted into the sports world in Thailand during the reign of King Rama V.</v>
      </c>
      <c r="G163" s="6">
        <v>162.0</v>
      </c>
      <c r="H163" s="7" t="s">
        <v>4092</v>
      </c>
      <c r="I163" s="7" t="s">
        <v>4053</v>
      </c>
      <c r="J163" s="7" t="s">
        <v>1634</v>
      </c>
      <c r="K163" s="7" t="s">
        <v>4093</v>
      </c>
    </row>
    <row r="164" ht="14.25" customHeight="1">
      <c r="A164" s="31">
        <v>163.0</v>
      </c>
      <c r="B164" s="7" t="str">
        <f>IFERROR(__xludf.DUMMYFUNCTION("GOOGLETRANSLATE(H164, ""th"", ""en"")"),"In which year did Muay Thai gain international recognition?")</f>
        <v>In which year did Muay Thai gain international recognition?</v>
      </c>
      <c r="C164" s="7" t="str">
        <f>IFERROR(__xludf.DUMMYFUNCTION("GOOGLETRANSLATE(I164, ""th"", ""en"")"),"A) 1970; B) 1980; C) 1990; D) 2000")</f>
        <v>A) 1970; B) 1980; C) 1990; D) 2000</v>
      </c>
      <c r="D164" s="7" t="str">
        <f>IFERROR(__xludf.DUMMYFUNCTION("GOOGLETRANSLATE(J164, ""th"", ""en"")"),"A) 1970")</f>
        <v>A) 1970</v>
      </c>
      <c r="E164" s="5" t="str">
        <f>IFERROR(__xludf.DUMMYFUNCTION("GOOGLETRANSLATE(K164, ""th"", ""en"")"),"Muay Thai gained international recognition in the 1970s.")</f>
        <v>Muay Thai gained international recognition in the 1970s.</v>
      </c>
      <c r="G164" s="6">
        <v>163.0</v>
      </c>
      <c r="H164" s="7" t="s">
        <v>4094</v>
      </c>
      <c r="I164" s="7" t="s">
        <v>1455</v>
      </c>
      <c r="J164" s="7" t="s">
        <v>3304</v>
      </c>
      <c r="K164" s="7" t="s">
        <v>4095</v>
      </c>
    </row>
    <row r="165" ht="14.25" customHeight="1">
      <c r="A165" s="31">
        <v>164.0</v>
      </c>
      <c r="B165" s="7" t="str">
        <f>IFERROR(__xludf.DUMMYFUNCTION("GOOGLETRANSLATE(H165, ""th"", ""en"")"),"In ancient times, how did Thai boxers train their skills?")</f>
        <v>In ancient times, how did Thai boxers train their skills?</v>
      </c>
      <c r="C165" s="7" t="str">
        <f>IFERROR(__xludf.DUMMYFUNCTION("GOOGLETRANSLATE(I165, ""th"", ""en"")"),"A) Training in the boxing ring; B) Training with real opponents; C) Training in the classroom; D) Training with equipment.")</f>
        <v>A) Training in the boxing ring; B) Training with real opponents; C) Training in the classroom; D) Training with equipment.</v>
      </c>
      <c r="D165" s="7" t="str">
        <f>IFERROR(__xludf.DUMMYFUNCTION("GOOGLETRANSLATE(J165, ""th"", ""en"")"),"B) Training with real opponents")</f>
        <v>B) Training with real opponents</v>
      </c>
      <c r="E165" s="5" t="str">
        <f>IFERROR(__xludf.DUMMYFUNCTION("GOOGLETRANSLATE(K165, ""th"", ""en"")"),"In ancient times, Thai boxers trained their skills by training with real opponents.")</f>
        <v>In ancient times, Thai boxers trained their skills by training with real opponents.</v>
      </c>
      <c r="G165" s="6">
        <v>164.0</v>
      </c>
      <c r="H165" s="7" t="s">
        <v>4096</v>
      </c>
      <c r="I165" s="7" t="s">
        <v>4097</v>
      </c>
      <c r="J165" s="7" t="s">
        <v>4098</v>
      </c>
      <c r="K165" s="7" t="s">
        <v>4099</v>
      </c>
    </row>
    <row r="166" ht="14.25" customHeight="1">
      <c r="A166" s="31">
        <v>165.0</v>
      </c>
      <c r="B166" s="7" t="str">
        <f>IFERROR(__xludf.DUMMYFUNCTION("GOOGLETRANSLATE(H166, ""th"", ""en"")"),"When was the use of various techniques in Muay Thai developed?")</f>
        <v>When was the use of various techniques in Muay Thai developed?</v>
      </c>
      <c r="C166" s="7" t="str">
        <f>IFERROR(__xludf.DUMMYFUNCTION("GOOGLETRANSLATE(I166, ""th"", ""en"")"),"A) Sukhothai period; B) Ayutthaya period; C) Rattanakosin period; D) King Rama V period")</f>
        <v>A) Sukhothai period; B) Ayutthaya period; C) Rattanakosin period; D) King Rama V period</v>
      </c>
      <c r="D166" s="7" t="str">
        <f>IFERROR(__xludf.DUMMYFUNCTION("GOOGLETRANSLATE(J166, ""th"", ""en"")"),"B) Ayutthaya period")</f>
        <v>B) Ayutthaya period</v>
      </c>
      <c r="E166" s="5" t="str">
        <f>IFERROR(__xludf.DUMMYFUNCTION("GOOGLETRANSLATE(K166, ""th"", ""en"")"),"Various techniques in Muay Thai were developed during the Ayutthaya period.")</f>
        <v>Various techniques in Muay Thai were developed during the Ayutthaya period.</v>
      </c>
      <c r="G166" s="6">
        <v>165.0</v>
      </c>
      <c r="H166" s="7" t="s">
        <v>4100</v>
      </c>
      <c r="I166" s="7" t="s">
        <v>4034</v>
      </c>
      <c r="J166" s="7" t="s">
        <v>1497</v>
      </c>
      <c r="K166" s="7" t="s">
        <v>4101</v>
      </c>
    </row>
    <row r="167" ht="14.25" customHeight="1">
      <c r="A167" s="31">
        <v>166.0</v>
      </c>
      <c r="B167" s="7" t="str">
        <f>IFERROR(__xludf.DUMMYFUNCTION("GOOGLETRANSLATE(H167, ""th"", ""en"")"),"When did Muay Thai begin to be held in foreign countries?")</f>
        <v>When did Muay Thai begin to be held in foreign countries?</v>
      </c>
      <c r="C167" s="7" t="str">
        <f>IFERROR(__xludf.DUMMYFUNCTION("GOOGLETRANSLATE(I167, ""th"", ""en"")"),"A) 1950; B) 1960; C) 1970; D) 1980")</f>
        <v>A) 1950; B) 1960; C) 1970; D) 1980</v>
      </c>
      <c r="D167" s="7" t="str">
        <f>IFERROR(__xludf.DUMMYFUNCTION("GOOGLETRANSLATE(J167, ""th"", ""en"")"),"C) 1970")</f>
        <v>C) 1970</v>
      </c>
      <c r="E167" s="5" t="str">
        <f>IFERROR(__xludf.DUMMYFUNCTION("GOOGLETRANSLATE(K167, ""th"", ""en"")"),"Muay Thai began to be held in international competitions in the 1970s.")</f>
        <v>Muay Thai began to be held in international competitions in the 1970s.</v>
      </c>
      <c r="G167" s="6">
        <v>166.0</v>
      </c>
      <c r="H167" s="7" t="s">
        <v>4102</v>
      </c>
      <c r="I167" s="7" t="s">
        <v>1225</v>
      </c>
      <c r="J167" s="7" t="s">
        <v>1226</v>
      </c>
      <c r="K167" s="7" t="s">
        <v>4103</v>
      </c>
    </row>
    <row r="168" ht="14.25" customHeight="1">
      <c r="A168" s="31">
        <v>167.0</v>
      </c>
      <c r="B168" s="7" t="str">
        <f>IFERROR(__xludf.DUMMYFUNCTION("GOOGLETRANSLATE(H168, ""th"", ""en"")"),"In the past, what kind of movements did Muay Thai use in fighting?")</f>
        <v>In the past, what kind of movements did Muay Thai use in fighting?</v>
      </c>
      <c r="C168" s="7" t="str">
        <f>IFERROR(__xludf.DUMMYFUNCTION("GOOGLETRANSLATE(I168, ""th"", ""en"")"),"A) Using spinning techniques; B) Using high kick techniques; C) Using quick physical movements; D) Using circular kicks.")</f>
        <v>A) Using spinning techniques; B) Using high kick techniques; C) Using quick physical movements; D) Using circular kicks.</v>
      </c>
      <c r="D168" s="7" t="str">
        <f>IFERROR(__xludf.DUMMYFUNCTION("GOOGLETRANSLATE(J168, ""th"", ""en"")"),"C) Using rapid physical movements")</f>
        <v>C) Using rapid physical movements</v>
      </c>
      <c r="E168" s="5" t="str">
        <f>IFERROR(__xludf.DUMMYFUNCTION("GOOGLETRANSLATE(K168, ""th"", ""en"")"),"Muay Thai in the past used fast physical movements.")</f>
        <v>Muay Thai in the past used fast physical movements.</v>
      </c>
      <c r="G168" s="6">
        <v>167.0</v>
      </c>
      <c r="H168" s="7" t="s">
        <v>4104</v>
      </c>
      <c r="I168" s="7" t="s">
        <v>4105</v>
      </c>
      <c r="J168" s="7" t="s">
        <v>4106</v>
      </c>
      <c r="K168" s="7" t="s">
        <v>4107</v>
      </c>
    </row>
    <row r="169" ht="14.25" customHeight="1">
      <c r="A169" s="31">
        <v>168.0</v>
      </c>
      <c r="B169" s="7" t="str">
        <f>IFERROR(__xludf.DUMMYFUNCTION("GOOGLETRANSLATE(H169, ""th"", ""en"")"),"When did Muay Thai begin to be trained in the school system?")</f>
        <v>When did Muay Thai begin to be trained in the school system?</v>
      </c>
      <c r="C169" s="7" t="str">
        <f>IFERROR(__xludf.DUMMYFUNCTION("GOOGLETRANSLATE(I169, ""th"", ""en"")"),"A) Ayutthaya period; B) King Rama V period; C) King Rama VII period; D) King Rama IX period")</f>
        <v>A) Ayutthaya period; B) King Rama V period; C) King Rama VII period; D) King Rama IX period</v>
      </c>
      <c r="D169" s="7" t="str">
        <f>IFERROR(__xludf.DUMMYFUNCTION("GOOGLETRANSLATE(J169, ""th"", ""en"")"),"B) During the reign of King Rama V")</f>
        <v>B) During the reign of King Rama V</v>
      </c>
      <c r="E169" s="5" t="str">
        <f>IFERROR(__xludf.DUMMYFUNCTION("GOOGLETRANSLATE(K169, ""th"", ""en"")"),"Muay Thai began to be trained in the school system during the reign of King Rama V.")</f>
        <v>Muay Thai began to be trained in the school system during the reign of King Rama V.</v>
      </c>
      <c r="G169" s="6">
        <v>168.0</v>
      </c>
      <c r="H169" s="7" t="s">
        <v>4108</v>
      </c>
      <c r="I169" s="7" t="s">
        <v>4053</v>
      </c>
      <c r="J169" s="7" t="s">
        <v>1634</v>
      </c>
      <c r="K169" s="7" t="s">
        <v>4109</v>
      </c>
    </row>
    <row r="170" ht="14.25" customHeight="1">
      <c r="A170" s="31">
        <v>169.0</v>
      </c>
      <c r="B170" s="7" t="str">
        <f>IFERROR(__xludf.DUMMYFUNCTION("GOOGLETRANSLATE(H170, ""th"", ""en"")"),"In what year did Muay Thai begin to gain international recognition as a sport?")</f>
        <v>In what year did Muay Thai begin to gain international recognition as a sport?</v>
      </c>
      <c r="C170" s="7" t="str">
        <f>IFERROR(__xludf.DUMMYFUNCTION("GOOGLETRANSLATE(I170, ""th"", ""en"")"),"A) 1960; B) 1970; C) 1980; D) 1990")</f>
        <v>A) 1960; B) 1970; C) 1980; D) 1990</v>
      </c>
      <c r="D170" s="7" t="str">
        <f>IFERROR(__xludf.DUMMYFUNCTION("GOOGLETRANSLATE(J170, ""th"", ""en"")"),"B) 1970")</f>
        <v>B) 1970</v>
      </c>
      <c r="E170" s="5" t="str">
        <f>IFERROR(__xludf.DUMMYFUNCTION("GOOGLETRANSLATE(K170, ""th"", ""en"")"),"Muay Thai began to gain international recognition as a sport in the 1970s.")</f>
        <v>Muay Thai began to gain international recognition as a sport in the 1970s.</v>
      </c>
      <c r="G170" s="6">
        <v>169.0</v>
      </c>
      <c r="H170" s="7" t="s">
        <v>4110</v>
      </c>
      <c r="I170" s="7" t="s">
        <v>1072</v>
      </c>
      <c r="J170" s="7" t="s">
        <v>1073</v>
      </c>
      <c r="K170" s="7" t="s">
        <v>4111</v>
      </c>
    </row>
    <row r="171" ht="14.25" customHeight="1">
      <c r="A171" s="31">
        <v>170.0</v>
      </c>
      <c r="B171" s="7" t="str">
        <f>IFERROR(__xludf.DUMMYFUNCTION("GOOGLETRANSLATE(H171, ""th"", ""en"")"),"Muay Thai fighting was applied to which sport in the 1980s?")</f>
        <v>Muay Thai fighting was applied to which sport in the 1980s?</v>
      </c>
      <c r="C171" s="7" t="str">
        <f>IFERROR(__xludf.DUMMYFUNCTION("GOOGLETRANSLATE(I171, ""th"", ""en"")"),"A) Kickboxing; B) Judo; C) Handball; D) Boxing")</f>
        <v>A) Kickboxing; B) Judo; C) Handball; D) Boxing</v>
      </c>
      <c r="D171" s="7" t="str">
        <f>IFERROR(__xludf.DUMMYFUNCTION("GOOGLETRANSLATE(J171, ""th"", ""en"")"),"A) Kickboxing")</f>
        <v>A) Kickboxing</v>
      </c>
      <c r="E171" s="5" t="str">
        <f>IFERROR(__xludf.DUMMYFUNCTION("GOOGLETRANSLATE(K171, ""th"", ""en"")"),"Muay Thai was adapted into kickboxing in the 1980s.")</f>
        <v>Muay Thai was adapted into kickboxing in the 1980s.</v>
      </c>
      <c r="G171" s="6">
        <v>170.0</v>
      </c>
      <c r="H171" s="7" t="s">
        <v>4112</v>
      </c>
      <c r="I171" s="7" t="s">
        <v>4113</v>
      </c>
      <c r="J171" s="7" t="s">
        <v>4114</v>
      </c>
      <c r="K171" s="7" t="s">
        <v>4115</v>
      </c>
    </row>
    <row r="172" ht="14.25" customHeight="1">
      <c r="A172" s="31">
        <v>171.0</v>
      </c>
      <c r="B172" s="7" t="str">
        <f>IFERROR(__xludf.DUMMYFUNCTION("GOOGLETRANSLATE(H172, ""th"", ""en"")"),"During the Ayutthaya period, what role was Muay Thai used in?")</f>
        <v>During the Ayutthaya period, what role was Muay Thai used in?</v>
      </c>
      <c r="C172" s="7" t="str">
        <f>IFERROR(__xludf.DUMMYFUNCTION("GOOGLETRANSLATE(I172, ""th"", ""en"")"),"A) military training; B) student training; C) sports competitions; D) police officer training")</f>
        <v>A) military training; B) student training; C) sports competitions; D) police officer training</v>
      </c>
      <c r="D172" s="7" t="str">
        <f>IFERROR(__xludf.DUMMYFUNCTION("GOOGLETRANSLATE(J172, ""th"", ""en"")"),"A) Military training")</f>
        <v>A) Military training</v>
      </c>
      <c r="E172" s="5" t="str">
        <f>IFERROR(__xludf.DUMMYFUNCTION("GOOGLETRANSLATE(K172, ""th"", ""en"")"),"During the Ayutthaya period, Muay Thai was used to train soldiers.")</f>
        <v>During the Ayutthaya period, Muay Thai was used to train soldiers.</v>
      </c>
      <c r="G172" s="6">
        <v>171.0</v>
      </c>
      <c r="H172" s="7" t="s">
        <v>4116</v>
      </c>
      <c r="I172" s="7" t="s">
        <v>4117</v>
      </c>
      <c r="J172" s="7" t="s">
        <v>1493</v>
      </c>
      <c r="K172" s="7" t="s">
        <v>4118</v>
      </c>
    </row>
    <row r="173" ht="14.25" customHeight="1">
      <c r="A173" s="31">
        <v>172.0</v>
      </c>
      <c r="B173" s="7" t="str">
        <f>IFERROR(__xludf.DUMMYFUNCTION("GOOGLETRANSLATE(H173, ""th"", ""en"")"),"In what ways was Muay Thai developed during the Rattanakosin period?")</f>
        <v>In what ways was Muay Thai developed during the Rattanakosin period?</v>
      </c>
      <c r="C173" s="7" t="str">
        <f>IFERROR(__xludf.DUMMYFUNCTION("GOOGLETRANSLATE(I173, ""th"", ""en"")"),"A) School training; B) Using various techniques; C) Sports competitions; D) Military training.")</f>
        <v>A) School training; B) Using various techniques; C) Sports competitions; D) Military training.</v>
      </c>
      <c r="D173" s="7" t="str">
        <f>IFERROR(__xludf.DUMMYFUNCTION("GOOGLETRANSLATE(J173, ""th"", ""en"")"),"B) Using a variety of techniques")</f>
        <v>B) Using a variety of techniques</v>
      </c>
      <c r="E173" s="5" t="str">
        <f>IFERROR(__xludf.DUMMYFUNCTION("GOOGLETRANSLATE(K173, ""th"", ""en"")"),"Muay Thai in the Rattanakosin period was developed by using a variety of techniques.")</f>
        <v>Muay Thai in the Rattanakosin period was developed by using a variety of techniques.</v>
      </c>
      <c r="G173" s="6">
        <v>172.0</v>
      </c>
      <c r="H173" s="7" t="s">
        <v>4119</v>
      </c>
      <c r="I173" s="7" t="s">
        <v>4120</v>
      </c>
      <c r="J173" s="7" t="s">
        <v>4121</v>
      </c>
      <c r="K173" s="7" t="s">
        <v>4122</v>
      </c>
    </row>
    <row r="174" ht="14.25" customHeight="1">
      <c r="A174" s="31">
        <v>173.0</v>
      </c>
      <c r="B174" s="7" t="str">
        <f>IFERROR(__xludf.DUMMYFUNCTION("GOOGLETRANSLATE(H174, ""th"", ""en"")"),"Which Muay Thai boxer is credited with bringing fame to Muay Thai abroad?")</f>
        <v>Which Muay Thai boxer is credited with bringing fame to Muay Thai abroad?</v>
      </c>
      <c r="C174" s="7" t="str">
        <f>IFERROR(__xludf.DUMMYFUNCTION("GOOGLETRANSLATE(I174, ""th"", ""en"")"),"A) Somrak Khamsing; B) Buakaw Banchamek; C) Sangmanee Suankluai; D) Phichit Muay Thai")</f>
        <v>A) Somrak Khamsing; B) Buakaw Banchamek; C) Sangmanee Suankluai; D) Phichit Muay Thai</v>
      </c>
      <c r="D174" s="7" t="str">
        <f>IFERROR(__xludf.DUMMYFUNCTION("GOOGLETRANSLATE(J174, ""th"", ""en"")"),"B) Buakaw Banchamek")</f>
        <v>B) Buakaw Banchamek</v>
      </c>
      <c r="E174" s="5" t="str">
        <f>IFERROR(__xludf.DUMMYFUNCTION("GOOGLETRANSLATE(K174, ""th"", ""en"")"),"Buakaw Banchamek is credited with bringing fame to Muay Thai internationally.")</f>
        <v>Buakaw Banchamek is credited with bringing fame to Muay Thai internationally.</v>
      </c>
      <c r="G174" s="6">
        <v>173.0</v>
      </c>
      <c r="H174" s="7" t="s">
        <v>4123</v>
      </c>
      <c r="I174" s="7" t="s">
        <v>4124</v>
      </c>
      <c r="J174" s="7" t="s">
        <v>3824</v>
      </c>
      <c r="K174" s="7" t="s">
        <v>4125</v>
      </c>
    </row>
    <row r="175" ht="14.25" customHeight="1">
      <c r="A175" s="31">
        <v>174.0</v>
      </c>
      <c r="B175" s="7" t="str">
        <f>IFERROR(__xludf.DUMMYFUNCTION("GOOGLETRANSLATE(H175, ""th"", ""en"")"),"During the Ayutthaya period, what role was Muay Thai used in?")</f>
        <v>During the Ayutthaya period, what role was Muay Thai used in?</v>
      </c>
      <c r="C175" s="7" t="str">
        <f>IFERROR(__xludf.DUMMYFUNCTION("GOOGLETRANSLATE(I175, ""th"", ""en"")"),"A) military training; B) student training; C) sports competitions; D) police officer training")</f>
        <v>A) military training; B) student training; C) sports competitions; D) police officer training</v>
      </c>
      <c r="D175" s="7" t="str">
        <f>IFERROR(__xludf.DUMMYFUNCTION("GOOGLETRANSLATE(J175, ""th"", ""en"")"),"A) Military training")</f>
        <v>A) Military training</v>
      </c>
      <c r="E175" s="5" t="str">
        <f>IFERROR(__xludf.DUMMYFUNCTION("GOOGLETRANSLATE(K175, ""th"", ""en"")"),"Muay Thai in the Ayutthaya period was used for military training.")</f>
        <v>Muay Thai in the Ayutthaya period was used for military training.</v>
      </c>
      <c r="G175" s="6">
        <v>174.0</v>
      </c>
      <c r="H175" s="7" t="s">
        <v>4116</v>
      </c>
      <c r="I175" s="7" t="s">
        <v>4117</v>
      </c>
      <c r="J175" s="7" t="s">
        <v>1493</v>
      </c>
      <c r="K175" s="7" t="s">
        <v>4126</v>
      </c>
    </row>
    <row r="176" ht="14.25" customHeight="1">
      <c r="A176" s="31">
        <v>175.0</v>
      </c>
      <c r="B176" s="7" t="str">
        <f>IFERROR(__xludf.DUMMYFUNCTION("GOOGLETRANSLATE(H176, ""th"", ""en"")"),"When did Muay Thai begin to be formally trained?")</f>
        <v>When did Muay Thai begin to be formally trained?</v>
      </c>
      <c r="C176" s="7" t="str">
        <f>IFERROR(__xludf.DUMMYFUNCTION("GOOGLETRANSLATE(I176, ""th"", ""en"")"),"A) Ayutthaya period; B) King Rama V period; C) King Rama VI period; D) King Rama IX period")</f>
        <v>A) Ayutthaya period; B) King Rama V period; C) King Rama VI period; D) King Rama IX period</v>
      </c>
      <c r="D176" s="7" t="str">
        <f>IFERROR(__xludf.DUMMYFUNCTION("GOOGLETRANSLATE(J176, ""th"", ""en"")"),"B) During the reign of King Rama V")</f>
        <v>B) During the reign of King Rama V</v>
      </c>
      <c r="E176" s="5" t="str">
        <f>IFERROR(__xludf.DUMMYFUNCTION("GOOGLETRANSLATE(K176, ""th"", ""en"")"),"Muay Thai began to be trained according to an official curriculum during the reign of King Rama V.")</f>
        <v>Muay Thai began to be trained according to an official curriculum during the reign of King Rama V.</v>
      </c>
      <c r="G176" s="6">
        <v>175.0</v>
      </c>
      <c r="H176" s="7" t="s">
        <v>4127</v>
      </c>
      <c r="I176" s="7" t="s">
        <v>4128</v>
      </c>
      <c r="J176" s="7" t="s">
        <v>1634</v>
      </c>
      <c r="K176" s="7" t="s">
        <v>4129</v>
      </c>
    </row>
    <row r="177" ht="14.25" customHeight="1">
      <c r="A177" s="31">
        <v>176.0</v>
      </c>
      <c r="B177" s="7" t="str">
        <f>IFERROR(__xludf.DUMMYFUNCTION("GOOGLETRANSLATE(H177, ""th"", ""en"")"),"In which year was the first world-class Muay Thai competition held?")</f>
        <v>In which year was the first world-class Muay Thai competition held?</v>
      </c>
      <c r="C177" s="7" t="str">
        <f>IFERROR(__xludf.DUMMYFUNCTION("GOOGLETRANSLATE(I177, ""th"", ""en"")"),"A) 1960; B) 1970; C) 1980; D) 1990")</f>
        <v>A) 1960; B) 1970; C) 1980; D) 1990</v>
      </c>
      <c r="D177" s="7" t="str">
        <f>IFERROR(__xludf.DUMMYFUNCTION("GOOGLETRANSLATE(J177, ""th"", ""en"")"),"B) 1970")</f>
        <v>B) 1970</v>
      </c>
      <c r="E177" s="5" t="str">
        <f>IFERROR(__xludf.DUMMYFUNCTION("GOOGLETRANSLATE(K177, ""th"", ""en"")"),"The first world Muay Thai competition was held in 1970.")</f>
        <v>The first world Muay Thai competition was held in 1970.</v>
      </c>
      <c r="G177" s="6">
        <v>176.0</v>
      </c>
      <c r="H177" s="7" t="s">
        <v>4130</v>
      </c>
      <c r="I177" s="7" t="s">
        <v>1072</v>
      </c>
      <c r="J177" s="7" t="s">
        <v>1073</v>
      </c>
      <c r="K177" s="7" t="s">
        <v>4131</v>
      </c>
    </row>
    <row r="178" ht="14.25" customHeight="1">
      <c r="A178" s="31">
        <v>177.0</v>
      </c>
      <c r="B178" s="7" t="str">
        <f>IFERROR(__xludf.DUMMYFUNCTION("GOOGLETRANSLATE(H178, ""th"", ""en"")"),"When did Muay Thai become recognized as a national sport in Thailand?")</f>
        <v>When did Muay Thai become recognized as a national sport in Thailand?</v>
      </c>
      <c r="C178" s="7" t="str">
        <f>IFERROR(__xludf.DUMMYFUNCTION("GOOGLETRANSLATE(I178, ""th"", ""en"")"),"A) Ayutthaya period; B) Rattanakosin period; C) King Rama V period; D) King Rama VII period")</f>
        <v>A) Ayutthaya period; B) Rattanakosin period; C) King Rama V period; D) King Rama VII period</v>
      </c>
      <c r="D178" s="7" t="str">
        <f>IFERROR(__xludf.DUMMYFUNCTION("GOOGLETRANSLATE(J178, ""th"", ""en"")"),"C) During the reign of King Rama V")</f>
        <v>C) During the reign of King Rama V</v>
      </c>
      <c r="E178" s="5" t="str">
        <f>IFERROR(__xludf.DUMMYFUNCTION("GOOGLETRANSLATE(K178, ""th"", ""en"")"),"Muay Thai was recognized as a national sport during the reign of King Rama V.")</f>
        <v>Muay Thai was recognized as a national sport during the reign of King Rama V.</v>
      </c>
      <c r="G178" s="6">
        <v>177.0</v>
      </c>
      <c r="H178" s="7" t="s">
        <v>4132</v>
      </c>
      <c r="I178" s="7" t="s">
        <v>4080</v>
      </c>
      <c r="J178" s="7" t="s">
        <v>1858</v>
      </c>
      <c r="K178" s="7" t="s">
        <v>4133</v>
      </c>
    </row>
    <row r="179" ht="14.25" customHeight="1">
      <c r="A179" s="31">
        <v>178.0</v>
      </c>
      <c r="B179" s="7" t="str">
        <f>IFERROR(__xludf.DUMMYFUNCTION("GOOGLETRANSLATE(H179, ""th"", ""en"")"),"What tools did Muay Thai training in the past focus on?")</f>
        <v>What tools did Muay Thai training in the past focus on?</v>
      </c>
      <c r="C179" s="7" t="str">
        <f>IFERROR(__xludf.DUMMYFUNCTION("GOOGLETRANSLATE(I179, ""th"", ""en"")"),"A) Sword; B) Gun; C) Sandbag; D) Curtain")</f>
        <v>A) Sword; B) Gun; C) Sandbag; D) Curtain</v>
      </c>
      <c r="D179" s="7" t="str">
        <f>IFERROR(__xludf.DUMMYFUNCTION("GOOGLETRANSLATE(J179, ""th"", ""en"")"),"C) Sandbag")</f>
        <v>C) Sandbag</v>
      </c>
      <c r="E179" s="5" t="str">
        <f>IFERROR(__xludf.DUMMYFUNCTION("GOOGLETRANSLATE(K179, ""th"", ""en"")"),"In the past, Muay Thai training often used sandbags.")</f>
        <v>In the past, Muay Thai training often used sandbags.</v>
      </c>
      <c r="G179" s="6">
        <v>178.0</v>
      </c>
      <c r="H179" s="7" t="s">
        <v>4134</v>
      </c>
      <c r="I179" s="7" t="s">
        <v>4135</v>
      </c>
      <c r="J179" s="7" t="s">
        <v>4136</v>
      </c>
      <c r="K179" s="7" t="s">
        <v>4137</v>
      </c>
    </row>
    <row r="180" ht="14.25" customHeight="1">
      <c r="A180" s="31">
        <v>179.0</v>
      </c>
      <c r="B180" s="7" t="str">
        <f>IFERROR(__xludf.DUMMYFUNCTION("GOOGLETRANSLATE(H180, ""th"", ""en"")"),"When did Muay Thai begin to be taught internationally?")</f>
        <v>When did Muay Thai begin to be taught internationally?</v>
      </c>
      <c r="C180" s="7" t="str">
        <f>IFERROR(__xludf.DUMMYFUNCTION("GOOGLETRANSLATE(I180, ""th"", ""en"")"),"A) 1950; B) 1960; C) 1970; D) 1980")</f>
        <v>A) 1950; B) 1960; C) 1970; D) 1980</v>
      </c>
      <c r="D180" s="7" t="str">
        <f>IFERROR(__xludf.DUMMYFUNCTION("GOOGLETRANSLATE(J180, ""th"", ""en"")"),"C) 1970")</f>
        <v>C) 1970</v>
      </c>
      <c r="E180" s="5" t="str">
        <f>IFERROR(__xludf.DUMMYFUNCTION("GOOGLETRANSLATE(K180, ""th"", ""en"")"),"Muay Thai began to be taught internationally in the 1970s.")</f>
        <v>Muay Thai began to be taught internationally in the 1970s.</v>
      </c>
      <c r="G180" s="6">
        <v>179.0</v>
      </c>
      <c r="H180" s="7" t="s">
        <v>4138</v>
      </c>
      <c r="I180" s="7" t="s">
        <v>1225</v>
      </c>
      <c r="J180" s="7" t="s">
        <v>1226</v>
      </c>
      <c r="K180" s="7" t="s">
        <v>4139</v>
      </c>
    </row>
    <row r="181" ht="14.25" customHeight="1">
      <c r="A181" s="31">
        <v>180.0</v>
      </c>
      <c r="B181" s="7" t="str">
        <f>IFERROR(__xludf.DUMMYFUNCTION("GOOGLETRANSLATE(H181, ""th"", ""en"")"),"Who was the first person to bring Muay Thai to the world arena?")</f>
        <v>Who was the first person to bring Muay Thai to the world arena?</v>
      </c>
      <c r="C181" s="7" t="str">
        <f>IFERROR(__xludf.DUMMYFUNCTION("GOOGLETRANSLATE(I181, ""th"", ""en"")"),"A) Buakaw Banchamek; B) Somrak Khamsing; C) Chatri Sityodtong; D) Phichit Muay Thai")</f>
        <v>A) Buakaw Banchamek; B) Somrak Khamsing; C) Chatri Sityodtong; D) Phichit Muay Thai</v>
      </c>
      <c r="D181" s="7" t="str">
        <f>IFERROR(__xludf.DUMMYFUNCTION("GOOGLETRANSLATE(J181, ""th"", ""en"")"),"A) Buakaw Banchamek")</f>
        <v>A) Buakaw Banchamek</v>
      </c>
      <c r="E181" s="5" t="str">
        <f>IFERROR(__xludf.DUMMYFUNCTION("GOOGLETRANSLATE(K181, ""th"", ""en"")"),"Buakaw Banchamek was the one who brought Muay Thai to the world arena for the first time.")</f>
        <v>Buakaw Banchamek was the one who brought Muay Thai to the world arena for the first time.</v>
      </c>
      <c r="G181" s="6">
        <v>180.0</v>
      </c>
      <c r="H181" s="7" t="s">
        <v>4140</v>
      </c>
      <c r="I181" s="7" t="s">
        <v>4141</v>
      </c>
      <c r="J181" s="7" t="s">
        <v>3903</v>
      </c>
      <c r="K181" s="7" t="s">
        <v>4142</v>
      </c>
    </row>
    <row r="182" ht="14.25" customHeight="1">
      <c r="A182" s="31">
        <v>181.0</v>
      </c>
      <c r="B182" s="7" t="str">
        <f>IFERROR(__xludf.DUMMYFUNCTION("GOOGLETRANSLATE(H182, ""th"", ""en"")"),"In which year was Muay Thai recognized as an international standard sport?")</f>
        <v>In which year was Muay Thai recognized as an international standard sport?</v>
      </c>
      <c r="C182" s="7" t="str">
        <f>IFERROR(__xludf.DUMMYFUNCTION("GOOGLETRANSLATE(I182, ""th"", ""en"")"),"A) 1960; B) 1970; C) 1980; D) 1990")</f>
        <v>A) 1960; B) 1970; C) 1980; D) 1990</v>
      </c>
      <c r="D182" s="7" t="str">
        <f>IFERROR(__xludf.DUMMYFUNCTION("GOOGLETRANSLATE(J182, ""th"", ""en"")"),"B) 1970")</f>
        <v>B) 1970</v>
      </c>
      <c r="E182" s="5" t="str">
        <f>IFERROR(__xludf.DUMMYFUNCTION("GOOGLETRANSLATE(K182, ""th"", ""en"")"),"Muay Thai was recognized as an international standard sport in the 1970s.")</f>
        <v>Muay Thai was recognized as an international standard sport in the 1970s.</v>
      </c>
      <c r="G182" s="6">
        <v>181.0</v>
      </c>
      <c r="H182" s="7" t="s">
        <v>4143</v>
      </c>
      <c r="I182" s="7" t="s">
        <v>1072</v>
      </c>
      <c r="J182" s="7" t="s">
        <v>1073</v>
      </c>
      <c r="K182" s="7" t="s">
        <v>4144</v>
      </c>
    </row>
    <row r="183" ht="14.25" customHeight="1">
      <c r="A183" s="31">
        <v>182.0</v>
      </c>
      <c r="B183" s="7" t="str">
        <f>IFERROR(__xludf.DUMMYFUNCTION("GOOGLETRANSLATE(H183, ""th"", ""en"")"),"In what year was Muay Thai included in the Thai National Sports Competition?")</f>
        <v>In what year was Muay Thai included in the Thai National Sports Competition?</v>
      </c>
      <c r="C183" s="7" t="str">
        <f>IFERROR(__xludf.DUMMYFUNCTION("GOOGLETRANSLATE(I183, ""th"", ""en"")"),"A) 1950; B) 1960; C) 1970; D) 1980")</f>
        <v>A) 1950; B) 1960; C) 1970; D) 1980</v>
      </c>
      <c r="D183" s="7" t="str">
        <f>IFERROR(__xludf.DUMMYFUNCTION("GOOGLETRANSLATE(J183, ""th"", ""en"")"),"C) 1970")</f>
        <v>C) 1970</v>
      </c>
      <c r="E183" s="5" t="str">
        <f>IFERROR(__xludf.DUMMYFUNCTION("GOOGLETRANSLATE(K183, ""th"", ""en"")"),"Muay Thai was included in the Thai National Sports Competition in 1970.")</f>
        <v>Muay Thai was included in the Thai National Sports Competition in 1970.</v>
      </c>
      <c r="G183" s="6">
        <v>182.0</v>
      </c>
      <c r="H183" s="7" t="s">
        <v>4145</v>
      </c>
      <c r="I183" s="7" t="s">
        <v>1225</v>
      </c>
      <c r="J183" s="7" t="s">
        <v>1226</v>
      </c>
      <c r="K183" s="7" t="s">
        <v>4146</v>
      </c>
    </row>
    <row r="184" ht="14.25" customHeight="1">
      <c r="A184" s="31">
        <v>183.0</v>
      </c>
      <c r="B184" s="7" t="str">
        <f>IFERROR(__xludf.DUMMYFUNCTION("GOOGLETRANSLATE(H184, ""th"", ""en"")"),"In ancient times, what type of fighting was Muay Thai used for?")</f>
        <v>In ancient times, what type of fighting was Muay Thai used for?</v>
      </c>
      <c r="C184" s="7" t="str">
        <f>IFERROR(__xludf.DUMMYFUNCTION("GOOGLETRANSLATE(I184, ""th"", ""en"")"),"A) military training; B) sports competitions; C) self-defense; D) fighting on the battlefield")</f>
        <v>A) military training; B) sports competitions; C) self-defense; D) fighting on the battlefield</v>
      </c>
      <c r="D184" s="7" t="str">
        <f>IFERROR(__xludf.DUMMYFUNCTION("GOOGLETRANSLATE(J184, ""th"", ""en"")"),"C) Self-defense")</f>
        <v>C) Self-defense</v>
      </c>
      <c r="E184" s="5" t="str">
        <f>IFERROR(__xludf.DUMMYFUNCTION("GOOGLETRANSLATE(K184, ""th"", ""en"")"),"Muay Thai in ancient times was used for self-defense.")</f>
        <v>Muay Thai in ancient times was used for self-defense.</v>
      </c>
      <c r="G184" s="6">
        <v>183.0</v>
      </c>
      <c r="H184" s="7" t="s">
        <v>4147</v>
      </c>
      <c r="I184" s="7" t="s">
        <v>4148</v>
      </c>
      <c r="J184" s="7" t="s">
        <v>4149</v>
      </c>
      <c r="K184" s="7" t="s">
        <v>4150</v>
      </c>
    </row>
    <row r="185" ht="14.25" customHeight="1">
      <c r="A185" s="31">
        <v>184.0</v>
      </c>
      <c r="B185" s="7" t="str">
        <f>IFERROR(__xludf.DUMMYFUNCTION("GOOGLETRANSLATE(H185, ""th"", ""en"")"),"When was Muay Thai recognized as a national sport in Thailand?")</f>
        <v>When was Muay Thai recognized as a national sport in Thailand?</v>
      </c>
      <c r="C185" s="7" t="str">
        <f>IFERROR(__xludf.DUMMYFUNCTION("GOOGLETRANSLATE(I185, ""th"", ""en"")"),"A) Ayutthaya period; B) Rattanakosin period; C) King Rama V period; D) King Rama VII period")</f>
        <v>A) Ayutthaya period; B) Rattanakosin period; C) King Rama V period; D) King Rama VII period</v>
      </c>
      <c r="D185" s="7" t="str">
        <f>IFERROR(__xludf.DUMMYFUNCTION("GOOGLETRANSLATE(J185, ""th"", ""en"")"),"C) During the reign of King Rama V")</f>
        <v>C) During the reign of King Rama V</v>
      </c>
      <c r="E185" s="5" t="str">
        <f>IFERROR(__xludf.DUMMYFUNCTION("GOOGLETRANSLATE(K185, ""th"", ""en"")"),"Muay Thai was recognized as a national sport during the reign of King Rama V.")</f>
        <v>Muay Thai was recognized as a national sport during the reign of King Rama V.</v>
      </c>
      <c r="G185" s="6">
        <v>184.0</v>
      </c>
      <c r="H185" s="7" t="s">
        <v>4151</v>
      </c>
      <c r="I185" s="7" t="s">
        <v>4080</v>
      </c>
      <c r="J185" s="7" t="s">
        <v>1858</v>
      </c>
      <c r="K185" s="7" t="s">
        <v>4133</v>
      </c>
    </row>
    <row r="186" ht="14.25" customHeight="1">
      <c r="A186" s="31">
        <v>185.0</v>
      </c>
      <c r="B186" s="7" t="str">
        <f>IFERROR(__xludf.DUMMYFUNCTION("GOOGLETRANSLATE(H186, ""th"", ""en"")"),"Who are the key players in promoting Muay Thai on a global level?")</f>
        <v>Who are the key players in promoting Muay Thai on a global level?</v>
      </c>
      <c r="C186" s="7" t="str">
        <f>IFERROR(__xludf.DUMMYFUNCTION("GOOGLETRANSLATE(I186, ""th"", ""en"")"),"A) Somrak Khamsing; B) Buakaw Banchamek; C) Chatri Sityodtong; D) Phichit Muay Thai")</f>
        <v>A) Somrak Khamsing; B) Buakaw Banchamek; C) Chatri Sityodtong; D) Phichit Muay Thai</v>
      </c>
      <c r="D186" s="7" t="str">
        <f>IFERROR(__xludf.DUMMYFUNCTION("GOOGLETRANSLATE(J186, ""th"", ""en"")"),"B) Buakaw Banchamek")</f>
        <v>B) Buakaw Banchamek</v>
      </c>
      <c r="E186" s="5" t="str">
        <f>IFERROR(__xludf.DUMMYFUNCTION("GOOGLETRANSLATE(K186, ""th"", ""en"")"),"Buakaw Banchamek has played a significant role in promoting Muay Thai on a global level.")</f>
        <v>Buakaw Banchamek has played a significant role in promoting Muay Thai on a global level.</v>
      </c>
      <c r="G186" s="6">
        <v>185.0</v>
      </c>
      <c r="H186" s="7" t="s">
        <v>4152</v>
      </c>
      <c r="I186" s="7" t="s">
        <v>4153</v>
      </c>
      <c r="J186" s="7" t="s">
        <v>3824</v>
      </c>
      <c r="K186" s="7" t="s">
        <v>4154</v>
      </c>
    </row>
    <row r="187" ht="14.25" customHeight="1">
      <c r="A187" s="31">
        <v>186.0</v>
      </c>
      <c r="B187" s="7" t="str">
        <f>IFERROR(__xludf.DUMMYFUNCTION("GOOGLETRANSLATE(H187, ""th"", ""en"")"),"When did Muay Thai begin to be developed into a sport that includes training in schools?")</f>
        <v>When did Muay Thai begin to be developed into a sport that includes training in schools?</v>
      </c>
      <c r="C187" s="7" t="str">
        <f>IFERROR(__xludf.DUMMYFUNCTION("GOOGLETRANSLATE(I187, ""th"", ""en"")"),"A) Ayutthaya period; B) Rattanakosin period; C) King Rama V period; D) King Rama IX period")</f>
        <v>A) Ayutthaya period; B) Rattanakosin period; C) King Rama V period; D) King Rama IX period</v>
      </c>
      <c r="D187" s="7" t="str">
        <f>IFERROR(__xludf.DUMMYFUNCTION("GOOGLETRANSLATE(J187, ""th"", ""en"")"),"C) During the reign of King Rama V")</f>
        <v>C) During the reign of King Rama V</v>
      </c>
      <c r="E187" s="5" t="str">
        <f>IFERROR(__xludf.DUMMYFUNCTION("GOOGLETRANSLATE(K187, ""th"", ""en"")"),"Muay Thai began to be developed and taught in schools during the reign of King Rama V.")</f>
        <v>Muay Thai began to be developed and taught in schools during the reign of King Rama V.</v>
      </c>
      <c r="G187" s="6">
        <v>186.0</v>
      </c>
      <c r="H187" s="7" t="s">
        <v>4155</v>
      </c>
      <c r="I187" s="7" t="s">
        <v>2134</v>
      </c>
      <c r="J187" s="7" t="s">
        <v>1858</v>
      </c>
      <c r="K187" s="7" t="s">
        <v>4156</v>
      </c>
    </row>
    <row r="188" ht="14.25" customHeight="1">
      <c r="A188" s="31">
        <v>187.0</v>
      </c>
      <c r="B188" s="7" t="str">
        <f>IFERROR(__xludf.DUMMYFUNCTION("GOOGLETRANSLATE(H188, ""th"", ""en"")"),"In what year did international Muay Thai competitions begin?")</f>
        <v>In what year did international Muay Thai competitions begin?</v>
      </c>
      <c r="C188" s="7" t="str">
        <f>IFERROR(__xludf.DUMMYFUNCTION("GOOGLETRANSLATE(I188, ""th"", ""en"")"),"A) 1950; B) 1960; C) 1970; D) 1980")</f>
        <v>A) 1950; B) 1960; C) 1970; D) 1980</v>
      </c>
      <c r="D188" s="7" t="str">
        <f>IFERROR(__xludf.DUMMYFUNCTION("GOOGLETRANSLATE(J188, ""th"", ""en"")"),"C) 1970")</f>
        <v>C) 1970</v>
      </c>
      <c r="E188" s="5" t="str">
        <f>IFERROR(__xludf.DUMMYFUNCTION("GOOGLETRANSLATE(K188, ""th"", ""en"")"),"Muay Thai competitions abroad began in the 1970s.")</f>
        <v>Muay Thai competitions abroad began in the 1970s.</v>
      </c>
      <c r="G188" s="6">
        <v>187.0</v>
      </c>
      <c r="H188" s="7" t="s">
        <v>4157</v>
      </c>
      <c r="I188" s="7" t="s">
        <v>1225</v>
      </c>
      <c r="J188" s="7" t="s">
        <v>1226</v>
      </c>
      <c r="K188" s="7" t="s">
        <v>4158</v>
      </c>
    </row>
    <row r="189" ht="14.25" customHeight="1">
      <c r="A189" s="31">
        <v>188.0</v>
      </c>
      <c r="B189" s="7" t="str">
        <f>IFERROR(__xludf.DUMMYFUNCTION("GOOGLETRANSLATE(H189, ""th"", ""en"")"),"How did Muay Thai in the past train various skills?")</f>
        <v>How did Muay Thai in the past train various skills?</v>
      </c>
      <c r="C189" s="7" t="str">
        <f>IFERROR(__xludf.DUMMYFUNCTION("GOOGLETRANSLATE(I189, ""th"", ""en"")"),"A) Training in a boxing ring; B) Training in a school; C) Training with real opponents; D) Training with special equipment.")</f>
        <v>A) Training in a boxing ring; B) Training in a school; C) Training with real opponents; D) Training with special equipment.</v>
      </c>
      <c r="D189" s="7" t="str">
        <f>IFERROR(__xludf.DUMMYFUNCTION("GOOGLETRANSLATE(J189, ""th"", ""en"")"),"C) Practice with real opponents.")</f>
        <v>C) Practice with real opponents.</v>
      </c>
      <c r="E189" s="5" t="str">
        <f>IFERROR(__xludf.DUMMYFUNCTION("GOOGLETRANSLATE(K189, ""th"", ""en"")"),"In the past, Muay Thai was trained by training with real opponents.")</f>
        <v>In the past, Muay Thai was trained by training with real opponents.</v>
      </c>
      <c r="G189" s="6">
        <v>188.0</v>
      </c>
      <c r="H189" s="7" t="s">
        <v>4159</v>
      </c>
      <c r="I189" s="7" t="s">
        <v>4160</v>
      </c>
      <c r="J189" s="7" t="s">
        <v>4161</v>
      </c>
      <c r="K189" s="7" t="s">
        <v>4162</v>
      </c>
    </row>
    <row r="190" ht="14.25" customHeight="1">
      <c r="A190" s="31">
        <v>189.0</v>
      </c>
      <c r="B190" s="7" t="str">
        <f>IFERROR(__xludf.DUMMYFUNCTION("GOOGLETRANSLATE(H190, ""th"", ""en"")"),"What are the main postures used in ancient Muay Thai training?")</f>
        <v>What are the main postures used in ancient Muay Thai training?</v>
      </c>
      <c r="C190" s="7" t="str">
        <f>IFERROR(__xludf.DUMMYFUNCTION("GOOGLETRANSLATE(I190, ""th"", ""en"")"),"A) Kicking; B) Punching; C) Engaging; D) Spinning")</f>
        <v>A) Kicking; B) Punching; C) Engaging; D) Spinning</v>
      </c>
      <c r="D190" s="7" t="str">
        <f>IFERROR(__xludf.DUMMYFUNCTION("GOOGLETRANSLATE(J190, ""th"", ""en"")"),"A) Kick")</f>
        <v>A) Kick</v>
      </c>
      <c r="E190" s="5" t="str">
        <f>IFERROR(__xludf.DUMMYFUNCTION("GOOGLETRANSLATE(K190, ""th"", ""en"")"),"Muay Thai training in ancient times focused primarily on kicking techniques.")</f>
        <v>Muay Thai training in ancient times focused primarily on kicking techniques.</v>
      </c>
      <c r="G190" s="6">
        <v>189.0</v>
      </c>
      <c r="H190" s="7" t="s">
        <v>4163</v>
      </c>
      <c r="I190" s="7" t="s">
        <v>4164</v>
      </c>
      <c r="J190" s="7" t="s">
        <v>4165</v>
      </c>
      <c r="K190" s="7" t="s">
        <v>4166</v>
      </c>
    </row>
    <row r="191" ht="14.25" customHeight="1">
      <c r="A191" s="31">
        <v>190.0</v>
      </c>
      <c r="B191" s="7" t="str">
        <f>IFERROR(__xludf.DUMMYFUNCTION("GOOGLETRANSLATE(H191, ""th"", ""en"")"),"In which country did Muay Thai gain recognition as a sport in the 1970s?")</f>
        <v>In which country did Muay Thai gain recognition as a sport in the 1970s?</v>
      </c>
      <c r="C191" s="7" t="str">
        <f>IFERROR(__xludf.DUMMYFUNCTION("GOOGLETRANSLATE(I191, ""th"", ""en"")"),"A) United States; B) Japan; C) South Korea; D) Australia")</f>
        <v>A) United States; B) Japan; C) South Korea; D) Australia</v>
      </c>
      <c r="D191" s="7" t="str">
        <f>IFERROR(__xludf.DUMMYFUNCTION("GOOGLETRANSLATE(J191, ""th"", ""en"")"),"A) United States")</f>
        <v>A) United States</v>
      </c>
      <c r="E191" s="5" t="str">
        <f>IFERROR(__xludf.DUMMYFUNCTION("GOOGLETRANSLATE(K191, ""th"", ""en"")"),"Muay Thai gained recognition in the United States sports scene in the 1970s.")</f>
        <v>Muay Thai gained recognition in the United States sports scene in the 1970s.</v>
      </c>
      <c r="G191" s="6">
        <v>190.0</v>
      </c>
      <c r="H191" s="7" t="s">
        <v>4167</v>
      </c>
      <c r="I191" s="7" t="s">
        <v>4168</v>
      </c>
      <c r="J191" s="7" t="s">
        <v>3615</v>
      </c>
      <c r="K191" s="7" t="s">
        <v>4169</v>
      </c>
    </row>
    <row r="192" ht="14.25" customHeight="1">
      <c r="A192" s="31">
        <v>191.0</v>
      </c>
      <c r="B192" s="7" t="str">
        <f>IFERROR(__xludf.DUMMYFUNCTION("GOOGLETRANSLATE(H192, ""th"", ""en"")"),"Who was the first to bring Muay Thai to the world stage?")</f>
        <v>Who was the first to bring Muay Thai to the world stage?</v>
      </c>
      <c r="C192" s="7" t="str">
        <f>IFERROR(__xludf.DUMMYFUNCTION("GOOGLETRANSLATE(I192, ""th"", ""en"")"),"A) Buakaw Banchamek; B) Somrak Khamsing; C) Chatri Sityodtong; D) Phichit Muay Thai")</f>
        <v>A) Buakaw Banchamek; B) Somrak Khamsing; C) Chatri Sityodtong; D) Phichit Muay Thai</v>
      </c>
      <c r="D192" s="7" t="str">
        <f>IFERROR(__xludf.DUMMYFUNCTION("GOOGLETRANSLATE(J192, ""th"", ""en"")"),"A) Buakaw Banchamek")</f>
        <v>A) Buakaw Banchamek</v>
      </c>
      <c r="E192" s="5" t="str">
        <f>IFERROR(__xludf.DUMMYFUNCTION("GOOGLETRANSLATE(K192, ""th"", ""en"")"),"Buakaw Banchamek was the first to bring Muay Thai to the world-class arena.")</f>
        <v>Buakaw Banchamek was the first to bring Muay Thai to the world-class arena.</v>
      </c>
      <c r="G192" s="6">
        <v>191.0</v>
      </c>
      <c r="H192" s="7" t="s">
        <v>4170</v>
      </c>
      <c r="I192" s="7" t="s">
        <v>4141</v>
      </c>
      <c r="J192" s="7" t="s">
        <v>3903</v>
      </c>
      <c r="K192" s="7" t="s">
        <v>4171</v>
      </c>
    </row>
    <row r="193" ht="14.25" customHeight="1">
      <c r="A193" s="31">
        <v>192.0</v>
      </c>
      <c r="B193" s="7" t="str">
        <f>IFERROR(__xludf.DUMMYFUNCTION("GOOGLETRANSLATE(H193, ""th"", ""en"")"),"Where was Muay Thai used in ancient times for fighting?")</f>
        <v>Where was Muay Thai used in ancient times for fighting?</v>
      </c>
      <c r="C193" s="7" t="str">
        <f>IFERROR(__xludf.DUMMYFUNCTION("GOOGLETRANSLATE(I193, ""th"", ""en"")"),"A) battlefield; B) boxing stadium; C) Sanam Luang; D) in the palace")</f>
        <v>A) battlefield; B) boxing stadium; C) Sanam Luang; D) in the palace</v>
      </c>
      <c r="D193" s="7" t="str">
        <f>IFERROR(__xludf.DUMMYFUNCTION("GOOGLETRANSLATE(J193, ""th"", ""en"")"),"A) Battlefield")</f>
        <v>A) Battlefield</v>
      </c>
      <c r="E193" s="5" t="str">
        <f>IFERROR(__xludf.DUMMYFUNCTION("GOOGLETRANSLATE(K193, ""th"", ""en"")"),"In ancient times, Muay Thai was used for fighting on the battlefield.")</f>
        <v>In ancient times, Muay Thai was used for fighting on the battlefield.</v>
      </c>
      <c r="G193" s="6">
        <v>192.0</v>
      </c>
      <c r="H193" s="7" t="s">
        <v>4172</v>
      </c>
      <c r="I193" s="7" t="s">
        <v>4173</v>
      </c>
      <c r="J193" s="7" t="s">
        <v>4174</v>
      </c>
      <c r="K193" s="7" t="s">
        <v>4175</v>
      </c>
    </row>
    <row r="194" ht="14.25" customHeight="1">
      <c r="A194" s="31">
        <v>193.0</v>
      </c>
      <c r="B194" s="7" t="str">
        <f>IFERROR(__xludf.DUMMYFUNCTION("GOOGLETRANSLATE(H194, ""th"", ""en"")"),"What sports can the use of Muay Thai be found today?")</f>
        <v>What sports can the use of Muay Thai be found today?</v>
      </c>
      <c r="C194" s="7" t="str">
        <f>IFERROR(__xludf.DUMMYFUNCTION("GOOGLETRANSLATE(I194, ""th"", ""en"")"),"A) kickboxing; B) boxing; C) judo; D) taekwondo")</f>
        <v>A) kickboxing; B) boxing; C) judo; D) taekwondo</v>
      </c>
      <c r="D194" s="7" t="str">
        <f>IFERROR(__xludf.DUMMYFUNCTION("GOOGLETRANSLATE(J194, ""th"", ""en"")"),"A) Kickboxing")</f>
        <v>A) Kickboxing</v>
      </c>
      <c r="E194" s="5" t="str">
        <f>IFERROR(__xludf.DUMMYFUNCTION("GOOGLETRANSLATE(K194, ""th"", ""en"")"),"Muay Thai can now be found in the sport of kickboxing.")</f>
        <v>Muay Thai can now be found in the sport of kickboxing.</v>
      </c>
      <c r="G194" s="6">
        <v>193.0</v>
      </c>
      <c r="H194" s="7" t="s">
        <v>4176</v>
      </c>
      <c r="I194" s="7" t="s">
        <v>4177</v>
      </c>
      <c r="J194" s="7" t="s">
        <v>4114</v>
      </c>
      <c r="K194" s="7" t="s">
        <v>4178</v>
      </c>
    </row>
    <row r="195" ht="14.25" customHeight="1">
      <c r="A195" s="31">
        <v>194.0</v>
      </c>
      <c r="B195" s="7" t="str">
        <f>IFERROR(__xludf.DUMMYFUNCTION("GOOGLETRANSLATE(H195, ""th"", ""en"")"),"In ancient times, how was Muay Thai practiced?")</f>
        <v>In ancient times, how was Muay Thai practiced?</v>
      </c>
      <c r="C195" s="7" t="str">
        <f>IFERROR(__xludf.DUMMYFUNCTION("GOOGLETRANSLATE(I195, ""th"", ""en"")"),"A) Team training; B) Individual training; C) Equipment training; D) Stadium training")</f>
        <v>A) Team training; B) Individual training; C) Equipment training; D) Stadium training</v>
      </c>
      <c r="D195" s="7" t="str">
        <f>IFERROR(__xludf.DUMMYFUNCTION("GOOGLETRANSLATE(J195, ""th"", ""en"")"),"B) One-on-one training")</f>
        <v>B) One-on-one training</v>
      </c>
      <c r="E195" s="5" t="str">
        <f>IFERROR(__xludf.DUMMYFUNCTION("GOOGLETRANSLATE(K195, ""th"", ""en"")"),"In ancient times, Muay Thai was practiced one-on-one.")</f>
        <v>In ancient times, Muay Thai was practiced one-on-one.</v>
      </c>
      <c r="G195" s="6">
        <v>194.0</v>
      </c>
      <c r="H195" s="7" t="s">
        <v>4179</v>
      </c>
      <c r="I195" s="7" t="s">
        <v>4180</v>
      </c>
      <c r="J195" s="7" t="s">
        <v>1946</v>
      </c>
      <c r="K195" s="7" t="s">
        <v>4181</v>
      </c>
    </row>
    <row r="196" ht="14.25" customHeight="1">
      <c r="A196" s="31">
        <v>195.0</v>
      </c>
      <c r="B196" s="7" t="str">
        <f>IFERROR(__xludf.DUMMYFUNCTION("GOOGLETRANSLATE(H196, ""th"", ""en"")"),"In which year was Muay Thai recognized as an international sport?")</f>
        <v>In which year was Muay Thai recognized as an international sport?</v>
      </c>
      <c r="C196" s="7" t="str">
        <f>IFERROR(__xludf.DUMMYFUNCTION("GOOGLETRANSLATE(I196, ""th"", ""en"")"),"A) 1970; B) 1980; C) 1990; D) 2000")</f>
        <v>A) 1970; B) 1980; C) 1990; D) 2000</v>
      </c>
      <c r="D196" s="7" t="str">
        <f>IFERROR(__xludf.DUMMYFUNCTION("GOOGLETRANSLATE(J196, ""th"", ""en"")"),"A) 1970")</f>
        <v>A) 1970</v>
      </c>
      <c r="E196" s="5" t="str">
        <f>IFERROR(__xludf.DUMMYFUNCTION("GOOGLETRANSLATE(K196, ""th"", ""en"")"),"Muay Thai was included as an international sport in 1970.")</f>
        <v>Muay Thai was included as an international sport in 1970.</v>
      </c>
      <c r="G196" s="6">
        <v>195.0</v>
      </c>
      <c r="H196" s="7" t="s">
        <v>4182</v>
      </c>
      <c r="I196" s="7" t="s">
        <v>1455</v>
      </c>
      <c r="J196" s="7" t="s">
        <v>3304</v>
      </c>
      <c r="K196" s="7" t="s">
        <v>4183</v>
      </c>
    </row>
    <row r="197" ht="14.25" customHeight="1">
      <c r="A197" s="31">
        <v>196.0</v>
      </c>
      <c r="B197" s="7" t="str">
        <f>IFERROR(__xludf.DUMMYFUNCTION("GOOGLETRANSLATE(H197, ""th"", ""en"")"),"How is self-defense used in Muay Thai competitions?")</f>
        <v>How is self-defense used in Muay Thai competitions?</v>
      </c>
      <c r="C197" s="7" t="str">
        <f>IFERROR(__xludf.DUMMYFUNCTION("GOOGLETRANSLATE(I197, ""th"", ""en"")"),"A) Kick; B) Dodge; C) Spin; D) Hand Defense")</f>
        <v>A) Kick; B) Dodge; C) Spin; D) Hand Defense</v>
      </c>
      <c r="D197" s="7" t="str">
        <f>IFERROR(__xludf.DUMMYFUNCTION("GOOGLETRANSLATE(J197, ""th"", ""en"")"),"B) Evasion")</f>
        <v>B) Evasion</v>
      </c>
      <c r="E197" s="5" t="str">
        <f>IFERROR(__xludf.DUMMYFUNCTION("GOOGLETRANSLATE(K197, ""th"", ""en"")"),"In Muay Thai competitions, dodging is used as a form of self-defense.")</f>
        <v>In Muay Thai competitions, dodging is used as a form of self-defense.</v>
      </c>
      <c r="G197" s="6">
        <v>196.0</v>
      </c>
      <c r="H197" s="7" t="s">
        <v>4184</v>
      </c>
      <c r="I197" s="7" t="s">
        <v>4185</v>
      </c>
      <c r="J197" s="7" t="s">
        <v>4186</v>
      </c>
      <c r="K197" s="7" t="s">
        <v>4187</v>
      </c>
    </row>
    <row r="198" ht="14.25" customHeight="1">
      <c r="A198" s="31">
        <v>197.0</v>
      </c>
      <c r="B198" s="7" t="str">
        <f>IFERROR(__xludf.DUMMYFUNCTION("GOOGLETRANSLATE(H198, ""th"", ""en"")"),"What methods were used in ancient Muay Thai training to train strength?")</f>
        <v>What methods were used in ancient Muay Thai training to train strength?</v>
      </c>
      <c r="C198" s="7" t="str">
        <f>IFERROR(__xludf.DUMMYFUNCTION("GOOGLETRANSLATE(I198, ""th"", ""en"")"),"A) Running; B) Water training; C) High altitude training; D) Heavy weight training")</f>
        <v>A) Running; B) Water training; C) High altitude training; D) Heavy weight training</v>
      </c>
      <c r="D198" s="7" t="str">
        <f>IFERROR(__xludf.DUMMYFUNCTION("GOOGLETRANSLATE(J198, ""th"", ""en"")"),"D) Training by holding heavy objects")</f>
        <v>D) Training by holding heavy objects</v>
      </c>
      <c r="E198" s="5" t="str">
        <f>IFERROR(__xludf.DUMMYFUNCTION("GOOGLETRANSLATE(K198, ""th"", ""en"")"),"In ancient times, Muay Thai training involved carrying heavy objects to develop strength.")</f>
        <v>In ancient times, Muay Thai training involved carrying heavy objects to develop strength.</v>
      </c>
      <c r="G198" s="6">
        <v>197.0</v>
      </c>
      <c r="H198" s="7" t="s">
        <v>4188</v>
      </c>
      <c r="I198" s="7" t="s">
        <v>4189</v>
      </c>
      <c r="J198" s="7" t="s">
        <v>4190</v>
      </c>
      <c r="K198" s="7" t="s">
        <v>4191</v>
      </c>
    </row>
    <row r="199" ht="14.25" customHeight="1">
      <c r="A199" s="31">
        <v>198.0</v>
      </c>
      <c r="B199" s="7" t="str">
        <f>IFERROR(__xludf.DUMMYFUNCTION("GOOGLETRANSLATE(H199, ""th"", ""en"")"),"In what year did Muay Thai competitions begin to take place abroad?")</f>
        <v>In what year did Muay Thai competitions begin to take place abroad?</v>
      </c>
      <c r="C199" s="7" t="str">
        <f>IFERROR(__xludf.DUMMYFUNCTION("GOOGLETRANSLATE(I199, ""th"", ""en"")"),"A) 1950; B) 1960; C) 1970; D) 1980")</f>
        <v>A) 1950; B) 1960; C) 1970; D) 1980</v>
      </c>
      <c r="D199" s="7" t="str">
        <f>IFERROR(__xludf.DUMMYFUNCTION("GOOGLETRANSLATE(J199, ""th"", ""en"")"),"C) 1970")</f>
        <v>C) 1970</v>
      </c>
      <c r="E199" s="5" t="str">
        <f>IFERROR(__xludf.DUMMYFUNCTION("GOOGLETRANSLATE(K199, ""th"", ""en"")"),"Muay Thai competitions abroad began in the 1970s.")</f>
        <v>Muay Thai competitions abroad began in the 1970s.</v>
      </c>
      <c r="G199" s="6">
        <v>198.0</v>
      </c>
      <c r="H199" s="7" t="s">
        <v>4192</v>
      </c>
      <c r="I199" s="7" t="s">
        <v>1225</v>
      </c>
      <c r="J199" s="7" t="s">
        <v>1226</v>
      </c>
      <c r="K199" s="7" t="s">
        <v>4193</v>
      </c>
    </row>
    <row r="200" ht="14.25" customHeight="1">
      <c r="A200" s="31">
        <v>199.0</v>
      </c>
      <c r="B200" s="7" t="str">
        <f>IFERROR(__xludf.DUMMYFUNCTION("GOOGLETRANSLATE(H200, ""th"", ""en"")"),"In what year did Muay Thai develop into a world-class form of training?")</f>
        <v>In what year did Muay Thai develop into a world-class form of training?</v>
      </c>
      <c r="C200" s="7" t="str">
        <f>IFERROR(__xludf.DUMMYFUNCTION("GOOGLETRANSLATE(I200, ""th"", ""en"")"),"A) 1960; B) 1970; C) 1980; D) 1990")</f>
        <v>A) 1960; B) 1970; C) 1980; D) 1990</v>
      </c>
      <c r="D200" s="7" t="str">
        <f>IFERROR(__xludf.DUMMYFUNCTION("GOOGLETRANSLATE(J200, ""th"", ""en"")"),"B) 1970")</f>
        <v>B) 1970</v>
      </c>
      <c r="E200" s="5" t="str">
        <f>IFERROR(__xludf.DUMMYFUNCTION("GOOGLETRANSLATE(K200, ""th"", ""en"")"),"Muay Thai was developed into a world-class discipline in the 1970s.")</f>
        <v>Muay Thai was developed into a world-class discipline in the 1970s.</v>
      </c>
      <c r="G200" s="6">
        <v>199.0</v>
      </c>
      <c r="H200" s="7" t="s">
        <v>4194</v>
      </c>
      <c r="I200" s="7" t="s">
        <v>1072</v>
      </c>
      <c r="J200" s="7" t="s">
        <v>1073</v>
      </c>
      <c r="K200" s="7" t="s">
        <v>4195</v>
      </c>
    </row>
    <row r="201" ht="14.25" customHeight="1">
      <c r="G201" s="6">
        <v>200.0</v>
      </c>
      <c r="H201" s="7" t="s">
        <v>4196</v>
      </c>
      <c r="I201" s="7" t="s">
        <v>4197</v>
      </c>
      <c r="J201" s="7" t="s">
        <v>4198</v>
      </c>
      <c r="K201" s="7" t="s">
        <v>4199</v>
      </c>
    </row>
    <row r="202" ht="14.25" customHeight="1"/>
    <row r="203" ht="14.25" customHeight="1"/>
    <row r="204" ht="14.25" customHeight="1"/>
    <row r="205" ht="14.25" customHeight="1"/>
    <row r="206" ht="14.25" customHeight="1">
      <c r="A206" s="8"/>
      <c r="B206" s="8" t="s">
        <v>1685</v>
      </c>
    </row>
    <row r="207" ht="14.25" customHeight="1">
      <c r="A207" s="9"/>
      <c r="B207" s="9" t="s">
        <v>5</v>
      </c>
      <c r="C207" s="9" t="s">
        <v>1</v>
      </c>
      <c r="D207" s="9" t="s">
        <v>759</v>
      </c>
      <c r="E207" s="9" t="s">
        <v>760</v>
      </c>
      <c r="F207" s="9" t="s">
        <v>2</v>
      </c>
      <c r="G207" s="9" t="s">
        <v>761</v>
      </c>
      <c r="H207" s="9" t="s">
        <v>3</v>
      </c>
      <c r="I207" s="9" t="s">
        <v>762</v>
      </c>
      <c r="J207" s="9" t="s">
        <v>4</v>
      </c>
      <c r="K207" s="9" t="s">
        <v>763</v>
      </c>
    </row>
    <row r="208" ht="14.25" customHeight="1">
      <c r="A208" s="10"/>
      <c r="B208" s="10">
        <v>1.0</v>
      </c>
      <c r="C208" s="11" t="s">
        <v>3519</v>
      </c>
      <c r="D208" s="10">
        <v>1.0</v>
      </c>
      <c r="E208" s="12"/>
      <c r="F208" s="11" t="s">
        <v>3520</v>
      </c>
      <c r="G208" s="12"/>
      <c r="H208" s="11" t="s">
        <v>3521</v>
      </c>
      <c r="I208" s="12"/>
      <c r="J208" s="11" t="s">
        <v>3522</v>
      </c>
      <c r="K208" s="12"/>
    </row>
    <row r="209" ht="14.25" customHeight="1">
      <c r="A209" s="13"/>
      <c r="B209" s="13">
        <v>2.0</v>
      </c>
      <c r="C209" s="14" t="s">
        <v>3523</v>
      </c>
      <c r="D209" s="13">
        <v>1.0</v>
      </c>
      <c r="E209" s="15"/>
      <c r="F209" s="14" t="s">
        <v>3524</v>
      </c>
      <c r="G209" s="15"/>
      <c r="H209" s="14" t="s">
        <v>3525</v>
      </c>
      <c r="I209" s="15"/>
      <c r="J209" s="14" t="s">
        <v>3526</v>
      </c>
      <c r="K209" s="15"/>
    </row>
    <row r="210" ht="14.25" customHeight="1">
      <c r="A210" s="10"/>
      <c r="B210" s="10">
        <v>3.0</v>
      </c>
      <c r="C210" s="11" t="s">
        <v>3527</v>
      </c>
      <c r="D210" s="10">
        <v>1.0</v>
      </c>
      <c r="E210" s="12"/>
      <c r="F210" s="11" t="s">
        <v>3528</v>
      </c>
      <c r="G210" s="12"/>
      <c r="H210" s="11" t="s">
        <v>3529</v>
      </c>
      <c r="I210" s="12"/>
      <c r="J210" s="11" t="s">
        <v>3530</v>
      </c>
      <c r="K210" s="12"/>
    </row>
    <row r="211" ht="14.25" customHeight="1">
      <c r="A211" s="13"/>
      <c r="B211" s="13">
        <v>4.0</v>
      </c>
      <c r="C211" s="14" t="s">
        <v>3531</v>
      </c>
      <c r="D211" s="13">
        <v>1.0</v>
      </c>
      <c r="E211" s="15"/>
      <c r="F211" s="14" t="s">
        <v>3532</v>
      </c>
      <c r="G211" s="15"/>
      <c r="H211" s="14" t="s">
        <v>3533</v>
      </c>
      <c r="I211" s="15"/>
      <c r="J211" s="14" t="s">
        <v>3534</v>
      </c>
      <c r="K211" s="15"/>
    </row>
    <row r="212" ht="14.25" customHeight="1">
      <c r="A212" s="10"/>
      <c r="B212" s="10">
        <v>5.0</v>
      </c>
      <c r="C212" s="11" t="s">
        <v>3535</v>
      </c>
      <c r="D212" s="10">
        <v>1.0</v>
      </c>
      <c r="E212" s="12"/>
      <c r="F212" s="11" t="s">
        <v>3536</v>
      </c>
      <c r="G212" s="12"/>
      <c r="H212" s="11" t="s">
        <v>3537</v>
      </c>
      <c r="I212" s="12"/>
      <c r="J212" s="11" t="s">
        <v>3538</v>
      </c>
      <c r="K212" s="12"/>
    </row>
    <row r="213" ht="14.25" customHeight="1">
      <c r="A213" s="13"/>
      <c r="B213" s="13">
        <v>6.0</v>
      </c>
      <c r="C213" s="14" t="s">
        <v>3539</v>
      </c>
      <c r="D213" s="13">
        <v>1.0</v>
      </c>
      <c r="E213" s="15"/>
      <c r="F213" s="14" t="s">
        <v>3540</v>
      </c>
      <c r="G213" s="15"/>
      <c r="H213" s="14" t="s">
        <v>3541</v>
      </c>
      <c r="I213" s="15"/>
      <c r="J213" s="14" t="s">
        <v>3542</v>
      </c>
      <c r="K213" s="15"/>
    </row>
    <row r="214" ht="14.25" customHeight="1">
      <c r="A214" s="10"/>
      <c r="B214" s="10">
        <v>7.0</v>
      </c>
      <c r="C214" s="11" t="s">
        <v>3543</v>
      </c>
      <c r="D214" s="10">
        <v>1.0</v>
      </c>
      <c r="E214" s="12"/>
      <c r="F214" s="11" t="s">
        <v>3544</v>
      </c>
      <c r="H214" s="11" t="s">
        <v>3545</v>
      </c>
      <c r="I214" s="12"/>
      <c r="J214" s="11" t="s">
        <v>3546</v>
      </c>
      <c r="K214" s="12"/>
    </row>
    <row r="215" ht="14.25" customHeight="1">
      <c r="A215" s="13"/>
      <c r="B215" s="13">
        <v>8.0</v>
      </c>
      <c r="C215" s="14" t="s">
        <v>3547</v>
      </c>
      <c r="D215" s="13">
        <v>0.0</v>
      </c>
      <c r="E215" s="15"/>
      <c r="F215" s="14" t="s">
        <v>3548</v>
      </c>
      <c r="G215" s="15"/>
      <c r="H215" s="14" t="s">
        <v>3549</v>
      </c>
      <c r="I215" s="15"/>
      <c r="J215" s="14" t="s">
        <v>3550</v>
      </c>
      <c r="K215" s="15"/>
    </row>
    <row r="216" ht="14.25" customHeight="1">
      <c r="A216" s="10"/>
      <c r="B216" s="10">
        <v>9.0</v>
      </c>
      <c r="C216" s="11" t="s">
        <v>3551</v>
      </c>
      <c r="D216" s="10">
        <v>0.0</v>
      </c>
      <c r="E216" s="12"/>
      <c r="F216" s="11" t="s">
        <v>3552</v>
      </c>
      <c r="G216" s="12"/>
      <c r="H216" s="11" t="s">
        <v>3553</v>
      </c>
      <c r="I216" s="12"/>
      <c r="J216" s="11" t="s">
        <v>3554</v>
      </c>
      <c r="K216" s="12"/>
    </row>
    <row r="217" ht="14.25" customHeight="1">
      <c r="A217" s="13"/>
      <c r="B217" s="13">
        <v>10.0</v>
      </c>
      <c r="C217" s="14" t="s">
        <v>3555</v>
      </c>
      <c r="D217" s="13">
        <v>1.0</v>
      </c>
      <c r="E217" s="15"/>
      <c r="F217" s="14" t="s">
        <v>3556</v>
      </c>
      <c r="H217" s="14" t="s">
        <v>3557</v>
      </c>
      <c r="I217" s="15"/>
      <c r="J217" s="14" t="s">
        <v>3558</v>
      </c>
      <c r="K217" s="15"/>
    </row>
    <row r="218" ht="14.25" customHeight="1">
      <c r="A218" s="10"/>
      <c r="B218" s="10">
        <v>11.0</v>
      </c>
      <c r="C218" s="11" t="s">
        <v>3559</v>
      </c>
      <c r="D218" s="10">
        <v>1.0</v>
      </c>
      <c r="E218" s="12"/>
      <c r="F218" s="11" t="s">
        <v>3560</v>
      </c>
      <c r="G218" s="12"/>
      <c r="H218" s="11" t="s">
        <v>3561</v>
      </c>
      <c r="I218" s="12"/>
      <c r="J218" s="11" t="s">
        <v>3562</v>
      </c>
      <c r="K218" s="12"/>
    </row>
    <row r="219" ht="14.25" customHeight="1">
      <c r="A219" s="13"/>
      <c r="B219" s="13">
        <v>12.0</v>
      </c>
      <c r="C219" s="14" t="s">
        <v>3563</v>
      </c>
      <c r="D219" s="13">
        <v>1.0</v>
      </c>
      <c r="E219" s="15"/>
      <c r="F219" s="14" t="s">
        <v>3564</v>
      </c>
      <c r="G219" s="15"/>
      <c r="H219" s="14" t="s">
        <v>3214</v>
      </c>
      <c r="I219" s="15"/>
      <c r="J219" s="14" t="s">
        <v>3565</v>
      </c>
      <c r="K219" s="15"/>
    </row>
    <row r="220" ht="14.25" customHeight="1">
      <c r="A220" s="10"/>
      <c r="B220" s="10">
        <v>13.0</v>
      </c>
      <c r="C220" s="11" t="s">
        <v>3566</v>
      </c>
      <c r="D220" s="10">
        <v>1.0</v>
      </c>
      <c r="E220" s="12"/>
      <c r="F220" s="11" t="s">
        <v>3567</v>
      </c>
      <c r="G220" s="12"/>
      <c r="H220" s="11" t="s">
        <v>3568</v>
      </c>
      <c r="I220" s="12"/>
      <c r="J220" s="11" t="s">
        <v>3569</v>
      </c>
      <c r="K220" s="12"/>
    </row>
    <row r="221" ht="14.25" customHeight="1">
      <c r="A221" s="13"/>
      <c r="B221" s="13">
        <v>14.0</v>
      </c>
      <c r="C221" s="14" t="s">
        <v>3570</v>
      </c>
      <c r="D221" s="13">
        <v>1.0</v>
      </c>
      <c r="E221" s="15"/>
      <c r="F221" s="14" t="s">
        <v>3571</v>
      </c>
      <c r="H221" s="14" t="s">
        <v>3572</v>
      </c>
      <c r="I221" s="15"/>
      <c r="J221" s="14" t="s">
        <v>3573</v>
      </c>
      <c r="K221" s="15"/>
    </row>
    <row r="222" ht="14.25" customHeight="1">
      <c r="A222" s="10"/>
      <c r="B222" s="10">
        <v>15.0</v>
      </c>
      <c r="C222" s="11" t="s">
        <v>3574</v>
      </c>
      <c r="D222" s="10">
        <v>1.0</v>
      </c>
      <c r="E222" s="12"/>
      <c r="F222" s="11" t="s">
        <v>1225</v>
      </c>
      <c r="G222" s="12"/>
      <c r="H222" s="11" t="s">
        <v>3575</v>
      </c>
      <c r="I222" s="12"/>
      <c r="J222" s="11" t="s">
        <v>3576</v>
      </c>
      <c r="K222" s="12"/>
    </row>
    <row r="223" ht="14.25" customHeight="1">
      <c r="A223" s="13"/>
      <c r="B223" s="13">
        <v>16.0</v>
      </c>
      <c r="C223" s="14" t="s">
        <v>3577</v>
      </c>
      <c r="D223" s="13">
        <v>1.0</v>
      </c>
      <c r="E223" s="15"/>
      <c r="F223" s="14" t="s">
        <v>3578</v>
      </c>
      <c r="G223" s="15"/>
      <c r="H223" s="14" t="s">
        <v>3579</v>
      </c>
      <c r="I223" s="15"/>
      <c r="J223" s="14" t="s">
        <v>3580</v>
      </c>
      <c r="K223" s="15"/>
    </row>
    <row r="224" ht="14.25" customHeight="1">
      <c r="A224" s="10"/>
      <c r="B224" s="10">
        <v>17.0</v>
      </c>
      <c r="C224" s="11" t="s">
        <v>3581</v>
      </c>
      <c r="D224" s="10">
        <v>1.0</v>
      </c>
      <c r="E224" s="12"/>
      <c r="F224" s="11" t="s">
        <v>3582</v>
      </c>
      <c r="G224" s="12"/>
      <c r="H224" s="11" t="s">
        <v>3583</v>
      </c>
      <c r="I224" s="12"/>
      <c r="J224" s="11" t="s">
        <v>3584</v>
      </c>
      <c r="K224" s="12"/>
    </row>
    <row r="225" ht="14.25" customHeight="1">
      <c r="A225" s="13"/>
      <c r="B225" s="13">
        <v>18.0</v>
      </c>
      <c r="C225" s="14" t="s">
        <v>3585</v>
      </c>
      <c r="D225" s="13">
        <v>1.0</v>
      </c>
      <c r="E225" s="15"/>
      <c r="F225" s="14" t="s">
        <v>3586</v>
      </c>
      <c r="G225" s="15"/>
      <c r="H225" s="14" t="s">
        <v>3587</v>
      </c>
      <c r="I225" s="15"/>
      <c r="J225" s="14" t="s">
        <v>3588</v>
      </c>
      <c r="K225" s="15"/>
    </row>
    <row r="226" ht="14.25" customHeight="1">
      <c r="A226" s="10"/>
      <c r="B226" s="10">
        <v>19.0</v>
      </c>
      <c r="C226" s="11" t="s">
        <v>3589</v>
      </c>
      <c r="D226" s="10">
        <v>0.0</v>
      </c>
      <c r="E226" s="12"/>
      <c r="F226" s="11" t="s">
        <v>3590</v>
      </c>
      <c r="G226" s="12"/>
      <c r="H226" s="11" t="s">
        <v>3591</v>
      </c>
      <c r="I226" s="12"/>
      <c r="J226" s="11" t="s">
        <v>3592</v>
      </c>
      <c r="K226" s="12"/>
    </row>
    <row r="227" ht="14.25" customHeight="1">
      <c r="A227" s="13"/>
      <c r="B227" s="13">
        <v>20.0</v>
      </c>
      <c r="C227" s="14" t="s">
        <v>3593</v>
      </c>
      <c r="D227" s="13">
        <v>1.0</v>
      </c>
      <c r="E227" s="15"/>
      <c r="F227" s="14" t="s">
        <v>3594</v>
      </c>
      <c r="G227" s="15"/>
      <c r="H227" s="14" t="s">
        <v>3595</v>
      </c>
      <c r="I227" s="15"/>
      <c r="J227" s="14" t="s">
        <v>3596</v>
      </c>
      <c r="K227" s="15"/>
    </row>
    <row r="228" ht="14.25" customHeight="1">
      <c r="A228" s="10"/>
      <c r="B228" s="10">
        <v>21.0</v>
      </c>
      <c r="C228" s="11" t="s">
        <v>3597</v>
      </c>
      <c r="D228" s="10">
        <v>1.0</v>
      </c>
      <c r="E228" s="12"/>
      <c r="F228" s="11" t="s">
        <v>3598</v>
      </c>
      <c r="G228" s="12"/>
      <c r="H228" s="11" t="s">
        <v>3599</v>
      </c>
      <c r="I228" s="12"/>
      <c r="J228" s="11" t="s">
        <v>3600</v>
      </c>
      <c r="K228" s="12"/>
    </row>
    <row r="229" ht="14.25" customHeight="1">
      <c r="A229" s="13"/>
      <c r="B229" s="13">
        <v>22.0</v>
      </c>
      <c r="C229" s="14" t="s">
        <v>3601</v>
      </c>
      <c r="D229" s="13">
        <v>1.0</v>
      </c>
      <c r="E229" s="15"/>
      <c r="F229" s="14" t="s">
        <v>3602</v>
      </c>
      <c r="H229" s="14" t="s">
        <v>3603</v>
      </c>
      <c r="I229" s="15"/>
      <c r="J229" s="14" t="s">
        <v>3604</v>
      </c>
      <c r="K229" s="15"/>
    </row>
    <row r="230" ht="14.25" customHeight="1">
      <c r="A230" s="10"/>
      <c r="B230" s="10">
        <v>23.0</v>
      </c>
      <c r="C230" s="11" t="s">
        <v>3605</v>
      </c>
      <c r="D230" s="10">
        <v>1.0</v>
      </c>
      <c r="E230" s="12"/>
      <c r="F230" s="11" t="s">
        <v>3606</v>
      </c>
      <c r="G230" s="12"/>
      <c r="H230" s="11" t="s">
        <v>3607</v>
      </c>
      <c r="I230" s="12"/>
      <c r="J230" s="11" t="s">
        <v>3608</v>
      </c>
      <c r="K230" s="12"/>
    </row>
    <row r="231" ht="14.25" customHeight="1">
      <c r="A231" s="13"/>
      <c r="B231" s="13">
        <v>24.0</v>
      </c>
      <c r="C231" s="14" t="s">
        <v>3609</v>
      </c>
      <c r="D231" s="13">
        <v>1.0</v>
      </c>
      <c r="E231" s="15"/>
      <c r="F231" s="14" t="s">
        <v>3610</v>
      </c>
      <c r="H231" s="14" t="s">
        <v>3611</v>
      </c>
      <c r="I231" s="15"/>
      <c r="J231" s="14" t="s">
        <v>3612</v>
      </c>
      <c r="K231" s="15"/>
    </row>
    <row r="232" ht="14.25" customHeight="1">
      <c r="A232" s="10"/>
      <c r="B232" s="10">
        <v>25.0</v>
      </c>
      <c r="C232" s="11" t="s">
        <v>3613</v>
      </c>
      <c r="D232" s="10">
        <v>1.0</v>
      </c>
      <c r="E232" s="12"/>
      <c r="F232" s="11" t="s">
        <v>3614</v>
      </c>
      <c r="G232" s="12"/>
      <c r="H232" s="11" t="s">
        <v>3615</v>
      </c>
      <c r="I232" s="12"/>
      <c r="J232" s="11" t="s">
        <v>3616</v>
      </c>
      <c r="K232" s="12"/>
    </row>
    <row r="233" ht="14.25" customHeight="1">
      <c r="A233" s="13"/>
      <c r="B233" s="13">
        <v>26.0</v>
      </c>
      <c r="C233" s="14" t="s">
        <v>3617</v>
      </c>
      <c r="D233" s="13">
        <v>0.0</v>
      </c>
      <c r="E233" s="15"/>
      <c r="F233" s="14" t="s">
        <v>3618</v>
      </c>
      <c r="G233" s="15"/>
      <c r="H233" s="14" t="s">
        <v>3619</v>
      </c>
      <c r="I233" s="15"/>
      <c r="J233" s="14" t="s">
        <v>3620</v>
      </c>
      <c r="K233" s="15"/>
    </row>
    <row r="234" ht="14.25" customHeight="1">
      <c r="A234" s="10"/>
      <c r="B234" s="10">
        <v>27.0</v>
      </c>
      <c r="C234" s="11" t="s">
        <v>3621</v>
      </c>
      <c r="D234" s="10">
        <v>1.0</v>
      </c>
      <c r="E234" s="12"/>
      <c r="F234" s="11" t="s">
        <v>3622</v>
      </c>
      <c r="G234" s="12"/>
      <c r="H234" s="11" t="s">
        <v>3623</v>
      </c>
      <c r="I234" s="12"/>
      <c r="J234" s="11" t="s">
        <v>3624</v>
      </c>
      <c r="K234" s="12"/>
    </row>
    <row r="235" ht="14.25" customHeight="1">
      <c r="A235" s="13"/>
      <c r="B235" s="13">
        <v>28.0</v>
      </c>
      <c r="C235" s="14" t="s">
        <v>3625</v>
      </c>
      <c r="D235" s="13">
        <v>1.0</v>
      </c>
      <c r="E235" s="15"/>
      <c r="F235" s="14" t="s">
        <v>3626</v>
      </c>
      <c r="G235" s="15"/>
      <c r="H235" s="14" t="s">
        <v>3627</v>
      </c>
      <c r="I235" s="15"/>
      <c r="J235" s="14" t="s">
        <v>3628</v>
      </c>
      <c r="K235" s="15"/>
    </row>
    <row r="236" ht="14.25" customHeight="1">
      <c r="A236" s="10"/>
      <c r="B236" s="10">
        <v>29.0</v>
      </c>
      <c r="C236" s="11" t="s">
        <v>3629</v>
      </c>
      <c r="D236" s="10">
        <v>1.0</v>
      </c>
      <c r="E236" s="12"/>
      <c r="F236" s="11" t="s">
        <v>3630</v>
      </c>
      <c r="H236" s="11" t="s">
        <v>3572</v>
      </c>
      <c r="I236" s="12"/>
      <c r="J236" s="11" t="s">
        <v>3631</v>
      </c>
      <c r="K236" s="12"/>
    </row>
    <row r="237" ht="14.25" customHeight="1">
      <c r="A237" s="13"/>
      <c r="B237" s="13">
        <v>30.0</v>
      </c>
      <c r="C237" s="14" t="s">
        <v>3632</v>
      </c>
      <c r="D237" s="13">
        <v>1.0</v>
      </c>
      <c r="E237" s="15"/>
      <c r="F237" s="14" t="s">
        <v>3633</v>
      </c>
      <c r="H237" s="14" t="s">
        <v>3572</v>
      </c>
      <c r="I237" s="15"/>
      <c r="J237" s="14" t="s">
        <v>3634</v>
      </c>
      <c r="K237" s="15"/>
    </row>
    <row r="238" ht="14.25" customHeight="1">
      <c r="A238" s="10"/>
      <c r="B238" s="10">
        <v>31.0</v>
      </c>
      <c r="C238" s="11" t="s">
        <v>3635</v>
      </c>
      <c r="D238" s="10">
        <v>1.0</v>
      </c>
      <c r="E238" s="12"/>
      <c r="F238" s="11" t="s">
        <v>3636</v>
      </c>
      <c r="G238" s="12"/>
      <c r="H238" s="11" t="s">
        <v>3637</v>
      </c>
      <c r="I238" s="12"/>
      <c r="J238" s="11" t="s">
        <v>3638</v>
      </c>
      <c r="K238" s="12"/>
    </row>
    <row r="239" ht="14.25" customHeight="1">
      <c r="A239" s="13"/>
      <c r="B239" s="13">
        <v>32.0</v>
      </c>
      <c r="C239" s="14" t="s">
        <v>3639</v>
      </c>
      <c r="D239" s="13">
        <v>1.0</v>
      </c>
      <c r="E239" s="15"/>
      <c r="F239" s="14" t="s">
        <v>3640</v>
      </c>
      <c r="G239" s="15"/>
      <c r="H239" s="14" t="s">
        <v>3641</v>
      </c>
      <c r="I239" s="15"/>
      <c r="J239" s="14" t="s">
        <v>3642</v>
      </c>
      <c r="K239" s="15"/>
    </row>
    <row r="240" ht="14.25" customHeight="1">
      <c r="A240" s="10"/>
      <c r="B240" s="10">
        <v>33.0</v>
      </c>
      <c r="C240" s="11" t="s">
        <v>3643</v>
      </c>
      <c r="D240" s="10">
        <v>1.0</v>
      </c>
      <c r="E240" s="12"/>
      <c r="F240" s="11" t="s">
        <v>3644</v>
      </c>
      <c r="G240" s="12"/>
      <c r="H240" s="11" t="s">
        <v>3645</v>
      </c>
      <c r="I240" s="12"/>
      <c r="J240" s="11" t="s">
        <v>3646</v>
      </c>
      <c r="K240" s="12"/>
    </row>
    <row r="241" ht="14.25" customHeight="1">
      <c r="A241" s="13"/>
      <c r="B241" s="13">
        <v>34.0</v>
      </c>
      <c r="C241" s="14" t="s">
        <v>3647</v>
      </c>
      <c r="D241" s="13">
        <v>1.0</v>
      </c>
      <c r="E241" s="15"/>
      <c r="F241" s="14" t="s">
        <v>3648</v>
      </c>
      <c r="G241" s="15"/>
      <c r="H241" s="14" t="s">
        <v>3649</v>
      </c>
      <c r="I241" s="15"/>
      <c r="J241" s="14" t="s">
        <v>3650</v>
      </c>
      <c r="K241" s="15"/>
    </row>
    <row r="242" ht="14.25" customHeight="1">
      <c r="A242" s="10"/>
      <c r="B242" s="10">
        <v>35.0</v>
      </c>
      <c r="C242" s="11" t="s">
        <v>3651</v>
      </c>
      <c r="D242" s="10">
        <v>1.0</v>
      </c>
      <c r="E242" s="12"/>
      <c r="F242" s="11" t="s">
        <v>3652</v>
      </c>
      <c r="H242" s="11" t="s">
        <v>3653</v>
      </c>
      <c r="I242" s="12"/>
      <c r="J242" s="11" t="s">
        <v>3654</v>
      </c>
      <c r="K242" s="12"/>
    </row>
    <row r="243" ht="14.25" customHeight="1">
      <c r="A243" s="13"/>
      <c r="B243" s="13">
        <v>36.0</v>
      </c>
      <c r="C243" s="14" t="s">
        <v>3655</v>
      </c>
      <c r="D243" s="13">
        <v>0.0</v>
      </c>
      <c r="E243" s="15"/>
      <c r="F243" s="14" t="s">
        <v>3656</v>
      </c>
      <c r="G243" s="15"/>
      <c r="H243" s="14" t="s">
        <v>970</v>
      </c>
      <c r="I243" s="15"/>
      <c r="J243" s="14" t="s">
        <v>3657</v>
      </c>
      <c r="K243" s="15"/>
    </row>
    <row r="244" ht="14.25" customHeight="1">
      <c r="A244" s="10"/>
      <c r="B244" s="10">
        <v>37.0</v>
      </c>
      <c r="C244" s="11" t="s">
        <v>3658</v>
      </c>
      <c r="D244" s="10">
        <v>0.0</v>
      </c>
      <c r="E244" s="12"/>
      <c r="F244" s="11" t="s">
        <v>3659</v>
      </c>
      <c r="H244" s="11" t="s">
        <v>3660</v>
      </c>
      <c r="I244" s="12"/>
      <c r="J244" s="11" t="s">
        <v>3661</v>
      </c>
      <c r="K244" s="12"/>
    </row>
    <row r="245" ht="14.25" customHeight="1">
      <c r="A245" s="13"/>
      <c r="B245" s="13">
        <v>38.0</v>
      </c>
      <c r="C245" s="14" t="s">
        <v>3662</v>
      </c>
      <c r="D245" s="13">
        <v>1.0</v>
      </c>
      <c r="E245" s="15"/>
      <c r="F245" s="14" t="s">
        <v>3663</v>
      </c>
      <c r="G245" s="15"/>
      <c r="H245" s="14" t="s">
        <v>3664</v>
      </c>
      <c r="I245" s="15"/>
      <c r="J245" s="14" t="s">
        <v>3665</v>
      </c>
      <c r="K245" s="15"/>
    </row>
    <row r="246" ht="14.25" customHeight="1">
      <c r="A246" s="10"/>
      <c r="B246" s="10">
        <v>39.0</v>
      </c>
      <c r="C246" s="11" t="s">
        <v>3666</v>
      </c>
      <c r="D246" s="10">
        <v>1.0</v>
      </c>
      <c r="E246" s="12"/>
      <c r="F246" s="11" t="s">
        <v>3667</v>
      </c>
      <c r="G246" s="12"/>
      <c r="H246" s="11" t="s">
        <v>3668</v>
      </c>
      <c r="I246" s="12"/>
      <c r="J246" s="11" t="s">
        <v>3669</v>
      </c>
      <c r="K246" s="12"/>
    </row>
    <row r="247" ht="14.25" customHeight="1">
      <c r="A247" s="13"/>
      <c r="B247" s="13">
        <v>40.0</v>
      </c>
      <c r="C247" s="14" t="s">
        <v>3670</v>
      </c>
      <c r="D247" s="13">
        <v>0.0</v>
      </c>
      <c r="E247" s="15"/>
      <c r="F247" s="14" t="s">
        <v>3671</v>
      </c>
      <c r="G247" s="15"/>
      <c r="H247" s="14" t="s">
        <v>3672</v>
      </c>
      <c r="I247" s="15"/>
      <c r="J247" s="14" t="s">
        <v>3673</v>
      </c>
      <c r="K247" s="15"/>
    </row>
    <row r="248" ht="14.25" customHeight="1">
      <c r="A248" s="10"/>
      <c r="B248" s="10">
        <v>41.0</v>
      </c>
      <c r="C248" s="11" t="s">
        <v>3674</v>
      </c>
      <c r="D248" s="10">
        <v>1.0</v>
      </c>
      <c r="E248" s="12"/>
      <c r="F248" s="11" t="s">
        <v>3675</v>
      </c>
      <c r="G248" s="12"/>
      <c r="H248" s="11" t="s">
        <v>3676</v>
      </c>
      <c r="I248" s="12"/>
      <c r="J248" s="11" t="s">
        <v>3677</v>
      </c>
      <c r="K248" s="12"/>
    </row>
    <row r="249" ht="14.25" customHeight="1">
      <c r="A249" s="13"/>
      <c r="B249" s="13">
        <v>42.0</v>
      </c>
      <c r="C249" s="14" t="s">
        <v>3678</v>
      </c>
      <c r="D249" s="13">
        <v>1.0</v>
      </c>
      <c r="E249" s="15"/>
      <c r="F249" s="14" t="s">
        <v>3679</v>
      </c>
      <c r="G249" s="15"/>
      <c r="H249" s="14" t="s">
        <v>970</v>
      </c>
      <c r="I249" s="15"/>
      <c r="J249" s="14" t="s">
        <v>3680</v>
      </c>
      <c r="K249" s="15"/>
    </row>
    <row r="250" ht="14.25" customHeight="1">
      <c r="A250" s="10"/>
      <c r="B250" s="10">
        <v>43.0</v>
      </c>
      <c r="C250" s="11" t="s">
        <v>3681</v>
      </c>
      <c r="D250" s="10">
        <v>1.0</v>
      </c>
      <c r="E250" s="12"/>
      <c r="F250" s="11" t="s">
        <v>3682</v>
      </c>
      <c r="G250" s="12"/>
      <c r="H250" s="11" t="s">
        <v>3683</v>
      </c>
      <c r="I250" s="12"/>
      <c r="J250" s="11" t="s">
        <v>3684</v>
      </c>
      <c r="K250" s="12"/>
    </row>
    <row r="251" ht="14.25" customHeight="1">
      <c r="A251" s="13"/>
      <c r="B251" s="13">
        <v>44.0</v>
      </c>
      <c r="C251" s="14" t="s">
        <v>3685</v>
      </c>
      <c r="D251" s="13">
        <v>1.0</v>
      </c>
      <c r="E251" s="15"/>
      <c r="F251" s="14" t="s">
        <v>3686</v>
      </c>
      <c r="G251" s="15"/>
      <c r="H251" s="14" t="s">
        <v>3687</v>
      </c>
      <c r="I251" s="15"/>
      <c r="J251" s="14" t="s">
        <v>3688</v>
      </c>
      <c r="K251" s="15"/>
    </row>
    <row r="252" ht="14.25" customHeight="1">
      <c r="A252" s="10"/>
      <c r="B252" s="10">
        <v>45.0</v>
      </c>
      <c r="C252" s="11" t="s">
        <v>3689</v>
      </c>
      <c r="D252" s="10">
        <v>0.0</v>
      </c>
      <c r="E252" s="12"/>
      <c r="F252" s="11" t="s">
        <v>3690</v>
      </c>
      <c r="G252" s="12"/>
      <c r="H252" s="11" t="s">
        <v>3691</v>
      </c>
      <c r="I252" s="12"/>
      <c r="J252" s="11" t="s">
        <v>3692</v>
      </c>
      <c r="K252" s="12"/>
    </row>
    <row r="253" ht="14.25" customHeight="1">
      <c r="A253" s="13"/>
      <c r="B253" s="13">
        <v>46.0</v>
      </c>
      <c r="C253" s="14" t="s">
        <v>3693</v>
      </c>
      <c r="D253" s="13">
        <v>1.0</v>
      </c>
      <c r="E253" s="15"/>
      <c r="F253" s="14" t="s">
        <v>3694</v>
      </c>
      <c r="G253" s="15"/>
      <c r="H253" s="14" t="s">
        <v>3695</v>
      </c>
      <c r="I253" s="15"/>
      <c r="J253" s="14" t="s">
        <v>3696</v>
      </c>
      <c r="K253" s="15"/>
    </row>
    <row r="254" ht="14.25" customHeight="1">
      <c r="A254" s="10"/>
      <c r="B254" s="10">
        <v>47.0</v>
      </c>
      <c r="C254" s="11" t="s">
        <v>3697</v>
      </c>
      <c r="D254" s="10">
        <v>1.0</v>
      </c>
      <c r="E254" s="12"/>
      <c r="F254" s="11" t="s">
        <v>3698</v>
      </c>
      <c r="G254" s="12"/>
      <c r="H254" s="11" t="s">
        <v>3541</v>
      </c>
      <c r="I254" s="12"/>
      <c r="J254" s="11" t="s">
        <v>3699</v>
      </c>
      <c r="K254" s="12"/>
    </row>
    <row r="255" ht="14.25" customHeight="1">
      <c r="A255" s="13"/>
      <c r="B255" s="13">
        <v>48.0</v>
      </c>
      <c r="C255" s="14" t="s">
        <v>3700</v>
      </c>
      <c r="D255" s="13">
        <v>1.0</v>
      </c>
      <c r="E255" s="15"/>
      <c r="F255" s="14" t="s">
        <v>3701</v>
      </c>
      <c r="G255" s="15"/>
      <c r="H255" s="14" t="s">
        <v>3702</v>
      </c>
      <c r="I255" s="15"/>
      <c r="J255" s="14" t="s">
        <v>3703</v>
      </c>
      <c r="K255" s="15"/>
    </row>
    <row r="256" ht="14.25" customHeight="1">
      <c r="A256" s="10"/>
      <c r="B256" s="10">
        <v>49.0</v>
      </c>
      <c r="C256" s="11" t="s">
        <v>3704</v>
      </c>
      <c r="D256" s="10">
        <v>1.0</v>
      </c>
      <c r="E256" s="12"/>
      <c r="F256" s="11" t="s">
        <v>3705</v>
      </c>
      <c r="G256" s="12"/>
      <c r="H256" s="11" t="s">
        <v>3706</v>
      </c>
      <c r="I256" s="12"/>
      <c r="J256" s="11" t="s">
        <v>3707</v>
      </c>
      <c r="K256" s="12"/>
    </row>
    <row r="257" ht="14.25" customHeight="1">
      <c r="A257" s="13"/>
      <c r="B257" s="13">
        <v>50.0</v>
      </c>
      <c r="C257" s="14" t="s">
        <v>3708</v>
      </c>
      <c r="D257" s="13">
        <v>1.0</v>
      </c>
      <c r="E257" s="15"/>
      <c r="F257" s="14" t="s">
        <v>3709</v>
      </c>
      <c r="G257" s="15"/>
      <c r="H257" s="14" t="s">
        <v>60</v>
      </c>
      <c r="I257" s="15"/>
      <c r="J257" s="14" t="s">
        <v>3710</v>
      </c>
      <c r="K257" s="15"/>
    </row>
    <row r="258" ht="14.25" customHeight="1">
      <c r="A258" s="10"/>
      <c r="B258" s="10">
        <v>51.0</v>
      </c>
      <c r="C258" s="11" t="s">
        <v>3711</v>
      </c>
      <c r="D258" s="10">
        <v>1.0</v>
      </c>
      <c r="E258" s="12"/>
      <c r="F258" s="11" t="s">
        <v>3712</v>
      </c>
      <c r="G258" s="12"/>
      <c r="H258" s="11" t="s">
        <v>3713</v>
      </c>
      <c r="I258" s="12"/>
      <c r="J258" s="11" t="s">
        <v>3714</v>
      </c>
      <c r="K258" s="12"/>
    </row>
    <row r="259" ht="14.25" customHeight="1">
      <c r="A259" s="13"/>
      <c r="B259" s="13">
        <v>52.0</v>
      </c>
      <c r="C259" s="14" t="s">
        <v>3715</v>
      </c>
      <c r="D259" s="13">
        <v>1.0</v>
      </c>
      <c r="E259" s="15"/>
      <c r="F259" s="14" t="s">
        <v>3716</v>
      </c>
      <c r="G259" s="15"/>
      <c r="H259" s="14" t="s">
        <v>970</v>
      </c>
      <c r="I259" s="15"/>
      <c r="J259" s="14" t="s">
        <v>3717</v>
      </c>
      <c r="K259" s="15"/>
    </row>
    <row r="260" ht="14.25" customHeight="1">
      <c r="A260" s="10"/>
      <c r="B260" s="10">
        <v>53.0</v>
      </c>
      <c r="C260" s="11" t="s">
        <v>3718</v>
      </c>
      <c r="D260" s="10">
        <v>1.0</v>
      </c>
      <c r="E260" s="12"/>
      <c r="F260" s="11" t="s">
        <v>3719</v>
      </c>
      <c r="G260" s="12"/>
      <c r="H260" s="11" t="s">
        <v>3720</v>
      </c>
      <c r="I260" s="12"/>
      <c r="J260" s="11" t="s">
        <v>3721</v>
      </c>
      <c r="K260" s="12"/>
    </row>
    <row r="261" ht="14.25" customHeight="1">
      <c r="A261" s="13"/>
      <c r="B261" s="13">
        <v>54.0</v>
      </c>
      <c r="C261" s="14" t="s">
        <v>3722</v>
      </c>
      <c r="D261" s="13">
        <v>1.0</v>
      </c>
      <c r="E261" s="15"/>
      <c r="F261" s="14" t="s">
        <v>3723</v>
      </c>
      <c r="G261" s="15"/>
      <c r="H261" s="14" t="s">
        <v>3572</v>
      </c>
      <c r="I261" s="15"/>
      <c r="J261" s="14" t="s">
        <v>3724</v>
      </c>
      <c r="K261" s="15"/>
    </row>
    <row r="262" ht="14.25" customHeight="1">
      <c r="A262" s="10"/>
      <c r="B262" s="10">
        <v>55.0</v>
      </c>
      <c r="C262" s="11" t="s">
        <v>3725</v>
      </c>
      <c r="D262" s="10">
        <v>1.0</v>
      </c>
      <c r="E262" s="12"/>
      <c r="F262" s="11" t="s">
        <v>3726</v>
      </c>
      <c r="G262" s="12"/>
      <c r="H262" s="11" t="s">
        <v>3572</v>
      </c>
      <c r="I262" s="12"/>
      <c r="J262" s="11" t="s">
        <v>3727</v>
      </c>
      <c r="K262" s="12"/>
    </row>
    <row r="263" ht="14.25" customHeight="1">
      <c r="A263" s="13"/>
      <c r="B263" s="13">
        <v>56.0</v>
      </c>
      <c r="C263" s="14" t="s">
        <v>3728</v>
      </c>
      <c r="D263" s="13">
        <v>1.0</v>
      </c>
      <c r="E263" s="15"/>
      <c r="F263" s="14" t="s">
        <v>3729</v>
      </c>
      <c r="G263" s="15"/>
      <c r="H263" s="14" t="s">
        <v>3730</v>
      </c>
      <c r="I263" s="15"/>
      <c r="J263" s="14" t="s">
        <v>3731</v>
      </c>
      <c r="K263" s="15"/>
    </row>
    <row r="264" ht="14.25" customHeight="1">
      <c r="A264" s="10"/>
      <c r="B264" s="10">
        <v>57.0</v>
      </c>
      <c r="C264" s="11" t="s">
        <v>3732</v>
      </c>
      <c r="D264" s="10">
        <v>1.0</v>
      </c>
      <c r="E264" s="12"/>
      <c r="F264" s="11" t="s">
        <v>3733</v>
      </c>
      <c r="G264" s="12"/>
      <c r="H264" s="11" t="s">
        <v>3734</v>
      </c>
      <c r="I264" s="12"/>
      <c r="J264" s="11" t="s">
        <v>3735</v>
      </c>
      <c r="K264" s="12"/>
    </row>
    <row r="265" ht="14.25" customHeight="1">
      <c r="A265" s="13"/>
      <c r="B265" s="13">
        <v>58.0</v>
      </c>
      <c r="C265" s="14" t="s">
        <v>3736</v>
      </c>
      <c r="D265" s="13">
        <v>1.0</v>
      </c>
      <c r="E265" s="15"/>
      <c r="F265" s="14" t="s">
        <v>3737</v>
      </c>
      <c r="G265" s="15"/>
      <c r="H265" s="14" t="s">
        <v>3738</v>
      </c>
      <c r="I265" s="15"/>
      <c r="J265" s="14" t="s">
        <v>3739</v>
      </c>
      <c r="K265" s="15"/>
    </row>
    <row r="266" ht="14.25" customHeight="1">
      <c r="A266" s="10"/>
      <c r="B266" s="10">
        <v>59.0</v>
      </c>
      <c r="C266" s="11" t="s">
        <v>3740</v>
      </c>
      <c r="D266" s="10">
        <v>0.0</v>
      </c>
      <c r="E266" s="12"/>
      <c r="F266" s="11" t="s">
        <v>3741</v>
      </c>
      <c r="G266" s="12"/>
      <c r="H266" s="11" t="s">
        <v>3572</v>
      </c>
      <c r="I266" s="12"/>
      <c r="J266" s="11" t="s">
        <v>3742</v>
      </c>
      <c r="K266" s="12"/>
    </row>
    <row r="267" ht="14.25" customHeight="1">
      <c r="A267" s="13"/>
      <c r="B267" s="13">
        <v>60.0</v>
      </c>
      <c r="C267" s="14" t="s">
        <v>3743</v>
      </c>
      <c r="D267" s="13">
        <v>1.0</v>
      </c>
      <c r="E267" s="15"/>
      <c r="F267" s="14" t="s">
        <v>3744</v>
      </c>
      <c r="G267" s="15"/>
      <c r="H267" s="14" t="s">
        <v>3745</v>
      </c>
      <c r="I267" s="15"/>
      <c r="J267" s="14" t="s">
        <v>3746</v>
      </c>
      <c r="K267" s="15"/>
    </row>
    <row r="268" ht="14.25" customHeight="1">
      <c r="A268" s="10"/>
      <c r="B268" s="10">
        <v>61.0</v>
      </c>
      <c r="C268" s="11" t="s">
        <v>3747</v>
      </c>
      <c r="D268" s="10">
        <v>0.0</v>
      </c>
      <c r="E268" s="12"/>
      <c r="F268" s="11" t="s">
        <v>3748</v>
      </c>
      <c r="G268" s="12"/>
      <c r="H268" s="11" t="s">
        <v>3749</v>
      </c>
      <c r="I268" s="12"/>
      <c r="J268" s="11" t="s">
        <v>3750</v>
      </c>
      <c r="K268" s="12"/>
    </row>
    <row r="269" ht="14.25" customHeight="1">
      <c r="A269" s="13"/>
      <c r="B269" s="13">
        <v>62.0</v>
      </c>
      <c r="C269" s="14" t="s">
        <v>3751</v>
      </c>
      <c r="D269" s="13">
        <v>1.0</v>
      </c>
      <c r="E269" s="15"/>
      <c r="F269" s="14" t="s">
        <v>3752</v>
      </c>
      <c r="G269" s="15"/>
      <c r="H269" s="14" t="s">
        <v>3753</v>
      </c>
      <c r="I269" s="15"/>
      <c r="J269" s="14" t="s">
        <v>3754</v>
      </c>
      <c r="K269" s="15"/>
    </row>
    <row r="270" ht="14.25" customHeight="1">
      <c r="A270" s="10"/>
      <c r="B270" s="10">
        <v>63.0</v>
      </c>
      <c r="C270" s="11" t="s">
        <v>3755</v>
      </c>
      <c r="D270" s="10">
        <v>1.0</v>
      </c>
      <c r="E270" s="12"/>
      <c r="F270" s="11" t="s">
        <v>3344</v>
      </c>
      <c r="G270" s="12"/>
      <c r="H270" s="11" t="s">
        <v>134</v>
      </c>
      <c r="I270" s="12"/>
      <c r="J270" s="11" t="s">
        <v>3756</v>
      </c>
      <c r="K270" s="12"/>
    </row>
    <row r="271" ht="14.25" customHeight="1">
      <c r="A271" s="13"/>
      <c r="B271" s="13">
        <v>64.0</v>
      </c>
      <c r="C271" s="14" t="s">
        <v>3757</v>
      </c>
      <c r="D271" s="13">
        <v>1.0</v>
      </c>
      <c r="E271" s="15"/>
      <c r="F271" s="14" t="s">
        <v>3758</v>
      </c>
      <c r="H271" s="14" t="s">
        <v>3759</v>
      </c>
      <c r="I271" s="15"/>
      <c r="J271" s="14" t="s">
        <v>3760</v>
      </c>
      <c r="K271" s="15"/>
    </row>
    <row r="272" ht="14.25" customHeight="1">
      <c r="A272" s="10"/>
      <c r="B272" s="10">
        <v>65.0</v>
      </c>
      <c r="C272" s="11" t="s">
        <v>3761</v>
      </c>
      <c r="D272" s="10">
        <v>1.0</v>
      </c>
      <c r="E272" s="12"/>
      <c r="F272" s="11" t="s">
        <v>3762</v>
      </c>
      <c r="H272" s="11" t="s">
        <v>3763</v>
      </c>
      <c r="I272" s="12"/>
      <c r="J272" s="11" t="s">
        <v>3764</v>
      </c>
      <c r="K272" s="12"/>
    </row>
    <row r="273" ht="14.25" customHeight="1">
      <c r="A273" s="13"/>
      <c r="B273" s="13">
        <v>66.0</v>
      </c>
      <c r="C273" s="14" t="s">
        <v>3765</v>
      </c>
      <c r="D273" s="13">
        <v>1.0</v>
      </c>
      <c r="E273" s="15"/>
      <c r="F273" s="14" t="s">
        <v>3766</v>
      </c>
      <c r="G273" s="15"/>
      <c r="H273" s="14" t="s">
        <v>3767</v>
      </c>
      <c r="I273" s="15"/>
      <c r="J273" s="14" t="s">
        <v>3768</v>
      </c>
      <c r="K273" s="15"/>
    </row>
    <row r="274" ht="14.25" customHeight="1">
      <c r="A274" s="10"/>
      <c r="B274" s="10">
        <v>67.0</v>
      </c>
      <c r="C274" s="11" t="s">
        <v>3769</v>
      </c>
      <c r="D274" s="10">
        <v>1.0</v>
      </c>
      <c r="E274" s="12"/>
      <c r="F274" s="11" t="s">
        <v>3770</v>
      </c>
      <c r="G274" s="12"/>
      <c r="H274" s="11" t="s">
        <v>3771</v>
      </c>
      <c r="I274" s="12"/>
      <c r="J274" s="11" t="s">
        <v>3772</v>
      </c>
      <c r="K274" s="12"/>
    </row>
    <row r="275" ht="14.25" customHeight="1">
      <c r="A275" s="13"/>
      <c r="B275" s="13">
        <v>68.0</v>
      </c>
      <c r="C275" s="14" t="s">
        <v>3773</v>
      </c>
      <c r="D275" s="13">
        <v>0.0</v>
      </c>
      <c r="E275" s="15"/>
      <c r="F275" s="14" t="s">
        <v>3774</v>
      </c>
      <c r="H275" s="14" t="s">
        <v>3775</v>
      </c>
      <c r="I275" s="15"/>
      <c r="J275" s="14" t="s">
        <v>3776</v>
      </c>
      <c r="K275" s="15"/>
    </row>
    <row r="276" ht="14.25" customHeight="1">
      <c r="A276" s="10"/>
      <c r="B276" s="10">
        <v>69.0</v>
      </c>
      <c r="C276" s="11" t="s">
        <v>3777</v>
      </c>
      <c r="D276" s="10">
        <v>1.0</v>
      </c>
      <c r="E276" s="12"/>
      <c r="F276" s="11" t="s">
        <v>3778</v>
      </c>
      <c r="H276" s="11" t="s">
        <v>3779</v>
      </c>
      <c r="I276" s="12"/>
      <c r="J276" s="11" t="s">
        <v>3780</v>
      </c>
      <c r="K276" s="12"/>
    </row>
    <row r="277" ht="14.25" customHeight="1">
      <c r="A277" s="13"/>
      <c r="B277" s="13">
        <v>70.0</v>
      </c>
      <c r="C277" s="14" t="s">
        <v>3781</v>
      </c>
      <c r="D277" s="13">
        <v>1.0</v>
      </c>
      <c r="E277" s="15"/>
      <c r="F277" s="14" t="s">
        <v>3782</v>
      </c>
      <c r="G277" s="15"/>
      <c r="H277" s="14" t="s">
        <v>3615</v>
      </c>
      <c r="I277" s="15"/>
      <c r="J277" s="14" t="s">
        <v>3783</v>
      </c>
      <c r="K277" s="15"/>
    </row>
    <row r="278" ht="14.25" customHeight="1">
      <c r="A278" s="10"/>
      <c r="B278" s="10">
        <v>71.0</v>
      </c>
      <c r="C278" s="11" t="s">
        <v>3784</v>
      </c>
      <c r="D278" s="10">
        <v>1.0</v>
      </c>
      <c r="E278" s="12"/>
      <c r="F278" s="11" t="s">
        <v>3785</v>
      </c>
      <c r="G278" s="12"/>
      <c r="H278" s="11" t="s">
        <v>3786</v>
      </c>
      <c r="I278" s="12"/>
      <c r="J278" s="11" t="s">
        <v>3787</v>
      </c>
      <c r="K278" s="12"/>
    </row>
    <row r="279" ht="14.25" customHeight="1">
      <c r="A279" s="13"/>
      <c r="B279" s="13">
        <v>72.0</v>
      </c>
      <c r="C279" s="14" t="s">
        <v>3788</v>
      </c>
      <c r="D279" s="13">
        <v>1.0</v>
      </c>
      <c r="E279" s="15"/>
      <c r="F279" s="14" t="s">
        <v>1072</v>
      </c>
      <c r="G279" s="15"/>
      <c r="H279" s="14" t="s">
        <v>1073</v>
      </c>
      <c r="I279" s="15"/>
      <c r="J279" s="14" t="s">
        <v>3789</v>
      </c>
      <c r="K279" s="15"/>
    </row>
    <row r="280" ht="14.25" customHeight="1">
      <c r="A280" s="10"/>
      <c r="B280" s="10">
        <v>73.0</v>
      </c>
      <c r="C280" s="11" t="s">
        <v>3790</v>
      </c>
      <c r="D280" s="10">
        <v>1.0</v>
      </c>
      <c r="E280" s="12"/>
      <c r="F280" s="11" t="s">
        <v>3791</v>
      </c>
      <c r="G280" s="12"/>
      <c r="H280" s="11" t="s">
        <v>3792</v>
      </c>
      <c r="I280" s="12"/>
      <c r="J280" s="11" t="s">
        <v>3793</v>
      </c>
      <c r="K280" s="12"/>
    </row>
    <row r="281" ht="14.25" customHeight="1">
      <c r="A281" s="13"/>
      <c r="B281" s="13">
        <v>74.0</v>
      </c>
      <c r="C281" s="14" t="s">
        <v>3794</v>
      </c>
      <c r="D281" s="13">
        <v>1.0</v>
      </c>
      <c r="E281" s="15"/>
      <c r="F281" s="14" t="s">
        <v>3795</v>
      </c>
      <c r="H281" s="14" t="s">
        <v>3796</v>
      </c>
      <c r="I281" s="15"/>
      <c r="J281" s="14" t="s">
        <v>3797</v>
      </c>
      <c r="K281" s="15"/>
    </row>
    <row r="282" ht="14.25" customHeight="1">
      <c r="A282" s="10"/>
      <c r="B282" s="10">
        <v>75.0</v>
      </c>
      <c r="C282" s="11" t="s">
        <v>3798</v>
      </c>
      <c r="D282" s="10">
        <v>1.0</v>
      </c>
      <c r="E282" s="12"/>
      <c r="F282" s="11" t="s">
        <v>3799</v>
      </c>
      <c r="H282" s="11" t="s">
        <v>3800</v>
      </c>
      <c r="I282" s="12"/>
      <c r="J282" s="11" t="s">
        <v>3801</v>
      </c>
      <c r="K282" s="12"/>
    </row>
    <row r="283" ht="14.25" customHeight="1">
      <c r="A283" s="13"/>
      <c r="B283" s="13">
        <v>76.0</v>
      </c>
      <c r="C283" s="14" t="s">
        <v>3802</v>
      </c>
      <c r="D283" s="13">
        <v>1.0</v>
      </c>
      <c r="E283" s="15"/>
      <c r="F283" s="14" t="s">
        <v>3803</v>
      </c>
      <c r="H283" s="14" t="s">
        <v>3804</v>
      </c>
      <c r="I283" s="15"/>
      <c r="J283" s="14" t="s">
        <v>3805</v>
      </c>
      <c r="K283" s="15"/>
    </row>
    <row r="284" ht="14.25" customHeight="1">
      <c r="A284" s="10"/>
      <c r="B284" s="10">
        <v>77.0</v>
      </c>
      <c r="C284" s="11" t="s">
        <v>3806</v>
      </c>
      <c r="D284" s="10">
        <v>0.0</v>
      </c>
      <c r="E284" s="12"/>
      <c r="F284" s="11" t="s">
        <v>3807</v>
      </c>
      <c r="H284" s="11" t="s">
        <v>3808</v>
      </c>
      <c r="I284" s="12"/>
      <c r="J284" s="11" t="s">
        <v>3809</v>
      </c>
      <c r="K284" s="12"/>
    </row>
    <row r="285" ht="14.25" customHeight="1">
      <c r="A285" s="13"/>
      <c r="B285" s="13">
        <v>78.0</v>
      </c>
      <c r="C285" s="14" t="s">
        <v>3810</v>
      </c>
      <c r="D285" s="13">
        <v>0.0</v>
      </c>
      <c r="E285" s="15"/>
      <c r="F285" s="14" t="s">
        <v>3811</v>
      </c>
      <c r="G285" s="15"/>
      <c r="H285" s="14" t="s">
        <v>3812</v>
      </c>
      <c r="I285" s="15"/>
      <c r="J285" s="14" t="s">
        <v>3813</v>
      </c>
      <c r="K285" s="15"/>
    </row>
    <row r="286" ht="14.25" customHeight="1">
      <c r="A286" s="10"/>
      <c r="B286" s="10">
        <v>79.0</v>
      </c>
      <c r="C286" s="11" t="s">
        <v>3814</v>
      </c>
      <c r="D286" s="10">
        <v>1.0</v>
      </c>
      <c r="E286" s="12"/>
      <c r="F286" s="11" t="s">
        <v>3815</v>
      </c>
      <c r="G286" s="12"/>
      <c r="H286" s="11" t="s">
        <v>3816</v>
      </c>
      <c r="I286" s="12"/>
      <c r="J286" s="11" t="s">
        <v>3817</v>
      </c>
      <c r="K286" s="12"/>
    </row>
    <row r="287" ht="14.25" customHeight="1">
      <c r="A287" s="13"/>
      <c r="B287" s="13">
        <v>80.0</v>
      </c>
      <c r="C287" s="14" t="s">
        <v>3818</v>
      </c>
      <c r="D287" s="13">
        <v>1.0</v>
      </c>
      <c r="E287" s="15"/>
      <c r="F287" s="14" t="s">
        <v>3819</v>
      </c>
      <c r="G287" s="15"/>
      <c r="H287" s="14" t="s">
        <v>3820</v>
      </c>
      <c r="I287" s="15"/>
      <c r="J287" s="14" t="s">
        <v>3821</v>
      </c>
      <c r="K287" s="15"/>
    </row>
    <row r="288" ht="14.25" customHeight="1">
      <c r="A288" s="10"/>
      <c r="B288" s="10">
        <v>81.0</v>
      </c>
      <c r="C288" s="11" t="s">
        <v>3822</v>
      </c>
      <c r="D288" s="10">
        <v>1.0</v>
      </c>
      <c r="E288" s="12"/>
      <c r="F288" s="11" t="s">
        <v>3823</v>
      </c>
      <c r="G288" s="12"/>
      <c r="H288" s="11" t="s">
        <v>3824</v>
      </c>
      <c r="I288" s="12"/>
      <c r="J288" s="11" t="s">
        <v>3825</v>
      </c>
      <c r="K288" s="12"/>
    </row>
    <row r="289" ht="14.25" customHeight="1">
      <c r="A289" s="13"/>
      <c r="B289" s="13">
        <v>82.0</v>
      </c>
      <c r="C289" s="14" t="s">
        <v>3826</v>
      </c>
      <c r="D289" s="13">
        <v>0.0</v>
      </c>
      <c r="E289" s="15"/>
      <c r="F289" s="14" t="s">
        <v>3827</v>
      </c>
      <c r="G289" s="15"/>
      <c r="H289" s="14" t="s">
        <v>3828</v>
      </c>
      <c r="I289" s="15"/>
      <c r="J289" s="14" t="s">
        <v>3829</v>
      </c>
      <c r="K289" s="15"/>
    </row>
    <row r="290" ht="14.25" customHeight="1">
      <c r="A290" s="10"/>
      <c r="B290" s="10">
        <v>83.0</v>
      </c>
      <c r="C290" s="11" t="s">
        <v>3830</v>
      </c>
      <c r="D290" s="10">
        <v>1.0</v>
      </c>
      <c r="E290" s="12"/>
      <c r="F290" s="11" t="s">
        <v>3831</v>
      </c>
      <c r="G290" s="12"/>
      <c r="H290" s="11" t="s">
        <v>3832</v>
      </c>
      <c r="I290" s="12"/>
      <c r="J290" s="11" t="s">
        <v>3833</v>
      </c>
      <c r="K290" s="12"/>
    </row>
    <row r="291" ht="14.25" customHeight="1">
      <c r="A291" s="13"/>
      <c r="B291" s="13">
        <v>84.0</v>
      </c>
      <c r="C291" s="14" t="s">
        <v>3834</v>
      </c>
      <c r="D291" s="13">
        <v>1.0</v>
      </c>
      <c r="E291" s="15"/>
      <c r="F291" s="14" t="s">
        <v>3835</v>
      </c>
      <c r="G291" s="15"/>
      <c r="H291" s="14" t="s">
        <v>3836</v>
      </c>
      <c r="I291" s="15"/>
      <c r="J291" s="14" t="s">
        <v>3837</v>
      </c>
      <c r="K291" s="15"/>
    </row>
    <row r="292" ht="14.25" customHeight="1">
      <c r="A292" s="10"/>
      <c r="B292" s="10">
        <v>85.0</v>
      </c>
      <c r="C292" s="11" t="s">
        <v>3838</v>
      </c>
      <c r="D292" s="10">
        <v>1.0</v>
      </c>
      <c r="E292" s="12"/>
      <c r="F292" s="11" t="s">
        <v>3839</v>
      </c>
      <c r="G292" s="12"/>
      <c r="H292" s="11" t="s">
        <v>3840</v>
      </c>
      <c r="I292" s="12"/>
      <c r="J292" s="11" t="s">
        <v>3841</v>
      </c>
      <c r="K292" s="12"/>
    </row>
    <row r="293" ht="14.25" customHeight="1">
      <c r="A293" s="13"/>
      <c r="B293" s="13">
        <v>86.0</v>
      </c>
      <c r="C293" s="14" t="s">
        <v>3842</v>
      </c>
      <c r="D293" s="13">
        <v>1.0</v>
      </c>
      <c r="E293" s="15"/>
      <c r="F293" s="14" t="s">
        <v>3843</v>
      </c>
      <c r="G293" s="15"/>
      <c r="H293" s="14" t="s">
        <v>3844</v>
      </c>
      <c r="I293" s="15"/>
      <c r="J293" s="14" t="s">
        <v>3845</v>
      </c>
      <c r="K293" s="15"/>
    </row>
    <row r="294" ht="14.25" customHeight="1">
      <c r="A294" s="10"/>
      <c r="B294" s="10">
        <v>87.0</v>
      </c>
      <c r="C294" s="11" t="s">
        <v>3846</v>
      </c>
      <c r="D294" s="10">
        <v>0.0</v>
      </c>
      <c r="E294" s="12"/>
      <c r="F294" s="11" t="s">
        <v>3847</v>
      </c>
      <c r="G294" s="12"/>
      <c r="H294" s="11" t="s">
        <v>3848</v>
      </c>
      <c r="I294" s="12"/>
      <c r="J294" s="11" t="s">
        <v>3849</v>
      </c>
      <c r="K294" s="12"/>
    </row>
    <row r="295" ht="14.25" customHeight="1">
      <c r="A295" s="13"/>
      <c r="B295" s="13">
        <v>88.0</v>
      </c>
      <c r="C295" s="14" t="s">
        <v>3850</v>
      </c>
      <c r="D295" s="13">
        <v>1.0</v>
      </c>
      <c r="E295" s="15"/>
      <c r="F295" s="14" t="s">
        <v>3851</v>
      </c>
      <c r="G295" s="15"/>
      <c r="H295" s="14" t="s">
        <v>3615</v>
      </c>
      <c r="I295" s="15"/>
      <c r="J295" s="14" t="s">
        <v>3852</v>
      </c>
      <c r="K295" s="15"/>
    </row>
    <row r="296" ht="14.25" customHeight="1">
      <c r="A296" s="10"/>
      <c r="B296" s="10">
        <v>89.0</v>
      </c>
      <c r="C296" s="11" t="s">
        <v>3853</v>
      </c>
      <c r="D296" s="10">
        <v>1.0</v>
      </c>
      <c r="E296" s="12"/>
      <c r="F296" s="11" t="s">
        <v>3854</v>
      </c>
      <c r="G296" s="12"/>
      <c r="H296" s="11" t="s">
        <v>3824</v>
      </c>
      <c r="I296" s="12"/>
      <c r="J296" s="11" t="s">
        <v>3855</v>
      </c>
      <c r="K296" s="12"/>
    </row>
    <row r="297" ht="14.25" customHeight="1">
      <c r="A297" s="13"/>
      <c r="B297" s="13">
        <v>90.0</v>
      </c>
      <c r="C297" s="14" t="s">
        <v>3856</v>
      </c>
      <c r="D297" s="13">
        <v>1.0</v>
      </c>
      <c r="E297" s="15"/>
      <c r="F297" s="14" t="s">
        <v>3857</v>
      </c>
      <c r="G297" s="15"/>
      <c r="H297" s="14" t="s">
        <v>1336</v>
      </c>
      <c r="I297" s="15"/>
      <c r="J297" s="14" t="s">
        <v>3858</v>
      </c>
      <c r="K297" s="15"/>
    </row>
    <row r="298" ht="14.25" customHeight="1">
      <c r="A298" s="10"/>
      <c r="B298" s="10">
        <v>91.0</v>
      </c>
      <c r="C298" s="11" t="s">
        <v>3859</v>
      </c>
      <c r="D298" s="10">
        <v>1.0</v>
      </c>
      <c r="E298" s="12"/>
      <c r="F298" s="11" t="s">
        <v>1580</v>
      </c>
      <c r="G298" s="12"/>
      <c r="H298" s="11" t="s">
        <v>130</v>
      </c>
      <c r="I298" s="12"/>
      <c r="J298" s="11" t="s">
        <v>3860</v>
      </c>
      <c r="K298" s="12"/>
    </row>
    <row r="299" ht="14.25" customHeight="1">
      <c r="A299" s="13"/>
      <c r="B299" s="13">
        <v>92.0</v>
      </c>
      <c r="C299" s="14" t="s">
        <v>3861</v>
      </c>
      <c r="D299" s="13">
        <v>1.0</v>
      </c>
      <c r="E299" s="15"/>
      <c r="F299" s="14" t="s">
        <v>3862</v>
      </c>
      <c r="G299" s="15"/>
      <c r="H299" s="14" t="s">
        <v>3541</v>
      </c>
      <c r="I299" s="15"/>
      <c r="J299" s="14" t="s">
        <v>3863</v>
      </c>
      <c r="K299" s="15"/>
    </row>
    <row r="300" ht="14.25" customHeight="1">
      <c r="A300" s="10"/>
      <c r="B300" s="10">
        <v>93.0</v>
      </c>
      <c r="C300" s="11" t="s">
        <v>3864</v>
      </c>
      <c r="D300" s="10">
        <v>1.0</v>
      </c>
      <c r="E300" s="12"/>
      <c r="F300" s="11" t="s">
        <v>3865</v>
      </c>
      <c r="G300" s="12"/>
      <c r="H300" s="11" t="s">
        <v>3824</v>
      </c>
      <c r="I300" s="12"/>
      <c r="J300" s="11" t="s">
        <v>3866</v>
      </c>
      <c r="K300" s="12"/>
    </row>
    <row r="301" ht="14.25" customHeight="1">
      <c r="A301" s="13"/>
      <c r="B301" s="13">
        <v>94.0</v>
      </c>
      <c r="C301" s="14" t="s">
        <v>3867</v>
      </c>
      <c r="D301" s="13">
        <v>1.0</v>
      </c>
      <c r="E301" s="15"/>
      <c r="F301" s="14" t="s">
        <v>3868</v>
      </c>
      <c r="G301" s="15"/>
      <c r="H301" s="14" t="s">
        <v>3869</v>
      </c>
      <c r="I301" s="15"/>
      <c r="J301" s="14" t="s">
        <v>3870</v>
      </c>
      <c r="K301" s="15"/>
    </row>
    <row r="302" ht="14.25" customHeight="1">
      <c r="A302" s="10"/>
      <c r="B302" s="10">
        <v>95.0</v>
      </c>
      <c r="C302" s="11" t="s">
        <v>3871</v>
      </c>
      <c r="D302" s="10">
        <v>1.0</v>
      </c>
      <c r="E302" s="12"/>
      <c r="F302" s="11" t="s">
        <v>3872</v>
      </c>
      <c r="G302" s="12"/>
      <c r="H302" s="11" t="s">
        <v>3824</v>
      </c>
      <c r="I302" s="12"/>
      <c r="J302" s="11" t="s">
        <v>3873</v>
      </c>
      <c r="K302" s="12"/>
    </row>
    <row r="303" ht="14.25" customHeight="1">
      <c r="A303" s="13"/>
      <c r="B303" s="13">
        <v>96.0</v>
      </c>
      <c r="C303" s="14" t="s">
        <v>3874</v>
      </c>
      <c r="D303" s="13">
        <v>1.0</v>
      </c>
      <c r="E303" s="15"/>
      <c r="F303" s="14" t="s">
        <v>3875</v>
      </c>
      <c r="G303" s="15"/>
      <c r="H303" s="14" t="s">
        <v>3876</v>
      </c>
      <c r="I303" s="15"/>
      <c r="J303" s="14" t="s">
        <v>3877</v>
      </c>
      <c r="K303" s="15"/>
    </row>
    <row r="304" ht="14.25" customHeight="1">
      <c r="A304" s="10"/>
      <c r="B304" s="10">
        <v>97.0</v>
      </c>
      <c r="C304" s="11" t="s">
        <v>3878</v>
      </c>
      <c r="D304" s="10">
        <v>1.0</v>
      </c>
      <c r="E304" s="12"/>
      <c r="F304" s="11" t="s">
        <v>3879</v>
      </c>
      <c r="G304" s="12"/>
      <c r="H304" s="11" t="s">
        <v>3880</v>
      </c>
      <c r="I304" s="12"/>
      <c r="J304" s="11" t="s">
        <v>3881</v>
      </c>
      <c r="K304" s="12"/>
    </row>
    <row r="305" ht="14.25" customHeight="1">
      <c r="A305" s="13"/>
      <c r="B305" s="13">
        <v>98.0</v>
      </c>
      <c r="C305" s="14" t="s">
        <v>3882</v>
      </c>
      <c r="D305" s="13">
        <v>0.0</v>
      </c>
      <c r="E305" s="15"/>
      <c r="F305" s="14" t="s">
        <v>3883</v>
      </c>
      <c r="G305" s="15"/>
      <c r="H305" s="14" t="s">
        <v>3884</v>
      </c>
      <c r="I305" s="15"/>
      <c r="J305" s="14" t="s">
        <v>3885</v>
      </c>
      <c r="K305" s="15"/>
    </row>
    <row r="306" ht="14.25" customHeight="1">
      <c r="A306" s="10"/>
      <c r="B306" s="10">
        <v>99.0</v>
      </c>
      <c r="C306" s="11" t="s">
        <v>3886</v>
      </c>
      <c r="D306" s="10">
        <v>1.0</v>
      </c>
      <c r="E306" s="12"/>
      <c r="F306" s="11" t="s">
        <v>3887</v>
      </c>
      <c r="H306" s="11" t="s">
        <v>3888</v>
      </c>
      <c r="I306" s="12"/>
      <c r="J306" s="11" t="s">
        <v>3889</v>
      </c>
      <c r="K306" s="12"/>
    </row>
    <row r="307" ht="14.25" customHeight="1">
      <c r="A307" s="13"/>
      <c r="B307" s="13">
        <v>100.0</v>
      </c>
      <c r="C307" s="14" t="s">
        <v>3890</v>
      </c>
      <c r="D307" s="13">
        <v>1.0</v>
      </c>
      <c r="E307" s="15"/>
      <c r="F307" s="14" t="s">
        <v>3891</v>
      </c>
      <c r="G307" s="15"/>
      <c r="H307" s="14" t="s">
        <v>3892</v>
      </c>
      <c r="I307" s="15"/>
      <c r="J307" s="14" t="s">
        <v>3893</v>
      </c>
      <c r="K307" s="15"/>
    </row>
    <row r="308" ht="14.25" customHeight="1">
      <c r="A308" s="10"/>
      <c r="B308" s="10">
        <v>101.0</v>
      </c>
      <c r="C308" s="11" t="s">
        <v>3894</v>
      </c>
      <c r="D308" s="10">
        <v>1.0</v>
      </c>
      <c r="E308" s="12"/>
      <c r="F308" s="11" t="s">
        <v>1257</v>
      </c>
      <c r="G308" s="12"/>
      <c r="H308" s="11" t="s">
        <v>1258</v>
      </c>
      <c r="I308" s="12"/>
      <c r="J308" s="11" t="s">
        <v>3895</v>
      </c>
      <c r="K308" s="12"/>
    </row>
    <row r="309" ht="14.25" customHeight="1">
      <c r="A309" s="13"/>
      <c r="B309" s="13">
        <v>102.0</v>
      </c>
      <c r="C309" s="14" t="s">
        <v>3896</v>
      </c>
      <c r="D309" s="13">
        <v>1.0</v>
      </c>
      <c r="E309" s="15"/>
      <c r="F309" s="14" t="s">
        <v>3897</v>
      </c>
      <c r="G309" s="15"/>
      <c r="H309" s="14" t="s">
        <v>3824</v>
      </c>
      <c r="I309" s="15"/>
      <c r="J309" s="14" t="s">
        <v>3898</v>
      </c>
      <c r="K309" s="15"/>
    </row>
    <row r="310" ht="14.25" customHeight="1">
      <c r="A310" s="10"/>
      <c r="B310" s="10">
        <v>103.0</v>
      </c>
      <c r="C310" s="11" t="s">
        <v>3899</v>
      </c>
      <c r="D310" s="10">
        <v>0.0</v>
      </c>
      <c r="E310" s="12"/>
      <c r="F310" s="11" t="s">
        <v>1257</v>
      </c>
      <c r="G310" s="12"/>
      <c r="H310" s="11" t="s">
        <v>1258</v>
      </c>
      <c r="I310" s="12"/>
      <c r="J310" s="11" t="s">
        <v>3900</v>
      </c>
      <c r="K310" s="12"/>
    </row>
    <row r="311" ht="14.25" customHeight="1">
      <c r="A311" s="13"/>
      <c r="B311" s="13">
        <v>104.0</v>
      </c>
      <c r="C311" s="14" t="s">
        <v>3901</v>
      </c>
      <c r="D311" s="13">
        <v>1.0</v>
      </c>
      <c r="E311" s="15"/>
      <c r="F311" s="14" t="s">
        <v>3902</v>
      </c>
      <c r="G311" s="15"/>
      <c r="H311" s="14" t="s">
        <v>3903</v>
      </c>
      <c r="I311" s="15"/>
      <c r="J311" s="14" t="s">
        <v>3904</v>
      </c>
      <c r="K311" s="15"/>
    </row>
    <row r="312" ht="14.25" customHeight="1">
      <c r="A312" s="10"/>
      <c r="B312" s="10">
        <v>105.0</v>
      </c>
      <c r="C312" s="11" t="s">
        <v>3905</v>
      </c>
      <c r="D312" s="10">
        <v>0.0</v>
      </c>
      <c r="E312" s="12"/>
      <c r="F312" s="11" t="s">
        <v>3906</v>
      </c>
      <c r="G312" s="12"/>
      <c r="H312" s="11" t="s">
        <v>3907</v>
      </c>
      <c r="I312" s="12"/>
      <c r="J312" s="11" t="s">
        <v>3908</v>
      </c>
      <c r="K312" s="12"/>
    </row>
    <row r="313" ht="14.25" customHeight="1">
      <c r="A313" s="13"/>
      <c r="B313" s="13">
        <v>106.0</v>
      </c>
      <c r="C313" s="14" t="s">
        <v>3909</v>
      </c>
      <c r="D313" s="13">
        <v>1.0</v>
      </c>
      <c r="E313" s="15"/>
      <c r="F313" s="14" t="s">
        <v>3910</v>
      </c>
      <c r="G313" s="15"/>
      <c r="H313" s="14" t="s">
        <v>3911</v>
      </c>
      <c r="I313" s="15"/>
      <c r="J313" s="14" t="s">
        <v>3912</v>
      </c>
      <c r="K313" s="15"/>
    </row>
    <row r="314" ht="14.25" customHeight="1">
      <c r="A314" s="10"/>
      <c r="B314" s="10">
        <v>107.0</v>
      </c>
      <c r="C314" s="11" t="s">
        <v>3802</v>
      </c>
      <c r="D314" s="10">
        <v>1.0</v>
      </c>
      <c r="E314" s="12"/>
      <c r="F314" s="11" t="s">
        <v>3913</v>
      </c>
      <c r="H314" s="11" t="s">
        <v>3914</v>
      </c>
      <c r="I314" s="12"/>
      <c r="J314" s="11" t="s">
        <v>3915</v>
      </c>
      <c r="K314" s="12"/>
    </row>
    <row r="315" ht="14.25" customHeight="1">
      <c r="A315" s="13"/>
      <c r="B315" s="13">
        <v>108.0</v>
      </c>
      <c r="C315" s="14" t="s">
        <v>3916</v>
      </c>
      <c r="D315" s="13">
        <v>1.0</v>
      </c>
      <c r="E315" s="15"/>
      <c r="F315" s="14" t="s">
        <v>3917</v>
      </c>
      <c r="G315" s="15"/>
      <c r="H315" s="14" t="s">
        <v>3091</v>
      </c>
      <c r="I315" s="15"/>
      <c r="J315" s="14" t="s">
        <v>3918</v>
      </c>
      <c r="K315" s="15"/>
    </row>
    <row r="316" ht="14.25" customHeight="1">
      <c r="A316" s="10"/>
      <c r="B316" s="10">
        <v>109.0</v>
      </c>
      <c r="C316" s="11" t="s">
        <v>3919</v>
      </c>
      <c r="D316" s="10">
        <v>1.0</v>
      </c>
      <c r="E316" s="12"/>
      <c r="F316" s="11" t="s">
        <v>3920</v>
      </c>
      <c r="G316" s="12"/>
      <c r="H316" s="11" t="s">
        <v>1705</v>
      </c>
      <c r="I316" s="12"/>
      <c r="J316" s="11" t="s">
        <v>3921</v>
      </c>
      <c r="K316" s="12"/>
    </row>
    <row r="317" ht="14.25" customHeight="1">
      <c r="A317" s="13"/>
      <c r="B317" s="13">
        <v>110.0</v>
      </c>
      <c r="C317" s="14" t="s">
        <v>3922</v>
      </c>
      <c r="D317" s="13">
        <v>1.0</v>
      </c>
      <c r="E317" s="15"/>
      <c r="F317" s="14" t="s">
        <v>3923</v>
      </c>
      <c r="G317" s="15"/>
      <c r="H317" s="14" t="s">
        <v>3924</v>
      </c>
      <c r="I317" s="15"/>
      <c r="J317" s="14" t="s">
        <v>3925</v>
      </c>
      <c r="K317" s="15"/>
    </row>
    <row r="318" ht="14.25" customHeight="1">
      <c r="A318" s="10"/>
      <c r="B318" s="10">
        <v>111.0</v>
      </c>
      <c r="C318" s="11" t="s">
        <v>3926</v>
      </c>
      <c r="D318" s="10">
        <v>1.0</v>
      </c>
      <c r="E318" s="12"/>
      <c r="F318" s="11" t="s">
        <v>3927</v>
      </c>
      <c r="H318" s="11" t="s">
        <v>3928</v>
      </c>
      <c r="I318" s="12"/>
      <c r="J318" s="11" t="s">
        <v>3929</v>
      </c>
      <c r="K318" s="12"/>
    </row>
    <row r="319" ht="14.25" customHeight="1">
      <c r="A319" s="13"/>
      <c r="B319" s="13">
        <v>112.0</v>
      </c>
      <c r="C319" s="14" t="s">
        <v>3930</v>
      </c>
      <c r="D319" s="13">
        <v>1.0</v>
      </c>
      <c r="E319" s="15"/>
      <c r="F319" s="14" t="s">
        <v>3931</v>
      </c>
      <c r="G319" s="15"/>
      <c r="H319" s="14" t="s">
        <v>3869</v>
      </c>
      <c r="I319" s="15"/>
      <c r="J319" s="14" t="s">
        <v>3932</v>
      </c>
      <c r="K319" s="15"/>
    </row>
    <row r="320" ht="14.25" customHeight="1">
      <c r="A320" s="10"/>
      <c r="B320" s="10">
        <v>113.0</v>
      </c>
      <c r="C320" s="11" t="s">
        <v>3933</v>
      </c>
      <c r="D320" s="10">
        <v>0.0</v>
      </c>
      <c r="E320" s="12"/>
      <c r="F320" s="11" t="s">
        <v>3934</v>
      </c>
      <c r="G320" s="12"/>
      <c r="H320" s="11" t="s">
        <v>3935</v>
      </c>
      <c r="I320" s="12"/>
      <c r="J320" s="11" t="s">
        <v>3936</v>
      </c>
      <c r="K320" s="12"/>
    </row>
    <row r="321" ht="14.25" customHeight="1">
      <c r="A321" s="13"/>
      <c r="B321" s="13">
        <v>114.0</v>
      </c>
      <c r="C321" s="14" t="s">
        <v>3937</v>
      </c>
      <c r="D321" s="13">
        <v>1.0</v>
      </c>
      <c r="E321" s="15"/>
      <c r="F321" s="14" t="s">
        <v>3938</v>
      </c>
      <c r="G321" s="15"/>
      <c r="H321" s="14" t="s">
        <v>1258</v>
      </c>
      <c r="I321" s="15"/>
      <c r="J321" s="14" t="s">
        <v>3939</v>
      </c>
      <c r="K321" s="15"/>
    </row>
    <row r="322" ht="14.25" customHeight="1">
      <c r="A322" s="10"/>
      <c r="B322" s="10">
        <v>115.0</v>
      </c>
      <c r="C322" s="11" t="s">
        <v>3940</v>
      </c>
      <c r="D322" s="10">
        <v>1.0</v>
      </c>
      <c r="E322" s="12"/>
      <c r="F322" s="11" t="s">
        <v>3941</v>
      </c>
      <c r="G322" s="12"/>
      <c r="H322" s="11" t="s">
        <v>3942</v>
      </c>
      <c r="I322" s="12"/>
      <c r="J322" s="11" t="s">
        <v>3943</v>
      </c>
      <c r="K322" s="12"/>
    </row>
    <row r="323" ht="14.25" customHeight="1">
      <c r="A323" s="13"/>
      <c r="B323" s="13">
        <v>116.0</v>
      </c>
      <c r="C323" s="14" t="s">
        <v>3944</v>
      </c>
      <c r="D323" s="13">
        <v>1.0</v>
      </c>
      <c r="E323" s="15"/>
      <c r="F323" s="14" t="s">
        <v>3945</v>
      </c>
      <c r="G323" s="15"/>
      <c r="H323" s="14" t="s">
        <v>3946</v>
      </c>
      <c r="I323" s="15"/>
      <c r="J323" s="14" t="s">
        <v>3947</v>
      </c>
      <c r="K323" s="15"/>
    </row>
    <row r="324" ht="14.25" customHeight="1">
      <c r="A324" s="10"/>
      <c r="B324" s="10">
        <v>117.0</v>
      </c>
      <c r="C324" s="11" t="s">
        <v>3948</v>
      </c>
      <c r="D324" s="10">
        <v>0.0</v>
      </c>
      <c r="E324" s="12"/>
      <c r="F324" s="11" t="s">
        <v>3949</v>
      </c>
      <c r="G324" s="12"/>
      <c r="H324" s="11" t="s">
        <v>3950</v>
      </c>
      <c r="I324" s="12"/>
      <c r="J324" s="11" t="s">
        <v>3951</v>
      </c>
      <c r="K324" s="12"/>
    </row>
    <row r="325" ht="14.25" customHeight="1">
      <c r="A325" s="13"/>
      <c r="B325" s="13">
        <v>118.0</v>
      </c>
      <c r="C325" s="14" t="s">
        <v>3952</v>
      </c>
      <c r="D325" s="13">
        <v>1.0</v>
      </c>
      <c r="E325" s="15"/>
      <c r="F325" s="14" t="s">
        <v>3953</v>
      </c>
      <c r="G325" s="15"/>
      <c r="H325" s="14" t="s">
        <v>3954</v>
      </c>
      <c r="I325" s="15"/>
      <c r="J325" s="14" t="s">
        <v>3955</v>
      </c>
      <c r="K325" s="15"/>
    </row>
    <row r="326" ht="14.25" customHeight="1">
      <c r="A326" s="10"/>
      <c r="B326" s="10">
        <v>119.0</v>
      </c>
      <c r="C326" s="11" t="s">
        <v>3956</v>
      </c>
      <c r="D326" s="10">
        <v>0.0</v>
      </c>
      <c r="E326" s="12"/>
      <c r="F326" s="11" t="s">
        <v>3957</v>
      </c>
      <c r="G326" s="12"/>
      <c r="H326" s="11" t="s">
        <v>3958</v>
      </c>
      <c r="I326" s="12"/>
      <c r="J326" s="11" t="s">
        <v>3959</v>
      </c>
      <c r="K326" s="12"/>
    </row>
    <row r="327" ht="14.25" customHeight="1">
      <c r="A327" s="13"/>
      <c r="B327" s="13">
        <v>120.0</v>
      </c>
      <c r="C327" s="14" t="s">
        <v>3960</v>
      </c>
      <c r="D327" s="13">
        <v>1.0</v>
      </c>
      <c r="E327" s="15"/>
      <c r="F327" s="14" t="s">
        <v>3961</v>
      </c>
      <c r="G327" s="15"/>
      <c r="H327" s="14" t="s">
        <v>3962</v>
      </c>
      <c r="I327" s="15"/>
      <c r="J327" s="14" t="s">
        <v>3963</v>
      </c>
      <c r="K327" s="15"/>
    </row>
    <row r="328" ht="14.25" customHeight="1">
      <c r="A328" s="10"/>
      <c r="B328" s="10">
        <v>121.0</v>
      </c>
      <c r="C328" s="11" t="s">
        <v>3964</v>
      </c>
      <c r="D328" s="10">
        <v>1.0</v>
      </c>
      <c r="E328" s="12"/>
      <c r="F328" s="11" t="s">
        <v>3965</v>
      </c>
      <c r="G328" s="12"/>
      <c r="H328" s="11" t="s">
        <v>3824</v>
      </c>
      <c r="I328" s="12"/>
      <c r="J328" s="11" t="s">
        <v>3966</v>
      </c>
      <c r="K328" s="12"/>
    </row>
    <row r="329" ht="14.25" customHeight="1">
      <c r="A329" s="13"/>
      <c r="B329" s="13">
        <v>122.0</v>
      </c>
      <c r="C329" s="14" t="s">
        <v>3967</v>
      </c>
      <c r="D329" s="13">
        <v>0.0</v>
      </c>
      <c r="E329" s="15"/>
      <c r="F329" s="14" t="s">
        <v>3968</v>
      </c>
      <c r="G329" s="15"/>
      <c r="H329" s="14" t="s">
        <v>3969</v>
      </c>
      <c r="I329" s="15"/>
      <c r="J329" s="14" t="s">
        <v>3970</v>
      </c>
      <c r="K329" s="15"/>
    </row>
    <row r="330" ht="14.25" customHeight="1">
      <c r="A330" s="10"/>
      <c r="B330" s="10">
        <v>123.0</v>
      </c>
      <c r="C330" s="11" t="s">
        <v>3971</v>
      </c>
      <c r="D330" s="10">
        <v>1.0</v>
      </c>
      <c r="E330" s="12"/>
      <c r="F330" s="11" t="s">
        <v>1257</v>
      </c>
      <c r="G330" s="12"/>
      <c r="H330" s="11" t="s">
        <v>1258</v>
      </c>
      <c r="I330" s="12"/>
      <c r="J330" s="11" t="s">
        <v>3972</v>
      </c>
      <c r="K330" s="12"/>
    </row>
    <row r="331" ht="14.25" customHeight="1">
      <c r="A331" s="13"/>
      <c r="B331" s="13">
        <v>124.0</v>
      </c>
      <c r="C331" s="14" t="s">
        <v>3973</v>
      </c>
      <c r="D331" s="13">
        <v>1.0</v>
      </c>
      <c r="E331" s="15"/>
      <c r="F331" s="14" t="s">
        <v>3974</v>
      </c>
      <c r="G331" s="15"/>
      <c r="H331" s="14" t="s">
        <v>1705</v>
      </c>
      <c r="I331" s="15"/>
      <c r="J331" s="14" t="s">
        <v>3975</v>
      </c>
      <c r="K331" s="15"/>
    </row>
    <row r="332" ht="14.25" customHeight="1">
      <c r="A332" s="10"/>
      <c r="B332" s="10">
        <v>125.0</v>
      </c>
      <c r="C332" s="11" t="s">
        <v>3976</v>
      </c>
      <c r="D332" s="10">
        <v>1.0</v>
      </c>
      <c r="E332" s="12"/>
      <c r="F332" s="11" t="s">
        <v>3977</v>
      </c>
      <c r="G332" s="12"/>
      <c r="H332" s="11" t="s">
        <v>1634</v>
      </c>
      <c r="I332" s="12"/>
      <c r="J332" s="11" t="s">
        <v>3978</v>
      </c>
      <c r="K332" s="12"/>
    </row>
    <row r="333" ht="14.25" customHeight="1">
      <c r="A333" s="13"/>
      <c r="B333" s="13">
        <v>126.0</v>
      </c>
      <c r="C333" s="14" t="s">
        <v>3979</v>
      </c>
      <c r="D333" s="13">
        <v>1.0</v>
      </c>
      <c r="E333" s="15"/>
      <c r="F333" s="14" t="s">
        <v>3980</v>
      </c>
      <c r="H333" s="14" t="s">
        <v>3981</v>
      </c>
      <c r="I333" s="15"/>
      <c r="J333" s="14" t="s">
        <v>3982</v>
      </c>
      <c r="K333" s="15"/>
    </row>
    <row r="334" ht="14.25" customHeight="1">
      <c r="A334" s="10"/>
      <c r="B334" s="10">
        <v>127.0</v>
      </c>
      <c r="C334" s="11" t="s">
        <v>3983</v>
      </c>
      <c r="D334" s="10">
        <v>1.0</v>
      </c>
      <c r="E334" s="12"/>
      <c r="F334" s="11" t="s">
        <v>3984</v>
      </c>
      <c r="G334" s="12"/>
      <c r="H334" s="11" t="s">
        <v>3985</v>
      </c>
      <c r="I334" s="12"/>
      <c r="J334" s="11" t="s">
        <v>3986</v>
      </c>
      <c r="K334" s="12"/>
    </row>
    <row r="335" ht="14.25" customHeight="1">
      <c r="A335" s="13"/>
      <c r="B335" s="13">
        <v>128.0</v>
      </c>
      <c r="C335" s="14" t="s">
        <v>3987</v>
      </c>
      <c r="D335" s="13">
        <v>1.0</v>
      </c>
      <c r="E335" s="15"/>
      <c r="F335" s="14" t="s">
        <v>3988</v>
      </c>
      <c r="G335" s="15"/>
      <c r="H335" s="14" t="s">
        <v>3989</v>
      </c>
      <c r="I335" s="15"/>
      <c r="J335" s="14" t="s">
        <v>3990</v>
      </c>
      <c r="K335" s="15"/>
    </row>
    <row r="336" ht="14.25" customHeight="1">
      <c r="A336" s="10"/>
      <c r="B336" s="10">
        <v>129.0</v>
      </c>
      <c r="C336" s="11" t="s">
        <v>3991</v>
      </c>
      <c r="D336" s="10">
        <v>1.0</v>
      </c>
      <c r="E336" s="12"/>
      <c r="F336" s="11" t="s">
        <v>3992</v>
      </c>
      <c r="G336" s="12"/>
      <c r="H336" s="11" t="s">
        <v>3824</v>
      </c>
      <c r="I336" s="12"/>
      <c r="J336" s="11" t="s">
        <v>3993</v>
      </c>
      <c r="K336" s="12"/>
    </row>
    <row r="337" ht="14.25" customHeight="1">
      <c r="A337" s="13"/>
      <c r="B337" s="13">
        <v>130.0</v>
      </c>
      <c r="C337" s="14" t="s">
        <v>3994</v>
      </c>
      <c r="D337" s="13">
        <v>1.0</v>
      </c>
      <c r="E337" s="15"/>
      <c r="F337" s="14" t="s">
        <v>1225</v>
      </c>
      <c r="G337" s="15"/>
      <c r="H337" s="14" t="s">
        <v>1226</v>
      </c>
      <c r="I337" s="15"/>
      <c r="J337" s="14" t="s">
        <v>3642</v>
      </c>
      <c r="K337" s="15"/>
    </row>
    <row r="338" ht="14.25" customHeight="1">
      <c r="A338" s="10"/>
      <c r="B338" s="10">
        <v>131.0</v>
      </c>
      <c r="C338" s="11" t="s">
        <v>3995</v>
      </c>
      <c r="D338" s="10">
        <v>1.0</v>
      </c>
      <c r="E338" s="12"/>
      <c r="F338" s="11" t="s">
        <v>3996</v>
      </c>
      <c r="G338" s="12"/>
      <c r="H338" s="11" t="s">
        <v>3997</v>
      </c>
      <c r="I338" s="12"/>
      <c r="J338" s="11" t="s">
        <v>3998</v>
      </c>
      <c r="K338" s="12"/>
    </row>
    <row r="339" ht="14.25" customHeight="1">
      <c r="A339" s="13"/>
      <c r="B339" s="13">
        <v>132.0</v>
      </c>
      <c r="C339" s="14" t="s">
        <v>3999</v>
      </c>
      <c r="D339" s="13">
        <v>1.0</v>
      </c>
      <c r="E339" s="15"/>
      <c r="F339" s="14" t="s">
        <v>4000</v>
      </c>
      <c r="G339" s="15"/>
      <c r="H339" s="14" t="s">
        <v>1962</v>
      </c>
      <c r="I339" s="15"/>
      <c r="J339" s="14" t="s">
        <v>4001</v>
      </c>
      <c r="K339" s="15"/>
    </row>
    <row r="340" ht="14.25" customHeight="1">
      <c r="A340" s="10"/>
      <c r="B340" s="10">
        <v>133.0</v>
      </c>
      <c r="C340" s="11" t="s">
        <v>4002</v>
      </c>
      <c r="D340" s="10">
        <v>1.0</v>
      </c>
      <c r="E340" s="12"/>
      <c r="F340" s="11" t="s">
        <v>4003</v>
      </c>
      <c r="G340" s="12"/>
      <c r="H340" s="11" t="s">
        <v>4004</v>
      </c>
      <c r="I340" s="12"/>
      <c r="J340" s="11" t="s">
        <v>4005</v>
      </c>
      <c r="K340" s="12"/>
    </row>
    <row r="341" ht="14.25" customHeight="1">
      <c r="A341" s="13"/>
      <c r="B341" s="13">
        <v>134.0</v>
      </c>
      <c r="C341" s="14" t="s">
        <v>4006</v>
      </c>
      <c r="D341" s="13">
        <v>0.0</v>
      </c>
      <c r="E341" s="15"/>
      <c r="F341" s="14" t="s">
        <v>4007</v>
      </c>
      <c r="G341" s="15"/>
      <c r="H341" s="14" t="s">
        <v>4008</v>
      </c>
      <c r="I341" s="15"/>
      <c r="J341" s="14" t="s">
        <v>4009</v>
      </c>
      <c r="K341" s="15"/>
    </row>
    <row r="342" ht="14.25" customHeight="1">
      <c r="A342" s="10"/>
      <c r="B342" s="10">
        <v>135.0</v>
      </c>
      <c r="C342" s="11" t="s">
        <v>4010</v>
      </c>
      <c r="D342" s="10">
        <v>1.0</v>
      </c>
      <c r="E342" s="12"/>
      <c r="F342" s="11" t="s">
        <v>3988</v>
      </c>
      <c r="G342" s="12"/>
      <c r="H342" s="11" t="s">
        <v>3989</v>
      </c>
      <c r="I342" s="12"/>
      <c r="J342" s="11" t="s">
        <v>4011</v>
      </c>
      <c r="K342" s="12"/>
    </row>
    <row r="343" ht="14.25" customHeight="1">
      <c r="A343" s="13"/>
      <c r="B343" s="13">
        <v>136.0</v>
      </c>
      <c r="C343" s="14" t="s">
        <v>4012</v>
      </c>
      <c r="D343" s="13">
        <v>1.0</v>
      </c>
      <c r="E343" s="15"/>
      <c r="F343" s="14" t="s">
        <v>4013</v>
      </c>
      <c r="G343" s="15"/>
      <c r="H343" s="14" t="s">
        <v>4014</v>
      </c>
      <c r="I343" s="15"/>
      <c r="J343" s="14" t="s">
        <v>4015</v>
      </c>
      <c r="K343" s="15"/>
    </row>
    <row r="344" ht="14.25" customHeight="1">
      <c r="A344" s="10"/>
      <c r="B344" s="10">
        <v>137.0</v>
      </c>
      <c r="C344" s="11" t="s">
        <v>4016</v>
      </c>
      <c r="D344" s="10">
        <v>1.0</v>
      </c>
      <c r="E344" s="12"/>
      <c r="F344" s="11" t="s">
        <v>4017</v>
      </c>
      <c r="G344" s="12"/>
      <c r="H344" s="11" t="s">
        <v>1705</v>
      </c>
      <c r="I344" s="12"/>
      <c r="J344" s="11" t="s">
        <v>3975</v>
      </c>
      <c r="K344" s="12"/>
    </row>
    <row r="345" ht="14.25" customHeight="1">
      <c r="A345" s="13"/>
      <c r="B345" s="13">
        <v>138.0</v>
      </c>
      <c r="C345" s="14" t="s">
        <v>4018</v>
      </c>
      <c r="D345" s="13">
        <v>0.0</v>
      </c>
      <c r="E345" s="15"/>
      <c r="F345" s="14" t="s">
        <v>4019</v>
      </c>
      <c r="G345" s="15"/>
      <c r="H345" s="14" t="s">
        <v>4020</v>
      </c>
      <c r="I345" s="15"/>
      <c r="J345" s="14" t="s">
        <v>4021</v>
      </c>
      <c r="K345" s="15"/>
    </row>
    <row r="346" ht="14.25" customHeight="1">
      <c r="A346" s="10"/>
      <c r="B346" s="10">
        <v>139.0</v>
      </c>
      <c r="C346" s="11" t="s">
        <v>4022</v>
      </c>
      <c r="D346" s="10">
        <v>1.0</v>
      </c>
      <c r="E346" s="12"/>
      <c r="F346" s="11" t="s">
        <v>4023</v>
      </c>
      <c r="G346" s="12"/>
      <c r="H346" s="11" t="s">
        <v>4024</v>
      </c>
      <c r="I346" s="12"/>
      <c r="J346" s="11" t="s">
        <v>4025</v>
      </c>
      <c r="K346" s="12"/>
    </row>
    <row r="347" ht="14.25" customHeight="1">
      <c r="A347" s="13"/>
      <c r="B347" s="13">
        <v>140.0</v>
      </c>
      <c r="C347" s="14" t="s">
        <v>4026</v>
      </c>
      <c r="D347" s="13">
        <v>1.0</v>
      </c>
      <c r="E347" s="15"/>
      <c r="F347" s="14" t="s">
        <v>4027</v>
      </c>
      <c r="G347" s="15"/>
      <c r="H347" s="14" t="s">
        <v>4028</v>
      </c>
      <c r="I347" s="15"/>
      <c r="J347" s="14" t="s">
        <v>4029</v>
      </c>
      <c r="K347" s="15"/>
    </row>
    <row r="348" ht="14.25" customHeight="1">
      <c r="A348" s="10"/>
      <c r="B348" s="10">
        <v>141.0</v>
      </c>
      <c r="C348" s="11" t="s">
        <v>4030</v>
      </c>
      <c r="D348" s="10">
        <v>1.0</v>
      </c>
      <c r="E348" s="12"/>
      <c r="F348" s="11" t="s">
        <v>4031</v>
      </c>
      <c r="G348" s="12"/>
      <c r="H348" s="11" t="s">
        <v>1497</v>
      </c>
      <c r="I348" s="12"/>
      <c r="J348" s="11" t="s">
        <v>4032</v>
      </c>
      <c r="K348" s="12"/>
    </row>
    <row r="349" ht="14.25" customHeight="1">
      <c r="A349" s="13"/>
      <c r="B349" s="13">
        <v>142.0</v>
      </c>
      <c r="C349" s="14" t="s">
        <v>4033</v>
      </c>
      <c r="D349" s="13">
        <v>1.0</v>
      </c>
      <c r="E349" s="15"/>
      <c r="F349" s="14" t="s">
        <v>4034</v>
      </c>
      <c r="G349" s="15"/>
      <c r="H349" s="14" t="s">
        <v>1497</v>
      </c>
      <c r="I349" s="15"/>
      <c r="J349" s="14" t="s">
        <v>4035</v>
      </c>
      <c r="K349" s="15"/>
    </row>
    <row r="350" ht="14.25" customHeight="1">
      <c r="A350" s="10"/>
      <c r="B350" s="10">
        <v>143.0</v>
      </c>
      <c r="C350" s="11" t="s">
        <v>4036</v>
      </c>
      <c r="D350" s="10">
        <v>1.0</v>
      </c>
      <c r="E350" s="12"/>
      <c r="F350" s="11" t="s">
        <v>4037</v>
      </c>
      <c r="G350" s="12"/>
      <c r="H350" s="11" t="s">
        <v>3840</v>
      </c>
      <c r="I350" s="12"/>
      <c r="J350" s="11" t="s">
        <v>4038</v>
      </c>
      <c r="K350" s="12"/>
    </row>
    <row r="351" ht="14.25" customHeight="1">
      <c r="A351" s="13"/>
      <c r="B351" s="13">
        <v>144.0</v>
      </c>
      <c r="C351" s="14" t="s">
        <v>4039</v>
      </c>
      <c r="D351" s="13">
        <v>1.0</v>
      </c>
      <c r="E351" s="15"/>
      <c r="F351" s="14" t="s">
        <v>4040</v>
      </c>
      <c r="G351" s="15"/>
      <c r="H351" s="14" t="s">
        <v>4041</v>
      </c>
      <c r="I351" s="15"/>
      <c r="J351" s="14" t="s">
        <v>4042</v>
      </c>
      <c r="K351" s="15"/>
    </row>
    <row r="352" ht="14.25" customHeight="1">
      <c r="A352" s="10"/>
      <c r="B352" s="10">
        <v>145.0</v>
      </c>
      <c r="C352" s="11" t="s">
        <v>4043</v>
      </c>
      <c r="D352" s="10">
        <v>1.0</v>
      </c>
      <c r="E352" s="12"/>
      <c r="F352" s="11" t="s">
        <v>4044</v>
      </c>
      <c r="G352" s="12"/>
      <c r="H352" s="11" t="s">
        <v>3824</v>
      </c>
      <c r="I352" s="12"/>
      <c r="J352" s="11" t="s">
        <v>4045</v>
      </c>
      <c r="K352" s="12"/>
    </row>
    <row r="353" ht="14.25" customHeight="1">
      <c r="A353" s="13"/>
      <c r="B353" s="13">
        <v>146.0</v>
      </c>
      <c r="C353" s="14" t="s">
        <v>4046</v>
      </c>
      <c r="D353" s="13">
        <v>1.0</v>
      </c>
      <c r="E353" s="15"/>
      <c r="F353" s="14" t="s">
        <v>1225</v>
      </c>
      <c r="G353" s="15"/>
      <c r="H353" s="14" t="s">
        <v>1226</v>
      </c>
      <c r="I353" s="15"/>
      <c r="J353" s="14" t="s">
        <v>4047</v>
      </c>
      <c r="K353" s="15"/>
    </row>
    <row r="354" ht="14.25" customHeight="1">
      <c r="A354" s="10"/>
      <c r="B354" s="10">
        <v>147.0</v>
      </c>
      <c r="C354" s="11" t="s">
        <v>4048</v>
      </c>
      <c r="D354" s="10">
        <v>1.0</v>
      </c>
      <c r="E354" s="12"/>
      <c r="F354" s="11" t="s">
        <v>4049</v>
      </c>
      <c r="G354" s="12"/>
      <c r="H354" s="11" t="s">
        <v>4050</v>
      </c>
      <c r="I354" s="12"/>
      <c r="J354" s="11" t="s">
        <v>4051</v>
      </c>
      <c r="K354" s="12"/>
    </row>
    <row r="355" ht="14.25" customHeight="1">
      <c r="A355" s="13"/>
      <c r="B355" s="13">
        <v>148.0</v>
      </c>
      <c r="C355" s="14" t="s">
        <v>4052</v>
      </c>
      <c r="D355" s="13">
        <v>0.0</v>
      </c>
      <c r="E355" s="15"/>
      <c r="F355" s="14" t="s">
        <v>4053</v>
      </c>
      <c r="G355" s="15"/>
      <c r="H355" s="14" t="s">
        <v>1634</v>
      </c>
      <c r="I355" s="15"/>
      <c r="J355" s="14" t="s">
        <v>4054</v>
      </c>
      <c r="K355" s="15"/>
    </row>
    <row r="356" ht="14.25" customHeight="1">
      <c r="A356" s="10"/>
      <c r="B356" s="10">
        <v>149.0</v>
      </c>
      <c r="C356" s="11" t="s">
        <v>4055</v>
      </c>
      <c r="D356" s="10">
        <v>1.0</v>
      </c>
      <c r="E356" s="12"/>
      <c r="F356" s="11" t="s">
        <v>4056</v>
      </c>
      <c r="G356" s="12"/>
      <c r="H356" s="11" t="s">
        <v>1266</v>
      </c>
      <c r="I356" s="12"/>
      <c r="J356" s="11" t="s">
        <v>4057</v>
      </c>
      <c r="K356" s="12"/>
    </row>
    <row r="357" ht="14.25" customHeight="1">
      <c r="A357" s="13"/>
      <c r="B357" s="13">
        <v>150.0</v>
      </c>
      <c r="C357" s="14" t="s">
        <v>4058</v>
      </c>
      <c r="D357" s="13">
        <v>1.0</v>
      </c>
      <c r="E357" s="15"/>
      <c r="F357" s="14" t="s">
        <v>4059</v>
      </c>
      <c r="G357" s="15"/>
      <c r="H357" s="14" t="s">
        <v>970</v>
      </c>
      <c r="I357" s="15"/>
      <c r="J357" s="14" t="s">
        <v>4060</v>
      </c>
      <c r="K357" s="15"/>
    </row>
    <row r="358" ht="14.25" customHeight="1">
      <c r="A358" s="10"/>
      <c r="B358" s="10">
        <v>151.0</v>
      </c>
      <c r="C358" s="11" t="s">
        <v>4061</v>
      </c>
      <c r="D358" s="10">
        <v>1.0</v>
      </c>
      <c r="E358" s="12"/>
      <c r="F358" s="11" t="s">
        <v>4062</v>
      </c>
      <c r="G358" s="12"/>
      <c r="H358" s="11" t="s">
        <v>4063</v>
      </c>
      <c r="I358" s="12"/>
      <c r="J358" s="11" t="s">
        <v>4064</v>
      </c>
      <c r="K358" s="12"/>
    </row>
    <row r="359" ht="14.25" customHeight="1">
      <c r="A359" s="13"/>
      <c r="B359" s="13">
        <v>152.0</v>
      </c>
      <c r="C359" s="14" t="s">
        <v>4065</v>
      </c>
      <c r="D359" s="13">
        <v>1.0</v>
      </c>
      <c r="E359" s="15"/>
      <c r="F359" s="14" t="s">
        <v>4053</v>
      </c>
      <c r="G359" s="15"/>
      <c r="H359" s="14" t="s">
        <v>970</v>
      </c>
      <c r="I359" s="15"/>
      <c r="J359" s="14" t="s">
        <v>4066</v>
      </c>
      <c r="K359" s="15"/>
    </row>
    <row r="360" ht="14.25" customHeight="1">
      <c r="A360" s="10"/>
      <c r="B360" s="10">
        <v>153.0</v>
      </c>
      <c r="C360" s="11" t="s">
        <v>4016</v>
      </c>
      <c r="D360" s="10">
        <v>1.0</v>
      </c>
      <c r="E360" s="12"/>
      <c r="F360" s="11" t="s">
        <v>4067</v>
      </c>
      <c r="G360" s="12"/>
      <c r="H360" s="11" t="s">
        <v>1705</v>
      </c>
      <c r="I360" s="12"/>
      <c r="J360" s="11" t="s">
        <v>3975</v>
      </c>
      <c r="K360" s="12"/>
    </row>
    <row r="361" ht="14.25" customHeight="1">
      <c r="A361" s="13"/>
      <c r="B361" s="13">
        <v>154.0</v>
      </c>
      <c r="C361" s="14" t="s">
        <v>4068</v>
      </c>
      <c r="D361" s="13">
        <v>1.0</v>
      </c>
      <c r="E361" s="15"/>
      <c r="F361" s="14" t="s">
        <v>4069</v>
      </c>
      <c r="G361" s="15"/>
      <c r="H361" s="14" t="s">
        <v>3969</v>
      </c>
      <c r="I361" s="15"/>
      <c r="J361" s="14" t="s">
        <v>4070</v>
      </c>
      <c r="K361" s="15"/>
    </row>
    <row r="362" ht="14.25" customHeight="1">
      <c r="A362" s="10"/>
      <c r="B362" s="10">
        <v>155.0</v>
      </c>
      <c r="C362" s="11" t="s">
        <v>4071</v>
      </c>
      <c r="D362" s="10">
        <v>0.0</v>
      </c>
      <c r="E362" s="12"/>
      <c r="F362" s="11" t="s">
        <v>4072</v>
      </c>
      <c r="H362" s="11" t="s">
        <v>4073</v>
      </c>
      <c r="I362" s="12"/>
      <c r="J362" s="11" t="s">
        <v>4200</v>
      </c>
      <c r="K362" s="12"/>
    </row>
    <row r="363" ht="14.25" customHeight="1">
      <c r="A363" s="13"/>
      <c r="B363" s="13">
        <v>156.0</v>
      </c>
      <c r="C363" s="14" t="s">
        <v>4075</v>
      </c>
      <c r="D363" s="13">
        <v>1.0</v>
      </c>
      <c r="E363" s="15"/>
      <c r="F363" s="14" t="s">
        <v>4076</v>
      </c>
      <c r="G363" s="15"/>
      <c r="H363" s="14" t="s">
        <v>3962</v>
      </c>
      <c r="I363" s="15"/>
      <c r="J363" s="14" t="s">
        <v>3642</v>
      </c>
      <c r="K363" s="15"/>
    </row>
    <row r="364" ht="14.25" customHeight="1">
      <c r="A364" s="10"/>
      <c r="B364" s="10">
        <v>157.0</v>
      </c>
      <c r="C364" s="11" t="s">
        <v>4077</v>
      </c>
      <c r="D364" s="10">
        <v>1.0</v>
      </c>
      <c r="E364" s="12"/>
      <c r="F364" s="11" t="s">
        <v>3965</v>
      </c>
      <c r="G364" s="12"/>
      <c r="H364" s="11" t="s">
        <v>3824</v>
      </c>
      <c r="I364" s="12"/>
      <c r="J364" s="11" t="s">
        <v>4078</v>
      </c>
      <c r="K364" s="12"/>
    </row>
    <row r="365" ht="14.25" customHeight="1">
      <c r="A365" s="13"/>
      <c r="B365" s="13">
        <v>158.0</v>
      </c>
      <c r="C365" s="14" t="s">
        <v>4079</v>
      </c>
      <c r="D365" s="13">
        <v>1.0</v>
      </c>
      <c r="E365" s="15"/>
      <c r="F365" s="14" t="s">
        <v>4080</v>
      </c>
      <c r="G365" s="15"/>
      <c r="H365" s="14" t="s">
        <v>1858</v>
      </c>
      <c r="I365" s="15"/>
      <c r="J365" s="14" t="s">
        <v>4081</v>
      </c>
      <c r="K365" s="15"/>
    </row>
    <row r="366" ht="14.25" customHeight="1">
      <c r="A366" s="10"/>
      <c r="B366" s="10">
        <v>159.0</v>
      </c>
      <c r="C366" s="11" t="s">
        <v>4082</v>
      </c>
      <c r="D366" s="10">
        <v>1.0</v>
      </c>
      <c r="E366" s="12"/>
      <c r="F366" s="11" t="s">
        <v>4083</v>
      </c>
      <c r="G366" s="12"/>
      <c r="H366" s="11" t="s">
        <v>4084</v>
      </c>
      <c r="I366" s="12"/>
      <c r="J366" s="11" t="s">
        <v>4085</v>
      </c>
      <c r="K366" s="12"/>
    </row>
    <row r="367" ht="14.25" customHeight="1">
      <c r="A367" s="13"/>
      <c r="B367" s="13">
        <v>160.0</v>
      </c>
      <c r="C367" s="14" t="s">
        <v>4086</v>
      </c>
      <c r="D367" s="13">
        <v>1.0</v>
      </c>
      <c r="E367" s="15"/>
      <c r="F367" s="14" t="s">
        <v>4087</v>
      </c>
      <c r="G367" s="15"/>
      <c r="H367" s="14" t="s">
        <v>4088</v>
      </c>
      <c r="I367" s="15"/>
      <c r="J367" s="14" t="s">
        <v>4089</v>
      </c>
      <c r="K367" s="15"/>
    </row>
    <row r="368" ht="14.25" customHeight="1">
      <c r="A368" s="10"/>
      <c r="B368" s="10">
        <v>161.0</v>
      </c>
      <c r="C368" s="11" t="s">
        <v>4090</v>
      </c>
      <c r="D368" s="10">
        <v>1.0</v>
      </c>
      <c r="E368" s="12"/>
      <c r="F368" s="11" t="s">
        <v>1072</v>
      </c>
      <c r="G368" s="12"/>
      <c r="H368" s="11" t="s">
        <v>1073</v>
      </c>
      <c r="I368" s="12"/>
      <c r="J368" s="11" t="s">
        <v>4091</v>
      </c>
      <c r="K368" s="12"/>
    </row>
    <row r="369" ht="14.25" customHeight="1">
      <c r="A369" s="13"/>
      <c r="B369" s="13">
        <v>162.0</v>
      </c>
      <c r="C369" s="14" t="s">
        <v>4092</v>
      </c>
      <c r="D369" s="13">
        <v>1.0</v>
      </c>
      <c r="E369" s="15"/>
      <c r="F369" s="14" t="s">
        <v>4053</v>
      </c>
      <c r="G369" s="15"/>
      <c r="H369" s="14" t="s">
        <v>1634</v>
      </c>
      <c r="I369" s="15"/>
      <c r="J369" s="14" t="s">
        <v>4093</v>
      </c>
      <c r="K369" s="15"/>
    </row>
    <row r="370" ht="14.25" customHeight="1">
      <c r="A370" s="10"/>
      <c r="B370" s="10">
        <v>163.0</v>
      </c>
      <c r="C370" s="11" t="s">
        <v>4094</v>
      </c>
      <c r="D370" s="10">
        <v>1.0</v>
      </c>
      <c r="E370" s="12"/>
      <c r="F370" s="11" t="s">
        <v>1455</v>
      </c>
      <c r="G370" s="12"/>
      <c r="H370" s="11" t="s">
        <v>3304</v>
      </c>
      <c r="I370" s="12"/>
      <c r="J370" s="11" t="s">
        <v>4095</v>
      </c>
      <c r="K370" s="12"/>
    </row>
    <row r="371" ht="14.25" customHeight="1">
      <c r="A371" s="13"/>
      <c r="B371" s="13">
        <v>164.0</v>
      </c>
      <c r="C371" s="14" t="s">
        <v>4096</v>
      </c>
      <c r="D371" s="13">
        <v>1.0</v>
      </c>
      <c r="E371" s="15"/>
      <c r="F371" s="14" t="s">
        <v>4097</v>
      </c>
      <c r="G371" s="15"/>
      <c r="H371" s="14" t="s">
        <v>4098</v>
      </c>
      <c r="I371" s="15"/>
      <c r="J371" s="14" t="s">
        <v>4099</v>
      </c>
      <c r="K371" s="15"/>
    </row>
    <row r="372" ht="14.25" customHeight="1">
      <c r="A372" s="10"/>
      <c r="B372" s="10">
        <v>165.0</v>
      </c>
      <c r="C372" s="11" t="s">
        <v>4100</v>
      </c>
      <c r="D372" s="10">
        <v>1.0</v>
      </c>
      <c r="E372" s="12"/>
      <c r="F372" s="11" t="s">
        <v>4034</v>
      </c>
      <c r="G372" s="12"/>
      <c r="H372" s="11" t="s">
        <v>1497</v>
      </c>
      <c r="I372" s="12"/>
      <c r="J372" s="11" t="s">
        <v>4101</v>
      </c>
      <c r="K372" s="12"/>
    </row>
    <row r="373" ht="14.25" customHeight="1">
      <c r="A373" s="13"/>
      <c r="B373" s="13">
        <v>166.0</v>
      </c>
      <c r="C373" s="14" t="s">
        <v>4102</v>
      </c>
      <c r="D373" s="13">
        <v>1.0</v>
      </c>
      <c r="E373" s="15"/>
      <c r="F373" s="14" t="s">
        <v>1225</v>
      </c>
      <c r="G373" s="15"/>
      <c r="H373" s="14" t="s">
        <v>1226</v>
      </c>
      <c r="I373" s="15"/>
      <c r="J373" s="14" t="s">
        <v>4103</v>
      </c>
      <c r="K373" s="15"/>
    </row>
    <row r="374" ht="14.25" customHeight="1">
      <c r="A374" s="10"/>
      <c r="B374" s="10">
        <v>167.0</v>
      </c>
      <c r="C374" s="11" t="s">
        <v>4104</v>
      </c>
      <c r="D374" s="10">
        <v>0.0</v>
      </c>
      <c r="E374" s="12"/>
      <c r="F374" s="11" t="s">
        <v>4105</v>
      </c>
      <c r="H374" s="11" t="s">
        <v>4106</v>
      </c>
      <c r="I374" s="12"/>
      <c r="J374" s="11" t="s">
        <v>4107</v>
      </c>
      <c r="K374" s="12"/>
    </row>
    <row r="375" ht="14.25" customHeight="1">
      <c r="A375" s="13"/>
      <c r="B375" s="13">
        <v>168.0</v>
      </c>
      <c r="C375" s="14" t="s">
        <v>4108</v>
      </c>
      <c r="D375" s="13">
        <v>1.0</v>
      </c>
      <c r="E375" s="15"/>
      <c r="F375" s="14" t="s">
        <v>4053</v>
      </c>
      <c r="G375" s="15"/>
      <c r="H375" s="14" t="s">
        <v>1634</v>
      </c>
      <c r="I375" s="15"/>
      <c r="J375" s="14" t="s">
        <v>4109</v>
      </c>
      <c r="K375" s="15"/>
    </row>
    <row r="376" ht="14.25" customHeight="1">
      <c r="A376" s="10"/>
      <c r="B376" s="10">
        <v>169.0</v>
      </c>
      <c r="C376" s="11" t="s">
        <v>4110</v>
      </c>
      <c r="D376" s="10">
        <v>1.0</v>
      </c>
      <c r="E376" s="12"/>
      <c r="F376" s="11" t="s">
        <v>1072</v>
      </c>
      <c r="G376" s="12"/>
      <c r="H376" s="11" t="s">
        <v>1073</v>
      </c>
      <c r="I376" s="12"/>
      <c r="J376" s="11" t="s">
        <v>4111</v>
      </c>
      <c r="K376" s="12"/>
    </row>
    <row r="377" ht="14.25" customHeight="1">
      <c r="A377" s="13"/>
      <c r="B377" s="13">
        <v>170.0</v>
      </c>
      <c r="C377" s="14" t="s">
        <v>4112</v>
      </c>
      <c r="D377" s="13">
        <v>0.0</v>
      </c>
      <c r="E377" s="15"/>
      <c r="F377" s="14" t="s">
        <v>4113</v>
      </c>
      <c r="G377" s="15"/>
      <c r="H377" s="14" t="s">
        <v>4114</v>
      </c>
      <c r="I377" s="15"/>
      <c r="J377" s="14" t="s">
        <v>4115</v>
      </c>
      <c r="K377" s="15"/>
    </row>
    <row r="378" ht="14.25" customHeight="1">
      <c r="A378" s="10"/>
      <c r="B378" s="10">
        <v>171.0</v>
      </c>
      <c r="C378" s="11" t="s">
        <v>4116</v>
      </c>
      <c r="D378" s="10">
        <v>1.0</v>
      </c>
      <c r="E378" s="12"/>
      <c r="F378" s="11" t="s">
        <v>4117</v>
      </c>
      <c r="G378" s="12"/>
      <c r="H378" s="11" t="s">
        <v>1493</v>
      </c>
      <c r="I378" s="12"/>
      <c r="J378" s="11" t="s">
        <v>4118</v>
      </c>
      <c r="K378" s="12"/>
    </row>
    <row r="379" ht="14.25" customHeight="1">
      <c r="A379" s="13"/>
      <c r="B379" s="13">
        <v>172.0</v>
      </c>
      <c r="C379" s="14" t="s">
        <v>4119</v>
      </c>
      <c r="D379" s="13">
        <v>1.0</v>
      </c>
      <c r="E379" s="15"/>
      <c r="F379" s="14" t="s">
        <v>4120</v>
      </c>
      <c r="G379" s="15"/>
      <c r="H379" s="14" t="s">
        <v>4121</v>
      </c>
      <c r="I379" s="15"/>
      <c r="J379" s="14" t="s">
        <v>4122</v>
      </c>
      <c r="K379" s="15"/>
    </row>
    <row r="380" ht="14.25" customHeight="1">
      <c r="A380" s="10"/>
      <c r="B380" s="10">
        <v>173.0</v>
      </c>
      <c r="C380" s="11" t="s">
        <v>4123</v>
      </c>
      <c r="D380" s="10">
        <v>1.0</v>
      </c>
      <c r="E380" s="12"/>
      <c r="F380" s="11" t="s">
        <v>4124</v>
      </c>
      <c r="G380" s="12"/>
      <c r="H380" s="11" t="s">
        <v>3824</v>
      </c>
      <c r="I380" s="12"/>
      <c r="J380" s="11" t="s">
        <v>4125</v>
      </c>
      <c r="K380" s="12"/>
    </row>
    <row r="381" ht="14.25" customHeight="1">
      <c r="A381" s="13"/>
      <c r="B381" s="13">
        <v>174.0</v>
      </c>
      <c r="C381" s="14" t="s">
        <v>4116</v>
      </c>
      <c r="D381" s="13">
        <v>1.0</v>
      </c>
      <c r="E381" s="15"/>
      <c r="F381" s="14" t="s">
        <v>4117</v>
      </c>
      <c r="G381" s="15"/>
      <c r="H381" s="14" t="s">
        <v>1493</v>
      </c>
      <c r="I381" s="15"/>
      <c r="J381" s="14" t="s">
        <v>4126</v>
      </c>
      <c r="K381" s="15"/>
    </row>
    <row r="382" ht="14.25" customHeight="1">
      <c r="A382" s="10"/>
      <c r="B382" s="10">
        <v>175.0</v>
      </c>
      <c r="C382" s="11" t="s">
        <v>4127</v>
      </c>
      <c r="D382" s="10">
        <v>1.0</v>
      </c>
      <c r="E382" s="12"/>
      <c r="F382" s="11" t="s">
        <v>4128</v>
      </c>
      <c r="G382" s="12"/>
      <c r="H382" s="11" t="s">
        <v>1634</v>
      </c>
      <c r="I382" s="12"/>
      <c r="J382" s="11" t="s">
        <v>4129</v>
      </c>
      <c r="K382" s="12"/>
    </row>
    <row r="383" ht="14.25" customHeight="1">
      <c r="A383" s="13"/>
      <c r="B383" s="13">
        <v>176.0</v>
      </c>
      <c r="C383" s="14" t="s">
        <v>4130</v>
      </c>
      <c r="D383" s="13">
        <v>1.0</v>
      </c>
      <c r="E383" s="15"/>
      <c r="F383" s="14" t="s">
        <v>1072</v>
      </c>
      <c r="G383" s="15"/>
      <c r="H383" s="14" t="s">
        <v>1073</v>
      </c>
      <c r="I383" s="15"/>
      <c r="J383" s="14" t="s">
        <v>4131</v>
      </c>
      <c r="K383" s="15"/>
    </row>
    <row r="384" ht="14.25" customHeight="1">
      <c r="A384" s="10"/>
      <c r="B384" s="10">
        <v>177.0</v>
      </c>
      <c r="C384" s="11" t="s">
        <v>4132</v>
      </c>
      <c r="D384" s="10">
        <v>1.0</v>
      </c>
      <c r="E384" s="12"/>
      <c r="F384" s="11" t="s">
        <v>4080</v>
      </c>
      <c r="G384" s="12"/>
      <c r="H384" s="11" t="s">
        <v>1858</v>
      </c>
      <c r="I384" s="12"/>
      <c r="J384" s="11" t="s">
        <v>4133</v>
      </c>
      <c r="K384" s="12"/>
    </row>
    <row r="385" ht="14.25" customHeight="1">
      <c r="A385" s="13"/>
      <c r="B385" s="13">
        <v>178.0</v>
      </c>
      <c r="C385" s="14" t="s">
        <v>4134</v>
      </c>
      <c r="D385" s="13">
        <v>1.0</v>
      </c>
      <c r="E385" s="15"/>
      <c r="F385" s="14" t="s">
        <v>4135</v>
      </c>
      <c r="G385" s="15"/>
      <c r="H385" s="14" t="s">
        <v>4136</v>
      </c>
      <c r="I385" s="15"/>
      <c r="J385" s="14" t="s">
        <v>4137</v>
      </c>
      <c r="K385" s="15"/>
    </row>
    <row r="386" ht="14.25" customHeight="1">
      <c r="A386" s="10"/>
      <c r="B386" s="10">
        <v>179.0</v>
      </c>
      <c r="C386" s="11" t="s">
        <v>4138</v>
      </c>
      <c r="D386" s="10">
        <v>1.0</v>
      </c>
      <c r="E386" s="12"/>
      <c r="F386" s="11" t="s">
        <v>1225</v>
      </c>
      <c r="G386" s="12"/>
      <c r="H386" s="11" t="s">
        <v>1226</v>
      </c>
      <c r="I386" s="12"/>
      <c r="J386" s="11" t="s">
        <v>4139</v>
      </c>
      <c r="K386" s="12"/>
    </row>
    <row r="387" ht="14.25" customHeight="1">
      <c r="A387" s="13"/>
      <c r="B387" s="13">
        <v>180.0</v>
      </c>
      <c r="C387" s="14" t="s">
        <v>4140</v>
      </c>
      <c r="D387" s="13">
        <v>1.0</v>
      </c>
      <c r="E387" s="15"/>
      <c r="F387" s="14" t="s">
        <v>4141</v>
      </c>
      <c r="G387" s="15"/>
      <c r="H387" s="14" t="s">
        <v>3903</v>
      </c>
      <c r="I387" s="15"/>
      <c r="J387" s="14" t="s">
        <v>4142</v>
      </c>
      <c r="K387" s="15"/>
    </row>
    <row r="388" ht="14.25" customHeight="1">
      <c r="A388" s="10"/>
      <c r="B388" s="10">
        <v>181.0</v>
      </c>
      <c r="C388" s="11" t="s">
        <v>4143</v>
      </c>
      <c r="D388" s="10">
        <v>1.0</v>
      </c>
      <c r="E388" s="12"/>
      <c r="F388" s="11" t="s">
        <v>1072</v>
      </c>
      <c r="G388" s="12"/>
      <c r="H388" s="11" t="s">
        <v>1073</v>
      </c>
      <c r="I388" s="12"/>
      <c r="J388" s="11" t="s">
        <v>4144</v>
      </c>
      <c r="K388" s="12"/>
    </row>
    <row r="389" ht="14.25" customHeight="1">
      <c r="A389" s="13"/>
      <c r="B389" s="13">
        <v>182.0</v>
      </c>
      <c r="C389" s="14" t="s">
        <v>4145</v>
      </c>
      <c r="D389" s="13">
        <v>1.0</v>
      </c>
      <c r="E389" s="15"/>
      <c r="F389" s="14" t="s">
        <v>1225</v>
      </c>
      <c r="G389" s="15"/>
      <c r="H389" s="14" t="s">
        <v>1226</v>
      </c>
      <c r="I389" s="15"/>
      <c r="J389" s="14" t="s">
        <v>4146</v>
      </c>
      <c r="K389" s="15"/>
    </row>
    <row r="390" ht="14.25" customHeight="1">
      <c r="A390" s="10"/>
      <c r="B390" s="10">
        <v>183.0</v>
      </c>
      <c r="C390" s="11" t="s">
        <v>4147</v>
      </c>
      <c r="D390" s="10">
        <v>1.0</v>
      </c>
      <c r="E390" s="12"/>
      <c r="F390" s="11" t="s">
        <v>4148</v>
      </c>
      <c r="G390" s="12"/>
      <c r="H390" s="11" t="s">
        <v>4149</v>
      </c>
      <c r="I390" s="12"/>
      <c r="J390" s="11" t="s">
        <v>4150</v>
      </c>
      <c r="K390" s="12"/>
    </row>
    <row r="391" ht="14.25" customHeight="1">
      <c r="A391" s="13"/>
      <c r="B391" s="13">
        <v>184.0</v>
      </c>
      <c r="C391" s="14" t="s">
        <v>4151</v>
      </c>
      <c r="D391" s="13">
        <v>1.0</v>
      </c>
      <c r="E391" s="15"/>
      <c r="F391" s="14" t="s">
        <v>4080</v>
      </c>
      <c r="G391" s="15"/>
      <c r="H391" s="14" t="s">
        <v>1858</v>
      </c>
      <c r="I391" s="15"/>
      <c r="J391" s="14" t="s">
        <v>4133</v>
      </c>
      <c r="K391" s="15"/>
    </row>
    <row r="392" ht="14.25" customHeight="1">
      <c r="A392" s="10"/>
      <c r="B392" s="10">
        <v>185.0</v>
      </c>
      <c r="C392" s="11" t="s">
        <v>4152</v>
      </c>
      <c r="D392" s="10">
        <v>1.0</v>
      </c>
      <c r="E392" s="12"/>
      <c r="F392" s="11" t="s">
        <v>4153</v>
      </c>
      <c r="G392" s="12"/>
      <c r="H392" s="11" t="s">
        <v>3824</v>
      </c>
      <c r="I392" s="12"/>
      <c r="J392" s="11" t="s">
        <v>4154</v>
      </c>
      <c r="K392" s="12"/>
    </row>
    <row r="393" ht="14.25" customHeight="1">
      <c r="A393" s="13"/>
      <c r="B393" s="13">
        <v>186.0</v>
      </c>
      <c r="C393" s="14" t="s">
        <v>4155</v>
      </c>
      <c r="D393" s="13">
        <v>1.0</v>
      </c>
      <c r="E393" s="15"/>
      <c r="F393" s="14" t="s">
        <v>2134</v>
      </c>
      <c r="G393" s="15"/>
      <c r="H393" s="14" t="s">
        <v>1858</v>
      </c>
      <c r="I393" s="15"/>
      <c r="J393" s="14" t="s">
        <v>4156</v>
      </c>
      <c r="K393" s="15"/>
    </row>
    <row r="394" ht="14.25" customHeight="1">
      <c r="A394" s="10"/>
      <c r="B394" s="10">
        <v>187.0</v>
      </c>
      <c r="C394" s="11" t="s">
        <v>4157</v>
      </c>
      <c r="D394" s="10">
        <v>1.0</v>
      </c>
      <c r="E394" s="12"/>
      <c r="F394" s="11" t="s">
        <v>1225</v>
      </c>
      <c r="G394" s="12"/>
      <c r="H394" s="11" t="s">
        <v>1226</v>
      </c>
      <c r="I394" s="12"/>
      <c r="J394" s="11" t="s">
        <v>4158</v>
      </c>
      <c r="K394" s="12"/>
    </row>
    <row r="395" ht="14.25" customHeight="1">
      <c r="A395" s="13"/>
      <c r="B395" s="13">
        <v>188.0</v>
      </c>
      <c r="C395" s="14" t="s">
        <v>4159</v>
      </c>
      <c r="D395" s="13">
        <v>1.0</v>
      </c>
      <c r="E395" s="15"/>
      <c r="F395" s="14" t="s">
        <v>4160</v>
      </c>
      <c r="G395" s="15"/>
      <c r="H395" s="14" t="s">
        <v>4161</v>
      </c>
      <c r="I395" s="15"/>
      <c r="J395" s="14" t="s">
        <v>4162</v>
      </c>
      <c r="K395" s="15"/>
    </row>
    <row r="396" ht="14.25" customHeight="1">
      <c r="A396" s="10"/>
      <c r="B396" s="10">
        <v>189.0</v>
      </c>
      <c r="C396" s="11" t="s">
        <v>4163</v>
      </c>
      <c r="D396" s="10">
        <v>0.0</v>
      </c>
      <c r="E396" s="12"/>
      <c r="F396" s="11" t="s">
        <v>4164</v>
      </c>
      <c r="G396" s="12"/>
      <c r="H396" s="11" t="s">
        <v>4165</v>
      </c>
      <c r="I396" s="12"/>
      <c r="J396" s="11" t="s">
        <v>4166</v>
      </c>
      <c r="K396" s="12"/>
    </row>
    <row r="397" ht="14.25" customHeight="1">
      <c r="A397" s="13"/>
      <c r="B397" s="13">
        <v>190.0</v>
      </c>
      <c r="C397" s="14" t="s">
        <v>4167</v>
      </c>
      <c r="D397" s="13">
        <v>0.0</v>
      </c>
      <c r="E397" s="15"/>
      <c r="F397" s="14" t="s">
        <v>4168</v>
      </c>
      <c r="G397" s="15"/>
      <c r="H397" s="14" t="s">
        <v>3615</v>
      </c>
      <c r="I397" s="15"/>
      <c r="J397" s="14" t="s">
        <v>4169</v>
      </c>
      <c r="K397" s="15"/>
    </row>
    <row r="398" ht="14.25" customHeight="1">
      <c r="A398" s="10"/>
      <c r="B398" s="10">
        <v>191.0</v>
      </c>
      <c r="C398" s="11" t="s">
        <v>4170</v>
      </c>
      <c r="D398" s="10">
        <v>1.0</v>
      </c>
      <c r="E398" s="12"/>
      <c r="F398" s="11" t="s">
        <v>4141</v>
      </c>
      <c r="G398" s="12"/>
      <c r="H398" s="11" t="s">
        <v>3903</v>
      </c>
      <c r="I398" s="12"/>
      <c r="J398" s="11" t="s">
        <v>4171</v>
      </c>
      <c r="K398" s="12"/>
    </row>
    <row r="399" ht="14.25" customHeight="1">
      <c r="A399" s="13"/>
      <c r="B399" s="13">
        <v>192.0</v>
      </c>
      <c r="C399" s="14" t="s">
        <v>4172</v>
      </c>
      <c r="D399" s="13">
        <v>1.0</v>
      </c>
      <c r="E399" s="15"/>
      <c r="F399" s="14" t="s">
        <v>4173</v>
      </c>
      <c r="G399" s="15"/>
      <c r="H399" s="14" t="s">
        <v>4174</v>
      </c>
      <c r="I399" s="15"/>
      <c r="J399" s="14" t="s">
        <v>4175</v>
      </c>
      <c r="K399" s="15"/>
    </row>
    <row r="400" ht="14.25" customHeight="1">
      <c r="A400" s="10"/>
      <c r="B400" s="10">
        <v>193.0</v>
      </c>
      <c r="C400" s="11" t="s">
        <v>4176</v>
      </c>
      <c r="D400" s="10">
        <v>1.0</v>
      </c>
      <c r="E400" s="12"/>
      <c r="F400" s="11" t="s">
        <v>4177</v>
      </c>
      <c r="G400" s="12"/>
      <c r="H400" s="11" t="s">
        <v>4114</v>
      </c>
      <c r="I400" s="12"/>
      <c r="J400" s="11" t="s">
        <v>4178</v>
      </c>
      <c r="K400" s="12"/>
    </row>
    <row r="401" ht="14.25" customHeight="1">
      <c r="A401" s="13"/>
      <c r="B401" s="13">
        <v>194.0</v>
      </c>
      <c r="C401" s="14" t="s">
        <v>4179</v>
      </c>
      <c r="D401" s="13">
        <v>1.0</v>
      </c>
      <c r="E401" s="15"/>
      <c r="F401" s="14" t="s">
        <v>4180</v>
      </c>
      <c r="G401" s="15"/>
      <c r="H401" s="14" t="s">
        <v>1946</v>
      </c>
      <c r="I401" s="15"/>
      <c r="J401" s="14" t="s">
        <v>4181</v>
      </c>
      <c r="K401" s="15"/>
    </row>
    <row r="402" ht="14.25" customHeight="1">
      <c r="A402" s="10"/>
      <c r="B402" s="10">
        <v>195.0</v>
      </c>
      <c r="C402" s="11" t="s">
        <v>4182</v>
      </c>
      <c r="D402" s="10">
        <v>1.0</v>
      </c>
      <c r="E402" s="12"/>
      <c r="F402" s="11" t="s">
        <v>1455</v>
      </c>
      <c r="G402" s="12"/>
      <c r="H402" s="11" t="s">
        <v>3304</v>
      </c>
      <c r="I402" s="12"/>
      <c r="J402" s="11" t="s">
        <v>4183</v>
      </c>
      <c r="K402" s="12"/>
    </row>
    <row r="403" ht="14.25" customHeight="1">
      <c r="A403" s="13"/>
      <c r="B403" s="13">
        <v>196.0</v>
      </c>
      <c r="C403" s="14" t="s">
        <v>4184</v>
      </c>
      <c r="D403" s="13">
        <v>1.0</v>
      </c>
      <c r="E403" s="15"/>
      <c r="F403" s="14" t="s">
        <v>4185</v>
      </c>
      <c r="G403" s="15"/>
      <c r="H403" s="14" t="s">
        <v>4186</v>
      </c>
      <c r="I403" s="15"/>
      <c r="J403" s="14" t="s">
        <v>4187</v>
      </c>
      <c r="K403" s="15"/>
    </row>
    <row r="404" ht="14.25" customHeight="1">
      <c r="A404" s="10"/>
      <c r="B404" s="10">
        <v>197.0</v>
      </c>
      <c r="C404" s="11" t="s">
        <v>4188</v>
      </c>
      <c r="D404" s="10">
        <v>0.0</v>
      </c>
      <c r="E404" s="12"/>
      <c r="F404" s="11" t="s">
        <v>4189</v>
      </c>
      <c r="G404" s="12"/>
      <c r="H404" s="11" t="s">
        <v>4190</v>
      </c>
      <c r="I404" s="12"/>
      <c r="J404" s="11" t="s">
        <v>4191</v>
      </c>
      <c r="K404" s="12"/>
    </row>
    <row r="405" ht="14.25" customHeight="1">
      <c r="A405" s="13"/>
      <c r="B405" s="13">
        <v>198.0</v>
      </c>
      <c r="C405" s="14" t="s">
        <v>4192</v>
      </c>
      <c r="D405" s="13">
        <v>1.0</v>
      </c>
      <c r="E405" s="15"/>
      <c r="F405" s="14" t="s">
        <v>1225</v>
      </c>
      <c r="G405" s="15"/>
      <c r="H405" s="14" t="s">
        <v>1226</v>
      </c>
      <c r="I405" s="15"/>
      <c r="J405" s="14" t="s">
        <v>4193</v>
      </c>
      <c r="K405" s="15"/>
    </row>
    <row r="406" ht="14.25" customHeight="1">
      <c r="A406" s="10"/>
      <c r="B406" s="10">
        <v>199.0</v>
      </c>
      <c r="C406" s="11" t="s">
        <v>4194</v>
      </c>
      <c r="D406" s="10">
        <v>1.0</v>
      </c>
      <c r="E406" s="12"/>
      <c r="F406" s="11" t="s">
        <v>1072</v>
      </c>
      <c r="G406" s="12"/>
      <c r="H406" s="11" t="s">
        <v>1073</v>
      </c>
      <c r="I406" s="12"/>
      <c r="J406" s="11" t="s">
        <v>4195</v>
      </c>
      <c r="K406" s="12"/>
    </row>
    <row r="407" ht="14.25" customHeight="1">
      <c r="A407" s="13"/>
      <c r="B407" s="13">
        <v>200.0</v>
      </c>
      <c r="C407" s="14" t="s">
        <v>4196</v>
      </c>
      <c r="D407" s="13">
        <v>1.0</v>
      </c>
      <c r="E407" s="15"/>
      <c r="F407" s="14" t="s">
        <v>4197</v>
      </c>
      <c r="G407" s="15"/>
      <c r="H407" s="14" t="s">
        <v>4198</v>
      </c>
      <c r="I407" s="15"/>
      <c r="J407" s="14" t="s">
        <v>4199</v>
      </c>
      <c r="K407" s="15"/>
    </row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214:G214"/>
    <mergeCell ref="F217:G217"/>
    <mergeCell ref="F221:G221"/>
    <mergeCell ref="F229:G229"/>
    <mergeCell ref="F231:G231"/>
    <mergeCell ref="F236:G236"/>
    <mergeCell ref="F237:G237"/>
    <mergeCell ref="F242:G242"/>
    <mergeCell ref="F244:G244"/>
    <mergeCell ref="F271:G271"/>
    <mergeCell ref="F272:G272"/>
    <mergeCell ref="F275:G275"/>
    <mergeCell ref="F276:G276"/>
    <mergeCell ref="F281:G281"/>
    <mergeCell ref="F362:G362"/>
    <mergeCell ref="F374:G374"/>
    <mergeCell ref="F282:G282"/>
    <mergeCell ref="F283:G283"/>
    <mergeCell ref="F284:G284"/>
    <mergeCell ref="F306:G306"/>
    <mergeCell ref="F314:G314"/>
    <mergeCell ref="F318:G318"/>
    <mergeCell ref="F333:G33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